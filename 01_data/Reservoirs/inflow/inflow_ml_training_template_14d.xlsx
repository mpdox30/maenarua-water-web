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"/>
    </mc:Choice>
  </mc:AlternateContent>
  <xr:revisionPtr revIDLastSave="0" documentId="13_ncr:1_{F26EE384-7D0F-44EC-9264-0D35E3568F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fig" sheetId="1" r:id="rId1"/>
    <sheet name="Daily_Input" sheetId="2" r:id="rId2"/>
    <sheet name="Training_Ready" sheetId="3" r:id="rId3"/>
    <sheet name="Data_Diction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3" l="1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M33" i="3" l="1"/>
  <c r="P35" i="3"/>
  <c r="S37" i="3"/>
  <c r="V39" i="3"/>
  <c r="Y41" i="3"/>
  <c r="W29" i="3"/>
  <c r="M13" i="3"/>
  <c r="P15" i="3"/>
  <c r="S17" i="3"/>
  <c r="V19" i="3"/>
  <c r="Y21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4" i="3"/>
  <c r="Y25" i="3"/>
  <c r="Y26" i="3"/>
  <c r="Y35" i="3"/>
  <c r="Y36" i="3"/>
  <c r="Y37" i="3"/>
  <c r="Y38" i="3"/>
  <c r="Y39" i="3"/>
  <c r="Y40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X3" i="3"/>
  <c r="X4" i="3"/>
  <c r="X5" i="3"/>
  <c r="X6" i="3"/>
  <c r="X7" i="3"/>
  <c r="X8" i="3"/>
  <c r="X9" i="3"/>
  <c r="X10" i="3"/>
  <c r="X11" i="3"/>
  <c r="X12" i="3"/>
  <c r="X13" i="3"/>
  <c r="X14" i="3"/>
  <c r="X19" i="3"/>
  <c r="X20" i="3"/>
  <c r="X21" i="3"/>
  <c r="X22" i="3"/>
  <c r="X23" i="3"/>
  <c r="X24" i="3"/>
  <c r="X25" i="3"/>
  <c r="X33" i="3"/>
  <c r="X34" i="3"/>
  <c r="X35" i="3"/>
  <c r="X36" i="3"/>
  <c r="X37" i="3"/>
  <c r="X38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W3" i="3"/>
  <c r="W4" i="3"/>
  <c r="W5" i="3"/>
  <c r="W6" i="3"/>
  <c r="W7" i="3"/>
  <c r="W8" i="3"/>
  <c r="W9" i="3"/>
  <c r="W10" i="3"/>
  <c r="W11" i="3"/>
  <c r="W12" i="3"/>
  <c r="W13" i="3"/>
  <c r="W19" i="3"/>
  <c r="W20" i="3"/>
  <c r="W21" i="3"/>
  <c r="W22" i="3"/>
  <c r="W23" i="3"/>
  <c r="W24" i="3"/>
  <c r="W25" i="3"/>
  <c r="W27" i="3"/>
  <c r="W2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21" i="3"/>
  <c r="V22" i="3"/>
  <c r="V23" i="3"/>
  <c r="V34" i="3"/>
  <c r="V35" i="3"/>
  <c r="V36" i="3"/>
  <c r="V37" i="3"/>
  <c r="V38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U3" i="3"/>
  <c r="U4" i="3"/>
  <c r="U5" i="3"/>
  <c r="U6" i="3"/>
  <c r="U7" i="3"/>
  <c r="U8" i="3"/>
  <c r="U9" i="3"/>
  <c r="U10" i="3"/>
  <c r="U11" i="3"/>
  <c r="U12" i="3"/>
  <c r="U17" i="3"/>
  <c r="U18" i="3"/>
  <c r="U19" i="3"/>
  <c r="U20" i="3"/>
  <c r="U21" i="3"/>
  <c r="U22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T3" i="3"/>
  <c r="T4" i="3"/>
  <c r="T5" i="3"/>
  <c r="T6" i="3"/>
  <c r="T7" i="3"/>
  <c r="T8" i="3"/>
  <c r="T9" i="3"/>
  <c r="T10" i="3"/>
  <c r="T16" i="3"/>
  <c r="T17" i="3"/>
  <c r="T18" i="3"/>
  <c r="T19" i="3"/>
  <c r="T20" i="3"/>
  <c r="T21" i="3"/>
  <c r="T25" i="3"/>
  <c r="T26" i="3"/>
  <c r="T27" i="3"/>
  <c r="T28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9" i="3"/>
  <c r="S20" i="3"/>
  <c r="S32" i="3"/>
  <c r="S33" i="3"/>
  <c r="S34" i="3"/>
  <c r="S35" i="3"/>
  <c r="S36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R3" i="3"/>
  <c r="R4" i="3"/>
  <c r="R5" i="3"/>
  <c r="R6" i="3"/>
  <c r="R7" i="3"/>
  <c r="R8" i="3"/>
  <c r="R9" i="3"/>
  <c r="R10" i="3"/>
  <c r="R14" i="3"/>
  <c r="R15" i="3"/>
  <c r="R16" i="3"/>
  <c r="R17" i="3"/>
  <c r="R18" i="3"/>
  <c r="R19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Q3" i="3"/>
  <c r="Q4" i="3"/>
  <c r="Q5" i="3"/>
  <c r="Q6" i="3"/>
  <c r="Q7" i="3"/>
  <c r="Q14" i="3"/>
  <c r="Q15" i="3"/>
  <c r="Q16" i="3"/>
  <c r="Q17" i="3"/>
  <c r="Q18" i="3"/>
  <c r="Q23" i="3"/>
  <c r="Q24" i="3"/>
  <c r="Q25" i="3"/>
  <c r="Q26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P3" i="3"/>
  <c r="P4" i="3"/>
  <c r="P5" i="3"/>
  <c r="P6" i="3"/>
  <c r="P8" i="3"/>
  <c r="P9" i="3"/>
  <c r="P10" i="3"/>
  <c r="P11" i="3"/>
  <c r="P12" i="3"/>
  <c r="P13" i="3"/>
  <c r="P14" i="3"/>
  <c r="P16" i="3"/>
  <c r="P17" i="3"/>
  <c r="P29" i="3"/>
  <c r="P30" i="3"/>
  <c r="P31" i="3"/>
  <c r="P32" i="3"/>
  <c r="P33" i="3"/>
  <c r="P34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O3" i="3"/>
  <c r="O4" i="3"/>
  <c r="O5" i="3"/>
  <c r="O6" i="3"/>
  <c r="O7" i="3"/>
  <c r="O11" i="3"/>
  <c r="O12" i="3"/>
  <c r="O13" i="3"/>
  <c r="O14" i="3"/>
  <c r="O15" i="3"/>
  <c r="O16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N3" i="3"/>
  <c r="N4" i="3"/>
  <c r="N11" i="3"/>
  <c r="N12" i="3"/>
  <c r="N13" i="3"/>
  <c r="N14" i="3"/>
  <c r="N15" i="3"/>
  <c r="N19" i="3"/>
  <c r="N20" i="3"/>
  <c r="N21" i="3"/>
  <c r="N22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M3" i="3"/>
  <c r="M4" i="3"/>
  <c r="M5" i="3"/>
  <c r="M6" i="3"/>
  <c r="M7" i="3"/>
  <c r="M8" i="3"/>
  <c r="M9" i="3"/>
  <c r="M10" i="3"/>
  <c r="M11" i="3"/>
  <c r="M12" i="3"/>
  <c r="M14" i="3"/>
  <c r="M26" i="3"/>
  <c r="M27" i="3"/>
  <c r="M28" i="3"/>
  <c r="M29" i="3"/>
  <c r="M30" i="3"/>
  <c r="M31" i="3"/>
  <c r="M32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L2" i="3"/>
  <c r="X27" i="3" l="1"/>
  <c r="M16" i="3"/>
  <c r="P19" i="3"/>
  <c r="U25" i="3"/>
  <c r="X28" i="3"/>
  <c r="M17" i="3"/>
  <c r="W26" i="3"/>
  <c r="P20" i="3"/>
  <c r="S22" i="3"/>
  <c r="M15" i="3"/>
  <c r="P18" i="3"/>
  <c r="S21" i="3"/>
  <c r="V24" i="3"/>
  <c r="R23" i="3"/>
  <c r="U26" i="3"/>
  <c r="X29" i="3"/>
  <c r="N18" i="3"/>
  <c r="Q22" i="3"/>
  <c r="T24" i="3"/>
  <c r="O21" i="3"/>
  <c r="R24" i="3"/>
  <c r="U27" i="3"/>
  <c r="X30" i="3"/>
  <c r="N17" i="3"/>
  <c r="Q21" i="3"/>
  <c r="T23" i="3"/>
  <c r="O22" i="3"/>
  <c r="R25" i="3"/>
  <c r="U28" i="3"/>
  <c r="X31" i="3"/>
  <c r="N16" i="3"/>
  <c r="Q20" i="3"/>
  <c r="T22" i="3"/>
  <c r="X26" i="3"/>
  <c r="O23" i="3"/>
  <c r="R26" i="3"/>
  <c r="U29" i="3"/>
  <c r="X32" i="3"/>
  <c r="O20" i="3"/>
  <c r="Q19" i="3"/>
  <c r="O24" i="3"/>
  <c r="R27" i="3"/>
  <c r="O19" i="3"/>
  <c r="R22" i="3"/>
  <c r="U24" i="3"/>
  <c r="W33" i="3"/>
  <c r="O25" i="3"/>
  <c r="O18" i="3"/>
  <c r="R21" i="3"/>
  <c r="U23" i="3"/>
  <c r="Y34" i="3"/>
  <c r="T11" i="3"/>
  <c r="W14" i="3"/>
  <c r="T31" i="3"/>
  <c r="W34" i="3"/>
  <c r="O17" i="3"/>
  <c r="P7" i="3"/>
  <c r="R20" i="3"/>
  <c r="Y33" i="3"/>
  <c r="Q9" i="3"/>
  <c r="T12" i="3"/>
  <c r="W15" i="3"/>
  <c r="Q29" i="3"/>
  <c r="T32" i="3"/>
  <c r="W35" i="3"/>
  <c r="M25" i="3"/>
  <c r="S31" i="3"/>
  <c r="V33" i="3"/>
  <c r="Y32" i="3"/>
  <c r="N7" i="3"/>
  <c r="Q10" i="3"/>
  <c r="T13" i="3"/>
  <c r="W16" i="3"/>
  <c r="N27" i="3"/>
  <c r="Q30" i="3"/>
  <c r="T33" i="3"/>
  <c r="W36" i="3"/>
  <c r="M24" i="3"/>
  <c r="N6" i="3"/>
  <c r="P28" i="3"/>
  <c r="S30" i="3"/>
  <c r="V32" i="3"/>
  <c r="Y31" i="3"/>
  <c r="N8" i="3"/>
  <c r="Q11" i="3"/>
  <c r="T14" i="3"/>
  <c r="W17" i="3"/>
  <c r="N28" i="3"/>
  <c r="Q31" i="3"/>
  <c r="T34" i="3"/>
  <c r="W37" i="3"/>
  <c r="M23" i="3"/>
  <c r="N5" i="3"/>
  <c r="P27" i="3"/>
  <c r="Q8" i="3"/>
  <c r="S29" i="3"/>
  <c r="V31" i="3"/>
  <c r="Y30" i="3"/>
  <c r="N9" i="3"/>
  <c r="Q12" i="3"/>
  <c r="T15" i="3"/>
  <c r="W18" i="3"/>
  <c r="N29" i="3"/>
  <c r="Q32" i="3"/>
  <c r="T35" i="3"/>
  <c r="W38" i="3"/>
  <c r="M22" i="3"/>
  <c r="P26" i="3"/>
  <c r="S28" i="3"/>
  <c r="V30" i="3"/>
  <c r="X18" i="3"/>
  <c r="Y29" i="3"/>
  <c r="M21" i="3"/>
  <c r="P25" i="3"/>
  <c r="S27" i="3"/>
  <c r="V29" i="3"/>
  <c r="X17" i="3"/>
  <c r="Y28" i="3"/>
  <c r="M20" i="3"/>
  <c r="N26" i="3"/>
  <c r="P24" i="3"/>
  <c r="S26" i="3"/>
  <c r="U16" i="3"/>
  <c r="V28" i="3"/>
  <c r="X16" i="3"/>
  <c r="Y27" i="3"/>
  <c r="M19" i="3"/>
  <c r="N25" i="3"/>
  <c r="O10" i="3"/>
  <c r="P23" i="3"/>
  <c r="R13" i="3"/>
  <c r="S25" i="3"/>
  <c r="U15" i="3"/>
  <c r="V27" i="3"/>
  <c r="W32" i="3"/>
  <c r="X15" i="3"/>
  <c r="M18" i="3"/>
  <c r="N24" i="3"/>
  <c r="O9" i="3"/>
  <c r="P22" i="3"/>
  <c r="Q28" i="3"/>
  <c r="R12" i="3"/>
  <c r="S24" i="3"/>
  <c r="T30" i="3"/>
  <c r="U14" i="3"/>
  <c r="V26" i="3"/>
  <c r="W31" i="3"/>
  <c r="N23" i="3"/>
  <c r="O8" i="3"/>
  <c r="P21" i="3"/>
  <c r="Q27" i="3"/>
  <c r="R11" i="3"/>
  <c r="S23" i="3"/>
  <c r="T29" i="3"/>
  <c r="U13" i="3"/>
  <c r="V25" i="3"/>
  <c r="W30" i="3"/>
  <c r="X39" i="3"/>
  <c r="Q33" i="3"/>
  <c r="Q13" i="3"/>
  <c r="N30" i="3"/>
  <c r="N10" i="3"/>
  <c r="Y43" i="3"/>
  <c r="Y23" i="3"/>
  <c r="S38" i="3"/>
  <c r="S18" i="3"/>
  <c r="V40" i="3"/>
  <c r="V20" i="3"/>
  <c r="Y42" i="3"/>
  <c r="Y22" i="3"/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G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G2" i="3"/>
  <c r="F2" i="3"/>
  <c r="D2" i="3"/>
  <c r="C2" i="3"/>
  <c r="B2" i="3"/>
  <c r="A2" i="3"/>
  <c r="AZ2" i="3" s="1"/>
  <c r="C2" i="2"/>
  <c r="B2" i="2"/>
  <c r="BA2" i="3" l="1"/>
  <c r="BB2" i="3"/>
  <c r="BC2" i="3"/>
  <c r="BD2" i="3"/>
  <c r="BE2" i="3"/>
  <c r="BF2" i="3"/>
  <c r="BN2" i="3"/>
  <c r="BO2" i="3"/>
  <c r="H2" i="3"/>
  <c r="BP2" i="3"/>
  <c r="I2" i="3"/>
  <c r="BQ2" i="3"/>
  <c r="BH2" i="3"/>
  <c r="BI2" i="3"/>
  <c r="BJ2" i="3"/>
  <c r="BK2" i="3"/>
  <c r="BL2" i="3"/>
  <c r="BM2" i="3"/>
  <c r="K2" i="3" l="1"/>
  <c r="J2" i="3"/>
</calcChain>
</file>

<file path=xl/sharedStrings.xml><?xml version="1.0" encoding="utf-8"?>
<sst xmlns="http://schemas.openxmlformats.org/spreadsheetml/2006/main" count="147" uniqueCount="136">
  <si>
    <t>Parameter</t>
  </si>
  <si>
    <t>Value</t>
  </si>
  <si>
    <t>Notes</t>
  </si>
  <si>
    <t>Reservoir_Name</t>
  </si>
  <si>
    <t>Mae Na Rua</t>
  </si>
  <si>
    <t>AsOf_Time</t>
  </si>
  <si>
    <t>07:00</t>
  </si>
  <si>
    <t>Reference time for 'Date' row</t>
  </si>
  <si>
    <t>Storage_Max_m3</t>
  </si>
  <si>
    <t>S_max (m³) at full supply level</t>
  </si>
  <si>
    <t>API_k</t>
  </si>
  <si>
    <t>Antecedent Precipitation Index decay (0.90–0.98)</t>
  </si>
  <si>
    <t>Days_in_Year</t>
  </si>
  <si>
    <t>Use 366 if you prefer leap-year handling</t>
  </si>
  <si>
    <t>Date (YYYY-MM-DD)</t>
  </si>
  <si>
    <t>AsOf_Time (HH:MM)</t>
  </si>
  <si>
    <t>Water_Level_MSL (m)</t>
  </si>
  <si>
    <t>Storage_S (m³)</t>
  </si>
  <si>
    <t>Q_in (m³/day) [Observed]</t>
  </si>
  <si>
    <t>Outflow_O (m³/day)</t>
  </si>
  <si>
    <t>Spill (m³/day)</t>
  </si>
  <si>
    <t>Rain_24h (mm) [Observed]</t>
  </si>
  <si>
    <t>Rain_Direct_to_Reservoir (m³/day)</t>
  </si>
  <si>
    <t>Evaporation_E (m³/day)</t>
  </si>
  <si>
    <t>Infiltration (m³/day)</t>
  </si>
  <si>
    <t>Notes / QC Flags</t>
  </si>
  <si>
    <t>Rain_Forecast_d1 (mm) [Issued at t]</t>
  </si>
  <si>
    <t>Rain_Forecast_d2 (mm) [Issued at t]</t>
  </si>
  <si>
    <t>Rain_Forecast_d3 (mm) [Issued at t]</t>
  </si>
  <si>
    <t>Rain_Forecast_d4 (mm) [Issued at t]</t>
  </si>
  <si>
    <t>Rain_Forecast_d5 (mm) [Issued at t]</t>
  </si>
  <si>
    <t>Rain_Forecast_d6 (mm) [Issued at t]</t>
  </si>
  <si>
    <t>Rain_Forecast_d7 (mm) [Issued at t]</t>
  </si>
  <si>
    <t>Rain_Forecast_d8 (mm) [Issued at t]</t>
  </si>
  <si>
    <t>Rain_Forecast_d9 (mm) [Issued at t]</t>
  </si>
  <si>
    <t>Rain_Forecast_d10 (mm) [Issued at t]</t>
  </si>
  <si>
    <t>Rain_Forecast_d11 (mm) [Issued at t]</t>
  </si>
  <si>
    <t>Rain_Forecast_d12 (mm) [Issued at t]</t>
  </si>
  <si>
    <t>Rain_Forecast_d13 (mm) [Issued at t]</t>
  </si>
  <si>
    <t>Rain_Forecast_d14 (mm) [Issued at t]</t>
  </si>
  <si>
    <t>Date</t>
  </si>
  <si>
    <t>Q_in_t (m³/day)</t>
  </si>
  <si>
    <t>Water_Level_t (m)</t>
  </si>
  <si>
    <t>Storage_S_t (m³)</t>
  </si>
  <si>
    <t>DeltaS_t (m³/day)</t>
  </si>
  <si>
    <t>%Full_t</t>
  </si>
  <si>
    <t>Rain_obs_t (mm)</t>
  </si>
  <si>
    <t>API_t (mm)</t>
  </si>
  <si>
    <t>DOY</t>
  </si>
  <si>
    <t>DOY_sin</t>
  </si>
  <si>
    <t>DOY_cos</t>
  </si>
  <si>
    <t>Q_lag1 (m³/day)</t>
  </si>
  <si>
    <t>Q_lag2 (m³/day)</t>
  </si>
  <si>
    <t>Q_lag3 (m³/day)</t>
  </si>
  <si>
    <t>Q_lag4 (m³/day)</t>
  </si>
  <si>
    <t>Q_lag5 (m³/day)</t>
  </si>
  <si>
    <t>Q_lag6 (m³/day)</t>
  </si>
  <si>
    <t>Q_lag7 (m³/day)</t>
  </si>
  <si>
    <t>Q_lag8 (m³/day)</t>
  </si>
  <si>
    <t>Q_lag9 (m³/day)</t>
  </si>
  <si>
    <t>Q_lag10 (m³/day)</t>
  </si>
  <si>
    <t>Q_lag11 (m³/day)</t>
  </si>
  <si>
    <t>Q_lag12 (m³/day)</t>
  </si>
  <si>
    <t>Q_lag13 (m³/day)</t>
  </si>
  <si>
    <t>Q_lag14 (m³/day)</t>
  </si>
  <si>
    <t>Rain_obs_sum3 (mm)</t>
  </si>
  <si>
    <t>Rain_obs_sum7 (mm)</t>
  </si>
  <si>
    <t>Rain_obs_sum14 (mm)</t>
  </si>
  <si>
    <t>Q_mean_3d</t>
  </si>
  <si>
    <t>Q_mean_7d</t>
  </si>
  <si>
    <t>Q_max_7d</t>
  </si>
  <si>
    <t>Outflow_lag1 (m³/day)</t>
  </si>
  <si>
    <t>Spill_lag1 (m³/day)</t>
  </si>
  <si>
    <t>Outflow_lag2 (m³/day)</t>
  </si>
  <si>
    <t>Spill_lag2 (m³/day)</t>
  </si>
  <si>
    <t>Outflow_lag3 (m³/day)</t>
  </si>
  <si>
    <t>Spill_lag3 (m³/day)</t>
  </si>
  <si>
    <t>Rain_fcst_d1 (mm)</t>
  </si>
  <si>
    <t>Rain_fcst_d2 (mm)</t>
  </si>
  <si>
    <t>Rain_fcst_d3 (mm)</t>
  </si>
  <si>
    <t>Rain_fcst_d4 (mm)</t>
  </si>
  <si>
    <t>Rain_fcst_d5 (mm)</t>
  </si>
  <si>
    <t>Rain_fcst_d6 (mm)</t>
  </si>
  <si>
    <t>Rain_fcst_d7 (mm)</t>
  </si>
  <si>
    <t>Rain_fcst_d8 (mm)</t>
  </si>
  <si>
    <t>Rain_fcst_d9 (mm)</t>
  </si>
  <si>
    <t>Rain_fcst_d10 (mm)</t>
  </si>
  <si>
    <t>Rain_fcst_d11 (mm)</t>
  </si>
  <si>
    <t>Rain_fcst_d12 (mm)</t>
  </si>
  <si>
    <t>Rain_fcst_d13 (mm)</t>
  </si>
  <si>
    <t>Rain_fcst_d14 (mm)</t>
  </si>
  <si>
    <t>Rain_fcst_sum1_3 (mm)</t>
  </si>
  <si>
    <t>Rain_fcst_sum1_7 (mm)</t>
  </si>
  <si>
    <t>Rain_fcst_sum1_14 (mm)</t>
  </si>
  <si>
    <t>Rain_fcst_max1_7 (mm)</t>
  </si>
  <si>
    <t>y1=Q_in_t+1 (m³/day)</t>
  </si>
  <si>
    <t>y2=Q_in_t+2 (m³/day)</t>
  </si>
  <si>
    <t>y3=Q_in_t+3 (m³/day)</t>
  </si>
  <si>
    <t>y4=Q_in_t+4 (m³/day)</t>
  </si>
  <si>
    <t>y5=Q_in_t+5 (m³/day)</t>
  </si>
  <si>
    <t>y6=Q_in_t+6 (m³/day)</t>
  </si>
  <si>
    <t>y7=Q_in_t+7 (m³/day)</t>
  </si>
  <si>
    <t>y8=Q_in_t+8 (m³/day)</t>
  </si>
  <si>
    <t>y9=Q_in_t+9 (m³/day)</t>
  </si>
  <si>
    <t>y10=Q_in_t+10 (m³/day)</t>
  </si>
  <si>
    <t>y11=Q_in_t+11 (m³/day)</t>
  </si>
  <si>
    <t>y12=Q_in_t+12 (m³/day)</t>
  </si>
  <si>
    <t>y13=Q_in_t+13 (m³/day)</t>
  </si>
  <si>
    <t>y14=Q_in_t+14 (m³/day)</t>
  </si>
  <si>
    <t>Sheet</t>
  </si>
  <si>
    <t>Column / Block</t>
  </si>
  <si>
    <t>Type</t>
  </si>
  <si>
    <t>Units</t>
  </si>
  <si>
    <t>Who fills</t>
  </si>
  <si>
    <t>How to use</t>
  </si>
  <si>
    <t>Daily_Input</t>
  </si>
  <si>
    <t>A:M</t>
  </si>
  <si>
    <t>Inputs</t>
  </si>
  <si>
    <t>-</t>
  </si>
  <si>
    <t>User</t>
  </si>
  <si>
    <t>Fill 1 row per day (as-of Config!AsOf_Time).</t>
  </si>
  <si>
    <t>N:AA</t>
  </si>
  <si>
    <t>mm</t>
  </si>
  <si>
    <t>Rain_Forecast_d1..d14 issued at day t (same row).</t>
  </si>
  <si>
    <t>Training_Ready</t>
  </si>
  <si>
    <t>Row 2 formulas</t>
  </si>
  <si>
    <t>Derived</t>
  </si>
  <si>
    <t>Excel</t>
  </si>
  <si>
    <t>After filling Daily_Input, copy row 2 down for the full length of your dataset.</t>
  </si>
  <si>
    <t>API_t</t>
  </si>
  <si>
    <t>API uses self-initializing formula: first row = Rain_obs, later rows = k*API_prev + Rain_obs.</t>
  </si>
  <si>
    <t>y1..y14</t>
  </si>
  <si>
    <t>Targets</t>
  </si>
  <si>
    <t>m³/day</t>
  </si>
  <si>
    <t>Direct multi-horizon targets: Q_in(t+1..t+14).</t>
  </si>
  <si>
    <t>ตัวแทนความชื้นลุ่มน้ำ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</si>
</sst>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vertical="center"/>
    </xf>
    <xf numFmtId="164" fontId="0" fillId="0" borderId="0" xfId="0" applyNumberFormat="1"/>
    <xf numFmtId="165" fontId="0" fillId="0" borderId="0" xfId="0" applyNumberFormat="1"/>
    <xf numFmtId="165" fontId="4" fillId="0" borderId="0" xfId="1" applyNumberFormat="1"/>
  </cellXfs>
  <cellStyles count="2">
    <cellStyle name="Normal" xfId="0" builtinId="0"/>
    <cellStyle name="Normal 2" xfId="1" xr:uid="{8389C160-B2A4-4683-A905-564A64563C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workbookViewId="0">
      <selection activeCell="C11" sqref="C11"/>
    </sheetView>
  </sheetViews>
  <sheetFormatPr defaultRowHeight="14.4"/>
  <cols>
    <col min="1" max="2" width="22" customWidth="1"/>
    <col min="3" max="3" width="44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3" t="s">
        <v>4</v>
      </c>
      <c r="C2" s="2"/>
    </row>
    <row r="3" spans="1:4">
      <c r="A3" s="2" t="s">
        <v>5</v>
      </c>
      <c r="B3" s="3" t="s">
        <v>6</v>
      </c>
      <c r="C3" s="2" t="s">
        <v>7</v>
      </c>
    </row>
    <row r="4" spans="1:4">
      <c r="A4" s="2" t="s">
        <v>8</v>
      </c>
      <c r="B4" s="3">
        <v>1625463.7590197001</v>
      </c>
      <c r="C4" s="2" t="s">
        <v>9</v>
      </c>
    </row>
    <row r="5" spans="1:4">
      <c r="A5" s="2" t="s">
        <v>10</v>
      </c>
      <c r="B5" s="3">
        <v>0.95</v>
      </c>
      <c r="C5" s="2" t="s">
        <v>11</v>
      </c>
      <c r="D5" t="s">
        <v>135</v>
      </c>
    </row>
    <row r="6" spans="1:4">
      <c r="A6" s="2" t="s">
        <v>12</v>
      </c>
      <c r="B6" s="3">
        <v>365</v>
      </c>
      <c r="C6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6"/>
  <sheetViews>
    <sheetView showGridLines="0" workbookViewId="0">
      <selection activeCell="I197" sqref="I197"/>
    </sheetView>
  </sheetViews>
  <sheetFormatPr defaultRowHeight="14.4"/>
  <cols>
    <col min="1" max="1" width="16" customWidth="1"/>
    <col min="2" max="2" width="14" customWidth="1"/>
    <col min="3" max="4" width="18" customWidth="1"/>
    <col min="5" max="5" width="16" customWidth="1"/>
    <col min="6" max="6" width="20" customWidth="1"/>
    <col min="7" max="7" width="16" customWidth="1"/>
    <col min="8" max="8" width="14" customWidth="1"/>
    <col min="9" max="9" width="18" customWidth="1"/>
    <col min="10" max="10" width="24" customWidth="1"/>
    <col min="11" max="12" width="18" customWidth="1"/>
    <col min="13" max="13" width="22" customWidth="1"/>
    <col min="14" max="27" width="18" customWidth="1"/>
  </cols>
  <sheetData>
    <row r="1" spans="1:27" ht="28.8">
      <c r="A1" s="1" t="s">
        <v>14</v>
      </c>
      <c r="B1" s="1" t="s">
        <v>15</v>
      </c>
      <c r="C1" s="1" t="s">
        <v>3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</row>
    <row r="2" spans="1:27">
      <c r="A2" s="6">
        <v>45839</v>
      </c>
      <c r="B2" s="4" t="str">
        <f>Config!$B$3</f>
        <v>07:00</v>
      </c>
      <c r="C2" s="4" t="str">
        <f>Config!$B$2</f>
        <v>Mae Na Rua</v>
      </c>
      <c r="D2" s="7">
        <v>489.51799999999997</v>
      </c>
      <c r="E2" s="7">
        <v>1616447.3000027</v>
      </c>
      <c r="F2" s="7">
        <v>15833.16372921539</v>
      </c>
      <c r="G2" s="7">
        <v>15019.2</v>
      </c>
      <c r="H2" s="7">
        <v>0</v>
      </c>
      <c r="I2">
        <v>0</v>
      </c>
      <c r="J2" s="7">
        <v>0</v>
      </c>
      <c r="K2" s="7">
        <v>813.96372651548461</v>
      </c>
      <c r="L2" s="7">
        <v>0</v>
      </c>
    </row>
    <row r="3" spans="1:27">
      <c r="A3" s="6">
        <v>45840</v>
      </c>
      <c r="B3" s="4" t="str">
        <f>Config!$B$3</f>
        <v>07:00</v>
      </c>
      <c r="C3" s="4" t="str">
        <f>Config!$B$2</f>
        <v>Mae Na Rua</v>
      </c>
      <c r="D3" s="7">
        <v>489.524</v>
      </c>
      <c r="E3" s="7">
        <v>1619451.3170382001</v>
      </c>
      <c r="F3" s="7">
        <v>17695.812745538056</v>
      </c>
      <c r="G3" s="7">
        <v>15019.2</v>
      </c>
      <c r="H3" s="7">
        <v>0</v>
      </c>
      <c r="I3">
        <v>3.8</v>
      </c>
      <c r="J3" s="7">
        <v>1141.7811467934062</v>
      </c>
      <c r="K3" s="7">
        <v>814.37685683131394</v>
      </c>
      <c r="L3" s="7">
        <v>0</v>
      </c>
    </row>
    <row r="4" spans="1:27">
      <c r="A4" s="6">
        <v>45841</v>
      </c>
      <c r="B4" s="4" t="str">
        <f>Config!$B$3</f>
        <v>07:00</v>
      </c>
      <c r="C4" s="4" t="str">
        <f>Config!$B$2</f>
        <v>Mae Na Rua</v>
      </c>
      <c r="D4" s="7">
        <v>489.524</v>
      </c>
      <c r="E4" s="7">
        <v>1619451.3170382001</v>
      </c>
      <c r="F4" s="7">
        <v>16246.517975131314</v>
      </c>
      <c r="G4" s="7">
        <v>15019.2</v>
      </c>
      <c r="H4" s="7">
        <v>412.94111830000003</v>
      </c>
      <c r="I4">
        <v>0</v>
      </c>
      <c r="J4" s="7">
        <v>0</v>
      </c>
      <c r="K4" s="7">
        <v>814.37685683131394</v>
      </c>
      <c r="L4" s="7">
        <v>0</v>
      </c>
    </row>
    <row r="5" spans="1:27">
      <c r="A5" s="6">
        <v>45842</v>
      </c>
      <c r="B5" s="4" t="str">
        <f>Config!$B$3</f>
        <v>07:00</v>
      </c>
      <c r="C5" s="4" t="str">
        <f>Config!$B$2</f>
        <v>Mae Na Rua</v>
      </c>
      <c r="D5" s="7">
        <v>489.55700000000002</v>
      </c>
      <c r="E5" s="7">
        <v>1628472.3057532001</v>
      </c>
      <c r="F5" s="7">
        <v>21645.220712065402</v>
      </c>
      <c r="G5" s="7">
        <v>15019.2</v>
      </c>
      <c r="H5" s="7">
        <v>5877.4745650000004</v>
      </c>
      <c r="I5">
        <v>30.2</v>
      </c>
      <c r="J5" s="7">
        <v>9088.0680374667263</v>
      </c>
      <c r="K5" s="7">
        <v>815.62546953214246</v>
      </c>
      <c r="L5" s="7">
        <v>0</v>
      </c>
    </row>
    <row r="6" spans="1:27">
      <c r="A6" s="6">
        <v>45843</v>
      </c>
      <c r="B6" s="4" t="str">
        <f>Config!$B$3</f>
        <v>07:00</v>
      </c>
      <c r="C6" s="4" t="str">
        <f>Config!$B$2</f>
        <v>Mae Na Rua</v>
      </c>
      <c r="D6" s="7">
        <v>489.55700000000002</v>
      </c>
      <c r="E6" s="7">
        <v>1628472.3057532001</v>
      </c>
      <c r="F6" s="7">
        <v>22384.726030446494</v>
      </c>
      <c r="G6" s="7">
        <v>15019.2</v>
      </c>
      <c r="H6" s="7">
        <v>6670.2723230000001</v>
      </c>
      <c r="I6">
        <v>0.4</v>
      </c>
      <c r="J6" s="7">
        <v>120.37176208565201</v>
      </c>
      <c r="K6" s="7">
        <v>815.62546953214246</v>
      </c>
      <c r="L6" s="7">
        <v>0</v>
      </c>
    </row>
    <row r="7" spans="1:27">
      <c r="A7" s="6">
        <v>45844</v>
      </c>
      <c r="B7" s="4" t="str">
        <f>Config!$B$3</f>
        <v>07:00</v>
      </c>
      <c r="C7" s="4" t="str">
        <f>Config!$B$2</f>
        <v>Mae Na Rua</v>
      </c>
      <c r="D7" s="7">
        <v>489.577</v>
      </c>
      <c r="E7" s="7">
        <v>1634494.0165122999</v>
      </c>
      <c r="F7" s="7">
        <v>41409.761774343926</v>
      </c>
      <c r="G7" s="7">
        <v>15019.2</v>
      </c>
      <c r="H7" s="7">
        <v>24733.703730000001</v>
      </c>
      <c r="I7">
        <v>17.2</v>
      </c>
      <c r="J7" s="7">
        <v>5181.3185111232642</v>
      </c>
      <c r="K7" s="7">
        <v>816.46579636738136</v>
      </c>
      <c r="L7" s="7">
        <v>0</v>
      </c>
    </row>
    <row r="8" spans="1:27">
      <c r="A8" s="6">
        <v>45845</v>
      </c>
      <c r="B8" s="4" t="str">
        <f>Config!$B$3</f>
        <v>07:00</v>
      </c>
      <c r="C8" s="4" t="str">
        <f>Config!$B$2</f>
        <v>Mae Na Rua</v>
      </c>
      <c r="D8" s="7">
        <v>489.577</v>
      </c>
      <c r="E8" s="7">
        <v>1634494.0165122999</v>
      </c>
      <c r="F8" s="7">
        <v>41376.630786367386</v>
      </c>
      <c r="G8" s="7">
        <v>15019.2</v>
      </c>
      <c r="H8" s="7">
        <v>25540.96499</v>
      </c>
      <c r="I8">
        <v>0</v>
      </c>
      <c r="J8" s="7">
        <v>0</v>
      </c>
      <c r="K8" s="7">
        <v>816.46579636738136</v>
      </c>
      <c r="L8" s="7">
        <v>0</v>
      </c>
    </row>
    <row r="9" spans="1:27">
      <c r="A9" s="6">
        <v>45846</v>
      </c>
      <c r="B9" s="4" t="str">
        <f>Config!$B$3</f>
        <v>07:00</v>
      </c>
      <c r="C9" s="4" t="str">
        <f>Config!$B$2</f>
        <v>Mae Na Rua</v>
      </c>
      <c r="D9" s="7">
        <v>489.577</v>
      </c>
      <c r="E9" s="7">
        <v>1634494.0165122999</v>
      </c>
      <c r="F9" s="7">
        <v>38399.784596367383</v>
      </c>
      <c r="G9" s="7">
        <v>15019.2</v>
      </c>
      <c r="H9" s="7">
        <v>22564.1188</v>
      </c>
      <c r="I9">
        <v>0</v>
      </c>
      <c r="J9" s="7">
        <v>0</v>
      </c>
      <c r="K9" s="7">
        <v>816.46579636738136</v>
      </c>
      <c r="L9" s="7">
        <v>0</v>
      </c>
    </row>
    <row r="10" spans="1:27">
      <c r="A10" s="6">
        <v>45847</v>
      </c>
      <c r="B10" s="4" t="str">
        <f>Config!$B$3</f>
        <v>07:00</v>
      </c>
      <c r="C10" s="4" t="str">
        <f>Config!$B$2</f>
        <v>Mae Na Rua</v>
      </c>
      <c r="D10" s="7">
        <v>489.57</v>
      </c>
      <c r="E10" s="7">
        <v>1634494.0165122999</v>
      </c>
      <c r="F10" s="7">
        <v>33609.807666367386</v>
      </c>
      <c r="G10" s="7">
        <v>15019.2</v>
      </c>
      <c r="H10" s="7">
        <v>17774.141869999999</v>
      </c>
      <c r="I10">
        <v>0</v>
      </c>
      <c r="J10" s="7">
        <v>0</v>
      </c>
      <c r="K10" s="7">
        <v>816.46579636738136</v>
      </c>
      <c r="L10" s="7">
        <v>0</v>
      </c>
    </row>
    <row r="11" spans="1:27">
      <c r="A11" s="6">
        <v>45848</v>
      </c>
      <c r="B11" s="4" t="str">
        <f>Config!$B$3</f>
        <v>07:00</v>
      </c>
      <c r="C11" s="4" t="str">
        <f>Config!$B$2</f>
        <v>Mae Na Rua</v>
      </c>
      <c r="D11" s="7">
        <v>489.56400000000002</v>
      </c>
      <c r="E11" s="7">
        <v>1631482.3951735001</v>
      </c>
      <c r="F11" s="7">
        <v>16375.721740471887</v>
      </c>
      <c r="G11" s="7">
        <v>15019.2</v>
      </c>
      <c r="H11" s="7">
        <v>6141.4219579999999</v>
      </c>
      <c r="I11">
        <v>8.6</v>
      </c>
      <c r="J11" s="7">
        <v>2589.323794461362</v>
      </c>
      <c r="K11" s="7">
        <v>816.0449157330761</v>
      </c>
      <c r="L11" s="7">
        <v>0</v>
      </c>
    </row>
    <row r="12" spans="1:27">
      <c r="A12" s="6">
        <v>45849</v>
      </c>
      <c r="B12" s="4" t="str">
        <f>Config!$B$3</f>
        <v>07:00</v>
      </c>
      <c r="C12" s="4" t="str">
        <f>Config!$B$2</f>
        <v>Mae Na Rua</v>
      </c>
      <c r="D12" s="7">
        <v>489.54399999999998</v>
      </c>
      <c r="E12" s="7">
        <v>1625463.7590197001</v>
      </c>
      <c r="F12" s="7">
        <v>9394.6861631766424</v>
      </c>
      <c r="G12" s="7">
        <v>15019.2</v>
      </c>
      <c r="H12" s="7">
        <v>0</v>
      </c>
      <c r="I12">
        <v>1.4</v>
      </c>
      <c r="J12" s="7">
        <v>421.08536364895002</v>
      </c>
      <c r="K12" s="7">
        <v>815.20768062553987</v>
      </c>
      <c r="L12" s="7">
        <v>0</v>
      </c>
    </row>
    <row r="13" spans="1:27">
      <c r="A13" s="6">
        <v>45850</v>
      </c>
      <c r="B13" s="4" t="str">
        <f>Config!$B$3</f>
        <v>07:00</v>
      </c>
      <c r="C13" s="4" t="str">
        <f>Config!$B$2</f>
        <v>Mae Na Rua</v>
      </c>
      <c r="D13" s="7">
        <v>489.53100000000001</v>
      </c>
      <c r="E13" s="7">
        <v>1622456.7729032</v>
      </c>
      <c r="F13" s="7">
        <v>20229.444597982056</v>
      </c>
      <c r="G13" s="7">
        <v>15019.2</v>
      </c>
      <c r="H13" s="7">
        <v>8965.6721089999992</v>
      </c>
      <c r="I13">
        <v>5.2</v>
      </c>
      <c r="J13" s="7">
        <v>1563.2329104584919</v>
      </c>
      <c r="K13" s="7">
        <v>814.79151594065104</v>
      </c>
      <c r="L13" s="7">
        <v>0</v>
      </c>
    </row>
    <row r="14" spans="1:27">
      <c r="A14" s="6">
        <v>45851</v>
      </c>
      <c r="B14" s="4" t="str">
        <f>Config!$B$3</f>
        <v>07:00</v>
      </c>
      <c r="C14" s="4" t="str">
        <f>Config!$B$2</f>
        <v>Mae Na Rua</v>
      </c>
      <c r="D14" s="7">
        <v>489.589</v>
      </c>
      <c r="E14" s="7">
        <v>1637507.2197397</v>
      </c>
      <c r="F14" s="7">
        <v>62078.747450664108</v>
      </c>
      <c r="G14" s="7">
        <v>15019.2</v>
      </c>
      <c r="H14" s="7">
        <v>40716.28976</v>
      </c>
      <c r="I14">
        <v>31.6</v>
      </c>
      <c r="J14" s="7">
        <v>9524.0760304348369</v>
      </c>
      <c r="K14" s="7">
        <v>816.88688459898458</v>
      </c>
      <c r="L14" s="7">
        <v>0</v>
      </c>
    </row>
    <row r="15" spans="1:27">
      <c r="A15" s="6">
        <v>45852</v>
      </c>
      <c r="B15" s="4" t="str">
        <f>Config!$B$3</f>
        <v>07:00</v>
      </c>
      <c r="C15" s="4" t="str">
        <f>Config!$B$2</f>
        <v>Mae Na Rua</v>
      </c>
      <c r="D15" s="7">
        <v>489.58300000000003</v>
      </c>
      <c r="E15" s="7">
        <v>1637507.2197397</v>
      </c>
      <c r="F15" s="7">
        <v>48074.294514598987</v>
      </c>
      <c r="G15" s="7">
        <v>15019.2</v>
      </c>
      <c r="H15" s="7">
        <v>32238.207630000001</v>
      </c>
      <c r="I15">
        <v>0</v>
      </c>
      <c r="J15" s="7">
        <v>0</v>
      </c>
      <c r="K15" s="7">
        <v>816.88688459898458</v>
      </c>
      <c r="L15" s="7">
        <v>0</v>
      </c>
    </row>
    <row r="16" spans="1:27">
      <c r="A16" s="6">
        <v>45853</v>
      </c>
      <c r="B16" s="4" t="str">
        <f>Config!$B$3</f>
        <v>07:00</v>
      </c>
      <c r="C16" s="4" t="str">
        <f>Config!$B$2</f>
        <v>Mae Na Rua</v>
      </c>
      <c r="D16" s="7">
        <v>489.57</v>
      </c>
      <c r="E16" s="7">
        <v>1634494.0165122999</v>
      </c>
      <c r="F16" s="7">
        <v>37913.4925589673</v>
      </c>
      <c r="G16" s="7">
        <v>15019.2</v>
      </c>
      <c r="H16" s="7">
        <v>25091.029989999999</v>
      </c>
      <c r="I16">
        <v>0</v>
      </c>
      <c r="J16" s="7">
        <v>0</v>
      </c>
      <c r="K16" s="7">
        <v>816.46579636738136</v>
      </c>
      <c r="L16" s="7">
        <v>0</v>
      </c>
    </row>
    <row r="17" spans="1:12">
      <c r="A17" s="6">
        <v>45854</v>
      </c>
      <c r="B17" s="4" t="str">
        <f>Config!$B$3</f>
        <v>07:00</v>
      </c>
      <c r="C17" s="4" t="str">
        <f>Config!$B$2</f>
        <v>Mae Na Rua</v>
      </c>
      <c r="D17" s="7">
        <v>489.85300000000001</v>
      </c>
      <c r="E17" s="7">
        <v>1719668.7023854</v>
      </c>
      <c r="F17" s="7">
        <v>783596.62376326253</v>
      </c>
      <c r="G17" s="7">
        <v>15019.2</v>
      </c>
      <c r="H17" s="7">
        <v>706792.15720000002</v>
      </c>
      <c r="I17">
        <v>78.8</v>
      </c>
      <c r="J17" s="7">
        <v>24222.563237196569</v>
      </c>
      <c r="K17" s="7">
        <v>833.14392735897047</v>
      </c>
      <c r="L17" s="7">
        <v>0</v>
      </c>
    </row>
    <row r="18" spans="1:12">
      <c r="A18" s="6">
        <v>45855</v>
      </c>
      <c r="B18" s="4" t="str">
        <f>Config!$B$3</f>
        <v>07:00</v>
      </c>
      <c r="C18" s="4" t="str">
        <f>Config!$B$2</f>
        <v>Mae Na Rua</v>
      </c>
      <c r="D18" s="7">
        <v>489.76299999999998</v>
      </c>
      <c r="E18" s="7">
        <v>1692113.6615758</v>
      </c>
      <c r="F18" s="7">
        <v>420736.40525566263</v>
      </c>
      <c r="G18" s="7">
        <v>15019.2</v>
      </c>
      <c r="H18" s="7">
        <v>433726.34600000002</v>
      </c>
      <c r="I18">
        <v>4.2</v>
      </c>
      <c r="J18" s="7">
        <v>1280.3181425066762</v>
      </c>
      <c r="K18" s="7">
        <v>826.21820776922743</v>
      </c>
      <c r="L18" s="7">
        <v>0</v>
      </c>
    </row>
    <row r="19" spans="1:12">
      <c r="A19" s="6">
        <v>45856</v>
      </c>
      <c r="B19" s="4" t="str">
        <f>Config!$B$3</f>
        <v>07:00</v>
      </c>
      <c r="C19" s="4" t="str">
        <f>Config!$B$2</f>
        <v>Mae Na Rua</v>
      </c>
      <c r="D19" s="7">
        <v>489.69799999999998</v>
      </c>
      <c r="E19" s="7">
        <v>1670813.4823932</v>
      </c>
      <c r="F19" s="7">
        <v>246843.56846525046</v>
      </c>
      <c r="G19" s="7">
        <v>15019.2</v>
      </c>
      <c r="H19" s="7">
        <v>253577.02410000001</v>
      </c>
      <c r="I19">
        <v>4.2</v>
      </c>
      <c r="J19" s="7">
        <v>1275.7407927818401</v>
      </c>
      <c r="K19" s="7">
        <v>823.26434063228089</v>
      </c>
      <c r="L19" s="7">
        <v>0</v>
      </c>
    </row>
    <row r="20" spans="1:12">
      <c r="A20" s="6">
        <v>45857</v>
      </c>
      <c r="B20" s="4" t="str">
        <f>Config!$B$3</f>
        <v>07:00</v>
      </c>
      <c r="C20" s="4" t="str">
        <f>Config!$B$2</f>
        <v>Mae Na Rua</v>
      </c>
      <c r="D20" s="7">
        <v>489.64800000000002</v>
      </c>
      <c r="E20" s="7">
        <v>1655645.1614623</v>
      </c>
      <c r="F20" s="7">
        <v>142399.4812738132</v>
      </c>
      <c r="G20" s="7">
        <v>15019.2</v>
      </c>
      <c r="H20" s="7">
        <v>141727.3849</v>
      </c>
      <c r="I20">
        <v>0</v>
      </c>
      <c r="J20" s="7">
        <v>0</v>
      </c>
      <c r="K20" s="7">
        <v>821.21730471323463</v>
      </c>
      <c r="L20" s="7">
        <v>0</v>
      </c>
    </row>
    <row r="21" spans="1:12">
      <c r="A21" s="6">
        <v>45858</v>
      </c>
      <c r="B21" s="4" t="str">
        <f>Config!$B$3</f>
        <v>07:00</v>
      </c>
      <c r="C21" s="4" t="str">
        <f>Config!$B$2</f>
        <v>Mae Na Rua</v>
      </c>
      <c r="D21" s="7">
        <v>489.608</v>
      </c>
      <c r="E21" s="7">
        <v>1643538.2164867001</v>
      </c>
      <c r="F21" s="7">
        <v>99328.010588255012</v>
      </c>
      <c r="G21" s="7">
        <v>15019.2</v>
      </c>
      <c r="H21" s="7">
        <v>95597.933390000006</v>
      </c>
      <c r="I21">
        <v>0</v>
      </c>
      <c r="J21" s="7">
        <v>0</v>
      </c>
      <c r="K21" s="7">
        <v>817.82217385488468</v>
      </c>
      <c r="L21" s="7">
        <v>0</v>
      </c>
    </row>
    <row r="22" spans="1:12">
      <c r="A22" s="6">
        <v>45859</v>
      </c>
      <c r="B22" s="4" t="str">
        <f>Config!$B$3</f>
        <v>07:00</v>
      </c>
      <c r="C22" s="4" t="str">
        <f>Config!$B$2</f>
        <v>Mae Na Rua</v>
      </c>
      <c r="D22" s="7">
        <v>489.608</v>
      </c>
      <c r="E22" s="7">
        <v>1643538.2164867001</v>
      </c>
      <c r="F22" s="7">
        <v>81419.738400219037</v>
      </c>
      <c r="G22" s="7">
        <v>15019.2</v>
      </c>
      <c r="H22" s="7">
        <v>71557.166070000007</v>
      </c>
      <c r="I22">
        <v>19.8</v>
      </c>
      <c r="J22" s="7">
        <v>5974.4498436358563</v>
      </c>
      <c r="K22" s="7">
        <v>817.82217385488468</v>
      </c>
      <c r="L22" s="7">
        <v>0</v>
      </c>
    </row>
    <row r="23" spans="1:12">
      <c r="A23" s="6">
        <v>45860</v>
      </c>
      <c r="B23" s="4" t="str">
        <f>Config!$B$3</f>
        <v>07:00</v>
      </c>
      <c r="C23" s="4" t="str">
        <f>Config!$B$2</f>
        <v>Mae Na Rua</v>
      </c>
      <c r="D23" s="7">
        <v>489.589</v>
      </c>
      <c r="E23" s="7">
        <v>1637507.2197397</v>
      </c>
      <c r="F23" s="7">
        <v>53890.844217598838</v>
      </c>
      <c r="G23" s="7">
        <v>15019.2</v>
      </c>
      <c r="H23" s="7">
        <v>44085.754079999999</v>
      </c>
      <c r="I23">
        <v>0</v>
      </c>
      <c r="J23" s="7">
        <v>0</v>
      </c>
      <c r="K23" s="7">
        <v>816.88688459898458</v>
      </c>
      <c r="L23" s="7">
        <v>0</v>
      </c>
    </row>
    <row r="24" spans="1:12">
      <c r="A24" s="6">
        <v>45861</v>
      </c>
      <c r="B24" s="4" t="str">
        <f>Config!$B$3</f>
        <v>07:00</v>
      </c>
      <c r="C24" s="4" t="str">
        <f>Config!$B$2</f>
        <v>Mae Na Rua</v>
      </c>
      <c r="D24" s="7">
        <v>489.80099999999999</v>
      </c>
      <c r="E24" s="7">
        <v>1704320.2680112</v>
      </c>
      <c r="F24" s="7">
        <v>1407917.4636137555</v>
      </c>
      <c r="G24" s="7">
        <v>15019.2</v>
      </c>
      <c r="H24" s="7">
        <v>1343213.8</v>
      </c>
      <c r="I24">
        <v>58.6</v>
      </c>
      <c r="J24" s="7">
        <v>17959.231232318467</v>
      </c>
      <c r="K24" s="7">
        <v>830.64657457372562</v>
      </c>
      <c r="L24" s="7">
        <v>0</v>
      </c>
    </row>
    <row r="25" spans="1:12">
      <c r="A25" s="6">
        <v>45862</v>
      </c>
      <c r="B25" s="4" t="str">
        <f>Config!$B$3</f>
        <v>07:00</v>
      </c>
      <c r="C25" s="4" t="str">
        <f>Config!$B$2</f>
        <v>Mae Na Rua</v>
      </c>
      <c r="D25" s="7">
        <v>489.94299999999998</v>
      </c>
      <c r="E25" s="7">
        <v>1747400.294549</v>
      </c>
      <c r="F25" s="7">
        <v>1122921.6352246474</v>
      </c>
      <c r="G25" s="7">
        <v>15019.2</v>
      </c>
      <c r="H25" s="7">
        <v>1076278.5260000001</v>
      </c>
      <c r="I25">
        <v>39.799999999999997</v>
      </c>
      <c r="J25" s="7">
        <v>12293.282048957022</v>
      </c>
      <c r="K25" s="7">
        <v>837.164735804359</v>
      </c>
      <c r="L25" s="7">
        <v>0</v>
      </c>
    </row>
    <row r="26" spans="1:12">
      <c r="A26" s="6">
        <v>45863</v>
      </c>
      <c r="B26" s="4" t="str">
        <f>Config!$B$3</f>
        <v>07:00</v>
      </c>
      <c r="C26" s="4" t="str">
        <f>Config!$B$2</f>
        <v>Mae Na Rua</v>
      </c>
      <c r="D26" s="7">
        <v>489.82098000000002</v>
      </c>
      <c r="E26" s="7">
        <v>1710454.4363392999</v>
      </c>
      <c r="F26" s="7">
        <v>618339.96116878954</v>
      </c>
      <c r="G26" s="7">
        <v>15019.2</v>
      </c>
      <c r="H26" s="7">
        <v>642135.51919999998</v>
      </c>
      <c r="I26">
        <v>8.8000000000000007</v>
      </c>
      <c r="J26" s="7">
        <v>2700.7022566494084</v>
      </c>
      <c r="K26" s="7">
        <v>831.80243513907601</v>
      </c>
      <c r="L26" s="7">
        <v>0</v>
      </c>
    </row>
    <row r="27" spans="1:12">
      <c r="A27" s="6">
        <v>45864</v>
      </c>
      <c r="B27" s="4" t="str">
        <f>Config!$B$3</f>
        <v>07:00</v>
      </c>
      <c r="C27" s="4" t="str">
        <f>Config!$B$2</f>
        <v>Mae Na Rua</v>
      </c>
      <c r="D27" s="7">
        <v>489.76900000000001</v>
      </c>
      <c r="E27" s="7">
        <v>1692113.6615758</v>
      </c>
      <c r="F27" s="7">
        <v>482245.1187264027</v>
      </c>
      <c r="G27" s="7">
        <v>15019.2</v>
      </c>
      <c r="H27" s="7">
        <v>486569.5012</v>
      </c>
      <c r="I27">
        <v>6</v>
      </c>
      <c r="J27" s="7">
        <v>1829.0259178666799</v>
      </c>
      <c r="K27" s="7">
        <v>826.21820776922743</v>
      </c>
      <c r="L27" s="7">
        <v>0</v>
      </c>
    </row>
    <row r="28" spans="1:12">
      <c r="A28" s="6">
        <v>45865</v>
      </c>
      <c r="B28" s="4" t="str">
        <f>Config!$B$3</f>
        <v>07:00</v>
      </c>
      <c r="C28" s="4" t="str">
        <f>Config!$B$2</f>
        <v>Mae Na Rua</v>
      </c>
      <c r="D28" s="7">
        <v>489.73</v>
      </c>
      <c r="E28" s="7">
        <v>1682975.6527668999</v>
      </c>
      <c r="F28" s="7">
        <v>569142.47170705406</v>
      </c>
      <c r="G28" s="7">
        <v>15019.2</v>
      </c>
      <c r="H28" s="7">
        <v>562436.34149999998</v>
      </c>
      <c r="I28">
        <v>0</v>
      </c>
      <c r="J28" s="7">
        <v>0</v>
      </c>
      <c r="K28" s="7">
        <v>824.93901595426905</v>
      </c>
      <c r="L28" s="7">
        <v>0</v>
      </c>
    </row>
    <row r="29" spans="1:12">
      <c r="A29" s="6">
        <v>45866</v>
      </c>
      <c r="B29" s="4" t="str">
        <f>Config!$B$3</f>
        <v>07:00</v>
      </c>
      <c r="C29" s="4" t="str">
        <f>Config!$B$2</f>
        <v>Mae Na Rua</v>
      </c>
      <c r="D29" s="7">
        <v>489.911</v>
      </c>
      <c r="E29" s="7">
        <v>1738141.5165156999</v>
      </c>
      <c r="F29" s="7">
        <v>1013546.0593323153</v>
      </c>
      <c r="G29" s="7">
        <v>15019.2</v>
      </c>
      <c r="H29" s="7">
        <v>958067.44099999999</v>
      </c>
      <c r="I29">
        <v>50.4</v>
      </c>
      <c r="J29" s="7">
        <v>15542.259676791624</v>
      </c>
      <c r="K29" s="7">
        <v>835.81426030703346</v>
      </c>
      <c r="L29" s="7">
        <v>0</v>
      </c>
    </row>
    <row r="30" spans="1:12">
      <c r="A30" s="6">
        <v>45867</v>
      </c>
      <c r="B30" s="4" t="str">
        <f>Config!$B$3</f>
        <v>07:00</v>
      </c>
      <c r="C30" s="4" t="str">
        <f>Config!$B$2</f>
        <v>Mae Na Rua</v>
      </c>
      <c r="D30" s="7">
        <v>489.82</v>
      </c>
      <c r="E30" s="7">
        <v>1710454.4363392999</v>
      </c>
      <c r="F30" s="7">
        <v>692861.00746525498</v>
      </c>
      <c r="G30" s="7">
        <v>15019.2</v>
      </c>
      <c r="H30" s="7">
        <v>704819.84439999994</v>
      </c>
      <c r="I30">
        <v>0.4</v>
      </c>
      <c r="J30" s="7">
        <v>122.75919348406401</v>
      </c>
      <c r="K30" s="7">
        <v>831.80243513907601</v>
      </c>
      <c r="L30" s="7">
        <v>0</v>
      </c>
    </row>
    <row r="31" spans="1:12">
      <c r="A31" s="6">
        <v>45868</v>
      </c>
      <c r="B31" s="4" t="str">
        <f>Config!$B$3</f>
        <v>07:00</v>
      </c>
      <c r="C31" s="4" t="str">
        <f>Config!$B$2</f>
        <v>Mae Na Rua</v>
      </c>
      <c r="D31" s="7">
        <v>489.86</v>
      </c>
      <c r="E31" s="7">
        <v>1722743.3880805001</v>
      </c>
      <c r="F31" s="7">
        <v>813878.43053686991</v>
      </c>
      <c r="G31" s="7">
        <v>15019.2</v>
      </c>
      <c r="H31" s="7">
        <v>793364.09120000002</v>
      </c>
      <c r="I31">
        <v>24.8</v>
      </c>
      <c r="J31" s="7">
        <v>7627.3994623800636</v>
      </c>
      <c r="K31" s="7">
        <v>833.58705804973374</v>
      </c>
      <c r="L31" s="7">
        <v>0</v>
      </c>
    </row>
    <row r="32" spans="1:12">
      <c r="A32" s="6">
        <v>45869</v>
      </c>
      <c r="B32" s="4" t="str">
        <f>Config!$B$3</f>
        <v>07:00</v>
      </c>
      <c r="C32" s="4" t="str">
        <f>Config!$B$2</f>
        <v>Mae Na Rua</v>
      </c>
      <c r="D32" s="7">
        <v>489.78899999999999</v>
      </c>
      <c r="E32" s="7">
        <v>1698213.6426939999</v>
      </c>
      <c r="F32" s="7">
        <v>523960.10982635699</v>
      </c>
      <c r="G32" s="7">
        <v>15019.2</v>
      </c>
      <c r="H32" s="7">
        <v>532765.63459999999</v>
      </c>
      <c r="I32">
        <v>0.4</v>
      </c>
      <c r="J32" s="7">
        <v>122.06274136675601</v>
      </c>
      <c r="K32" s="7">
        <v>827.08335422388768</v>
      </c>
      <c r="L32" s="7">
        <v>0</v>
      </c>
    </row>
    <row r="33" spans="1:12">
      <c r="A33" s="6">
        <v>45870</v>
      </c>
      <c r="B33" s="4" t="str">
        <f>Config!$B$3</f>
        <v>07:00</v>
      </c>
      <c r="C33" s="4" t="str">
        <f>Config!$B$2</f>
        <v>Mae Na Rua</v>
      </c>
      <c r="D33" s="7">
        <v>489.73599999999999</v>
      </c>
      <c r="E33" s="7">
        <v>1682975.6527668999</v>
      </c>
      <c r="F33" s="7">
        <v>376449.80174154462</v>
      </c>
      <c r="G33" s="7">
        <v>15019.2</v>
      </c>
      <c r="H33" s="7">
        <v>376292.07880000002</v>
      </c>
      <c r="I33">
        <v>1.6</v>
      </c>
      <c r="J33" s="7">
        <v>486.98510124054405</v>
      </c>
      <c r="K33" s="7">
        <v>863.49527588514843</v>
      </c>
      <c r="L33" s="7">
        <v>0</v>
      </c>
    </row>
    <row r="34" spans="1:12">
      <c r="A34" s="6">
        <v>45871</v>
      </c>
      <c r="B34" s="4" t="str">
        <f>Config!$B$3</f>
        <v>07:00</v>
      </c>
      <c r="C34" s="4" t="str">
        <f>Config!$B$2</f>
        <v>Mae Na Rua</v>
      </c>
      <c r="D34" s="7">
        <v>489.70400000000001</v>
      </c>
      <c r="E34" s="7">
        <v>1673851.7406957999</v>
      </c>
      <c r="F34" s="7">
        <v>279106.45961991127</v>
      </c>
      <c r="G34" s="7">
        <v>15019.2</v>
      </c>
      <c r="H34" s="7">
        <v>272348.99449999997</v>
      </c>
      <c r="I34">
        <v>0</v>
      </c>
      <c r="J34" s="7">
        <v>0</v>
      </c>
      <c r="K34" s="7">
        <v>862.17719101123146</v>
      </c>
      <c r="L34" s="7">
        <v>0</v>
      </c>
    </row>
    <row r="35" spans="1:12">
      <c r="A35" s="6">
        <v>45872</v>
      </c>
      <c r="B35" s="4" t="str">
        <f>Config!$B$3</f>
        <v>07:00</v>
      </c>
      <c r="C35" s="4" t="str">
        <f>Config!$B$2</f>
        <v>Mae Na Rua</v>
      </c>
      <c r="D35" s="7">
        <v>489.66</v>
      </c>
      <c r="E35" s="7">
        <v>1661708.0167959</v>
      </c>
      <c r="F35" s="7">
        <v>176815.45815023186</v>
      </c>
      <c r="G35" s="7">
        <v>15019.2</v>
      </c>
      <c r="H35" s="7">
        <v>173079.52970000001</v>
      </c>
      <c r="I35">
        <v>0</v>
      </c>
      <c r="J35" s="7">
        <v>0</v>
      </c>
      <c r="K35" s="7">
        <v>860.45235013182912</v>
      </c>
      <c r="L35" s="7">
        <v>0</v>
      </c>
    </row>
    <row r="36" spans="1:12">
      <c r="A36" s="6">
        <v>45873</v>
      </c>
      <c r="B36" s="4" t="str">
        <f>Config!$B$3</f>
        <v>07:00</v>
      </c>
      <c r="C36" s="4" t="str">
        <f>Config!$B$2</f>
        <v>Mae Na Rua</v>
      </c>
      <c r="D36" s="7">
        <v>489.62</v>
      </c>
      <c r="E36" s="7">
        <v>1649588.4715396999</v>
      </c>
      <c r="F36" s="7">
        <v>95627.562866258872</v>
      </c>
      <c r="G36" s="7">
        <v>15019.2</v>
      </c>
      <c r="H36" s="7">
        <v>91869.173120000007</v>
      </c>
      <c r="I36">
        <v>0</v>
      </c>
      <c r="J36" s="7">
        <v>0</v>
      </c>
      <c r="K36" s="7">
        <v>858.7350024588801</v>
      </c>
      <c r="L36" s="7">
        <v>0</v>
      </c>
    </row>
    <row r="37" spans="1:12">
      <c r="A37" s="6">
        <v>45874</v>
      </c>
      <c r="B37" s="4" t="str">
        <f>Config!$B$3</f>
        <v>07:00</v>
      </c>
      <c r="C37" s="4" t="str">
        <f>Config!$B$2</f>
        <v>Mae Na Rua</v>
      </c>
      <c r="D37" s="7">
        <v>489.58300000000003</v>
      </c>
      <c r="E37" s="7">
        <v>1637507.2197397</v>
      </c>
      <c r="F37" s="7">
        <v>31783.878141474797</v>
      </c>
      <c r="G37" s="7">
        <v>15019.2</v>
      </c>
      <c r="H37" s="7">
        <v>27990.863140000001</v>
      </c>
      <c r="I37">
        <v>0</v>
      </c>
      <c r="J37" s="7">
        <v>0</v>
      </c>
      <c r="K37" s="7">
        <v>855.06680147476811</v>
      </c>
      <c r="L37" s="7">
        <v>0</v>
      </c>
    </row>
    <row r="38" spans="1:12">
      <c r="A38" s="6">
        <v>45875</v>
      </c>
      <c r="B38" s="4" t="str">
        <f>Config!$B$3</f>
        <v>07:00</v>
      </c>
      <c r="C38" s="4" t="str">
        <f>Config!$B$2</f>
        <v>Mae Na Rua</v>
      </c>
      <c r="D38" s="7">
        <v>489.55099999999999</v>
      </c>
      <c r="E38" s="7">
        <v>1628472.3057532001</v>
      </c>
      <c r="F38" s="7">
        <v>7635.1242850645058</v>
      </c>
      <c r="G38" s="7">
        <v>15019.2</v>
      </c>
      <c r="H38" s="7">
        <v>1398.950652</v>
      </c>
      <c r="I38">
        <v>2</v>
      </c>
      <c r="J38" s="7">
        <v>601.85881042825997</v>
      </c>
      <c r="K38" s="7">
        <v>853.74642999265495</v>
      </c>
      <c r="L38" s="7">
        <v>0</v>
      </c>
    </row>
    <row r="39" spans="1:12">
      <c r="A39" s="6">
        <v>45876</v>
      </c>
      <c r="B39" s="4" t="str">
        <f>Config!$B$3</f>
        <v>07:00</v>
      </c>
      <c r="C39" s="4" t="str">
        <f>Config!$B$2</f>
        <v>Mae Na Rua</v>
      </c>
      <c r="D39" s="7">
        <v>489.517</v>
      </c>
      <c r="E39" s="7">
        <v>1616447.3000027</v>
      </c>
      <c r="F39" s="7">
        <v>3846.2012694066034</v>
      </c>
      <c r="G39" s="7">
        <v>15019.2</v>
      </c>
      <c r="H39" s="7">
        <v>0</v>
      </c>
      <c r="I39">
        <v>0</v>
      </c>
      <c r="J39" s="7">
        <v>0</v>
      </c>
      <c r="K39" s="7">
        <v>852.00701990673565</v>
      </c>
      <c r="L39" s="7">
        <v>0</v>
      </c>
    </row>
    <row r="40" spans="1:12">
      <c r="A40" s="6">
        <v>45877</v>
      </c>
      <c r="B40" s="4" t="str">
        <f>Config!$B$3</f>
        <v>07:00</v>
      </c>
      <c r="C40" s="4" t="str">
        <f>Config!$B$2</f>
        <v>Mae Na Rua</v>
      </c>
      <c r="D40" s="7">
        <v>489.48599999999999</v>
      </c>
      <c r="E40" s="7">
        <v>1607444.5930314001</v>
      </c>
      <c r="F40" s="7">
        <v>6447.4052380911789</v>
      </c>
      <c r="G40" s="7">
        <v>15019.2</v>
      </c>
      <c r="H40" s="7">
        <v>0</v>
      </c>
      <c r="I40">
        <v>1.4</v>
      </c>
      <c r="J40" s="7">
        <v>419.80762071406201</v>
      </c>
      <c r="K40" s="7">
        <v>850.71983010507654</v>
      </c>
      <c r="L40" s="7">
        <v>0</v>
      </c>
    </row>
    <row r="41" spans="1:12">
      <c r="A41" s="6">
        <v>45878</v>
      </c>
      <c r="B41" s="4" t="str">
        <f>Config!$B$3</f>
        <v>07:00</v>
      </c>
      <c r="C41" s="4" t="str">
        <f>Config!$B$2</f>
        <v>Mae Na Rua</v>
      </c>
      <c r="D41" s="7">
        <v>489.45400000000001</v>
      </c>
      <c r="E41" s="7">
        <v>1598455.4724355999</v>
      </c>
      <c r="F41" s="7">
        <v>5801.6363530791823</v>
      </c>
      <c r="G41" s="7">
        <v>15019.2</v>
      </c>
      <c r="H41" s="7">
        <v>0</v>
      </c>
      <c r="I41">
        <v>3.6</v>
      </c>
      <c r="J41" s="7">
        <v>1077.8895867181679</v>
      </c>
      <c r="K41" s="7">
        <v>849.44653559757546</v>
      </c>
      <c r="L41" s="7">
        <v>0</v>
      </c>
    </row>
    <row r="42" spans="1:12">
      <c r="A42" s="6">
        <v>45879</v>
      </c>
      <c r="B42" s="4" t="str">
        <f>Config!$B$3</f>
        <v>07:00</v>
      </c>
      <c r="C42" s="4" t="str">
        <f>Config!$B$2</f>
        <v>Mae Na Rua</v>
      </c>
      <c r="D42" s="7">
        <v>489.42099999999999</v>
      </c>
      <c r="E42" s="7">
        <v>1589479.7778056001</v>
      </c>
      <c r="F42" s="7">
        <v>6831.8853462880434</v>
      </c>
      <c r="G42" s="7">
        <v>15019.2</v>
      </c>
      <c r="H42" s="7">
        <v>0</v>
      </c>
      <c r="I42">
        <v>0.2</v>
      </c>
      <c r="J42" s="7">
        <v>59.792971730008006</v>
      </c>
      <c r="K42" s="7">
        <v>848.1729480178617</v>
      </c>
      <c r="L42" s="7">
        <v>0</v>
      </c>
    </row>
    <row r="43" spans="1:12">
      <c r="A43" s="6">
        <v>45880</v>
      </c>
      <c r="B43" s="4" t="str">
        <f>Config!$B$3</f>
        <v>07:00</v>
      </c>
      <c r="C43" s="4" t="str">
        <f>Config!$B$2</f>
        <v>Mae Na Rua</v>
      </c>
      <c r="D43" s="7">
        <v>489.38299999999998</v>
      </c>
      <c r="E43" s="7">
        <v>1577566.834908</v>
      </c>
      <c r="F43" s="7">
        <v>3947.8923826043183</v>
      </c>
      <c r="G43" s="7">
        <v>15019.2</v>
      </c>
      <c r="H43" s="7">
        <v>0</v>
      </c>
      <c r="I43">
        <v>0</v>
      </c>
      <c r="J43" s="7">
        <v>0</v>
      </c>
      <c r="K43" s="7">
        <v>841.63528020444096</v>
      </c>
      <c r="L43" s="7">
        <v>0</v>
      </c>
    </row>
    <row r="44" spans="1:12">
      <c r="A44" s="6">
        <v>45881</v>
      </c>
      <c r="B44" s="4" t="str">
        <f>Config!$B$3</f>
        <v>07:00</v>
      </c>
      <c r="C44" s="4" t="str">
        <f>Config!$B$2</f>
        <v>Mae Na Rua</v>
      </c>
      <c r="D44" s="7">
        <v>489.37099999999998</v>
      </c>
      <c r="E44" s="7">
        <v>1574601.0268989</v>
      </c>
      <c r="F44" s="7">
        <v>12894.535813435617</v>
      </c>
      <c r="G44" s="7">
        <v>15019.2</v>
      </c>
      <c r="H44" s="7">
        <v>0</v>
      </c>
      <c r="I44">
        <v>0</v>
      </c>
      <c r="J44" s="7">
        <v>0</v>
      </c>
      <c r="K44" s="7">
        <v>841.14382253553151</v>
      </c>
      <c r="L44" s="7">
        <v>0</v>
      </c>
    </row>
    <row r="45" spans="1:12">
      <c r="A45" s="6">
        <v>45882</v>
      </c>
      <c r="B45" s="4" t="str">
        <f>Config!$B$3</f>
        <v>07:00</v>
      </c>
      <c r="C45" s="4" t="str">
        <f>Config!$B$2</f>
        <v>Mae Na Rua</v>
      </c>
      <c r="D45" s="7">
        <v>489.49200000000002</v>
      </c>
      <c r="E45" s="7">
        <v>1610444.0173448001</v>
      </c>
      <c r="F45" s="7">
        <v>57986.6924778705</v>
      </c>
      <c r="G45" s="7">
        <v>15019.2</v>
      </c>
      <c r="H45" s="7">
        <v>14373.71314</v>
      </c>
      <c r="I45">
        <v>27</v>
      </c>
      <c r="J45" s="7">
        <v>8100.3584496412795</v>
      </c>
      <c r="K45" s="7">
        <v>851.14734161176966</v>
      </c>
      <c r="L45" s="7">
        <v>0</v>
      </c>
    </row>
    <row r="46" spans="1:12">
      <c r="A46" s="6">
        <v>45883</v>
      </c>
      <c r="B46" s="4" t="str">
        <f>Config!$B$3</f>
        <v>07:00</v>
      </c>
      <c r="C46" s="4" t="str">
        <f>Config!$B$2</f>
        <v>Mae Na Rua</v>
      </c>
      <c r="D46" s="7">
        <v>489.60199999999998</v>
      </c>
      <c r="E46" s="7">
        <v>1643538.2164867001</v>
      </c>
      <c r="F46" s="7">
        <v>98688.858359799415</v>
      </c>
      <c r="G46" s="7">
        <v>15019.2</v>
      </c>
      <c r="H46" s="7">
        <v>53219.596149999998</v>
      </c>
      <c r="I46">
        <v>11.6</v>
      </c>
      <c r="J46" s="7">
        <v>3500.1827366755515</v>
      </c>
      <c r="K46" s="7">
        <v>856.04580457492045</v>
      </c>
      <c r="L46" s="7">
        <v>0</v>
      </c>
    </row>
    <row r="47" spans="1:12">
      <c r="A47" s="6">
        <v>45884</v>
      </c>
      <c r="B47" s="4" t="str">
        <f>Config!$B$3</f>
        <v>07:00</v>
      </c>
      <c r="C47" s="4" t="str">
        <f>Config!$B$2</f>
        <v>Mae Na Rua</v>
      </c>
      <c r="D47" s="7">
        <v>489.577</v>
      </c>
      <c r="E47" s="7">
        <v>1634494.0165122999</v>
      </c>
      <c r="F47" s="7">
        <v>123882.52586460387</v>
      </c>
      <c r="G47" s="7">
        <v>15019.2</v>
      </c>
      <c r="H47" s="7">
        <v>118257.8576</v>
      </c>
      <c r="I47">
        <v>4</v>
      </c>
      <c r="J47" s="7">
        <v>1204.95779328448</v>
      </c>
      <c r="K47" s="7">
        <v>854.62603228857608</v>
      </c>
      <c r="L47" s="7">
        <v>0</v>
      </c>
    </row>
    <row r="48" spans="1:12">
      <c r="A48" s="6">
        <v>45885</v>
      </c>
      <c r="B48" s="4" t="str">
        <f>Config!$B$3</f>
        <v>07:00</v>
      </c>
      <c r="C48" s="4" t="str">
        <f>Config!$B$2</f>
        <v>Mae Na Rua</v>
      </c>
      <c r="D48" s="7">
        <v>489.69200000000001</v>
      </c>
      <c r="E48" s="7">
        <v>1670813.4823932</v>
      </c>
      <c r="F48" s="7">
        <v>677241.19359863247</v>
      </c>
      <c r="G48" s="7">
        <v>15019.2</v>
      </c>
      <c r="H48" s="7">
        <v>634821.46479999996</v>
      </c>
      <c r="I48">
        <v>32.200000000000003</v>
      </c>
      <c r="J48" s="7">
        <v>9780.6794113274391</v>
      </c>
      <c r="K48" s="7">
        <v>861.74232905973304</v>
      </c>
      <c r="L48" s="7">
        <v>0</v>
      </c>
    </row>
    <row r="49" spans="1:12">
      <c r="A49" s="6">
        <v>45886</v>
      </c>
      <c r="B49" s="4" t="str">
        <f>Config!$B$3</f>
        <v>07:00</v>
      </c>
      <c r="C49" s="4" t="str">
        <f>Config!$B$2</f>
        <v>Mae Na Rua</v>
      </c>
      <c r="D49" s="7">
        <v>489.88</v>
      </c>
      <c r="E49" s="7">
        <v>1728897.6614808999</v>
      </c>
      <c r="F49" s="7">
        <v>986251.87556389906</v>
      </c>
      <c r="G49" s="7">
        <v>15019.2</v>
      </c>
      <c r="H49" s="7">
        <v>926807.14509999997</v>
      </c>
      <c r="I49">
        <v>47.2</v>
      </c>
      <c r="J49" s="7">
        <v>14532.125505976539</v>
      </c>
      <c r="K49" s="7">
        <v>873.47688217579571</v>
      </c>
      <c r="L49" s="7">
        <v>0</v>
      </c>
    </row>
    <row r="50" spans="1:12">
      <c r="A50" s="6">
        <v>45887</v>
      </c>
      <c r="B50" s="4" t="str">
        <f>Config!$B$3</f>
        <v>07:00</v>
      </c>
      <c r="C50" s="4" t="str">
        <f>Config!$B$2</f>
        <v>Mae Na Rua</v>
      </c>
      <c r="D50" s="7">
        <v>489.83300000000003</v>
      </c>
      <c r="E50" s="7">
        <v>1713524.2337388999</v>
      </c>
      <c r="F50" s="7">
        <v>658820.49915628741</v>
      </c>
      <c r="G50" s="7">
        <v>15019.2</v>
      </c>
      <c r="H50" s="7">
        <v>661558.46109999996</v>
      </c>
      <c r="I50">
        <v>10.6</v>
      </c>
      <c r="J50" s="7">
        <v>3254.8869682477562</v>
      </c>
      <c r="K50" s="7">
        <v>871.15276653516014</v>
      </c>
      <c r="L50" s="7">
        <v>0</v>
      </c>
    </row>
    <row r="51" spans="1:12">
      <c r="A51" s="6">
        <v>45888</v>
      </c>
      <c r="B51" s="4" t="str">
        <f>Config!$B$3</f>
        <v>07:00</v>
      </c>
      <c r="C51" s="4" t="str">
        <f>Config!$B$2</f>
        <v>Mae Na Rua</v>
      </c>
      <c r="D51" s="7">
        <v>489.75700000000001</v>
      </c>
      <c r="E51" s="7">
        <v>1689066.0691295001</v>
      </c>
      <c r="F51" s="7">
        <v>412239.01187944028</v>
      </c>
      <c r="G51" s="7">
        <v>15019.2</v>
      </c>
      <c r="H51" s="7">
        <v>420813.59080000001</v>
      </c>
      <c r="I51">
        <v>0</v>
      </c>
      <c r="J51" s="7">
        <v>0</v>
      </c>
      <c r="K51" s="7">
        <v>864.38568884012807</v>
      </c>
      <c r="L51" s="7">
        <v>0</v>
      </c>
    </row>
    <row r="52" spans="1:12">
      <c r="A52" s="6">
        <v>45889</v>
      </c>
      <c r="B52" s="4" t="str">
        <f>Config!$B$3</f>
        <v>07:00</v>
      </c>
      <c r="C52" s="4" t="str">
        <f>Config!$B$2</f>
        <v>Mae Na Rua</v>
      </c>
      <c r="D52" s="7">
        <v>489.70499999999998</v>
      </c>
      <c r="E52" s="7">
        <v>1673851.7406957999</v>
      </c>
      <c r="F52" s="7">
        <v>272728.24658660253</v>
      </c>
      <c r="G52" s="7">
        <v>15019.2</v>
      </c>
      <c r="H52" s="7">
        <v>272304.3187</v>
      </c>
      <c r="I52">
        <v>0.8</v>
      </c>
      <c r="J52" s="7">
        <v>243.12087070858399</v>
      </c>
      <c r="K52" s="7">
        <v>862.17719101123146</v>
      </c>
      <c r="L52" s="7">
        <v>0</v>
      </c>
    </row>
    <row r="53" spans="1:12">
      <c r="A53" s="6">
        <v>45890</v>
      </c>
      <c r="B53" s="4" t="str">
        <f>Config!$B$3</f>
        <v>07:00</v>
      </c>
      <c r="C53" s="4" t="str">
        <f>Config!$B$2</f>
        <v>Mae Na Rua</v>
      </c>
      <c r="D53" s="7">
        <v>489.666</v>
      </c>
      <c r="E53" s="7">
        <v>1661708.0167959</v>
      </c>
      <c r="F53" s="7">
        <v>180621.98595023184</v>
      </c>
      <c r="G53" s="7">
        <v>15019.2</v>
      </c>
      <c r="H53" s="7">
        <v>176886.0575</v>
      </c>
      <c r="I53">
        <v>0</v>
      </c>
      <c r="J53" s="7">
        <v>0</v>
      </c>
      <c r="K53" s="7">
        <v>860.45235013182912</v>
      </c>
      <c r="L53" s="7">
        <v>0</v>
      </c>
    </row>
    <row r="54" spans="1:12">
      <c r="A54" s="6">
        <v>45891</v>
      </c>
      <c r="B54" s="4" t="str">
        <f>Config!$B$3</f>
        <v>07:00</v>
      </c>
      <c r="C54" s="4" t="str">
        <f>Config!$B$2</f>
        <v>Mae Na Rua</v>
      </c>
      <c r="D54" s="7">
        <v>489.654</v>
      </c>
      <c r="E54" s="7">
        <v>1658675.7961466999</v>
      </c>
      <c r="F54" s="7">
        <v>165869.35925545922</v>
      </c>
      <c r="G54" s="7">
        <v>15019.2</v>
      </c>
      <c r="H54" s="7">
        <v>157630.1244</v>
      </c>
      <c r="I54">
        <v>15.2</v>
      </c>
      <c r="J54" s="7">
        <v>4607.7703605057768</v>
      </c>
      <c r="K54" s="7">
        <v>860.0258651650297</v>
      </c>
      <c r="L54" s="7">
        <v>0</v>
      </c>
    </row>
    <row r="55" spans="1:12">
      <c r="A55" s="6">
        <v>45892</v>
      </c>
      <c r="B55" s="4" t="str">
        <f>Config!$B$3</f>
        <v>07:00</v>
      </c>
      <c r="C55" s="4" t="str">
        <f>Config!$B$2</f>
        <v>Mae Na Rua</v>
      </c>
      <c r="D55" s="7">
        <v>489.63400000000001</v>
      </c>
      <c r="E55" s="7">
        <v>1652616.0060848999</v>
      </c>
      <c r="F55" s="7">
        <v>177778.22355395212</v>
      </c>
      <c r="G55" s="7">
        <v>15019.2</v>
      </c>
      <c r="H55" s="7">
        <v>172017.7188</v>
      </c>
      <c r="I55">
        <v>13.4</v>
      </c>
      <c r="J55" s="7">
        <v>4058.0763395445638</v>
      </c>
      <c r="K55" s="7">
        <v>859.17115529673868</v>
      </c>
      <c r="L55" s="7">
        <v>0</v>
      </c>
    </row>
    <row r="56" spans="1:12">
      <c r="A56" s="6">
        <v>45893</v>
      </c>
      <c r="B56" s="4" t="str">
        <f>Config!$B$3</f>
        <v>07:00</v>
      </c>
      <c r="C56" s="4" t="str">
        <f>Config!$B$2</f>
        <v>Mae Na Rua</v>
      </c>
      <c r="D56" s="7">
        <v>489.70499999999998</v>
      </c>
      <c r="E56" s="7">
        <v>1673851.7406957999</v>
      </c>
      <c r="F56" s="7">
        <v>337206.41036553407</v>
      </c>
      <c r="G56" s="7">
        <v>15019.2</v>
      </c>
      <c r="H56" s="7">
        <v>302277.38640000002</v>
      </c>
      <c r="I56">
        <v>7.2</v>
      </c>
      <c r="J56" s="7">
        <v>2188.0878363772558</v>
      </c>
      <c r="K56" s="7">
        <v>862.17719101123146</v>
      </c>
      <c r="L56" s="7">
        <v>0</v>
      </c>
    </row>
    <row r="57" spans="1:12">
      <c r="A57" s="6">
        <v>45894</v>
      </c>
      <c r="B57" s="4" t="str">
        <f>Config!$B$3</f>
        <v>07:00</v>
      </c>
      <c r="C57" s="4" t="str">
        <f>Config!$B$2</f>
        <v>Mae Na Rua</v>
      </c>
      <c r="D57" s="7">
        <v>489.68599999999998</v>
      </c>
      <c r="E57" s="7">
        <v>1667776.8298903999</v>
      </c>
      <c r="F57" s="7">
        <v>215510.0886564416</v>
      </c>
      <c r="G57" s="7">
        <v>15019.2</v>
      </c>
      <c r="H57" s="7">
        <v>209954.82500000001</v>
      </c>
      <c r="I57">
        <v>14</v>
      </c>
      <c r="J57" s="7">
        <v>4250.3354512060405</v>
      </c>
      <c r="K57" s="7">
        <v>861.30991304762392</v>
      </c>
      <c r="L57" s="7">
        <v>0</v>
      </c>
    </row>
    <row r="58" spans="1:12">
      <c r="A58" s="6">
        <v>45895</v>
      </c>
      <c r="B58" s="4" t="str">
        <f>Config!$B$3</f>
        <v>07:00</v>
      </c>
      <c r="C58" s="4" t="str">
        <f>Config!$B$2</f>
        <v>Mae Na Rua</v>
      </c>
      <c r="D58" s="7">
        <v>489.64800000000002</v>
      </c>
      <c r="E58" s="7">
        <v>1655645.1614623</v>
      </c>
      <c r="F58" s="7">
        <v>237223.24894104595</v>
      </c>
      <c r="G58" s="7">
        <v>15019.2</v>
      </c>
      <c r="H58" s="7">
        <v>237354.42230000001</v>
      </c>
      <c r="I58">
        <v>12.8</v>
      </c>
      <c r="J58" s="7">
        <v>3878.3045489843198</v>
      </c>
      <c r="K58" s="7">
        <v>859.59961813022403</v>
      </c>
      <c r="L58" s="7">
        <v>0</v>
      </c>
    </row>
    <row r="59" spans="1:12">
      <c r="A59" s="6">
        <v>45896</v>
      </c>
      <c r="B59" s="4" t="str">
        <f>Config!$B$3</f>
        <v>07:00</v>
      </c>
      <c r="C59" s="4" t="str">
        <f>Config!$B$2</f>
        <v>Mae Na Rua</v>
      </c>
      <c r="D59" s="7">
        <v>489.87200000000001</v>
      </c>
      <c r="E59" s="7">
        <v>1725819.6938243001</v>
      </c>
      <c r="F59" s="7">
        <v>932836.67180179933</v>
      </c>
      <c r="G59" s="7">
        <v>15019.2</v>
      </c>
      <c r="H59" s="7">
        <v>857970.94030000002</v>
      </c>
      <c r="I59">
        <v>36.4</v>
      </c>
      <c r="J59" s="7">
        <v>11201.012800831308</v>
      </c>
      <c r="K59" s="7">
        <v>873.01194063054925</v>
      </c>
      <c r="L59" s="7">
        <v>0</v>
      </c>
    </row>
    <row r="60" spans="1:12">
      <c r="A60" s="6">
        <v>45897</v>
      </c>
      <c r="B60" s="4" t="str">
        <f>Config!$B$3</f>
        <v>07:00</v>
      </c>
      <c r="C60" s="4" t="str">
        <f>Config!$B$2</f>
        <v>Mae Na Rua</v>
      </c>
      <c r="D60" s="7">
        <v>489.839</v>
      </c>
      <c r="E60" s="7">
        <v>1713524.2337388999</v>
      </c>
      <c r="F60" s="7">
        <v>682636.01528965402</v>
      </c>
      <c r="G60" s="7">
        <v>15019.2</v>
      </c>
      <c r="H60" s="7">
        <v>686103.61320000002</v>
      </c>
      <c r="I60">
        <v>23</v>
      </c>
      <c r="J60" s="7">
        <v>7062.4905914809797</v>
      </c>
      <c r="K60" s="7">
        <v>871.15276653516014</v>
      </c>
      <c r="L60" s="7">
        <v>0</v>
      </c>
    </row>
    <row r="61" spans="1:12">
      <c r="A61" s="6">
        <v>45898</v>
      </c>
      <c r="B61" s="4" t="str">
        <f>Config!$B$3</f>
        <v>07:00</v>
      </c>
      <c r="C61" s="4" t="str">
        <f>Config!$B$2</f>
        <v>Mae Na Rua</v>
      </c>
      <c r="D61" s="7">
        <v>489.77</v>
      </c>
      <c r="E61" s="7">
        <v>1695162.8519716</v>
      </c>
      <c r="F61" s="7">
        <v>456831.75149520702</v>
      </c>
      <c r="G61" s="7">
        <v>15019.2</v>
      </c>
      <c r="H61" s="7">
        <v>459308.64809999999</v>
      </c>
      <c r="I61">
        <v>0</v>
      </c>
      <c r="J61" s="7">
        <v>0</v>
      </c>
      <c r="K61" s="7">
        <v>865.28516250696384</v>
      </c>
      <c r="L61" s="7">
        <v>0</v>
      </c>
    </row>
    <row r="62" spans="1:12">
      <c r="A62" s="6">
        <v>45899</v>
      </c>
      <c r="B62" s="4" t="str">
        <f>Config!$B$3</f>
        <v>07:00</v>
      </c>
      <c r="C62" s="4" t="str">
        <f>Config!$B$2</f>
        <v>Mae Na Rua</v>
      </c>
      <c r="D62" s="7">
        <v>489.71699999999998</v>
      </c>
      <c r="E62" s="7">
        <v>1676891.4600323001</v>
      </c>
      <c r="F62" s="7">
        <v>337406.40040267422</v>
      </c>
      <c r="G62" s="7">
        <v>15019.2</v>
      </c>
      <c r="H62" s="7">
        <v>339795.97820000001</v>
      </c>
      <c r="I62">
        <v>0</v>
      </c>
      <c r="J62" s="7">
        <v>0</v>
      </c>
      <c r="K62" s="7">
        <v>862.61414197406953</v>
      </c>
      <c r="L62" s="7">
        <v>0</v>
      </c>
    </row>
    <row r="63" spans="1:12">
      <c r="A63" s="6">
        <v>45900</v>
      </c>
      <c r="B63" s="4" t="str">
        <f>Config!$B$3</f>
        <v>07:00</v>
      </c>
      <c r="C63" s="4" t="str">
        <f>Config!$B$2</f>
        <v>Mae Na Rua</v>
      </c>
      <c r="D63" s="7">
        <v>489.70499999999998</v>
      </c>
      <c r="E63" s="7">
        <v>1673851.7406957999</v>
      </c>
      <c r="F63" s="7">
        <v>298696.60837014229</v>
      </c>
      <c r="G63" s="7">
        <v>15019.2</v>
      </c>
      <c r="H63" s="7">
        <v>289927.22509999998</v>
      </c>
      <c r="I63">
        <v>13.4</v>
      </c>
      <c r="J63" s="7">
        <v>4072.2745843687821</v>
      </c>
      <c r="K63" s="7">
        <v>862.17719101123146</v>
      </c>
      <c r="L63" s="7">
        <v>0</v>
      </c>
    </row>
    <row r="64" spans="1:12">
      <c r="A64" s="6">
        <v>45901</v>
      </c>
      <c r="B64" s="4" t="str">
        <f>Config!$B$3</f>
        <v>07:00</v>
      </c>
      <c r="C64" s="4" t="str">
        <f>Config!$B$2</f>
        <v>Mae Na Rua</v>
      </c>
      <c r="D64" s="7">
        <v>489.68</v>
      </c>
      <c r="E64" s="7">
        <v>1667776.8298903999</v>
      </c>
      <c r="F64" s="7">
        <v>236821.69637413273</v>
      </c>
      <c r="G64" s="7">
        <v>15019.199999999999</v>
      </c>
      <c r="H64" s="7">
        <v>228179.2309</v>
      </c>
      <c r="I64">
        <v>3.8</v>
      </c>
      <c r="J64" s="7">
        <v>1153.6624796130679</v>
      </c>
      <c r="K64" s="7">
        <v>851.83806334587734</v>
      </c>
      <c r="L64" s="7">
        <v>0</v>
      </c>
    </row>
    <row r="65" spans="1:12">
      <c r="A65" s="6">
        <v>45902</v>
      </c>
      <c r="B65" s="4" t="str">
        <f>Config!$B$3</f>
        <v>07:00</v>
      </c>
      <c r="C65" s="4" t="str">
        <f>Config!$B$2</f>
        <v>Mae Na Rua</v>
      </c>
      <c r="D65" s="7">
        <v>489.661</v>
      </c>
      <c r="E65" s="7">
        <v>1661708.0167959</v>
      </c>
      <c r="F65" s="7">
        <v>195765.08577595494</v>
      </c>
      <c r="G65" s="7">
        <v>15019.199999999999</v>
      </c>
      <c r="H65" s="7">
        <v>186388.3193</v>
      </c>
      <c r="I65">
        <v>1.4</v>
      </c>
      <c r="J65" s="7">
        <v>424.61036061901797</v>
      </c>
      <c r="K65" s="7">
        <v>850.98993107394858</v>
      </c>
      <c r="L65" s="7">
        <v>0</v>
      </c>
    </row>
    <row r="66" spans="1:12">
      <c r="A66" s="6">
        <v>45903</v>
      </c>
      <c r="B66" s="4" t="str">
        <f>Config!$B$3</f>
        <v>07:00</v>
      </c>
      <c r="C66" s="4" t="str">
        <f>Config!$B$2</f>
        <v>Mae Na Rua</v>
      </c>
      <c r="D66" s="7">
        <v>489.661</v>
      </c>
      <c r="E66" s="7">
        <v>1661708.0167959</v>
      </c>
      <c r="F66" s="7">
        <v>192157.25966394474</v>
      </c>
      <c r="G66" s="7">
        <v>15019.199999999999</v>
      </c>
      <c r="H66" s="7">
        <v>177257.60769999999</v>
      </c>
      <c r="I66">
        <v>3.2</v>
      </c>
      <c r="J66" s="7">
        <v>970.53796712918393</v>
      </c>
      <c r="K66" s="7">
        <v>850.98993107394858</v>
      </c>
      <c r="L66" s="7">
        <v>0</v>
      </c>
    </row>
    <row r="67" spans="1:12">
      <c r="A67" s="6">
        <v>45904</v>
      </c>
      <c r="B67" s="4" t="str">
        <f>Config!$B$3</f>
        <v>07:00</v>
      </c>
      <c r="C67" s="4" t="str">
        <f>Config!$B$2</f>
        <v>Mae Na Rua</v>
      </c>
      <c r="D67" s="7">
        <v>489.63997999999998</v>
      </c>
      <c r="E67" s="7">
        <v>1652616.0060848999</v>
      </c>
      <c r="F67" s="7">
        <v>128441.83921457497</v>
      </c>
      <c r="G67" s="7">
        <v>15019.199999999999</v>
      </c>
      <c r="H67" s="7">
        <v>121664.9271</v>
      </c>
      <c r="I67">
        <v>0</v>
      </c>
      <c r="J67" s="7">
        <v>0</v>
      </c>
      <c r="K67" s="7">
        <v>849.72282557503399</v>
      </c>
      <c r="L67" s="7">
        <v>0</v>
      </c>
    </row>
    <row r="68" spans="1:12">
      <c r="A68" s="6">
        <v>45905</v>
      </c>
      <c r="B68" s="4" t="str">
        <f>Config!$B$3</f>
        <v>07:00</v>
      </c>
      <c r="C68" s="4" t="str">
        <f>Config!$B$2</f>
        <v>Mae Na Rua</v>
      </c>
      <c r="D68" s="7">
        <v>489.608</v>
      </c>
      <c r="E68" s="7">
        <v>1643538.2164867001</v>
      </c>
      <c r="F68" s="7">
        <v>78553.698676224551</v>
      </c>
      <c r="G68" s="7">
        <v>15019.199999999999</v>
      </c>
      <c r="H68" s="7">
        <v>71765.656430000003</v>
      </c>
      <c r="I68">
        <v>0</v>
      </c>
      <c r="J68" s="7">
        <v>0</v>
      </c>
      <c r="K68" s="7">
        <v>846.6318444243235</v>
      </c>
      <c r="L68" s="7">
        <v>0</v>
      </c>
    </row>
    <row r="69" spans="1:12">
      <c r="A69" s="6">
        <v>45906</v>
      </c>
      <c r="B69" s="4" t="str">
        <f>Config!$B$3</f>
        <v>07:00</v>
      </c>
      <c r="C69" s="4" t="str">
        <f>Config!$B$2</f>
        <v>Mae Na Rua</v>
      </c>
      <c r="D69" s="7">
        <v>489.589</v>
      </c>
      <c r="E69" s="7">
        <v>1637507.2197397</v>
      </c>
      <c r="F69" s="7">
        <v>43970.58665044907</v>
      </c>
      <c r="G69" s="7">
        <v>15019.199999999999</v>
      </c>
      <c r="H69" s="7">
        <v>34136.719790000003</v>
      </c>
      <c r="I69">
        <v>0</v>
      </c>
      <c r="J69" s="7">
        <v>0</v>
      </c>
      <c r="K69" s="7">
        <v>845.66360744921133</v>
      </c>
      <c r="L69" s="7">
        <v>0</v>
      </c>
    </row>
    <row r="70" spans="1:12">
      <c r="A70" s="6">
        <v>45907</v>
      </c>
      <c r="B70" s="4" t="str">
        <f>Config!$B$3</f>
        <v>07:00</v>
      </c>
      <c r="C70" s="4" t="str">
        <f>Config!$B$2</f>
        <v>Mae Na Rua</v>
      </c>
      <c r="D70" s="7">
        <v>489.56400000000002</v>
      </c>
      <c r="E70" s="7">
        <v>1631482.3951735001</v>
      </c>
      <c r="F70" s="7">
        <v>20959.740382089953</v>
      </c>
      <c r="G70" s="7">
        <v>15019.199999999999</v>
      </c>
      <c r="H70" s="7">
        <v>11120.572969999999</v>
      </c>
      <c r="I70">
        <v>0</v>
      </c>
      <c r="J70" s="7">
        <v>0</v>
      </c>
      <c r="K70" s="7">
        <v>844.79197828986491</v>
      </c>
      <c r="L70" s="7">
        <v>0</v>
      </c>
    </row>
    <row r="71" spans="1:12">
      <c r="A71" s="6">
        <v>45908</v>
      </c>
      <c r="B71" s="4" t="str">
        <f>Config!$B$3</f>
        <v>07:00</v>
      </c>
      <c r="C71" s="4" t="str">
        <f>Config!$B$2</f>
        <v>Mae Na Rua</v>
      </c>
      <c r="D71" s="7">
        <v>489.54399999999998</v>
      </c>
      <c r="E71" s="7">
        <v>1625463.7590197001</v>
      </c>
      <c r="F71" s="7">
        <v>8842.6662384497886</v>
      </c>
      <c r="G71" s="7">
        <v>15019.199999999999</v>
      </c>
      <c r="H71" s="7">
        <v>321.58828549999998</v>
      </c>
      <c r="I71">
        <v>4.4000000000000004</v>
      </c>
      <c r="J71" s="7">
        <v>1323.4111428967001</v>
      </c>
      <c r="K71" s="7">
        <v>843.92524964643746</v>
      </c>
      <c r="L71" s="7">
        <v>0</v>
      </c>
    </row>
    <row r="72" spans="1:12">
      <c r="A72" s="6">
        <v>45909</v>
      </c>
      <c r="B72" s="4" t="str">
        <f>Config!$B$3</f>
        <v>07:00</v>
      </c>
      <c r="C72" s="4" t="str">
        <f>Config!$B$2</f>
        <v>Mae Na Rua</v>
      </c>
      <c r="D72" s="7">
        <v>489.51799999999997</v>
      </c>
      <c r="E72" s="7">
        <v>1616447.3000027</v>
      </c>
      <c r="F72" s="7">
        <v>6845.3784573862686</v>
      </c>
      <c r="G72" s="7">
        <v>15019.199999999999</v>
      </c>
      <c r="H72" s="7">
        <v>0</v>
      </c>
      <c r="I72">
        <v>0</v>
      </c>
      <c r="J72" s="7">
        <v>0</v>
      </c>
      <c r="K72" s="7">
        <v>842.63747438643054</v>
      </c>
      <c r="L72" s="7">
        <v>0</v>
      </c>
    </row>
    <row r="73" spans="1:12">
      <c r="A73" s="6">
        <v>45910</v>
      </c>
      <c r="B73" s="4" t="str">
        <f>Config!$B$3</f>
        <v>07:00</v>
      </c>
      <c r="C73" s="4" t="str">
        <f>Config!$B$2</f>
        <v>Mae Na Rua</v>
      </c>
      <c r="D73" s="7">
        <v>489.48599999999999</v>
      </c>
      <c r="E73" s="7">
        <v>1607444.5930314001</v>
      </c>
      <c r="F73" s="7">
        <v>6857.8574685479307</v>
      </c>
      <c r="G73" s="7">
        <v>15019.199999999999</v>
      </c>
      <c r="H73" s="7">
        <v>0</v>
      </c>
      <c r="I73">
        <v>0</v>
      </c>
      <c r="J73" s="7">
        <v>0</v>
      </c>
      <c r="K73" s="7">
        <v>841.36443984776611</v>
      </c>
      <c r="L73" s="7">
        <v>0</v>
      </c>
    </row>
    <row r="74" spans="1:12">
      <c r="A74" s="6">
        <v>45911</v>
      </c>
      <c r="B74" s="4" t="str">
        <f>Config!$B$3</f>
        <v>07:00</v>
      </c>
      <c r="C74" s="4" t="str">
        <f>Config!$B$2</f>
        <v>Mae Na Rua</v>
      </c>
      <c r="D74" s="7">
        <v>489.47399999999999</v>
      </c>
      <c r="E74" s="7">
        <v>1604446.7185589999</v>
      </c>
      <c r="F74" s="7">
        <v>11063.993842065462</v>
      </c>
      <c r="G74" s="7">
        <v>15019.199999999999</v>
      </c>
      <c r="H74" s="7">
        <v>0</v>
      </c>
      <c r="I74">
        <v>6</v>
      </c>
      <c r="J74" s="7">
        <v>1798.2750158746198</v>
      </c>
      <c r="K74" s="7">
        <v>840.94333034025635</v>
      </c>
      <c r="L74" s="7">
        <v>0</v>
      </c>
    </row>
    <row r="75" spans="1:12">
      <c r="A75" s="6">
        <v>45912</v>
      </c>
      <c r="B75" s="4" t="str">
        <f>Config!$B$3</f>
        <v>07:00</v>
      </c>
      <c r="C75" s="4" t="str">
        <f>Config!$B$2</f>
        <v>Mae Na Rua</v>
      </c>
      <c r="D75" s="7">
        <v>489.44799999999998</v>
      </c>
      <c r="E75" s="7">
        <v>1595462.0162961001</v>
      </c>
      <c r="F75" s="7">
        <v>6874.1850794153179</v>
      </c>
      <c r="G75" s="7">
        <v>15019.199999999999</v>
      </c>
      <c r="H75" s="7">
        <v>0</v>
      </c>
      <c r="I75">
        <v>0</v>
      </c>
      <c r="J75" s="7">
        <v>0</v>
      </c>
      <c r="K75" s="7">
        <v>839.68734231515691</v>
      </c>
      <c r="L75" s="7">
        <v>0</v>
      </c>
    </row>
    <row r="76" spans="1:12">
      <c r="A76" s="6">
        <v>45913</v>
      </c>
      <c r="B76" s="4" t="str">
        <f>Config!$B$3</f>
        <v>07:00</v>
      </c>
      <c r="C76" s="4" t="str">
        <f>Config!$B$2</f>
        <v>Mae Na Rua</v>
      </c>
      <c r="D76" s="7">
        <v>489.40899999999999</v>
      </c>
      <c r="E76" s="7">
        <v>1583503.9153768001</v>
      </c>
      <c r="F76" s="7">
        <v>3898.785810022036</v>
      </c>
      <c r="G76" s="7">
        <v>15019.199999999999</v>
      </c>
      <c r="H76" s="7">
        <v>0</v>
      </c>
      <c r="I76">
        <v>0</v>
      </c>
      <c r="J76" s="7">
        <v>0</v>
      </c>
      <c r="K76" s="7">
        <v>837.68672932202901</v>
      </c>
      <c r="L76" s="7">
        <v>0</v>
      </c>
    </row>
    <row r="77" spans="1:12">
      <c r="A77" s="6">
        <v>45914</v>
      </c>
      <c r="B77" s="4" t="str">
        <f>Config!$B$3</f>
        <v>07:00</v>
      </c>
      <c r="C77" s="4" t="str">
        <f>Config!$B$2</f>
        <v>Mae Na Rua</v>
      </c>
      <c r="D77" s="7">
        <v>489.37200000000001</v>
      </c>
      <c r="E77" s="7">
        <v>1574601.0268989</v>
      </c>
      <c r="F77" s="7">
        <v>6948.2052620067643</v>
      </c>
      <c r="G77" s="7">
        <v>15019.199999999999</v>
      </c>
      <c r="H77" s="7">
        <v>0</v>
      </c>
      <c r="I77">
        <v>0</v>
      </c>
      <c r="J77" s="7">
        <v>0</v>
      </c>
      <c r="K77" s="7">
        <v>831.89373990683123</v>
      </c>
      <c r="L77" s="7">
        <v>0</v>
      </c>
    </row>
    <row r="78" spans="1:12">
      <c r="A78" s="6">
        <v>45915</v>
      </c>
      <c r="B78" s="4" t="str">
        <f>Config!$B$3</f>
        <v>07:00</v>
      </c>
      <c r="C78" s="4" t="str">
        <f>Config!$B$2</f>
        <v>Mae Na Rua</v>
      </c>
      <c r="D78" s="7">
        <v>489.35899999999998</v>
      </c>
      <c r="E78" s="7">
        <v>1568674.6777429001</v>
      </c>
      <c r="F78" s="7">
        <v>5363.1104289303385</v>
      </c>
      <c r="G78" s="7">
        <v>15019.199999999999</v>
      </c>
      <c r="H78" s="7">
        <v>0</v>
      </c>
      <c r="I78">
        <v>15.4</v>
      </c>
      <c r="J78" s="7">
        <v>4560.6830457545284</v>
      </c>
      <c r="K78" s="7">
        <v>830.94263068482132</v>
      </c>
      <c r="L78" s="7">
        <v>0</v>
      </c>
    </row>
    <row r="79" spans="1:12">
      <c r="A79" s="6">
        <v>45916</v>
      </c>
      <c r="B79" s="4" t="str">
        <f>Config!$B$3</f>
        <v>07:00</v>
      </c>
      <c r="C79" s="4" t="str">
        <f>Config!$B$2</f>
        <v>Mae Na Rua</v>
      </c>
      <c r="D79" s="7">
        <v>489.34300000000002</v>
      </c>
      <c r="E79" s="7">
        <v>1565714.0163252</v>
      </c>
      <c r="F79" s="7">
        <v>11172.319293271388</v>
      </c>
      <c r="G79" s="7">
        <v>15019.199999999999</v>
      </c>
      <c r="H79" s="7">
        <v>0</v>
      </c>
      <c r="I79">
        <v>5.8</v>
      </c>
      <c r="J79" s="7">
        <v>1716.695310781608</v>
      </c>
      <c r="K79" s="7">
        <v>830.4760217531142</v>
      </c>
      <c r="L79" s="7">
        <v>0</v>
      </c>
    </row>
    <row r="80" spans="1:12">
      <c r="A80" s="6">
        <v>45917</v>
      </c>
      <c r="B80" s="4" t="str">
        <f>Config!$B$3</f>
        <v>07:00</v>
      </c>
      <c r="C80" s="4" t="str">
        <f>Config!$B$2</f>
        <v>Mae Na Rua</v>
      </c>
      <c r="D80" s="7">
        <v>489.33699999999999</v>
      </c>
      <c r="E80" s="7">
        <v>1562754.9976601</v>
      </c>
      <c r="F80" s="7">
        <v>12890.196681399973</v>
      </c>
      <c r="G80" s="7">
        <v>15019.199999999999</v>
      </c>
      <c r="H80" s="7">
        <v>0</v>
      </c>
      <c r="I80">
        <v>0</v>
      </c>
      <c r="J80" s="7">
        <v>0</v>
      </c>
      <c r="K80" s="7">
        <v>830.0153464999571</v>
      </c>
      <c r="L80" s="7">
        <v>0</v>
      </c>
    </row>
    <row r="81" spans="1:12">
      <c r="A81" s="6">
        <v>45918</v>
      </c>
      <c r="B81" s="4" t="str">
        <f>Config!$B$3</f>
        <v>07:00</v>
      </c>
      <c r="C81" s="4" t="str">
        <f>Config!$B$2</f>
        <v>Mae Na Rua</v>
      </c>
      <c r="D81" s="7">
        <v>489.28399999999999</v>
      </c>
      <c r="E81" s="7">
        <v>1547983.8767252001</v>
      </c>
      <c r="F81" s="7">
        <v>1075.8739396307471</v>
      </c>
      <c r="G81" s="7">
        <v>15019.199999999999</v>
      </c>
      <c r="H81" s="7">
        <v>0</v>
      </c>
      <c r="I81">
        <v>0</v>
      </c>
      <c r="J81" s="7">
        <v>0</v>
      </c>
      <c r="K81" s="7">
        <v>827.79487453064462</v>
      </c>
      <c r="L81" s="7">
        <v>0</v>
      </c>
    </row>
    <row r="82" spans="1:12">
      <c r="A82" s="6">
        <v>45919</v>
      </c>
      <c r="B82" s="4" t="str">
        <f>Config!$B$3</f>
        <v>07:00</v>
      </c>
      <c r="C82" s="4" t="str">
        <f>Config!$B$2</f>
        <v>Mae Na Rua</v>
      </c>
      <c r="D82" s="7">
        <v>489.24599999999998</v>
      </c>
      <c r="E82" s="7">
        <v>1536194.8351113</v>
      </c>
      <c r="F82" s="7">
        <v>2525.2451519868682</v>
      </c>
      <c r="G82" s="7">
        <v>15019.199999999999</v>
      </c>
      <c r="H82" s="7">
        <v>0</v>
      </c>
      <c r="I82">
        <v>5.2</v>
      </c>
      <c r="J82" s="7">
        <v>1531.0332686617799</v>
      </c>
      <c r="K82" s="7">
        <v>826.12003454875219</v>
      </c>
      <c r="L82" s="7">
        <v>0</v>
      </c>
    </row>
    <row r="83" spans="1:12">
      <c r="A83" s="6">
        <v>45920</v>
      </c>
      <c r="B83" s="4" t="str">
        <f>Config!$B$3</f>
        <v>07:00</v>
      </c>
      <c r="C83" s="4" t="str">
        <f>Config!$B$2</f>
        <v>Mae Na Rua</v>
      </c>
      <c r="D83" s="7">
        <v>489.19799999999998</v>
      </c>
      <c r="E83" s="7">
        <v>1521494.7669134</v>
      </c>
      <c r="F83" s="7">
        <v>672.85565525271102</v>
      </c>
      <c r="G83" s="7">
        <v>15019.199999999999</v>
      </c>
      <c r="H83" s="7">
        <v>0</v>
      </c>
      <c r="I83">
        <v>1.6</v>
      </c>
      <c r="J83" s="7">
        <v>469.35024053430402</v>
      </c>
      <c r="K83" s="7">
        <v>823.07409368698006</v>
      </c>
      <c r="L83" s="7">
        <v>0</v>
      </c>
    </row>
    <row r="84" spans="1:12">
      <c r="A84" s="6">
        <v>45921</v>
      </c>
      <c r="B84" s="4" t="str">
        <f>Config!$B$3</f>
        <v>07:00</v>
      </c>
      <c r="C84" s="4" t="str">
        <f>Config!$B$2</f>
        <v>Mae Na Rua</v>
      </c>
      <c r="D84" s="7">
        <v>489.173</v>
      </c>
      <c r="E84" s="7">
        <v>1515629.6565953</v>
      </c>
      <c r="F84" s="7">
        <v>7983.1569079272103</v>
      </c>
      <c r="G84" s="7">
        <v>15019.199999999999</v>
      </c>
      <c r="H84" s="7">
        <v>0</v>
      </c>
      <c r="I84">
        <v>6.8</v>
      </c>
      <c r="J84" s="7">
        <v>1993.4928928890679</v>
      </c>
      <c r="K84" s="7">
        <v>822.56011891635933</v>
      </c>
      <c r="L84" s="7">
        <v>0</v>
      </c>
    </row>
    <row r="85" spans="1:12">
      <c r="A85" s="6">
        <v>45922</v>
      </c>
      <c r="B85" s="4" t="str">
        <f>Config!$B$3</f>
        <v>07:00</v>
      </c>
      <c r="C85" s="4" t="str">
        <f>Config!$B$2</f>
        <v>Mae Na Rua</v>
      </c>
      <c r="D85" s="7">
        <v>489.13499999999999</v>
      </c>
      <c r="E85" s="7">
        <v>1503910.109441</v>
      </c>
      <c r="F85" s="7">
        <v>3594.1671484005728</v>
      </c>
      <c r="G85" s="7">
        <v>15019.199999999999</v>
      </c>
      <c r="H85" s="7">
        <v>0</v>
      </c>
      <c r="I85">
        <v>1.8</v>
      </c>
      <c r="J85" s="7">
        <v>527.05127906632799</v>
      </c>
      <c r="K85" s="7">
        <v>821.56558176681779</v>
      </c>
      <c r="L85" s="7">
        <v>0</v>
      </c>
    </row>
    <row r="86" spans="1:12">
      <c r="A86" s="6">
        <v>45923</v>
      </c>
      <c r="B86" s="4" t="str">
        <f>Config!$B$3</f>
        <v>07:00</v>
      </c>
      <c r="C86" s="4" t="str">
        <f>Config!$B$2</f>
        <v>Mae Na Rua</v>
      </c>
      <c r="D86" s="7">
        <v>489.089</v>
      </c>
      <c r="E86" s="7">
        <v>1489280.5058130999</v>
      </c>
      <c r="F86" s="7">
        <v>742.15266772859582</v>
      </c>
      <c r="G86" s="7">
        <v>15019.199999999999</v>
      </c>
      <c r="H86" s="7">
        <v>0</v>
      </c>
      <c r="I86">
        <v>1.6</v>
      </c>
      <c r="J86" s="7">
        <v>467.80102806299203</v>
      </c>
      <c r="K86" s="7">
        <v>820.35732369171569</v>
      </c>
      <c r="L86" s="7">
        <v>0</v>
      </c>
    </row>
    <row r="87" spans="1:12">
      <c r="A87" s="6">
        <v>45924</v>
      </c>
      <c r="B87" s="4" t="str">
        <f>Config!$B$3</f>
        <v>07:00</v>
      </c>
      <c r="C87" s="4" t="str">
        <f>Config!$B$2</f>
        <v>Mae Na Rua</v>
      </c>
      <c r="D87" s="7">
        <v>489.03197999999998</v>
      </c>
      <c r="E87" s="7">
        <v>1474672.1813453001</v>
      </c>
      <c r="F87" s="7">
        <v>1230.0585265529705</v>
      </c>
      <c r="G87" s="7">
        <v>15019.199999999999</v>
      </c>
      <c r="H87" s="7">
        <v>0</v>
      </c>
      <c r="I87">
        <v>0</v>
      </c>
      <c r="J87" s="7">
        <v>0</v>
      </c>
      <c r="K87" s="7">
        <v>819.18299435283075</v>
      </c>
      <c r="L87" s="7">
        <v>0</v>
      </c>
    </row>
    <row r="88" spans="1:12">
      <c r="A88" s="6">
        <v>45925</v>
      </c>
      <c r="B88" s="4" t="str">
        <f>Config!$B$3</f>
        <v>07:00</v>
      </c>
      <c r="C88" s="4" t="str">
        <f>Config!$B$2</f>
        <v>Mae Na Rua</v>
      </c>
      <c r="D88" s="7">
        <v>489.04399999999998</v>
      </c>
      <c r="E88" s="7">
        <v>1477592.1420386999</v>
      </c>
      <c r="F88" s="7">
        <v>13501.857041101875</v>
      </c>
      <c r="G88" s="7">
        <v>15019.199999999999</v>
      </c>
      <c r="H88" s="7">
        <v>0</v>
      </c>
      <c r="I88">
        <v>18</v>
      </c>
      <c r="J88" s="7">
        <v>5256.7190747346594</v>
      </c>
      <c r="K88" s="7">
        <v>819.41542243664833</v>
      </c>
      <c r="L88" s="7">
        <v>0</v>
      </c>
    </row>
    <row r="89" spans="1:12">
      <c r="A89" s="6">
        <v>45926</v>
      </c>
      <c r="B89" s="4" t="str">
        <f>Config!$B$3</f>
        <v>07:00</v>
      </c>
      <c r="C89" s="4" t="str">
        <f>Config!$B$2</f>
        <v>Mae Na Rua</v>
      </c>
      <c r="D89" s="7">
        <v>489.01799999999997</v>
      </c>
      <c r="E89" s="7">
        <v>1468834.6627917001</v>
      </c>
      <c r="F89" s="7">
        <v>7080.4429602318232</v>
      </c>
      <c r="G89" s="7">
        <v>15019.199999999999</v>
      </c>
      <c r="H89" s="7">
        <v>0</v>
      </c>
      <c r="I89">
        <v>0</v>
      </c>
      <c r="J89" s="7">
        <v>0</v>
      </c>
      <c r="K89" s="7">
        <v>818.72220723165992</v>
      </c>
      <c r="L89" s="7">
        <v>0</v>
      </c>
    </row>
    <row r="90" spans="1:12">
      <c r="A90" s="6">
        <v>45927</v>
      </c>
      <c r="B90" s="4" t="str">
        <f>Config!$B$3</f>
        <v>07:00</v>
      </c>
      <c r="C90" s="4" t="str">
        <f>Config!$B$2</f>
        <v>Mae Na Rua</v>
      </c>
      <c r="D90" s="7">
        <v>488.98599999999999</v>
      </c>
      <c r="E90" s="7">
        <v>1460084.4867827999</v>
      </c>
      <c r="F90" s="7">
        <v>7087.0644007301025</v>
      </c>
      <c r="G90" s="7">
        <v>15019.199999999999</v>
      </c>
      <c r="H90" s="7">
        <v>0</v>
      </c>
      <c r="I90">
        <v>0</v>
      </c>
      <c r="J90" s="7">
        <v>0</v>
      </c>
      <c r="K90" s="7">
        <v>818.04040963026512</v>
      </c>
      <c r="L90" s="7">
        <v>0</v>
      </c>
    </row>
    <row r="91" spans="1:12">
      <c r="A91" s="6">
        <v>45928</v>
      </c>
      <c r="B91" s="4" t="str">
        <f>Config!$B$3</f>
        <v>07:00</v>
      </c>
      <c r="C91" s="4" t="str">
        <f>Config!$B$2</f>
        <v>Mae Na Rua</v>
      </c>
      <c r="D91" s="7">
        <v>488.95600000000002</v>
      </c>
      <c r="E91" s="7">
        <v>1451341.5620411001</v>
      </c>
      <c r="F91" s="7">
        <v>6802.3356132536592</v>
      </c>
      <c r="G91" s="7">
        <v>15019.199999999999</v>
      </c>
      <c r="H91" s="7">
        <v>0</v>
      </c>
      <c r="I91">
        <v>1</v>
      </c>
      <c r="J91" s="7">
        <v>291.3116870993</v>
      </c>
      <c r="K91" s="7">
        <v>817.37204205278601</v>
      </c>
      <c r="L91" s="7">
        <v>0</v>
      </c>
    </row>
    <row r="92" spans="1:12">
      <c r="A92" s="6">
        <v>45929</v>
      </c>
      <c r="B92" s="4" t="str">
        <f>Config!$B$3</f>
        <v>07:00</v>
      </c>
      <c r="C92" s="4" t="str">
        <f>Config!$B$2</f>
        <v>Mae Na Rua</v>
      </c>
      <c r="D92" s="7">
        <v>488.91</v>
      </c>
      <c r="E92" s="7">
        <v>1439695.2819463999</v>
      </c>
      <c r="F92" s="7">
        <v>4189.4084228156607</v>
      </c>
      <c r="G92" s="7">
        <v>15019.199999999999</v>
      </c>
      <c r="H92" s="7">
        <v>0</v>
      </c>
      <c r="I92">
        <v>0</v>
      </c>
      <c r="J92" s="7">
        <v>0</v>
      </c>
      <c r="K92" s="7">
        <v>816.48851751582868</v>
      </c>
      <c r="L92" s="7">
        <v>0</v>
      </c>
    </row>
    <row r="93" spans="1:12">
      <c r="A93" s="6">
        <v>45930</v>
      </c>
      <c r="B93" s="4" t="str">
        <f>Config!$B$3</f>
        <v>07:00</v>
      </c>
      <c r="C93" s="4" t="str">
        <f>Config!$B$2</f>
        <v>Mae Na Rua</v>
      </c>
      <c r="D93" s="7">
        <v>488.892</v>
      </c>
      <c r="E93" s="7">
        <v>1433876.8830075001</v>
      </c>
      <c r="F93" s="7">
        <v>5363.4032193394723</v>
      </c>
      <c r="G93" s="7">
        <v>15019.199999999999</v>
      </c>
      <c r="H93" s="7">
        <v>0</v>
      </c>
      <c r="I93">
        <v>16</v>
      </c>
      <c r="J93" s="7">
        <v>4653.44777122496</v>
      </c>
      <c r="K93" s="7">
        <v>816.04992946429377</v>
      </c>
      <c r="L93" s="7">
        <v>0</v>
      </c>
    </row>
    <row r="94" spans="1:12">
      <c r="A94" s="6">
        <v>45931</v>
      </c>
      <c r="B94" s="4" t="str">
        <f>Config!$B$3</f>
        <v>07:00</v>
      </c>
      <c r="C94" s="4" t="str">
        <f>Config!$B$2</f>
        <v>Mae Na Rua</v>
      </c>
      <c r="D94" s="7">
        <v>488.904</v>
      </c>
      <c r="E94" s="7">
        <v>1436785.6733039999</v>
      </c>
      <c r="F94" s="7">
        <v>15523.391926246441</v>
      </c>
      <c r="G94" s="7">
        <v>15019.199999999999</v>
      </c>
      <c r="H94" s="7">
        <v>0</v>
      </c>
      <c r="I94">
        <v>10.8</v>
      </c>
      <c r="J94" s="7">
        <v>3141.9203740044481</v>
      </c>
      <c r="K94" s="7">
        <v>737.31899625084077</v>
      </c>
      <c r="L94" s="7">
        <v>0</v>
      </c>
    </row>
    <row r="95" spans="1:12">
      <c r="A95" s="6">
        <v>45932</v>
      </c>
      <c r="B95" s="4" t="str">
        <f>Config!$B$3</f>
        <v>07:00</v>
      </c>
      <c r="C95" s="4" t="str">
        <f>Config!$B$2</f>
        <v>Mae Na Rua</v>
      </c>
      <c r="D95" s="7">
        <v>488.87900000000002</v>
      </c>
      <c r="E95" s="7">
        <v>1428061.5598544001</v>
      </c>
      <c r="F95" s="7">
        <v>6624.8544772187824</v>
      </c>
      <c r="G95" s="7">
        <v>15019.199999999999</v>
      </c>
      <c r="H95" s="7">
        <v>0</v>
      </c>
      <c r="I95">
        <v>1.4</v>
      </c>
      <c r="J95" s="7">
        <v>406.95882688602404</v>
      </c>
      <c r="K95" s="7">
        <v>736.72675370463446</v>
      </c>
      <c r="L95" s="7">
        <v>0</v>
      </c>
    </row>
    <row r="96" spans="1:12">
      <c r="A96" s="6">
        <v>45933</v>
      </c>
      <c r="B96" s="4" t="str">
        <f>Config!$B$3</f>
        <v>07:00</v>
      </c>
      <c r="C96" s="4" t="str">
        <f>Config!$B$2</f>
        <v>Mae Na Rua</v>
      </c>
      <c r="D96" s="7">
        <v>488.86599999999999</v>
      </c>
      <c r="E96" s="7">
        <v>1425155.0669104999</v>
      </c>
      <c r="F96" s="7">
        <v>12849.237245322573</v>
      </c>
      <c r="G96" s="7">
        <v>15019.199999999999</v>
      </c>
      <c r="H96" s="7">
        <v>0</v>
      </c>
      <c r="I96">
        <v>0</v>
      </c>
      <c r="J96" s="7">
        <v>0</v>
      </c>
      <c r="K96" s="7">
        <v>736.53018922274566</v>
      </c>
      <c r="L96" s="7">
        <v>0</v>
      </c>
    </row>
    <row r="97" spans="1:12">
      <c r="A97" s="6">
        <v>45934</v>
      </c>
      <c r="B97" s="4" t="str">
        <f>Config!$B$3</f>
        <v>07:00</v>
      </c>
      <c r="C97" s="4" t="str">
        <f>Config!$B$2</f>
        <v>Mae Na Rua</v>
      </c>
      <c r="D97" s="7">
        <v>488.84800000000001</v>
      </c>
      <c r="E97" s="7">
        <v>1419344.4679610999</v>
      </c>
      <c r="F97" s="7">
        <v>9363.8339853538455</v>
      </c>
      <c r="G97" s="7">
        <v>15019.199999999999</v>
      </c>
      <c r="H97" s="7">
        <v>0</v>
      </c>
      <c r="I97">
        <v>2</v>
      </c>
      <c r="J97" s="7">
        <v>580.90547771240006</v>
      </c>
      <c r="K97" s="7">
        <v>736.13841246625555</v>
      </c>
      <c r="L97" s="7">
        <v>0</v>
      </c>
    </row>
    <row r="98" spans="1:12">
      <c r="A98" s="6">
        <v>45935</v>
      </c>
      <c r="B98" s="4" t="str">
        <f>Config!$B$3</f>
        <v>07:00</v>
      </c>
      <c r="C98" s="4" t="str">
        <f>Config!$B$2</f>
        <v>Mae Na Rua</v>
      </c>
      <c r="D98" s="7">
        <v>488.82098000000002</v>
      </c>
      <c r="E98" s="7">
        <v>1413536.9222839</v>
      </c>
      <c r="F98" s="7">
        <v>9076.5061747878171</v>
      </c>
      <c r="G98" s="7">
        <v>15019.199999999999</v>
      </c>
      <c r="H98" s="7">
        <v>0</v>
      </c>
      <c r="I98">
        <v>3</v>
      </c>
      <c r="J98" s="7">
        <v>870.89646377054999</v>
      </c>
      <c r="K98" s="7">
        <v>735.74831575832866</v>
      </c>
      <c r="L98" s="7">
        <v>0</v>
      </c>
    </row>
    <row r="99" spans="1:12">
      <c r="A99" s="6">
        <v>45936</v>
      </c>
      <c r="B99" s="4" t="str">
        <f>Config!$B$3</f>
        <v>07:00</v>
      </c>
      <c r="C99" s="4" t="str">
        <f>Config!$B$2</f>
        <v>Mae Na Rua</v>
      </c>
      <c r="D99" s="7">
        <v>488.78899999999999</v>
      </c>
      <c r="E99" s="7">
        <v>1401930.9575960001</v>
      </c>
      <c r="F99" s="7">
        <v>4148.2081998289541</v>
      </c>
      <c r="G99" s="7">
        <v>15019.199999999999</v>
      </c>
      <c r="H99" s="7">
        <v>0</v>
      </c>
      <c r="I99">
        <v>0</v>
      </c>
      <c r="J99" s="7">
        <v>0</v>
      </c>
      <c r="K99" s="7">
        <v>734.97288772887441</v>
      </c>
      <c r="L99" s="7">
        <v>0</v>
      </c>
    </row>
    <row r="100" spans="1:12">
      <c r="A100" s="6">
        <v>45937</v>
      </c>
      <c r="B100" s="4" t="str">
        <f>Config!$B$3</f>
        <v>07:00</v>
      </c>
      <c r="C100" s="4" t="str">
        <f>Config!$B$2</f>
        <v>Mae Na Rua</v>
      </c>
      <c r="D100" s="7">
        <v>488.745</v>
      </c>
      <c r="E100" s="7">
        <v>1390337.3398593001</v>
      </c>
      <c r="F100" s="7">
        <v>4159.7864014393017</v>
      </c>
      <c r="G100" s="7">
        <v>15019.199999999999</v>
      </c>
      <c r="H100" s="7">
        <v>0</v>
      </c>
      <c r="I100">
        <v>0</v>
      </c>
      <c r="J100" s="7">
        <v>0</v>
      </c>
      <c r="K100" s="7">
        <v>734.20413813929338</v>
      </c>
      <c r="L100" s="7">
        <v>0</v>
      </c>
    </row>
    <row r="101" spans="1:12">
      <c r="A101" s="6">
        <v>45938</v>
      </c>
      <c r="B101" s="4" t="str">
        <f>Config!$B$3</f>
        <v>07:00</v>
      </c>
      <c r="C101" s="4" t="str">
        <f>Config!$B$2</f>
        <v>Mae Na Rua</v>
      </c>
      <c r="D101" s="7">
        <v>488.75198</v>
      </c>
      <c r="E101" s="7">
        <v>1393234.6316031001</v>
      </c>
      <c r="F101" s="7">
        <v>17549.779870020619</v>
      </c>
      <c r="G101" s="7">
        <v>15019.199999999999</v>
      </c>
      <c r="H101" s="7">
        <v>0</v>
      </c>
      <c r="I101">
        <v>3.8</v>
      </c>
      <c r="J101" s="7">
        <v>1101.107736827486</v>
      </c>
      <c r="K101" s="7">
        <v>734.3958630480638</v>
      </c>
      <c r="L101" s="7">
        <v>0</v>
      </c>
    </row>
    <row r="102" spans="1:12">
      <c r="A102" s="6">
        <v>45939</v>
      </c>
      <c r="B102" s="4" t="str">
        <f>Config!$B$3</f>
        <v>07:00</v>
      </c>
      <c r="C102" s="4" t="str">
        <f>Config!$B$2</f>
        <v>Mae Na Rua</v>
      </c>
      <c r="D102" s="7">
        <v>488.91</v>
      </c>
      <c r="E102" s="7">
        <v>1439695.2819463999</v>
      </c>
      <c r="F102" s="7">
        <v>61984.570210049686</v>
      </c>
      <c r="G102" s="7">
        <v>15019.199999999999</v>
      </c>
      <c r="H102" s="7">
        <v>0</v>
      </c>
      <c r="I102">
        <v>0.8</v>
      </c>
      <c r="J102" s="7">
        <v>232.79743891155201</v>
      </c>
      <c r="K102" s="7">
        <v>737.51730566140384</v>
      </c>
      <c r="L102" s="7">
        <v>0</v>
      </c>
    </row>
    <row r="103" spans="1:12">
      <c r="A103" s="6">
        <v>45940</v>
      </c>
      <c r="B103" s="4" t="str">
        <f>Config!$B$3</f>
        <v>07:00</v>
      </c>
      <c r="C103" s="4" t="str">
        <f>Config!$B$2</f>
        <v>Mae Na Rua</v>
      </c>
      <c r="D103" s="7">
        <v>488.94299999999998</v>
      </c>
      <c r="E103" s="7">
        <v>1448428.8738585</v>
      </c>
      <c r="F103" s="7">
        <v>23791.948615682664</v>
      </c>
      <c r="G103" s="7">
        <v>15019.199999999999</v>
      </c>
      <c r="H103" s="7">
        <v>0</v>
      </c>
      <c r="I103">
        <v>2.4</v>
      </c>
      <c r="J103" s="7">
        <v>698.95843247205596</v>
      </c>
      <c r="K103" s="7">
        <v>738.1151360546304</v>
      </c>
      <c r="L103" s="7">
        <v>0</v>
      </c>
    </row>
    <row r="104" spans="1:12">
      <c r="A104" s="6">
        <v>45941</v>
      </c>
      <c r="B104" s="4" t="str">
        <f>Config!$B$3</f>
        <v>07:00</v>
      </c>
      <c r="C104" s="4" t="str">
        <f>Config!$B$2</f>
        <v>Mae Na Rua</v>
      </c>
      <c r="D104" s="7">
        <v>488.93599999999998</v>
      </c>
      <c r="E104" s="7">
        <v>1445516.8740723</v>
      </c>
      <c r="F104" s="7">
        <v>12845.115595709625</v>
      </c>
      <c r="G104" s="7">
        <v>15019.199999999999</v>
      </c>
      <c r="H104" s="7">
        <v>0</v>
      </c>
      <c r="I104">
        <v>0</v>
      </c>
      <c r="J104" s="7">
        <v>0</v>
      </c>
      <c r="K104" s="7">
        <v>737.91538190962888</v>
      </c>
      <c r="L104" s="7">
        <v>0</v>
      </c>
    </row>
    <row r="105" spans="1:12">
      <c r="A105" s="6">
        <v>45942</v>
      </c>
      <c r="B105" s="4" t="str">
        <f>Config!$B$3</f>
        <v>07:00</v>
      </c>
      <c r="C105" s="4" t="str">
        <f>Config!$B$2</f>
        <v>Mae Na Rua</v>
      </c>
      <c r="D105" s="7">
        <v>488.91699999999997</v>
      </c>
      <c r="E105" s="7">
        <v>1439695.2819463999</v>
      </c>
      <c r="F105" s="7">
        <v>9935.1251797613131</v>
      </c>
      <c r="G105" s="7">
        <v>15019.199999999999</v>
      </c>
      <c r="H105" s="7">
        <v>0</v>
      </c>
      <c r="I105">
        <v>0</v>
      </c>
      <c r="J105" s="7">
        <v>0</v>
      </c>
      <c r="K105" s="7">
        <v>737.51730566140384</v>
      </c>
      <c r="L105" s="7">
        <v>0</v>
      </c>
    </row>
    <row r="106" spans="1:12">
      <c r="A106" s="6">
        <v>45943</v>
      </c>
      <c r="B106" s="4" t="str">
        <f>Config!$B$3</f>
        <v>07:00</v>
      </c>
      <c r="C106" s="4" t="str">
        <f>Config!$B$2</f>
        <v>Mae Na Rua</v>
      </c>
      <c r="D106" s="7">
        <v>488.89100000000002</v>
      </c>
      <c r="E106" s="7">
        <v>1433876.8830075001</v>
      </c>
      <c r="F106" s="7">
        <v>9937.922199184015</v>
      </c>
      <c r="G106" s="7">
        <v>15019.199999999999</v>
      </c>
      <c r="H106" s="7">
        <v>0</v>
      </c>
      <c r="I106">
        <v>0</v>
      </c>
      <c r="J106" s="7">
        <v>0</v>
      </c>
      <c r="K106" s="7">
        <v>737.12113808387619</v>
      </c>
      <c r="L106" s="7">
        <v>0</v>
      </c>
    </row>
    <row r="107" spans="1:12">
      <c r="A107" s="6">
        <v>45944</v>
      </c>
      <c r="B107" s="4" t="str">
        <f>Config!$B$3</f>
        <v>07:00</v>
      </c>
      <c r="C107" s="4" t="str">
        <f>Config!$B$2</f>
        <v>Mae Na Rua</v>
      </c>
      <c r="D107" s="7">
        <v>488.87200000000001</v>
      </c>
      <c r="E107" s="7">
        <v>1428061.5598544001</v>
      </c>
      <c r="F107" s="7">
        <v>9301.0968726409028</v>
      </c>
      <c r="G107" s="7">
        <v>15019.199999999999</v>
      </c>
      <c r="H107" s="7">
        <v>0</v>
      </c>
      <c r="I107">
        <v>2.2000000000000002</v>
      </c>
      <c r="J107" s="7">
        <v>639.50672796375204</v>
      </c>
      <c r="K107" s="7">
        <v>736.72675370463446</v>
      </c>
      <c r="L107" s="7">
        <v>0</v>
      </c>
    </row>
    <row r="108" spans="1:12">
      <c r="A108" s="6">
        <v>45945</v>
      </c>
      <c r="B108" s="4" t="str">
        <f>Config!$B$3</f>
        <v>07:00</v>
      </c>
      <c r="C108" s="4" t="str">
        <f>Config!$B$2</f>
        <v>Mae Na Rua</v>
      </c>
      <c r="D108" s="7">
        <v>488.96100000000001</v>
      </c>
      <c r="E108" s="7">
        <v>1454255.0691730001</v>
      </c>
      <c r="F108" s="7">
        <v>41543.27817919424</v>
      </c>
      <c r="G108" s="7">
        <v>15019.199999999999</v>
      </c>
      <c r="H108" s="7">
        <v>0</v>
      </c>
      <c r="I108">
        <v>1.4</v>
      </c>
      <c r="J108" s="7">
        <v>407.947240383088</v>
      </c>
      <c r="K108" s="7">
        <v>738.51610097738376</v>
      </c>
      <c r="L108" s="7">
        <v>0</v>
      </c>
    </row>
    <row r="109" spans="1:12">
      <c r="A109" s="6">
        <v>45946</v>
      </c>
      <c r="B109" s="4" t="str">
        <f>Config!$B$3</f>
        <v>07:00</v>
      </c>
      <c r="C109" s="4" t="str">
        <f>Config!$B$2</f>
        <v>Mae Na Rua</v>
      </c>
      <c r="D109" s="7">
        <v>489.07</v>
      </c>
      <c r="E109" s="7">
        <v>1486357.15604</v>
      </c>
      <c r="F109" s="7">
        <v>41840.889251495639</v>
      </c>
      <c r="G109" s="7">
        <v>15019.199999999999</v>
      </c>
      <c r="H109" s="7">
        <v>0</v>
      </c>
      <c r="I109">
        <v>20.6</v>
      </c>
      <c r="J109" s="7">
        <v>6021.195069676498</v>
      </c>
      <c r="K109" s="7">
        <v>740.7974541721627</v>
      </c>
      <c r="L109" s="7">
        <v>0</v>
      </c>
    </row>
    <row r="110" spans="1:12">
      <c r="A110" s="6">
        <v>45947</v>
      </c>
      <c r="B110" s="4" t="str">
        <f>Config!$B$3</f>
        <v>07:00</v>
      </c>
      <c r="C110" s="4" t="str">
        <f>Config!$B$2</f>
        <v>Mae Na Rua</v>
      </c>
      <c r="D110" s="7">
        <v>489.28500000000003</v>
      </c>
      <c r="E110" s="7">
        <v>1547983.8767252001</v>
      </c>
      <c r="F110" s="7">
        <v>72850.244410938816</v>
      </c>
      <c r="G110" s="7">
        <v>15019.199999999999</v>
      </c>
      <c r="H110" s="7">
        <v>0</v>
      </c>
      <c r="I110">
        <v>15.4</v>
      </c>
      <c r="J110" s="7">
        <v>4543.4063799602945</v>
      </c>
      <c r="K110" s="7">
        <v>747.73010569903715</v>
      </c>
      <c r="L110" s="7">
        <v>0</v>
      </c>
    </row>
    <row r="111" spans="1:12">
      <c r="A111" s="6">
        <v>45948</v>
      </c>
      <c r="B111" s="4" t="str">
        <f>Config!$B$3</f>
        <v>07:00</v>
      </c>
      <c r="C111" s="4" t="str">
        <f>Config!$B$2</f>
        <v>Mae Na Rua</v>
      </c>
      <c r="D111" s="7">
        <v>489.42399999999998</v>
      </c>
      <c r="E111" s="7">
        <v>1589479.7778056001</v>
      </c>
      <c r="F111" s="7">
        <v>57272.813048606957</v>
      </c>
      <c r="G111" s="7">
        <v>15019.199999999999</v>
      </c>
      <c r="H111" s="7">
        <v>0</v>
      </c>
      <c r="I111">
        <v>0</v>
      </c>
      <c r="J111" s="7">
        <v>0</v>
      </c>
      <c r="K111" s="7">
        <v>757.71196820697878</v>
      </c>
      <c r="L111" s="7">
        <v>0</v>
      </c>
    </row>
    <row r="112" spans="1:12">
      <c r="A112" s="6">
        <v>45949</v>
      </c>
      <c r="B112" s="4" t="str">
        <f>Config!$B$3</f>
        <v>07:00</v>
      </c>
      <c r="C112" s="4" t="str">
        <f>Config!$B$2</f>
        <v>Mae Na Rua</v>
      </c>
      <c r="D112" s="7">
        <v>489.52798000000001</v>
      </c>
      <c r="E112" s="7">
        <v>1619451.3170382001</v>
      </c>
      <c r="F112" s="7">
        <v>59292.830091829761</v>
      </c>
      <c r="G112" s="7">
        <v>15019.199999999999</v>
      </c>
      <c r="H112" s="7">
        <v>13540.567419999999</v>
      </c>
      <c r="I112">
        <v>0</v>
      </c>
      <c r="J112" s="7">
        <v>0</v>
      </c>
      <c r="K112" s="7">
        <v>761.52343922974808</v>
      </c>
      <c r="L112" s="7">
        <v>0</v>
      </c>
    </row>
    <row r="113" spans="1:12">
      <c r="A113" s="6">
        <v>45950</v>
      </c>
      <c r="B113" s="4" t="str">
        <f>Config!$B$3</f>
        <v>07:00</v>
      </c>
      <c r="C113" s="4" t="str">
        <f>Config!$B$2</f>
        <v>Mae Na Rua</v>
      </c>
      <c r="D113" s="7">
        <v>489.61799999999999</v>
      </c>
      <c r="E113" s="7">
        <v>1646562.4785364</v>
      </c>
      <c r="F113" s="7">
        <v>159822.0349924381</v>
      </c>
      <c r="G113" s="7">
        <v>15019.199999999999</v>
      </c>
      <c r="H113" s="7">
        <v>118498.07309999999</v>
      </c>
      <c r="I113">
        <v>5.2</v>
      </c>
      <c r="J113" s="7">
        <v>1573.138934659708</v>
      </c>
      <c r="K113" s="7">
        <v>766.73932889791536</v>
      </c>
      <c r="L113" s="7">
        <v>0</v>
      </c>
    </row>
    <row r="114" spans="1:12">
      <c r="A114" s="6">
        <v>45951</v>
      </c>
      <c r="B114" s="4" t="str">
        <f>Config!$B$3</f>
        <v>07:00</v>
      </c>
      <c r="C114" s="4" t="str">
        <f>Config!$B$2</f>
        <v>Mae Na Rua</v>
      </c>
      <c r="D114" s="7">
        <v>489.65697999999998</v>
      </c>
      <c r="E114" s="7">
        <v>1658675.7961466999</v>
      </c>
      <c r="F114" s="7">
        <v>223890.33393543618</v>
      </c>
      <c r="G114" s="7">
        <v>15019.199999999999</v>
      </c>
      <c r="H114" s="7">
        <v>195989.51560000001</v>
      </c>
      <c r="I114">
        <v>0</v>
      </c>
      <c r="J114" s="7">
        <v>0</v>
      </c>
      <c r="K114" s="7">
        <v>768.30072513628579</v>
      </c>
      <c r="L114" s="7">
        <v>0</v>
      </c>
    </row>
    <row r="115" spans="1:12">
      <c r="A115" s="6">
        <v>45952</v>
      </c>
      <c r="B115" s="4" t="str">
        <f>Config!$B$3</f>
        <v>07:00</v>
      </c>
      <c r="C115" s="4" t="str">
        <f>Config!$B$2</f>
        <v>Mae Na Rua</v>
      </c>
      <c r="D115" s="7">
        <v>489.67099999999999</v>
      </c>
      <c r="E115" s="7">
        <v>1664741.6725647999</v>
      </c>
      <c r="F115" s="7">
        <v>224830.47388327509</v>
      </c>
      <c r="G115" s="7">
        <v>15019.199999999999</v>
      </c>
      <c r="H115" s="7">
        <v>202976.33369999999</v>
      </c>
      <c r="I115">
        <v>0</v>
      </c>
      <c r="J115" s="7">
        <v>0</v>
      </c>
      <c r="K115" s="7">
        <v>769.06376517513922</v>
      </c>
      <c r="L115" s="7">
        <v>0</v>
      </c>
    </row>
    <row r="116" spans="1:12">
      <c r="A116" s="6">
        <v>45953</v>
      </c>
      <c r="B116" s="4" t="str">
        <f>Config!$B$3</f>
        <v>07:00</v>
      </c>
      <c r="C116" s="4" t="str">
        <f>Config!$B$2</f>
        <v>Mae Na Rua</v>
      </c>
      <c r="D116" s="7">
        <v>489.65697999999998</v>
      </c>
      <c r="E116" s="7">
        <v>1658675.7961466999</v>
      </c>
      <c r="F116" s="7">
        <v>172713.5744070363</v>
      </c>
      <c r="G116" s="7">
        <v>15019.199999999999</v>
      </c>
      <c r="H116" s="7">
        <v>162991.95009999999</v>
      </c>
      <c r="I116">
        <v>0</v>
      </c>
      <c r="J116" s="7">
        <v>0</v>
      </c>
      <c r="K116" s="7">
        <v>768.30072513628579</v>
      </c>
      <c r="L116" s="7">
        <v>0</v>
      </c>
    </row>
    <row r="117" spans="1:12">
      <c r="A117" s="6">
        <v>45954</v>
      </c>
      <c r="B117" s="4" t="str">
        <f>Config!$B$3</f>
        <v>07:00</v>
      </c>
      <c r="C117" s="4" t="str">
        <f>Config!$B$2</f>
        <v>Mae Na Rua</v>
      </c>
      <c r="D117" s="7">
        <v>489.63799999999998</v>
      </c>
      <c r="E117" s="7">
        <v>1652616.0060848999</v>
      </c>
      <c r="F117" s="7">
        <v>130466.19541163601</v>
      </c>
      <c r="G117" s="7">
        <v>15019.199999999999</v>
      </c>
      <c r="H117" s="7">
        <v>120739.24830000001</v>
      </c>
      <c r="I117">
        <v>0</v>
      </c>
      <c r="J117" s="7">
        <v>0</v>
      </c>
      <c r="K117" s="7">
        <v>767.53717343605513</v>
      </c>
      <c r="L117" s="7">
        <v>0</v>
      </c>
    </row>
    <row r="118" spans="1:12">
      <c r="A118" s="6">
        <v>45955</v>
      </c>
      <c r="B118" s="4" t="str">
        <f>Config!$B$3</f>
        <v>07:00</v>
      </c>
      <c r="C118" s="4" t="str">
        <f>Config!$B$2</f>
        <v>Mae Na Rua</v>
      </c>
      <c r="D118" s="7">
        <v>489.60599999999999</v>
      </c>
      <c r="E118" s="7">
        <v>1643538.2164867001</v>
      </c>
      <c r="F118" s="7">
        <v>77486.39771545741</v>
      </c>
      <c r="G118" s="7">
        <v>15019.199999999999</v>
      </c>
      <c r="H118" s="7">
        <v>70780.242159999994</v>
      </c>
      <c r="I118">
        <v>0</v>
      </c>
      <c r="J118" s="7">
        <v>0</v>
      </c>
      <c r="K118" s="7">
        <v>764.74515365718787</v>
      </c>
      <c r="L118" s="7">
        <v>0</v>
      </c>
    </row>
    <row r="119" spans="1:12">
      <c r="A119" s="6">
        <v>45956</v>
      </c>
      <c r="B119" s="4" t="str">
        <f>Config!$B$3</f>
        <v>07:00</v>
      </c>
      <c r="C119" s="4" t="str">
        <f>Config!$B$2</f>
        <v>Mae Na Rua</v>
      </c>
      <c r="D119" s="7">
        <v>489.58699999999999</v>
      </c>
      <c r="E119" s="7">
        <v>1637507.2197397</v>
      </c>
      <c r="F119" s="7">
        <v>44479.341708086838</v>
      </c>
      <c r="G119" s="7">
        <v>15019.199999999999</v>
      </c>
      <c r="H119" s="7">
        <v>34727.267890000003</v>
      </c>
      <c r="I119">
        <v>0</v>
      </c>
      <c r="J119" s="7">
        <v>0</v>
      </c>
      <c r="K119" s="7">
        <v>763.87056508697844</v>
      </c>
      <c r="L119" s="7">
        <v>0</v>
      </c>
    </row>
    <row r="120" spans="1:12">
      <c r="A120" s="6">
        <v>45957</v>
      </c>
      <c r="B120" s="4" t="str">
        <f>Config!$B$3</f>
        <v>07:00</v>
      </c>
      <c r="C120" s="4" t="str">
        <f>Config!$B$2</f>
        <v>Mae Na Rua</v>
      </c>
      <c r="D120" s="7">
        <v>489.56099999999998</v>
      </c>
      <c r="E120" s="7">
        <v>1631482.3951735001</v>
      </c>
      <c r="F120" s="7">
        <v>18262.693376172334</v>
      </c>
      <c r="G120" s="7">
        <v>15019.199999999999</v>
      </c>
      <c r="H120" s="7">
        <v>8505.2347019999997</v>
      </c>
      <c r="I120">
        <v>0</v>
      </c>
      <c r="J120" s="7">
        <v>0</v>
      </c>
      <c r="K120" s="7">
        <v>763.08324037224406</v>
      </c>
      <c r="L120" s="7">
        <v>0</v>
      </c>
    </row>
    <row r="121" spans="1:12">
      <c r="A121" s="6">
        <v>45958</v>
      </c>
      <c r="B121" s="4" t="str">
        <f>Config!$B$3</f>
        <v>07:00</v>
      </c>
      <c r="C121" s="4" t="str">
        <f>Config!$B$2</f>
        <v>Mae Na Rua</v>
      </c>
      <c r="D121" s="7">
        <v>489.54199999999997</v>
      </c>
      <c r="E121" s="7">
        <v>1625463.7590197001</v>
      </c>
      <c r="F121" s="7">
        <v>9818.9589260029243</v>
      </c>
      <c r="G121" s="7">
        <v>15019.199999999999</v>
      </c>
      <c r="H121" s="7">
        <v>56.094737610000003</v>
      </c>
      <c r="I121">
        <v>0</v>
      </c>
      <c r="J121" s="7">
        <v>0</v>
      </c>
      <c r="K121" s="7">
        <v>762.30034219287336</v>
      </c>
      <c r="L121" s="7">
        <v>0</v>
      </c>
    </row>
    <row r="122" spans="1:12">
      <c r="A122" s="6">
        <v>45959</v>
      </c>
      <c r="B122" s="4" t="str">
        <f>Config!$B$3</f>
        <v>07:00</v>
      </c>
      <c r="C122" s="4" t="str">
        <f>Config!$B$2</f>
        <v>Mae Na Rua</v>
      </c>
      <c r="D122" s="7">
        <v>489.52100000000002</v>
      </c>
      <c r="E122" s="7">
        <v>1619451.3170382001</v>
      </c>
      <c r="F122" s="7">
        <v>9768.2814577297322</v>
      </c>
      <c r="G122" s="7">
        <v>15019.199999999999</v>
      </c>
      <c r="H122" s="7">
        <v>0</v>
      </c>
      <c r="I122">
        <v>0</v>
      </c>
      <c r="J122" s="7">
        <v>0</v>
      </c>
      <c r="K122" s="7">
        <v>761.52343922974808</v>
      </c>
      <c r="L122" s="7">
        <v>0</v>
      </c>
    </row>
    <row r="123" spans="1:12">
      <c r="A123" s="6">
        <v>45960</v>
      </c>
      <c r="B123" s="4" t="str">
        <f>Config!$B$3</f>
        <v>07:00</v>
      </c>
      <c r="C123" s="4" t="str">
        <f>Config!$B$2</f>
        <v>Mae Na Rua</v>
      </c>
      <c r="D123" s="7">
        <v>489.50198</v>
      </c>
      <c r="E123" s="7">
        <v>1613444.9319478001</v>
      </c>
      <c r="F123" s="7">
        <v>9773.5673833127039</v>
      </c>
      <c r="G123" s="7">
        <v>15019.199999999999</v>
      </c>
      <c r="H123" s="7">
        <v>0</v>
      </c>
      <c r="I123">
        <v>0</v>
      </c>
      <c r="J123" s="7">
        <v>0</v>
      </c>
      <c r="K123" s="7">
        <v>760.75247371270495</v>
      </c>
      <c r="L123" s="7">
        <v>0</v>
      </c>
    </row>
    <row r="124" spans="1:12">
      <c r="A124" s="6">
        <v>45961</v>
      </c>
      <c r="B124" s="4" t="str">
        <f>Config!$B$3</f>
        <v>07:00</v>
      </c>
      <c r="C124" s="4" t="str">
        <f>Config!$B$2</f>
        <v>Mae Na Rua</v>
      </c>
      <c r="D124" s="7">
        <v>489.483</v>
      </c>
      <c r="E124" s="7">
        <v>1607444.5930314001</v>
      </c>
      <c r="F124" s="7">
        <v>9778.8482989056029</v>
      </c>
      <c r="G124" s="7">
        <v>15019.199999999999</v>
      </c>
      <c r="H124" s="7">
        <v>0</v>
      </c>
      <c r="I124">
        <v>0</v>
      </c>
      <c r="J124" s="7">
        <v>0</v>
      </c>
      <c r="K124" s="7">
        <v>759.98721530558578</v>
      </c>
      <c r="L124" s="7">
        <v>0</v>
      </c>
    </row>
    <row r="125" spans="1:12">
      <c r="A125" s="6">
        <v>45962</v>
      </c>
      <c r="B125" s="4" t="str">
        <f>Config!$B$3</f>
        <v>07:00</v>
      </c>
      <c r="C125" s="4" t="str">
        <f>Config!$B$2</f>
        <v>Mae Na Rua</v>
      </c>
      <c r="D125" s="8">
        <v>489.483</v>
      </c>
      <c r="E125" s="7">
        <v>1607444.5930314001</v>
      </c>
      <c r="F125" s="7">
        <v>8169.8317956397523</v>
      </c>
      <c r="G125" s="7">
        <v>15019.199999999999</v>
      </c>
      <c r="H125" s="7">
        <v>0</v>
      </c>
      <c r="I125">
        <v>25.2</v>
      </c>
      <c r="J125" s="7">
        <v>7556.5371728531163</v>
      </c>
      <c r="K125" s="7">
        <v>707.16593709283745</v>
      </c>
      <c r="L125" s="7">
        <v>0</v>
      </c>
    </row>
    <row r="126" spans="1:12">
      <c r="A126" s="6">
        <v>45963</v>
      </c>
      <c r="B126" s="4" t="str">
        <f>Config!$B$3</f>
        <v>07:00</v>
      </c>
      <c r="C126" s="4" t="str">
        <f>Config!$B$2</f>
        <v>Mae Na Rua</v>
      </c>
      <c r="D126" s="8">
        <v>489.483</v>
      </c>
      <c r="E126" s="7">
        <v>1607444.5930314001</v>
      </c>
      <c r="F126" s="7">
        <v>15019.199999999999</v>
      </c>
      <c r="G126" s="7">
        <v>15019.199999999999</v>
      </c>
      <c r="H126" s="7">
        <v>0</v>
      </c>
      <c r="I126">
        <v>9.4</v>
      </c>
      <c r="J126" s="7">
        <v>2818.7083105087022</v>
      </c>
      <c r="K126" s="7">
        <v>707.16593709283745</v>
      </c>
      <c r="L126" s="7">
        <v>0</v>
      </c>
    </row>
    <row r="127" spans="1:12">
      <c r="A127" s="6">
        <v>45964</v>
      </c>
      <c r="B127" s="4" t="str">
        <f>Config!$B$3</f>
        <v>07:00</v>
      </c>
      <c r="C127" s="4" t="str">
        <f>Config!$B$2</f>
        <v>Mae Na Rua</v>
      </c>
      <c r="D127" s="8">
        <v>489.45100000000002</v>
      </c>
      <c r="E127" s="7">
        <v>1598455.4724355999</v>
      </c>
      <c r="F127" s="7">
        <v>6030.0794041997742</v>
      </c>
      <c r="G127" s="7">
        <v>15019.199999999999</v>
      </c>
      <c r="H127" s="7">
        <v>0</v>
      </c>
      <c r="I127">
        <v>0.6</v>
      </c>
      <c r="J127" s="7">
        <v>179.64826445302796</v>
      </c>
      <c r="K127" s="7">
        <v>706.10750343262646</v>
      </c>
      <c r="L127" s="7">
        <v>0</v>
      </c>
    </row>
    <row r="128" spans="1:12">
      <c r="A128" s="6">
        <v>45965</v>
      </c>
      <c r="B128" s="4" t="str">
        <f>Config!$B$3</f>
        <v>07:00</v>
      </c>
      <c r="C128" s="4" t="str">
        <f>Config!$B$2</f>
        <v>Mae Na Rua</v>
      </c>
      <c r="D128" s="8">
        <v>489.43799999999999</v>
      </c>
      <c r="E128" s="7">
        <v>1592470.1267521</v>
      </c>
      <c r="F128" s="7">
        <v>9033.854316500061</v>
      </c>
      <c r="G128" s="7">
        <v>15019.199999999999</v>
      </c>
      <c r="H128" s="7">
        <v>0</v>
      </c>
      <c r="I128">
        <v>0</v>
      </c>
      <c r="J128" s="7">
        <v>0</v>
      </c>
      <c r="K128" s="7">
        <v>705.4046579187368</v>
      </c>
      <c r="L128" s="7">
        <v>0</v>
      </c>
    </row>
    <row r="129" spans="1:12">
      <c r="A129" s="6">
        <v>45966</v>
      </c>
      <c r="B129" s="4" t="str">
        <f>Config!$B$3</f>
        <v>07:00</v>
      </c>
      <c r="C129" s="4" t="str">
        <f>Config!$B$2</f>
        <v>Mae Na Rua</v>
      </c>
      <c r="D129" s="8">
        <v>489.45100000000002</v>
      </c>
      <c r="E129" s="7">
        <v>1598455.4724355999</v>
      </c>
      <c r="F129" s="7">
        <v>21004.545683499935</v>
      </c>
      <c r="G129" s="7">
        <v>15019.199999999999</v>
      </c>
      <c r="H129" s="7">
        <v>0</v>
      </c>
      <c r="I129">
        <v>18.399999999999999</v>
      </c>
      <c r="J129" s="7">
        <v>5509.2134432261919</v>
      </c>
      <c r="K129" s="7">
        <v>706.10750343262646</v>
      </c>
      <c r="L129" s="7">
        <v>0</v>
      </c>
    </row>
    <row r="130" spans="1:12">
      <c r="A130" s="6">
        <v>45967</v>
      </c>
      <c r="B130" s="4" t="str">
        <f>Config!$B$3</f>
        <v>07:00</v>
      </c>
      <c r="C130" s="4" t="str">
        <f>Config!$B$2</f>
        <v>Mae Na Rua</v>
      </c>
      <c r="D130" s="8">
        <v>489.45699999999999</v>
      </c>
      <c r="E130" s="7">
        <v>1598455.4724355999</v>
      </c>
      <c r="F130" s="7">
        <v>15019.199999999999</v>
      </c>
      <c r="G130" s="7">
        <v>15019.199999999999</v>
      </c>
      <c r="H130" s="7">
        <v>0</v>
      </c>
      <c r="I130">
        <v>0.4</v>
      </c>
      <c r="J130" s="7">
        <v>119.765509635352</v>
      </c>
      <c r="K130" s="7">
        <v>706.10750343262646</v>
      </c>
      <c r="L130" s="7">
        <v>0</v>
      </c>
    </row>
    <row r="131" spans="1:12">
      <c r="A131" s="6">
        <v>45968</v>
      </c>
      <c r="B131" s="4" t="str">
        <f>Config!$B$3</f>
        <v>07:00</v>
      </c>
      <c r="C131" s="4" t="str">
        <f>Config!$B$2</f>
        <v>Mae Na Rua</v>
      </c>
      <c r="D131" s="8">
        <v>489.44499999999999</v>
      </c>
      <c r="E131" s="7">
        <v>1595462.0162961001</v>
      </c>
      <c r="F131" s="7">
        <v>3760.1438605002122</v>
      </c>
      <c r="G131" s="7">
        <v>6753.5999999999995</v>
      </c>
      <c r="H131" s="7">
        <v>0</v>
      </c>
      <c r="I131">
        <v>0</v>
      </c>
      <c r="J131" s="7">
        <v>0</v>
      </c>
      <c r="K131" s="7">
        <v>705.75633836002419</v>
      </c>
      <c r="L131" s="7">
        <v>0</v>
      </c>
    </row>
    <row r="132" spans="1:12">
      <c r="A132" s="6">
        <v>45969</v>
      </c>
      <c r="B132" s="4" t="str">
        <f>Config!$B$3</f>
        <v>07:00</v>
      </c>
      <c r="C132" s="4" t="str">
        <f>Config!$B$2</f>
        <v>Mae Na Rua</v>
      </c>
      <c r="D132" s="8">
        <v>489.464</v>
      </c>
      <c r="E132" s="7">
        <v>1601450.3446648</v>
      </c>
      <c r="F132" s="7">
        <v>40495.864248699872</v>
      </c>
      <c r="G132" s="7">
        <v>696.59999999999991</v>
      </c>
      <c r="H132" s="7">
        <v>33810.935879999997</v>
      </c>
      <c r="I132">
        <v>0.4</v>
      </c>
      <c r="J132" s="7">
        <v>119.825174437708</v>
      </c>
      <c r="K132" s="7">
        <v>706.45927219111684</v>
      </c>
      <c r="L132" s="7">
        <v>0</v>
      </c>
    </row>
    <row r="133" spans="1:12">
      <c r="A133" s="6">
        <v>45970</v>
      </c>
      <c r="B133" s="4" t="str">
        <f>Config!$B$3</f>
        <v>07:00</v>
      </c>
      <c r="C133" s="4" t="str">
        <f>Config!$B$2</f>
        <v>Mae Na Rua</v>
      </c>
      <c r="D133" s="8">
        <v>489.67700000000002</v>
      </c>
      <c r="E133" s="7">
        <v>1664741.6725647999</v>
      </c>
      <c r="F133" s="7">
        <v>336206.9549999999</v>
      </c>
      <c r="G133" s="7">
        <v>0</v>
      </c>
      <c r="H133" s="7">
        <v>272915.62709999998</v>
      </c>
      <c r="I133">
        <v>42.4</v>
      </c>
      <c r="J133" s="7">
        <v>12866.019409253169</v>
      </c>
      <c r="K133" s="7">
        <v>715.61164086890903</v>
      </c>
      <c r="L133" s="7">
        <v>0</v>
      </c>
    </row>
    <row r="134" spans="1:12">
      <c r="A134" s="6">
        <v>45971</v>
      </c>
      <c r="B134" s="4" t="str">
        <f>Config!$B$3</f>
        <v>07:00</v>
      </c>
      <c r="C134" s="4" t="str">
        <f>Config!$B$2</f>
        <v>Mae Na Rua</v>
      </c>
      <c r="D134" s="8">
        <v>489.721</v>
      </c>
      <c r="E134" s="7">
        <v>1679932.8392697</v>
      </c>
      <c r="F134" s="7">
        <v>370489.39000490011</v>
      </c>
      <c r="G134" s="7">
        <v>0</v>
      </c>
      <c r="H134" s="7">
        <v>355298.22330000001</v>
      </c>
      <c r="I134">
        <v>9.4</v>
      </c>
      <c r="J134" s="7">
        <v>2859.573923268928</v>
      </c>
      <c r="K134" s="7">
        <v>717.41842374947998</v>
      </c>
      <c r="L134" s="7">
        <v>0</v>
      </c>
    </row>
    <row r="135" spans="1:12">
      <c r="A135" s="6">
        <v>45972</v>
      </c>
      <c r="B135" s="4" t="str">
        <f>Config!$B$3</f>
        <v>07:00</v>
      </c>
      <c r="C135" s="4" t="str">
        <f>Config!$B$2</f>
        <v>Mae Na Rua</v>
      </c>
      <c r="D135" s="8">
        <v>489.71499999999997</v>
      </c>
      <c r="E135" s="7">
        <v>1676891.4600323001</v>
      </c>
      <c r="F135" s="7">
        <v>322823.09686260013</v>
      </c>
      <c r="G135" s="7">
        <v>0</v>
      </c>
      <c r="H135" s="7">
        <v>325864.47610000003</v>
      </c>
      <c r="I135">
        <v>0</v>
      </c>
      <c r="J135" s="7">
        <v>0</v>
      </c>
      <c r="K135" s="7">
        <v>717.05315483627714</v>
      </c>
      <c r="L135" s="7">
        <v>0</v>
      </c>
    </row>
    <row r="136" spans="1:12">
      <c r="A136" s="6">
        <v>45973</v>
      </c>
      <c r="B136" s="4" t="str">
        <f>Config!$B$3</f>
        <v>07:00</v>
      </c>
      <c r="C136" s="4" t="str">
        <f>Config!$B$2</f>
        <v>Mae Na Rua</v>
      </c>
      <c r="D136" s="8">
        <v>489.702</v>
      </c>
      <c r="E136" s="7">
        <v>1673851.7406957999</v>
      </c>
      <c r="F136" s="7">
        <v>279242.69406349986</v>
      </c>
      <c r="G136" s="7">
        <v>0</v>
      </c>
      <c r="H136" s="7">
        <v>282282.41340000002</v>
      </c>
      <c r="I136">
        <v>0</v>
      </c>
      <c r="J136" s="7">
        <v>0</v>
      </c>
      <c r="K136" s="7">
        <v>716.68993674006697</v>
      </c>
      <c r="L136" s="7">
        <v>0</v>
      </c>
    </row>
    <row r="137" spans="1:12">
      <c r="A137" s="6">
        <v>45974</v>
      </c>
      <c r="B137" s="4" t="str">
        <f>Config!$B$3</f>
        <v>07:00</v>
      </c>
      <c r="C137" s="4" t="str">
        <f>Config!$B$2</f>
        <v>Mae Na Rua</v>
      </c>
      <c r="D137" s="8">
        <v>489.68297999999999</v>
      </c>
      <c r="E137" s="7">
        <v>1667776.8298903999</v>
      </c>
      <c r="F137" s="7">
        <v>237055.74979460001</v>
      </c>
      <c r="G137" s="7">
        <v>0</v>
      </c>
      <c r="H137" s="7">
        <v>243130.6606</v>
      </c>
      <c r="I137">
        <v>0</v>
      </c>
      <c r="J137" s="7">
        <v>0</v>
      </c>
      <c r="K137" s="7">
        <v>715.96900675565735</v>
      </c>
      <c r="L137" s="7">
        <v>0</v>
      </c>
    </row>
    <row r="138" spans="1:12">
      <c r="A138" s="6">
        <v>45975</v>
      </c>
      <c r="B138" s="4" t="str">
        <f>Config!$B$3</f>
        <v>07:00</v>
      </c>
      <c r="C138" s="4" t="str">
        <f>Config!$B$2</f>
        <v>Mae Na Rua</v>
      </c>
      <c r="D138" s="8">
        <v>489.67099999999999</v>
      </c>
      <c r="E138" s="7">
        <v>1664741.6725647999</v>
      </c>
      <c r="F138" s="7">
        <v>212574.47817439996</v>
      </c>
      <c r="G138" s="7">
        <v>0</v>
      </c>
      <c r="H138" s="7">
        <v>215609.6355</v>
      </c>
      <c r="I138">
        <v>0</v>
      </c>
      <c r="J138" s="7">
        <v>0</v>
      </c>
      <c r="K138" s="7">
        <v>715.61164086890903</v>
      </c>
      <c r="L138" s="7">
        <v>0</v>
      </c>
    </row>
    <row r="139" spans="1:12">
      <c r="A139" s="6">
        <v>45976</v>
      </c>
      <c r="B139" s="4" t="str">
        <f>Config!$B$3</f>
        <v>07:00</v>
      </c>
      <c r="C139" s="4" t="str">
        <f>Config!$B$2</f>
        <v>Mae Na Rua</v>
      </c>
      <c r="D139" s="8">
        <v>489.66399999999999</v>
      </c>
      <c r="E139" s="7">
        <v>1661708.0167959</v>
      </c>
      <c r="F139" s="7">
        <v>191472.81453110004</v>
      </c>
      <c r="G139" s="7">
        <v>0</v>
      </c>
      <c r="H139" s="7">
        <v>194506.47029999999</v>
      </c>
      <c r="I139">
        <v>0</v>
      </c>
      <c r="J139" s="7">
        <v>0</v>
      </c>
      <c r="K139" s="7">
        <v>715.25615246273583</v>
      </c>
      <c r="L139" s="7">
        <v>0</v>
      </c>
    </row>
    <row r="140" spans="1:12">
      <c r="A140" s="6">
        <v>45977</v>
      </c>
      <c r="B140" s="4" t="str">
        <f>Config!$B$3</f>
        <v>07:00</v>
      </c>
      <c r="C140" s="4" t="str">
        <f>Config!$B$2</f>
        <v>Mae Na Rua</v>
      </c>
      <c r="D140" s="8">
        <v>489.65800000000002</v>
      </c>
      <c r="E140" s="7">
        <v>1658675.7961466999</v>
      </c>
      <c r="F140" s="7">
        <v>174711.21005079997</v>
      </c>
      <c r="G140" s="7">
        <v>0</v>
      </c>
      <c r="H140" s="7">
        <v>177743.4307</v>
      </c>
      <c r="I140">
        <v>0</v>
      </c>
      <c r="J140" s="7">
        <v>0</v>
      </c>
      <c r="K140" s="7">
        <v>714.9016342882087</v>
      </c>
      <c r="L140" s="7">
        <v>0</v>
      </c>
    </row>
    <row r="141" spans="1:12">
      <c r="A141" s="6">
        <v>45978</v>
      </c>
      <c r="B141" s="4" t="str">
        <f>Config!$B$3</f>
        <v>07:00</v>
      </c>
      <c r="C141" s="4" t="str">
        <f>Config!$B$2</f>
        <v>Mae Na Rua</v>
      </c>
      <c r="D141" s="8">
        <v>489.65697999999998</v>
      </c>
      <c r="E141" s="7">
        <v>1658675.7961466999</v>
      </c>
      <c r="F141" s="7">
        <v>176791.29019999999</v>
      </c>
      <c r="G141" s="7">
        <v>0</v>
      </c>
      <c r="H141" s="7">
        <v>176791.29019999999</v>
      </c>
      <c r="I141">
        <v>0</v>
      </c>
      <c r="J141" s="7">
        <v>0</v>
      </c>
      <c r="K141" s="7">
        <v>714.9016342882087</v>
      </c>
      <c r="L141" s="7">
        <v>0</v>
      </c>
    </row>
    <row r="142" spans="1:12">
      <c r="A142" s="6">
        <v>45979</v>
      </c>
      <c r="B142" s="4" t="str">
        <f>Config!$B$3</f>
        <v>07:00</v>
      </c>
      <c r="C142" s="4" t="str">
        <f>Config!$B$2</f>
        <v>Mae Na Rua</v>
      </c>
      <c r="D142" s="8">
        <v>489.72699999999998</v>
      </c>
      <c r="E142" s="7">
        <v>1679932.8392697</v>
      </c>
      <c r="F142" s="7">
        <v>490057.93412300007</v>
      </c>
      <c r="G142" s="7">
        <v>0</v>
      </c>
      <c r="H142" s="7">
        <v>468800.891</v>
      </c>
      <c r="I142">
        <v>41.2</v>
      </c>
      <c r="J142" s="7">
        <v>12533.451663689342</v>
      </c>
      <c r="K142" s="7">
        <v>717.41842374947998</v>
      </c>
      <c r="L142" s="7">
        <v>0</v>
      </c>
    </row>
    <row r="143" spans="1:12">
      <c r="A143" s="6">
        <v>45980</v>
      </c>
      <c r="B143" s="4" t="str">
        <f>Config!$B$3</f>
        <v>07:00</v>
      </c>
      <c r="C143" s="4" t="str">
        <f>Config!$B$2</f>
        <v>Mae Na Rua</v>
      </c>
      <c r="D143" s="8">
        <v>489.85700000000003</v>
      </c>
      <c r="E143" s="7">
        <v>1719668.7023854</v>
      </c>
      <c r="F143" s="7">
        <v>965976.87391570001</v>
      </c>
      <c r="G143" s="7">
        <v>0</v>
      </c>
      <c r="H143" s="7">
        <v>926241.01080000005</v>
      </c>
      <c r="I143">
        <v>31.2</v>
      </c>
      <c r="J143" s="7">
        <v>9590.6595558443278</v>
      </c>
      <c r="K143" s="7">
        <v>724.92475738934854</v>
      </c>
      <c r="L143" s="7">
        <v>0</v>
      </c>
    </row>
    <row r="144" spans="1:12">
      <c r="A144" s="6">
        <v>45981</v>
      </c>
      <c r="B144" s="4" t="str">
        <f>Config!$B$3</f>
        <v>07:00</v>
      </c>
      <c r="C144" s="4" t="str">
        <f>Config!$B$2</f>
        <v>Mae Na Rua</v>
      </c>
      <c r="D144" s="8">
        <v>489.88997999999998</v>
      </c>
      <c r="E144" s="7">
        <v>1728897.6614808999</v>
      </c>
      <c r="F144" s="7">
        <v>897133.89809549996</v>
      </c>
      <c r="G144" s="7">
        <v>0</v>
      </c>
      <c r="H144" s="7">
        <v>887904.93900000001</v>
      </c>
      <c r="I144">
        <v>16.399999999999999</v>
      </c>
      <c r="J144" s="7">
        <v>5049.2978452969319</v>
      </c>
      <c r="K144" s="7">
        <v>726.08287247339968</v>
      </c>
      <c r="L144" s="7">
        <v>0</v>
      </c>
    </row>
    <row r="145" spans="1:12">
      <c r="A145" s="6">
        <v>45982</v>
      </c>
      <c r="B145" s="4" t="str">
        <f>Config!$B$3</f>
        <v>07:00</v>
      </c>
      <c r="C145" s="4" t="str">
        <f>Config!$B$2</f>
        <v>Mae Na Rua</v>
      </c>
      <c r="D145" s="8">
        <v>489.81799999999998</v>
      </c>
      <c r="E145" s="7">
        <v>1707386.3914463001</v>
      </c>
      <c r="F145" s="7">
        <v>611821.21786540013</v>
      </c>
      <c r="G145" s="7">
        <v>0</v>
      </c>
      <c r="H145" s="7">
        <v>633332.48789999995</v>
      </c>
      <c r="I145">
        <v>0</v>
      </c>
      <c r="J145" s="7">
        <v>0</v>
      </c>
      <c r="K145" s="7">
        <v>723.34769158349661</v>
      </c>
      <c r="L145" s="7">
        <v>0</v>
      </c>
    </row>
    <row r="146" spans="1:12">
      <c r="A146" s="6">
        <v>45983</v>
      </c>
      <c r="B146" s="4" t="str">
        <f>Config!$B$3</f>
        <v>07:00</v>
      </c>
      <c r="C146" s="4" t="str">
        <f>Config!$B$2</f>
        <v>Mae Na Rua</v>
      </c>
      <c r="D146" s="8">
        <v>489.774</v>
      </c>
      <c r="E146" s="7">
        <v>1695162.8519716</v>
      </c>
      <c r="F146" s="7">
        <v>489655.21922529989</v>
      </c>
      <c r="G146" s="7">
        <v>0</v>
      </c>
      <c r="H146" s="7">
        <v>501878.75870000001</v>
      </c>
      <c r="I146">
        <v>0</v>
      </c>
      <c r="J146" s="7">
        <v>0</v>
      </c>
      <c r="K146" s="7">
        <v>719.27345659873299</v>
      </c>
      <c r="L146" s="7">
        <v>0</v>
      </c>
    </row>
    <row r="147" spans="1:12">
      <c r="A147" s="6">
        <v>45984</v>
      </c>
      <c r="B147" s="4" t="str">
        <f>Config!$B$3</f>
        <v>07:00</v>
      </c>
      <c r="C147" s="4" t="str">
        <f>Config!$B$2</f>
        <v>Mae Na Rua</v>
      </c>
      <c r="D147" s="8">
        <v>489.75400000000002</v>
      </c>
      <c r="E147" s="7">
        <v>1689066.0691295001</v>
      </c>
      <c r="F147" s="7">
        <v>432691.32345790009</v>
      </c>
      <c r="G147" s="7">
        <v>0</v>
      </c>
      <c r="H147" s="7">
        <v>438788.10629999998</v>
      </c>
      <c r="I147">
        <v>0</v>
      </c>
      <c r="J147" s="7">
        <v>0</v>
      </c>
      <c r="K147" s="7">
        <v>718.52576374382477</v>
      </c>
      <c r="L147" s="7">
        <v>0</v>
      </c>
    </row>
    <row r="148" spans="1:12">
      <c r="A148" s="6">
        <v>45985</v>
      </c>
      <c r="B148" s="4" t="str">
        <f>Config!$B$3</f>
        <v>07:00</v>
      </c>
      <c r="C148" s="4" t="str">
        <f>Config!$B$2</f>
        <v>Mae Na Rua</v>
      </c>
      <c r="D148" s="8">
        <v>489.73399999999998</v>
      </c>
      <c r="E148" s="7">
        <v>1682975.6527668999</v>
      </c>
      <c r="F148" s="7">
        <v>378472.27843739983</v>
      </c>
      <c r="G148" s="7">
        <v>0</v>
      </c>
      <c r="H148" s="7">
        <v>384562.6948</v>
      </c>
      <c r="I148">
        <v>0</v>
      </c>
      <c r="J148" s="7">
        <v>0</v>
      </c>
      <c r="K148" s="7">
        <v>717.78560265973431</v>
      </c>
      <c r="L148" s="7">
        <v>0</v>
      </c>
    </row>
    <row r="149" spans="1:12">
      <c r="A149" s="6">
        <v>45986</v>
      </c>
      <c r="B149" s="4" t="str">
        <f>Config!$B$3</f>
        <v>07:00</v>
      </c>
      <c r="C149" s="4" t="str">
        <f>Config!$B$2</f>
        <v>Mae Na Rua</v>
      </c>
      <c r="D149" s="8">
        <v>489.721</v>
      </c>
      <c r="E149" s="7">
        <v>1679932.8392697</v>
      </c>
      <c r="F149" s="7">
        <v>344831.7553028001</v>
      </c>
      <c r="G149" s="7">
        <v>0</v>
      </c>
      <c r="H149" s="7">
        <v>347874.56880000001</v>
      </c>
      <c r="I149">
        <v>0</v>
      </c>
      <c r="J149" s="7">
        <v>0</v>
      </c>
      <c r="K149" s="7">
        <v>717.41842374947998</v>
      </c>
      <c r="L149" s="7">
        <v>0</v>
      </c>
    </row>
    <row r="150" spans="1:12">
      <c r="A150" s="6">
        <v>45987</v>
      </c>
      <c r="B150" s="4" t="str">
        <f>Config!$B$3</f>
        <v>07:00</v>
      </c>
      <c r="C150" s="4" t="str">
        <f>Config!$B$2</f>
        <v>Mae Na Rua</v>
      </c>
      <c r="D150" s="8">
        <v>489.70898</v>
      </c>
      <c r="E150" s="7">
        <v>1673851.7406957999</v>
      </c>
      <c r="F150" s="7">
        <v>309590.22952609992</v>
      </c>
      <c r="G150" s="7">
        <v>0</v>
      </c>
      <c r="H150" s="7">
        <v>315671.32809999998</v>
      </c>
      <c r="I150">
        <v>0</v>
      </c>
      <c r="J150" s="7">
        <v>0</v>
      </c>
      <c r="K150" s="7">
        <v>716.68993674006697</v>
      </c>
      <c r="L150" s="7">
        <v>0</v>
      </c>
    </row>
    <row r="151" spans="1:12">
      <c r="A151" s="6">
        <v>45988</v>
      </c>
      <c r="B151" s="4" t="str">
        <f>Config!$B$3</f>
        <v>07:00</v>
      </c>
      <c r="C151" s="4" t="str">
        <f>Config!$B$2</f>
        <v>Mae Na Rua</v>
      </c>
      <c r="D151" s="8">
        <v>489.697</v>
      </c>
      <c r="E151" s="7">
        <v>1670813.4823932</v>
      </c>
      <c r="F151" s="7">
        <v>287840.33389740012</v>
      </c>
      <c r="G151" s="7">
        <v>0</v>
      </c>
      <c r="H151" s="7">
        <v>290878.59220000001</v>
      </c>
      <c r="I151">
        <v>0</v>
      </c>
      <c r="J151" s="7">
        <v>0</v>
      </c>
      <c r="K151" s="7">
        <v>716.32845514700307</v>
      </c>
      <c r="L151" s="7">
        <v>0</v>
      </c>
    </row>
    <row r="152" spans="1:12">
      <c r="A152" s="6">
        <v>45989</v>
      </c>
      <c r="B152" s="4" t="str">
        <f>Config!$B$3</f>
        <v>07:00</v>
      </c>
      <c r="C152" s="4" t="str">
        <f>Config!$B$2</f>
        <v>Mae Na Rua</v>
      </c>
      <c r="D152" s="8">
        <v>489.69099999999997</v>
      </c>
      <c r="E152" s="7">
        <v>1670813.4823932</v>
      </c>
      <c r="F152" s="7">
        <v>271018.3982</v>
      </c>
      <c r="G152" s="7">
        <v>0</v>
      </c>
      <c r="H152" s="7">
        <v>271018.3982</v>
      </c>
      <c r="I152">
        <v>0</v>
      </c>
      <c r="J152" s="7">
        <v>0</v>
      </c>
      <c r="K152" s="7">
        <v>716.32845514700307</v>
      </c>
      <c r="L152" s="7">
        <v>0</v>
      </c>
    </row>
    <row r="153" spans="1:12">
      <c r="A153" s="6">
        <v>45990</v>
      </c>
      <c r="B153" s="4" t="str">
        <f>Config!$B$3</f>
        <v>07:00</v>
      </c>
      <c r="C153" s="4" t="str">
        <f>Config!$B$2</f>
        <v>Mae Na Rua</v>
      </c>
      <c r="D153" s="8">
        <v>489.68400000000003</v>
      </c>
      <c r="E153" s="7">
        <v>1667776.8298903999</v>
      </c>
      <c r="F153" s="7">
        <v>251576.49809719989</v>
      </c>
      <c r="G153" s="7">
        <v>0</v>
      </c>
      <c r="H153" s="7">
        <v>254613.15059999999</v>
      </c>
      <c r="I153">
        <v>0</v>
      </c>
      <c r="J153" s="7">
        <v>0</v>
      </c>
      <c r="K153" s="7">
        <v>715.96900675565735</v>
      </c>
      <c r="L153" s="7">
        <v>0</v>
      </c>
    </row>
    <row r="154" spans="1:12">
      <c r="A154" s="6">
        <v>45991</v>
      </c>
      <c r="B154" s="4" t="str">
        <f>Config!$B$3</f>
        <v>07:00</v>
      </c>
      <c r="C154" s="4" t="str">
        <f>Config!$B$2</f>
        <v>Mae Na Rua</v>
      </c>
      <c r="D154" s="8">
        <v>489.68400000000003</v>
      </c>
      <c r="E154" s="7">
        <v>1667776.8298903999</v>
      </c>
      <c r="F154" s="7">
        <v>243890.5024</v>
      </c>
      <c r="G154" s="7">
        <v>0</v>
      </c>
      <c r="H154" s="7">
        <v>243890.5024</v>
      </c>
      <c r="I154">
        <v>0</v>
      </c>
      <c r="J154" s="7">
        <v>0</v>
      </c>
      <c r="K154" s="7">
        <v>715.96900675565735</v>
      </c>
      <c r="L154" s="7">
        <v>0</v>
      </c>
    </row>
    <row r="155" spans="1:12">
      <c r="A155" s="6">
        <v>45992</v>
      </c>
      <c r="B155" s="4" t="str">
        <f>Config!$B$3</f>
        <v>07:00</v>
      </c>
      <c r="C155" s="4" t="str">
        <f>Config!$B$2</f>
        <v>Mae Na Rua</v>
      </c>
      <c r="D155" s="7">
        <v>489.678</v>
      </c>
      <c r="E155" s="7">
        <v>1664741.6725647999</v>
      </c>
      <c r="F155" s="7">
        <v>233896.28084530271</v>
      </c>
      <c r="G155" s="7">
        <v>0</v>
      </c>
      <c r="H155" s="7">
        <v>236252.95740000001</v>
      </c>
      <c r="I155">
        <v>0</v>
      </c>
      <c r="J155" s="7">
        <v>0</v>
      </c>
      <c r="K155" s="7">
        <v>678.48088050287129</v>
      </c>
      <c r="L155" s="7">
        <v>0</v>
      </c>
    </row>
    <row r="156" spans="1:12">
      <c r="A156" s="6">
        <v>45993</v>
      </c>
      <c r="B156" s="4" t="str">
        <f>Config!$B$3</f>
        <v>07:00</v>
      </c>
      <c r="C156" s="4" t="str">
        <f>Config!$B$2</f>
        <v>Mae Na Rua</v>
      </c>
      <c r="D156" s="7">
        <v>489.67099999999999</v>
      </c>
      <c r="E156" s="7">
        <v>1664741.6725647999</v>
      </c>
      <c r="F156" s="7">
        <v>227983.61859999999</v>
      </c>
      <c r="G156" s="7">
        <v>0</v>
      </c>
      <c r="H156" s="7">
        <v>227983.61859999999</v>
      </c>
      <c r="I156">
        <v>0</v>
      </c>
      <c r="J156" s="7">
        <v>0</v>
      </c>
      <c r="K156" s="7">
        <v>678.48088050287129</v>
      </c>
      <c r="L156" s="7">
        <v>0</v>
      </c>
    </row>
    <row r="157" spans="1:12">
      <c r="A157" s="6">
        <v>45994</v>
      </c>
      <c r="B157" s="4" t="str">
        <f>Config!$B$3</f>
        <v>07:00</v>
      </c>
      <c r="C157" s="4" t="str">
        <f>Config!$B$2</f>
        <v>Mae Na Rua</v>
      </c>
      <c r="D157" s="7">
        <v>489.67099999999999</v>
      </c>
      <c r="E157" s="7">
        <v>1664741.6725647999</v>
      </c>
      <c r="F157" s="7">
        <v>220749.81959999999</v>
      </c>
      <c r="G157" s="7">
        <v>0</v>
      </c>
      <c r="H157" s="7">
        <v>220749.81959999999</v>
      </c>
      <c r="I157">
        <v>0</v>
      </c>
      <c r="J157" s="7">
        <v>0</v>
      </c>
      <c r="K157" s="7">
        <v>678.48088050287129</v>
      </c>
      <c r="L157" s="7">
        <v>0</v>
      </c>
    </row>
    <row r="158" spans="1:12">
      <c r="A158" s="6">
        <v>45995</v>
      </c>
      <c r="B158" s="4" t="str">
        <f>Config!$B$3</f>
        <v>07:00</v>
      </c>
      <c r="C158" s="4" t="str">
        <f>Config!$B$2</f>
        <v>Mae Na Rua</v>
      </c>
      <c r="D158" s="7">
        <v>489.66399999999999</v>
      </c>
      <c r="E158" s="7">
        <v>1661708.0167959</v>
      </c>
      <c r="F158" s="7">
        <v>208270.49933110006</v>
      </c>
      <c r="G158" s="7">
        <v>0</v>
      </c>
      <c r="H158" s="7">
        <v>211304.1551</v>
      </c>
      <c r="I158">
        <v>0</v>
      </c>
      <c r="J158" s="7">
        <v>0</v>
      </c>
      <c r="K158" s="7">
        <v>678.14383723379274</v>
      </c>
      <c r="L158" s="7">
        <v>0</v>
      </c>
    </row>
    <row r="159" spans="1:12">
      <c r="A159" s="6">
        <v>45996</v>
      </c>
      <c r="B159" s="4" t="str">
        <f>Config!$B$3</f>
        <v>07:00</v>
      </c>
      <c r="C159" s="4" t="str">
        <f>Config!$B$2</f>
        <v>Mae Na Rua</v>
      </c>
      <c r="D159" s="7">
        <v>489.66399999999999</v>
      </c>
      <c r="E159" s="7">
        <v>1661708.0167959</v>
      </c>
      <c r="F159" s="7">
        <v>203382.0877</v>
      </c>
      <c r="G159" s="7">
        <v>0</v>
      </c>
      <c r="H159" s="7">
        <v>203382.0877</v>
      </c>
      <c r="I159">
        <v>0</v>
      </c>
      <c r="J159" s="7">
        <v>0</v>
      </c>
      <c r="K159" s="7">
        <v>678.14383723379274</v>
      </c>
      <c r="L159" s="7">
        <v>0</v>
      </c>
    </row>
    <row r="160" spans="1:12">
      <c r="A160" s="6">
        <v>45997</v>
      </c>
      <c r="B160" s="4" t="str">
        <f>Config!$B$3</f>
        <v>07:00</v>
      </c>
      <c r="C160" s="4" t="str">
        <f>Config!$B$2</f>
        <v>Mae Na Rua</v>
      </c>
      <c r="D160" s="7">
        <v>489.66399999999999</v>
      </c>
      <c r="E160" s="7">
        <v>1661708.0167959</v>
      </c>
      <c r="F160" s="7">
        <v>194228.53700000001</v>
      </c>
      <c r="G160" s="7">
        <v>0</v>
      </c>
      <c r="H160" s="7">
        <v>194228.53700000001</v>
      </c>
      <c r="I160">
        <v>0</v>
      </c>
      <c r="J160" s="7">
        <v>0</v>
      </c>
      <c r="K160" s="7">
        <v>678.14383723379274</v>
      </c>
      <c r="L160" s="7">
        <v>0</v>
      </c>
    </row>
    <row r="161" spans="1:12">
      <c r="A161" s="6">
        <v>45998</v>
      </c>
      <c r="B161" s="4" t="str">
        <f>Config!$B$3</f>
        <v>07:00</v>
      </c>
      <c r="C161" s="4" t="str">
        <f>Config!$B$2</f>
        <v>Mae Na Rua</v>
      </c>
      <c r="D161" s="7">
        <v>489.65697999999998</v>
      </c>
      <c r="E161" s="7">
        <v>1658675.7961466999</v>
      </c>
      <c r="F161" s="7">
        <v>178011.30405079998</v>
      </c>
      <c r="G161" s="7">
        <v>0</v>
      </c>
      <c r="H161" s="7">
        <v>181043.52470000001</v>
      </c>
      <c r="I161">
        <v>0</v>
      </c>
      <c r="J161" s="7">
        <v>0</v>
      </c>
      <c r="K161" s="7">
        <v>677.80771385419632</v>
      </c>
      <c r="L161" s="7">
        <v>0</v>
      </c>
    </row>
    <row r="162" spans="1:12">
      <c r="A162" s="6">
        <v>45999</v>
      </c>
      <c r="B162" s="4" t="str">
        <f>Config!$B$3</f>
        <v>07:00</v>
      </c>
      <c r="C162" s="4" t="str">
        <f>Config!$B$2</f>
        <v>Mae Na Rua</v>
      </c>
      <c r="D162" s="7">
        <v>489.65697999999998</v>
      </c>
      <c r="E162" s="7">
        <v>1658675.7961466999</v>
      </c>
      <c r="F162" s="7">
        <v>175224.21580000001</v>
      </c>
      <c r="G162" s="7">
        <v>0</v>
      </c>
      <c r="H162" s="7">
        <v>175224.21580000001</v>
      </c>
      <c r="I162">
        <v>0</v>
      </c>
      <c r="J162" s="7">
        <v>0</v>
      </c>
      <c r="K162" s="7">
        <v>677.80771385419632</v>
      </c>
      <c r="L162" s="7">
        <v>0</v>
      </c>
    </row>
    <row r="163" spans="1:12">
      <c r="A163" s="6">
        <v>46000</v>
      </c>
      <c r="B163" s="4" t="str">
        <f>Config!$B$3</f>
        <v>07:00</v>
      </c>
      <c r="C163" s="4" t="str">
        <f>Config!$B$2</f>
        <v>Mae Na Rua</v>
      </c>
      <c r="D163" s="7">
        <v>489.65100000000001</v>
      </c>
      <c r="E163" s="7">
        <v>1658675.7961466999</v>
      </c>
      <c r="F163" s="7">
        <v>162847.2046</v>
      </c>
      <c r="G163" s="7">
        <v>0</v>
      </c>
      <c r="H163" s="7">
        <v>162847.2046</v>
      </c>
      <c r="I163">
        <v>0</v>
      </c>
      <c r="J163" s="7">
        <v>0</v>
      </c>
      <c r="K163" s="7">
        <v>677.80771385419632</v>
      </c>
      <c r="L163" s="7">
        <v>0</v>
      </c>
    </row>
    <row r="164" spans="1:12">
      <c r="A164" s="6">
        <v>46001</v>
      </c>
      <c r="B164" s="4" t="str">
        <f>Config!$B$3</f>
        <v>07:00</v>
      </c>
      <c r="C164" s="4" t="str">
        <f>Config!$B$2</f>
        <v>Mae Na Rua</v>
      </c>
      <c r="D164" s="7">
        <v>489.64499999999998</v>
      </c>
      <c r="E164" s="7">
        <v>1655645.1614623</v>
      </c>
      <c r="F164" s="7">
        <v>156282.94311560006</v>
      </c>
      <c r="G164" s="7">
        <v>0</v>
      </c>
      <c r="H164" s="7">
        <v>159313.5778</v>
      </c>
      <c r="I164">
        <v>0</v>
      </c>
      <c r="J164" s="7">
        <v>0</v>
      </c>
      <c r="K164" s="7">
        <v>677.47177799470535</v>
      </c>
      <c r="L164" s="7">
        <v>0</v>
      </c>
    </row>
    <row r="165" spans="1:12">
      <c r="A165" s="6">
        <v>46002</v>
      </c>
      <c r="B165" s="4" t="str">
        <f>Config!$B$3</f>
        <v>07:00</v>
      </c>
      <c r="C165" s="4" t="str">
        <f>Config!$B$2</f>
        <v>Mae Na Rua</v>
      </c>
      <c r="D165" s="7">
        <v>489.63799999999998</v>
      </c>
      <c r="E165" s="7">
        <v>1652616.0060848999</v>
      </c>
      <c r="F165" s="7">
        <v>144077.8655225999</v>
      </c>
      <c r="G165" s="7">
        <v>0</v>
      </c>
      <c r="H165" s="7">
        <v>147107.0209</v>
      </c>
      <c r="I165">
        <v>0</v>
      </c>
      <c r="J165" s="7">
        <v>0</v>
      </c>
      <c r="K165" s="7">
        <v>677.1340958093208</v>
      </c>
      <c r="L165" s="7">
        <v>0</v>
      </c>
    </row>
    <row r="166" spans="1:12">
      <c r="A166" s="6">
        <v>46003</v>
      </c>
      <c r="B166" s="4" t="str">
        <f>Config!$B$3</f>
        <v>07:00</v>
      </c>
      <c r="C166" s="4" t="str">
        <f>Config!$B$2</f>
        <v>Mae Na Rua</v>
      </c>
      <c r="D166" s="7">
        <v>489.65100000000001</v>
      </c>
      <c r="E166" s="7">
        <v>1658675.7961466999</v>
      </c>
      <c r="F166" s="7">
        <v>160556.59026180004</v>
      </c>
      <c r="G166" s="7">
        <v>0</v>
      </c>
      <c r="H166" s="7">
        <v>154496.8002</v>
      </c>
      <c r="I166">
        <v>0</v>
      </c>
      <c r="J166" s="7">
        <v>0</v>
      </c>
      <c r="K166" s="7">
        <v>677.80771385419632</v>
      </c>
      <c r="L166" s="7">
        <v>0</v>
      </c>
    </row>
    <row r="167" spans="1:12">
      <c r="A167" s="6">
        <v>46004</v>
      </c>
      <c r="B167" s="4" t="str">
        <f>Config!$B$3</f>
        <v>07:00</v>
      </c>
      <c r="C167" s="4" t="str">
        <f>Config!$B$2</f>
        <v>Mae Na Rua</v>
      </c>
      <c r="D167" s="7">
        <v>489.63799999999998</v>
      </c>
      <c r="E167" s="7">
        <v>1652616.0060848999</v>
      </c>
      <c r="F167" s="7">
        <v>142703.97903819996</v>
      </c>
      <c r="G167" s="7">
        <v>0</v>
      </c>
      <c r="H167" s="7">
        <v>148763.7691</v>
      </c>
      <c r="I167">
        <v>0</v>
      </c>
      <c r="J167" s="7">
        <v>0</v>
      </c>
      <c r="K167" s="7">
        <v>677.1340958093208</v>
      </c>
      <c r="L167" s="7">
        <v>0</v>
      </c>
    </row>
    <row r="168" spans="1:12">
      <c r="A168" s="6">
        <v>46005</v>
      </c>
      <c r="B168" s="4" t="str">
        <f>Config!$B$3</f>
        <v>07:00</v>
      </c>
      <c r="C168" s="4" t="str">
        <f>Config!$B$2</f>
        <v>Mae Na Rua</v>
      </c>
      <c r="D168" s="7">
        <v>489.64400000000001</v>
      </c>
      <c r="E168" s="7">
        <v>1655645.1614623</v>
      </c>
      <c r="F168" s="7">
        <v>151583.6275774001</v>
      </c>
      <c r="G168" s="7">
        <v>0</v>
      </c>
      <c r="H168" s="7">
        <v>148554.47219999999</v>
      </c>
      <c r="I168">
        <v>0</v>
      </c>
      <c r="J168" s="7">
        <v>0</v>
      </c>
      <c r="K168" s="7">
        <v>677.47177799470535</v>
      </c>
      <c r="L168" s="7">
        <v>0</v>
      </c>
    </row>
    <row r="169" spans="1:12">
      <c r="A169" s="6">
        <v>46006</v>
      </c>
      <c r="B169" s="4" t="str">
        <f>Config!$B$3</f>
        <v>07:00</v>
      </c>
      <c r="C169" s="4" t="str">
        <f>Config!$B$2</f>
        <v>Mae Na Rua</v>
      </c>
      <c r="D169" s="7">
        <v>489.64400000000001</v>
      </c>
      <c r="E169" s="7">
        <v>1655645.1614623</v>
      </c>
      <c r="F169" s="7">
        <v>147011.24979999999</v>
      </c>
      <c r="G169" s="7">
        <v>0</v>
      </c>
      <c r="H169" s="7">
        <v>147011.24979999999</v>
      </c>
      <c r="I169">
        <v>0</v>
      </c>
      <c r="J169" s="7">
        <v>0</v>
      </c>
      <c r="K169" s="7">
        <v>677.47177799470535</v>
      </c>
      <c r="L169" s="7">
        <v>0</v>
      </c>
    </row>
    <row r="170" spans="1:12">
      <c r="A170" s="6">
        <v>46007</v>
      </c>
      <c r="B170" s="4" t="str">
        <f>Config!$B$3</f>
        <v>07:00</v>
      </c>
      <c r="C170" s="4" t="str">
        <f>Config!$B$2</f>
        <v>Mae Na Rua</v>
      </c>
      <c r="D170" s="7">
        <v>489.63799999999998</v>
      </c>
      <c r="E170" s="7">
        <v>1652616.0060848999</v>
      </c>
      <c r="F170" s="7">
        <v>133506.99842259989</v>
      </c>
      <c r="G170" s="7">
        <v>0</v>
      </c>
      <c r="H170" s="7">
        <v>136536.1538</v>
      </c>
      <c r="I170">
        <v>0</v>
      </c>
      <c r="J170" s="7">
        <v>0</v>
      </c>
      <c r="K170" s="7">
        <v>677.1340958093208</v>
      </c>
      <c r="L170" s="7">
        <v>0</v>
      </c>
    </row>
    <row r="171" spans="1:12">
      <c r="A171" s="6">
        <v>46008</v>
      </c>
      <c r="B171" s="4" t="str">
        <f>Config!$B$3</f>
        <v>07:00</v>
      </c>
      <c r="C171" s="4" t="str">
        <f>Config!$B$2</f>
        <v>Mae Na Rua</v>
      </c>
      <c r="D171" s="7">
        <v>489.63799999999998</v>
      </c>
      <c r="E171" s="7">
        <v>1652616.0060848999</v>
      </c>
      <c r="F171" s="7">
        <v>134938.92069999999</v>
      </c>
      <c r="G171" s="7">
        <v>0</v>
      </c>
      <c r="H171" s="7">
        <v>134938.92069999999</v>
      </c>
      <c r="I171">
        <v>0</v>
      </c>
      <c r="J171" s="7">
        <v>0</v>
      </c>
      <c r="K171" s="7">
        <v>677.1340958093208</v>
      </c>
      <c r="L171" s="7">
        <v>0</v>
      </c>
    </row>
    <row r="172" spans="1:12">
      <c r="A172" s="6">
        <v>46009</v>
      </c>
      <c r="B172" s="4" t="str">
        <f>Config!$B$3</f>
        <v>07:00</v>
      </c>
      <c r="C172" s="4" t="str">
        <f>Config!$B$2</f>
        <v>Mae Na Rua</v>
      </c>
      <c r="D172" s="7">
        <v>489.63099999999997</v>
      </c>
      <c r="E172" s="7">
        <v>1652616.0060848999</v>
      </c>
      <c r="F172" s="7">
        <v>125572.8885</v>
      </c>
      <c r="G172" s="7">
        <v>0</v>
      </c>
      <c r="H172" s="7">
        <v>125572.8885</v>
      </c>
      <c r="I172">
        <v>0</v>
      </c>
      <c r="J172" s="7">
        <v>0</v>
      </c>
      <c r="K172" s="7">
        <v>677.1340958093208</v>
      </c>
      <c r="L172" s="7">
        <v>0</v>
      </c>
    </row>
    <row r="173" spans="1:12">
      <c r="A173" s="6">
        <v>46010</v>
      </c>
      <c r="B173" s="4" t="str">
        <f>Config!$B$3</f>
        <v>07:00</v>
      </c>
      <c r="C173" s="4" t="str">
        <f>Config!$B$2</f>
        <v>Mae Na Rua</v>
      </c>
      <c r="D173" s="7">
        <v>489.625</v>
      </c>
      <c r="E173" s="7">
        <v>1649588.4715396999</v>
      </c>
      <c r="F173" s="7">
        <v>114596.90725480005</v>
      </c>
      <c r="G173" s="7">
        <v>0</v>
      </c>
      <c r="H173" s="7">
        <v>117624.4418</v>
      </c>
      <c r="I173">
        <v>0</v>
      </c>
      <c r="J173" s="7">
        <v>0</v>
      </c>
      <c r="K173" s="7">
        <v>676.79035294076959</v>
      </c>
      <c r="L173" s="7">
        <v>0</v>
      </c>
    </row>
    <row r="174" spans="1:12">
      <c r="A174" s="6">
        <v>46011</v>
      </c>
      <c r="B174" s="4" t="str">
        <f>Config!$B$3</f>
        <v>07:00</v>
      </c>
      <c r="C174" s="4" t="str">
        <f>Config!$B$2</f>
        <v>Mae Na Rua</v>
      </c>
      <c r="D174" s="7">
        <v>489.625</v>
      </c>
      <c r="E174" s="7">
        <v>1649588.4715396999</v>
      </c>
      <c r="F174" s="7">
        <v>108443.3858</v>
      </c>
      <c r="G174" s="7">
        <v>0</v>
      </c>
      <c r="H174" s="7">
        <v>108443.3858</v>
      </c>
      <c r="I174">
        <v>0</v>
      </c>
      <c r="J174" s="7">
        <v>0</v>
      </c>
      <c r="K174" s="7">
        <v>676.79035294076959</v>
      </c>
      <c r="L174" s="7">
        <v>0</v>
      </c>
    </row>
    <row r="175" spans="1:12">
      <c r="A175" s="6">
        <v>46012</v>
      </c>
      <c r="B175" s="4" t="str">
        <f>Config!$B$3</f>
        <v>07:00</v>
      </c>
      <c r="C175" s="4" t="str">
        <f>Config!$B$2</f>
        <v>Mae Na Rua</v>
      </c>
      <c r="D175" s="7">
        <v>489.625</v>
      </c>
      <c r="E175" s="7">
        <v>1649588.4715396999</v>
      </c>
      <c r="F175" s="7">
        <v>111252.38430000001</v>
      </c>
      <c r="G175" s="7">
        <v>0</v>
      </c>
      <c r="H175" s="7">
        <v>111252.38430000001</v>
      </c>
      <c r="I175">
        <v>0</v>
      </c>
      <c r="J175" s="7">
        <v>0</v>
      </c>
      <c r="K175" s="7">
        <v>676.79035294076959</v>
      </c>
      <c r="L175" s="7">
        <v>0</v>
      </c>
    </row>
    <row r="176" spans="1:12">
      <c r="A176" s="6">
        <v>46013</v>
      </c>
      <c r="B176" s="4" t="str">
        <f>Config!$B$3</f>
        <v>07:00</v>
      </c>
      <c r="C176" s="4" t="str">
        <f>Config!$B$2</f>
        <v>Mae Na Rua</v>
      </c>
      <c r="D176" s="7">
        <v>489.625</v>
      </c>
      <c r="E176" s="7">
        <v>1649588.4715396999</v>
      </c>
      <c r="F176" s="7">
        <v>104163.86380000001</v>
      </c>
      <c r="G176" s="7">
        <v>0</v>
      </c>
      <c r="H176" s="7">
        <v>104163.86380000001</v>
      </c>
      <c r="I176">
        <v>0</v>
      </c>
      <c r="J176" s="7">
        <v>0</v>
      </c>
      <c r="K176" s="7">
        <v>676.79035294076959</v>
      </c>
      <c r="L176" s="7">
        <v>0</v>
      </c>
    </row>
    <row r="177" spans="1:12">
      <c r="A177" s="6">
        <v>46014</v>
      </c>
      <c r="B177" s="4" t="str">
        <f>Config!$B$3</f>
        <v>07:00</v>
      </c>
      <c r="C177" s="4" t="str">
        <f>Config!$B$2</f>
        <v>Mae Na Rua</v>
      </c>
      <c r="D177" s="7">
        <v>489.61799999999999</v>
      </c>
      <c r="E177" s="7">
        <v>1646562.4785364</v>
      </c>
      <c r="F177" s="7">
        <v>97013.389796700081</v>
      </c>
      <c r="G177" s="7">
        <v>0</v>
      </c>
      <c r="H177" s="7">
        <v>100039.38280000001</v>
      </c>
      <c r="I177">
        <v>0</v>
      </c>
      <c r="J177" s="7">
        <v>0</v>
      </c>
      <c r="K177" s="7">
        <v>676.43022405088709</v>
      </c>
      <c r="L177" s="7">
        <v>0</v>
      </c>
    </row>
    <row r="178" spans="1:12">
      <c r="A178" s="6">
        <v>46015</v>
      </c>
      <c r="B178" s="4" t="str">
        <f>Config!$B$3</f>
        <v>07:00</v>
      </c>
      <c r="C178" s="4" t="str">
        <f>Config!$B$2</f>
        <v>Mae Na Rua</v>
      </c>
      <c r="D178" s="7">
        <v>489.61799999999999</v>
      </c>
      <c r="E178" s="7">
        <v>1646562.4785364</v>
      </c>
      <c r="F178" s="7">
        <v>96713.272689999998</v>
      </c>
      <c r="G178" s="7">
        <v>0</v>
      </c>
      <c r="H178" s="7">
        <v>96713.272689999998</v>
      </c>
      <c r="I178">
        <v>0</v>
      </c>
      <c r="J178" s="7">
        <v>0</v>
      </c>
      <c r="K178" s="7">
        <v>676.43022405088709</v>
      </c>
      <c r="L178" s="7">
        <v>0</v>
      </c>
    </row>
    <row r="179" spans="1:12">
      <c r="A179" s="6">
        <v>46016</v>
      </c>
      <c r="B179" s="4" t="str">
        <f>Config!$B$3</f>
        <v>07:00</v>
      </c>
      <c r="C179" s="4" t="str">
        <f>Config!$B$2</f>
        <v>Mae Na Rua</v>
      </c>
      <c r="D179" s="7">
        <v>489.61799999999999</v>
      </c>
      <c r="E179" s="7">
        <v>1646562.4785364</v>
      </c>
      <c r="F179" s="7">
        <v>98785.285319999995</v>
      </c>
      <c r="G179" s="7">
        <v>0</v>
      </c>
      <c r="H179" s="7">
        <v>98785.285319999995</v>
      </c>
      <c r="I179">
        <v>0</v>
      </c>
      <c r="J179" s="7">
        <v>0</v>
      </c>
      <c r="K179" s="7">
        <v>676.43022405088709</v>
      </c>
      <c r="L179" s="7">
        <v>0</v>
      </c>
    </row>
    <row r="180" spans="1:12">
      <c r="A180" s="6">
        <v>46017</v>
      </c>
      <c r="B180" s="4" t="str">
        <f>Config!$B$3</f>
        <v>07:00</v>
      </c>
      <c r="C180" s="4" t="str">
        <f>Config!$B$2</f>
        <v>Mae Na Rua</v>
      </c>
      <c r="D180" s="7">
        <v>489.61900000000003</v>
      </c>
      <c r="E180" s="7">
        <v>1646562.4785364</v>
      </c>
      <c r="F180" s="7">
        <v>97392.949030000003</v>
      </c>
      <c r="G180" s="7">
        <v>0</v>
      </c>
      <c r="H180" s="7">
        <v>97392.949030000003</v>
      </c>
      <c r="I180">
        <v>0</v>
      </c>
      <c r="J180" s="7">
        <v>0</v>
      </c>
      <c r="K180" s="7">
        <v>676.43022405088709</v>
      </c>
      <c r="L180" s="7">
        <v>0</v>
      </c>
    </row>
    <row r="181" spans="1:12">
      <c r="A181" s="6">
        <v>46018</v>
      </c>
      <c r="B181" s="4" t="str">
        <f>Config!$B$3</f>
        <v>07:00</v>
      </c>
      <c r="C181" s="4" t="str">
        <f>Config!$B$2</f>
        <v>Mae Na Rua</v>
      </c>
      <c r="D181" s="7">
        <v>489.61799999999999</v>
      </c>
      <c r="E181" s="7">
        <v>1646562.4785364</v>
      </c>
      <c r="F181" s="7">
        <v>90527.126170000003</v>
      </c>
      <c r="G181" s="7">
        <v>0</v>
      </c>
      <c r="H181" s="7">
        <v>90527.126170000003</v>
      </c>
      <c r="I181">
        <v>0</v>
      </c>
      <c r="J181" s="7">
        <v>0</v>
      </c>
      <c r="K181" s="7">
        <v>676.43022405088709</v>
      </c>
      <c r="L181" s="7">
        <v>0</v>
      </c>
    </row>
    <row r="182" spans="1:12">
      <c r="A182" s="6">
        <v>46019</v>
      </c>
      <c r="B182" s="4" t="str">
        <f>Config!$B$3</f>
        <v>07:00</v>
      </c>
      <c r="C182" s="4" t="str">
        <f>Config!$B$2</f>
        <v>Mae Na Rua</v>
      </c>
      <c r="D182" s="7">
        <v>489.61200000000002</v>
      </c>
      <c r="E182" s="7">
        <v>1646562.4785364</v>
      </c>
      <c r="F182" s="7">
        <v>83258.237940000006</v>
      </c>
      <c r="G182" s="7">
        <v>0</v>
      </c>
      <c r="H182" s="7">
        <v>83258.237940000006</v>
      </c>
      <c r="I182">
        <v>0</v>
      </c>
      <c r="J182" s="7">
        <v>0</v>
      </c>
      <c r="K182" s="7">
        <v>676.43022405088709</v>
      </c>
      <c r="L182" s="7">
        <v>0</v>
      </c>
    </row>
    <row r="183" spans="1:12">
      <c r="A183" s="6">
        <v>46020</v>
      </c>
      <c r="B183" s="4" t="str">
        <f>Config!$B$3</f>
        <v>07:00</v>
      </c>
      <c r="C183" s="4" t="str">
        <f>Config!$B$2</f>
        <v>Mae Na Rua</v>
      </c>
      <c r="D183" s="7">
        <v>489.60599999999999</v>
      </c>
      <c r="E183" s="7">
        <v>1643538.2164867001</v>
      </c>
      <c r="F183" s="7">
        <v>75859.2213603001</v>
      </c>
      <c r="G183" s="7">
        <v>0</v>
      </c>
      <c r="H183" s="7">
        <v>78883.483410000001</v>
      </c>
      <c r="I183">
        <v>0</v>
      </c>
      <c r="J183" s="7">
        <v>0</v>
      </c>
      <c r="K183" s="7">
        <v>674.67092939357383</v>
      </c>
      <c r="L183" s="7">
        <v>0</v>
      </c>
    </row>
    <row r="184" spans="1:12">
      <c r="A184" s="6">
        <v>46021</v>
      </c>
      <c r="B184" s="4" t="str">
        <f>Config!$B$3</f>
        <v>07:00</v>
      </c>
      <c r="C184" s="4" t="str">
        <f>Config!$B$2</f>
        <v>Mae Na Rua</v>
      </c>
      <c r="D184" s="7">
        <v>489.60599999999999</v>
      </c>
      <c r="E184" s="7">
        <v>1643538.2164867001</v>
      </c>
      <c r="F184" s="7">
        <v>71967.533649999998</v>
      </c>
      <c r="G184" s="7">
        <v>0</v>
      </c>
      <c r="H184" s="7">
        <v>71967.533649999998</v>
      </c>
      <c r="I184">
        <v>0</v>
      </c>
      <c r="J184" s="7">
        <v>0</v>
      </c>
      <c r="K184" s="7">
        <v>674.67092939357383</v>
      </c>
      <c r="L184" s="7">
        <v>0</v>
      </c>
    </row>
    <row r="185" spans="1:12">
      <c r="A185" s="6">
        <v>46022</v>
      </c>
      <c r="B185" s="4" t="str">
        <f>Config!$B$3</f>
        <v>07:00</v>
      </c>
      <c r="C185" s="4" t="str">
        <f>Config!$B$2</f>
        <v>Mae Na Rua</v>
      </c>
      <c r="D185" s="7">
        <v>489.60599999999999</v>
      </c>
      <c r="E185" s="7">
        <v>1643538.2164867001</v>
      </c>
      <c r="F185" s="7">
        <v>68645.615040000004</v>
      </c>
      <c r="G185" s="7">
        <v>0</v>
      </c>
      <c r="H185" s="7">
        <v>68645.615040000004</v>
      </c>
      <c r="I185">
        <v>0</v>
      </c>
      <c r="J185" s="7">
        <v>0</v>
      </c>
      <c r="K185" s="7">
        <v>674.67092939357383</v>
      </c>
      <c r="L185" s="7">
        <v>0</v>
      </c>
    </row>
    <row r="186" spans="1:12">
      <c r="A186" s="6">
        <v>46023</v>
      </c>
      <c r="B186" s="4" t="str">
        <f>Config!$B$3</f>
        <v>07:00</v>
      </c>
      <c r="C186" s="4" t="str">
        <f>Config!$B$2</f>
        <v>Mae Na Rua</v>
      </c>
      <c r="D186" s="7">
        <v>489.60599999999999</v>
      </c>
      <c r="E186" s="7">
        <v>1643538.2164867001</v>
      </c>
      <c r="F186" s="7">
        <v>78096.91282609367</v>
      </c>
      <c r="G186" s="7">
        <v>0</v>
      </c>
      <c r="H186" s="7">
        <v>77422.241410000002</v>
      </c>
      <c r="I186">
        <v>0</v>
      </c>
      <c r="J186" s="7">
        <v>0</v>
      </c>
      <c r="K186" s="7">
        <v>674.67092939357383</v>
      </c>
      <c r="L186" s="7">
        <v>0</v>
      </c>
    </row>
    <row r="187" spans="1:12">
      <c r="A187" s="6">
        <v>46024</v>
      </c>
      <c r="B187" s="4" t="str">
        <f>Config!$B$3</f>
        <v>07:00</v>
      </c>
      <c r="C187" s="4" t="str">
        <f>Config!$B$2</f>
        <v>Mae Na Rua</v>
      </c>
      <c r="D187" s="7">
        <v>489.59899999999999</v>
      </c>
      <c r="E187" s="7">
        <v>1640521.8742390999</v>
      </c>
      <c r="F187" s="7">
        <v>69605.903878021491</v>
      </c>
      <c r="G187" s="7">
        <v>0</v>
      </c>
      <c r="H187" s="7">
        <v>71947.999150000003</v>
      </c>
      <c r="I187">
        <v>0</v>
      </c>
      <c r="J187" s="7">
        <v>0</v>
      </c>
      <c r="K187" s="7">
        <v>674.24697562169081</v>
      </c>
      <c r="L187" s="7">
        <v>0</v>
      </c>
    </row>
    <row r="188" spans="1:12">
      <c r="A188" s="6">
        <v>46025</v>
      </c>
      <c r="B188" s="4" t="str">
        <f>Config!$B$3</f>
        <v>07:00</v>
      </c>
      <c r="C188" s="4" t="str">
        <f>Config!$B$2</f>
        <v>Mae Na Rua</v>
      </c>
      <c r="D188" s="7">
        <v>489.59899999999999</v>
      </c>
      <c r="E188" s="7">
        <v>1640521.8742390999</v>
      </c>
      <c r="F188" s="7">
        <v>68975.025125621687</v>
      </c>
      <c r="G188" s="7">
        <v>0</v>
      </c>
      <c r="H188" s="7">
        <v>68300.778149999998</v>
      </c>
      <c r="I188">
        <v>0</v>
      </c>
      <c r="J188" s="7">
        <v>0</v>
      </c>
      <c r="K188" s="7">
        <v>674.24697562169081</v>
      </c>
      <c r="L188" s="7">
        <v>0</v>
      </c>
    </row>
    <row r="189" spans="1:12">
      <c r="A189" s="6">
        <v>46026</v>
      </c>
      <c r="B189" s="4" t="str">
        <f>Config!$B$3</f>
        <v>07:00</v>
      </c>
      <c r="C189" s="4" t="str">
        <f>Config!$B$2</f>
        <v>Mae Na Rua</v>
      </c>
      <c r="D189" s="7">
        <v>489.59899999999999</v>
      </c>
      <c r="E189" s="7">
        <v>1640521.8742390999</v>
      </c>
      <c r="F189" s="7">
        <v>66857.844585621686</v>
      </c>
      <c r="G189" s="7">
        <v>0</v>
      </c>
      <c r="H189" s="7">
        <v>66183.597609999997</v>
      </c>
      <c r="I189">
        <v>0</v>
      </c>
      <c r="J189" s="7">
        <v>0</v>
      </c>
      <c r="K189" s="7">
        <v>674.24697562169081</v>
      </c>
      <c r="L189" s="7">
        <v>0</v>
      </c>
    </row>
    <row r="190" spans="1:12">
      <c r="A190" s="6">
        <v>46027</v>
      </c>
      <c r="B190" s="4" t="str">
        <f>Config!$B$3</f>
        <v>07:00</v>
      </c>
      <c r="C190" s="4" t="str">
        <f>Config!$B$2</f>
        <v>Mae Na Rua</v>
      </c>
      <c r="D190" s="7">
        <v>489.59300000000002</v>
      </c>
      <c r="E190" s="7">
        <v>1640521.8742390999</v>
      </c>
      <c r="F190" s="7">
        <v>55365.614115621691</v>
      </c>
      <c r="G190" s="7">
        <v>0</v>
      </c>
      <c r="H190" s="7">
        <v>54691.367140000002</v>
      </c>
      <c r="I190">
        <v>0</v>
      </c>
      <c r="J190" s="7">
        <v>0</v>
      </c>
      <c r="K190" s="7">
        <v>674.24697562169081</v>
      </c>
      <c r="L190" s="7">
        <v>0</v>
      </c>
    </row>
    <row r="191" spans="1:12">
      <c r="A191" s="6">
        <v>46028</v>
      </c>
      <c r="B191" s="4" t="str">
        <f>Config!$B$3</f>
        <v>07:00</v>
      </c>
      <c r="C191" s="4" t="str">
        <f>Config!$B$2</f>
        <v>Mae Na Rua</v>
      </c>
      <c r="D191" s="7">
        <v>489.58699999999999</v>
      </c>
      <c r="E191" s="7">
        <v>1637507.2197397</v>
      </c>
      <c r="F191" s="7">
        <v>47660.33264337013</v>
      </c>
      <c r="G191" s="7">
        <v>3018.6</v>
      </c>
      <c r="H191" s="7">
        <v>46982.487789999999</v>
      </c>
      <c r="I191">
        <v>0</v>
      </c>
      <c r="J191" s="7">
        <v>0</v>
      </c>
      <c r="K191" s="7">
        <v>673.89935277006953</v>
      </c>
      <c r="L191" s="7">
        <v>0</v>
      </c>
    </row>
    <row r="192" spans="1:12">
      <c r="A192" s="6">
        <v>46029</v>
      </c>
      <c r="B192" s="4" t="str">
        <f>Config!$B$3</f>
        <v>07:00</v>
      </c>
      <c r="C192" s="4" t="str">
        <f>Config!$B$2</f>
        <v>Mae Na Rua</v>
      </c>
      <c r="D192" s="7">
        <v>489.57499999999999</v>
      </c>
      <c r="E192" s="7">
        <v>1634494.0165122999</v>
      </c>
      <c r="F192" s="7">
        <v>21863.172234242826</v>
      </c>
      <c r="G192" s="7">
        <v>5572.7999999999993</v>
      </c>
      <c r="H192" s="7">
        <v>18630.02349</v>
      </c>
      <c r="I192">
        <v>0</v>
      </c>
      <c r="J192" s="7">
        <v>0</v>
      </c>
      <c r="K192" s="7">
        <v>673.55197164290666</v>
      </c>
      <c r="L192" s="7">
        <v>0</v>
      </c>
    </row>
    <row r="193" spans="1:13">
      <c r="A193" s="6">
        <v>46030</v>
      </c>
      <c r="B193" s="4" t="str">
        <f>Config!$B$3</f>
        <v>07:00</v>
      </c>
      <c r="C193" s="4" t="str">
        <f>Config!$B$2</f>
        <v>Mae Na Rua</v>
      </c>
      <c r="D193" s="7">
        <v>489.54199999999997</v>
      </c>
      <c r="E193" s="7">
        <v>1625463.7590197001</v>
      </c>
      <c r="F193" s="7">
        <v>0</v>
      </c>
      <c r="G193" s="7">
        <v>2554.1999999999998</v>
      </c>
      <c r="H193" s="7">
        <v>333.7706771</v>
      </c>
      <c r="I193">
        <v>0</v>
      </c>
      <c r="J193" s="7">
        <v>0</v>
      </c>
      <c r="K193" s="7">
        <v>672.51407594385523</v>
      </c>
      <c r="L193" s="7">
        <v>0</v>
      </c>
      <c r="M193" s="7">
        <v>1</v>
      </c>
    </row>
    <row r="194" spans="1:13">
      <c r="A194" s="6">
        <v>46031</v>
      </c>
      <c r="B194" s="4" t="str">
        <f>Config!$B$3</f>
        <v>07:00</v>
      </c>
      <c r="C194" s="4" t="str">
        <f>Config!$B$2</f>
        <v>Mae Na Rua</v>
      </c>
      <c r="D194" s="7">
        <v>489.54300000000001</v>
      </c>
      <c r="E194" s="7">
        <v>1625463.7590197001</v>
      </c>
      <c r="F194" s="7">
        <v>3295.9428019438556</v>
      </c>
      <c r="G194" s="7">
        <v>0</v>
      </c>
      <c r="H194" s="7">
        <v>2623.4287260000001</v>
      </c>
      <c r="I194">
        <v>0</v>
      </c>
      <c r="J194" s="7">
        <v>0</v>
      </c>
      <c r="K194" s="7">
        <v>672.51407594385523</v>
      </c>
      <c r="L194" s="7">
        <v>0</v>
      </c>
    </row>
    <row r="195" spans="1:13">
      <c r="A195" s="6">
        <v>46032</v>
      </c>
      <c r="B195" s="4" t="str">
        <f>Config!$B$3</f>
        <v>07:00</v>
      </c>
      <c r="C195" s="4" t="str">
        <f>Config!$B$2</f>
        <v>Mae Na Rua</v>
      </c>
      <c r="D195" s="7">
        <v>489.55599999999998</v>
      </c>
      <c r="E195" s="7">
        <v>1628472.3057532001</v>
      </c>
      <c r="F195" s="7">
        <v>9477.7434247584279</v>
      </c>
      <c r="G195" s="7">
        <v>0</v>
      </c>
      <c r="H195" s="7">
        <v>5796.3379560000003</v>
      </c>
      <c r="I195">
        <v>0</v>
      </c>
      <c r="J195" s="7">
        <v>0</v>
      </c>
      <c r="K195" s="7">
        <v>672.85873525845818</v>
      </c>
      <c r="L195" s="7">
        <v>0</v>
      </c>
    </row>
    <row r="196" spans="1:13">
      <c r="A196" s="6">
        <v>46033</v>
      </c>
      <c r="B196" s="4" t="str">
        <f>Config!$B$3</f>
        <v>07:00</v>
      </c>
      <c r="C196" s="4" t="str">
        <f>Config!$B$2</f>
        <v>Mae Na Rua</v>
      </c>
      <c r="D196" s="7">
        <v>489.55500000000001</v>
      </c>
      <c r="E196" s="7">
        <v>1628472.3057532001</v>
      </c>
      <c r="F196" s="7">
        <v>9670.7438592584585</v>
      </c>
      <c r="G196" s="7">
        <v>0</v>
      </c>
      <c r="H196" s="7">
        <v>8997.8851240000004</v>
      </c>
      <c r="I196">
        <v>0</v>
      </c>
      <c r="J196" s="7">
        <v>0</v>
      </c>
      <c r="K196" s="7">
        <v>672.85873525845818</v>
      </c>
      <c r="L196" s="7">
        <v>0</v>
      </c>
    </row>
    <row r="197" spans="1:13">
      <c r="A197" s="6">
        <v>46034</v>
      </c>
      <c r="B197" s="4" t="str">
        <f>Config!$B$3</f>
        <v>07:00</v>
      </c>
      <c r="C197" s="4" t="str">
        <f>Config!$B$2</f>
        <v>Mae Na Rua</v>
      </c>
      <c r="D197" s="7">
        <v>489.56099999999998</v>
      </c>
      <c r="E197" s="7">
        <v>1631482.3951735001</v>
      </c>
      <c r="F197" s="7">
        <v>16398.032062075275</v>
      </c>
      <c r="G197" s="7">
        <v>0</v>
      </c>
      <c r="H197" s="7">
        <v>12714.737880000001</v>
      </c>
      <c r="I197">
        <v>0</v>
      </c>
      <c r="J197" s="7">
        <v>0</v>
      </c>
      <c r="K197" s="7">
        <v>673.20476177529929</v>
      </c>
      <c r="L197" s="7">
        <v>0</v>
      </c>
    </row>
    <row r="198" spans="1:13">
      <c r="A198" s="6">
        <v>46035</v>
      </c>
      <c r="B198" s="4" t="str">
        <f>Config!$B$3</f>
        <v>07:00</v>
      </c>
      <c r="C198" s="4" t="str">
        <f>Config!$B$2</f>
        <v>Mae Na Rua</v>
      </c>
      <c r="D198" s="7">
        <v>489.56099999999998</v>
      </c>
      <c r="E198" s="7">
        <v>1631482.3951735001</v>
      </c>
      <c r="F198" s="7">
        <v>15268.1274817753</v>
      </c>
      <c r="G198" s="7">
        <v>0</v>
      </c>
      <c r="H198" s="7">
        <v>14594.92272</v>
      </c>
      <c r="I198">
        <v>0</v>
      </c>
      <c r="J198" s="7">
        <v>0</v>
      </c>
      <c r="K198" s="7">
        <v>673.20476177529929</v>
      </c>
      <c r="L198" s="7">
        <v>0</v>
      </c>
    </row>
    <row r="199" spans="1:13">
      <c r="A199" s="6">
        <v>46036</v>
      </c>
      <c r="B199" s="4" t="str">
        <f>Config!$B$3</f>
        <v>07:00</v>
      </c>
      <c r="C199" s="4" t="str">
        <f>Config!$B$2</f>
        <v>Mae Na Rua</v>
      </c>
      <c r="D199" s="7">
        <v>489.56799999999998</v>
      </c>
      <c r="E199" s="7">
        <v>1631482.3951735001</v>
      </c>
      <c r="F199" s="7">
        <v>18926.447071775299</v>
      </c>
      <c r="G199" s="7">
        <v>0</v>
      </c>
      <c r="H199" s="7">
        <v>18253.242310000001</v>
      </c>
      <c r="I199">
        <v>0</v>
      </c>
      <c r="J199" s="7">
        <v>0</v>
      </c>
      <c r="K199" s="7">
        <v>673.20476177529929</v>
      </c>
      <c r="L199" s="7">
        <v>0</v>
      </c>
    </row>
    <row r="200" spans="1:13">
      <c r="A200" s="6">
        <v>46037</v>
      </c>
      <c r="B200" s="4" t="str">
        <f>Config!$B$3</f>
        <v>07:00</v>
      </c>
      <c r="C200" s="4" t="str">
        <f>Config!$B$2</f>
        <v>Mae Na Rua</v>
      </c>
      <c r="D200" s="7">
        <v>489.56799999999998</v>
      </c>
      <c r="E200" s="7">
        <v>1631482.3951735001</v>
      </c>
      <c r="F200" s="7">
        <v>21424.640561775297</v>
      </c>
      <c r="G200" s="7">
        <v>0</v>
      </c>
      <c r="H200" s="7">
        <v>20751.435799999999</v>
      </c>
      <c r="I200">
        <v>0</v>
      </c>
      <c r="J200" s="7">
        <v>0</v>
      </c>
      <c r="K200" s="7">
        <v>673.20476177529929</v>
      </c>
      <c r="L200" s="7">
        <v>0</v>
      </c>
    </row>
    <row r="201" spans="1:13">
      <c r="A201" s="6">
        <v>46038</v>
      </c>
      <c r="B201" s="4" t="str">
        <f>Config!$B$3</f>
        <v>07:00</v>
      </c>
      <c r="C201" s="4" t="str">
        <f>Config!$B$2</f>
        <v>Mae Na Rua</v>
      </c>
      <c r="D201" s="7">
        <v>489.56799999999998</v>
      </c>
      <c r="E201" s="7">
        <v>1631482.3951735001</v>
      </c>
      <c r="F201" s="7">
        <v>21919.954611775298</v>
      </c>
      <c r="G201" s="7">
        <v>0</v>
      </c>
      <c r="H201" s="7">
        <v>21246.74985</v>
      </c>
      <c r="I201">
        <v>0</v>
      </c>
      <c r="J201" s="7">
        <v>0</v>
      </c>
      <c r="K201" s="7">
        <v>673.20476177529929</v>
      </c>
      <c r="L201" s="7">
        <v>0</v>
      </c>
    </row>
    <row r="202" spans="1:13">
      <c r="A202" s="6">
        <v>46039</v>
      </c>
      <c r="B202" s="4" t="str">
        <f>Config!$B$3</f>
        <v>07:00</v>
      </c>
      <c r="C202" s="4" t="str">
        <f>Config!$B$2</f>
        <v>Mae Na Rua</v>
      </c>
      <c r="D202" s="7">
        <v>489.56799999999998</v>
      </c>
      <c r="E202" s="7">
        <v>1631482.3951735001</v>
      </c>
      <c r="F202" s="7">
        <v>20765.388931775298</v>
      </c>
      <c r="G202" s="7">
        <v>0</v>
      </c>
      <c r="H202" s="7">
        <v>20092.18417</v>
      </c>
      <c r="I202">
        <v>0</v>
      </c>
      <c r="J202" s="7">
        <v>0</v>
      </c>
      <c r="K202" s="7">
        <v>673.20476177529929</v>
      </c>
      <c r="L202" s="7">
        <v>0</v>
      </c>
    </row>
    <row r="203" spans="1:13">
      <c r="A203" s="6">
        <v>46040</v>
      </c>
      <c r="B203" s="4" t="str">
        <f>Config!$B$3</f>
        <v>07:00</v>
      </c>
      <c r="C203" s="4" t="str">
        <f>Config!$B$2</f>
        <v>Mae Na Rua</v>
      </c>
      <c r="D203" s="7">
        <v>489.56799999999998</v>
      </c>
      <c r="E203" s="7">
        <v>1631482.3951735001</v>
      </c>
      <c r="F203" s="7">
        <v>17617.496071775298</v>
      </c>
      <c r="G203" s="7">
        <v>0</v>
      </c>
      <c r="H203" s="7">
        <v>16944.291310000001</v>
      </c>
      <c r="I203">
        <v>0</v>
      </c>
      <c r="J203" s="7">
        <v>0</v>
      </c>
      <c r="K203" s="7">
        <v>673.20476177529929</v>
      </c>
      <c r="L203" s="7">
        <v>0</v>
      </c>
    </row>
    <row r="204" spans="1:13">
      <c r="A204" s="6">
        <v>46041</v>
      </c>
      <c r="B204" s="4" t="str">
        <f>Config!$B$3</f>
        <v>07:00</v>
      </c>
      <c r="C204" s="4" t="str">
        <f>Config!$B$2</f>
        <v>Mae Na Rua</v>
      </c>
      <c r="D204" s="7">
        <v>489.56799999999998</v>
      </c>
      <c r="E204" s="7">
        <v>1631482.3951735001</v>
      </c>
      <c r="F204" s="7">
        <v>17352.360781775296</v>
      </c>
      <c r="G204" s="7">
        <v>0</v>
      </c>
      <c r="H204" s="7">
        <v>16679.156019999999</v>
      </c>
      <c r="I204">
        <v>0</v>
      </c>
      <c r="J204" s="7">
        <v>0</v>
      </c>
      <c r="K204" s="7">
        <v>673.20476177529929</v>
      </c>
      <c r="L204" s="7">
        <v>0</v>
      </c>
    </row>
    <row r="205" spans="1:13">
      <c r="A205" s="6">
        <v>46042</v>
      </c>
      <c r="B205" s="4" t="str">
        <f>Config!$B$3</f>
        <v>07:00</v>
      </c>
      <c r="C205" s="4" t="str">
        <f>Config!$B$2</f>
        <v>Mae Na Rua</v>
      </c>
      <c r="D205" s="7">
        <v>489.56799999999998</v>
      </c>
      <c r="E205" s="7">
        <v>1631482.3951735001</v>
      </c>
      <c r="F205" s="7">
        <v>17498.205981775296</v>
      </c>
      <c r="G205" s="7">
        <v>0</v>
      </c>
      <c r="H205" s="7">
        <v>16825.001219999998</v>
      </c>
      <c r="I205">
        <v>0</v>
      </c>
      <c r="J205" s="7">
        <v>0</v>
      </c>
      <c r="K205" s="7">
        <v>673.20476177529929</v>
      </c>
      <c r="L205" s="7">
        <v>0</v>
      </c>
    </row>
    <row r="206" spans="1:13">
      <c r="A206" s="6">
        <v>46043</v>
      </c>
      <c r="B206" s="4" t="str">
        <f>Config!$B$3</f>
        <v>07:00</v>
      </c>
      <c r="C206" s="4" t="str">
        <f>Config!$B$2</f>
        <v>Mae Na Rua</v>
      </c>
      <c r="D206" s="7">
        <v>489.56799999999998</v>
      </c>
      <c r="E206" s="7">
        <v>1631482.3951735001</v>
      </c>
      <c r="F206" s="7">
        <v>13926.703331775299</v>
      </c>
      <c r="G206" s="7">
        <v>0</v>
      </c>
      <c r="H206" s="7">
        <v>13253.49857</v>
      </c>
      <c r="I206">
        <v>0</v>
      </c>
      <c r="J206" s="7">
        <v>0</v>
      </c>
      <c r="K206" s="7">
        <v>673.20476177529929</v>
      </c>
      <c r="L206" s="7">
        <v>0</v>
      </c>
    </row>
    <row r="207" spans="1:13">
      <c r="A207" s="6">
        <v>46044</v>
      </c>
      <c r="B207" s="4" t="str">
        <f>Config!$B$3</f>
        <v>07:00</v>
      </c>
      <c r="C207" s="4" t="str">
        <f>Config!$B$2</f>
        <v>Mae Na Rua</v>
      </c>
      <c r="D207" s="7">
        <v>489.56099999999998</v>
      </c>
      <c r="E207" s="7">
        <v>1631482.3951735001</v>
      </c>
      <c r="F207" s="7">
        <v>12319.036451775301</v>
      </c>
      <c r="G207" s="7">
        <v>0</v>
      </c>
      <c r="H207" s="7">
        <v>11645.831690000001</v>
      </c>
      <c r="I207">
        <v>0</v>
      </c>
      <c r="J207" s="7">
        <v>0</v>
      </c>
      <c r="K207" s="7">
        <v>673.20476177529929</v>
      </c>
      <c r="L207" s="7">
        <v>0</v>
      </c>
    </row>
    <row r="208" spans="1:13">
      <c r="A208" s="6">
        <v>46045</v>
      </c>
      <c r="B208" s="4" t="str">
        <f>Config!$B$3</f>
        <v>07:00</v>
      </c>
      <c r="C208" s="4" t="str">
        <f>Config!$B$2</f>
        <v>Mae Na Rua</v>
      </c>
      <c r="D208" s="7">
        <v>489.56</v>
      </c>
      <c r="E208" s="7">
        <v>1631482.3951735001</v>
      </c>
      <c r="F208" s="7">
        <v>13947.703351775299</v>
      </c>
      <c r="G208" s="7">
        <v>0</v>
      </c>
      <c r="H208" s="7">
        <v>13274.498589999999</v>
      </c>
      <c r="I208">
        <v>0</v>
      </c>
      <c r="J208" s="7">
        <v>0</v>
      </c>
      <c r="K208" s="7">
        <v>673.20476177529929</v>
      </c>
      <c r="L208" s="7">
        <v>0</v>
      </c>
    </row>
    <row r="209" spans="1:12">
      <c r="A209" s="6">
        <v>46046</v>
      </c>
      <c r="B209" s="4" t="str">
        <f>Config!$B$3</f>
        <v>07:00</v>
      </c>
      <c r="C209" s="4" t="str">
        <f>Config!$B$2</f>
        <v>Mae Na Rua</v>
      </c>
      <c r="D209" s="7">
        <v>489.56700000000001</v>
      </c>
      <c r="E209" s="7">
        <v>1631482.3951735001</v>
      </c>
      <c r="F209" s="7">
        <v>14863.8579017753</v>
      </c>
      <c r="G209" s="7">
        <v>0</v>
      </c>
      <c r="H209" s="7">
        <v>14190.65314</v>
      </c>
      <c r="I209">
        <v>0</v>
      </c>
      <c r="J209" s="7">
        <v>0</v>
      </c>
      <c r="K209" s="7">
        <v>673.20476177529929</v>
      </c>
      <c r="L209" s="7">
        <v>0</v>
      </c>
    </row>
    <row r="210" spans="1:12">
      <c r="A210" s="6">
        <v>46047</v>
      </c>
      <c r="B210" s="4" t="str">
        <f>Config!$B$3</f>
        <v>07:00</v>
      </c>
      <c r="C210" s="4" t="str">
        <f>Config!$B$2</f>
        <v>Mae Na Rua</v>
      </c>
      <c r="D210" s="7">
        <v>489.56700000000001</v>
      </c>
      <c r="E210" s="7">
        <v>1631482.3951735001</v>
      </c>
      <c r="F210" s="7">
        <v>17735.328621775298</v>
      </c>
      <c r="G210" s="7">
        <v>0</v>
      </c>
      <c r="H210" s="7">
        <v>17062.12386</v>
      </c>
      <c r="I210">
        <v>0</v>
      </c>
      <c r="J210" s="7">
        <v>0</v>
      </c>
      <c r="K210" s="7">
        <v>673.20476177529929</v>
      </c>
      <c r="L210" s="7">
        <v>0</v>
      </c>
    </row>
    <row r="211" spans="1:12">
      <c r="A211" s="6">
        <v>46048</v>
      </c>
      <c r="B211" s="4" t="str">
        <f>Config!$B$3</f>
        <v>07:00</v>
      </c>
      <c r="C211" s="4" t="str">
        <f>Config!$B$2</f>
        <v>Mae Na Rua</v>
      </c>
      <c r="D211" s="7">
        <v>489.56700000000001</v>
      </c>
      <c r="E211" s="7">
        <v>1631482.3951735001</v>
      </c>
      <c r="F211" s="7">
        <v>19450.907621775299</v>
      </c>
      <c r="G211" s="7">
        <v>0</v>
      </c>
      <c r="H211" s="7">
        <v>18777.702860000001</v>
      </c>
      <c r="I211">
        <v>0</v>
      </c>
      <c r="J211" s="7">
        <v>0</v>
      </c>
      <c r="K211" s="7">
        <v>673.20476177529929</v>
      </c>
      <c r="L211" s="7">
        <v>0</v>
      </c>
    </row>
    <row r="212" spans="1:12">
      <c r="A212" s="6">
        <v>46049</v>
      </c>
      <c r="B212" s="4" t="str">
        <f>Config!$B$3</f>
        <v>07:00</v>
      </c>
      <c r="C212" s="4" t="str">
        <f>Config!$B$2</f>
        <v>Mae Na Rua</v>
      </c>
      <c r="D212" s="7">
        <v>489.57299999999998</v>
      </c>
      <c r="E212" s="7">
        <v>1634494.0165122999</v>
      </c>
      <c r="F212" s="7">
        <v>24087.348540442737</v>
      </c>
      <c r="G212" s="7">
        <v>0</v>
      </c>
      <c r="H212" s="7">
        <v>20402.175230000001</v>
      </c>
      <c r="I212">
        <v>0</v>
      </c>
      <c r="J212" s="7">
        <v>0</v>
      </c>
      <c r="K212" s="7">
        <v>673.55197164290666</v>
      </c>
      <c r="L212" s="7">
        <v>0</v>
      </c>
    </row>
    <row r="213" spans="1:12">
      <c r="A213" s="6">
        <v>46050</v>
      </c>
      <c r="B213" s="4" t="str">
        <f>Config!$B$3</f>
        <v>07:00</v>
      </c>
      <c r="C213" s="4" t="str">
        <f>Config!$B$2</f>
        <v>Mae Na Rua</v>
      </c>
      <c r="D213" s="7">
        <v>489.56700000000001</v>
      </c>
      <c r="E213" s="7">
        <v>1631482.3951735001</v>
      </c>
      <c r="F213" s="7">
        <v>18188.771002975471</v>
      </c>
      <c r="G213" s="7">
        <v>0</v>
      </c>
      <c r="H213" s="7">
        <v>20527.187580000002</v>
      </c>
      <c r="I213">
        <v>0</v>
      </c>
      <c r="J213" s="7">
        <v>0</v>
      </c>
      <c r="K213" s="7">
        <v>673.20476177529929</v>
      </c>
      <c r="L213" s="7">
        <v>0</v>
      </c>
    </row>
    <row r="214" spans="1:12">
      <c r="A214" s="6">
        <v>46051</v>
      </c>
      <c r="B214" s="4" t="str">
        <f>Config!$B$3</f>
        <v>07:00</v>
      </c>
      <c r="C214" s="4" t="str">
        <f>Config!$B$2</f>
        <v>Mae Na Rua</v>
      </c>
      <c r="D214" s="7">
        <v>489.57299999999998</v>
      </c>
      <c r="E214" s="7">
        <v>1634494.0165122999</v>
      </c>
      <c r="F214" s="7">
        <v>25758.306680442736</v>
      </c>
      <c r="G214" s="7">
        <v>0</v>
      </c>
      <c r="H214" s="7">
        <v>22073.13337</v>
      </c>
      <c r="I214">
        <v>0</v>
      </c>
      <c r="J214" s="7">
        <v>0</v>
      </c>
      <c r="K214" s="7">
        <v>673.55197164290666</v>
      </c>
      <c r="L214" s="7">
        <v>0</v>
      </c>
    </row>
    <row r="215" spans="1:12">
      <c r="A215" s="6">
        <v>46052</v>
      </c>
      <c r="B215" s="4" t="str">
        <f>Config!$B$3</f>
        <v>07:00</v>
      </c>
      <c r="C215" s="4" t="str">
        <f>Config!$B$2</f>
        <v>Mae Na Rua</v>
      </c>
      <c r="D215" s="7">
        <v>489.56700000000001</v>
      </c>
      <c r="E215" s="7">
        <v>1631482.3951735001</v>
      </c>
      <c r="F215" s="7">
        <v>17361.896432975471</v>
      </c>
      <c r="G215" s="7">
        <v>0</v>
      </c>
      <c r="H215" s="7">
        <v>19700.313010000002</v>
      </c>
      <c r="I215">
        <v>0</v>
      </c>
      <c r="J215" s="7">
        <v>0</v>
      </c>
      <c r="K215" s="7">
        <v>673.20476177529929</v>
      </c>
      <c r="L215" s="7">
        <v>0</v>
      </c>
    </row>
    <row r="216" spans="1:12">
      <c r="A216" s="6">
        <v>46053</v>
      </c>
      <c r="B216" s="4" t="str">
        <f>Config!$B$3</f>
        <v>07:00</v>
      </c>
      <c r="C216" s="4" t="str">
        <f>Config!$B$2</f>
        <v>Mae Na Rua</v>
      </c>
      <c r="D216" s="7">
        <v>489.56700000000001</v>
      </c>
      <c r="E216" s="7">
        <v>1631482.3951735001</v>
      </c>
      <c r="F216" s="7">
        <v>20003.431431775298</v>
      </c>
      <c r="G216" s="7">
        <v>0</v>
      </c>
      <c r="H216" s="7">
        <v>19330.22667</v>
      </c>
      <c r="I216">
        <v>0</v>
      </c>
      <c r="J216" s="7">
        <v>0</v>
      </c>
      <c r="K216" s="7">
        <v>673.20476177529929</v>
      </c>
      <c r="L216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16"/>
  <sheetViews>
    <sheetView showGridLines="0" tabSelected="1" workbookViewId="0">
      <selection activeCell="H3" sqref="H3"/>
    </sheetView>
  </sheetViews>
  <sheetFormatPr defaultRowHeight="14.4"/>
  <cols>
    <col min="1" max="1" width="16" customWidth="1"/>
    <col min="2" max="69" width="18" customWidth="1"/>
  </cols>
  <sheetData>
    <row r="1" spans="1:69" ht="28.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</row>
    <row r="2" spans="1:69">
      <c r="A2" s="5">
        <f>Daily_Input!A2</f>
        <v>45839</v>
      </c>
      <c r="B2" s="5">
        <f>Daily_Input!F2</f>
        <v>15833.16372921539</v>
      </c>
      <c r="C2" s="5">
        <f>Daily_Input!D2</f>
        <v>489.51799999999997</v>
      </c>
      <c r="D2" s="5">
        <f>Daily_Input!E2</f>
        <v>1616447.3000027</v>
      </c>
      <c r="E2" s="5">
        <v>0</v>
      </c>
      <c r="F2" s="5">
        <f>IFERROR(Daily_Input!E2/Config!$B$4,"")</f>
        <v>0.99445299289696998</v>
      </c>
      <c r="G2" s="5">
        <f>Daily_Input!I2</f>
        <v>0</v>
      </c>
      <c r="H2" s="5">
        <f>IF(A2="","",IF(ROW()=2,G2,Config!$B$5*H1+G2))</f>
        <v>0</v>
      </c>
      <c r="I2" s="5">
        <f>IF(A2="","",A2-DATE(YEAR(A2),1,0))</f>
        <v>182</v>
      </c>
      <c r="J2" s="5">
        <f>IF(I2="","",SIN(2*PI()*I2/Config!$B$6))</f>
        <v>8.6069968886886977E-3</v>
      </c>
      <c r="K2" s="5">
        <f>IF(I2="","",COS(2*PI()*I2/Config!$B$6))</f>
        <v>-0.99996295911626554</v>
      </c>
      <c r="L2" s="5" t="str">
        <f>IF(ROW()&lt;=2+0,"",INDEX(Daily_Input!$F:$F,ROW()-1))</f>
        <v/>
      </c>
      <c r="M2" s="5" t="str">
        <f>IF(ROW()&lt;=2+1,"",INDEX(Daily_Input!$F:$F,ROW()-2))</f>
        <v/>
      </c>
      <c r="N2" s="5" t="str">
        <f>IF(ROW()&lt;=2+2,"",INDEX(Daily_Input!$F:$F,ROW()-3))</f>
        <v/>
      </c>
      <c r="O2" s="5" t="str">
        <f>IF(ROW()&lt;=2+3,"",INDEX(Daily_Input!$F:$F,ROW()-4))</f>
        <v/>
      </c>
      <c r="P2" s="5" t="str">
        <f>IF(ROW()&lt;=2+4,"",INDEX(Daily_Input!$F:$F,ROW()-5))</f>
        <v/>
      </c>
      <c r="Q2" s="5" t="str">
        <f>IF(ROW()&lt;=2+5,"",INDEX(Daily_Input!$F:$F,ROW()-6))</f>
        <v/>
      </c>
      <c r="R2" s="5" t="str">
        <f>IF(ROW()&lt;=2+6,"",INDEX(Daily_Input!$F:$F,ROW()-7))</f>
        <v/>
      </c>
      <c r="S2" s="5" t="str">
        <f>IF(ROW()&lt;=2+7,"",INDEX(Daily_Input!$F:$F,ROW()-8))</f>
        <v/>
      </c>
      <c r="T2" s="5" t="str">
        <f>IF(ROW()&lt;=2+8,"",INDEX(Daily_Input!$F:$F,ROW()-9))</f>
        <v/>
      </c>
      <c r="U2" s="5" t="str">
        <f>IF(ROW()&lt;=2+9,"",INDEX(Daily_Input!$F:$F,ROW()-10))</f>
        <v/>
      </c>
      <c r="V2" s="5" t="str">
        <f>IF(ROW()&lt;=2+10,"",INDEX(Daily_Input!$F:$F,ROW()-11))</f>
        <v/>
      </c>
      <c r="W2" s="5" t="str">
        <f>IF(ROW()&lt;=2+11,"",INDEX(Daily_Input!$F:$F,ROW()-12))</f>
        <v/>
      </c>
      <c r="X2" s="5" t="str">
        <f>IF(ROW()&lt;=2+12,"",INDEX(Daily_Input!$F:$F,ROW()-13))</f>
        <v/>
      </c>
      <c r="Y2" s="5" t="str">
        <f>IF(ROW()&lt;=2+13,"",INDEX(Daily_Input!$F:$F,ROW()-14))</f>
        <v/>
      </c>
      <c r="Z2" s="5" t="str">
        <f>IF(ROW()&lt;=4,"",SUM(Daily_Input!I2:I4))</f>
        <v/>
      </c>
      <c r="AA2" s="5" t="str">
        <f>IF(ROW()&lt;=8,"",SUM(Daily_Input!I2:I8))</f>
        <v/>
      </c>
      <c r="AB2" s="5" t="str">
        <f>IF(ROW()&lt;=15,"",SUM(Daily_Input!I2:I15))</f>
        <v/>
      </c>
      <c r="AC2" s="5" t="str">
        <f>IF(ROW()&lt;=4,"",AVERAGE(Daily_Input!F2:F4))</f>
        <v/>
      </c>
      <c r="AD2" s="5" t="str">
        <f>IF(ROW()&lt;=8,"",AVERAGE(Daily_Input!F2:F8))</f>
        <v/>
      </c>
      <c r="AE2" s="5" t="str">
        <f>IF(ROW()&lt;=8,"",MAX(Daily_Input!F2:F8))</f>
        <v/>
      </c>
      <c r="AF2" s="5" t="str">
        <f>IF(ROW()&lt;=2+0,"",INDEX(Daily_Input!$G:$G,ROW()-1))</f>
        <v/>
      </c>
      <c r="AG2" s="5" t="str">
        <f>IF(ROW()&lt;=2+0,"",INDEX(Daily_Input!$H:$H,ROW()-1))</f>
        <v/>
      </c>
      <c r="AH2" s="5" t="str">
        <f>IF(ROW()&lt;=2+1,"",INDEX(Daily_Input!$G:$G,ROW()-2))</f>
        <v/>
      </c>
      <c r="AI2" s="5" t="str">
        <f>IF(ROW()&lt;=2+1,"",INDEX(Daily_Input!$H:$H,ROW()-2))</f>
        <v/>
      </c>
      <c r="AJ2" s="5" t="str">
        <f>IF(ROW()&lt;=2+2,"",INDEX(Daily_Input!$G:$G,ROW()-3))</f>
        <v/>
      </c>
      <c r="AK2" s="5" t="str">
        <f>IF(ROW()&lt;=2+2,"",INDEX(Daily_Input!$H:$H,ROW()-3))</f>
        <v/>
      </c>
      <c r="AL2" s="5">
        <f>Daily_Input!N2</f>
        <v>0</v>
      </c>
      <c r="AM2" s="5">
        <f>Daily_Input!O2</f>
        <v>0</v>
      </c>
      <c r="AN2" s="5">
        <f>Daily_Input!P2</f>
        <v>0</v>
      </c>
      <c r="AO2" s="5">
        <f>Daily_Input!Q2</f>
        <v>0</v>
      </c>
      <c r="AP2" s="5">
        <f>Daily_Input!R2</f>
        <v>0</v>
      </c>
      <c r="AQ2" s="5">
        <f>Daily_Input!S2</f>
        <v>0</v>
      </c>
      <c r="AR2" s="5">
        <f>Daily_Input!T2</f>
        <v>0</v>
      </c>
      <c r="AS2" s="5">
        <f>Daily_Input!U2</f>
        <v>0</v>
      </c>
      <c r="AT2" s="5">
        <f>Daily_Input!V2</f>
        <v>0</v>
      </c>
      <c r="AU2" s="5">
        <f>Daily_Input!W2</f>
        <v>0</v>
      </c>
      <c r="AV2" s="5">
        <f>Daily_Input!X2</f>
        <v>0</v>
      </c>
      <c r="AW2" s="5">
        <f>Daily_Input!Y2</f>
        <v>0</v>
      </c>
      <c r="AX2" s="5">
        <f>Daily_Input!Z2</f>
        <v>0</v>
      </c>
      <c r="AY2" s="5">
        <f>Daily_Input!AA2</f>
        <v>0</v>
      </c>
      <c r="AZ2" s="5">
        <f>IF(A2="","",SUM(AL2:AN2))</f>
        <v>0</v>
      </c>
      <c r="BA2" s="5">
        <f>IF(A2="","",SUM(AL2:AR2))</f>
        <v>0</v>
      </c>
      <c r="BB2" s="5">
        <f>IF(A2="","",SUM(AL2:AY2))</f>
        <v>0</v>
      </c>
      <c r="BC2" s="5">
        <f>IF(A2="","",MAX(AL2:AR2))</f>
        <v>0</v>
      </c>
      <c r="BD2" s="5">
        <f>IF(A2="","",IFERROR(INDEX(Daily_Input!$F:$F,ROW()+1),""))</f>
        <v>17695.812745538056</v>
      </c>
      <c r="BE2" s="5">
        <f>IF(A2="","",IFERROR(INDEX(Daily_Input!$F:$F,ROW()+2),""))</f>
        <v>16246.517975131314</v>
      </c>
      <c r="BF2" s="5">
        <f>IF(A2="","",IFERROR(INDEX(Daily_Input!$F:$F,ROW()+3),""))</f>
        <v>21645.220712065402</v>
      </c>
      <c r="BG2" s="5">
        <f>IF(A2="","",IFERROR(INDEX(Daily_Input!$F:$F,ROW()+4),""))</f>
        <v>22384.726030446494</v>
      </c>
      <c r="BH2" s="5">
        <f>IF(A2="","",IFERROR(INDEX(Daily_Input!$F:$F,ROW()+5),""))</f>
        <v>41409.761774343926</v>
      </c>
      <c r="BI2" s="5">
        <f>IF(A2="","",IFERROR(INDEX(Daily_Input!$F:$F,ROW()+6),""))</f>
        <v>41376.630786367386</v>
      </c>
      <c r="BJ2" s="5">
        <f>IF(A2="","",IFERROR(INDEX(Daily_Input!$F:$F,ROW()+7),""))</f>
        <v>38399.784596367383</v>
      </c>
      <c r="BK2" s="5">
        <f>IF(A2="","",IFERROR(INDEX(Daily_Input!$F:$F,ROW()+8),""))</f>
        <v>33609.807666367386</v>
      </c>
      <c r="BL2" s="5">
        <f>IF(A2="","",IFERROR(INDEX(Daily_Input!$F:$F,ROW()+9),""))</f>
        <v>16375.721740471887</v>
      </c>
      <c r="BM2" s="5">
        <f>IF(A2="","",IFERROR(INDEX(Daily_Input!$F:$F,ROW()+10),""))</f>
        <v>9394.6861631766424</v>
      </c>
      <c r="BN2" s="5">
        <f>IF(A2="","",IFERROR(INDEX(Daily_Input!$F:$F,ROW()+11),""))</f>
        <v>20229.444597982056</v>
      </c>
      <c r="BO2" s="5">
        <f>IF(A2="","",IFERROR(INDEX(Daily_Input!$F:$F,ROW()+12),""))</f>
        <v>62078.747450664108</v>
      </c>
      <c r="BP2" s="5">
        <f>IF(A2="","",IFERROR(INDEX(Daily_Input!$F:$F,ROW()+13),""))</f>
        <v>48074.294514598987</v>
      </c>
      <c r="BQ2" s="5">
        <f>IF(A2="","",IFERROR(INDEX(Daily_Input!$F:$F,ROW()+14),""))</f>
        <v>37913.4925589673</v>
      </c>
    </row>
    <row r="3" spans="1:69">
      <c r="A3" s="5">
        <f>Daily_Input!A3</f>
        <v>45840</v>
      </c>
      <c r="B3" s="5">
        <f>Daily_Input!F3</f>
        <v>17695.812745538056</v>
      </c>
      <c r="C3" s="5">
        <f>Daily_Input!D3</f>
        <v>489.524</v>
      </c>
      <c r="D3" s="5">
        <f>Daily_Input!E3</f>
        <v>1619451.3170382001</v>
      </c>
      <c r="E3" s="5">
        <f>IF(ROW()=2,"",Daily_Input!E3-Daily_Input!E2)</f>
        <v>3004.0170355001464</v>
      </c>
      <c r="F3" s="5">
        <f>IFERROR(Daily_Input!E3/Config!$B$4,"")</f>
        <v>0.99630109133584988</v>
      </c>
      <c r="G3" s="5">
        <f>Daily_Input!I3</f>
        <v>3.8</v>
      </c>
      <c r="H3" s="5">
        <f>IF(A3="","",IF(ROW()=2,G3,Config!$B$5*H2+G3))</f>
        <v>3.8</v>
      </c>
      <c r="I3" s="5">
        <f t="shared" ref="I3:I66" si="0">IF(A3="","",A3-DATE(YEAR(A3),1,0))</f>
        <v>183</v>
      </c>
      <c r="J3" s="5">
        <f>IF(I3="","",SIN(2*PI()*I3/Config!$B$6))</f>
        <v>-8.606996888688009E-3</v>
      </c>
      <c r="K3" s="5">
        <f>IF(I3="","",COS(2*PI()*I3/Config!$B$6))</f>
        <v>-0.99996295911626554</v>
      </c>
      <c r="L3" s="5">
        <f>IF(ROW()&lt;=2+0,"",INDEX(Daily_Input!$F:$F,ROW()-1))</f>
        <v>15833.16372921539</v>
      </c>
      <c r="M3" s="5" t="str">
        <f>IF(ROW()&lt;=2+1,"",INDEX(Daily_Input!$F:$F,ROW()-2))</f>
        <v/>
      </c>
      <c r="N3" s="5" t="str">
        <f>IF(ROW()&lt;=2+2,"",INDEX(Daily_Input!$F:$F,ROW()-3))</f>
        <v/>
      </c>
      <c r="O3" s="5" t="str">
        <f>IF(ROW()&lt;=2+3,"",INDEX(Daily_Input!$F:$F,ROW()-4))</f>
        <v/>
      </c>
      <c r="P3" s="5" t="str">
        <f>IF(ROW()&lt;=2+4,"",INDEX(Daily_Input!$F:$F,ROW()-5))</f>
        <v/>
      </c>
      <c r="Q3" s="5" t="str">
        <f>IF(ROW()&lt;=2+5,"",INDEX(Daily_Input!$F:$F,ROW()-6))</f>
        <v/>
      </c>
      <c r="R3" s="5" t="str">
        <f>IF(ROW()&lt;=2+6,"",INDEX(Daily_Input!$F:$F,ROW()-7))</f>
        <v/>
      </c>
      <c r="S3" s="5" t="str">
        <f>IF(ROW()&lt;=2+7,"",INDEX(Daily_Input!$F:$F,ROW()-8))</f>
        <v/>
      </c>
      <c r="T3" s="5" t="str">
        <f>IF(ROW()&lt;=2+8,"",INDEX(Daily_Input!$F:$F,ROW()-9))</f>
        <v/>
      </c>
      <c r="U3" s="5" t="str">
        <f>IF(ROW()&lt;=2+9,"",INDEX(Daily_Input!$F:$F,ROW()-10))</f>
        <v/>
      </c>
      <c r="V3" s="5" t="str">
        <f>IF(ROW()&lt;=2+10,"",INDEX(Daily_Input!$F:$F,ROW()-11))</f>
        <v/>
      </c>
      <c r="W3" s="5" t="str">
        <f>IF(ROW()&lt;=2+11,"",INDEX(Daily_Input!$F:$F,ROW()-12))</f>
        <v/>
      </c>
      <c r="X3" s="5" t="str">
        <f>IF(ROW()&lt;=2+12,"",INDEX(Daily_Input!$F:$F,ROW()-13))</f>
        <v/>
      </c>
      <c r="Y3" s="5" t="str">
        <f>IF(ROW()&lt;=2+13,"",INDEX(Daily_Input!$F:$F,ROW()-14))</f>
        <v/>
      </c>
      <c r="Z3" s="5" t="str">
        <f>IF(ROW()&lt;=4,"",SUM(Daily_Input!I3:I5))</f>
        <v/>
      </c>
      <c r="AA3" s="5" t="str">
        <f>IF(ROW()&lt;=8,"",SUM(Daily_Input!I3:I9))</f>
        <v/>
      </c>
      <c r="AB3" s="5" t="str">
        <f>IF(ROW()&lt;=15,"",SUM(Daily_Input!I3:I16))</f>
        <v/>
      </c>
      <c r="AC3" s="5" t="str">
        <f>IF(ROW()&lt;=4,"",AVERAGE(Daily_Input!F3:F5))</f>
        <v/>
      </c>
      <c r="AD3" s="5" t="str">
        <f>IF(ROW()&lt;=8,"",AVERAGE(Daily_Input!F3:F9))</f>
        <v/>
      </c>
      <c r="AE3" s="5" t="str">
        <f>IF(ROW()&lt;=8,"",MAX(Daily_Input!F3:F9))</f>
        <v/>
      </c>
      <c r="AF3" s="5">
        <f>IF(ROW()&lt;=2+0,"",INDEX(Daily_Input!$G:$G,ROW()-1))</f>
        <v>15019.2</v>
      </c>
      <c r="AG3" s="5">
        <f>IF(ROW()&lt;=2+0,"",INDEX(Daily_Input!$H:$H,ROW()-1))</f>
        <v>0</v>
      </c>
      <c r="AH3" s="5" t="str">
        <f>IF(ROW()&lt;=2+1,"",INDEX(Daily_Input!$G:$G,ROW()-2))</f>
        <v/>
      </c>
      <c r="AI3" s="5" t="str">
        <f>IF(ROW()&lt;=2+1,"",INDEX(Daily_Input!$H:$H,ROW()-2))</f>
        <v/>
      </c>
      <c r="AJ3" s="5" t="str">
        <f>IF(ROW()&lt;=2+2,"",INDEX(Daily_Input!$G:$G,ROW()-3))</f>
        <v/>
      </c>
      <c r="AK3" s="5" t="str">
        <f>IF(ROW()&lt;=2+2,"",INDEX(Daily_Input!$H:$H,ROW()-3))</f>
        <v/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spans="1:69">
      <c r="A4" s="5">
        <f>Daily_Input!A4</f>
        <v>45841</v>
      </c>
      <c r="B4" s="5">
        <f>Daily_Input!F4</f>
        <v>16246.517975131314</v>
      </c>
      <c r="C4" s="5">
        <f>Daily_Input!D4</f>
        <v>489.524</v>
      </c>
      <c r="D4" s="5">
        <f>Daily_Input!E4</f>
        <v>1619451.3170382001</v>
      </c>
      <c r="E4" s="5">
        <f>IF(ROW()=2,"",Daily_Input!E4-Daily_Input!E3)</f>
        <v>0</v>
      </c>
      <c r="F4" s="5">
        <f>IFERROR(Daily_Input!E4/Config!$B$4,"")</f>
        <v>0.99630109133584988</v>
      </c>
      <c r="G4" s="5">
        <f>Daily_Input!I4</f>
        <v>0</v>
      </c>
      <c r="H4" s="5">
        <f>IF(A4="","",IF(ROW()=2,G4,Config!$B$5*H3+G4))</f>
        <v>3.61</v>
      </c>
      <c r="I4" s="5">
        <f t="shared" si="0"/>
        <v>184</v>
      </c>
      <c r="J4" s="5">
        <f>IF(I4="","",SIN(2*PI()*I4/Config!$B$6))</f>
        <v>-2.5818440227132391E-2</v>
      </c>
      <c r="K4" s="5">
        <f>IF(I4="","",COS(2*PI()*I4/Config!$B$6))</f>
        <v>-0.99966664851051124</v>
      </c>
      <c r="L4" s="5">
        <f>IF(ROW()&lt;=2+0,"",INDEX(Daily_Input!$F:$F,ROW()-1))</f>
        <v>17695.812745538056</v>
      </c>
      <c r="M4" s="5">
        <f>IF(ROW()&lt;=2+1,"",INDEX(Daily_Input!$F:$F,ROW()-2))</f>
        <v>15833.16372921539</v>
      </c>
      <c r="N4" s="5" t="str">
        <f>IF(ROW()&lt;=2+2,"",INDEX(Daily_Input!$F:$F,ROW()-3))</f>
        <v/>
      </c>
      <c r="O4" s="5" t="str">
        <f>IF(ROW()&lt;=2+3,"",INDEX(Daily_Input!$F:$F,ROW()-4))</f>
        <v/>
      </c>
      <c r="P4" s="5" t="str">
        <f>IF(ROW()&lt;=2+4,"",INDEX(Daily_Input!$F:$F,ROW()-5))</f>
        <v/>
      </c>
      <c r="Q4" s="5" t="str">
        <f>IF(ROW()&lt;=2+5,"",INDEX(Daily_Input!$F:$F,ROW()-6))</f>
        <v/>
      </c>
      <c r="R4" s="5" t="str">
        <f>IF(ROW()&lt;=2+6,"",INDEX(Daily_Input!$F:$F,ROW()-7))</f>
        <v/>
      </c>
      <c r="S4" s="5" t="str">
        <f>IF(ROW()&lt;=2+7,"",INDEX(Daily_Input!$F:$F,ROW()-8))</f>
        <v/>
      </c>
      <c r="T4" s="5" t="str">
        <f>IF(ROW()&lt;=2+8,"",INDEX(Daily_Input!$F:$F,ROW()-9))</f>
        <v/>
      </c>
      <c r="U4" s="5" t="str">
        <f>IF(ROW()&lt;=2+9,"",INDEX(Daily_Input!$F:$F,ROW()-10))</f>
        <v/>
      </c>
      <c r="V4" s="5" t="str">
        <f>IF(ROW()&lt;=2+10,"",INDEX(Daily_Input!$F:$F,ROW()-11))</f>
        <v/>
      </c>
      <c r="W4" s="5" t="str">
        <f>IF(ROW()&lt;=2+11,"",INDEX(Daily_Input!$F:$F,ROW()-12))</f>
        <v/>
      </c>
      <c r="X4" s="5" t="str">
        <f>IF(ROW()&lt;=2+12,"",INDEX(Daily_Input!$F:$F,ROW()-13))</f>
        <v/>
      </c>
      <c r="Y4" s="5" t="str">
        <f>IF(ROW()&lt;=2+13,"",INDEX(Daily_Input!$F:$F,ROW()-14))</f>
        <v/>
      </c>
      <c r="Z4" s="5" t="str">
        <f>IF(ROW()&lt;=4,"",SUM(Daily_Input!I4:I6))</f>
        <v/>
      </c>
      <c r="AA4" s="5" t="str">
        <f>IF(ROW()&lt;=8,"",SUM(Daily_Input!I4:I10))</f>
        <v/>
      </c>
      <c r="AB4" s="5" t="str">
        <f>IF(ROW()&lt;=15,"",SUM(Daily_Input!I4:I17))</f>
        <v/>
      </c>
      <c r="AC4" s="5" t="str">
        <f>IF(ROW()&lt;=4,"",AVERAGE(Daily_Input!F4:F6))</f>
        <v/>
      </c>
      <c r="AD4" s="5" t="str">
        <f>IF(ROW()&lt;=8,"",AVERAGE(Daily_Input!F4:F10))</f>
        <v/>
      </c>
      <c r="AE4" s="5" t="str">
        <f>IF(ROW()&lt;=8,"",MAX(Daily_Input!F4:F10))</f>
        <v/>
      </c>
      <c r="AF4" s="5">
        <f>IF(ROW()&lt;=2+0,"",INDEX(Daily_Input!$G:$G,ROW()-1))</f>
        <v>15019.2</v>
      </c>
      <c r="AG4" s="5">
        <f>IF(ROW()&lt;=2+0,"",INDEX(Daily_Input!$H:$H,ROW()-1))</f>
        <v>0</v>
      </c>
      <c r="AH4" s="5">
        <f>IF(ROW()&lt;=2+1,"",INDEX(Daily_Input!$G:$G,ROW()-2))</f>
        <v>15019.2</v>
      </c>
      <c r="AI4" s="5">
        <f>IF(ROW()&lt;=2+1,"",INDEX(Daily_Input!$H:$H,ROW()-2))</f>
        <v>0</v>
      </c>
      <c r="AJ4" s="5" t="str">
        <f>IF(ROW()&lt;=2+2,"",INDEX(Daily_Input!$G:$G,ROW()-3))</f>
        <v/>
      </c>
      <c r="AK4" s="5" t="str">
        <f>IF(ROW()&lt;=2+2,"",INDEX(Daily_Input!$H:$H,ROW()-3))</f>
        <v/>
      </c>
    </row>
    <row r="5" spans="1:69">
      <c r="A5" s="5">
        <f>Daily_Input!A5</f>
        <v>45842</v>
      </c>
      <c r="B5" s="5">
        <f>Daily_Input!F5</f>
        <v>21645.220712065402</v>
      </c>
      <c r="C5" s="5">
        <f>Daily_Input!D5</f>
        <v>489.55700000000002</v>
      </c>
      <c r="D5" s="5">
        <f>Daily_Input!E5</f>
        <v>1628472.3057532001</v>
      </c>
      <c r="E5" s="5">
        <f>IF(ROW()=2,"",Daily_Input!E5-Daily_Input!E4)</f>
        <v>9020.9887149999849</v>
      </c>
      <c r="F5" s="5">
        <f>IFERROR(Daily_Input!E5/Config!$B$4,"")</f>
        <v>1.0018508851500414</v>
      </c>
      <c r="G5" s="5">
        <f>Daily_Input!I5</f>
        <v>30.2</v>
      </c>
      <c r="H5" s="5">
        <f>IF(A5="","",IF(ROW()=2,G5,Config!$B$5*H4+G5))</f>
        <v>33.6295</v>
      </c>
      <c r="I5" s="5">
        <f t="shared" si="0"/>
        <v>185</v>
      </c>
      <c r="J5" s="5">
        <f>IF(I5="","",SIN(2*PI()*I5/Config!$B$6))</f>
        <v>-4.3022233004530341E-2</v>
      </c>
      <c r="K5" s="5">
        <f>IF(I5="","",COS(2*PI()*I5/Config!$B$6))</f>
        <v>-0.99907411510222999</v>
      </c>
      <c r="L5" s="5">
        <f>IF(ROW()&lt;=2+0,"",INDEX(Daily_Input!$F:$F,ROW()-1))</f>
        <v>16246.517975131314</v>
      </c>
      <c r="M5" s="5">
        <f>IF(ROW()&lt;=2+1,"",INDEX(Daily_Input!$F:$F,ROW()-2))</f>
        <v>17695.812745538056</v>
      </c>
      <c r="N5" s="5">
        <f>IF(ROW()&lt;=2+2,"",INDEX(Daily_Input!$F:$F,ROW()-3))</f>
        <v>15833.16372921539</v>
      </c>
      <c r="O5" s="5" t="str">
        <f>IF(ROW()&lt;=2+3,"",INDEX(Daily_Input!$F:$F,ROW()-4))</f>
        <v/>
      </c>
      <c r="P5" s="5" t="str">
        <f>IF(ROW()&lt;=2+4,"",INDEX(Daily_Input!$F:$F,ROW()-5))</f>
        <v/>
      </c>
      <c r="Q5" s="5" t="str">
        <f>IF(ROW()&lt;=2+5,"",INDEX(Daily_Input!$F:$F,ROW()-6))</f>
        <v/>
      </c>
      <c r="R5" s="5" t="str">
        <f>IF(ROW()&lt;=2+6,"",INDEX(Daily_Input!$F:$F,ROW()-7))</f>
        <v/>
      </c>
      <c r="S5" s="5" t="str">
        <f>IF(ROW()&lt;=2+7,"",INDEX(Daily_Input!$F:$F,ROW()-8))</f>
        <v/>
      </c>
      <c r="T5" s="5" t="str">
        <f>IF(ROW()&lt;=2+8,"",INDEX(Daily_Input!$F:$F,ROW()-9))</f>
        <v/>
      </c>
      <c r="U5" s="5" t="str">
        <f>IF(ROW()&lt;=2+9,"",INDEX(Daily_Input!$F:$F,ROW()-10))</f>
        <v/>
      </c>
      <c r="V5" s="5" t="str">
        <f>IF(ROW()&lt;=2+10,"",INDEX(Daily_Input!$F:$F,ROW()-11))</f>
        <v/>
      </c>
      <c r="W5" s="5" t="str">
        <f>IF(ROW()&lt;=2+11,"",INDEX(Daily_Input!$F:$F,ROW()-12))</f>
        <v/>
      </c>
      <c r="X5" s="5" t="str">
        <f>IF(ROW()&lt;=2+12,"",INDEX(Daily_Input!$F:$F,ROW()-13))</f>
        <v/>
      </c>
      <c r="Y5" s="5" t="str">
        <f>IF(ROW()&lt;=2+13,"",INDEX(Daily_Input!$F:$F,ROW()-14))</f>
        <v/>
      </c>
      <c r="Z5" s="5">
        <f>IF(ROW()&lt;=4,"",SUM(Daily_Input!I5:I7))</f>
        <v>47.8</v>
      </c>
      <c r="AA5" s="5" t="str">
        <f>IF(ROW()&lt;=8,"",SUM(Daily_Input!I5:I11))</f>
        <v/>
      </c>
      <c r="AB5" s="5" t="str">
        <f>IF(ROW()&lt;=15,"",SUM(Daily_Input!I5:I18))</f>
        <v/>
      </c>
      <c r="AC5" s="5">
        <f>IF(ROW()&lt;=4,"",AVERAGE(Daily_Input!F5:F7))</f>
        <v>28479.902838951937</v>
      </c>
      <c r="AD5" s="5" t="str">
        <f>IF(ROW()&lt;=8,"",AVERAGE(Daily_Input!F5:F11))</f>
        <v/>
      </c>
      <c r="AE5" s="5" t="str">
        <f>IF(ROW()&lt;=8,"",MAX(Daily_Input!F5:F11))</f>
        <v/>
      </c>
      <c r="AF5" s="5">
        <f>IF(ROW()&lt;=2+0,"",INDEX(Daily_Input!$G:$G,ROW()-1))</f>
        <v>15019.2</v>
      </c>
      <c r="AG5" s="5">
        <f>IF(ROW()&lt;=2+0,"",INDEX(Daily_Input!$H:$H,ROW()-1))</f>
        <v>412.94111830000003</v>
      </c>
      <c r="AH5" s="5">
        <f>IF(ROW()&lt;=2+1,"",INDEX(Daily_Input!$G:$G,ROW()-2))</f>
        <v>15019.2</v>
      </c>
      <c r="AI5" s="5">
        <f>IF(ROW()&lt;=2+1,"",INDEX(Daily_Input!$H:$H,ROW()-2))</f>
        <v>0</v>
      </c>
      <c r="AJ5" s="5">
        <f>IF(ROW()&lt;=2+2,"",INDEX(Daily_Input!$G:$G,ROW()-3))</f>
        <v>15019.2</v>
      </c>
      <c r="AK5" s="5">
        <f>IF(ROW()&lt;=2+2,"",INDEX(Daily_Input!$H:$H,ROW()-3))</f>
        <v>0</v>
      </c>
    </row>
    <row r="6" spans="1:69">
      <c r="A6" s="5">
        <f>Daily_Input!A6</f>
        <v>45843</v>
      </c>
      <c r="B6" s="5">
        <f>Daily_Input!F6</f>
        <v>22384.726030446494</v>
      </c>
      <c r="C6" s="5">
        <f>Daily_Input!D6</f>
        <v>489.55700000000002</v>
      </c>
      <c r="D6" s="5">
        <f>Daily_Input!E6</f>
        <v>1628472.3057532001</v>
      </c>
      <c r="E6" s="5">
        <f>IF(ROW()=2,"",Daily_Input!E6-Daily_Input!E5)</f>
        <v>0</v>
      </c>
      <c r="F6" s="5">
        <f>IFERROR(Daily_Input!E6/Config!$B$4,"")</f>
        <v>1.0018508851500414</v>
      </c>
      <c r="G6" s="5">
        <f>Daily_Input!I6</f>
        <v>0.4</v>
      </c>
      <c r="H6" s="5">
        <f>IF(A6="","",IF(ROW()=2,G6,Config!$B$5*H5+G6))</f>
        <v>32.348025</v>
      </c>
      <c r="I6" s="5">
        <f t="shared" si="0"/>
        <v>186</v>
      </c>
      <c r="J6" s="5">
        <f>IF(I6="","",SIN(2*PI()*I6/Config!$B$6))</f>
        <v>-6.0213277365792774E-2</v>
      </c>
      <c r="K6" s="5">
        <f>IF(I6="","",COS(2*PI()*I6/Config!$B$6))</f>
        <v>-0.99818553447185865</v>
      </c>
      <c r="L6" s="5">
        <f>IF(ROW()&lt;=2+0,"",INDEX(Daily_Input!$F:$F,ROW()-1))</f>
        <v>21645.220712065402</v>
      </c>
      <c r="M6" s="5">
        <f>IF(ROW()&lt;=2+1,"",INDEX(Daily_Input!$F:$F,ROW()-2))</f>
        <v>16246.517975131314</v>
      </c>
      <c r="N6" s="5">
        <f>IF(ROW()&lt;=2+2,"",INDEX(Daily_Input!$F:$F,ROW()-3))</f>
        <v>17695.812745538056</v>
      </c>
      <c r="O6" s="5">
        <f>IF(ROW()&lt;=2+3,"",INDEX(Daily_Input!$F:$F,ROW()-4))</f>
        <v>15833.16372921539</v>
      </c>
      <c r="P6" s="5" t="str">
        <f>IF(ROW()&lt;=2+4,"",INDEX(Daily_Input!$F:$F,ROW()-5))</f>
        <v/>
      </c>
      <c r="Q6" s="5" t="str">
        <f>IF(ROW()&lt;=2+5,"",INDEX(Daily_Input!$F:$F,ROW()-6))</f>
        <v/>
      </c>
      <c r="R6" s="5" t="str">
        <f>IF(ROW()&lt;=2+6,"",INDEX(Daily_Input!$F:$F,ROW()-7))</f>
        <v/>
      </c>
      <c r="S6" s="5" t="str">
        <f>IF(ROW()&lt;=2+7,"",INDEX(Daily_Input!$F:$F,ROW()-8))</f>
        <v/>
      </c>
      <c r="T6" s="5" t="str">
        <f>IF(ROW()&lt;=2+8,"",INDEX(Daily_Input!$F:$F,ROW()-9))</f>
        <v/>
      </c>
      <c r="U6" s="5" t="str">
        <f>IF(ROW()&lt;=2+9,"",INDEX(Daily_Input!$F:$F,ROW()-10))</f>
        <v/>
      </c>
      <c r="V6" s="5" t="str">
        <f>IF(ROW()&lt;=2+10,"",INDEX(Daily_Input!$F:$F,ROW()-11))</f>
        <v/>
      </c>
      <c r="W6" s="5" t="str">
        <f>IF(ROW()&lt;=2+11,"",INDEX(Daily_Input!$F:$F,ROW()-12))</f>
        <v/>
      </c>
      <c r="X6" s="5" t="str">
        <f>IF(ROW()&lt;=2+12,"",INDEX(Daily_Input!$F:$F,ROW()-13))</f>
        <v/>
      </c>
      <c r="Y6" s="5" t="str">
        <f>IF(ROW()&lt;=2+13,"",INDEX(Daily_Input!$F:$F,ROW()-14))</f>
        <v/>
      </c>
      <c r="Z6" s="5">
        <f>IF(ROW()&lt;=4,"",SUM(Daily_Input!I6:I8))</f>
        <v>17.599999999999998</v>
      </c>
      <c r="AA6" s="5" t="str">
        <f>IF(ROW()&lt;=8,"",SUM(Daily_Input!I6:I12))</f>
        <v/>
      </c>
      <c r="AB6" s="5" t="str">
        <f>IF(ROW()&lt;=15,"",SUM(Daily_Input!I6:I19))</f>
        <v/>
      </c>
      <c r="AC6" s="5">
        <f>IF(ROW()&lt;=4,"",AVERAGE(Daily_Input!F6:F8))</f>
        <v>35057.039530385933</v>
      </c>
      <c r="AD6" s="5" t="str">
        <f>IF(ROW()&lt;=8,"",AVERAGE(Daily_Input!F6:F12))</f>
        <v/>
      </c>
      <c r="AE6" s="5" t="str">
        <f>IF(ROW()&lt;=8,"",MAX(Daily_Input!F6:F12))</f>
        <v/>
      </c>
      <c r="AF6" s="5">
        <f>IF(ROW()&lt;=2+0,"",INDEX(Daily_Input!$G:$G,ROW()-1))</f>
        <v>15019.2</v>
      </c>
      <c r="AG6" s="5">
        <f>IF(ROW()&lt;=2+0,"",INDEX(Daily_Input!$H:$H,ROW()-1))</f>
        <v>5877.4745650000004</v>
      </c>
      <c r="AH6" s="5">
        <f>IF(ROW()&lt;=2+1,"",INDEX(Daily_Input!$G:$G,ROW()-2))</f>
        <v>15019.2</v>
      </c>
      <c r="AI6" s="5">
        <f>IF(ROW()&lt;=2+1,"",INDEX(Daily_Input!$H:$H,ROW()-2))</f>
        <v>412.94111830000003</v>
      </c>
      <c r="AJ6" s="5">
        <f>IF(ROW()&lt;=2+2,"",INDEX(Daily_Input!$G:$G,ROW()-3))</f>
        <v>15019.2</v>
      </c>
      <c r="AK6" s="5">
        <f>IF(ROW()&lt;=2+2,"",INDEX(Daily_Input!$H:$H,ROW()-3))</f>
        <v>0</v>
      </c>
    </row>
    <row r="7" spans="1:69">
      <c r="A7" s="5">
        <f>Daily_Input!A7</f>
        <v>45844</v>
      </c>
      <c r="B7" s="5">
        <f>Daily_Input!F7</f>
        <v>41409.761774343926</v>
      </c>
      <c r="C7" s="5">
        <f>Daily_Input!D7</f>
        <v>489.577</v>
      </c>
      <c r="D7" s="5">
        <f>Daily_Input!E7</f>
        <v>1634494.0165122999</v>
      </c>
      <c r="E7" s="5">
        <f>IF(ROW()=2,"",Daily_Input!E7-Daily_Input!E6)</f>
        <v>6021.7107590998057</v>
      </c>
      <c r="F7" s="5">
        <f>IFERROR(Daily_Input!E7/Config!$B$4,"")</f>
        <v>1.0055554960499677</v>
      </c>
      <c r="G7" s="5">
        <f>Daily_Input!I7</f>
        <v>17.2</v>
      </c>
      <c r="H7" s="5">
        <f>IF(A7="","",IF(ROW()=2,G7,Config!$B$5*H6+G7))</f>
        <v>47.930623749999995</v>
      </c>
      <c r="I7" s="5">
        <f t="shared" si="0"/>
        <v>187</v>
      </c>
      <c r="J7" s="5">
        <f>IF(I7="","",SIN(2*PI()*I7/Config!$B$6))</f>
        <v>-7.7386479233463215E-2</v>
      </c>
      <c r="K7" s="5">
        <f>IF(I7="","",COS(2*PI()*I7/Config!$B$6))</f>
        <v>-0.99700116992501508</v>
      </c>
      <c r="L7" s="5">
        <f>IF(ROW()&lt;=2+0,"",INDEX(Daily_Input!$F:$F,ROW()-1))</f>
        <v>22384.726030446494</v>
      </c>
      <c r="M7" s="5">
        <f>IF(ROW()&lt;=2+1,"",INDEX(Daily_Input!$F:$F,ROW()-2))</f>
        <v>21645.220712065402</v>
      </c>
      <c r="N7" s="5">
        <f>IF(ROW()&lt;=2+2,"",INDEX(Daily_Input!$F:$F,ROW()-3))</f>
        <v>16246.517975131314</v>
      </c>
      <c r="O7" s="5">
        <f>IF(ROW()&lt;=2+3,"",INDEX(Daily_Input!$F:$F,ROW()-4))</f>
        <v>17695.812745538056</v>
      </c>
      <c r="P7" s="5">
        <f>IF(ROW()&lt;=2+4,"",INDEX(Daily_Input!$F:$F,ROW()-5))</f>
        <v>15833.16372921539</v>
      </c>
      <c r="Q7" s="5" t="str">
        <f>IF(ROW()&lt;=2+5,"",INDEX(Daily_Input!$F:$F,ROW()-6))</f>
        <v/>
      </c>
      <c r="R7" s="5" t="str">
        <f>IF(ROW()&lt;=2+6,"",INDEX(Daily_Input!$F:$F,ROW()-7))</f>
        <v/>
      </c>
      <c r="S7" s="5" t="str">
        <f>IF(ROW()&lt;=2+7,"",INDEX(Daily_Input!$F:$F,ROW()-8))</f>
        <v/>
      </c>
      <c r="T7" s="5" t="str">
        <f>IF(ROW()&lt;=2+8,"",INDEX(Daily_Input!$F:$F,ROW()-9))</f>
        <v/>
      </c>
      <c r="U7" s="5" t="str">
        <f>IF(ROW()&lt;=2+9,"",INDEX(Daily_Input!$F:$F,ROW()-10))</f>
        <v/>
      </c>
      <c r="V7" s="5" t="str">
        <f>IF(ROW()&lt;=2+10,"",INDEX(Daily_Input!$F:$F,ROW()-11))</f>
        <v/>
      </c>
      <c r="W7" s="5" t="str">
        <f>IF(ROW()&lt;=2+11,"",INDEX(Daily_Input!$F:$F,ROW()-12))</f>
        <v/>
      </c>
      <c r="X7" s="5" t="str">
        <f>IF(ROW()&lt;=2+12,"",INDEX(Daily_Input!$F:$F,ROW()-13))</f>
        <v/>
      </c>
      <c r="Y7" s="5" t="str">
        <f>IF(ROW()&lt;=2+13,"",INDEX(Daily_Input!$F:$F,ROW()-14))</f>
        <v/>
      </c>
      <c r="Z7" s="5">
        <f>IF(ROW()&lt;=4,"",SUM(Daily_Input!I7:I9))</f>
        <v>17.2</v>
      </c>
      <c r="AA7" s="5" t="str">
        <f>IF(ROW()&lt;=8,"",SUM(Daily_Input!I7:I13))</f>
        <v/>
      </c>
      <c r="AB7" s="5" t="str">
        <f>IF(ROW()&lt;=15,"",SUM(Daily_Input!I7:I20))</f>
        <v/>
      </c>
      <c r="AC7" s="5">
        <f>IF(ROW()&lt;=4,"",AVERAGE(Daily_Input!F7:F9))</f>
        <v>40395.392385692896</v>
      </c>
      <c r="AD7" s="5" t="str">
        <f>IF(ROW()&lt;=8,"",AVERAGE(Daily_Input!F7:F13))</f>
        <v/>
      </c>
      <c r="AE7" s="5" t="str">
        <f>IF(ROW()&lt;=8,"",MAX(Daily_Input!F7:F13))</f>
        <v/>
      </c>
      <c r="AF7" s="5">
        <f>IF(ROW()&lt;=2+0,"",INDEX(Daily_Input!$G:$G,ROW()-1))</f>
        <v>15019.2</v>
      </c>
      <c r="AG7" s="5">
        <f>IF(ROW()&lt;=2+0,"",INDEX(Daily_Input!$H:$H,ROW()-1))</f>
        <v>6670.2723230000001</v>
      </c>
      <c r="AH7" s="5">
        <f>IF(ROW()&lt;=2+1,"",INDEX(Daily_Input!$G:$G,ROW()-2))</f>
        <v>15019.2</v>
      </c>
      <c r="AI7" s="5">
        <f>IF(ROW()&lt;=2+1,"",INDEX(Daily_Input!$H:$H,ROW()-2))</f>
        <v>5877.4745650000004</v>
      </c>
      <c r="AJ7" s="5">
        <f>IF(ROW()&lt;=2+2,"",INDEX(Daily_Input!$G:$G,ROW()-3))</f>
        <v>15019.2</v>
      </c>
      <c r="AK7" s="5">
        <f>IF(ROW()&lt;=2+2,"",INDEX(Daily_Input!$H:$H,ROW()-3))</f>
        <v>412.94111830000003</v>
      </c>
    </row>
    <row r="8" spans="1:69">
      <c r="A8" s="5">
        <f>Daily_Input!A8</f>
        <v>45845</v>
      </c>
      <c r="B8" s="5">
        <f>Daily_Input!F8</f>
        <v>41376.630786367386</v>
      </c>
      <c r="C8" s="5">
        <f>Daily_Input!D8</f>
        <v>489.577</v>
      </c>
      <c r="D8" s="5">
        <f>Daily_Input!E8</f>
        <v>1634494.0165122999</v>
      </c>
      <c r="E8" s="5">
        <f>IF(ROW()=2,"",Daily_Input!E8-Daily_Input!E7)</f>
        <v>0</v>
      </c>
      <c r="F8" s="5">
        <f>IFERROR(Daily_Input!E8/Config!$B$4,"")</f>
        <v>1.0055554960499677</v>
      </c>
      <c r="G8" s="5">
        <f>Daily_Input!I8</f>
        <v>0</v>
      </c>
      <c r="H8" s="5">
        <f>IF(A8="","",IF(ROW()=2,G8,Config!$B$5*H7+G8))</f>
        <v>45.534092562499993</v>
      </c>
      <c r="I8" s="5">
        <f t="shared" si="0"/>
        <v>188</v>
      </c>
      <c r="J8" s="5">
        <f>IF(I8="","",SIN(2*PI()*I8/Config!$B$6))</f>
        <v>-9.4536749817199325E-2</v>
      </c>
      <c r="K8" s="5">
        <f>IF(I8="","",COS(2*PI()*I8/Config!$B$6))</f>
        <v>-0.99552137241447525</v>
      </c>
      <c r="L8" s="5">
        <f>IF(ROW()&lt;=2+0,"",INDEX(Daily_Input!$F:$F,ROW()-1))</f>
        <v>41409.761774343926</v>
      </c>
      <c r="M8" s="5">
        <f>IF(ROW()&lt;=2+1,"",INDEX(Daily_Input!$F:$F,ROW()-2))</f>
        <v>22384.726030446494</v>
      </c>
      <c r="N8" s="5">
        <f>IF(ROW()&lt;=2+2,"",INDEX(Daily_Input!$F:$F,ROW()-3))</f>
        <v>21645.220712065402</v>
      </c>
      <c r="O8" s="5">
        <f>IF(ROW()&lt;=2+3,"",INDEX(Daily_Input!$F:$F,ROW()-4))</f>
        <v>16246.517975131314</v>
      </c>
      <c r="P8" s="5">
        <f>IF(ROW()&lt;=2+4,"",INDEX(Daily_Input!$F:$F,ROW()-5))</f>
        <v>17695.812745538056</v>
      </c>
      <c r="Q8" s="5">
        <f>IF(ROW()&lt;=2+5,"",INDEX(Daily_Input!$F:$F,ROW()-6))</f>
        <v>15833.16372921539</v>
      </c>
      <c r="R8" s="5" t="str">
        <f>IF(ROW()&lt;=2+6,"",INDEX(Daily_Input!$F:$F,ROW()-7))</f>
        <v/>
      </c>
      <c r="S8" s="5" t="str">
        <f>IF(ROW()&lt;=2+7,"",INDEX(Daily_Input!$F:$F,ROW()-8))</f>
        <v/>
      </c>
      <c r="T8" s="5" t="str">
        <f>IF(ROW()&lt;=2+8,"",INDEX(Daily_Input!$F:$F,ROW()-9))</f>
        <v/>
      </c>
      <c r="U8" s="5" t="str">
        <f>IF(ROW()&lt;=2+9,"",INDEX(Daily_Input!$F:$F,ROW()-10))</f>
        <v/>
      </c>
      <c r="V8" s="5" t="str">
        <f>IF(ROW()&lt;=2+10,"",INDEX(Daily_Input!$F:$F,ROW()-11))</f>
        <v/>
      </c>
      <c r="W8" s="5" t="str">
        <f>IF(ROW()&lt;=2+11,"",INDEX(Daily_Input!$F:$F,ROW()-12))</f>
        <v/>
      </c>
      <c r="X8" s="5" t="str">
        <f>IF(ROW()&lt;=2+12,"",INDEX(Daily_Input!$F:$F,ROW()-13))</f>
        <v/>
      </c>
      <c r="Y8" s="5" t="str">
        <f>IF(ROW()&lt;=2+13,"",INDEX(Daily_Input!$F:$F,ROW()-14))</f>
        <v/>
      </c>
      <c r="Z8" s="5">
        <f>IF(ROW()&lt;=4,"",SUM(Daily_Input!I8:I10))</f>
        <v>0</v>
      </c>
      <c r="AA8" s="5" t="str">
        <f>IF(ROW()&lt;=8,"",SUM(Daily_Input!I8:I14))</f>
        <v/>
      </c>
      <c r="AB8" s="5" t="str">
        <f>IF(ROW()&lt;=15,"",SUM(Daily_Input!I8:I21))</f>
        <v/>
      </c>
      <c r="AC8" s="5">
        <f>IF(ROW()&lt;=4,"",AVERAGE(Daily_Input!F8:F10))</f>
        <v>37795.407683034049</v>
      </c>
      <c r="AD8" s="5" t="str">
        <f>IF(ROW()&lt;=8,"",AVERAGE(Daily_Input!F8:F14))</f>
        <v/>
      </c>
      <c r="AE8" s="5" t="str">
        <f>IF(ROW()&lt;=8,"",MAX(Daily_Input!F8:F14))</f>
        <v/>
      </c>
      <c r="AF8" s="5">
        <f>IF(ROW()&lt;=2+0,"",INDEX(Daily_Input!$G:$G,ROW()-1))</f>
        <v>15019.2</v>
      </c>
      <c r="AG8" s="5">
        <f>IF(ROW()&lt;=2+0,"",INDEX(Daily_Input!$H:$H,ROW()-1))</f>
        <v>24733.703730000001</v>
      </c>
      <c r="AH8" s="5">
        <f>IF(ROW()&lt;=2+1,"",INDEX(Daily_Input!$G:$G,ROW()-2))</f>
        <v>15019.2</v>
      </c>
      <c r="AI8" s="5">
        <f>IF(ROW()&lt;=2+1,"",INDEX(Daily_Input!$H:$H,ROW()-2))</f>
        <v>6670.2723230000001</v>
      </c>
      <c r="AJ8" s="5">
        <f>IF(ROW()&lt;=2+2,"",INDEX(Daily_Input!$G:$G,ROW()-3))</f>
        <v>15019.2</v>
      </c>
      <c r="AK8" s="5">
        <f>IF(ROW()&lt;=2+2,"",INDEX(Daily_Input!$H:$H,ROW()-3))</f>
        <v>5877.4745650000004</v>
      </c>
    </row>
    <row r="9" spans="1:69">
      <c r="A9" s="5">
        <f>Daily_Input!A9</f>
        <v>45846</v>
      </c>
      <c r="B9" s="5">
        <f>Daily_Input!F9</f>
        <v>38399.784596367383</v>
      </c>
      <c r="C9" s="5">
        <f>Daily_Input!D9</f>
        <v>489.577</v>
      </c>
      <c r="D9" s="5">
        <f>Daily_Input!E9</f>
        <v>1634494.0165122999</v>
      </c>
      <c r="E9" s="5">
        <f>IF(ROW()=2,"",Daily_Input!E9-Daily_Input!E8)</f>
        <v>0</v>
      </c>
      <c r="F9" s="5">
        <f>IFERROR(Daily_Input!E9/Config!$B$4,"")</f>
        <v>1.0055554960499677</v>
      </c>
      <c r="G9" s="5">
        <f>Daily_Input!I9</f>
        <v>0</v>
      </c>
      <c r="H9" s="5">
        <f>IF(A9="","",IF(ROW()=2,G9,Config!$B$5*H8+G9))</f>
        <v>43.257387934374989</v>
      </c>
      <c r="I9" s="5">
        <f t="shared" si="0"/>
        <v>189</v>
      </c>
      <c r="J9" s="5">
        <f>IF(I9="","",SIN(2*PI()*I9/Config!$B$6))</f>
        <v>-0.11165900712169444</v>
      </c>
      <c r="K9" s="5">
        <f>IF(I9="","",COS(2*PI()*I9/Config!$B$6))</f>
        <v>-0.99374658043617814</v>
      </c>
      <c r="L9" s="5">
        <f>IF(ROW()&lt;=2+0,"",INDEX(Daily_Input!$F:$F,ROW()-1))</f>
        <v>41376.630786367386</v>
      </c>
      <c r="M9" s="5">
        <f>IF(ROW()&lt;=2+1,"",INDEX(Daily_Input!$F:$F,ROW()-2))</f>
        <v>41409.761774343926</v>
      </c>
      <c r="N9" s="5">
        <f>IF(ROW()&lt;=2+2,"",INDEX(Daily_Input!$F:$F,ROW()-3))</f>
        <v>22384.726030446494</v>
      </c>
      <c r="O9" s="5">
        <f>IF(ROW()&lt;=2+3,"",INDEX(Daily_Input!$F:$F,ROW()-4))</f>
        <v>21645.220712065402</v>
      </c>
      <c r="P9" s="5">
        <f>IF(ROW()&lt;=2+4,"",INDEX(Daily_Input!$F:$F,ROW()-5))</f>
        <v>16246.517975131314</v>
      </c>
      <c r="Q9" s="5">
        <f>IF(ROW()&lt;=2+5,"",INDEX(Daily_Input!$F:$F,ROW()-6))</f>
        <v>17695.812745538056</v>
      </c>
      <c r="R9" s="5">
        <f>IF(ROW()&lt;=2+6,"",INDEX(Daily_Input!$F:$F,ROW()-7))</f>
        <v>15833.16372921539</v>
      </c>
      <c r="S9" s="5" t="str">
        <f>IF(ROW()&lt;=2+7,"",INDEX(Daily_Input!$F:$F,ROW()-8))</f>
        <v/>
      </c>
      <c r="T9" s="5" t="str">
        <f>IF(ROW()&lt;=2+8,"",INDEX(Daily_Input!$F:$F,ROW()-9))</f>
        <v/>
      </c>
      <c r="U9" s="5" t="str">
        <f>IF(ROW()&lt;=2+9,"",INDEX(Daily_Input!$F:$F,ROW()-10))</f>
        <v/>
      </c>
      <c r="V9" s="5" t="str">
        <f>IF(ROW()&lt;=2+10,"",INDEX(Daily_Input!$F:$F,ROW()-11))</f>
        <v/>
      </c>
      <c r="W9" s="5" t="str">
        <f>IF(ROW()&lt;=2+11,"",INDEX(Daily_Input!$F:$F,ROW()-12))</f>
        <v/>
      </c>
      <c r="X9" s="5" t="str">
        <f>IF(ROW()&lt;=2+12,"",INDEX(Daily_Input!$F:$F,ROW()-13))</f>
        <v/>
      </c>
      <c r="Y9" s="5" t="str">
        <f>IF(ROW()&lt;=2+13,"",INDEX(Daily_Input!$F:$F,ROW()-14))</f>
        <v/>
      </c>
      <c r="Z9" s="5">
        <f>IF(ROW()&lt;=4,"",SUM(Daily_Input!I9:I11))</f>
        <v>8.6</v>
      </c>
      <c r="AA9" s="5">
        <f>IF(ROW()&lt;=8,"",SUM(Daily_Input!I9:I15))</f>
        <v>46.8</v>
      </c>
      <c r="AB9" s="5" t="str">
        <f>IF(ROW()&lt;=15,"",SUM(Daily_Input!I9:I22))</f>
        <v/>
      </c>
      <c r="AC9" s="5">
        <f>IF(ROW()&lt;=4,"",AVERAGE(Daily_Input!F9:F11))</f>
        <v>29461.77133440222</v>
      </c>
      <c r="AD9" s="5">
        <f>IF(ROW()&lt;=8,"",AVERAGE(Daily_Input!F9:F15))</f>
        <v>32594.640961375495</v>
      </c>
      <c r="AE9" s="5">
        <f>IF(ROW()&lt;=8,"",MAX(Daily_Input!F9:F15))</f>
        <v>62078.747450664108</v>
      </c>
      <c r="AF9" s="5">
        <f>IF(ROW()&lt;=2+0,"",INDEX(Daily_Input!$G:$G,ROW()-1))</f>
        <v>15019.2</v>
      </c>
      <c r="AG9" s="5">
        <f>IF(ROW()&lt;=2+0,"",INDEX(Daily_Input!$H:$H,ROW()-1))</f>
        <v>25540.96499</v>
      </c>
      <c r="AH9" s="5">
        <f>IF(ROW()&lt;=2+1,"",INDEX(Daily_Input!$G:$G,ROW()-2))</f>
        <v>15019.2</v>
      </c>
      <c r="AI9" s="5">
        <f>IF(ROW()&lt;=2+1,"",INDEX(Daily_Input!$H:$H,ROW()-2))</f>
        <v>24733.703730000001</v>
      </c>
      <c r="AJ9" s="5">
        <f>IF(ROW()&lt;=2+2,"",INDEX(Daily_Input!$G:$G,ROW()-3))</f>
        <v>15019.2</v>
      </c>
      <c r="AK9" s="5">
        <f>IF(ROW()&lt;=2+2,"",INDEX(Daily_Input!$H:$H,ROW()-3))</f>
        <v>6670.2723230000001</v>
      </c>
    </row>
    <row r="10" spans="1:69">
      <c r="A10" s="5">
        <f>Daily_Input!A10</f>
        <v>45847</v>
      </c>
      <c r="B10" s="5">
        <f>Daily_Input!F10</f>
        <v>33609.807666367386</v>
      </c>
      <c r="C10" s="5">
        <f>Daily_Input!D10</f>
        <v>489.57</v>
      </c>
      <c r="D10" s="5">
        <f>Daily_Input!E10</f>
        <v>1634494.0165122999</v>
      </c>
      <c r="E10" s="5">
        <f>IF(ROW()=2,"",Daily_Input!E10-Daily_Input!E9)</f>
        <v>0</v>
      </c>
      <c r="F10" s="5">
        <f>IFERROR(Daily_Input!E10/Config!$B$4,"")</f>
        <v>1.0055554960499677</v>
      </c>
      <c r="G10" s="5">
        <f>Daily_Input!I10</f>
        <v>0</v>
      </c>
      <c r="H10" s="5">
        <f>IF(A10="","",IF(ROW()=2,G10,Config!$B$5*H9+G10))</f>
        <v>41.094518537656235</v>
      </c>
      <c r="I10" s="5">
        <f t="shared" si="0"/>
        <v>190</v>
      </c>
      <c r="J10" s="5">
        <f>IF(I10="","",SIN(2*PI()*I10/Config!$B$6))</f>
        <v>-0.12874817745258066</v>
      </c>
      <c r="K10" s="5">
        <f>IF(I10="","",COS(2*PI()*I10/Config!$B$6))</f>
        <v>-0.99167731989928998</v>
      </c>
      <c r="L10" s="5">
        <f>IF(ROW()&lt;=2+0,"",INDEX(Daily_Input!$F:$F,ROW()-1))</f>
        <v>38399.784596367383</v>
      </c>
      <c r="M10" s="5">
        <f>IF(ROW()&lt;=2+1,"",INDEX(Daily_Input!$F:$F,ROW()-2))</f>
        <v>41376.630786367386</v>
      </c>
      <c r="N10" s="5">
        <f>IF(ROW()&lt;=2+2,"",INDEX(Daily_Input!$F:$F,ROW()-3))</f>
        <v>41409.761774343926</v>
      </c>
      <c r="O10" s="5">
        <f>IF(ROW()&lt;=2+3,"",INDEX(Daily_Input!$F:$F,ROW()-4))</f>
        <v>22384.726030446494</v>
      </c>
      <c r="P10" s="5">
        <f>IF(ROW()&lt;=2+4,"",INDEX(Daily_Input!$F:$F,ROW()-5))</f>
        <v>21645.220712065402</v>
      </c>
      <c r="Q10" s="5">
        <f>IF(ROW()&lt;=2+5,"",INDEX(Daily_Input!$F:$F,ROW()-6))</f>
        <v>16246.517975131314</v>
      </c>
      <c r="R10" s="5">
        <f>IF(ROW()&lt;=2+6,"",INDEX(Daily_Input!$F:$F,ROW()-7))</f>
        <v>17695.812745538056</v>
      </c>
      <c r="S10" s="5">
        <f>IF(ROW()&lt;=2+7,"",INDEX(Daily_Input!$F:$F,ROW()-8))</f>
        <v>15833.16372921539</v>
      </c>
      <c r="T10" s="5" t="str">
        <f>IF(ROW()&lt;=2+8,"",INDEX(Daily_Input!$F:$F,ROW()-9))</f>
        <v/>
      </c>
      <c r="U10" s="5" t="str">
        <f>IF(ROW()&lt;=2+9,"",INDEX(Daily_Input!$F:$F,ROW()-10))</f>
        <v/>
      </c>
      <c r="V10" s="5" t="str">
        <f>IF(ROW()&lt;=2+10,"",INDEX(Daily_Input!$F:$F,ROW()-11))</f>
        <v/>
      </c>
      <c r="W10" s="5" t="str">
        <f>IF(ROW()&lt;=2+11,"",INDEX(Daily_Input!$F:$F,ROW()-12))</f>
        <v/>
      </c>
      <c r="X10" s="5" t="str">
        <f>IF(ROW()&lt;=2+12,"",INDEX(Daily_Input!$F:$F,ROW()-13))</f>
        <v/>
      </c>
      <c r="Y10" s="5" t="str">
        <f>IF(ROW()&lt;=2+13,"",INDEX(Daily_Input!$F:$F,ROW()-14))</f>
        <v/>
      </c>
      <c r="Z10" s="5">
        <f>IF(ROW()&lt;=4,"",SUM(Daily_Input!I10:I12))</f>
        <v>10</v>
      </c>
      <c r="AA10" s="5">
        <f>IF(ROW()&lt;=8,"",SUM(Daily_Input!I10:I16))</f>
        <v>46.8</v>
      </c>
      <c r="AB10" s="5" t="str">
        <f>IF(ROW()&lt;=15,"",SUM(Daily_Input!I10:I23))</f>
        <v/>
      </c>
      <c r="AC10" s="5">
        <f>IF(ROW()&lt;=4,"",AVERAGE(Daily_Input!F10:F12))</f>
        <v>19793.405190005305</v>
      </c>
      <c r="AD10" s="5">
        <f>IF(ROW()&lt;=8,"",AVERAGE(Daily_Input!F10:F16))</f>
        <v>32525.170670318337</v>
      </c>
      <c r="AE10" s="5">
        <f>IF(ROW()&lt;=8,"",MAX(Daily_Input!F10:F16))</f>
        <v>62078.747450664108</v>
      </c>
      <c r="AF10" s="5">
        <f>IF(ROW()&lt;=2+0,"",INDEX(Daily_Input!$G:$G,ROW()-1))</f>
        <v>15019.2</v>
      </c>
      <c r="AG10" s="5">
        <f>IF(ROW()&lt;=2+0,"",INDEX(Daily_Input!$H:$H,ROW()-1))</f>
        <v>22564.1188</v>
      </c>
      <c r="AH10" s="5">
        <f>IF(ROW()&lt;=2+1,"",INDEX(Daily_Input!$G:$G,ROW()-2))</f>
        <v>15019.2</v>
      </c>
      <c r="AI10" s="5">
        <f>IF(ROW()&lt;=2+1,"",INDEX(Daily_Input!$H:$H,ROW()-2))</f>
        <v>25540.96499</v>
      </c>
      <c r="AJ10" s="5">
        <f>IF(ROW()&lt;=2+2,"",INDEX(Daily_Input!$G:$G,ROW()-3))</f>
        <v>15019.2</v>
      </c>
      <c r="AK10" s="5">
        <f>IF(ROW()&lt;=2+2,"",INDEX(Daily_Input!$H:$H,ROW()-3))</f>
        <v>24733.703730000001</v>
      </c>
    </row>
    <row r="11" spans="1:69">
      <c r="A11" s="5">
        <f>Daily_Input!A11</f>
        <v>45848</v>
      </c>
      <c r="B11" s="5">
        <f>Daily_Input!F11</f>
        <v>16375.721740471887</v>
      </c>
      <c r="C11" s="5">
        <f>Daily_Input!D11</f>
        <v>489.56400000000002</v>
      </c>
      <c r="D11" s="5">
        <f>Daily_Input!E11</f>
        <v>1631482.3951735001</v>
      </c>
      <c r="E11" s="5">
        <f>IF(ROW()=2,"",Daily_Input!E11-Daily_Input!E10)</f>
        <v>-3011.6213387998287</v>
      </c>
      <c r="F11" s="5">
        <f>IFERROR(Daily_Input!E11/Config!$B$4,"")</f>
        <v>1.0037027193749493</v>
      </c>
      <c r="G11" s="5">
        <f>Daily_Input!I11</f>
        <v>8.6</v>
      </c>
      <c r="H11" s="5">
        <f>IF(A11="","",IF(ROW()=2,G11,Config!$B$5*H10+G11))</f>
        <v>47.639792610773419</v>
      </c>
      <c r="I11" s="5">
        <f t="shared" si="0"/>
        <v>191</v>
      </c>
      <c r="J11" s="5">
        <f>IF(I11="","",SIN(2*PI()*I11/Config!$B$6))</f>
        <v>-0.14579919691987442</v>
      </c>
      <c r="K11" s="5">
        <f>IF(I11="","",COS(2*PI()*I11/Config!$B$6))</f>
        <v>-0.9893142039703664</v>
      </c>
      <c r="L11" s="5">
        <f>IF(ROW()&lt;=2+0,"",INDEX(Daily_Input!$F:$F,ROW()-1))</f>
        <v>33609.807666367386</v>
      </c>
      <c r="M11" s="5">
        <f>IF(ROW()&lt;=2+1,"",INDEX(Daily_Input!$F:$F,ROW()-2))</f>
        <v>38399.784596367383</v>
      </c>
      <c r="N11" s="5">
        <f>IF(ROW()&lt;=2+2,"",INDEX(Daily_Input!$F:$F,ROW()-3))</f>
        <v>41376.630786367386</v>
      </c>
      <c r="O11" s="5">
        <f>IF(ROW()&lt;=2+3,"",INDEX(Daily_Input!$F:$F,ROW()-4))</f>
        <v>41409.761774343926</v>
      </c>
      <c r="P11" s="5">
        <f>IF(ROW()&lt;=2+4,"",INDEX(Daily_Input!$F:$F,ROW()-5))</f>
        <v>22384.726030446494</v>
      </c>
      <c r="Q11" s="5">
        <f>IF(ROW()&lt;=2+5,"",INDEX(Daily_Input!$F:$F,ROW()-6))</f>
        <v>21645.220712065402</v>
      </c>
      <c r="R11" s="5">
        <f>IF(ROW()&lt;=2+6,"",INDEX(Daily_Input!$F:$F,ROW()-7))</f>
        <v>16246.517975131314</v>
      </c>
      <c r="S11" s="5">
        <f>IF(ROW()&lt;=2+7,"",INDEX(Daily_Input!$F:$F,ROW()-8))</f>
        <v>17695.812745538056</v>
      </c>
      <c r="T11" s="5">
        <f>IF(ROW()&lt;=2+8,"",INDEX(Daily_Input!$F:$F,ROW()-9))</f>
        <v>15833.16372921539</v>
      </c>
      <c r="U11" s="5" t="str">
        <f>IF(ROW()&lt;=2+9,"",INDEX(Daily_Input!$F:$F,ROW()-10))</f>
        <v/>
      </c>
      <c r="V11" s="5" t="str">
        <f>IF(ROW()&lt;=2+10,"",INDEX(Daily_Input!$F:$F,ROW()-11))</f>
        <v/>
      </c>
      <c r="W11" s="5" t="str">
        <f>IF(ROW()&lt;=2+11,"",INDEX(Daily_Input!$F:$F,ROW()-12))</f>
        <v/>
      </c>
      <c r="X11" s="5" t="str">
        <f>IF(ROW()&lt;=2+12,"",INDEX(Daily_Input!$F:$F,ROW()-13))</f>
        <v/>
      </c>
      <c r="Y11" s="5" t="str">
        <f>IF(ROW()&lt;=2+13,"",INDEX(Daily_Input!$F:$F,ROW()-14))</f>
        <v/>
      </c>
      <c r="Z11" s="5">
        <f>IF(ROW()&lt;=4,"",SUM(Daily_Input!I11:I13))</f>
        <v>15.2</v>
      </c>
      <c r="AA11" s="5">
        <f>IF(ROW()&lt;=8,"",SUM(Daily_Input!I11:I17))</f>
        <v>125.6</v>
      </c>
      <c r="AB11" s="5" t="str">
        <f>IF(ROW()&lt;=15,"",SUM(Daily_Input!I11:I24))</f>
        <v/>
      </c>
      <c r="AC11" s="5">
        <f>IF(ROW()&lt;=4,"",AVERAGE(Daily_Input!F11:F13))</f>
        <v>15333.284167210193</v>
      </c>
      <c r="AD11" s="5">
        <f>IF(ROW()&lt;=8,"",AVERAGE(Daily_Input!F11:F17))</f>
        <v>139666.14439844622</v>
      </c>
      <c r="AE11" s="5">
        <f>IF(ROW()&lt;=8,"",MAX(Daily_Input!F11:F17))</f>
        <v>783596.62376326253</v>
      </c>
      <c r="AF11" s="5">
        <f>IF(ROW()&lt;=2+0,"",INDEX(Daily_Input!$G:$G,ROW()-1))</f>
        <v>15019.2</v>
      </c>
      <c r="AG11" s="5">
        <f>IF(ROW()&lt;=2+0,"",INDEX(Daily_Input!$H:$H,ROW()-1))</f>
        <v>17774.141869999999</v>
      </c>
      <c r="AH11" s="5">
        <f>IF(ROW()&lt;=2+1,"",INDEX(Daily_Input!$G:$G,ROW()-2))</f>
        <v>15019.2</v>
      </c>
      <c r="AI11" s="5">
        <f>IF(ROW()&lt;=2+1,"",INDEX(Daily_Input!$H:$H,ROW()-2))</f>
        <v>22564.1188</v>
      </c>
      <c r="AJ11" s="5">
        <f>IF(ROW()&lt;=2+2,"",INDEX(Daily_Input!$G:$G,ROW()-3))</f>
        <v>15019.2</v>
      </c>
      <c r="AK11" s="5">
        <f>IF(ROW()&lt;=2+2,"",INDEX(Daily_Input!$H:$H,ROW()-3))</f>
        <v>25540.96499</v>
      </c>
    </row>
    <row r="12" spans="1:69">
      <c r="A12" s="5">
        <f>Daily_Input!A12</f>
        <v>45849</v>
      </c>
      <c r="B12" s="5">
        <f>Daily_Input!F12</f>
        <v>9394.6861631766424</v>
      </c>
      <c r="C12" s="5">
        <f>Daily_Input!D12</f>
        <v>489.54399999999998</v>
      </c>
      <c r="D12" s="5">
        <f>Daily_Input!E12</f>
        <v>1625463.7590197001</v>
      </c>
      <c r="E12" s="5">
        <f>IF(ROW()=2,"",Daily_Input!E12-Daily_Input!E11)</f>
        <v>-6018.6361537999474</v>
      </c>
      <c r="F12" s="5">
        <f>IFERROR(Daily_Input!E12/Config!$B$4,"")</f>
        <v>1</v>
      </c>
      <c r="G12" s="5">
        <f>Daily_Input!I12</f>
        <v>1.4</v>
      </c>
      <c r="H12" s="5">
        <f>IF(A12="","",IF(ROW()=2,G12,Config!$B$5*H11+G12))</f>
        <v>46.657802980234742</v>
      </c>
      <c r="I12" s="5">
        <f t="shared" si="0"/>
        <v>192</v>
      </c>
      <c r="J12" s="5">
        <f>IF(I12="","",SIN(2*PI()*I12/Config!$B$6))</f>
        <v>-0.16280701293851646</v>
      </c>
      <c r="K12" s="5">
        <f>IF(I12="","",COS(2*PI()*I12/Config!$B$6))</f>
        <v>-0.98665793289165715</v>
      </c>
      <c r="L12" s="5">
        <f>IF(ROW()&lt;=2+0,"",INDEX(Daily_Input!$F:$F,ROW()-1))</f>
        <v>16375.721740471887</v>
      </c>
      <c r="M12" s="5">
        <f>IF(ROW()&lt;=2+1,"",INDEX(Daily_Input!$F:$F,ROW()-2))</f>
        <v>33609.807666367386</v>
      </c>
      <c r="N12" s="5">
        <f>IF(ROW()&lt;=2+2,"",INDEX(Daily_Input!$F:$F,ROW()-3))</f>
        <v>38399.784596367383</v>
      </c>
      <c r="O12" s="5">
        <f>IF(ROW()&lt;=2+3,"",INDEX(Daily_Input!$F:$F,ROW()-4))</f>
        <v>41376.630786367386</v>
      </c>
      <c r="P12" s="5">
        <f>IF(ROW()&lt;=2+4,"",INDEX(Daily_Input!$F:$F,ROW()-5))</f>
        <v>41409.761774343926</v>
      </c>
      <c r="Q12" s="5">
        <f>IF(ROW()&lt;=2+5,"",INDEX(Daily_Input!$F:$F,ROW()-6))</f>
        <v>22384.726030446494</v>
      </c>
      <c r="R12" s="5">
        <f>IF(ROW()&lt;=2+6,"",INDEX(Daily_Input!$F:$F,ROW()-7))</f>
        <v>21645.220712065402</v>
      </c>
      <c r="S12" s="5">
        <f>IF(ROW()&lt;=2+7,"",INDEX(Daily_Input!$F:$F,ROW()-8))</f>
        <v>16246.517975131314</v>
      </c>
      <c r="T12" s="5">
        <f>IF(ROW()&lt;=2+8,"",INDEX(Daily_Input!$F:$F,ROW()-9))</f>
        <v>17695.812745538056</v>
      </c>
      <c r="U12" s="5">
        <f>IF(ROW()&lt;=2+9,"",INDEX(Daily_Input!$F:$F,ROW()-10))</f>
        <v>15833.16372921539</v>
      </c>
      <c r="V12" s="5" t="str">
        <f>IF(ROW()&lt;=2+10,"",INDEX(Daily_Input!$F:$F,ROW()-11))</f>
        <v/>
      </c>
      <c r="W12" s="5" t="str">
        <f>IF(ROW()&lt;=2+11,"",INDEX(Daily_Input!$F:$F,ROW()-12))</f>
        <v/>
      </c>
      <c r="X12" s="5" t="str">
        <f>IF(ROW()&lt;=2+12,"",INDEX(Daily_Input!$F:$F,ROW()-13))</f>
        <v/>
      </c>
      <c r="Y12" s="5" t="str">
        <f>IF(ROW()&lt;=2+13,"",INDEX(Daily_Input!$F:$F,ROW()-14))</f>
        <v/>
      </c>
      <c r="Z12" s="5">
        <f>IF(ROW()&lt;=4,"",SUM(Daily_Input!I12:I14))</f>
        <v>38.200000000000003</v>
      </c>
      <c r="AA12" s="5">
        <f>IF(ROW()&lt;=8,"",SUM(Daily_Input!I12:I18))</f>
        <v>121.2</v>
      </c>
      <c r="AB12" s="5" t="str">
        <f>IF(ROW()&lt;=15,"",SUM(Daily_Input!I12:I25))</f>
        <v/>
      </c>
      <c r="AC12" s="5">
        <f>IF(ROW()&lt;=4,"",AVERAGE(Daily_Input!F12:F14))</f>
        <v>30567.626070607599</v>
      </c>
      <c r="AD12" s="5">
        <f>IF(ROW()&lt;=8,"",AVERAGE(Daily_Input!F12:F18))</f>
        <v>197431.95632918776</v>
      </c>
      <c r="AE12" s="5">
        <f>IF(ROW()&lt;=8,"",MAX(Daily_Input!F12:F18))</f>
        <v>783596.62376326253</v>
      </c>
      <c r="AF12" s="5">
        <f>IF(ROW()&lt;=2+0,"",INDEX(Daily_Input!$G:$G,ROW()-1))</f>
        <v>15019.2</v>
      </c>
      <c r="AG12" s="5">
        <f>IF(ROW()&lt;=2+0,"",INDEX(Daily_Input!$H:$H,ROW()-1))</f>
        <v>6141.4219579999999</v>
      </c>
      <c r="AH12" s="5">
        <f>IF(ROW()&lt;=2+1,"",INDEX(Daily_Input!$G:$G,ROW()-2))</f>
        <v>15019.2</v>
      </c>
      <c r="AI12" s="5">
        <f>IF(ROW()&lt;=2+1,"",INDEX(Daily_Input!$H:$H,ROW()-2))</f>
        <v>17774.141869999999</v>
      </c>
      <c r="AJ12" s="5">
        <f>IF(ROW()&lt;=2+2,"",INDEX(Daily_Input!$G:$G,ROW()-3))</f>
        <v>15019.2</v>
      </c>
      <c r="AK12" s="5">
        <f>IF(ROW()&lt;=2+2,"",INDEX(Daily_Input!$H:$H,ROW()-3))</f>
        <v>22564.1188</v>
      </c>
    </row>
    <row r="13" spans="1:69">
      <c r="A13" s="5">
        <f>Daily_Input!A13</f>
        <v>45850</v>
      </c>
      <c r="B13" s="5">
        <f>Daily_Input!F13</f>
        <v>20229.444597982056</v>
      </c>
      <c r="C13" s="5">
        <f>Daily_Input!D13</f>
        <v>489.53100000000001</v>
      </c>
      <c r="D13" s="5">
        <f>Daily_Input!E13</f>
        <v>1622456.7729032</v>
      </c>
      <c r="E13" s="5">
        <f>IF(ROW()=2,"",Daily_Input!E13-Daily_Input!E12)</f>
        <v>-3006.9861165001057</v>
      </c>
      <c r="F13" s="5">
        <f>IFERROR(Daily_Input!E13/Config!$B$4,"")</f>
        <v>0.99815007495564612</v>
      </c>
      <c r="G13" s="5">
        <f>Daily_Input!I13</f>
        <v>5.2</v>
      </c>
      <c r="H13" s="5">
        <f>IF(A13="","",IF(ROW()=2,G13,Config!$B$5*H12+G13))</f>
        <v>49.524912831223006</v>
      </c>
      <c r="I13" s="5">
        <f t="shared" si="0"/>
        <v>193</v>
      </c>
      <c r="J13" s="5">
        <f>IF(I13="","",SIN(2*PI()*I13/Config!$B$6))</f>
        <v>-0.17976658572556214</v>
      </c>
      <c r="K13" s="5">
        <f>IF(I13="","",COS(2*PI()*I13/Config!$B$6))</f>
        <v>-0.98370929377360983</v>
      </c>
      <c r="L13" s="5">
        <f>IF(ROW()&lt;=2+0,"",INDEX(Daily_Input!$F:$F,ROW()-1))</f>
        <v>9394.6861631766424</v>
      </c>
      <c r="M13" s="5">
        <f>IF(ROW()&lt;=2+1,"",INDEX(Daily_Input!$F:$F,ROW()-2))</f>
        <v>16375.721740471887</v>
      </c>
      <c r="N13" s="5">
        <f>IF(ROW()&lt;=2+2,"",INDEX(Daily_Input!$F:$F,ROW()-3))</f>
        <v>33609.807666367386</v>
      </c>
      <c r="O13" s="5">
        <f>IF(ROW()&lt;=2+3,"",INDEX(Daily_Input!$F:$F,ROW()-4))</f>
        <v>38399.784596367383</v>
      </c>
      <c r="P13" s="5">
        <f>IF(ROW()&lt;=2+4,"",INDEX(Daily_Input!$F:$F,ROW()-5))</f>
        <v>41376.630786367386</v>
      </c>
      <c r="Q13" s="5">
        <f>IF(ROW()&lt;=2+5,"",INDEX(Daily_Input!$F:$F,ROW()-6))</f>
        <v>41409.761774343926</v>
      </c>
      <c r="R13" s="5">
        <f>IF(ROW()&lt;=2+6,"",INDEX(Daily_Input!$F:$F,ROW()-7))</f>
        <v>22384.726030446494</v>
      </c>
      <c r="S13" s="5">
        <f>IF(ROW()&lt;=2+7,"",INDEX(Daily_Input!$F:$F,ROW()-8))</f>
        <v>21645.220712065402</v>
      </c>
      <c r="T13" s="5">
        <f>IF(ROW()&lt;=2+8,"",INDEX(Daily_Input!$F:$F,ROW()-9))</f>
        <v>16246.517975131314</v>
      </c>
      <c r="U13" s="5">
        <f>IF(ROW()&lt;=2+9,"",INDEX(Daily_Input!$F:$F,ROW()-10))</f>
        <v>17695.812745538056</v>
      </c>
      <c r="V13" s="5">
        <f>IF(ROW()&lt;=2+10,"",INDEX(Daily_Input!$F:$F,ROW()-11))</f>
        <v>15833.16372921539</v>
      </c>
      <c r="W13" s="5" t="str">
        <f>IF(ROW()&lt;=2+11,"",INDEX(Daily_Input!$F:$F,ROW()-12))</f>
        <v/>
      </c>
      <c r="X13" s="5" t="str">
        <f>IF(ROW()&lt;=2+12,"",INDEX(Daily_Input!$F:$F,ROW()-13))</f>
        <v/>
      </c>
      <c r="Y13" s="5" t="str">
        <f>IF(ROW()&lt;=2+13,"",INDEX(Daily_Input!$F:$F,ROW()-14))</f>
        <v/>
      </c>
      <c r="Z13" s="5">
        <f>IF(ROW()&lt;=4,"",SUM(Daily_Input!I13:I15))</f>
        <v>36.800000000000004</v>
      </c>
      <c r="AA13" s="5">
        <f>IF(ROW()&lt;=8,"",SUM(Daily_Input!I13:I19))</f>
        <v>124</v>
      </c>
      <c r="AB13" s="5" t="str">
        <f>IF(ROW()&lt;=15,"",SUM(Daily_Input!I13:I26))</f>
        <v/>
      </c>
      <c r="AC13" s="5">
        <f>IF(ROW()&lt;=4,"",AVERAGE(Daily_Input!F13:F15))</f>
        <v>43460.828854415049</v>
      </c>
      <c r="AD13" s="5">
        <f>IF(ROW()&lt;=8,"",AVERAGE(Daily_Input!F13:F19))</f>
        <v>231353.22522948403</v>
      </c>
      <c r="AE13" s="5">
        <f>IF(ROW()&lt;=8,"",MAX(Daily_Input!F13:F19))</f>
        <v>783596.62376326253</v>
      </c>
      <c r="AF13" s="5">
        <f>IF(ROW()&lt;=2+0,"",INDEX(Daily_Input!$G:$G,ROW()-1))</f>
        <v>15019.2</v>
      </c>
      <c r="AG13" s="5">
        <f>IF(ROW()&lt;=2+0,"",INDEX(Daily_Input!$H:$H,ROW()-1))</f>
        <v>0</v>
      </c>
      <c r="AH13" s="5">
        <f>IF(ROW()&lt;=2+1,"",INDEX(Daily_Input!$G:$G,ROW()-2))</f>
        <v>15019.2</v>
      </c>
      <c r="AI13" s="5">
        <f>IF(ROW()&lt;=2+1,"",INDEX(Daily_Input!$H:$H,ROW()-2))</f>
        <v>6141.4219579999999</v>
      </c>
      <c r="AJ13" s="5">
        <f>IF(ROW()&lt;=2+2,"",INDEX(Daily_Input!$G:$G,ROW()-3))</f>
        <v>15019.2</v>
      </c>
      <c r="AK13" s="5">
        <f>IF(ROW()&lt;=2+2,"",INDEX(Daily_Input!$H:$H,ROW()-3))</f>
        <v>17774.141869999999</v>
      </c>
    </row>
    <row r="14" spans="1:69">
      <c r="A14" s="5">
        <f>Daily_Input!A14</f>
        <v>45851</v>
      </c>
      <c r="B14" s="5">
        <f>Daily_Input!F14</f>
        <v>62078.747450664108</v>
      </c>
      <c r="C14" s="5">
        <f>Daily_Input!D14</f>
        <v>489.589</v>
      </c>
      <c r="D14" s="5">
        <f>Daily_Input!E14</f>
        <v>1637507.2197397</v>
      </c>
      <c r="E14" s="5">
        <f>IF(ROW()=2,"",Daily_Input!E14-Daily_Input!E13)</f>
        <v>15050.446836499963</v>
      </c>
      <c r="F14" s="5">
        <f>IFERROR(Daily_Input!E14/Config!$B$4,"")</f>
        <v>1.0074092459171549</v>
      </c>
      <c r="G14" s="5">
        <f>Daily_Input!I14</f>
        <v>31.6</v>
      </c>
      <c r="H14" s="5">
        <f>IF(A14="","",IF(ROW()=2,G14,Config!$B$5*H13+G14))</f>
        <v>78.648667189661865</v>
      </c>
      <c r="I14" s="5">
        <f t="shared" si="0"/>
        <v>194</v>
      </c>
      <c r="J14" s="5">
        <f>IF(I14="","",SIN(2*PI()*I14/Config!$B$6))</f>
        <v>-0.19667288979357622</v>
      </c>
      <c r="K14" s="5">
        <f>IF(I14="","",COS(2*PI()*I14/Config!$B$6))</f>
        <v>-0.98046916036163212</v>
      </c>
      <c r="L14" s="5">
        <f>IF(ROW()&lt;=2+0,"",INDEX(Daily_Input!$F:$F,ROW()-1))</f>
        <v>20229.444597982056</v>
      </c>
      <c r="M14" s="5">
        <f>IF(ROW()&lt;=2+1,"",INDEX(Daily_Input!$F:$F,ROW()-2))</f>
        <v>9394.6861631766424</v>
      </c>
      <c r="N14" s="5">
        <f>IF(ROW()&lt;=2+2,"",INDEX(Daily_Input!$F:$F,ROW()-3))</f>
        <v>16375.721740471887</v>
      </c>
      <c r="O14" s="5">
        <f>IF(ROW()&lt;=2+3,"",INDEX(Daily_Input!$F:$F,ROW()-4))</f>
        <v>33609.807666367386</v>
      </c>
      <c r="P14" s="5">
        <f>IF(ROW()&lt;=2+4,"",INDEX(Daily_Input!$F:$F,ROW()-5))</f>
        <v>38399.784596367383</v>
      </c>
      <c r="Q14" s="5">
        <f>IF(ROW()&lt;=2+5,"",INDEX(Daily_Input!$F:$F,ROW()-6))</f>
        <v>41376.630786367386</v>
      </c>
      <c r="R14" s="5">
        <f>IF(ROW()&lt;=2+6,"",INDEX(Daily_Input!$F:$F,ROW()-7))</f>
        <v>41409.761774343926</v>
      </c>
      <c r="S14" s="5">
        <f>IF(ROW()&lt;=2+7,"",INDEX(Daily_Input!$F:$F,ROW()-8))</f>
        <v>22384.726030446494</v>
      </c>
      <c r="T14" s="5">
        <f>IF(ROW()&lt;=2+8,"",INDEX(Daily_Input!$F:$F,ROW()-9))</f>
        <v>21645.220712065402</v>
      </c>
      <c r="U14" s="5">
        <f>IF(ROW()&lt;=2+9,"",INDEX(Daily_Input!$F:$F,ROW()-10))</f>
        <v>16246.517975131314</v>
      </c>
      <c r="V14" s="5">
        <f>IF(ROW()&lt;=2+10,"",INDEX(Daily_Input!$F:$F,ROW()-11))</f>
        <v>17695.812745538056</v>
      </c>
      <c r="W14" s="5">
        <f>IF(ROW()&lt;=2+11,"",INDEX(Daily_Input!$F:$F,ROW()-12))</f>
        <v>15833.16372921539</v>
      </c>
      <c r="X14" s="5" t="str">
        <f>IF(ROW()&lt;=2+12,"",INDEX(Daily_Input!$F:$F,ROW()-13))</f>
        <v/>
      </c>
      <c r="Y14" s="5" t="str">
        <f>IF(ROW()&lt;=2+13,"",INDEX(Daily_Input!$F:$F,ROW()-14))</f>
        <v/>
      </c>
      <c r="Z14" s="5">
        <f>IF(ROW()&lt;=4,"",SUM(Daily_Input!I14:I16))</f>
        <v>31.6</v>
      </c>
      <c r="AA14" s="5">
        <f>IF(ROW()&lt;=8,"",SUM(Daily_Input!I14:I20))</f>
        <v>118.80000000000001</v>
      </c>
      <c r="AB14" s="5" t="str">
        <f>IF(ROW()&lt;=15,"",SUM(Daily_Input!I14:I27))</f>
        <v/>
      </c>
      <c r="AC14" s="5">
        <f>IF(ROW()&lt;=4,"",AVERAGE(Daily_Input!F14:F16))</f>
        <v>49355.511508076801</v>
      </c>
      <c r="AD14" s="5">
        <f>IF(ROW()&lt;=8,"",AVERAGE(Daily_Input!F14:F20))</f>
        <v>248806.08761174561</v>
      </c>
      <c r="AE14" s="5">
        <f>IF(ROW()&lt;=8,"",MAX(Daily_Input!F14:F20))</f>
        <v>783596.62376326253</v>
      </c>
      <c r="AF14" s="5">
        <f>IF(ROW()&lt;=2+0,"",INDEX(Daily_Input!$G:$G,ROW()-1))</f>
        <v>15019.2</v>
      </c>
      <c r="AG14" s="5">
        <f>IF(ROW()&lt;=2+0,"",INDEX(Daily_Input!$H:$H,ROW()-1))</f>
        <v>8965.6721089999992</v>
      </c>
      <c r="AH14" s="5">
        <f>IF(ROW()&lt;=2+1,"",INDEX(Daily_Input!$G:$G,ROW()-2))</f>
        <v>15019.2</v>
      </c>
      <c r="AI14" s="5">
        <f>IF(ROW()&lt;=2+1,"",INDEX(Daily_Input!$H:$H,ROW()-2))</f>
        <v>0</v>
      </c>
      <c r="AJ14" s="5">
        <f>IF(ROW()&lt;=2+2,"",INDEX(Daily_Input!$G:$G,ROW()-3))</f>
        <v>15019.2</v>
      </c>
      <c r="AK14" s="5">
        <f>IF(ROW()&lt;=2+2,"",INDEX(Daily_Input!$H:$H,ROW()-3))</f>
        <v>6141.4219579999999</v>
      </c>
    </row>
    <row r="15" spans="1:69">
      <c r="A15" s="5">
        <f>Daily_Input!A15</f>
        <v>45852</v>
      </c>
      <c r="B15" s="5">
        <f>Daily_Input!F15</f>
        <v>48074.294514598987</v>
      </c>
      <c r="C15" s="5">
        <f>Daily_Input!D15</f>
        <v>489.58300000000003</v>
      </c>
      <c r="D15" s="5">
        <f>Daily_Input!E15</f>
        <v>1637507.2197397</v>
      </c>
      <c r="E15" s="5">
        <f>IF(ROW()=2,"",Daily_Input!E15-Daily_Input!E14)</f>
        <v>0</v>
      </c>
      <c r="F15" s="5">
        <f>IFERROR(Daily_Input!E15/Config!$B$4,"")</f>
        <v>1.0074092459171549</v>
      </c>
      <c r="G15" s="5">
        <f>Daily_Input!I15</f>
        <v>0</v>
      </c>
      <c r="H15" s="5">
        <f>IF(A15="","",IF(ROW()=2,G15,Config!$B$5*H14+G15))</f>
        <v>74.716233830178766</v>
      </c>
      <c r="I15" s="5">
        <f t="shared" si="0"/>
        <v>195</v>
      </c>
      <c r="J15" s="5">
        <f>IF(I15="","",SIN(2*PI()*I15/Config!$B$6))</f>
        <v>-0.2135209154397959</v>
      </c>
      <c r="K15" s="5">
        <f>IF(I15="","",COS(2*PI()*I15/Config!$B$6))</f>
        <v>-0.9769384927771817</v>
      </c>
      <c r="L15" s="5">
        <f>IF(ROW()&lt;=2+0,"",INDEX(Daily_Input!$F:$F,ROW()-1))</f>
        <v>62078.747450664108</v>
      </c>
      <c r="M15" s="5">
        <f>IF(ROW()&lt;=2+1,"",INDEX(Daily_Input!$F:$F,ROW()-2))</f>
        <v>20229.444597982056</v>
      </c>
      <c r="N15" s="5">
        <f>IF(ROW()&lt;=2+2,"",INDEX(Daily_Input!$F:$F,ROW()-3))</f>
        <v>9394.6861631766424</v>
      </c>
      <c r="O15" s="5">
        <f>IF(ROW()&lt;=2+3,"",INDEX(Daily_Input!$F:$F,ROW()-4))</f>
        <v>16375.721740471887</v>
      </c>
      <c r="P15" s="5">
        <f>IF(ROW()&lt;=2+4,"",INDEX(Daily_Input!$F:$F,ROW()-5))</f>
        <v>33609.807666367386</v>
      </c>
      <c r="Q15" s="5">
        <f>IF(ROW()&lt;=2+5,"",INDEX(Daily_Input!$F:$F,ROW()-6))</f>
        <v>38399.784596367383</v>
      </c>
      <c r="R15" s="5">
        <f>IF(ROW()&lt;=2+6,"",INDEX(Daily_Input!$F:$F,ROW()-7))</f>
        <v>41376.630786367386</v>
      </c>
      <c r="S15" s="5">
        <f>IF(ROW()&lt;=2+7,"",INDEX(Daily_Input!$F:$F,ROW()-8))</f>
        <v>41409.761774343926</v>
      </c>
      <c r="T15" s="5">
        <f>IF(ROW()&lt;=2+8,"",INDEX(Daily_Input!$F:$F,ROW()-9))</f>
        <v>22384.726030446494</v>
      </c>
      <c r="U15" s="5">
        <f>IF(ROW()&lt;=2+9,"",INDEX(Daily_Input!$F:$F,ROW()-10))</f>
        <v>21645.220712065402</v>
      </c>
      <c r="V15" s="5">
        <f>IF(ROW()&lt;=2+10,"",INDEX(Daily_Input!$F:$F,ROW()-11))</f>
        <v>16246.517975131314</v>
      </c>
      <c r="W15" s="5">
        <f>IF(ROW()&lt;=2+11,"",INDEX(Daily_Input!$F:$F,ROW()-12))</f>
        <v>17695.812745538056</v>
      </c>
      <c r="X15" s="5">
        <f>IF(ROW()&lt;=2+12,"",INDEX(Daily_Input!$F:$F,ROW()-13))</f>
        <v>15833.16372921539</v>
      </c>
      <c r="Y15" s="5" t="str">
        <f>IF(ROW()&lt;=2+13,"",INDEX(Daily_Input!$F:$F,ROW()-14))</f>
        <v/>
      </c>
      <c r="Z15" s="5">
        <f>IF(ROW()&lt;=4,"",SUM(Daily_Input!I15:I17))</f>
        <v>78.8</v>
      </c>
      <c r="AA15" s="5">
        <f>IF(ROW()&lt;=8,"",SUM(Daily_Input!I15:I21))</f>
        <v>87.2</v>
      </c>
      <c r="AB15" s="5" t="str">
        <f>IF(ROW()&lt;=15,"",SUM(Daily_Input!I15:I28))</f>
        <v/>
      </c>
      <c r="AC15" s="5">
        <f>IF(ROW()&lt;=4,"",AVERAGE(Daily_Input!F15:F17))</f>
        <v>289861.47027894296</v>
      </c>
      <c r="AD15" s="5">
        <f>IF(ROW()&lt;=8,"",AVERAGE(Daily_Input!F15:F21))</f>
        <v>254127.41091711578</v>
      </c>
      <c r="AE15" s="5">
        <f>IF(ROW()&lt;=8,"",MAX(Daily_Input!F15:F21))</f>
        <v>783596.62376326253</v>
      </c>
      <c r="AF15" s="5">
        <f>IF(ROW()&lt;=2+0,"",INDEX(Daily_Input!$G:$G,ROW()-1))</f>
        <v>15019.2</v>
      </c>
      <c r="AG15" s="5">
        <f>IF(ROW()&lt;=2+0,"",INDEX(Daily_Input!$H:$H,ROW()-1))</f>
        <v>40716.28976</v>
      </c>
      <c r="AH15" s="5">
        <f>IF(ROW()&lt;=2+1,"",INDEX(Daily_Input!$G:$G,ROW()-2))</f>
        <v>15019.2</v>
      </c>
      <c r="AI15" s="5">
        <f>IF(ROW()&lt;=2+1,"",INDEX(Daily_Input!$H:$H,ROW()-2))</f>
        <v>8965.6721089999992</v>
      </c>
      <c r="AJ15" s="5">
        <f>IF(ROW()&lt;=2+2,"",INDEX(Daily_Input!$G:$G,ROW()-3))</f>
        <v>15019.2</v>
      </c>
      <c r="AK15" s="5">
        <f>IF(ROW()&lt;=2+2,"",INDEX(Daily_Input!$H:$H,ROW()-3))</f>
        <v>0</v>
      </c>
    </row>
    <row r="16" spans="1:69">
      <c r="A16" s="5">
        <f>Daily_Input!A16</f>
        <v>45853</v>
      </c>
      <c r="B16" s="5">
        <f>Daily_Input!F16</f>
        <v>37913.4925589673</v>
      </c>
      <c r="C16" s="5">
        <f>Daily_Input!D16</f>
        <v>489.57</v>
      </c>
      <c r="D16" s="5">
        <f>Daily_Input!E16</f>
        <v>1634494.0165122999</v>
      </c>
      <c r="E16" s="5">
        <f>IF(ROW()=2,"",Daily_Input!E16-Daily_Input!E15)</f>
        <v>-3013.2032274000812</v>
      </c>
      <c r="F16" s="5">
        <f>IFERROR(Daily_Input!E16/Config!$B$4,"")</f>
        <v>1.0055554960499677</v>
      </c>
      <c r="G16" s="5">
        <f>Daily_Input!I16</f>
        <v>0</v>
      </c>
      <c r="H16" s="5">
        <f>IF(A16="","",IF(ROW()=2,G16,Config!$B$5*H15+G16))</f>
        <v>70.980422138669823</v>
      </c>
      <c r="I16" s="5">
        <f t="shared" si="0"/>
        <v>196</v>
      </c>
      <c r="J16" s="5">
        <f>IF(I16="","",SIN(2*PI()*I16/Config!$B$6))</f>
        <v>-0.23030567023061196</v>
      </c>
      <c r="K16" s="5">
        <f>IF(I16="","",COS(2*PI()*I16/Config!$B$6))</f>
        <v>-0.97311833723326202</v>
      </c>
      <c r="L16" s="5">
        <f>IF(ROW()&lt;=2+0,"",INDEX(Daily_Input!$F:$F,ROW()-1))</f>
        <v>48074.294514598987</v>
      </c>
      <c r="M16" s="5">
        <f>IF(ROW()&lt;=2+1,"",INDEX(Daily_Input!$F:$F,ROW()-2))</f>
        <v>62078.747450664108</v>
      </c>
      <c r="N16" s="5">
        <f>IF(ROW()&lt;=2+2,"",INDEX(Daily_Input!$F:$F,ROW()-3))</f>
        <v>20229.444597982056</v>
      </c>
      <c r="O16" s="5">
        <f>IF(ROW()&lt;=2+3,"",INDEX(Daily_Input!$F:$F,ROW()-4))</f>
        <v>9394.6861631766424</v>
      </c>
      <c r="P16" s="5">
        <f>IF(ROW()&lt;=2+4,"",INDEX(Daily_Input!$F:$F,ROW()-5))</f>
        <v>16375.721740471887</v>
      </c>
      <c r="Q16" s="5">
        <f>IF(ROW()&lt;=2+5,"",INDEX(Daily_Input!$F:$F,ROW()-6))</f>
        <v>33609.807666367386</v>
      </c>
      <c r="R16" s="5">
        <f>IF(ROW()&lt;=2+6,"",INDEX(Daily_Input!$F:$F,ROW()-7))</f>
        <v>38399.784596367383</v>
      </c>
      <c r="S16" s="5">
        <f>IF(ROW()&lt;=2+7,"",INDEX(Daily_Input!$F:$F,ROW()-8))</f>
        <v>41376.630786367386</v>
      </c>
      <c r="T16" s="5">
        <f>IF(ROW()&lt;=2+8,"",INDEX(Daily_Input!$F:$F,ROW()-9))</f>
        <v>41409.761774343926</v>
      </c>
      <c r="U16" s="5">
        <f>IF(ROW()&lt;=2+9,"",INDEX(Daily_Input!$F:$F,ROW()-10))</f>
        <v>22384.726030446494</v>
      </c>
      <c r="V16" s="5">
        <f>IF(ROW()&lt;=2+10,"",INDEX(Daily_Input!$F:$F,ROW()-11))</f>
        <v>21645.220712065402</v>
      </c>
      <c r="W16" s="5">
        <f>IF(ROW()&lt;=2+11,"",INDEX(Daily_Input!$F:$F,ROW()-12))</f>
        <v>16246.517975131314</v>
      </c>
      <c r="X16" s="5">
        <f>IF(ROW()&lt;=2+12,"",INDEX(Daily_Input!$F:$F,ROW()-13))</f>
        <v>17695.812745538056</v>
      </c>
      <c r="Y16" s="5">
        <f>IF(ROW()&lt;=2+13,"",INDEX(Daily_Input!$F:$F,ROW()-14))</f>
        <v>15833.16372921539</v>
      </c>
      <c r="Z16" s="5">
        <f>IF(ROW()&lt;=4,"",SUM(Daily_Input!I16:I18))</f>
        <v>83</v>
      </c>
      <c r="AA16" s="5">
        <f>IF(ROW()&lt;=8,"",SUM(Daily_Input!I16:I22))</f>
        <v>107</v>
      </c>
      <c r="AB16" s="5">
        <f>IF(ROW()&lt;=15,"",SUM(Daily_Input!I16:I29))</f>
        <v>270.59999999999997</v>
      </c>
      <c r="AC16" s="5">
        <f>IF(ROW()&lt;=4,"",AVERAGE(Daily_Input!F16:F18))</f>
        <v>414082.17385929747</v>
      </c>
      <c r="AD16" s="5">
        <f>IF(ROW()&lt;=8,"",AVERAGE(Daily_Input!F16:F22))</f>
        <v>258891.04575791859</v>
      </c>
      <c r="AE16" s="5">
        <f>IF(ROW()&lt;=8,"",MAX(Daily_Input!F16:F22))</f>
        <v>783596.62376326253</v>
      </c>
      <c r="AF16" s="5">
        <f>IF(ROW()&lt;=2+0,"",INDEX(Daily_Input!$G:$G,ROW()-1))</f>
        <v>15019.2</v>
      </c>
      <c r="AG16" s="5">
        <f>IF(ROW()&lt;=2+0,"",INDEX(Daily_Input!$H:$H,ROW()-1))</f>
        <v>32238.207630000001</v>
      </c>
      <c r="AH16" s="5">
        <f>IF(ROW()&lt;=2+1,"",INDEX(Daily_Input!$G:$G,ROW()-2))</f>
        <v>15019.2</v>
      </c>
      <c r="AI16" s="5">
        <f>IF(ROW()&lt;=2+1,"",INDEX(Daily_Input!$H:$H,ROW()-2))</f>
        <v>40716.28976</v>
      </c>
      <c r="AJ16" s="5">
        <f>IF(ROW()&lt;=2+2,"",INDEX(Daily_Input!$G:$G,ROW()-3))</f>
        <v>15019.2</v>
      </c>
      <c r="AK16" s="5">
        <f>IF(ROW()&lt;=2+2,"",INDEX(Daily_Input!$H:$H,ROW()-3))</f>
        <v>8965.6721089999992</v>
      </c>
    </row>
    <row r="17" spans="1:37">
      <c r="A17" s="5">
        <f>Daily_Input!A17</f>
        <v>45854</v>
      </c>
      <c r="B17" s="5">
        <f>Daily_Input!F17</f>
        <v>783596.62376326253</v>
      </c>
      <c r="C17" s="5">
        <f>Daily_Input!D17</f>
        <v>489.85300000000001</v>
      </c>
      <c r="D17" s="5">
        <f>Daily_Input!E17</f>
        <v>1719668.7023854</v>
      </c>
      <c r="E17" s="5">
        <f>IF(ROW()=2,"",Daily_Input!E17-Daily_Input!E16)</f>
        <v>85174.685873100068</v>
      </c>
      <c r="F17" s="5">
        <f>IFERROR(Daily_Input!E17/Config!$B$4,"")</f>
        <v>1.0579557328442153</v>
      </c>
      <c r="G17" s="5">
        <f>Daily_Input!I17</f>
        <v>78.8</v>
      </c>
      <c r="H17" s="5">
        <f>IF(A17="","",IF(ROW()=2,G17,Config!$B$5*H16+G17))</f>
        <v>146.23140103173631</v>
      </c>
      <c r="I17" s="5">
        <f t="shared" si="0"/>
        <v>197</v>
      </c>
      <c r="J17" s="5">
        <f>IF(I17="","",SIN(2*PI()*I17/Config!$B$6))</f>
        <v>-0.24702218048093527</v>
      </c>
      <c r="K17" s="5">
        <f>IF(I17="","",COS(2*PI()*I17/Config!$B$6))</f>
        <v>-0.9690098257244063</v>
      </c>
      <c r="L17" s="5">
        <f>IF(ROW()&lt;=2+0,"",INDEX(Daily_Input!$F:$F,ROW()-1))</f>
        <v>37913.4925589673</v>
      </c>
      <c r="M17" s="5">
        <f>IF(ROW()&lt;=2+1,"",INDEX(Daily_Input!$F:$F,ROW()-2))</f>
        <v>48074.294514598987</v>
      </c>
      <c r="N17" s="5">
        <f>IF(ROW()&lt;=2+2,"",INDEX(Daily_Input!$F:$F,ROW()-3))</f>
        <v>62078.747450664108</v>
      </c>
      <c r="O17" s="5">
        <f>IF(ROW()&lt;=2+3,"",INDEX(Daily_Input!$F:$F,ROW()-4))</f>
        <v>20229.444597982056</v>
      </c>
      <c r="P17" s="5">
        <f>IF(ROW()&lt;=2+4,"",INDEX(Daily_Input!$F:$F,ROW()-5))</f>
        <v>9394.6861631766424</v>
      </c>
      <c r="Q17" s="5">
        <f>IF(ROW()&lt;=2+5,"",INDEX(Daily_Input!$F:$F,ROW()-6))</f>
        <v>16375.721740471887</v>
      </c>
      <c r="R17" s="5">
        <f>IF(ROW()&lt;=2+6,"",INDEX(Daily_Input!$F:$F,ROW()-7))</f>
        <v>33609.807666367386</v>
      </c>
      <c r="S17" s="5">
        <f>IF(ROW()&lt;=2+7,"",INDEX(Daily_Input!$F:$F,ROW()-8))</f>
        <v>38399.784596367383</v>
      </c>
      <c r="T17" s="5">
        <f>IF(ROW()&lt;=2+8,"",INDEX(Daily_Input!$F:$F,ROW()-9))</f>
        <v>41376.630786367386</v>
      </c>
      <c r="U17" s="5">
        <f>IF(ROW()&lt;=2+9,"",INDEX(Daily_Input!$F:$F,ROW()-10))</f>
        <v>41409.761774343926</v>
      </c>
      <c r="V17" s="5">
        <f>IF(ROW()&lt;=2+10,"",INDEX(Daily_Input!$F:$F,ROW()-11))</f>
        <v>22384.726030446494</v>
      </c>
      <c r="W17" s="5">
        <f>IF(ROW()&lt;=2+11,"",INDEX(Daily_Input!$F:$F,ROW()-12))</f>
        <v>21645.220712065402</v>
      </c>
      <c r="X17" s="5">
        <f>IF(ROW()&lt;=2+12,"",INDEX(Daily_Input!$F:$F,ROW()-13))</f>
        <v>16246.517975131314</v>
      </c>
      <c r="Y17" s="5">
        <f>IF(ROW()&lt;=2+13,"",INDEX(Daily_Input!$F:$F,ROW()-14))</f>
        <v>17695.812745538056</v>
      </c>
      <c r="Z17" s="5">
        <f>IF(ROW()&lt;=4,"",SUM(Daily_Input!I17:I19))</f>
        <v>87.2</v>
      </c>
      <c r="AA17" s="5">
        <f>IF(ROW()&lt;=8,"",SUM(Daily_Input!I17:I23))</f>
        <v>107</v>
      </c>
      <c r="AB17" s="5">
        <f>IF(ROW()&lt;=15,"",SUM(Daily_Input!I17:I30))</f>
        <v>270.99999999999994</v>
      </c>
      <c r="AC17" s="5">
        <f>IF(ROW()&lt;=4,"",AVERAGE(Daily_Input!F17:F19))</f>
        <v>483725.53249472519</v>
      </c>
      <c r="AD17" s="5">
        <f>IF(ROW()&lt;=8,"",AVERAGE(Daily_Input!F17:F23))</f>
        <v>261173.52456629454</v>
      </c>
      <c r="AE17" s="5">
        <f>IF(ROW()&lt;=8,"",MAX(Daily_Input!F17:F23))</f>
        <v>783596.62376326253</v>
      </c>
      <c r="AF17" s="5">
        <f>IF(ROW()&lt;=2+0,"",INDEX(Daily_Input!$G:$G,ROW()-1))</f>
        <v>15019.2</v>
      </c>
      <c r="AG17" s="5">
        <f>IF(ROW()&lt;=2+0,"",INDEX(Daily_Input!$H:$H,ROW()-1))</f>
        <v>25091.029989999999</v>
      </c>
      <c r="AH17" s="5">
        <f>IF(ROW()&lt;=2+1,"",INDEX(Daily_Input!$G:$G,ROW()-2))</f>
        <v>15019.2</v>
      </c>
      <c r="AI17" s="5">
        <f>IF(ROW()&lt;=2+1,"",INDEX(Daily_Input!$H:$H,ROW()-2))</f>
        <v>32238.207630000001</v>
      </c>
      <c r="AJ17" s="5">
        <f>IF(ROW()&lt;=2+2,"",INDEX(Daily_Input!$G:$G,ROW()-3))</f>
        <v>15019.2</v>
      </c>
      <c r="AK17" s="5">
        <f>IF(ROW()&lt;=2+2,"",INDEX(Daily_Input!$H:$H,ROW()-3))</f>
        <v>40716.28976</v>
      </c>
    </row>
    <row r="18" spans="1:37">
      <c r="A18" s="5">
        <f>Daily_Input!A18</f>
        <v>45855</v>
      </c>
      <c r="B18" s="5">
        <f>Daily_Input!F18</f>
        <v>420736.40525566263</v>
      </c>
      <c r="C18" s="5">
        <f>Daily_Input!D18</f>
        <v>489.76299999999998</v>
      </c>
      <c r="D18" s="5">
        <f>Daily_Input!E18</f>
        <v>1692113.6615758</v>
      </c>
      <c r="E18" s="5">
        <f>IF(ROW()=2,"",Daily_Input!E18-Daily_Input!E17)</f>
        <v>-27555.040809599916</v>
      </c>
      <c r="F18" s="5">
        <f>IFERROR(Daily_Input!E18/Config!$B$4,"")</f>
        <v>1.041003622619243</v>
      </c>
      <c r="G18" s="5">
        <f>Daily_Input!I18</f>
        <v>4.2</v>
      </c>
      <c r="H18" s="5">
        <f>IF(A18="","",IF(ROW()=2,G18,Config!$B$5*H17+G18))</f>
        <v>143.11983098014949</v>
      </c>
      <c r="I18" s="5">
        <f t="shared" si="0"/>
        <v>198</v>
      </c>
      <c r="J18" s="5">
        <f>IF(I18="","",SIN(2*PI()*I18/Config!$B$6))</f>
        <v>-0.26366549272800721</v>
      </c>
      <c r="K18" s="5">
        <f>IF(I18="","",COS(2*PI()*I18/Config!$B$6))</f>
        <v>-0.96461417569124353</v>
      </c>
      <c r="L18" s="5">
        <f>IF(ROW()&lt;=2+0,"",INDEX(Daily_Input!$F:$F,ROW()-1))</f>
        <v>783596.62376326253</v>
      </c>
      <c r="M18" s="5">
        <f>IF(ROW()&lt;=2+1,"",INDEX(Daily_Input!$F:$F,ROW()-2))</f>
        <v>37913.4925589673</v>
      </c>
      <c r="N18" s="5">
        <f>IF(ROW()&lt;=2+2,"",INDEX(Daily_Input!$F:$F,ROW()-3))</f>
        <v>48074.294514598987</v>
      </c>
      <c r="O18" s="5">
        <f>IF(ROW()&lt;=2+3,"",INDEX(Daily_Input!$F:$F,ROW()-4))</f>
        <v>62078.747450664108</v>
      </c>
      <c r="P18" s="5">
        <f>IF(ROW()&lt;=2+4,"",INDEX(Daily_Input!$F:$F,ROW()-5))</f>
        <v>20229.444597982056</v>
      </c>
      <c r="Q18" s="5">
        <f>IF(ROW()&lt;=2+5,"",INDEX(Daily_Input!$F:$F,ROW()-6))</f>
        <v>9394.6861631766424</v>
      </c>
      <c r="R18" s="5">
        <f>IF(ROW()&lt;=2+6,"",INDEX(Daily_Input!$F:$F,ROW()-7))</f>
        <v>16375.721740471887</v>
      </c>
      <c r="S18" s="5">
        <f>IF(ROW()&lt;=2+7,"",INDEX(Daily_Input!$F:$F,ROW()-8))</f>
        <v>33609.807666367386</v>
      </c>
      <c r="T18" s="5">
        <f>IF(ROW()&lt;=2+8,"",INDEX(Daily_Input!$F:$F,ROW()-9))</f>
        <v>38399.784596367383</v>
      </c>
      <c r="U18" s="5">
        <f>IF(ROW()&lt;=2+9,"",INDEX(Daily_Input!$F:$F,ROW()-10))</f>
        <v>41376.630786367386</v>
      </c>
      <c r="V18" s="5">
        <f>IF(ROW()&lt;=2+10,"",INDEX(Daily_Input!$F:$F,ROW()-11))</f>
        <v>41409.761774343926</v>
      </c>
      <c r="W18" s="5">
        <f>IF(ROW()&lt;=2+11,"",INDEX(Daily_Input!$F:$F,ROW()-12))</f>
        <v>22384.726030446494</v>
      </c>
      <c r="X18" s="5">
        <f>IF(ROW()&lt;=2+12,"",INDEX(Daily_Input!$F:$F,ROW()-13))</f>
        <v>21645.220712065402</v>
      </c>
      <c r="Y18" s="5">
        <f>IF(ROW()&lt;=2+13,"",INDEX(Daily_Input!$F:$F,ROW()-14))</f>
        <v>16246.517975131314</v>
      </c>
      <c r="Z18" s="5">
        <f>IF(ROW()&lt;=4,"",SUM(Daily_Input!I18:I20))</f>
        <v>8.4</v>
      </c>
      <c r="AA18" s="5">
        <f>IF(ROW()&lt;=8,"",SUM(Daily_Input!I18:I24))</f>
        <v>86.800000000000011</v>
      </c>
      <c r="AB18" s="5">
        <f>IF(ROW()&lt;=15,"",SUM(Daily_Input!I18:I31))</f>
        <v>217.00000000000003</v>
      </c>
      <c r="AC18" s="5">
        <f>IF(ROW()&lt;=4,"",AVERAGE(Daily_Input!F18:F20))</f>
        <v>269993.15166490874</v>
      </c>
      <c r="AD18" s="5">
        <f>IF(ROW()&lt;=8,"",AVERAGE(Daily_Input!F18:F24))</f>
        <v>350362.21597350779</v>
      </c>
      <c r="AE18" s="5">
        <f>IF(ROW()&lt;=8,"",MAX(Daily_Input!F18:F24))</f>
        <v>1407917.4636137555</v>
      </c>
      <c r="AF18" s="5">
        <f>IF(ROW()&lt;=2+0,"",INDEX(Daily_Input!$G:$G,ROW()-1))</f>
        <v>15019.2</v>
      </c>
      <c r="AG18" s="5">
        <f>IF(ROW()&lt;=2+0,"",INDEX(Daily_Input!$H:$H,ROW()-1))</f>
        <v>706792.15720000002</v>
      </c>
      <c r="AH18" s="5">
        <f>IF(ROW()&lt;=2+1,"",INDEX(Daily_Input!$G:$G,ROW()-2))</f>
        <v>15019.2</v>
      </c>
      <c r="AI18" s="5">
        <f>IF(ROW()&lt;=2+1,"",INDEX(Daily_Input!$H:$H,ROW()-2))</f>
        <v>25091.029989999999</v>
      </c>
      <c r="AJ18" s="5">
        <f>IF(ROW()&lt;=2+2,"",INDEX(Daily_Input!$G:$G,ROW()-3))</f>
        <v>15019.2</v>
      </c>
      <c r="AK18" s="5">
        <f>IF(ROW()&lt;=2+2,"",INDEX(Daily_Input!$H:$H,ROW()-3))</f>
        <v>32238.207630000001</v>
      </c>
    </row>
    <row r="19" spans="1:37">
      <c r="A19" s="5">
        <f>Daily_Input!A19</f>
        <v>45856</v>
      </c>
      <c r="B19" s="5">
        <f>Daily_Input!F19</f>
        <v>246843.56846525046</v>
      </c>
      <c r="C19" s="5">
        <f>Daily_Input!D19</f>
        <v>489.69799999999998</v>
      </c>
      <c r="D19" s="5">
        <f>Daily_Input!E19</f>
        <v>1670813.4823932</v>
      </c>
      <c r="E19" s="5">
        <f>IF(ROW()=2,"",Daily_Input!E19-Daily_Input!E18)</f>
        <v>-21300.179182599997</v>
      </c>
      <c r="F19" s="5">
        <f>IFERROR(Daily_Input!E19/Config!$B$4,"")</f>
        <v>1.0278995598159937</v>
      </c>
      <c r="G19" s="5">
        <f>Daily_Input!I19</f>
        <v>4.2</v>
      </c>
      <c r="H19" s="5">
        <f>IF(A19="","",IF(ROW()=2,G19,Config!$B$5*H18+G19))</f>
        <v>140.16383943114201</v>
      </c>
      <c r="I19" s="5">
        <f t="shared" si="0"/>
        <v>199</v>
      </c>
      <c r="J19" s="5">
        <f>IF(I19="","",SIN(2*PI()*I19/Config!$B$6))</f>
        <v>-0.28023067519921607</v>
      </c>
      <c r="K19" s="5">
        <f>IF(I19="","",COS(2*PI()*I19/Config!$B$6))</f>
        <v>-0.95993268965974454</v>
      </c>
      <c r="L19" s="5">
        <f>IF(ROW()&lt;=2+0,"",INDEX(Daily_Input!$F:$F,ROW()-1))</f>
        <v>420736.40525566263</v>
      </c>
      <c r="M19" s="5">
        <f>IF(ROW()&lt;=2+1,"",INDEX(Daily_Input!$F:$F,ROW()-2))</f>
        <v>783596.62376326253</v>
      </c>
      <c r="N19" s="5">
        <f>IF(ROW()&lt;=2+2,"",INDEX(Daily_Input!$F:$F,ROW()-3))</f>
        <v>37913.4925589673</v>
      </c>
      <c r="O19" s="5">
        <f>IF(ROW()&lt;=2+3,"",INDEX(Daily_Input!$F:$F,ROW()-4))</f>
        <v>48074.294514598987</v>
      </c>
      <c r="P19" s="5">
        <f>IF(ROW()&lt;=2+4,"",INDEX(Daily_Input!$F:$F,ROW()-5))</f>
        <v>62078.747450664108</v>
      </c>
      <c r="Q19" s="5">
        <f>IF(ROW()&lt;=2+5,"",INDEX(Daily_Input!$F:$F,ROW()-6))</f>
        <v>20229.444597982056</v>
      </c>
      <c r="R19" s="5">
        <f>IF(ROW()&lt;=2+6,"",INDEX(Daily_Input!$F:$F,ROW()-7))</f>
        <v>9394.6861631766424</v>
      </c>
      <c r="S19" s="5">
        <f>IF(ROW()&lt;=2+7,"",INDEX(Daily_Input!$F:$F,ROW()-8))</f>
        <v>16375.721740471887</v>
      </c>
      <c r="T19" s="5">
        <f>IF(ROW()&lt;=2+8,"",INDEX(Daily_Input!$F:$F,ROW()-9))</f>
        <v>33609.807666367386</v>
      </c>
      <c r="U19" s="5">
        <f>IF(ROW()&lt;=2+9,"",INDEX(Daily_Input!$F:$F,ROW()-10))</f>
        <v>38399.784596367383</v>
      </c>
      <c r="V19" s="5">
        <f>IF(ROW()&lt;=2+10,"",INDEX(Daily_Input!$F:$F,ROW()-11))</f>
        <v>41376.630786367386</v>
      </c>
      <c r="W19" s="5">
        <f>IF(ROW()&lt;=2+11,"",INDEX(Daily_Input!$F:$F,ROW()-12))</f>
        <v>41409.761774343926</v>
      </c>
      <c r="X19" s="5">
        <f>IF(ROW()&lt;=2+12,"",INDEX(Daily_Input!$F:$F,ROW()-13))</f>
        <v>22384.726030446494</v>
      </c>
      <c r="Y19" s="5">
        <f>IF(ROW()&lt;=2+13,"",INDEX(Daily_Input!$F:$F,ROW()-14))</f>
        <v>21645.220712065402</v>
      </c>
      <c r="Z19" s="5">
        <f>IF(ROW()&lt;=4,"",SUM(Daily_Input!I19:I21))</f>
        <v>4.2</v>
      </c>
      <c r="AA19" s="5">
        <f>IF(ROW()&lt;=8,"",SUM(Daily_Input!I19:I25))</f>
        <v>122.39999999999999</v>
      </c>
      <c r="AB19" s="5">
        <f>IF(ROW()&lt;=15,"",SUM(Daily_Input!I19:I32))</f>
        <v>213.20000000000002</v>
      </c>
      <c r="AC19" s="5">
        <f>IF(ROW()&lt;=4,"",AVERAGE(Daily_Input!F19:F21))</f>
        <v>162857.02010910623</v>
      </c>
      <c r="AD19" s="5">
        <f>IF(ROW()&lt;=8,"",AVERAGE(Daily_Input!F19:F25))</f>
        <v>450674.39168336277</v>
      </c>
      <c r="AE19" s="5">
        <f>IF(ROW()&lt;=8,"",MAX(Daily_Input!F19:F25))</f>
        <v>1407917.4636137555</v>
      </c>
      <c r="AF19" s="5">
        <f>IF(ROW()&lt;=2+0,"",INDEX(Daily_Input!$G:$G,ROW()-1))</f>
        <v>15019.2</v>
      </c>
      <c r="AG19" s="5">
        <f>IF(ROW()&lt;=2+0,"",INDEX(Daily_Input!$H:$H,ROW()-1))</f>
        <v>433726.34600000002</v>
      </c>
      <c r="AH19" s="5">
        <f>IF(ROW()&lt;=2+1,"",INDEX(Daily_Input!$G:$G,ROW()-2))</f>
        <v>15019.2</v>
      </c>
      <c r="AI19" s="5">
        <f>IF(ROW()&lt;=2+1,"",INDEX(Daily_Input!$H:$H,ROW()-2))</f>
        <v>706792.15720000002</v>
      </c>
      <c r="AJ19" s="5">
        <f>IF(ROW()&lt;=2+2,"",INDEX(Daily_Input!$G:$G,ROW()-3))</f>
        <v>15019.2</v>
      </c>
      <c r="AK19" s="5">
        <f>IF(ROW()&lt;=2+2,"",INDEX(Daily_Input!$H:$H,ROW()-3))</f>
        <v>25091.029989999999</v>
      </c>
    </row>
    <row r="20" spans="1:37">
      <c r="A20" s="5">
        <f>Daily_Input!A20</f>
        <v>45857</v>
      </c>
      <c r="B20" s="5">
        <f>Daily_Input!F20</f>
        <v>142399.4812738132</v>
      </c>
      <c r="C20" s="5">
        <f>Daily_Input!D20</f>
        <v>489.64800000000002</v>
      </c>
      <c r="D20" s="5">
        <f>Daily_Input!E20</f>
        <v>1655645.1614623</v>
      </c>
      <c r="E20" s="5">
        <f>IF(ROW()=2,"",Daily_Input!E20-Daily_Input!E19)</f>
        <v>-15168.320930900052</v>
      </c>
      <c r="F20" s="5">
        <f>IFERROR(Daily_Input!E20/Config!$B$4,"")</f>
        <v>1.018567871645937</v>
      </c>
      <c r="G20" s="5">
        <f>Daily_Input!I20</f>
        <v>0</v>
      </c>
      <c r="H20" s="5">
        <f>IF(A20="","",IF(ROW()=2,G20,Config!$B$5*H19+G20))</f>
        <v>133.15564745958491</v>
      </c>
      <c r="I20" s="5">
        <f t="shared" si="0"/>
        <v>200</v>
      </c>
      <c r="J20" s="5">
        <f>IF(I20="","",SIN(2*PI()*I20/Config!$B$6))</f>
        <v>-0.29671281927349008</v>
      </c>
      <c r="K20" s="5">
        <f>IF(I20="","",COS(2*PI()*I20/Config!$B$6))</f>
        <v>-0.95496675485525528</v>
      </c>
      <c r="L20" s="5">
        <f>IF(ROW()&lt;=2+0,"",INDEX(Daily_Input!$F:$F,ROW()-1))</f>
        <v>246843.56846525046</v>
      </c>
      <c r="M20" s="5">
        <f>IF(ROW()&lt;=2+1,"",INDEX(Daily_Input!$F:$F,ROW()-2))</f>
        <v>420736.40525566263</v>
      </c>
      <c r="N20" s="5">
        <f>IF(ROW()&lt;=2+2,"",INDEX(Daily_Input!$F:$F,ROW()-3))</f>
        <v>783596.62376326253</v>
      </c>
      <c r="O20" s="5">
        <f>IF(ROW()&lt;=2+3,"",INDEX(Daily_Input!$F:$F,ROW()-4))</f>
        <v>37913.4925589673</v>
      </c>
      <c r="P20" s="5">
        <f>IF(ROW()&lt;=2+4,"",INDEX(Daily_Input!$F:$F,ROW()-5))</f>
        <v>48074.294514598987</v>
      </c>
      <c r="Q20" s="5">
        <f>IF(ROW()&lt;=2+5,"",INDEX(Daily_Input!$F:$F,ROW()-6))</f>
        <v>62078.747450664108</v>
      </c>
      <c r="R20" s="5">
        <f>IF(ROW()&lt;=2+6,"",INDEX(Daily_Input!$F:$F,ROW()-7))</f>
        <v>20229.444597982056</v>
      </c>
      <c r="S20" s="5">
        <f>IF(ROW()&lt;=2+7,"",INDEX(Daily_Input!$F:$F,ROW()-8))</f>
        <v>9394.6861631766424</v>
      </c>
      <c r="T20" s="5">
        <f>IF(ROW()&lt;=2+8,"",INDEX(Daily_Input!$F:$F,ROW()-9))</f>
        <v>16375.721740471887</v>
      </c>
      <c r="U20" s="5">
        <f>IF(ROW()&lt;=2+9,"",INDEX(Daily_Input!$F:$F,ROW()-10))</f>
        <v>33609.807666367386</v>
      </c>
      <c r="V20" s="5">
        <f>IF(ROW()&lt;=2+10,"",INDEX(Daily_Input!$F:$F,ROW()-11))</f>
        <v>38399.784596367383</v>
      </c>
      <c r="W20" s="5">
        <f>IF(ROW()&lt;=2+11,"",INDEX(Daily_Input!$F:$F,ROW()-12))</f>
        <v>41376.630786367386</v>
      </c>
      <c r="X20" s="5">
        <f>IF(ROW()&lt;=2+12,"",INDEX(Daily_Input!$F:$F,ROW()-13))</f>
        <v>41409.761774343926</v>
      </c>
      <c r="Y20" s="5">
        <f>IF(ROW()&lt;=2+13,"",INDEX(Daily_Input!$F:$F,ROW()-14))</f>
        <v>22384.726030446494</v>
      </c>
      <c r="Z20" s="5">
        <f>IF(ROW()&lt;=4,"",SUM(Daily_Input!I20:I22))</f>
        <v>19.8</v>
      </c>
      <c r="AA20" s="5">
        <f>IF(ROW()&lt;=8,"",SUM(Daily_Input!I20:I26))</f>
        <v>127</v>
      </c>
      <c r="AB20" s="5">
        <f>IF(ROW()&lt;=15,"",SUM(Daily_Input!I20:I33))</f>
        <v>210.60000000000002</v>
      </c>
      <c r="AC20" s="5">
        <f>IF(ROW()&lt;=4,"",AVERAGE(Daily_Input!F20:F22))</f>
        <v>107715.74342076242</v>
      </c>
      <c r="AD20" s="5">
        <f>IF(ROW()&lt;=8,"",AVERAGE(Daily_Input!F20:F26))</f>
        <v>503745.30492672551</v>
      </c>
      <c r="AE20" s="5">
        <f>IF(ROW()&lt;=8,"",MAX(Daily_Input!F20:F26))</f>
        <v>1407917.4636137555</v>
      </c>
      <c r="AF20" s="5">
        <f>IF(ROW()&lt;=2+0,"",INDEX(Daily_Input!$G:$G,ROW()-1))</f>
        <v>15019.2</v>
      </c>
      <c r="AG20" s="5">
        <f>IF(ROW()&lt;=2+0,"",INDEX(Daily_Input!$H:$H,ROW()-1))</f>
        <v>253577.02410000001</v>
      </c>
      <c r="AH20" s="5">
        <f>IF(ROW()&lt;=2+1,"",INDEX(Daily_Input!$G:$G,ROW()-2))</f>
        <v>15019.2</v>
      </c>
      <c r="AI20" s="5">
        <f>IF(ROW()&lt;=2+1,"",INDEX(Daily_Input!$H:$H,ROW()-2))</f>
        <v>433726.34600000002</v>
      </c>
      <c r="AJ20" s="5">
        <f>IF(ROW()&lt;=2+2,"",INDEX(Daily_Input!$G:$G,ROW()-3))</f>
        <v>15019.2</v>
      </c>
      <c r="AK20" s="5">
        <f>IF(ROW()&lt;=2+2,"",INDEX(Daily_Input!$H:$H,ROW()-3))</f>
        <v>706792.15720000002</v>
      </c>
    </row>
    <row r="21" spans="1:37">
      <c r="A21" s="5">
        <f>Daily_Input!A21</f>
        <v>45858</v>
      </c>
      <c r="B21" s="5">
        <f>Daily_Input!F21</f>
        <v>99328.010588255012</v>
      </c>
      <c r="C21" s="5">
        <f>Daily_Input!D21</f>
        <v>489.608</v>
      </c>
      <c r="D21" s="5">
        <f>Daily_Input!E21</f>
        <v>1643538.2164867001</v>
      </c>
      <c r="E21" s="5">
        <f>IF(ROW()=2,"",Daily_Input!E21-Daily_Input!E20)</f>
        <v>-12106.944975599879</v>
      </c>
      <c r="F21" s="5">
        <f>IFERROR(Daily_Input!E21/Config!$B$4,"")</f>
        <v>1.0111195696407902</v>
      </c>
      <c r="G21" s="5">
        <f>Daily_Input!I21</f>
        <v>0</v>
      </c>
      <c r="H21" s="5">
        <f>IF(A21="","",IF(ROW()=2,G21,Config!$B$5*H20+G21))</f>
        <v>126.49786508660566</v>
      </c>
      <c r="I21" s="5">
        <f t="shared" si="0"/>
        <v>201</v>
      </c>
      <c r="J21" s="5">
        <f>IF(I21="","",SIN(2*PI()*I21/Config!$B$6))</f>
        <v>-0.3131070409358267</v>
      </c>
      <c r="K21" s="5">
        <f>IF(I21="","",COS(2*PI()*I21/Config!$B$6))</f>
        <v>-0.94971784279143168</v>
      </c>
      <c r="L21" s="5">
        <f>IF(ROW()&lt;=2+0,"",INDEX(Daily_Input!$F:$F,ROW()-1))</f>
        <v>142399.4812738132</v>
      </c>
      <c r="M21" s="5">
        <f>IF(ROW()&lt;=2+1,"",INDEX(Daily_Input!$F:$F,ROW()-2))</f>
        <v>246843.56846525046</v>
      </c>
      <c r="N21" s="5">
        <f>IF(ROW()&lt;=2+2,"",INDEX(Daily_Input!$F:$F,ROW()-3))</f>
        <v>420736.40525566263</v>
      </c>
      <c r="O21" s="5">
        <f>IF(ROW()&lt;=2+3,"",INDEX(Daily_Input!$F:$F,ROW()-4))</f>
        <v>783596.62376326253</v>
      </c>
      <c r="P21" s="5">
        <f>IF(ROW()&lt;=2+4,"",INDEX(Daily_Input!$F:$F,ROW()-5))</f>
        <v>37913.4925589673</v>
      </c>
      <c r="Q21" s="5">
        <f>IF(ROW()&lt;=2+5,"",INDEX(Daily_Input!$F:$F,ROW()-6))</f>
        <v>48074.294514598987</v>
      </c>
      <c r="R21" s="5">
        <f>IF(ROW()&lt;=2+6,"",INDEX(Daily_Input!$F:$F,ROW()-7))</f>
        <v>62078.747450664108</v>
      </c>
      <c r="S21" s="5">
        <f>IF(ROW()&lt;=2+7,"",INDEX(Daily_Input!$F:$F,ROW()-8))</f>
        <v>20229.444597982056</v>
      </c>
      <c r="T21" s="5">
        <f>IF(ROW()&lt;=2+8,"",INDEX(Daily_Input!$F:$F,ROW()-9))</f>
        <v>9394.6861631766424</v>
      </c>
      <c r="U21" s="5">
        <f>IF(ROW()&lt;=2+9,"",INDEX(Daily_Input!$F:$F,ROW()-10))</f>
        <v>16375.721740471887</v>
      </c>
      <c r="V21" s="5">
        <f>IF(ROW()&lt;=2+10,"",INDEX(Daily_Input!$F:$F,ROW()-11))</f>
        <v>33609.807666367386</v>
      </c>
      <c r="W21" s="5">
        <f>IF(ROW()&lt;=2+11,"",INDEX(Daily_Input!$F:$F,ROW()-12))</f>
        <v>38399.784596367383</v>
      </c>
      <c r="X21" s="5">
        <f>IF(ROW()&lt;=2+12,"",INDEX(Daily_Input!$F:$F,ROW()-13))</f>
        <v>41376.630786367386</v>
      </c>
      <c r="Y21" s="5">
        <f>IF(ROW()&lt;=2+13,"",INDEX(Daily_Input!$F:$F,ROW()-14))</f>
        <v>41409.761774343926</v>
      </c>
      <c r="Z21" s="5">
        <f>IF(ROW()&lt;=4,"",SUM(Daily_Input!I21:I23))</f>
        <v>19.8</v>
      </c>
      <c r="AA21" s="5">
        <f>IF(ROW()&lt;=8,"",SUM(Daily_Input!I21:I27))</f>
        <v>133</v>
      </c>
      <c r="AB21" s="5">
        <f>IF(ROW()&lt;=15,"",SUM(Daily_Input!I21:I34))</f>
        <v>210.60000000000002</v>
      </c>
      <c r="AC21" s="5">
        <f>IF(ROW()&lt;=4,"",AVERAGE(Daily_Input!F21:F23))</f>
        <v>78212.864402024294</v>
      </c>
      <c r="AD21" s="5">
        <f>IF(ROW()&lt;=8,"",AVERAGE(Daily_Input!F21:F27))</f>
        <v>552294.68170566682</v>
      </c>
      <c r="AE21" s="5">
        <f>IF(ROW()&lt;=8,"",MAX(Daily_Input!F21:F27))</f>
        <v>1407917.4636137555</v>
      </c>
      <c r="AF21" s="5">
        <f>IF(ROW()&lt;=2+0,"",INDEX(Daily_Input!$G:$G,ROW()-1))</f>
        <v>15019.2</v>
      </c>
      <c r="AG21" s="5">
        <f>IF(ROW()&lt;=2+0,"",INDEX(Daily_Input!$H:$H,ROW()-1))</f>
        <v>141727.3849</v>
      </c>
      <c r="AH21" s="5">
        <f>IF(ROW()&lt;=2+1,"",INDEX(Daily_Input!$G:$G,ROW()-2))</f>
        <v>15019.2</v>
      </c>
      <c r="AI21" s="5">
        <f>IF(ROW()&lt;=2+1,"",INDEX(Daily_Input!$H:$H,ROW()-2))</f>
        <v>253577.02410000001</v>
      </c>
      <c r="AJ21" s="5">
        <f>IF(ROW()&lt;=2+2,"",INDEX(Daily_Input!$G:$G,ROW()-3))</f>
        <v>15019.2</v>
      </c>
      <c r="AK21" s="5">
        <f>IF(ROW()&lt;=2+2,"",INDEX(Daily_Input!$H:$H,ROW()-3))</f>
        <v>433726.34600000002</v>
      </c>
    </row>
    <row r="22" spans="1:37">
      <c r="A22" s="5">
        <f>Daily_Input!A22</f>
        <v>45859</v>
      </c>
      <c r="B22" s="5">
        <f>Daily_Input!F22</f>
        <v>81419.738400219037</v>
      </c>
      <c r="C22" s="5">
        <f>Daily_Input!D22</f>
        <v>489.608</v>
      </c>
      <c r="D22" s="5">
        <f>Daily_Input!E22</f>
        <v>1643538.2164867001</v>
      </c>
      <c r="E22" s="5">
        <f>IF(ROW()=2,"",Daily_Input!E22-Daily_Input!E21)</f>
        <v>0</v>
      </c>
      <c r="F22" s="5">
        <f>IFERROR(Daily_Input!E22/Config!$B$4,"")</f>
        <v>1.0111195696407902</v>
      </c>
      <c r="G22" s="5">
        <f>Daily_Input!I22</f>
        <v>19.8</v>
      </c>
      <c r="H22" s="5">
        <f>IF(A22="","",IF(ROW()=2,G22,Config!$B$5*H21+G22))</f>
        <v>139.97297183227536</v>
      </c>
      <c r="I22" s="5">
        <f t="shared" si="0"/>
        <v>202</v>
      </c>
      <c r="J22" s="5">
        <f>IF(I22="","",SIN(2*PI()*I22/Config!$B$6))</f>
        <v>-0.32940848222453017</v>
      </c>
      <c r="K22" s="5">
        <f>IF(I22="","",COS(2*PI()*I22/Config!$B$6))</f>
        <v>-0.94418750883419944</v>
      </c>
      <c r="L22" s="5">
        <f>IF(ROW()&lt;=2+0,"",INDEX(Daily_Input!$F:$F,ROW()-1))</f>
        <v>99328.010588255012</v>
      </c>
      <c r="M22" s="5">
        <f>IF(ROW()&lt;=2+1,"",INDEX(Daily_Input!$F:$F,ROW()-2))</f>
        <v>142399.4812738132</v>
      </c>
      <c r="N22" s="5">
        <f>IF(ROW()&lt;=2+2,"",INDEX(Daily_Input!$F:$F,ROW()-3))</f>
        <v>246843.56846525046</v>
      </c>
      <c r="O22" s="5">
        <f>IF(ROW()&lt;=2+3,"",INDEX(Daily_Input!$F:$F,ROW()-4))</f>
        <v>420736.40525566263</v>
      </c>
      <c r="P22" s="5">
        <f>IF(ROW()&lt;=2+4,"",INDEX(Daily_Input!$F:$F,ROW()-5))</f>
        <v>783596.62376326253</v>
      </c>
      <c r="Q22" s="5">
        <f>IF(ROW()&lt;=2+5,"",INDEX(Daily_Input!$F:$F,ROW()-6))</f>
        <v>37913.4925589673</v>
      </c>
      <c r="R22" s="5">
        <f>IF(ROW()&lt;=2+6,"",INDEX(Daily_Input!$F:$F,ROW()-7))</f>
        <v>48074.294514598987</v>
      </c>
      <c r="S22" s="5">
        <f>IF(ROW()&lt;=2+7,"",INDEX(Daily_Input!$F:$F,ROW()-8))</f>
        <v>62078.747450664108</v>
      </c>
      <c r="T22" s="5">
        <f>IF(ROW()&lt;=2+8,"",INDEX(Daily_Input!$F:$F,ROW()-9))</f>
        <v>20229.444597982056</v>
      </c>
      <c r="U22" s="5">
        <f>IF(ROW()&lt;=2+9,"",INDEX(Daily_Input!$F:$F,ROW()-10))</f>
        <v>9394.6861631766424</v>
      </c>
      <c r="V22" s="5">
        <f>IF(ROW()&lt;=2+10,"",INDEX(Daily_Input!$F:$F,ROW()-11))</f>
        <v>16375.721740471887</v>
      </c>
      <c r="W22" s="5">
        <f>IF(ROW()&lt;=2+11,"",INDEX(Daily_Input!$F:$F,ROW()-12))</f>
        <v>33609.807666367386</v>
      </c>
      <c r="X22" s="5">
        <f>IF(ROW()&lt;=2+12,"",INDEX(Daily_Input!$F:$F,ROW()-13))</f>
        <v>38399.784596367383</v>
      </c>
      <c r="Y22" s="5">
        <f>IF(ROW()&lt;=2+13,"",INDEX(Daily_Input!$F:$F,ROW()-14))</f>
        <v>41376.630786367386</v>
      </c>
      <c r="Z22" s="5">
        <f>IF(ROW()&lt;=4,"",SUM(Daily_Input!I22:I24))</f>
        <v>78.400000000000006</v>
      </c>
      <c r="AA22" s="5">
        <f>IF(ROW()&lt;=8,"",SUM(Daily_Input!I22:I28))</f>
        <v>133</v>
      </c>
      <c r="AB22" s="5">
        <f>IF(ROW()&lt;=15,"",SUM(Daily_Input!I22:I35))</f>
        <v>210.60000000000002</v>
      </c>
      <c r="AC22" s="5">
        <f>IF(ROW()&lt;=4,"",AVERAGE(Daily_Input!F22:F24))</f>
        <v>514409.34874385782</v>
      </c>
      <c r="AD22" s="5">
        <f>IF(ROW()&lt;=8,"",AVERAGE(Daily_Input!F22:F28))</f>
        <v>619411.03329406679</v>
      </c>
      <c r="AE22" s="5">
        <f>IF(ROW()&lt;=8,"",MAX(Daily_Input!F22:F28))</f>
        <v>1407917.4636137555</v>
      </c>
      <c r="AF22" s="5">
        <f>IF(ROW()&lt;=2+0,"",INDEX(Daily_Input!$G:$G,ROW()-1))</f>
        <v>15019.2</v>
      </c>
      <c r="AG22" s="5">
        <f>IF(ROW()&lt;=2+0,"",INDEX(Daily_Input!$H:$H,ROW()-1))</f>
        <v>95597.933390000006</v>
      </c>
      <c r="AH22" s="5">
        <f>IF(ROW()&lt;=2+1,"",INDEX(Daily_Input!$G:$G,ROW()-2))</f>
        <v>15019.2</v>
      </c>
      <c r="AI22" s="5">
        <f>IF(ROW()&lt;=2+1,"",INDEX(Daily_Input!$H:$H,ROW()-2))</f>
        <v>141727.3849</v>
      </c>
      <c r="AJ22" s="5">
        <f>IF(ROW()&lt;=2+2,"",INDEX(Daily_Input!$G:$G,ROW()-3))</f>
        <v>15019.2</v>
      </c>
      <c r="AK22" s="5">
        <f>IF(ROW()&lt;=2+2,"",INDEX(Daily_Input!$H:$H,ROW()-3))</f>
        <v>253577.02410000001</v>
      </c>
    </row>
    <row r="23" spans="1:37">
      <c r="A23" s="5">
        <f>Daily_Input!A23</f>
        <v>45860</v>
      </c>
      <c r="B23" s="5">
        <f>Daily_Input!F23</f>
        <v>53890.844217598838</v>
      </c>
      <c r="C23" s="5">
        <f>Daily_Input!D23</f>
        <v>489.589</v>
      </c>
      <c r="D23" s="5">
        <f>Daily_Input!E23</f>
        <v>1637507.2197397</v>
      </c>
      <c r="E23" s="5">
        <f>IF(ROW()=2,"",Daily_Input!E23-Daily_Input!E22)</f>
        <v>-6030.9967470001429</v>
      </c>
      <c r="F23" s="5">
        <f>IFERROR(Daily_Input!E23/Config!$B$4,"")</f>
        <v>1.0074092459171549</v>
      </c>
      <c r="G23" s="5">
        <f>Daily_Input!I23</f>
        <v>0</v>
      </c>
      <c r="H23" s="5">
        <f>IF(A23="","",IF(ROW()=2,G23,Config!$B$5*H22+G23))</f>
        <v>132.97432324066159</v>
      </c>
      <c r="I23" s="5">
        <f t="shared" si="0"/>
        <v>203</v>
      </c>
      <c r="J23" s="5">
        <f>IF(I23="","",SIN(2*PI()*I23/Config!$B$6))</f>
        <v>-0.34561231267073328</v>
      </c>
      <c r="K23" s="5">
        <f>IF(I23="","",COS(2*PI()*I23/Config!$B$6))</f>
        <v>-0.93837739174086421</v>
      </c>
      <c r="L23" s="5">
        <f>IF(ROW()&lt;=2+0,"",INDEX(Daily_Input!$F:$F,ROW()-1))</f>
        <v>81419.738400219037</v>
      </c>
      <c r="M23" s="5">
        <f>IF(ROW()&lt;=2+1,"",INDEX(Daily_Input!$F:$F,ROW()-2))</f>
        <v>99328.010588255012</v>
      </c>
      <c r="N23" s="5">
        <f>IF(ROW()&lt;=2+2,"",INDEX(Daily_Input!$F:$F,ROW()-3))</f>
        <v>142399.4812738132</v>
      </c>
      <c r="O23" s="5">
        <f>IF(ROW()&lt;=2+3,"",INDEX(Daily_Input!$F:$F,ROW()-4))</f>
        <v>246843.56846525046</v>
      </c>
      <c r="P23" s="5">
        <f>IF(ROW()&lt;=2+4,"",INDEX(Daily_Input!$F:$F,ROW()-5))</f>
        <v>420736.40525566263</v>
      </c>
      <c r="Q23" s="5">
        <f>IF(ROW()&lt;=2+5,"",INDEX(Daily_Input!$F:$F,ROW()-6))</f>
        <v>783596.62376326253</v>
      </c>
      <c r="R23" s="5">
        <f>IF(ROW()&lt;=2+6,"",INDEX(Daily_Input!$F:$F,ROW()-7))</f>
        <v>37913.4925589673</v>
      </c>
      <c r="S23" s="5">
        <f>IF(ROW()&lt;=2+7,"",INDEX(Daily_Input!$F:$F,ROW()-8))</f>
        <v>48074.294514598987</v>
      </c>
      <c r="T23" s="5">
        <f>IF(ROW()&lt;=2+8,"",INDEX(Daily_Input!$F:$F,ROW()-9))</f>
        <v>62078.747450664108</v>
      </c>
      <c r="U23" s="5">
        <f>IF(ROW()&lt;=2+9,"",INDEX(Daily_Input!$F:$F,ROW()-10))</f>
        <v>20229.444597982056</v>
      </c>
      <c r="V23" s="5">
        <f>IF(ROW()&lt;=2+10,"",INDEX(Daily_Input!$F:$F,ROW()-11))</f>
        <v>9394.6861631766424</v>
      </c>
      <c r="W23" s="5">
        <f>IF(ROW()&lt;=2+11,"",INDEX(Daily_Input!$F:$F,ROW()-12))</f>
        <v>16375.721740471887</v>
      </c>
      <c r="X23" s="5">
        <f>IF(ROW()&lt;=2+12,"",INDEX(Daily_Input!$F:$F,ROW()-13))</f>
        <v>33609.807666367386</v>
      </c>
      <c r="Y23" s="5">
        <f>IF(ROW()&lt;=2+13,"",INDEX(Daily_Input!$F:$F,ROW()-14))</f>
        <v>38399.784596367383</v>
      </c>
      <c r="Z23" s="5">
        <f>IF(ROW()&lt;=4,"",SUM(Daily_Input!I23:I25))</f>
        <v>98.4</v>
      </c>
      <c r="AA23" s="5">
        <f>IF(ROW()&lt;=8,"",SUM(Daily_Input!I23:I29))</f>
        <v>163.6</v>
      </c>
      <c r="AB23" s="5">
        <f>IF(ROW()&lt;=15,"",SUM(Daily_Input!I23:I36))</f>
        <v>190.8</v>
      </c>
      <c r="AC23" s="5">
        <f>IF(ROW()&lt;=4,"",AVERAGE(Daily_Input!F23:F25))</f>
        <v>861576.64768533397</v>
      </c>
      <c r="AD23" s="5">
        <f>IF(ROW()&lt;=8,"",AVERAGE(Daily_Input!F23:F29))</f>
        <v>752571.93628436618</v>
      </c>
      <c r="AE23" s="5">
        <f>IF(ROW()&lt;=8,"",MAX(Daily_Input!F23:F29))</f>
        <v>1407917.4636137555</v>
      </c>
      <c r="AF23" s="5">
        <f>IF(ROW()&lt;=2+0,"",INDEX(Daily_Input!$G:$G,ROW()-1))</f>
        <v>15019.2</v>
      </c>
      <c r="AG23" s="5">
        <f>IF(ROW()&lt;=2+0,"",INDEX(Daily_Input!$H:$H,ROW()-1))</f>
        <v>71557.166070000007</v>
      </c>
      <c r="AH23" s="5">
        <f>IF(ROW()&lt;=2+1,"",INDEX(Daily_Input!$G:$G,ROW()-2))</f>
        <v>15019.2</v>
      </c>
      <c r="AI23" s="5">
        <f>IF(ROW()&lt;=2+1,"",INDEX(Daily_Input!$H:$H,ROW()-2))</f>
        <v>95597.933390000006</v>
      </c>
      <c r="AJ23" s="5">
        <f>IF(ROW()&lt;=2+2,"",INDEX(Daily_Input!$G:$G,ROW()-3))</f>
        <v>15019.2</v>
      </c>
      <c r="AK23" s="5">
        <f>IF(ROW()&lt;=2+2,"",INDEX(Daily_Input!$H:$H,ROW()-3))</f>
        <v>141727.3849</v>
      </c>
    </row>
    <row r="24" spans="1:37">
      <c r="A24" s="5">
        <f>Daily_Input!A24</f>
        <v>45861</v>
      </c>
      <c r="B24" s="5">
        <f>Daily_Input!F24</f>
        <v>1407917.4636137555</v>
      </c>
      <c r="C24" s="5">
        <f>Daily_Input!D24</f>
        <v>489.80099999999999</v>
      </c>
      <c r="D24" s="5">
        <f>Daily_Input!E24</f>
        <v>1704320.2680112</v>
      </c>
      <c r="E24" s="5">
        <f>IF(ROW()=2,"",Daily_Input!E24-Daily_Input!E23)</f>
        <v>66813.04827150004</v>
      </c>
      <c r="F24" s="5">
        <f>IFERROR(Daily_Input!E24/Config!$B$4,"")</f>
        <v>1.0485132372554755</v>
      </c>
      <c r="G24" s="5">
        <f>Daily_Input!I24</f>
        <v>58.6</v>
      </c>
      <c r="H24" s="5">
        <f>IF(A24="","",IF(ROW()=2,G24,Config!$B$5*H23+G24))</f>
        <v>184.9256070786285</v>
      </c>
      <c r="I24" s="5">
        <f t="shared" si="0"/>
        <v>204</v>
      </c>
      <c r="J24" s="5">
        <f>IF(I24="","",SIN(2*PI()*I24/Config!$B$6))</f>
        <v>-0.36171373072976742</v>
      </c>
      <c r="K24" s="5">
        <f>IF(I24="","",COS(2*PI()*I24/Config!$B$6))</f>
        <v>-0.93228921317451341</v>
      </c>
      <c r="L24" s="5">
        <f>IF(ROW()&lt;=2+0,"",INDEX(Daily_Input!$F:$F,ROW()-1))</f>
        <v>53890.844217598838</v>
      </c>
      <c r="M24" s="5">
        <f>IF(ROW()&lt;=2+1,"",INDEX(Daily_Input!$F:$F,ROW()-2))</f>
        <v>81419.738400219037</v>
      </c>
      <c r="N24" s="5">
        <f>IF(ROW()&lt;=2+2,"",INDEX(Daily_Input!$F:$F,ROW()-3))</f>
        <v>99328.010588255012</v>
      </c>
      <c r="O24" s="5">
        <f>IF(ROW()&lt;=2+3,"",INDEX(Daily_Input!$F:$F,ROW()-4))</f>
        <v>142399.4812738132</v>
      </c>
      <c r="P24" s="5">
        <f>IF(ROW()&lt;=2+4,"",INDEX(Daily_Input!$F:$F,ROW()-5))</f>
        <v>246843.56846525046</v>
      </c>
      <c r="Q24" s="5">
        <f>IF(ROW()&lt;=2+5,"",INDEX(Daily_Input!$F:$F,ROW()-6))</f>
        <v>420736.40525566263</v>
      </c>
      <c r="R24" s="5">
        <f>IF(ROW()&lt;=2+6,"",INDEX(Daily_Input!$F:$F,ROW()-7))</f>
        <v>783596.62376326253</v>
      </c>
      <c r="S24" s="5">
        <f>IF(ROW()&lt;=2+7,"",INDEX(Daily_Input!$F:$F,ROW()-8))</f>
        <v>37913.4925589673</v>
      </c>
      <c r="T24" s="5">
        <f>IF(ROW()&lt;=2+8,"",INDEX(Daily_Input!$F:$F,ROW()-9))</f>
        <v>48074.294514598987</v>
      </c>
      <c r="U24" s="5">
        <f>IF(ROW()&lt;=2+9,"",INDEX(Daily_Input!$F:$F,ROW()-10))</f>
        <v>62078.747450664108</v>
      </c>
      <c r="V24" s="5">
        <f>IF(ROW()&lt;=2+10,"",INDEX(Daily_Input!$F:$F,ROW()-11))</f>
        <v>20229.444597982056</v>
      </c>
      <c r="W24" s="5">
        <f>IF(ROW()&lt;=2+11,"",INDEX(Daily_Input!$F:$F,ROW()-12))</f>
        <v>9394.6861631766424</v>
      </c>
      <c r="X24" s="5">
        <f>IF(ROW()&lt;=2+12,"",INDEX(Daily_Input!$F:$F,ROW()-13))</f>
        <v>16375.721740471887</v>
      </c>
      <c r="Y24" s="5">
        <f>IF(ROW()&lt;=2+13,"",INDEX(Daily_Input!$F:$F,ROW()-14))</f>
        <v>33609.807666367386</v>
      </c>
      <c r="Z24" s="5">
        <f>IF(ROW()&lt;=4,"",SUM(Daily_Input!I24:I26))</f>
        <v>107.2</v>
      </c>
      <c r="AA24" s="5">
        <f>IF(ROW()&lt;=8,"",SUM(Daily_Input!I24:I30))</f>
        <v>164</v>
      </c>
      <c r="AB24" s="5">
        <f>IF(ROW()&lt;=15,"",SUM(Daily_Input!I24:I37))</f>
        <v>190.8</v>
      </c>
      <c r="AC24" s="5">
        <f>IF(ROW()&lt;=4,"",AVERAGE(Daily_Input!F24:F26))</f>
        <v>1049726.3533357307</v>
      </c>
      <c r="AD24" s="5">
        <f>IF(ROW()&lt;=8,"",AVERAGE(Daily_Input!F24:F30))</f>
        <v>843853.38817688846</v>
      </c>
      <c r="AE24" s="5">
        <f>IF(ROW()&lt;=8,"",MAX(Daily_Input!F24:F30))</f>
        <v>1407917.4636137555</v>
      </c>
      <c r="AF24" s="5">
        <f>IF(ROW()&lt;=2+0,"",INDEX(Daily_Input!$G:$G,ROW()-1))</f>
        <v>15019.2</v>
      </c>
      <c r="AG24" s="5">
        <f>IF(ROW()&lt;=2+0,"",INDEX(Daily_Input!$H:$H,ROW()-1))</f>
        <v>44085.754079999999</v>
      </c>
      <c r="AH24" s="5">
        <f>IF(ROW()&lt;=2+1,"",INDEX(Daily_Input!$G:$G,ROW()-2))</f>
        <v>15019.2</v>
      </c>
      <c r="AI24" s="5">
        <f>IF(ROW()&lt;=2+1,"",INDEX(Daily_Input!$H:$H,ROW()-2))</f>
        <v>71557.166070000007</v>
      </c>
      <c r="AJ24" s="5">
        <f>IF(ROW()&lt;=2+2,"",INDEX(Daily_Input!$G:$G,ROW()-3))</f>
        <v>15019.2</v>
      </c>
      <c r="AK24" s="5">
        <f>IF(ROW()&lt;=2+2,"",INDEX(Daily_Input!$H:$H,ROW()-3))</f>
        <v>95597.933390000006</v>
      </c>
    </row>
    <row r="25" spans="1:37">
      <c r="A25" s="5">
        <f>Daily_Input!A25</f>
        <v>45862</v>
      </c>
      <c r="B25" s="5">
        <f>Daily_Input!F25</f>
        <v>1122921.6352246474</v>
      </c>
      <c r="C25" s="5">
        <f>Daily_Input!D25</f>
        <v>489.94299999999998</v>
      </c>
      <c r="D25" s="5">
        <f>Daily_Input!E25</f>
        <v>1747400.294549</v>
      </c>
      <c r="E25" s="5">
        <f>IF(ROW()=2,"",Daily_Input!E25-Daily_Input!E24)</f>
        <v>43080.026537799975</v>
      </c>
      <c r="F25" s="5">
        <f>IFERROR(Daily_Input!E25/Config!$B$4,"")</f>
        <v>1.0750164590583295</v>
      </c>
      <c r="G25" s="5">
        <f>Daily_Input!I25</f>
        <v>39.799999999999997</v>
      </c>
      <c r="H25" s="5">
        <f>IF(A25="","",IF(ROW()=2,G25,Config!$B$5*H24+G25))</f>
        <v>215.47932672469705</v>
      </c>
      <c r="I25" s="5">
        <f t="shared" si="0"/>
        <v>205</v>
      </c>
      <c r="J25" s="5">
        <f>IF(I25="","",SIN(2*PI()*I25/Config!$B$6))</f>
        <v>-0.37770796520396466</v>
      </c>
      <c r="K25" s="5">
        <f>IF(I25="","",COS(2*PI()*I25/Config!$B$6))</f>
        <v>-0.92592477719384991</v>
      </c>
      <c r="L25" s="5">
        <f>IF(ROW()&lt;=2+0,"",INDEX(Daily_Input!$F:$F,ROW()-1))</f>
        <v>1407917.4636137555</v>
      </c>
      <c r="M25" s="5">
        <f>IF(ROW()&lt;=2+1,"",INDEX(Daily_Input!$F:$F,ROW()-2))</f>
        <v>53890.844217598838</v>
      </c>
      <c r="N25" s="5">
        <f>IF(ROW()&lt;=2+2,"",INDEX(Daily_Input!$F:$F,ROW()-3))</f>
        <v>81419.738400219037</v>
      </c>
      <c r="O25" s="5">
        <f>IF(ROW()&lt;=2+3,"",INDEX(Daily_Input!$F:$F,ROW()-4))</f>
        <v>99328.010588255012</v>
      </c>
      <c r="P25" s="5">
        <f>IF(ROW()&lt;=2+4,"",INDEX(Daily_Input!$F:$F,ROW()-5))</f>
        <v>142399.4812738132</v>
      </c>
      <c r="Q25" s="5">
        <f>IF(ROW()&lt;=2+5,"",INDEX(Daily_Input!$F:$F,ROW()-6))</f>
        <v>246843.56846525046</v>
      </c>
      <c r="R25" s="5">
        <f>IF(ROW()&lt;=2+6,"",INDEX(Daily_Input!$F:$F,ROW()-7))</f>
        <v>420736.40525566263</v>
      </c>
      <c r="S25" s="5">
        <f>IF(ROW()&lt;=2+7,"",INDEX(Daily_Input!$F:$F,ROW()-8))</f>
        <v>783596.62376326253</v>
      </c>
      <c r="T25" s="5">
        <f>IF(ROW()&lt;=2+8,"",INDEX(Daily_Input!$F:$F,ROW()-9))</f>
        <v>37913.4925589673</v>
      </c>
      <c r="U25" s="5">
        <f>IF(ROW()&lt;=2+9,"",INDEX(Daily_Input!$F:$F,ROW()-10))</f>
        <v>48074.294514598987</v>
      </c>
      <c r="V25" s="5">
        <f>IF(ROW()&lt;=2+10,"",INDEX(Daily_Input!$F:$F,ROW()-11))</f>
        <v>62078.747450664108</v>
      </c>
      <c r="W25" s="5">
        <f>IF(ROW()&lt;=2+11,"",INDEX(Daily_Input!$F:$F,ROW()-12))</f>
        <v>20229.444597982056</v>
      </c>
      <c r="X25" s="5">
        <f>IF(ROW()&lt;=2+12,"",INDEX(Daily_Input!$F:$F,ROW()-13))</f>
        <v>9394.6861631766424</v>
      </c>
      <c r="Y25" s="5">
        <f>IF(ROW()&lt;=2+13,"",INDEX(Daily_Input!$F:$F,ROW()-14))</f>
        <v>16375.721740471887</v>
      </c>
      <c r="Z25" s="5">
        <f>IF(ROW()&lt;=4,"",SUM(Daily_Input!I25:I27))</f>
        <v>54.599999999999994</v>
      </c>
      <c r="AA25" s="5">
        <f>IF(ROW()&lt;=8,"",SUM(Daily_Input!I25:I31))</f>
        <v>130.20000000000002</v>
      </c>
      <c r="AB25" s="5">
        <f>IF(ROW()&lt;=15,"",SUM(Daily_Input!I25:I38))</f>
        <v>134.20000000000002</v>
      </c>
      <c r="AC25" s="5">
        <f>IF(ROW()&lt;=4,"",AVERAGE(Daily_Input!F25:F27))</f>
        <v>741168.90503994655</v>
      </c>
      <c r="AD25" s="5">
        <f>IF(ROW()&lt;=8,"",AVERAGE(Daily_Input!F25:F31))</f>
        <v>758990.66916590475</v>
      </c>
      <c r="AE25" s="5">
        <f>IF(ROW()&lt;=8,"",MAX(Daily_Input!F25:F31))</f>
        <v>1122921.6352246474</v>
      </c>
      <c r="AF25" s="5">
        <f>IF(ROW()&lt;=2+0,"",INDEX(Daily_Input!$G:$G,ROW()-1))</f>
        <v>15019.2</v>
      </c>
      <c r="AG25" s="5">
        <f>IF(ROW()&lt;=2+0,"",INDEX(Daily_Input!$H:$H,ROW()-1))</f>
        <v>1343213.8</v>
      </c>
      <c r="AH25" s="5">
        <f>IF(ROW()&lt;=2+1,"",INDEX(Daily_Input!$G:$G,ROW()-2))</f>
        <v>15019.2</v>
      </c>
      <c r="AI25" s="5">
        <f>IF(ROW()&lt;=2+1,"",INDEX(Daily_Input!$H:$H,ROW()-2))</f>
        <v>44085.754079999999</v>
      </c>
      <c r="AJ25" s="5">
        <f>IF(ROW()&lt;=2+2,"",INDEX(Daily_Input!$G:$G,ROW()-3))</f>
        <v>15019.2</v>
      </c>
      <c r="AK25" s="5">
        <f>IF(ROW()&lt;=2+2,"",INDEX(Daily_Input!$H:$H,ROW()-3))</f>
        <v>71557.166070000007</v>
      </c>
    </row>
    <row r="26" spans="1:37">
      <c r="A26" s="5">
        <f>Daily_Input!A26</f>
        <v>45863</v>
      </c>
      <c r="B26" s="5">
        <f>Daily_Input!F26</f>
        <v>618339.96116878954</v>
      </c>
      <c r="C26" s="5">
        <f>Daily_Input!D26</f>
        <v>489.82098000000002</v>
      </c>
      <c r="D26" s="5">
        <f>Daily_Input!E26</f>
        <v>1710454.4363392999</v>
      </c>
      <c r="E26" s="5">
        <f>IF(ROW()=2,"",Daily_Input!E26-Daily_Input!E25)</f>
        <v>-36945.858209700091</v>
      </c>
      <c r="F26" s="5">
        <f>IFERROR(Daily_Input!E26/Config!$B$4,"")</f>
        <v>1.0522870330685543</v>
      </c>
      <c r="G26" s="5">
        <f>Daily_Input!I26</f>
        <v>8.8000000000000007</v>
      </c>
      <c r="H26" s="5">
        <f>IF(A26="","",IF(ROW()=2,G26,Config!$B$5*H25+G26))</f>
        <v>213.50536038846221</v>
      </c>
      <c r="I26" s="5">
        <f t="shared" si="0"/>
        <v>206</v>
      </c>
      <c r="J26" s="5">
        <f>IF(I26="","",SIN(2*PI()*I26/Config!$B$6))</f>
        <v>-0.39359027665646645</v>
      </c>
      <c r="K26" s="5">
        <f>IF(I26="","",COS(2*PI()*I26/Config!$B$6))</f>
        <v>-0.91928596971861054</v>
      </c>
      <c r="L26" s="5">
        <f>IF(ROW()&lt;=2+0,"",INDEX(Daily_Input!$F:$F,ROW()-1))</f>
        <v>1122921.6352246474</v>
      </c>
      <c r="M26" s="5">
        <f>IF(ROW()&lt;=2+1,"",INDEX(Daily_Input!$F:$F,ROW()-2))</f>
        <v>1407917.4636137555</v>
      </c>
      <c r="N26" s="5">
        <f>IF(ROW()&lt;=2+2,"",INDEX(Daily_Input!$F:$F,ROW()-3))</f>
        <v>53890.844217598838</v>
      </c>
      <c r="O26" s="5">
        <f>IF(ROW()&lt;=2+3,"",INDEX(Daily_Input!$F:$F,ROW()-4))</f>
        <v>81419.738400219037</v>
      </c>
      <c r="P26" s="5">
        <f>IF(ROW()&lt;=2+4,"",INDEX(Daily_Input!$F:$F,ROW()-5))</f>
        <v>99328.010588255012</v>
      </c>
      <c r="Q26" s="5">
        <f>IF(ROW()&lt;=2+5,"",INDEX(Daily_Input!$F:$F,ROW()-6))</f>
        <v>142399.4812738132</v>
      </c>
      <c r="R26" s="5">
        <f>IF(ROW()&lt;=2+6,"",INDEX(Daily_Input!$F:$F,ROW()-7))</f>
        <v>246843.56846525046</v>
      </c>
      <c r="S26" s="5">
        <f>IF(ROW()&lt;=2+7,"",INDEX(Daily_Input!$F:$F,ROW()-8))</f>
        <v>420736.40525566263</v>
      </c>
      <c r="T26" s="5">
        <f>IF(ROW()&lt;=2+8,"",INDEX(Daily_Input!$F:$F,ROW()-9))</f>
        <v>783596.62376326253</v>
      </c>
      <c r="U26" s="5">
        <f>IF(ROW()&lt;=2+9,"",INDEX(Daily_Input!$F:$F,ROW()-10))</f>
        <v>37913.4925589673</v>
      </c>
      <c r="V26" s="5">
        <f>IF(ROW()&lt;=2+10,"",INDEX(Daily_Input!$F:$F,ROW()-11))</f>
        <v>48074.294514598987</v>
      </c>
      <c r="W26" s="5">
        <f>IF(ROW()&lt;=2+11,"",INDEX(Daily_Input!$F:$F,ROW()-12))</f>
        <v>62078.747450664108</v>
      </c>
      <c r="X26" s="5">
        <f>IF(ROW()&lt;=2+12,"",INDEX(Daily_Input!$F:$F,ROW()-13))</f>
        <v>20229.444597982056</v>
      </c>
      <c r="Y26" s="5">
        <f>IF(ROW()&lt;=2+13,"",INDEX(Daily_Input!$F:$F,ROW()-14))</f>
        <v>9394.6861631766424</v>
      </c>
      <c r="Z26" s="5">
        <f>IF(ROW()&lt;=4,"",SUM(Daily_Input!I26:I28))</f>
        <v>14.8</v>
      </c>
      <c r="AA26" s="5">
        <f>IF(ROW()&lt;=8,"",SUM(Daily_Input!I26:I32))</f>
        <v>90.800000000000011</v>
      </c>
      <c r="AB26" s="5">
        <f>IF(ROW()&lt;=15,"",SUM(Daily_Input!I26:I39))</f>
        <v>94.4</v>
      </c>
      <c r="AC26" s="5">
        <f>IF(ROW()&lt;=4,"",AVERAGE(Daily_Input!F26:F28))</f>
        <v>556575.85053408204</v>
      </c>
      <c r="AD26" s="5">
        <f>IF(ROW()&lt;=8,"",AVERAGE(Daily_Input!F26:F32))</f>
        <v>673424.73696614907</v>
      </c>
      <c r="AE26" s="5">
        <f>IF(ROW()&lt;=8,"",MAX(Daily_Input!F26:F32))</f>
        <v>1013546.0593323153</v>
      </c>
      <c r="AF26" s="5">
        <f>IF(ROW()&lt;=2+0,"",INDEX(Daily_Input!$G:$G,ROW()-1))</f>
        <v>15019.2</v>
      </c>
      <c r="AG26" s="5">
        <f>IF(ROW()&lt;=2+0,"",INDEX(Daily_Input!$H:$H,ROW()-1))</f>
        <v>1076278.5260000001</v>
      </c>
      <c r="AH26" s="5">
        <f>IF(ROW()&lt;=2+1,"",INDEX(Daily_Input!$G:$G,ROW()-2))</f>
        <v>15019.2</v>
      </c>
      <c r="AI26" s="5">
        <f>IF(ROW()&lt;=2+1,"",INDEX(Daily_Input!$H:$H,ROW()-2))</f>
        <v>1343213.8</v>
      </c>
      <c r="AJ26" s="5">
        <f>IF(ROW()&lt;=2+2,"",INDEX(Daily_Input!$G:$G,ROW()-3))</f>
        <v>15019.2</v>
      </c>
      <c r="AK26" s="5">
        <f>IF(ROW()&lt;=2+2,"",INDEX(Daily_Input!$H:$H,ROW()-3))</f>
        <v>44085.754079999999</v>
      </c>
    </row>
    <row r="27" spans="1:37">
      <c r="A27" s="5">
        <f>Daily_Input!A27</f>
        <v>45864</v>
      </c>
      <c r="B27" s="5">
        <f>Daily_Input!F27</f>
        <v>482245.1187264027</v>
      </c>
      <c r="C27" s="5">
        <f>Daily_Input!D27</f>
        <v>489.76900000000001</v>
      </c>
      <c r="D27" s="5">
        <f>Daily_Input!E27</f>
        <v>1692113.6615758</v>
      </c>
      <c r="E27" s="5">
        <f>IF(ROW()=2,"",Daily_Input!E27-Daily_Input!E26)</f>
        <v>-18340.774763499852</v>
      </c>
      <c r="F27" s="5">
        <f>IFERROR(Daily_Input!E27/Config!$B$4,"")</f>
        <v>1.041003622619243</v>
      </c>
      <c r="G27" s="5">
        <f>Daily_Input!I27</f>
        <v>6</v>
      </c>
      <c r="H27" s="5">
        <f>IF(A27="","",IF(ROW()=2,G27,Config!$B$5*H26+G27))</f>
        <v>208.83009236903908</v>
      </c>
      <c r="I27" s="5">
        <f t="shared" si="0"/>
        <v>207</v>
      </c>
      <c r="J27" s="5">
        <f>IF(I27="","",SIN(2*PI()*I27/Config!$B$6))</f>
        <v>-0.40935595881562109</v>
      </c>
      <c r="K27" s="5">
        <f>IF(I27="","",COS(2*PI()*I27/Config!$B$6))</f>
        <v>-0.91237475797072742</v>
      </c>
      <c r="L27" s="5">
        <f>IF(ROW()&lt;=2+0,"",INDEX(Daily_Input!$F:$F,ROW()-1))</f>
        <v>618339.96116878954</v>
      </c>
      <c r="M27" s="5">
        <f>IF(ROW()&lt;=2+1,"",INDEX(Daily_Input!$F:$F,ROW()-2))</f>
        <v>1122921.6352246474</v>
      </c>
      <c r="N27" s="5">
        <f>IF(ROW()&lt;=2+2,"",INDEX(Daily_Input!$F:$F,ROW()-3))</f>
        <v>1407917.4636137555</v>
      </c>
      <c r="O27" s="5">
        <f>IF(ROW()&lt;=2+3,"",INDEX(Daily_Input!$F:$F,ROW()-4))</f>
        <v>53890.844217598838</v>
      </c>
      <c r="P27" s="5">
        <f>IF(ROW()&lt;=2+4,"",INDEX(Daily_Input!$F:$F,ROW()-5))</f>
        <v>81419.738400219037</v>
      </c>
      <c r="Q27" s="5">
        <f>IF(ROW()&lt;=2+5,"",INDEX(Daily_Input!$F:$F,ROW()-6))</f>
        <v>99328.010588255012</v>
      </c>
      <c r="R27" s="5">
        <f>IF(ROW()&lt;=2+6,"",INDEX(Daily_Input!$F:$F,ROW()-7))</f>
        <v>142399.4812738132</v>
      </c>
      <c r="S27" s="5">
        <f>IF(ROW()&lt;=2+7,"",INDEX(Daily_Input!$F:$F,ROW()-8))</f>
        <v>246843.56846525046</v>
      </c>
      <c r="T27" s="5">
        <f>IF(ROW()&lt;=2+8,"",INDEX(Daily_Input!$F:$F,ROW()-9))</f>
        <v>420736.40525566263</v>
      </c>
      <c r="U27" s="5">
        <f>IF(ROW()&lt;=2+9,"",INDEX(Daily_Input!$F:$F,ROW()-10))</f>
        <v>783596.62376326253</v>
      </c>
      <c r="V27" s="5">
        <f>IF(ROW()&lt;=2+10,"",INDEX(Daily_Input!$F:$F,ROW()-11))</f>
        <v>37913.4925589673</v>
      </c>
      <c r="W27" s="5">
        <f>IF(ROW()&lt;=2+11,"",INDEX(Daily_Input!$F:$F,ROW()-12))</f>
        <v>48074.294514598987</v>
      </c>
      <c r="X27" s="5">
        <f>IF(ROW()&lt;=2+12,"",INDEX(Daily_Input!$F:$F,ROW()-13))</f>
        <v>62078.747450664108</v>
      </c>
      <c r="Y27" s="5">
        <f>IF(ROW()&lt;=2+13,"",INDEX(Daily_Input!$F:$F,ROW()-14))</f>
        <v>20229.444597982056</v>
      </c>
      <c r="Z27" s="5">
        <f>IF(ROW()&lt;=4,"",SUM(Daily_Input!I27:I29))</f>
        <v>56.4</v>
      </c>
      <c r="AA27" s="5">
        <f>IF(ROW()&lt;=8,"",SUM(Daily_Input!I27:I33))</f>
        <v>83.6</v>
      </c>
      <c r="AB27" s="5">
        <f>IF(ROW()&lt;=15,"",SUM(Daily_Input!I27:I40))</f>
        <v>87</v>
      </c>
      <c r="AC27" s="5">
        <f>IF(ROW()&lt;=4,"",AVERAGE(Daily_Input!F27:F29))</f>
        <v>688311.21658859064</v>
      </c>
      <c r="AD27" s="5">
        <f>IF(ROW()&lt;=8,"",AVERAGE(Daily_Input!F27:F33))</f>
        <v>638868.99990511418</v>
      </c>
      <c r="AE27" s="5">
        <f>IF(ROW()&lt;=8,"",MAX(Daily_Input!F27:F33))</f>
        <v>1013546.0593323153</v>
      </c>
      <c r="AF27" s="5">
        <f>IF(ROW()&lt;=2+0,"",INDEX(Daily_Input!$G:$G,ROW()-1))</f>
        <v>15019.2</v>
      </c>
      <c r="AG27" s="5">
        <f>IF(ROW()&lt;=2+0,"",INDEX(Daily_Input!$H:$H,ROW()-1))</f>
        <v>642135.51919999998</v>
      </c>
      <c r="AH27" s="5">
        <f>IF(ROW()&lt;=2+1,"",INDEX(Daily_Input!$G:$G,ROW()-2))</f>
        <v>15019.2</v>
      </c>
      <c r="AI27" s="5">
        <f>IF(ROW()&lt;=2+1,"",INDEX(Daily_Input!$H:$H,ROW()-2))</f>
        <v>1076278.5260000001</v>
      </c>
      <c r="AJ27" s="5">
        <f>IF(ROW()&lt;=2+2,"",INDEX(Daily_Input!$G:$G,ROW()-3))</f>
        <v>15019.2</v>
      </c>
      <c r="AK27" s="5">
        <f>IF(ROW()&lt;=2+2,"",INDEX(Daily_Input!$H:$H,ROW()-3))</f>
        <v>1343213.8</v>
      </c>
    </row>
    <row r="28" spans="1:37">
      <c r="A28" s="5">
        <f>Daily_Input!A28</f>
        <v>45865</v>
      </c>
      <c r="B28" s="5">
        <f>Daily_Input!F28</f>
        <v>569142.47170705406</v>
      </c>
      <c r="C28" s="5">
        <f>Daily_Input!D28</f>
        <v>489.73</v>
      </c>
      <c r="D28" s="5">
        <f>Daily_Input!E28</f>
        <v>1682975.6527668999</v>
      </c>
      <c r="E28" s="5">
        <f>IF(ROW()=2,"",Daily_Input!E28-Daily_Input!E27)</f>
        <v>-9138.0088089001365</v>
      </c>
      <c r="F28" s="5">
        <f>IFERROR(Daily_Input!E28/Config!$B$4,"")</f>
        <v>1.0353818369853318</v>
      </c>
      <c r="G28" s="5">
        <f>Daily_Input!I28</f>
        <v>0</v>
      </c>
      <c r="H28" s="5">
        <f>IF(A28="","",IF(ROW()=2,G28,Config!$B$5*H27+G28))</f>
        <v>198.38858775058711</v>
      </c>
      <c r="I28" s="5">
        <f t="shared" si="0"/>
        <v>208</v>
      </c>
      <c r="J28" s="5">
        <f>IF(I28="","",SIN(2*PI()*I28/Config!$B$6))</f>
        <v>-0.42500033996955394</v>
      </c>
      <c r="K28" s="5">
        <f>IF(I28="","",COS(2*PI()*I28/Config!$B$6))</f>
        <v>-0.90519318989139752</v>
      </c>
      <c r="L28" s="5">
        <f>IF(ROW()&lt;=2+0,"",INDEX(Daily_Input!$F:$F,ROW()-1))</f>
        <v>482245.1187264027</v>
      </c>
      <c r="M28" s="5">
        <f>IF(ROW()&lt;=2+1,"",INDEX(Daily_Input!$F:$F,ROW()-2))</f>
        <v>618339.96116878954</v>
      </c>
      <c r="N28" s="5">
        <f>IF(ROW()&lt;=2+2,"",INDEX(Daily_Input!$F:$F,ROW()-3))</f>
        <v>1122921.6352246474</v>
      </c>
      <c r="O28" s="5">
        <f>IF(ROW()&lt;=2+3,"",INDEX(Daily_Input!$F:$F,ROW()-4))</f>
        <v>1407917.4636137555</v>
      </c>
      <c r="P28" s="5">
        <f>IF(ROW()&lt;=2+4,"",INDEX(Daily_Input!$F:$F,ROW()-5))</f>
        <v>53890.844217598838</v>
      </c>
      <c r="Q28" s="5">
        <f>IF(ROW()&lt;=2+5,"",INDEX(Daily_Input!$F:$F,ROW()-6))</f>
        <v>81419.738400219037</v>
      </c>
      <c r="R28" s="5">
        <f>IF(ROW()&lt;=2+6,"",INDEX(Daily_Input!$F:$F,ROW()-7))</f>
        <v>99328.010588255012</v>
      </c>
      <c r="S28" s="5">
        <f>IF(ROW()&lt;=2+7,"",INDEX(Daily_Input!$F:$F,ROW()-8))</f>
        <v>142399.4812738132</v>
      </c>
      <c r="T28" s="5">
        <f>IF(ROW()&lt;=2+8,"",INDEX(Daily_Input!$F:$F,ROW()-9))</f>
        <v>246843.56846525046</v>
      </c>
      <c r="U28" s="5">
        <f>IF(ROW()&lt;=2+9,"",INDEX(Daily_Input!$F:$F,ROW()-10))</f>
        <v>420736.40525566263</v>
      </c>
      <c r="V28" s="5">
        <f>IF(ROW()&lt;=2+10,"",INDEX(Daily_Input!$F:$F,ROW()-11))</f>
        <v>783596.62376326253</v>
      </c>
      <c r="W28" s="5">
        <f>IF(ROW()&lt;=2+11,"",INDEX(Daily_Input!$F:$F,ROW()-12))</f>
        <v>37913.4925589673</v>
      </c>
      <c r="X28" s="5">
        <f>IF(ROW()&lt;=2+12,"",INDEX(Daily_Input!$F:$F,ROW()-13))</f>
        <v>48074.294514598987</v>
      </c>
      <c r="Y28" s="5">
        <f>IF(ROW()&lt;=2+13,"",INDEX(Daily_Input!$F:$F,ROW()-14))</f>
        <v>62078.747450664108</v>
      </c>
      <c r="Z28" s="5">
        <f>IF(ROW()&lt;=4,"",SUM(Daily_Input!I28:I30))</f>
        <v>50.8</v>
      </c>
      <c r="AA28" s="5">
        <f>IF(ROW()&lt;=8,"",SUM(Daily_Input!I28:I34))</f>
        <v>77.599999999999994</v>
      </c>
      <c r="AB28" s="5">
        <f>IF(ROW()&lt;=15,"",SUM(Daily_Input!I28:I41))</f>
        <v>84.6</v>
      </c>
      <c r="AC28" s="5">
        <f>IF(ROW()&lt;=4,"",AVERAGE(Daily_Input!F28:F30))</f>
        <v>758516.5128348748</v>
      </c>
      <c r="AD28" s="5">
        <f>IF(ROW()&lt;=8,"",AVERAGE(Daily_Input!F28:F34))</f>
        <v>609849.19146132958</v>
      </c>
      <c r="AE28" s="5">
        <f>IF(ROW()&lt;=8,"",MAX(Daily_Input!F28:F34))</f>
        <v>1013546.0593323153</v>
      </c>
      <c r="AF28" s="5">
        <f>IF(ROW()&lt;=2+0,"",INDEX(Daily_Input!$G:$G,ROW()-1))</f>
        <v>15019.2</v>
      </c>
      <c r="AG28" s="5">
        <f>IF(ROW()&lt;=2+0,"",INDEX(Daily_Input!$H:$H,ROW()-1))</f>
        <v>486569.5012</v>
      </c>
      <c r="AH28" s="5">
        <f>IF(ROW()&lt;=2+1,"",INDEX(Daily_Input!$G:$G,ROW()-2))</f>
        <v>15019.2</v>
      </c>
      <c r="AI28" s="5">
        <f>IF(ROW()&lt;=2+1,"",INDEX(Daily_Input!$H:$H,ROW()-2))</f>
        <v>642135.51919999998</v>
      </c>
      <c r="AJ28" s="5">
        <f>IF(ROW()&lt;=2+2,"",INDEX(Daily_Input!$G:$G,ROW()-3))</f>
        <v>15019.2</v>
      </c>
      <c r="AK28" s="5">
        <f>IF(ROW()&lt;=2+2,"",INDEX(Daily_Input!$H:$H,ROW()-3))</f>
        <v>1076278.5260000001</v>
      </c>
    </row>
    <row r="29" spans="1:37">
      <c r="A29" s="5">
        <f>Daily_Input!A29</f>
        <v>45866</v>
      </c>
      <c r="B29" s="5">
        <f>Daily_Input!F29</f>
        <v>1013546.0593323153</v>
      </c>
      <c r="C29" s="5">
        <f>Daily_Input!D29</f>
        <v>489.911</v>
      </c>
      <c r="D29" s="5">
        <f>Daily_Input!E29</f>
        <v>1738141.5165156999</v>
      </c>
      <c r="E29" s="5">
        <f>IF(ROW()=2,"",Daily_Input!E29-Daily_Input!E28)</f>
        <v>55165.863748800009</v>
      </c>
      <c r="F29" s="5">
        <f>IFERROR(Daily_Input!E29/Config!$B$4,"")</f>
        <v>1.0693203751057203</v>
      </c>
      <c r="G29" s="5">
        <f>Daily_Input!I29</f>
        <v>50.4</v>
      </c>
      <c r="H29" s="5">
        <f>IF(A29="","",IF(ROW()=2,G29,Config!$B$5*H28+G29))</f>
        <v>238.86915836305775</v>
      </c>
      <c r="I29" s="5">
        <f t="shared" si="0"/>
        <v>209</v>
      </c>
      <c r="J29" s="5">
        <f>IF(I29="","",SIN(2*PI()*I29/Config!$B$6))</f>
        <v>-0.44051878435049519</v>
      </c>
      <c r="K29" s="5">
        <f>IF(I29="","",COS(2*PI()*I29/Config!$B$6))</f>
        <v>-0.8977433935342336</v>
      </c>
      <c r="L29" s="5">
        <f>IF(ROW()&lt;=2+0,"",INDEX(Daily_Input!$F:$F,ROW()-1))</f>
        <v>569142.47170705406</v>
      </c>
      <c r="M29" s="5">
        <f>IF(ROW()&lt;=2+1,"",INDEX(Daily_Input!$F:$F,ROW()-2))</f>
        <v>482245.1187264027</v>
      </c>
      <c r="N29" s="5">
        <f>IF(ROW()&lt;=2+2,"",INDEX(Daily_Input!$F:$F,ROW()-3))</f>
        <v>618339.96116878954</v>
      </c>
      <c r="O29" s="5">
        <f>IF(ROW()&lt;=2+3,"",INDEX(Daily_Input!$F:$F,ROW()-4))</f>
        <v>1122921.6352246474</v>
      </c>
      <c r="P29" s="5">
        <f>IF(ROW()&lt;=2+4,"",INDEX(Daily_Input!$F:$F,ROW()-5))</f>
        <v>1407917.4636137555</v>
      </c>
      <c r="Q29" s="5">
        <f>IF(ROW()&lt;=2+5,"",INDEX(Daily_Input!$F:$F,ROW()-6))</f>
        <v>53890.844217598838</v>
      </c>
      <c r="R29" s="5">
        <f>IF(ROW()&lt;=2+6,"",INDEX(Daily_Input!$F:$F,ROW()-7))</f>
        <v>81419.738400219037</v>
      </c>
      <c r="S29" s="5">
        <f>IF(ROW()&lt;=2+7,"",INDEX(Daily_Input!$F:$F,ROW()-8))</f>
        <v>99328.010588255012</v>
      </c>
      <c r="T29" s="5">
        <f>IF(ROW()&lt;=2+8,"",INDEX(Daily_Input!$F:$F,ROW()-9))</f>
        <v>142399.4812738132</v>
      </c>
      <c r="U29" s="5">
        <f>IF(ROW()&lt;=2+9,"",INDEX(Daily_Input!$F:$F,ROW()-10))</f>
        <v>246843.56846525046</v>
      </c>
      <c r="V29" s="5">
        <f>IF(ROW()&lt;=2+10,"",INDEX(Daily_Input!$F:$F,ROW()-11))</f>
        <v>420736.40525566263</v>
      </c>
      <c r="W29" s="5">
        <f>IF(ROW()&lt;=2+11,"",INDEX(Daily_Input!$F:$F,ROW()-12))</f>
        <v>783596.62376326253</v>
      </c>
      <c r="X29" s="5">
        <f>IF(ROW()&lt;=2+12,"",INDEX(Daily_Input!$F:$F,ROW()-13))</f>
        <v>37913.4925589673</v>
      </c>
      <c r="Y29" s="5">
        <f>IF(ROW()&lt;=2+13,"",INDEX(Daily_Input!$F:$F,ROW()-14))</f>
        <v>48074.294514598987</v>
      </c>
      <c r="Z29" s="5">
        <f>IF(ROW()&lt;=4,"",SUM(Daily_Input!I29:I31))</f>
        <v>75.599999999999994</v>
      </c>
      <c r="AA29" s="5">
        <f>IF(ROW()&lt;=8,"",SUM(Daily_Input!I29:I35))</f>
        <v>77.599999999999994</v>
      </c>
      <c r="AB29" s="5">
        <f>IF(ROW()&lt;=15,"",SUM(Daily_Input!I29:I42))</f>
        <v>84.8</v>
      </c>
      <c r="AC29" s="5">
        <f>IF(ROW()&lt;=4,"",AVERAGE(Daily_Input!F29:F31))</f>
        <v>840095.16577814671</v>
      </c>
      <c r="AD29" s="5">
        <f>IF(ROW()&lt;=8,"",AVERAGE(Daily_Input!F29:F35))</f>
        <v>553802.47523892648</v>
      </c>
      <c r="AE29" s="5">
        <f>IF(ROW()&lt;=8,"",MAX(Daily_Input!F29:F35))</f>
        <v>1013546.0593323153</v>
      </c>
      <c r="AF29" s="5">
        <f>IF(ROW()&lt;=2+0,"",INDEX(Daily_Input!$G:$G,ROW()-1))</f>
        <v>15019.2</v>
      </c>
      <c r="AG29" s="5">
        <f>IF(ROW()&lt;=2+0,"",INDEX(Daily_Input!$H:$H,ROW()-1))</f>
        <v>562436.34149999998</v>
      </c>
      <c r="AH29" s="5">
        <f>IF(ROW()&lt;=2+1,"",INDEX(Daily_Input!$G:$G,ROW()-2))</f>
        <v>15019.2</v>
      </c>
      <c r="AI29" s="5">
        <f>IF(ROW()&lt;=2+1,"",INDEX(Daily_Input!$H:$H,ROW()-2))</f>
        <v>486569.5012</v>
      </c>
      <c r="AJ29" s="5">
        <f>IF(ROW()&lt;=2+2,"",INDEX(Daily_Input!$G:$G,ROW()-3))</f>
        <v>15019.2</v>
      </c>
      <c r="AK29" s="5">
        <f>IF(ROW()&lt;=2+2,"",INDEX(Daily_Input!$H:$H,ROW()-3))</f>
        <v>642135.51919999998</v>
      </c>
    </row>
    <row r="30" spans="1:37">
      <c r="A30" s="5">
        <f>Daily_Input!A30</f>
        <v>45867</v>
      </c>
      <c r="B30" s="5">
        <f>Daily_Input!F30</f>
        <v>692861.00746525498</v>
      </c>
      <c r="C30" s="5">
        <f>Daily_Input!D30</f>
        <v>489.82</v>
      </c>
      <c r="D30" s="5">
        <f>Daily_Input!E30</f>
        <v>1710454.4363392999</v>
      </c>
      <c r="E30" s="5">
        <f>IF(ROW()=2,"",Daily_Input!E30-Daily_Input!E29)</f>
        <v>-27687.080176400021</v>
      </c>
      <c r="F30" s="5">
        <f>IFERROR(Daily_Input!E30/Config!$B$4,"")</f>
        <v>1.0522870330685543</v>
      </c>
      <c r="G30" s="5">
        <f>Daily_Input!I30</f>
        <v>0.4</v>
      </c>
      <c r="H30" s="5">
        <f>IF(A30="","",IF(ROW()=2,G30,Config!$B$5*H29+G30))</f>
        <v>227.32570044490487</v>
      </c>
      <c r="I30" s="5">
        <f t="shared" si="0"/>
        <v>210</v>
      </c>
      <c r="J30" s="5">
        <f>IF(I30="","",SIN(2*PI()*I30/Config!$B$6))</f>
        <v>-0.45590669350845903</v>
      </c>
      <c r="K30" s="5">
        <f>IF(I30="","",COS(2*PI()*I30/Config!$B$6))</f>
        <v>-0.89002757643467656</v>
      </c>
      <c r="L30" s="5">
        <f>IF(ROW()&lt;=2+0,"",INDEX(Daily_Input!$F:$F,ROW()-1))</f>
        <v>1013546.0593323153</v>
      </c>
      <c r="M30" s="5">
        <f>IF(ROW()&lt;=2+1,"",INDEX(Daily_Input!$F:$F,ROW()-2))</f>
        <v>569142.47170705406</v>
      </c>
      <c r="N30" s="5">
        <f>IF(ROW()&lt;=2+2,"",INDEX(Daily_Input!$F:$F,ROW()-3))</f>
        <v>482245.1187264027</v>
      </c>
      <c r="O30" s="5">
        <f>IF(ROW()&lt;=2+3,"",INDEX(Daily_Input!$F:$F,ROW()-4))</f>
        <v>618339.96116878954</v>
      </c>
      <c r="P30" s="5">
        <f>IF(ROW()&lt;=2+4,"",INDEX(Daily_Input!$F:$F,ROW()-5))</f>
        <v>1122921.6352246474</v>
      </c>
      <c r="Q30" s="5">
        <f>IF(ROW()&lt;=2+5,"",INDEX(Daily_Input!$F:$F,ROW()-6))</f>
        <v>1407917.4636137555</v>
      </c>
      <c r="R30" s="5">
        <f>IF(ROW()&lt;=2+6,"",INDEX(Daily_Input!$F:$F,ROW()-7))</f>
        <v>53890.844217598838</v>
      </c>
      <c r="S30" s="5">
        <f>IF(ROW()&lt;=2+7,"",INDEX(Daily_Input!$F:$F,ROW()-8))</f>
        <v>81419.738400219037</v>
      </c>
      <c r="T30" s="5">
        <f>IF(ROW()&lt;=2+8,"",INDEX(Daily_Input!$F:$F,ROW()-9))</f>
        <v>99328.010588255012</v>
      </c>
      <c r="U30" s="5">
        <f>IF(ROW()&lt;=2+9,"",INDEX(Daily_Input!$F:$F,ROW()-10))</f>
        <v>142399.4812738132</v>
      </c>
      <c r="V30" s="5">
        <f>IF(ROW()&lt;=2+10,"",INDEX(Daily_Input!$F:$F,ROW()-11))</f>
        <v>246843.56846525046</v>
      </c>
      <c r="W30" s="5">
        <f>IF(ROW()&lt;=2+11,"",INDEX(Daily_Input!$F:$F,ROW()-12))</f>
        <v>420736.40525566263</v>
      </c>
      <c r="X30" s="5">
        <f>IF(ROW()&lt;=2+12,"",INDEX(Daily_Input!$F:$F,ROW()-13))</f>
        <v>783596.62376326253</v>
      </c>
      <c r="Y30" s="5">
        <f>IF(ROW()&lt;=2+13,"",INDEX(Daily_Input!$F:$F,ROW()-14))</f>
        <v>37913.4925589673</v>
      </c>
      <c r="Z30" s="5">
        <f>IF(ROW()&lt;=4,"",SUM(Daily_Input!I30:I32))</f>
        <v>25.599999999999998</v>
      </c>
      <c r="AA30" s="5">
        <f>IF(ROW()&lt;=8,"",SUM(Daily_Input!I30:I36))</f>
        <v>27.2</v>
      </c>
      <c r="AB30" s="5">
        <f>IF(ROW()&lt;=15,"",SUM(Daily_Input!I30:I43))</f>
        <v>34.4</v>
      </c>
      <c r="AC30" s="5">
        <f>IF(ROW()&lt;=4,"",AVERAGE(Daily_Input!F30:F32))</f>
        <v>676899.8492761607</v>
      </c>
      <c r="AD30" s="5">
        <f>IF(ROW()&lt;=8,"",AVERAGE(Daily_Input!F30:F36))</f>
        <v>422671.26145806123</v>
      </c>
      <c r="AE30" s="5">
        <f>IF(ROW()&lt;=8,"",MAX(Daily_Input!F30:F36))</f>
        <v>813878.43053686991</v>
      </c>
      <c r="AF30" s="5">
        <f>IF(ROW()&lt;=2+0,"",INDEX(Daily_Input!$G:$G,ROW()-1))</f>
        <v>15019.2</v>
      </c>
      <c r="AG30" s="5">
        <f>IF(ROW()&lt;=2+0,"",INDEX(Daily_Input!$H:$H,ROW()-1))</f>
        <v>958067.44099999999</v>
      </c>
      <c r="AH30" s="5">
        <f>IF(ROW()&lt;=2+1,"",INDEX(Daily_Input!$G:$G,ROW()-2))</f>
        <v>15019.2</v>
      </c>
      <c r="AI30" s="5">
        <f>IF(ROW()&lt;=2+1,"",INDEX(Daily_Input!$H:$H,ROW()-2))</f>
        <v>562436.34149999998</v>
      </c>
      <c r="AJ30" s="5">
        <f>IF(ROW()&lt;=2+2,"",INDEX(Daily_Input!$G:$G,ROW()-3))</f>
        <v>15019.2</v>
      </c>
      <c r="AK30" s="5">
        <f>IF(ROW()&lt;=2+2,"",INDEX(Daily_Input!$H:$H,ROW()-3))</f>
        <v>486569.5012</v>
      </c>
    </row>
    <row r="31" spans="1:37">
      <c r="A31" s="5">
        <f>Daily_Input!A31</f>
        <v>45868</v>
      </c>
      <c r="B31" s="5">
        <f>Daily_Input!F31</f>
        <v>813878.43053686991</v>
      </c>
      <c r="C31" s="5">
        <f>Daily_Input!D31</f>
        <v>489.86</v>
      </c>
      <c r="D31" s="5">
        <f>Daily_Input!E31</f>
        <v>1722743.3880805001</v>
      </c>
      <c r="E31" s="5">
        <f>IF(ROW()=2,"",Daily_Input!E31-Daily_Input!E30)</f>
        <v>12288.951741200173</v>
      </c>
      <c r="F31" s="5">
        <f>IFERROR(Daily_Input!E31/Config!$B$4,"")</f>
        <v>1.0598473072813805</v>
      </c>
      <c r="G31" s="5">
        <f>Daily_Input!I31</f>
        <v>24.8</v>
      </c>
      <c r="H31" s="5">
        <f>IF(A31="","",IF(ROW()=2,G31,Config!$B$5*H30+G31))</f>
        <v>240.75941542265963</v>
      </c>
      <c r="I31" s="5">
        <f t="shared" si="0"/>
        <v>211</v>
      </c>
      <c r="J31" s="5">
        <f>IF(I31="","",SIN(2*PI()*I31/Config!$B$6))</f>
        <v>-0.47115950767386394</v>
      </c>
      <c r="K31" s="5">
        <f>IF(I31="","",COS(2*PI()*I31/Config!$B$6))</f>
        <v>-0.88204802495585355</v>
      </c>
      <c r="L31" s="5">
        <f>IF(ROW()&lt;=2+0,"",INDEX(Daily_Input!$F:$F,ROW()-1))</f>
        <v>692861.00746525498</v>
      </c>
      <c r="M31" s="5">
        <f>IF(ROW()&lt;=2+1,"",INDEX(Daily_Input!$F:$F,ROW()-2))</f>
        <v>1013546.0593323153</v>
      </c>
      <c r="N31" s="5">
        <f>IF(ROW()&lt;=2+2,"",INDEX(Daily_Input!$F:$F,ROW()-3))</f>
        <v>569142.47170705406</v>
      </c>
      <c r="O31" s="5">
        <f>IF(ROW()&lt;=2+3,"",INDEX(Daily_Input!$F:$F,ROW()-4))</f>
        <v>482245.1187264027</v>
      </c>
      <c r="P31" s="5">
        <f>IF(ROW()&lt;=2+4,"",INDEX(Daily_Input!$F:$F,ROW()-5))</f>
        <v>618339.96116878954</v>
      </c>
      <c r="Q31" s="5">
        <f>IF(ROW()&lt;=2+5,"",INDEX(Daily_Input!$F:$F,ROW()-6))</f>
        <v>1122921.6352246474</v>
      </c>
      <c r="R31" s="5">
        <f>IF(ROW()&lt;=2+6,"",INDEX(Daily_Input!$F:$F,ROW()-7))</f>
        <v>1407917.4636137555</v>
      </c>
      <c r="S31" s="5">
        <f>IF(ROW()&lt;=2+7,"",INDEX(Daily_Input!$F:$F,ROW()-8))</f>
        <v>53890.844217598838</v>
      </c>
      <c r="T31" s="5">
        <f>IF(ROW()&lt;=2+8,"",INDEX(Daily_Input!$F:$F,ROW()-9))</f>
        <v>81419.738400219037</v>
      </c>
      <c r="U31" s="5">
        <f>IF(ROW()&lt;=2+9,"",INDEX(Daily_Input!$F:$F,ROW()-10))</f>
        <v>99328.010588255012</v>
      </c>
      <c r="V31" s="5">
        <f>IF(ROW()&lt;=2+10,"",INDEX(Daily_Input!$F:$F,ROW()-11))</f>
        <v>142399.4812738132</v>
      </c>
      <c r="W31" s="5">
        <f>IF(ROW()&lt;=2+11,"",INDEX(Daily_Input!$F:$F,ROW()-12))</f>
        <v>246843.56846525046</v>
      </c>
      <c r="X31" s="5">
        <f>IF(ROW()&lt;=2+12,"",INDEX(Daily_Input!$F:$F,ROW()-13))</f>
        <v>420736.40525566263</v>
      </c>
      <c r="Y31" s="5">
        <f>IF(ROW()&lt;=2+13,"",INDEX(Daily_Input!$F:$F,ROW()-14))</f>
        <v>783596.62376326253</v>
      </c>
      <c r="Z31" s="5">
        <f>IF(ROW()&lt;=4,"",SUM(Daily_Input!I31:I33))</f>
        <v>26.8</v>
      </c>
      <c r="AA31" s="5">
        <f>IF(ROW()&lt;=8,"",SUM(Daily_Input!I31:I37))</f>
        <v>26.8</v>
      </c>
      <c r="AB31" s="5">
        <f>IF(ROW()&lt;=15,"",SUM(Daily_Input!I31:I44))</f>
        <v>34</v>
      </c>
      <c r="AC31" s="5">
        <f>IF(ROW()&lt;=4,"",AVERAGE(Daily_Input!F31:F33))</f>
        <v>571429.44736825721</v>
      </c>
      <c r="AD31" s="5">
        <f>IF(ROW()&lt;=8,"",AVERAGE(Daily_Input!F31:F37))</f>
        <v>328231.67155466409</v>
      </c>
      <c r="AE31" s="5">
        <f>IF(ROW()&lt;=8,"",MAX(Daily_Input!F31:F37))</f>
        <v>813878.43053686991</v>
      </c>
      <c r="AF31" s="5">
        <f>IF(ROW()&lt;=2+0,"",INDEX(Daily_Input!$G:$G,ROW()-1))</f>
        <v>15019.2</v>
      </c>
      <c r="AG31" s="5">
        <f>IF(ROW()&lt;=2+0,"",INDEX(Daily_Input!$H:$H,ROW()-1))</f>
        <v>704819.84439999994</v>
      </c>
      <c r="AH31" s="5">
        <f>IF(ROW()&lt;=2+1,"",INDEX(Daily_Input!$G:$G,ROW()-2))</f>
        <v>15019.2</v>
      </c>
      <c r="AI31" s="5">
        <f>IF(ROW()&lt;=2+1,"",INDEX(Daily_Input!$H:$H,ROW()-2))</f>
        <v>958067.44099999999</v>
      </c>
      <c r="AJ31" s="5">
        <f>IF(ROW()&lt;=2+2,"",INDEX(Daily_Input!$G:$G,ROW()-3))</f>
        <v>15019.2</v>
      </c>
      <c r="AK31" s="5">
        <f>IF(ROW()&lt;=2+2,"",INDEX(Daily_Input!$H:$H,ROW()-3))</f>
        <v>562436.34149999998</v>
      </c>
    </row>
    <row r="32" spans="1:37">
      <c r="A32" s="5">
        <f>Daily_Input!A32</f>
        <v>45869</v>
      </c>
      <c r="B32" s="5">
        <f>Daily_Input!F32</f>
        <v>523960.10982635699</v>
      </c>
      <c r="C32" s="5">
        <f>Daily_Input!D32</f>
        <v>489.78899999999999</v>
      </c>
      <c r="D32" s="5">
        <f>Daily_Input!E32</f>
        <v>1698213.6426939999</v>
      </c>
      <c r="E32" s="5">
        <f>IF(ROW()=2,"",Daily_Input!E32-Daily_Input!E31)</f>
        <v>-24529.745386500144</v>
      </c>
      <c r="F32" s="5">
        <f>IFERROR(Daily_Input!E32/Config!$B$4,"")</f>
        <v>1.0447563861517124</v>
      </c>
      <c r="G32" s="5">
        <f>Daily_Input!I32</f>
        <v>0.4</v>
      </c>
      <c r="H32" s="5">
        <f>IF(A32="","",IF(ROW()=2,G32,Config!$B$5*H31+G32))</f>
        <v>229.12144465152664</v>
      </c>
      <c r="I32" s="5">
        <f t="shared" si="0"/>
        <v>212</v>
      </c>
      <c r="J32" s="5">
        <f>IF(I32="","",SIN(2*PI()*I32/Config!$B$6))</f>
        <v>-0.48627270710869019</v>
      </c>
      <c r="K32" s="5">
        <f>IF(I32="","",COS(2*PI()*I32/Config!$B$6))</f>
        <v>-0.87380710361108072</v>
      </c>
      <c r="L32" s="5">
        <f>IF(ROW()&lt;=2+0,"",INDEX(Daily_Input!$F:$F,ROW()-1))</f>
        <v>813878.43053686991</v>
      </c>
      <c r="M32" s="5">
        <f>IF(ROW()&lt;=2+1,"",INDEX(Daily_Input!$F:$F,ROW()-2))</f>
        <v>692861.00746525498</v>
      </c>
      <c r="N32" s="5">
        <f>IF(ROW()&lt;=2+2,"",INDEX(Daily_Input!$F:$F,ROW()-3))</f>
        <v>1013546.0593323153</v>
      </c>
      <c r="O32" s="5">
        <f>IF(ROW()&lt;=2+3,"",INDEX(Daily_Input!$F:$F,ROW()-4))</f>
        <v>569142.47170705406</v>
      </c>
      <c r="P32" s="5">
        <f>IF(ROW()&lt;=2+4,"",INDEX(Daily_Input!$F:$F,ROW()-5))</f>
        <v>482245.1187264027</v>
      </c>
      <c r="Q32" s="5">
        <f>IF(ROW()&lt;=2+5,"",INDEX(Daily_Input!$F:$F,ROW()-6))</f>
        <v>618339.96116878954</v>
      </c>
      <c r="R32" s="5">
        <f>IF(ROW()&lt;=2+6,"",INDEX(Daily_Input!$F:$F,ROW()-7))</f>
        <v>1122921.6352246474</v>
      </c>
      <c r="S32" s="5">
        <f>IF(ROW()&lt;=2+7,"",INDEX(Daily_Input!$F:$F,ROW()-8))</f>
        <v>1407917.4636137555</v>
      </c>
      <c r="T32" s="5">
        <f>IF(ROW()&lt;=2+8,"",INDEX(Daily_Input!$F:$F,ROW()-9))</f>
        <v>53890.844217598838</v>
      </c>
      <c r="U32" s="5">
        <f>IF(ROW()&lt;=2+9,"",INDEX(Daily_Input!$F:$F,ROW()-10))</f>
        <v>81419.738400219037</v>
      </c>
      <c r="V32" s="5">
        <f>IF(ROW()&lt;=2+10,"",INDEX(Daily_Input!$F:$F,ROW()-11))</f>
        <v>99328.010588255012</v>
      </c>
      <c r="W32" s="5">
        <f>IF(ROW()&lt;=2+11,"",INDEX(Daily_Input!$F:$F,ROW()-12))</f>
        <v>142399.4812738132</v>
      </c>
      <c r="X32" s="5">
        <f>IF(ROW()&lt;=2+12,"",INDEX(Daily_Input!$F:$F,ROW()-13))</f>
        <v>246843.56846525046</v>
      </c>
      <c r="Y32" s="5">
        <f>IF(ROW()&lt;=2+13,"",INDEX(Daily_Input!$F:$F,ROW()-14))</f>
        <v>420736.40525566263</v>
      </c>
      <c r="Z32" s="5">
        <f>IF(ROW()&lt;=4,"",SUM(Daily_Input!I32:I34))</f>
        <v>2</v>
      </c>
      <c r="AA32" s="5">
        <f>IF(ROW()&lt;=8,"",SUM(Daily_Input!I32:I38))</f>
        <v>4</v>
      </c>
      <c r="AB32" s="5">
        <f>IF(ROW()&lt;=15,"",SUM(Daily_Input!I32:I45))</f>
        <v>36.200000000000003</v>
      </c>
      <c r="AC32" s="5">
        <f>IF(ROW()&lt;=4,"",AVERAGE(Daily_Input!F32:F34))</f>
        <v>393172.12372927094</v>
      </c>
      <c r="AD32" s="5">
        <f>IF(ROW()&lt;=8,"",AVERAGE(Daily_Input!F32:F38))</f>
        <v>213054.05637583471</v>
      </c>
      <c r="AE32" s="5">
        <f>IF(ROW()&lt;=8,"",MAX(Daily_Input!F32:F38))</f>
        <v>523960.10982635699</v>
      </c>
      <c r="AF32" s="5">
        <f>IF(ROW()&lt;=2+0,"",INDEX(Daily_Input!$G:$G,ROW()-1))</f>
        <v>15019.2</v>
      </c>
      <c r="AG32" s="5">
        <f>IF(ROW()&lt;=2+0,"",INDEX(Daily_Input!$H:$H,ROW()-1))</f>
        <v>793364.09120000002</v>
      </c>
      <c r="AH32" s="5">
        <f>IF(ROW()&lt;=2+1,"",INDEX(Daily_Input!$G:$G,ROW()-2))</f>
        <v>15019.2</v>
      </c>
      <c r="AI32" s="5">
        <f>IF(ROW()&lt;=2+1,"",INDEX(Daily_Input!$H:$H,ROW()-2))</f>
        <v>704819.84439999994</v>
      </c>
      <c r="AJ32" s="5">
        <f>IF(ROW()&lt;=2+2,"",INDEX(Daily_Input!$G:$G,ROW()-3))</f>
        <v>15019.2</v>
      </c>
      <c r="AK32" s="5">
        <f>IF(ROW()&lt;=2+2,"",INDEX(Daily_Input!$H:$H,ROW()-3))</f>
        <v>958067.44099999999</v>
      </c>
    </row>
    <row r="33" spans="1:37">
      <c r="A33" s="5">
        <f>Daily_Input!A33</f>
        <v>45870</v>
      </c>
      <c r="B33" s="5">
        <f>Daily_Input!F33</f>
        <v>376449.80174154462</v>
      </c>
      <c r="C33" s="5">
        <f>Daily_Input!D33</f>
        <v>489.73599999999999</v>
      </c>
      <c r="D33" s="5">
        <f>Daily_Input!E33</f>
        <v>1682975.6527668999</v>
      </c>
      <c r="E33" s="5">
        <f>IF(ROW()=2,"",Daily_Input!E33-Daily_Input!E32)</f>
        <v>-15237.989927100018</v>
      </c>
      <c r="F33" s="5">
        <f>IFERROR(Daily_Input!E33/Config!$B$4,"")</f>
        <v>1.0353818369853318</v>
      </c>
      <c r="G33" s="5">
        <f>Daily_Input!I33</f>
        <v>1.6</v>
      </c>
      <c r="H33" s="5">
        <f>IF(A33="","",IF(ROW()=2,G33,Config!$B$5*H32+G33))</f>
        <v>219.26537241895031</v>
      </c>
      <c r="I33" s="5">
        <f t="shared" si="0"/>
        <v>213</v>
      </c>
      <c r="J33" s="5">
        <f>IF(I33="","",SIN(2*PI()*I33/Config!$B$6))</f>
        <v>-0.50124181344577556</v>
      </c>
      <c r="K33" s="5">
        <f>IF(I33="","",COS(2*PI()*I33/Config!$B$6))</f>
        <v>-0.8653072543632061</v>
      </c>
      <c r="L33" s="5">
        <f>IF(ROW()&lt;=2+0,"",INDEX(Daily_Input!$F:$F,ROW()-1))</f>
        <v>523960.10982635699</v>
      </c>
      <c r="M33" s="5">
        <f>IF(ROW()&lt;=2+1,"",INDEX(Daily_Input!$F:$F,ROW()-2))</f>
        <v>813878.43053686991</v>
      </c>
      <c r="N33" s="5">
        <f>IF(ROW()&lt;=2+2,"",INDEX(Daily_Input!$F:$F,ROW()-3))</f>
        <v>692861.00746525498</v>
      </c>
      <c r="O33" s="5">
        <f>IF(ROW()&lt;=2+3,"",INDEX(Daily_Input!$F:$F,ROW()-4))</f>
        <v>1013546.0593323153</v>
      </c>
      <c r="P33" s="5">
        <f>IF(ROW()&lt;=2+4,"",INDEX(Daily_Input!$F:$F,ROW()-5))</f>
        <v>569142.47170705406</v>
      </c>
      <c r="Q33" s="5">
        <f>IF(ROW()&lt;=2+5,"",INDEX(Daily_Input!$F:$F,ROW()-6))</f>
        <v>482245.1187264027</v>
      </c>
      <c r="R33" s="5">
        <f>IF(ROW()&lt;=2+6,"",INDEX(Daily_Input!$F:$F,ROW()-7))</f>
        <v>618339.96116878954</v>
      </c>
      <c r="S33" s="5">
        <f>IF(ROW()&lt;=2+7,"",INDEX(Daily_Input!$F:$F,ROW()-8))</f>
        <v>1122921.6352246474</v>
      </c>
      <c r="T33" s="5">
        <f>IF(ROW()&lt;=2+8,"",INDEX(Daily_Input!$F:$F,ROW()-9))</f>
        <v>1407917.4636137555</v>
      </c>
      <c r="U33" s="5">
        <f>IF(ROW()&lt;=2+9,"",INDEX(Daily_Input!$F:$F,ROW()-10))</f>
        <v>53890.844217598838</v>
      </c>
      <c r="V33" s="5">
        <f>IF(ROW()&lt;=2+10,"",INDEX(Daily_Input!$F:$F,ROW()-11))</f>
        <v>81419.738400219037</v>
      </c>
      <c r="W33" s="5">
        <f>IF(ROW()&lt;=2+11,"",INDEX(Daily_Input!$F:$F,ROW()-12))</f>
        <v>99328.010588255012</v>
      </c>
      <c r="X33" s="5">
        <f>IF(ROW()&lt;=2+12,"",INDEX(Daily_Input!$F:$F,ROW()-13))</f>
        <v>142399.4812738132</v>
      </c>
      <c r="Y33" s="5">
        <f>IF(ROW()&lt;=2+13,"",INDEX(Daily_Input!$F:$F,ROW()-14))</f>
        <v>246843.56846525046</v>
      </c>
      <c r="Z33" s="5">
        <f>IF(ROW()&lt;=4,"",SUM(Daily_Input!I33:I35))</f>
        <v>1.6</v>
      </c>
      <c r="AA33" s="5">
        <f>IF(ROW()&lt;=8,"",SUM(Daily_Input!I33:I39))</f>
        <v>3.6</v>
      </c>
      <c r="AB33" s="5">
        <f>IF(ROW()&lt;=15,"",SUM(Daily_Input!I33:I46))</f>
        <v>47.4</v>
      </c>
      <c r="AC33" s="5">
        <f>IF(ROW()&lt;=4,"",AVERAGE(Daily_Input!F33:F35))</f>
        <v>277457.23983722925</v>
      </c>
      <c r="AD33" s="5">
        <f>IF(ROW()&lt;=8,"",AVERAGE(Daily_Input!F33:F39))</f>
        <v>138752.06943912752</v>
      </c>
      <c r="AE33" s="5">
        <f>IF(ROW()&lt;=8,"",MAX(Daily_Input!F33:F39))</f>
        <v>376449.80174154462</v>
      </c>
      <c r="AF33" s="5">
        <f>IF(ROW()&lt;=2+0,"",INDEX(Daily_Input!$G:$G,ROW()-1))</f>
        <v>15019.2</v>
      </c>
      <c r="AG33" s="5">
        <f>IF(ROW()&lt;=2+0,"",INDEX(Daily_Input!$H:$H,ROW()-1))</f>
        <v>532765.63459999999</v>
      </c>
      <c r="AH33" s="5">
        <f>IF(ROW()&lt;=2+1,"",INDEX(Daily_Input!$G:$G,ROW()-2))</f>
        <v>15019.2</v>
      </c>
      <c r="AI33" s="5">
        <f>IF(ROW()&lt;=2+1,"",INDEX(Daily_Input!$H:$H,ROW()-2))</f>
        <v>793364.09120000002</v>
      </c>
      <c r="AJ33" s="5">
        <f>IF(ROW()&lt;=2+2,"",INDEX(Daily_Input!$G:$G,ROW()-3))</f>
        <v>15019.2</v>
      </c>
      <c r="AK33" s="5">
        <f>IF(ROW()&lt;=2+2,"",INDEX(Daily_Input!$H:$H,ROW()-3))</f>
        <v>704819.84439999994</v>
      </c>
    </row>
    <row r="34" spans="1:37">
      <c r="A34" s="5">
        <f>Daily_Input!A34</f>
        <v>45871</v>
      </c>
      <c r="B34" s="5">
        <f>Daily_Input!F34</f>
        <v>279106.45961991127</v>
      </c>
      <c r="C34" s="5">
        <f>Daily_Input!D34</f>
        <v>489.70400000000001</v>
      </c>
      <c r="D34" s="5">
        <f>Daily_Input!E34</f>
        <v>1673851.7406957999</v>
      </c>
      <c r="E34" s="5">
        <f>IF(ROW()=2,"",Daily_Input!E34-Daily_Input!E33)</f>
        <v>-9123.9120710999705</v>
      </c>
      <c r="F34" s="5">
        <f>IFERROR(Daily_Input!E34/Config!$B$4,"")</f>
        <v>1.0297687237919608</v>
      </c>
      <c r="G34" s="5">
        <f>Daily_Input!I34</f>
        <v>0</v>
      </c>
      <c r="H34" s="5">
        <f>IF(A34="","",IF(ROW()=2,G34,Config!$B$5*H33+G34))</f>
        <v>208.30210379800278</v>
      </c>
      <c r="I34" s="5">
        <f t="shared" si="0"/>
        <v>214</v>
      </c>
      <c r="J34" s="5">
        <f>IF(I34="","",SIN(2*PI()*I34/Config!$B$6))</f>
        <v>-0.51606239101585261</v>
      </c>
      <c r="K34" s="5">
        <f>IF(I34="","",COS(2*PI()*I34/Config!$B$6))</f>
        <v>-0.8565509959010037</v>
      </c>
      <c r="L34" s="5">
        <f>IF(ROW()&lt;=2+0,"",INDEX(Daily_Input!$F:$F,ROW()-1))</f>
        <v>376449.80174154462</v>
      </c>
      <c r="M34" s="5">
        <f>IF(ROW()&lt;=2+1,"",INDEX(Daily_Input!$F:$F,ROW()-2))</f>
        <v>523960.10982635699</v>
      </c>
      <c r="N34" s="5">
        <f>IF(ROW()&lt;=2+2,"",INDEX(Daily_Input!$F:$F,ROW()-3))</f>
        <v>813878.43053686991</v>
      </c>
      <c r="O34" s="5">
        <f>IF(ROW()&lt;=2+3,"",INDEX(Daily_Input!$F:$F,ROW()-4))</f>
        <v>692861.00746525498</v>
      </c>
      <c r="P34" s="5">
        <f>IF(ROW()&lt;=2+4,"",INDEX(Daily_Input!$F:$F,ROW()-5))</f>
        <v>1013546.0593323153</v>
      </c>
      <c r="Q34" s="5">
        <f>IF(ROW()&lt;=2+5,"",INDEX(Daily_Input!$F:$F,ROW()-6))</f>
        <v>569142.47170705406</v>
      </c>
      <c r="R34" s="5">
        <f>IF(ROW()&lt;=2+6,"",INDEX(Daily_Input!$F:$F,ROW()-7))</f>
        <v>482245.1187264027</v>
      </c>
      <c r="S34" s="5">
        <f>IF(ROW()&lt;=2+7,"",INDEX(Daily_Input!$F:$F,ROW()-8))</f>
        <v>618339.96116878954</v>
      </c>
      <c r="T34" s="5">
        <f>IF(ROW()&lt;=2+8,"",INDEX(Daily_Input!$F:$F,ROW()-9))</f>
        <v>1122921.6352246474</v>
      </c>
      <c r="U34" s="5">
        <f>IF(ROW()&lt;=2+9,"",INDEX(Daily_Input!$F:$F,ROW()-10))</f>
        <v>1407917.4636137555</v>
      </c>
      <c r="V34" s="5">
        <f>IF(ROW()&lt;=2+10,"",INDEX(Daily_Input!$F:$F,ROW()-11))</f>
        <v>53890.844217598838</v>
      </c>
      <c r="W34" s="5">
        <f>IF(ROW()&lt;=2+11,"",INDEX(Daily_Input!$F:$F,ROW()-12))</f>
        <v>81419.738400219037</v>
      </c>
      <c r="X34" s="5">
        <f>IF(ROW()&lt;=2+12,"",INDEX(Daily_Input!$F:$F,ROW()-13))</f>
        <v>99328.010588255012</v>
      </c>
      <c r="Y34" s="5">
        <f>IF(ROW()&lt;=2+13,"",INDEX(Daily_Input!$F:$F,ROW()-14))</f>
        <v>142399.4812738132</v>
      </c>
      <c r="Z34" s="5">
        <f>IF(ROW()&lt;=4,"",SUM(Daily_Input!I34:I36))</f>
        <v>0</v>
      </c>
      <c r="AA34" s="5">
        <f>IF(ROW()&lt;=8,"",SUM(Daily_Input!I34:I40))</f>
        <v>3.4</v>
      </c>
      <c r="AB34" s="5">
        <f>IF(ROW()&lt;=15,"",SUM(Daily_Input!I34:I47))</f>
        <v>49.800000000000004</v>
      </c>
      <c r="AC34" s="5">
        <f>IF(ROW()&lt;=4,"",AVERAGE(Daily_Input!F34:F36))</f>
        <v>183849.82687880067</v>
      </c>
      <c r="AD34" s="5">
        <f>IF(ROW()&lt;=8,"",AVERAGE(Daily_Input!F34:F40))</f>
        <v>85894.584224348437</v>
      </c>
      <c r="AE34" s="5">
        <f>IF(ROW()&lt;=8,"",MAX(Daily_Input!F34:F40))</f>
        <v>279106.45961991127</v>
      </c>
      <c r="AF34" s="5">
        <f>IF(ROW()&lt;=2+0,"",INDEX(Daily_Input!$G:$G,ROW()-1))</f>
        <v>15019.2</v>
      </c>
      <c r="AG34" s="5">
        <f>IF(ROW()&lt;=2+0,"",INDEX(Daily_Input!$H:$H,ROW()-1))</f>
        <v>376292.07880000002</v>
      </c>
      <c r="AH34" s="5">
        <f>IF(ROW()&lt;=2+1,"",INDEX(Daily_Input!$G:$G,ROW()-2))</f>
        <v>15019.2</v>
      </c>
      <c r="AI34" s="5">
        <f>IF(ROW()&lt;=2+1,"",INDEX(Daily_Input!$H:$H,ROW()-2))</f>
        <v>532765.63459999999</v>
      </c>
      <c r="AJ34" s="5">
        <f>IF(ROW()&lt;=2+2,"",INDEX(Daily_Input!$G:$G,ROW()-3))</f>
        <v>15019.2</v>
      </c>
      <c r="AK34" s="5">
        <f>IF(ROW()&lt;=2+2,"",INDEX(Daily_Input!$H:$H,ROW()-3))</f>
        <v>793364.09120000002</v>
      </c>
    </row>
    <row r="35" spans="1:37">
      <c r="A35" s="5">
        <f>Daily_Input!A35</f>
        <v>45872</v>
      </c>
      <c r="B35" s="5">
        <f>Daily_Input!F35</f>
        <v>176815.45815023186</v>
      </c>
      <c r="C35" s="5">
        <f>Daily_Input!D35</f>
        <v>489.66</v>
      </c>
      <c r="D35" s="5">
        <f>Daily_Input!E35</f>
        <v>1661708.0167959</v>
      </c>
      <c r="E35" s="5">
        <f>IF(ROW()=2,"",Daily_Input!E35-Daily_Input!E34)</f>
        <v>-12143.723899899982</v>
      </c>
      <c r="F35" s="5">
        <f>IFERROR(Daily_Input!E35/Config!$B$4,"")</f>
        <v>1.0222977950600747</v>
      </c>
      <c r="G35" s="5">
        <f>Daily_Input!I35</f>
        <v>0</v>
      </c>
      <c r="H35" s="5">
        <f>IF(A35="","",IF(ROW()=2,G35,Config!$B$5*H34+G35))</f>
        <v>197.88699860810263</v>
      </c>
      <c r="I35" s="5">
        <f t="shared" si="0"/>
        <v>215</v>
      </c>
      <c r="J35" s="5">
        <f>IF(I35="","",SIN(2*PI()*I35/Config!$B$6))</f>
        <v>-0.53073004816193314</v>
      </c>
      <c r="K35" s="5">
        <f>IF(I35="","",COS(2*PI()*I35/Config!$B$6))</f>
        <v>-0.84754092289283123</v>
      </c>
      <c r="L35" s="5">
        <f>IF(ROW()&lt;=2+0,"",INDEX(Daily_Input!$F:$F,ROW()-1))</f>
        <v>279106.45961991127</v>
      </c>
      <c r="M35" s="5">
        <f>IF(ROW()&lt;=2+1,"",INDEX(Daily_Input!$F:$F,ROW()-2))</f>
        <v>376449.80174154462</v>
      </c>
      <c r="N35" s="5">
        <f>IF(ROW()&lt;=2+2,"",INDEX(Daily_Input!$F:$F,ROW()-3))</f>
        <v>523960.10982635699</v>
      </c>
      <c r="O35" s="5">
        <f>IF(ROW()&lt;=2+3,"",INDEX(Daily_Input!$F:$F,ROW()-4))</f>
        <v>813878.43053686991</v>
      </c>
      <c r="P35" s="5">
        <f>IF(ROW()&lt;=2+4,"",INDEX(Daily_Input!$F:$F,ROW()-5))</f>
        <v>692861.00746525498</v>
      </c>
      <c r="Q35" s="5">
        <f>IF(ROW()&lt;=2+5,"",INDEX(Daily_Input!$F:$F,ROW()-6))</f>
        <v>1013546.0593323153</v>
      </c>
      <c r="R35" s="5">
        <f>IF(ROW()&lt;=2+6,"",INDEX(Daily_Input!$F:$F,ROW()-7))</f>
        <v>569142.47170705406</v>
      </c>
      <c r="S35" s="5">
        <f>IF(ROW()&lt;=2+7,"",INDEX(Daily_Input!$F:$F,ROW()-8))</f>
        <v>482245.1187264027</v>
      </c>
      <c r="T35" s="5">
        <f>IF(ROW()&lt;=2+8,"",INDEX(Daily_Input!$F:$F,ROW()-9))</f>
        <v>618339.96116878954</v>
      </c>
      <c r="U35" s="5">
        <f>IF(ROW()&lt;=2+9,"",INDEX(Daily_Input!$F:$F,ROW()-10))</f>
        <v>1122921.6352246474</v>
      </c>
      <c r="V35" s="5">
        <f>IF(ROW()&lt;=2+10,"",INDEX(Daily_Input!$F:$F,ROW()-11))</f>
        <v>1407917.4636137555</v>
      </c>
      <c r="W35" s="5">
        <f>IF(ROW()&lt;=2+11,"",INDEX(Daily_Input!$F:$F,ROW()-12))</f>
        <v>53890.844217598838</v>
      </c>
      <c r="X35" s="5">
        <f>IF(ROW()&lt;=2+12,"",INDEX(Daily_Input!$F:$F,ROW()-13))</f>
        <v>81419.738400219037</v>
      </c>
      <c r="Y35" s="5">
        <f>IF(ROW()&lt;=2+13,"",INDEX(Daily_Input!$F:$F,ROW()-14))</f>
        <v>99328.010588255012</v>
      </c>
      <c r="Z35" s="5">
        <f>IF(ROW()&lt;=4,"",SUM(Daily_Input!I35:I37))</f>
        <v>0</v>
      </c>
      <c r="AA35" s="5">
        <f>IF(ROW()&lt;=8,"",SUM(Daily_Input!I35:I41))</f>
        <v>7</v>
      </c>
      <c r="AB35" s="5">
        <f>IF(ROW()&lt;=15,"",SUM(Daily_Input!I35:I48))</f>
        <v>82</v>
      </c>
      <c r="AC35" s="5">
        <f>IF(ROW()&lt;=4,"",AVERAGE(Daily_Input!F35:F37))</f>
        <v>101408.96638598852</v>
      </c>
      <c r="AD35" s="5">
        <f>IF(ROW()&lt;=8,"",AVERAGE(Daily_Input!F35:F41))</f>
        <v>46851.038043372435</v>
      </c>
      <c r="AE35" s="5">
        <f>IF(ROW()&lt;=8,"",MAX(Daily_Input!F35:F41))</f>
        <v>176815.45815023186</v>
      </c>
      <c r="AF35" s="5">
        <f>IF(ROW()&lt;=2+0,"",INDEX(Daily_Input!$G:$G,ROW()-1))</f>
        <v>15019.2</v>
      </c>
      <c r="AG35" s="5">
        <f>IF(ROW()&lt;=2+0,"",INDEX(Daily_Input!$H:$H,ROW()-1))</f>
        <v>272348.99449999997</v>
      </c>
      <c r="AH35" s="5">
        <f>IF(ROW()&lt;=2+1,"",INDEX(Daily_Input!$G:$G,ROW()-2))</f>
        <v>15019.2</v>
      </c>
      <c r="AI35" s="5">
        <f>IF(ROW()&lt;=2+1,"",INDEX(Daily_Input!$H:$H,ROW()-2))</f>
        <v>376292.07880000002</v>
      </c>
      <c r="AJ35" s="5">
        <f>IF(ROW()&lt;=2+2,"",INDEX(Daily_Input!$G:$G,ROW()-3))</f>
        <v>15019.2</v>
      </c>
      <c r="AK35" s="5">
        <f>IF(ROW()&lt;=2+2,"",INDEX(Daily_Input!$H:$H,ROW()-3))</f>
        <v>532765.63459999999</v>
      </c>
    </row>
    <row r="36" spans="1:37">
      <c r="A36" s="5">
        <f>Daily_Input!A36</f>
        <v>45873</v>
      </c>
      <c r="B36" s="5">
        <f>Daily_Input!F36</f>
        <v>95627.562866258872</v>
      </c>
      <c r="C36" s="5">
        <f>Daily_Input!D36</f>
        <v>489.62</v>
      </c>
      <c r="D36" s="5">
        <f>Daily_Input!E36</f>
        <v>1649588.4715396999</v>
      </c>
      <c r="E36" s="5">
        <f>IF(ROW()=2,"",Daily_Input!E36-Daily_Input!E35)</f>
        <v>-12119.545256200014</v>
      </c>
      <c r="F36" s="5">
        <f>IFERROR(Daily_Input!E36/Config!$B$4,"")</f>
        <v>1.0148417412483863</v>
      </c>
      <c r="G36" s="5">
        <f>Daily_Input!I36</f>
        <v>0</v>
      </c>
      <c r="H36" s="5">
        <f>IF(A36="","",IF(ROW()=2,G36,Config!$B$5*H35+G36))</f>
        <v>187.9926486776975</v>
      </c>
      <c r="I36" s="5">
        <f t="shared" si="0"/>
        <v>216</v>
      </c>
      <c r="J36" s="5">
        <f>IF(I36="","",SIN(2*PI()*I36/Config!$B$6))</f>
        <v>-0.54524043854065074</v>
      </c>
      <c r="K36" s="5">
        <f>IF(I36="","",COS(2*PI()*I36/Config!$B$6))</f>
        <v>-0.83827970521777451</v>
      </c>
      <c r="L36" s="5">
        <f>IF(ROW()&lt;=2+0,"",INDEX(Daily_Input!$F:$F,ROW()-1))</f>
        <v>176815.45815023186</v>
      </c>
      <c r="M36" s="5">
        <f>IF(ROW()&lt;=2+1,"",INDEX(Daily_Input!$F:$F,ROW()-2))</f>
        <v>279106.45961991127</v>
      </c>
      <c r="N36" s="5">
        <f>IF(ROW()&lt;=2+2,"",INDEX(Daily_Input!$F:$F,ROW()-3))</f>
        <v>376449.80174154462</v>
      </c>
      <c r="O36" s="5">
        <f>IF(ROW()&lt;=2+3,"",INDEX(Daily_Input!$F:$F,ROW()-4))</f>
        <v>523960.10982635699</v>
      </c>
      <c r="P36" s="5">
        <f>IF(ROW()&lt;=2+4,"",INDEX(Daily_Input!$F:$F,ROW()-5))</f>
        <v>813878.43053686991</v>
      </c>
      <c r="Q36" s="5">
        <f>IF(ROW()&lt;=2+5,"",INDEX(Daily_Input!$F:$F,ROW()-6))</f>
        <v>692861.00746525498</v>
      </c>
      <c r="R36" s="5">
        <f>IF(ROW()&lt;=2+6,"",INDEX(Daily_Input!$F:$F,ROW()-7))</f>
        <v>1013546.0593323153</v>
      </c>
      <c r="S36" s="5">
        <f>IF(ROW()&lt;=2+7,"",INDEX(Daily_Input!$F:$F,ROW()-8))</f>
        <v>569142.47170705406</v>
      </c>
      <c r="T36" s="5">
        <f>IF(ROW()&lt;=2+8,"",INDEX(Daily_Input!$F:$F,ROW()-9))</f>
        <v>482245.1187264027</v>
      </c>
      <c r="U36" s="5">
        <f>IF(ROW()&lt;=2+9,"",INDEX(Daily_Input!$F:$F,ROW()-10))</f>
        <v>618339.96116878954</v>
      </c>
      <c r="V36" s="5">
        <f>IF(ROW()&lt;=2+10,"",INDEX(Daily_Input!$F:$F,ROW()-11))</f>
        <v>1122921.6352246474</v>
      </c>
      <c r="W36" s="5">
        <f>IF(ROW()&lt;=2+11,"",INDEX(Daily_Input!$F:$F,ROW()-12))</f>
        <v>1407917.4636137555</v>
      </c>
      <c r="X36" s="5">
        <f>IF(ROW()&lt;=2+12,"",INDEX(Daily_Input!$F:$F,ROW()-13))</f>
        <v>53890.844217598838</v>
      </c>
      <c r="Y36" s="5">
        <f>IF(ROW()&lt;=2+13,"",INDEX(Daily_Input!$F:$F,ROW()-14))</f>
        <v>81419.738400219037</v>
      </c>
      <c r="Z36" s="5">
        <f>IF(ROW()&lt;=4,"",SUM(Daily_Input!I36:I38))</f>
        <v>2</v>
      </c>
      <c r="AA36" s="5">
        <f>IF(ROW()&lt;=8,"",SUM(Daily_Input!I36:I42))</f>
        <v>7.2</v>
      </c>
      <c r="AB36" s="5">
        <f>IF(ROW()&lt;=15,"",SUM(Daily_Input!I36:I49))</f>
        <v>129.19999999999999</v>
      </c>
      <c r="AC36" s="5">
        <f>IF(ROW()&lt;=4,"",AVERAGE(Daily_Input!F36:F38))</f>
        <v>45015.52176426605</v>
      </c>
      <c r="AD36" s="5">
        <f>IF(ROW()&lt;=8,"",AVERAGE(Daily_Input!F36:F42))</f>
        <v>22567.670499951877</v>
      </c>
      <c r="AE36" s="5">
        <f>IF(ROW()&lt;=8,"",MAX(Daily_Input!F36:F42))</f>
        <v>95627.562866258872</v>
      </c>
      <c r="AF36" s="5">
        <f>IF(ROW()&lt;=2+0,"",INDEX(Daily_Input!$G:$G,ROW()-1))</f>
        <v>15019.2</v>
      </c>
      <c r="AG36" s="5">
        <f>IF(ROW()&lt;=2+0,"",INDEX(Daily_Input!$H:$H,ROW()-1))</f>
        <v>173079.52970000001</v>
      </c>
      <c r="AH36" s="5">
        <f>IF(ROW()&lt;=2+1,"",INDEX(Daily_Input!$G:$G,ROW()-2))</f>
        <v>15019.2</v>
      </c>
      <c r="AI36" s="5">
        <f>IF(ROW()&lt;=2+1,"",INDEX(Daily_Input!$H:$H,ROW()-2))</f>
        <v>272348.99449999997</v>
      </c>
      <c r="AJ36" s="5">
        <f>IF(ROW()&lt;=2+2,"",INDEX(Daily_Input!$G:$G,ROW()-3))</f>
        <v>15019.2</v>
      </c>
      <c r="AK36" s="5">
        <f>IF(ROW()&lt;=2+2,"",INDEX(Daily_Input!$H:$H,ROW()-3))</f>
        <v>376292.07880000002</v>
      </c>
    </row>
    <row r="37" spans="1:37">
      <c r="A37" s="5">
        <f>Daily_Input!A37</f>
        <v>45874</v>
      </c>
      <c r="B37" s="5">
        <f>Daily_Input!F37</f>
        <v>31783.878141474797</v>
      </c>
      <c r="C37" s="5">
        <f>Daily_Input!D37</f>
        <v>489.58300000000003</v>
      </c>
      <c r="D37" s="5">
        <f>Daily_Input!E37</f>
        <v>1637507.2197397</v>
      </c>
      <c r="E37" s="5">
        <f>IF(ROW()=2,"",Daily_Input!E37-Daily_Input!E36)</f>
        <v>-12081.251799999969</v>
      </c>
      <c r="F37" s="5">
        <f>IFERROR(Daily_Input!E37/Config!$B$4,"")</f>
        <v>1.0074092459171549</v>
      </c>
      <c r="G37" s="5">
        <f>Daily_Input!I37</f>
        <v>0</v>
      </c>
      <c r="H37" s="5">
        <f>IF(A37="","",IF(ROW()=2,G37,Config!$B$5*H36+G37))</f>
        <v>178.59301624381263</v>
      </c>
      <c r="I37" s="5">
        <f t="shared" si="0"/>
        <v>217</v>
      </c>
      <c r="J37" s="5">
        <f>IF(I37="","",SIN(2*PI()*I37/Config!$B$6))</f>
        <v>-0.55958926241017626</v>
      </c>
      <c r="K37" s="5">
        <f>IF(I37="","",COS(2*PI()*I37/Config!$B$6))</f>
        <v>-0.82877008717450396</v>
      </c>
      <c r="L37" s="5">
        <f>IF(ROW()&lt;=2+0,"",INDEX(Daily_Input!$F:$F,ROW()-1))</f>
        <v>95627.562866258872</v>
      </c>
      <c r="M37" s="5">
        <f>IF(ROW()&lt;=2+1,"",INDEX(Daily_Input!$F:$F,ROW()-2))</f>
        <v>176815.45815023186</v>
      </c>
      <c r="N37" s="5">
        <f>IF(ROW()&lt;=2+2,"",INDEX(Daily_Input!$F:$F,ROW()-3))</f>
        <v>279106.45961991127</v>
      </c>
      <c r="O37" s="5">
        <f>IF(ROW()&lt;=2+3,"",INDEX(Daily_Input!$F:$F,ROW()-4))</f>
        <v>376449.80174154462</v>
      </c>
      <c r="P37" s="5">
        <f>IF(ROW()&lt;=2+4,"",INDEX(Daily_Input!$F:$F,ROW()-5))</f>
        <v>523960.10982635699</v>
      </c>
      <c r="Q37" s="5">
        <f>IF(ROW()&lt;=2+5,"",INDEX(Daily_Input!$F:$F,ROW()-6))</f>
        <v>813878.43053686991</v>
      </c>
      <c r="R37" s="5">
        <f>IF(ROW()&lt;=2+6,"",INDEX(Daily_Input!$F:$F,ROW()-7))</f>
        <v>692861.00746525498</v>
      </c>
      <c r="S37" s="5">
        <f>IF(ROW()&lt;=2+7,"",INDEX(Daily_Input!$F:$F,ROW()-8))</f>
        <v>1013546.0593323153</v>
      </c>
      <c r="T37" s="5">
        <f>IF(ROW()&lt;=2+8,"",INDEX(Daily_Input!$F:$F,ROW()-9))</f>
        <v>569142.47170705406</v>
      </c>
      <c r="U37" s="5">
        <f>IF(ROW()&lt;=2+9,"",INDEX(Daily_Input!$F:$F,ROW()-10))</f>
        <v>482245.1187264027</v>
      </c>
      <c r="V37" s="5">
        <f>IF(ROW()&lt;=2+10,"",INDEX(Daily_Input!$F:$F,ROW()-11))</f>
        <v>618339.96116878954</v>
      </c>
      <c r="W37" s="5">
        <f>IF(ROW()&lt;=2+11,"",INDEX(Daily_Input!$F:$F,ROW()-12))</f>
        <v>1122921.6352246474</v>
      </c>
      <c r="X37" s="5">
        <f>IF(ROW()&lt;=2+12,"",INDEX(Daily_Input!$F:$F,ROW()-13))</f>
        <v>1407917.4636137555</v>
      </c>
      <c r="Y37" s="5">
        <f>IF(ROW()&lt;=2+13,"",INDEX(Daily_Input!$F:$F,ROW()-14))</f>
        <v>53890.844217598838</v>
      </c>
      <c r="Z37" s="5">
        <f>IF(ROW()&lt;=4,"",SUM(Daily_Input!I37:I39))</f>
        <v>2</v>
      </c>
      <c r="AA37" s="5">
        <f>IF(ROW()&lt;=8,"",SUM(Daily_Input!I37:I43))</f>
        <v>7.2</v>
      </c>
      <c r="AB37" s="5">
        <f>IF(ROW()&lt;=15,"",SUM(Daily_Input!I37:I50))</f>
        <v>139.79999999999998</v>
      </c>
      <c r="AC37" s="5">
        <f>IF(ROW()&lt;=4,"",AVERAGE(Daily_Input!F37:F39))</f>
        <v>14421.734565315302</v>
      </c>
      <c r="AD37" s="5">
        <f>IF(ROW()&lt;=8,"",AVERAGE(Daily_Input!F37:F43))</f>
        <v>9470.5747165726625</v>
      </c>
      <c r="AE37" s="5">
        <f>IF(ROW()&lt;=8,"",MAX(Daily_Input!F37:F43))</f>
        <v>31783.878141474797</v>
      </c>
      <c r="AF37" s="5">
        <f>IF(ROW()&lt;=2+0,"",INDEX(Daily_Input!$G:$G,ROW()-1))</f>
        <v>15019.2</v>
      </c>
      <c r="AG37" s="5">
        <f>IF(ROW()&lt;=2+0,"",INDEX(Daily_Input!$H:$H,ROW()-1))</f>
        <v>91869.173120000007</v>
      </c>
      <c r="AH37" s="5">
        <f>IF(ROW()&lt;=2+1,"",INDEX(Daily_Input!$G:$G,ROW()-2))</f>
        <v>15019.2</v>
      </c>
      <c r="AI37" s="5">
        <f>IF(ROW()&lt;=2+1,"",INDEX(Daily_Input!$H:$H,ROW()-2))</f>
        <v>173079.52970000001</v>
      </c>
      <c r="AJ37" s="5">
        <f>IF(ROW()&lt;=2+2,"",INDEX(Daily_Input!$G:$G,ROW()-3))</f>
        <v>15019.2</v>
      </c>
      <c r="AK37" s="5">
        <f>IF(ROW()&lt;=2+2,"",INDEX(Daily_Input!$H:$H,ROW()-3))</f>
        <v>272348.99449999997</v>
      </c>
    </row>
    <row r="38" spans="1:37">
      <c r="A38" s="5">
        <f>Daily_Input!A38</f>
        <v>45875</v>
      </c>
      <c r="B38" s="5">
        <f>Daily_Input!F38</f>
        <v>7635.1242850645058</v>
      </c>
      <c r="C38" s="5">
        <f>Daily_Input!D38</f>
        <v>489.55099999999999</v>
      </c>
      <c r="D38" s="5">
        <f>Daily_Input!E38</f>
        <v>1628472.3057532001</v>
      </c>
      <c r="E38" s="5">
        <f>IF(ROW()=2,"",Daily_Input!E38-Daily_Input!E37)</f>
        <v>-9034.913986499887</v>
      </c>
      <c r="F38" s="5">
        <f>IFERROR(Daily_Input!E38/Config!$B$4,"")</f>
        <v>1.0018508851500414</v>
      </c>
      <c r="G38" s="5">
        <f>Daily_Input!I38</f>
        <v>2</v>
      </c>
      <c r="H38" s="5">
        <f>IF(A38="","",IF(ROW()=2,G38,Config!$B$5*H37+G38))</f>
        <v>171.663365431622</v>
      </c>
      <c r="I38" s="5">
        <f t="shared" si="0"/>
        <v>218</v>
      </c>
      <c r="J38" s="5">
        <f>IF(I38="","",SIN(2*PI()*I38/Config!$B$6))</f>
        <v>-0.57377226790432434</v>
      </c>
      <c r="K38" s="5">
        <f>IF(I38="","",COS(2*PI()*I38/Config!$B$6))</f>
        <v>-0.8190148866680802</v>
      </c>
      <c r="L38" s="5">
        <f>IF(ROW()&lt;=2+0,"",INDEX(Daily_Input!$F:$F,ROW()-1))</f>
        <v>31783.878141474797</v>
      </c>
      <c r="M38" s="5">
        <f>IF(ROW()&lt;=2+1,"",INDEX(Daily_Input!$F:$F,ROW()-2))</f>
        <v>95627.562866258872</v>
      </c>
      <c r="N38" s="5">
        <f>IF(ROW()&lt;=2+2,"",INDEX(Daily_Input!$F:$F,ROW()-3))</f>
        <v>176815.45815023186</v>
      </c>
      <c r="O38" s="5">
        <f>IF(ROW()&lt;=2+3,"",INDEX(Daily_Input!$F:$F,ROW()-4))</f>
        <v>279106.45961991127</v>
      </c>
      <c r="P38" s="5">
        <f>IF(ROW()&lt;=2+4,"",INDEX(Daily_Input!$F:$F,ROW()-5))</f>
        <v>376449.80174154462</v>
      </c>
      <c r="Q38" s="5">
        <f>IF(ROW()&lt;=2+5,"",INDEX(Daily_Input!$F:$F,ROW()-6))</f>
        <v>523960.10982635699</v>
      </c>
      <c r="R38" s="5">
        <f>IF(ROW()&lt;=2+6,"",INDEX(Daily_Input!$F:$F,ROW()-7))</f>
        <v>813878.43053686991</v>
      </c>
      <c r="S38" s="5">
        <f>IF(ROW()&lt;=2+7,"",INDEX(Daily_Input!$F:$F,ROW()-8))</f>
        <v>692861.00746525498</v>
      </c>
      <c r="T38" s="5">
        <f>IF(ROW()&lt;=2+8,"",INDEX(Daily_Input!$F:$F,ROW()-9))</f>
        <v>1013546.0593323153</v>
      </c>
      <c r="U38" s="5">
        <f>IF(ROW()&lt;=2+9,"",INDEX(Daily_Input!$F:$F,ROW()-10))</f>
        <v>569142.47170705406</v>
      </c>
      <c r="V38" s="5">
        <f>IF(ROW()&lt;=2+10,"",INDEX(Daily_Input!$F:$F,ROW()-11))</f>
        <v>482245.1187264027</v>
      </c>
      <c r="W38" s="5">
        <f>IF(ROW()&lt;=2+11,"",INDEX(Daily_Input!$F:$F,ROW()-12))</f>
        <v>618339.96116878954</v>
      </c>
      <c r="X38" s="5">
        <f>IF(ROW()&lt;=2+12,"",INDEX(Daily_Input!$F:$F,ROW()-13))</f>
        <v>1122921.6352246474</v>
      </c>
      <c r="Y38" s="5">
        <f>IF(ROW()&lt;=2+13,"",INDEX(Daily_Input!$F:$F,ROW()-14))</f>
        <v>1407917.4636137555</v>
      </c>
      <c r="Z38" s="5">
        <f>IF(ROW()&lt;=4,"",SUM(Daily_Input!I38:I40))</f>
        <v>3.4</v>
      </c>
      <c r="AA38" s="5">
        <f>IF(ROW()&lt;=8,"",SUM(Daily_Input!I38:I44))</f>
        <v>7.2</v>
      </c>
      <c r="AB38" s="5">
        <f>IF(ROW()&lt;=15,"",SUM(Daily_Input!I38:I51))</f>
        <v>139.79999999999998</v>
      </c>
      <c r="AC38" s="5">
        <f>IF(ROW()&lt;=4,"",AVERAGE(Daily_Input!F38:F40))</f>
        <v>5976.2435975207627</v>
      </c>
      <c r="AD38" s="5">
        <f>IF(ROW()&lt;=8,"",AVERAGE(Daily_Input!F38:F44))</f>
        <v>6772.0972411384928</v>
      </c>
      <c r="AE38" s="5">
        <f>IF(ROW()&lt;=8,"",MAX(Daily_Input!F38:F44))</f>
        <v>12894.535813435617</v>
      </c>
      <c r="AF38" s="5">
        <f>IF(ROW()&lt;=2+0,"",INDEX(Daily_Input!$G:$G,ROW()-1))</f>
        <v>15019.2</v>
      </c>
      <c r="AG38" s="5">
        <f>IF(ROW()&lt;=2+0,"",INDEX(Daily_Input!$H:$H,ROW()-1))</f>
        <v>27990.863140000001</v>
      </c>
      <c r="AH38" s="5">
        <f>IF(ROW()&lt;=2+1,"",INDEX(Daily_Input!$G:$G,ROW()-2))</f>
        <v>15019.2</v>
      </c>
      <c r="AI38" s="5">
        <f>IF(ROW()&lt;=2+1,"",INDEX(Daily_Input!$H:$H,ROW()-2))</f>
        <v>91869.173120000007</v>
      </c>
      <c r="AJ38" s="5">
        <f>IF(ROW()&lt;=2+2,"",INDEX(Daily_Input!$G:$G,ROW()-3))</f>
        <v>15019.2</v>
      </c>
      <c r="AK38" s="5">
        <f>IF(ROW()&lt;=2+2,"",INDEX(Daily_Input!$H:$H,ROW()-3))</f>
        <v>173079.52970000001</v>
      </c>
    </row>
    <row r="39" spans="1:37">
      <c r="A39" s="5">
        <f>Daily_Input!A39</f>
        <v>45876</v>
      </c>
      <c r="B39" s="5">
        <f>Daily_Input!F39</f>
        <v>3846.2012694066034</v>
      </c>
      <c r="C39" s="5">
        <f>Daily_Input!D39</f>
        <v>489.517</v>
      </c>
      <c r="D39" s="5">
        <f>Daily_Input!E39</f>
        <v>1616447.3000027</v>
      </c>
      <c r="E39" s="5">
        <f>IF(ROW()=2,"",Daily_Input!E39-Daily_Input!E38)</f>
        <v>-12025.005750500131</v>
      </c>
      <c r="F39" s="5">
        <f>IFERROR(Daily_Input!E39/Config!$B$4,"")</f>
        <v>0.99445299289696998</v>
      </c>
      <c r="G39" s="5">
        <f>Daily_Input!I39</f>
        <v>0</v>
      </c>
      <c r="H39" s="5">
        <f>IF(A39="","",IF(ROW()=2,G39,Config!$B$5*H38+G39))</f>
        <v>163.08019716004088</v>
      </c>
      <c r="I39" s="5">
        <f t="shared" si="0"/>
        <v>219</v>
      </c>
      <c r="J39" s="5">
        <f>IF(I39="","",SIN(2*PI()*I39/Config!$B$6))</f>
        <v>-0.58778525229247336</v>
      </c>
      <c r="K39" s="5">
        <f>IF(I39="","",COS(2*PI()*I39/Config!$B$6))</f>
        <v>-0.80901699437494723</v>
      </c>
      <c r="L39" s="5">
        <f>IF(ROW()&lt;=2+0,"",INDEX(Daily_Input!$F:$F,ROW()-1))</f>
        <v>7635.1242850645058</v>
      </c>
      <c r="M39" s="5">
        <f>IF(ROW()&lt;=2+1,"",INDEX(Daily_Input!$F:$F,ROW()-2))</f>
        <v>31783.878141474797</v>
      </c>
      <c r="N39" s="5">
        <f>IF(ROW()&lt;=2+2,"",INDEX(Daily_Input!$F:$F,ROW()-3))</f>
        <v>95627.562866258872</v>
      </c>
      <c r="O39" s="5">
        <f>IF(ROW()&lt;=2+3,"",INDEX(Daily_Input!$F:$F,ROW()-4))</f>
        <v>176815.45815023186</v>
      </c>
      <c r="P39" s="5">
        <f>IF(ROW()&lt;=2+4,"",INDEX(Daily_Input!$F:$F,ROW()-5))</f>
        <v>279106.45961991127</v>
      </c>
      <c r="Q39" s="5">
        <f>IF(ROW()&lt;=2+5,"",INDEX(Daily_Input!$F:$F,ROW()-6))</f>
        <v>376449.80174154462</v>
      </c>
      <c r="R39" s="5">
        <f>IF(ROW()&lt;=2+6,"",INDEX(Daily_Input!$F:$F,ROW()-7))</f>
        <v>523960.10982635699</v>
      </c>
      <c r="S39" s="5">
        <f>IF(ROW()&lt;=2+7,"",INDEX(Daily_Input!$F:$F,ROW()-8))</f>
        <v>813878.43053686991</v>
      </c>
      <c r="T39" s="5">
        <f>IF(ROW()&lt;=2+8,"",INDEX(Daily_Input!$F:$F,ROW()-9))</f>
        <v>692861.00746525498</v>
      </c>
      <c r="U39" s="5">
        <f>IF(ROW()&lt;=2+9,"",INDEX(Daily_Input!$F:$F,ROW()-10))</f>
        <v>1013546.0593323153</v>
      </c>
      <c r="V39" s="5">
        <f>IF(ROW()&lt;=2+10,"",INDEX(Daily_Input!$F:$F,ROW()-11))</f>
        <v>569142.47170705406</v>
      </c>
      <c r="W39" s="5">
        <f>IF(ROW()&lt;=2+11,"",INDEX(Daily_Input!$F:$F,ROW()-12))</f>
        <v>482245.1187264027</v>
      </c>
      <c r="X39" s="5">
        <f>IF(ROW()&lt;=2+12,"",INDEX(Daily_Input!$F:$F,ROW()-13))</f>
        <v>618339.96116878954</v>
      </c>
      <c r="Y39" s="5">
        <f>IF(ROW()&lt;=2+13,"",INDEX(Daily_Input!$F:$F,ROW()-14))</f>
        <v>1122921.6352246474</v>
      </c>
      <c r="Z39" s="5">
        <f>IF(ROW()&lt;=4,"",SUM(Daily_Input!I39:I41))</f>
        <v>5</v>
      </c>
      <c r="AA39" s="5">
        <f>IF(ROW()&lt;=8,"",SUM(Daily_Input!I39:I45))</f>
        <v>32.200000000000003</v>
      </c>
      <c r="AB39" s="5">
        <f>IF(ROW()&lt;=15,"",SUM(Daily_Input!I39:I52))</f>
        <v>138.60000000000002</v>
      </c>
      <c r="AC39" s="5">
        <f>IF(ROW()&lt;=4,"",AVERAGE(Daily_Input!F39:F41))</f>
        <v>5365.0809535256549</v>
      </c>
      <c r="AD39" s="5">
        <f>IF(ROW()&lt;=8,"",AVERAGE(Daily_Input!F39:F45))</f>
        <v>13965.178411539349</v>
      </c>
      <c r="AE39" s="5">
        <f>IF(ROW()&lt;=8,"",MAX(Daily_Input!F39:F45))</f>
        <v>57986.6924778705</v>
      </c>
      <c r="AF39" s="5">
        <f>IF(ROW()&lt;=2+0,"",INDEX(Daily_Input!$G:$G,ROW()-1))</f>
        <v>15019.2</v>
      </c>
      <c r="AG39" s="5">
        <f>IF(ROW()&lt;=2+0,"",INDEX(Daily_Input!$H:$H,ROW()-1))</f>
        <v>1398.950652</v>
      </c>
      <c r="AH39" s="5">
        <f>IF(ROW()&lt;=2+1,"",INDEX(Daily_Input!$G:$G,ROW()-2))</f>
        <v>15019.2</v>
      </c>
      <c r="AI39" s="5">
        <f>IF(ROW()&lt;=2+1,"",INDEX(Daily_Input!$H:$H,ROW()-2))</f>
        <v>27990.863140000001</v>
      </c>
      <c r="AJ39" s="5">
        <f>IF(ROW()&lt;=2+2,"",INDEX(Daily_Input!$G:$G,ROW()-3))</f>
        <v>15019.2</v>
      </c>
      <c r="AK39" s="5">
        <f>IF(ROW()&lt;=2+2,"",INDEX(Daily_Input!$H:$H,ROW()-3))</f>
        <v>91869.173120000007</v>
      </c>
    </row>
    <row r="40" spans="1:37">
      <c r="A40" s="5">
        <f>Daily_Input!A40</f>
        <v>45877</v>
      </c>
      <c r="B40" s="5">
        <f>Daily_Input!F40</f>
        <v>6447.4052380911789</v>
      </c>
      <c r="C40" s="5">
        <f>Daily_Input!D40</f>
        <v>489.48599999999999</v>
      </c>
      <c r="D40" s="5">
        <f>Daily_Input!E40</f>
        <v>1607444.5930314001</v>
      </c>
      <c r="E40" s="5">
        <f>IF(ROW()=2,"",Daily_Input!E40-Daily_Input!E39)</f>
        <v>-9002.7069712998345</v>
      </c>
      <c r="F40" s="5">
        <f>IFERROR(Daily_Input!E40/Config!$B$4,"")</f>
        <v>0.98891444617678392</v>
      </c>
      <c r="G40" s="5">
        <f>Daily_Input!I40</f>
        <v>1.4</v>
      </c>
      <c r="H40" s="5">
        <f>IF(A40="","",IF(ROW()=2,G40,Config!$B$5*H39+G40))</f>
        <v>156.32618730203885</v>
      </c>
      <c r="I40" s="5">
        <f t="shared" si="0"/>
        <v>220</v>
      </c>
      <c r="J40" s="5">
        <f>IF(I40="","",SIN(2*PI()*I40/Config!$B$6))</f>
        <v>-0.60162406322492268</v>
      </c>
      <c r="K40" s="5">
        <f>IF(I40="","",COS(2*PI()*I40/Config!$B$6))</f>
        <v>-0.7987793728863648</v>
      </c>
      <c r="L40" s="5">
        <f>IF(ROW()&lt;=2+0,"",INDEX(Daily_Input!$F:$F,ROW()-1))</f>
        <v>3846.2012694066034</v>
      </c>
      <c r="M40" s="5">
        <f>IF(ROW()&lt;=2+1,"",INDEX(Daily_Input!$F:$F,ROW()-2))</f>
        <v>7635.1242850645058</v>
      </c>
      <c r="N40" s="5">
        <f>IF(ROW()&lt;=2+2,"",INDEX(Daily_Input!$F:$F,ROW()-3))</f>
        <v>31783.878141474797</v>
      </c>
      <c r="O40" s="5">
        <f>IF(ROW()&lt;=2+3,"",INDEX(Daily_Input!$F:$F,ROW()-4))</f>
        <v>95627.562866258872</v>
      </c>
      <c r="P40" s="5">
        <f>IF(ROW()&lt;=2+4,"",INDEX(Daily_Input!$F:$F,ROW()-5))</f>
        <v>176815.45815023186</v>
      </c>
      <c r="Q40" s="5">
        <f>IF(ROW()&lt;=2+5,"",INDEX(Daily_Input!$F:$F,ROW()-6))</f>
        <v>279106.45961991127</v>
      </c>
      <c r="R40" s="5">
        <f>IF(ROW()&lt;=2+6,"",INDEX(Daily_Input!$F:$F,ROW()-7))</f>
        <v>376449.80174154462</v>
      </c>
      <c r="S40" s="5">
        <f>IF(ROW()&lt;=2+7,"",INDEX(Daily_Input!$F:$F,ROW()-8))</f>
        <v>523960.10982635699</v>
      </c>
      <c r="T40" s="5">
        <f>IF(ROW()&lt;=2+8,"",INDEX(Daily_Input!$F:$F,ROW()-9))</f>
        <v>813878.43053686991</v>
      </c>
      <c r="U40" s="5">
        <f>IF(ROW()&lt;=2+9,"",INDEX(Daily_Input!$F:$F,ROW()-10))</f>
        <v>692861.00746525498</v>
      </c>
      <c r="V40" s="5">
        <f>IF(ROW()&lt;=2+10,"",INDEX(Daily_Input!$F:$F,ROW()-11))</f>
        <v>1013546.0593323153</v>
      </c>
      <c r="W40" s="5">
        <f>IF(ROW()&lt;=2+11,"",INDEX(Daily_Input!$F:$F,ROW()-12))</f>
        <v>569142.47170705406</v>
      </c>
      <c r="X40" s="5">
        <f>IF(ROW()&lt;=2+12,"",INDEX(Daily_Input!$F:$F,ROW()-13))</f>
        <v>482245.1187264027</v>
      </c>
      <c r="Y40" s="5">
        <f>IF(ROW()&lt;=2+13,"",INDEX(Daily_Input!$F:$F,ROW()-14))</f>
        <v>618339.96116878954</v>
      </c>
      <c r="Z40" s="5">
        <f>IF(ROW()&lt;=4,"",SUM(Daily_Input!I40:I42))</f>
        <v>5.2</v>
      </c>
      <c r="AA40" s="5">
        <f>IF(ROW()&lt;=8,"",SUM(Daily_Input!I40:I46))</f>
        <v>43.800000000000004</v>
      </c>
      <c r="AB40" s="5">
        <f>IF(ROW()&lt;=15,"",SUM(Daily_Input!I40:I53))</f>
        <v>138.60000000000002</v>
      </c>
      <c r="AC40" s="5">
        <f>IF(ROW()&lt;=4,"",AVERAGE(Daily_Input!F40:F42))</f>
        <v>6360.3089791528009</v>
      </c>
      <c r="AD40" s="5">
        <f>IF(ROW()&lt;=8,"",AVERAGE(Daily_Input!F40:F46))</f>
        <v>27514.129424452607</v>
      </c>
      <c r="AE40" s="5">
        <f>IF(ROW()&lt;=8,"",MAX(Daily_Input!F40:F46))</f>
        <v>98688.858359799415</v>
      </c>
      <c r="AF40" s="5">
        <f>IF(ROW()&lt;=2+0,"",INDEX(Daily_Input!$G:$G,ROW()-1))</f>
        <v>15019.2</v>
      </c>
      <c r="AG40" s="5">
        <f>IF(ROW()&lt;=2+0,"",INDEX(Daily_Input!$H:$H,ROW()-1))</f>
        <v>0</v>
      </c>
      <c r="AH40" s="5">
        <f>IF(ROW()&lt;=2+1,"",INDEX(Daily_Input!$G:$G,ROW()-2))</f>
        <v>15019.2</v>
      </c>
      <c r="AI40" s="5">
        <f>IF(ROW()&lt;=2+1,"",INDEX(Daily_Input!$H:$H,ROW()-2))</f>
        <v>1398.950652</v>
      </c>
      <c r="AJ40" s="5">
        <f>IF(ROW()&lt;=2+2,"",INDEX(Daily_Input!$G:$G,ROW()-3))</f>
        <v>15019.2</v>
      </c>
      <c r="AK40" s="5">
        <f>IF(ROW()&lt;=2+2,"",INDEX(Daily_Input!$H:$H,ROW()-3))</f>
        <v>27990.863140000001</v>
      </c>
    </row>
    <row r="41" spans="1:37">
      <c r="A41" s="5">
        <f>Daily_Input!A41</f>
        <v>45878</v>
      </c>
      <c r="B41" s="5">
        <f>Daily_Input!F41</f>
        <v>5801.6363530791823</v>
      </c>
      <c r="C41" s="5">
        <f>Daily_Input!D41</f>
        <v>489.45400000000001</v>
      </c>
      <c r="D41" s="5">
        <f>Daily_Input!E41</f>
        <v>1598455.4724355999</v>
      </c>
      <c r="E41" s="5">
        <f>IF(ROW()=2,"",Daily_Input!E41-Daily_Input!E40)</f>
        <v>-8989.1205958002247</v>
      </c>
      <c r="F41" s="5">
        <f>IFERROR(Daily_Input!E41/Config!$B$4,"")</f>
        <v>0.98338425791763662</v>
      </c>
      <c r="G41" s="5">
        <f>Daily_Input!I41</f>
        <v>3.6</v>
      </c>
      <c r="H41" s="5">
        <f>IF(A41="","",IF(ROW()=2,G41,Config!$B$5*H40+G41))</f>
        <v>152.1098779369369</v>
      </c>
      <c r="I41" s="5">
        <f t="shared" si="0"/>
        <v>221</v>
      </c>
      <c r="J41" s="5">
        <f>IF(I41="","",SIN(2*PI()*I41/Config!$B$6))</f>
        <v>-0.61528459996332774</v>
      </c>
      <c r="K41" s="5">
        <f>IF(I41="","",COS(2*PI()*I41/Config!$B$6))</f>
        <v>-0.78830505583052535</v>
      </c>
      <c r="L41" s="5">
        <f>IF(ROW()&lt;=2+0,"",INDEX(Daily_Input!$F:$F,ROW()-1))</f>
        <v>6447.4052380911789</v>
      </c>
      <c r="M41" s="5">
        <f>IF(ROW()&lt;=2+1,"",INDEX(Daily_Input!$F:$F,ROW()-2))</f>
        <v>3846.2012694066034</v>
      </c>
      <c r="N41" s="5">
        <f>IF(ROW()&lt;=2+2,"",INDEX(Daily_Input!$F:$F,ROW()-3))</f>
        <v>7635.1242850645058</v>
      </c>
      <c r="O41" s="5">
        <f>IF(ROW()&lt;=2+3,"",INDEX(Daily_Input!$F:$F,ROW()-4))</f>
        <v>31783.878141474797</v>
      </c>
      <c r="P41" s="5">
        <f>IF(ROW()&lt;=2+4,"",INDEX(Daily_Input!$F:$F,ROW()-5))</f>
        <v>95627.562866258872</v>
      </c>
      <c r="Q41" s="5">
        <f>IF(ROW()&lt;=2+5,"",INDEX(Daily_Input!$F:$F,ROW()-6))</f>
        <v>176815.45815023186</v>
      </c>
      <c r="R41" s="5">
        <f>IF(ROW()&lt;=2+6,"",INDEX(Daily_Input!$F:$F,ROW()-7))</f>
        <v>279106.45961991127</v>
      </c>
      <c r="S41" s="5">
        <f>IF(ROW()&lt;=2+7,"",INDEX(Daily_Input!$F:$F,ROW()-8))</f>
        <v>376449.80174154462</v>
      </c>
      <c r="T41" s="5">
        <f>IF(ROW()&lt;=2+8,"",INDEX(Daily_Input!$F:$F,ROW()-9))</f>
        <v>523960.10982635699</v>
      </c>
      <c r="U41" s="5">
        <f>IF(ROW()&lt;=2+9,"",INDEX(Daily_Input!$F:$F,ROW()-10))</f>
        <v>813878.43053686991</v>
      </c>
      <c r="V41" s="5">
        <f>IF(ROW()&lt;=2+10,"",INDEX(Daily_Input!$F:$F,ROW()-11))</f>
        <v>692861.00746525498</v>
      </c>
      <c r="W41" s="5">
        <f>IF(ROW()&lt;=2+11,"",INDEX(Daily_Input!$F:$F,ROW()-12))</f>
        <v>1013546.0593323153</v>
      </c>
      <c r="X41" s="5">
        <f>IF(ROW()&lt;=2+12,"",INDEX(Daily_Input!$F:$F,ROW()-13))</f>
        <v>569142.47170705406</v>
      </c>
      <c r="Y41" s="5">
        <f>IF(ROW()&lt;=2+13,"",INDEX(Daily_Input!$F:$F,ROW()-14))</f>
        <v>482245.1187264027</v>
      </c>
      <c r="Z41" s="5">
        <f>IF(ROW()&lt;=4,"",SUM(Daily_Input!I41:I43))</f>
        <v>3.8000000000000003</v>
      </c>
      <c r="AA41" s="5">
        <f>IF(ROW()&lt;=8,"",SUM(Daily_Input!I41:I47))</f>
        <v>46.4</v>
      </c>
      <c r="AB41" s="5">
        <f>IF(ROW()&lt;=15,"",SUM(Daily_Input!I41:I54))</f>
        <v>152.4</v>
      </c>
      <c r="AC41" s="5">
        <f>IF(ROW()&lt;=4,"",AVERAGE(Daily_Input!F41:F43))</f>
        <v>5527.1380273238474</v>
      </c>
      <c r="AD41" s="5">
        <f>IF(ROW()&lt;=8,"",AVERAGE(Daily_Input!F41:F47))</f>
        <v>44290.57522824013</v>
      </c>
      <c r="AE41" s="5">
        <f>IF(ROW()&lt;=8,"",MAX(Daily_Input!F41:F47))</f>
        <v>123882.52586460387</v>
      </c>
      <c r="AF41" s="5">
        <f>IF(ROW()&lt;=2+0,"",INDEX(Daily_Input!$G:$G,ROW()-1))</f>
        <v>15019.2</v>
      </c>
      <c r="AG41" s="5">
        <f>IF(ROW()&lt;=2+0,"",INDEX(Daily_Input!$H:$H,ROW()-1))</f>
        <v>0</v>
      </c>
      <c r="AH41" s="5">
        <f>IF(ROW()&lt;=2+1,"",INDEX(Daily_Input!$G:$G,ROW()-2))</f>
        <v>15019.2</v>
      </c>
      <c r="AI41" s="5">
        <f>IF(ROW()&lt;=2+1,"",INDEX(Daily_Input!$H:$H,ROW()-2))</f>
        <v>0</v>
      </c>
      <c r="AJ41" s="5">
        <f>IF(ROW()&lt;=2+2,"",INDEX(Daily_Input!$G:$G,ROW()-3))</f>
        <v>15019.2</v>
      </c>
      <c r="AK41" s="5">
        <f>IF(ROW()&lt;=2+2,"",INDEX(Daily_Input!$H:$H,ROW()-3))</f>
        <v>1398.950652</v>
      </c>
    </row>
    <row r="42" spans="1:37">
      <c r="A42" s="5">
        <f>Daily_Input!A42</f>
        <v>45879</v>
      </c>
      <c r="B42" s="5">
        <f>Daily_Input!F42</f>
        <v>6831.8853462880434</v>
      </c>
      <c r="C42" s="5">
        <f>Daily_Input!D42</f>
        <v>489.42099999999999</v>
      </c>
      <c r="D42" s="5">
        <f>Daily_Input!E42</f>
        <v>1589479.7778056001</v>
      </c>
      <c r="E42" s="5">
        <f>IF(ROW()=2,"",Daily_Input!E42-Daily_Input!E41)</f>
        <v>-8975.694629999809</v>
      </c>
      <c r="F42" s="5">
        <f>IFERROR(Daily_Input!E42/Config!$B$4,"")</f>
        <v>0.97786232943403084</v>
      </c>
      <c r="G42" s="5">
        <f>Daily_Input!I42</f>
        <v>0.2</v>
      </c>
      <c r="H42" s="5">
        <f>IF(A42="","",IF(ROW()=2,G42,Config!$B$5*H41+G42))</f>
        <v>144.70438404009005</v>
      </c>
      <c r="I42" s="5">
        <f t="shared" si="0"/>
        <v>222</v>
      </c>
      <c r="J42" s="5">
        <f>IF(I42="","",SIN(2*PI()*I42/Config!$B$6))</f>
        <v>-0.6287628145958345</v>
      </c>
      <c r="K42" s="5">
        <f>IF(I42="","",COS(2*PI()*I42/Config!$B$6))</f>
        <v>-0.77759714697362681</v>
      </c>
      <c r="L42" s="5">
        <f>IF(ROW()&lt;=2+0,"",INDEX(Daily_Input!$F:$F,ROW()-1))</f>
        <v>5801.6363530791823</v>
      </c>
      <c r="M42" s="5">
        <f>IF(ROW()&lt;=2+1,"",INDEX(Daily_Input!$F:$F,ROW()-2))</f>
        <v>6447.4052380911789</v>
      </c>
      <c r="N42" s="5">
        <f>IF(ROW()&lt;=2+2,"",INDEX(Daily_Input!$F:$F,ROW()-3))</f>
        <v>3846.2012694066034</v>
      </c>
      <c r="O42" s="5">
        <f>IF(ROW()&lt;=2+3,"",INDEX(Daily_Input!$F:$F,ROW()-4))</f>
        <v>7635.1242850645058</v>
      </c>
      <c r="P42" s="5">
        <f>IF(ROW()&lt;=2+4,"",INDEX(Daily_Input!$F:$F,ROW()-5))</f>
        <v>31783.878141474797</v>
      </c>
      <c r="Q42" s="5">
        <f>IF(ROW()&lt;=2+5,"",INDEX(Daily_Input!$F:$F,ROW()-6))</f>
        <v>95627.562866258872</v>
      </c>
      <c r="R42" s="5">
        <f>IF(ROW()&lt;=2+6,"",INDEX(Daily_Input!$F:$F,ROW()-7))</f>
        <v>176815.45815023186</v>
      </c>
      <c r="S42" s="5">
        <f>IF(ROW()&lt;=2+7,"",INDEX(Daily_Input!$F:$F,ROW()-8))</f>
        <v>279106.45961991127</v>
      </c>
      <c r="T42" s="5">
        <f>IF(ROW()&lt;=2+8,"",INDEX(Daily_Input!$F:$F,ROW()-9))</f>
        <v>376449.80174154462</v>
      </c>
      <c r="U42" s="5">
        <f>IF(ROW()&lt;=2+9,"",INDEX(Daily_Input!$F:$F,ROW()-10))</f>
        <v>523960.10982635699</v>
      </c>
      <c r="V42" s="5">
        <f>IF(ROW()&lt;=2+10,"",INDEX(Daily_Input!$F:$F,ROW()-11))</f>
        <v>813878.43053686991</v>
      </c>
      <c r="W42" s="5">
        <f>IF(ROW()&lt;=2+11,"",INDEX(Daily_Input!$F:$F,ROW()-12))</f>
        <v>692861.00746525498</v>
      </c>
      <c r="X42" s="5">
        <f>IF(ROW()&lt;=2+12,"",INDEX(Daily_Input!$F:$F,ROW()-13))</f>
        <v>1013546.0593323153</v>
      </c>
      <c r="Y42" s="5">
        <f>IF(ROW()&lt;=2+13,"",INDEX(Daily_Input!$F:$F,ROW()-14))</f>
        <v>569142.47170705406</v>
      </c>
      <c r="Z42" s="5">
        <f>IF(ROW()&lt;=4,"",SUM(Daily_Input!I42:I44))</f>
        <v>0.2</v>
      </c>
      <c r="AA42" s="5">
        <f>IF(ROW()&lt;=8,"",SUM(Daily_Input!I42:I48))</f>
        <v>75</v>
      </c>
      <c r="AB42" s="5">
        <f>IF(ROW()&lt;=15,"",SUM(Daily_Input!I42:I55))</f>
        <v>162.20000000000002</v>
      </c>
      <c r="AC42" s="5">
        <f>IF(ROW()&lt;=4,"",AVERAGE(Daily_Input!F42:F44))</f>
        <v>7891.4378474426594</v>
      </c>
      <c r="AD42" s="5">
        <f>IF(ROW()&lt;=8,"",AVERAGE(Daily_Input!F42:F48))</f>
        <v>140210.51197760488</v>
      </c>
      <c r="AE42" s="5">
        <f>IF(ROW()&lt;=8,"",MAX(Daily_Input!F42:F48))</f>
        <v>677241.19359863247</v>
      </c>
      <c r="AF42" s="5">
        <f>IF(ROW()&lt;=2+0,"",INDEX(Daily_Input!$G:$G,ROW()-1))</f>
        <v>15019.2</v>
      </c>
      <c r="AG42" s="5">
        <f>IF(ROW()&lt;=2+0,"",INDEX(Daily_Input!$H:$H,ROW()-1))</f>
        <v>0</v>
      </c>
      <c r="AH42" s="5">
        <f>IF(ROW()&lt;=2+1,"",INDEX(Daily_Input!$G:$G,ROW()-2))</f>
        <v>15019.2</v>
      </c>
      <c r="AI42" s="5">
        <f>IF(ROW()&lt;=2+1,"",INDEX(Daily_Input!$H:$H,ROW()-2))</f>
        <v>0</v>
      </c>
      <c r="AJ42" s="5">
        <f>IF(ROW()&lt;=2+2,"",INDEX(Daily_Input!$G:$G,ROW()-3))</f>
        <v>15019.2</v>
      </c>
      <c r="AK42" s="5">
        <f>IF(ROW()&lt;=2+2,"",INDEX(Daily_Input!$H:$H,ROW()-3))</f>
        <v>0</v>
      </c>
    </row>
    <row r="43" spans="1:37">
      <c r="A43" s="5">
        <f>Daily_Input!A43</f>
        <v>45880</v>
      </c>
      <c r="B43" s="5">
        <f>Daily_Input!F43</f>
        <v>3947.8923826043183</v>
      </c>
      <c r="C43" s="5">
        <f>Daily_Input!D43</f>
        <v>489.38299999999998</v>
      </c>
      <c r="D43" s="5">
        <f>Daily_Input!E43</f>
        <v>1577566.834908</v>
      </c>
      <c r="E43" s="5">
        <f>IF(ROW()=2,"",Daily_Input!E43-Daily_Input!E42)</f>
        <v>-11912.942897600122</v>
      </c>
      <c r="F43" s="5">
        <f>IFERROR(Daily_Input!E43/Config!$B$4,"")</f>
        <v>0.97053337926119854</v>
      </c>
      <c r="G43" s="5">
        <f>Daily_Input!I43</f>
        <v>0</v>
      </c>
      <c r="H43" s="5">
        <f>IF(A43="","",IF(ROW()=2,G43,Config!$B$5*H42+G43))</f>
        <v>137.46916483808553</v>
      </c>
      <c r="I43" s="5">
        <f t="shared" si="0"/>
        <v>223</v>
      </c>
      <c r="J43" s="5">
        <f>IF(I43="","",SIN(2*PI()*I43/Config!$B$6))</f>
        <v>-0.6420547132365636</v>
      </c>
      <c r="K43" s="5">
        <f>IF(I43="","",COS(2*PI()*I43/Config!$B$6))</f>
        <v>-0.76665881930015922</v>
      </c>
      <c r="L43" s="5">
        <f>IF(ROW()&lt;=2+0,"",INDEX(Daily_Input!$F:$F,ROW()-1))</f>
        <v>6831.8853462880434</v>
      </c>
      <c r="M43" s="5">
        <f>IF(ROW()&lt;=2+1,"",INDEX(Daily_Input!$F:$F,ROW()-2))</f>
        <v>5801.6363530791823</v>
      </c>
      <c r="N43" s="5">
        <f>IF(ROW()&lt;=2+2,"",INDEX(Daily_Input!$F:$F,ROW()-3))</f>
        <v>6447.4052380911789</v>
      </c>
      <c r="O43" s="5">
        <f>IF(ROW()&lt;=2+3,"",INDEX(Daily_Input!$F:$F,ROW()-4))</f>
        <v>3846.2012694066034</v>
      </c>
      <c r="P43" s="5">
        <f>IF(ROW()&lt;=2+4,"",INDEX(Daily_Input!$F:$F,ROW()-5))</f>
        <v>7635.1242850645058</v>
      </c>
      <c r="Q43" s="5">
        <f>IF(ROW()&lt;=2+5,"",INDEX(Daily_Input!$F:$F,ROW()-6))</f>
        <v>31783.878141474797</v>
      </c>
      <c r="R43" s="5">
        <f>IF(ROW()&lt;=2+6,"",INDEX(Daily_Input!$F:$F,ROW()-7))</f>
        <v>95627.562866258872</v>
      </c>
      <c r="S43" s="5">
        <f>IF(ROW()&lt;=2+7,"",INDEX(Daily_Input!$F:$F,ROW()-8))</f>
        <v>176815.45815023186</v>
      </c>
      <c r="T43" s="5">
        <f>IF(ROW()&lt;=2+8,"",INDEX(Daily_Input!$F:$F,ROW()-9))</f>
        <v>279106.45961991127</v>
      </c>
      <c r="U43" s="5">
        <f>IF(ROW()&lt;=2+9,"",INDEX(Daily_Input!$F:$F,ROW()-10))</f>
        <v>376449.80174154462</v>
      </c>
      <c r="V43" s="5">
        <f>IF(ROW()&lt;=2+10,"",INDEX(Daily_Input!$F:$F,ROW()-11))</f>
        <v>523960.10982635699</v>
      </c>
      <c r="W43" s="5">
        <f>IF(ROW()&lt;=2+11,"",INDEX(Daily_Input!$F:$F,ROW()-12))</f>
        <v>813878.43053686991</v>
      </c>
      <c r="X43" s="5">
        <f>IF(ROW()&lt;=2+12,"",INDEX(Daily_Input!$F:$F,ROW()-13))</f>
        <v>692861.00746525498</v>
      </c>
      <c r="Y43" s="5">
        <f>IF(ROW()&lt;=2+13,"",INDEX(Daily_Input!$F:$F,ROW()-14))</f>
        <v>1013546.0593323153</v>
      </c>
      <c r="Z43" s="5">
        <f>IF(ROW()&lt;=4,"",SUM(Daily_Input!I43:I45))</f>
        <v>27</v>
      </c>
      <c r="AA43" s="5">
        <f>IF(ROW()&lt;=8,"",SUM(Daily_Input!I43:I49))</f>
        <v>122.00000000000001</v>
      </c>
      <c r="AB43" s="5">
        <f>IF(ROW()&lt;=15,"",SUM(Daily_Input!I43:I56))</f>
        <v>169.20000000000002</v>
      </c>
      <c r="AC43" s="5">
        <f>IF(ROW()&lt;=4,"",AVERAGE(Daily_Input!F43:F45))</f>
        <v>24943.040224636814</v>
      </c>
      <c r="AD43" s="5">
        <f>IF(ROW()&lt;=8,"",AVERAGE(Daily_Input!F43:F49))</f>
        <v>280127.65343726362</v>
      </c>
      <c r="AE43" s="5">
        <f>IF(ROW()&lt;=8,"",MAX(Daily_Input!F43:F49))</f>
        <v>986251.87556389906</v>
      </c>
      <c r="AF43" s="5">
        <f>IF(ROW()&lt;=2+0,"",INDEX(Daily_Input!$G:$G,ROW()-1))</f>
        <v>15019.2</v>
      </c>
      <c r="AG43" s="5">
        <f>IF(ROW()&lt;=2+0,"",INDEX(Daily_Input!$H:$H,ROW()-1))</f>
        <v>0</v>
      </c>
      <c r="AH43" s="5">
        <f>IF(ROW()&lt;=2+1,"",INDEX(Daily_Input!$G:$G,ROW()-2))</f>
        <v>15019.2</v>
      </c>
      <c r="AI43" s="5">
        <f>IF(ROW()&lt;=2+1,"",INDEX(Daily_Input!$H:$H,ROW()-2))</f>
        <v>0</v>
      </c>
      <c r="AJ43" s="5">
        <f>IF(ROW()&lt;=2+2,"",INDEX(Daily_Input!$G:$G,ROW()-3))</f>
        <v>15019.2</v>
      </c>
      <c r="AK43" s="5">
        <f>IF(ROW()&lt;=2+2,"",INDEX(Daily_Input!$H:$H,ROW()-3))</f>
        <v>0</v>
      </c>
    </row>
    <row r="44" spans="1:37">
      <c r="A44" s="5">
        <f>Daily_Input!A44</f>
        <v>45881</v>
      </c>
      <c r="B44" s="5">
        <f>Daily_Input!F44</f>
        <v>12894.535813435617</v>
      </c>
      <c r="C44" s="5">
        <f>Daily_Input!D44</f>
        <v>489.37099999999998</v>
      </c>
      <c r="D44" s="5">
        <f>Daily_Input!E44</f>
        <v>1574601.0268989</v>
      </c>
      <c r="E44" s="5">
        <f>IF(ROW()=2,"",Daily_Input!E44-Daily_Input!E43)</f>
        <v>-2965.8080090999138</v>
      </c>
      <c r="F44" s="5">
        <f>IFERROR(Daily_Input!E44/Config!$B$4,"")</f>
        <v>0.96870878736079924</v>
      </c>
      <c r="G44" s="5">
        <f>Daily_Input!I44</f>
        <v>0</v>
      </c>
      <c r="H44" s="5">
        <f>IF(A44="","",IF(ROW()=2,G44,Config!$B$5*H43+G44))</f>
        <v>130.59570659618126</v>
      </c>
      <c r="I44" s="5">
        <f t="shared" si="0"/>
        <v>224</v>
      </c>
      <c r="J44" s="5">
        <f>IF(I44="","",SIN(2*PI()*I44/Config!$B$6))</f>
        <v>-0.65515635720908505</v>
      </c>
      <c r="K44" s="5">
        <f>IF(I44="","",COS(2*PI()*I44/Config!$B$6))</f>
        <v>-0.75549331407268039</v>
      </c>
      <c r="L44" s="5">
        <f>IF(ROW()&lt;=2+0,"",INDEX(Daily_Input!$F:$F,ROW()-1))</f>
        <v>3947.8923826043183</v>
      </c>
      <c r="M44" s="5">
        <f>IF(ROW()&lt;=2+1,"",INDEX(Daily_Input!$F:$F,ROW()-2))</f>
        <v>6831.8853462880434</v>
      </c>
      <c r="N44" s="5">
        <f>IF(ROW()&lt;=2+2,"",INDEX(Daily_Input!$F:$F,ROW()-3))</f>
        <v>5801.6363530791823</v>
      </c>
      <c r="O44" s="5">
        <f>IF(ROW()&lt;=2+3,"",INDEX(Daily_Input!$F:$F,ROW()-4))</f>
        <v>6447.4052380911789</v>
      </c>
      <c r="P44" s="5">
        <f>IF(ROW()&lt;=2+4,"",INDEX(Daily_Input!$F:$F,ROW()-5))</f>
        <v>3846.2012694066034</v>
      </c>
      <c r="Q44" s="5">
        <f>IF(ROW()&lt;=2+5,"",INDEX(Daily_Input!$F:$F,ROW()-6))</f>
        <v>7635.1242850645058</v>
      </c>
      <c r="R44" s="5">
        <f>IF(ROW()&lt;=2+6,"",INDEX(Daily_Input!$F:$F,ROW()-7))</f>
        <v>31783.878141474797</v>
      </c>
      <c r="S44" s="5">
        <f>IF(ROW()&lt;=2+7,"",INDEX(Daily_Input!$F:$F,ROW()-8))</f>
        <v>95627.562866258872</v>
      </c>
      <c r="T44" s="5">
        <f>IF(ROW()&lt;=2+8,"",INDEX(Daily_Input!$F:$F,ROW()-9))</f>
        <v>176815.45815023186</v>
      </c>
      <c r="U44" s="5">
        <f>IF(ROW()&lt;=2+9,"",INDEX(Daily_Input!$F:$F,ROW()-10))</f>
        <v>279106.45961991127</v>
      </c>
      <c r="V44" s="5">
        <f>IF(ROW()&lt;=2+10,"",INDEX(Daily_Input!$F:$F,ROW()-11))</f>
        <v>376449.80174154462</v>
      </c>
      <c r="W44" s="5">
        <f>IF(ROW()&lt;=2+11,"",INDEX(Daily_Input!$F:$F,ROW()-12))</f>
        <v>523960.10982635699</v>
      </c>
      <c r="X44" s="5">
        <f>IF(ROW()&lt;=2+12,"",INDEX(Daily_Input!$F:$F,ROW()-13))</f>
        <v>813878.43053686991</v>
      </c>
      <c r="Y44" s="5">
        <f>IF(ROW()&lt;=2+13,"",INDEX(Daily_Input!$F:$F,ROW()-14))</f>
        <v>692861.00746525498</v>
      </c>
      <c r="Z44" s="5">
        <f>IF(ROW()&lt;=4,"",SUM(Daily_Input!I44:I46))</f>
        <v>38.6</v>
      </c>
      <c r="AA44" s="5">
        <f>IF(ROW()&lt;=8,"",SUM(Daily_Input!I44:I50))</f>
        <v>132.60000000000002</v>
      </c>
      <c r="AB44" s="5">
        <f>IF(ROW()&lt;=15,"",SUM(Daily_Input!I44:I57))</f>
        <v>183.20000000000002</v>
      </c>
      <c r="AC44" s="5">
        <f>IF(ROW()&lt;=4,"",AVERAGE(Daily_Input!F44:F46))</f>
        <v>56523.362217035181</v>
      </c>
      <c r="AD44" s="5">
        <f>IF(ROW()&lt;=8,"",AVERAGE(Daily_Input!F44:F50))</f>
        <v>373680.88297636114</v>
      </c>
      <c r="AE44" s="5">
        <f>IF(ROW()&lt;=8,"",MAX(Daily_Input!F44:F50))</f>
        <v>986251.87556389906</v>
      </c>
      <c r="AF44" s="5">
        <f>IF(ROW()&lt;=2+0,"",INDEX(Daily_Input!$G:$G,ROW()-1))</f>
        <v>15019.2</v>
      </c>
      <c r="AG44" s="5">
        <f>IF(ROW()&lt;=2+0,"",INDEX(Daily_Input!$H:$H,ROW()-1))</f>
        <v>0</v>
      </c>
      <c r="AH44" s="5">
        <f>IF(ROW()&lt;=2+1,"",INDEX(Daily_Input!$G:$G,ROW()-2))</f>
        <v>15019.2</v>
      </c>
      <c r="AI44" s="5">
        <f>IF(ROW()&lt;=2+1,"",INDEX(Daily_Input!$H:$H,ROW()-2))</f>
        <v>0</v>
      </c>
      <c r="AJ44" s="5">
        <f>IF(ROW()&lt;=2+2,"",INDEX(Daily_Input!$G:$G,ROW()-3))</f>
        <v>15019.2</v>
      </c>
      <c r="AK44" s="5">
        <f>IF(ROW()&lt;=2+2,"",INDEX(Daily_Input!$H:$H,ROW()-3))</f>
        <v>0</v>
      </c>
    </row>
    <row r="45" spans="1:37">
      <c r="A45" s="5">
        <f>Daily_Input!A45</f>
        <v>45882</v>
      </c>
      <c r="B45" s="5">
        <f>Daily_Input!F45</f>
        <v>57986.6924778705</v>
      </c>
      <c r="C45" s="5">
        <f>Daily_Input!D45</f>
        <v>489.49200000000002</v>
      </c>
      <c r="D45" s="5">
        <f>Daily_Input!E45</f>
        <v>1610444.0173448001</v>
      </c>
      <c r="E45" s="5">
        <f>IF(ROW()=2,"",Daily_Input!E45-Daily_Input!E44)</f>
        <v>35842.99044590001</v>
      </c>
      <c r="F45" s="5">
        <f>IFERROR(Daily_Input!E45/Config!$B$4,"")</f>
        <v>0.99075971913150607</v>
      </c>
      <c r="G45" s="5">
        <f>Daily_Input!I45</f>
        <v>27</v>
      </c>
      <c r="H45" s="5">
        <f>IF(A45="","",IF(ROW()=2,G45,Config!$B$5*H44+G45))</f>
        <v>151.06592126637219</v>
      </c>
      <c r="I45" s="5">
        <f t="shared" si="0"/>
        <v>225</v>
      </c>
      <c r="J45" s="5">
        <f>IF(I45="","",SIN(2*PI()*I45/Config!$B$6))</f>
        <v>-0.66806386421353325</v>
      </c>
      <c r="K45" s="5">
        <f>IF(I45="","",COS(2*PI()*I45/Config!$B$6))</f>
        <v>-0.74410393987136081</v>
      </c>
      <c r="L45" s="5">
        <f>IF(ROW()&lt;=2+0,"",INDEX(Daily_Input!$F:$F,ROW()-1))</f>
        <v>12894.535813435617</v>
      </c>
      <c r="M45" s="5">
        <f>IF(ROW()&lt;=2+1,"",INDEX(Daily_Input!$F:$F,ROW()-2))</f>
        <v>3947.8923826043183</v>
      </c>
      <c r="N45" s="5">
        <f>IF(ROW()&lt;=2+2,"",INDEX(Daily_Input!$F:$F,ROW()-3))</f>
        <v>6831.8853462880434</v>
      </c>
      <c r="O45" s="5">
        <f>IF(ROW()&lt;=2+3,"",INDEX(Daily_Input!$F:$F,ROW()-4))</f>
        <v>5801.6363530791823</v>
      </c>
      <c r="P45" s="5">
        <f>IF(ROW()&lt;=2+4,"",INDEX(Daily_Input!$F:$F,ROW()-5))</f>
        <v>6447.4052380911789</v>
      </c>
      <c r="Q45" s="5">
        <f>IF(ROW()&lt;=2+5,"",INDEX(Daily_Input!$F:$F,ROW()-6))</f>
        <v>3846.2012694066034</v>
      </c>
      <c r="R45" s="5">
        <f>IF(ROW()&lt;=2+6,"",INDEX(Daily_Input!$F:$F,ROW()-7))</f>
        <v>7635.1242850645058</v>
      </c>
      <c r="S45" s="5">
        <f>IF(ROW()&lt;=2+7,"",INDEX(Daily_Input!$F:$F,ROW()-8))</f>
        <v>31783.878141474797</v>
      </c>
      <c r="T45" s="5">
        <f>IF(ROW()&lt;=2+8,"",INDEX(Daily_Input!$F:$F,ROW()-9))</f>
        <v>95627.562866258872</v>
      </c>
      <c r="U45" s="5">
        <f>IF(ROW()&lt;=2+9,"",INDEX(Daily_Input!$F:$F,ROW()-10))</f>
        <v>176815.45815023186</v>
      </c>
      <c r="V45" s="5">
        <f>IF(ROW()&lt;=2+10,"",INDEX(Daily_Input!$F:$F,ROW()-11))</f>
        <v>279106.45961991127</v>
      </c>
      <c r="W45" s="5">
        <f>IF(ROW()&lt;=2+11,"",INDEX(Daily_Input!$F:$F,ROW()-12))</f>
        <v>376449.80174154462</v>
      </c>
      <c r="X45" s="5">
        <f>IF(ROW()&lt;=2+12,"",INDEX(Daily_Input!$F:$F,ROW()-13))</f>
        <v>523960.10982635699</v>
      </c>
      <c r="Y45" s="5">
        <f>IF(ROW()&lt;=2+13,"",INDEX(Daily_Input!$F:$F,ROW()-14))</f>
        <v>813878.43053686991</v>
      </c>
      <c r="Z45" s="5">
        <f>IF(ROW()&lt;=4,"",SUM(Daily_Input!I45:I47))</f>
        <v>42.6</v>
      </c>
      <c r="AA45" s="5">
        <f>IF(ROW()&lt;=8,"",SUM(Daily_Input!I45:I51))</f>
        <v>132.60000000000002</v>
      </c>
      <c r="AB45" s="5">
        <f>IF(ROW()&lt;=15,"",SUM(Daily_Input!I45:I58))</f>
        <v>196.00000000000003</v>
      </c>
      <c r="AC45" s="5">
        <f>IF(ROW()&lt;=4,"",AVERAGE(Daily_Input!F45:F47))</f>
        <v>93519.358900757928</v>
      </c>
      <c r="AD45" s="5">
        <f>IF(ROW()&lt;=8,"",AVERAGE(Daily_Input!F45:F51))</f>
        <v>430730.0938429333</v>
      </c>
      <c r="AE45" s="5">
        <f>IF(ROW()&lt;=8,"",MAX(Daily_Input!F45:F51))</f>
        <v>986251.87556389906</v>
      </c>
      <c r="AF45" s="5">
        <f>IF(ROW()&lt;=2+0,"",INDEX(Daily_Input!$G:$G,ROW()-1))</f>
        <v>15019.2</v>
      </c>
      <c r="AG45" s="5">
        <f>IF(ROW()&lt;=2+0,"",INDEX(Daily_Input!$H:$H,ROW()-1))</f>
        <v>0</v>
      </c>
      <c r="AH45" s="5">
        <f>IF(ROW()&lt;=2+1,"",INDEX(Daily_Input!$G:$G,ROW()-2))</f>
        <v>15019.2</v>
      </c>
      <c r="AI45" s="5">
        <f>IF(ROW()&lt;=2+1,"",INDEX(Daily_Input!$H:$H,ROW()-2))</f>
        <v>0</v>
      </c>
      <c r="AJ45" s="5">
        <f>IF(ROW()&lt;=2+2,"",INDEX(Daily_Input!$G:$G,ROW()-3))</f>
        <v>15019.2</v>
      </c>
      <c r="AK45" s="5">
        <f>IF(ROW()&lt;=2+2,"",INDEX(Daily_Input!$H:$H,ROW()-3))</f>
        <v>0</v>
      </c>
    </row>
    <row r="46" spans="1:37">
      <c r="A46" s="5">
        <f>Daily_Input!A46</f>
        <v>45883</v>
      </c>
      <c r="B46" s="5">
        <f>Daily_Input!F46</f>
        <v>98688.858359799415</v>
      </c>
      <c r="C46" s="5">
        <f>Daily_Input!D46</f>
        <v>489.60199999999998</v>
      </c>
      <c r="D46" s="5">
        <f>Daily_Input!E46</f>
        <v>1643538.2164867001</v>
      </c>
      <c r="E46" s="5">
        <f>IF(ROW()=2,"",Daily_Input!E46-Daily_Input!E45)</f>
        <v>33094.199141900055</v>
      </c>
      <c r="F46" s="5">
        <f>IFERROR(Daily_Input!E46/Config!$B$4,"")</f>
        <v>1.0111195696407902</v>
      </c>
      <c r="G46" s="5">
        <f>Daily_Input!I46</f>
        <v>11.6</v>
      </c>
      <c r="H46" s="5">
        <f>IF(A46="","",IF(ROW()=2,G46,Config!$B$5*H45+G46))</f>
        <v>155.11262520305357</v>
      </c>
      <c r="I46" s="5">
        <f t="shared" si="0"/>
        <v>226</v>
      </c>
      <c r="J46" s="5">
        <f>IF(I46="","",SIN(2*PI()*I46/Config!$B$6))</f>
        <v>-0.68077340947701603</v>
      </c>
      <c r="K46" s="5">
        <f>IF(I46="","",COS(2*PI()*I46/Config!$B$6))</f>
        <v>-0.73249407161357905</v>
      </c>
      <c r="L46" s="5">
        <f>IF(ROW()&lt;=2+0,"",INDEX(Daily_Input!$F:$F,ROW()-1))</f>
        <v>57986.6924778705</v>
      </c>
      <c r="M46" s="5">
        <f>IF(ROW()&lt;=2+1,"",INDEX(Daily_Input!$F:$F,ROW()-2))</f>
        <v>12894.535813435617</v>
      </c>
      <c r="N46" s="5">
        <f>IF(ROW()&lt;=2+2,"",INDEX(Daily_Input!$F:$F,ROW()-3))</f>
        <v>3947.8923826043183</v>
      </c>
      <c r="O46" s="5">
        <f>IF(ROW()&lt;=2+3,"",INDEX(Daily_Input!$F:$F,ROW()-4))</f>
        <v>6831.8853462880434</v>
      </c>
      <c r="P46" s="5">
        <f>IF(ROW()&lt;=2+4,"",INDEX(Daily_Input!$F:$F,ROW()-5))</f>
        <v>5801.6363530791823</v>
      </c>
      <c r="Q46" s="5">
        <f>IF(ROW()&lt;=2+5,"",INDEX(Daily_Input!$F:$F,ROW()-6))</f>
        <v>6447.4052380911789</v>
      </c>
      <c r="R46" s="5">
        <f>IF(ROW()&lt;=2+6,"",INDEX(Daily_Input!$F:$F,ROW()-7))</f>
        <v>3846.2012694066034</v>
      </c>
      <c r="S46" s="5">
        <f>IF(ROW()&lt;=2+7,"",INDEX(Daily_Input!$F:$F,ROW()-8))</f>
        <v>7635.1242850645058</v>
      </c>
      <c r="T46" s="5">
        <f>IF(ROW()&lt;=2+8,"",INDEX(Daily_Input!$F:$F,ROW()-9))</f>
        <v>31783.878141474797</v>
      </c>
      <c r="U46" s="5">
        <f>IF(ROW()&lt;=2+9,"",INDEX(Daily_Input!$F:$F,ROW()-10))</f>
        <v>95627.562866258872</v>
      </c>
      <c r="V46" s="5">
        <f>IF(ROW()&lt;=2+10,"",INDEX(Daily_Input!$F:$F,ROW()-11))</f>
        <v>176815.45815023186</v>
      </c>
      <c r="W46" s="5">
        <f>IF(ROW()&lt;=2+11,"",INDEX(Daily_Input!$F:$F,ROW()-12))</f>
        <v>279106.45961991127</v>
      </c>
      <c r="X46" s="5">
        <f>IF(ROW()&lt;=2+12,"",INDEX(Daily_Input!$F:$F,ROW()-13))</f>
        <v>376449.80174154462</v>
      </c>
      <c r="Y46" s="5">
        <f>IF(ROW()&lt;=2+13,"",INDEX(Daily_Input!$F:$F,ROW()-14))</f>
        <v>523960.10982635699</v>
      </c>
      <c r="Z46" s="5">
        <f>IF(ROW()&lt;=4,"",SUM(Daily_Input!I46:I48))</f>
        <v>47.800000000000004</v>
      </c>
      <c r="AA46" s="5">
        <f>IF(ROW()&lt;=8,"",SUM(Daily_Input!I46:I52))</f>
        <v>106.39999999999999</v>
      </c>
      <c r="AB46" s="5">
        <f>IF(ROW()&lt;=15,"",SUM(Daily_Input!I46:I59))</f>
        <v>205.4</v>
      </c>
      <c r="AC46" s="5">
        <f>IF(ROW()&lt;=4,"",AVERAGE(Daily_Input!F46:F48))</f>
        <v>299937.5259410119</v>
      </c>
      <c r="AD46" s="5">
        <f>IF(ROW()&lt;=8,"",AVERAGE(Daily_Input!F46:F52))</f>
        <v>461407.45871560933</v>
      </c>
      <c r="AE46" s="5">
        <f>IF(ROW()&lt;=8,"",MAX(Daily_Input!F46:F52))</f>
        <v>986251.87556389906</v>
      </c>
      <c r="AF46" s="5">
        <f>IF(ROW()&lt;=2+0,"",INDEX(Daily_Input!$G:$G,ROW()-1))</f>
        <v>15019.2</v>
      </c>
      <c r="AG46" s="5">
        <f>IF(ROW()&lt;=2+0,"",INDEX(Daily_Input!$H:$H,ROW()-1))</f>
        <v>14373.71314</v>
      </c>
      <c r="AH46" s="5">
        <f>IF(ROW()&lt;=2+1,"",INDEX(Daily_Input!$G:$G,ROW()-2))</f>
        <v>15019.2</v>
      </c>
      <c r="AI46" s="5">
        <f>IF(ROW()&lt;=2+1,"",INDEX(Daily_Input!$H:$H,ROW()-2))</f>
        <v>0</v>
      </c>
      <c r="AJ46" s="5">
        <f>IF(ROW()&lt;=2+2,"",INDEX(Daily_Input!$G:$G,ROW()-3))</f>
        <v>15019.2</v>
      </c>
      <c r="AK46" s="5">
        <f>IF(ROW()&lt;=2+2,"",INDEX(Daily_Input!$H:$H,ROW()-3))</f>
        <v>0</v>
      </c>
    </row>
    <row r="47" spans="1:37">
      <c r="A47" s="5">
        <f>Daily_Input!A47</f>
        <v>45884</v>
      </c>
      <c r="B47" s="5">
        <f>Daily_Input!F47</f>
        <v>123882.52586460387</v>
      </c>
      <c r="C47" s="5">
        <f>Daily_Input!D47</f>
        <v>489.577</v>
      </c>
      <c r="D47" s="5">
        <f>Daily_Input!E47</f>
        <v>1634494.0165122999</v>
      </c>
      <c r="E47" s="5">
        <f>IF(ROW()=2,"",Daily_Input!E47-Daily_Input!E46)</f>
        <v>-9044.1999744002242</v>
      </c>
      <c r="F47" s="5">
        <f>IFERROR(Daily_Input!E47/Config!$B$4,"")</f>
        <v>1.0055554960499677</v>
      </c>
      <c r="G47" s="5">
        <f>Daily_Input!I47</f>
        <v>4</v>
      </c>
      <c r="H47" s="5">
        <f>IF(A47="","",IF(ROW()=2,G47,Config!$B$5*H46+G47))</f>
        <v>151.35699394290089</v>
      </c>
      <c r="I47" s="5">
        <f t="shared" si="0"/>
        <v>227</v>
      </c>
      <c r="J47" s="5">
        <f>IF(I47="","",SIN(2*PI()*I47/Config!$B$6))</f>
        <v>-0.69328122688697713</v>
      </c>
      <c r="K47" s="5">
        <f>IF(I47="","",COS(2*PI()*I47/Config!$B$6))</f>
        <v>-0.72066714955386146</v>
      </c>
      <c r="L47" s="5">
        <f>IF(ROW()&lt;=2+0,"",INDEX(Daily_Input!$F:$F,ROW()-1))</f>
        <v>98688.858359799415</v>
      </c>
      <c r="M47" s="5">
        <f>IF(ROW()&lt;=2+1,"",INDEX(Daily_Input!$F:$F,ROW()-2))</f>
        <v>57986.6924778705</v>
      </c>
      <c r="N47" s="5">
        <f>IF(ROW()&lt;=2+2,"",INDEX(Daily_Input!$F:$F,ROW()-3))</f>
        <v>12894.535813435617</v>
      </c>
      <c r="O47" s="5">
        <f>IF(ROW()&lt;=2+3,"",INDEX(Daily_Input!$F:$F,ROW()-4))</f>
        <v>3947.8923826043183</v>
      </c>
      <c r="P47" s="5">
        <f>IF(ROW()&lt;=2+4,"",INDEX(Daily_Input!$F:$F,ROW()-5))</f>
        <v>6831.8853462880434</v>
      </c>
      <c r="Q47" s="5">
        <f>IF(ROW()&lt;=2+5,"",INDEX(Daily_Input!$F:$F,ROW()-6))</f>
        <v>5801.6363530791823</v>
      </c>
      <c r="R47" s="5">
        <f>IF(ROW()&lt;=2+6,"",INDEX(Daily_Input!$F:$F,ROW()-7))</f>
        <v>6447.4052380911789</v>
      </c>
      <c r="S47" s="5">
        <f>IF(ROW()&lt;=2+7,"",INDEX(Daily_Input!$F:$F,ROW()-8))</f>
        <v>3846.2012694066034</v>
      </c>
      <c r="T47" s="5">
        <f>IF(ROW()&lt;=2+8,"",INDEX(Daily_Input!$F:$F,ROW()-9))</f>
        <v>7635.1242850645058</v>
      </c>
      <c r="U47" s="5">
        <f>IF(ROW()&lt;=2+9,"",INDEX(Daily_Input!$F:$F,ROW()-10))</f>
        <v>31783.878141474797</v>
      </c>
      <c r="V47" s="5">
        <f>IF(ROW()&lt;=2+10,"",INDEX(Daily_Input!$F:$F,ROW()-11))</f>
        <v>95627.562866258872</v>
      </c>
      <c r="W47" s="5">
        <f>IF(ROW()&lt;=2+11,"",INDEX(Daily_Input!$F:$F,ROW()-12))</f>
        <v>176815.45815023186</v>
      </c>
      <c r="X47" s="5">
        <f>IF(ROW()&lt;=2+12,"",INDEX(Daily_Input!$F:$F,ROW()-13))</f>
        <v>279106.45961991127</v>
      </c>
      <c r="Y47" s="5">
        <f>IF(ROW()&lt;=2+13,"",INDEX(Daily_Input!$F:$F,ROW()-14))</f>
        <v>376449.80174154462</v>
      </c>
      <c r="Z47" s="5">
        <f>IF(ROW()&lt;=4,"",SUM(Daily_Input!I47:I49))</f>
        <v>83.4</v>
      </c>
      <c r="AA47" s="5">
        <f>IF(ROW()&lt;=8,"",SUM(Daily_Input!I47:I53))</f>
        <v>94.8</v>
      </c>
      <c r="AB47" s="5">
        <f>IF(ROW()&lt;=15,"",SUM(Daily_Input!I47:I60))</f>
        <v>216.8</v>
      </c>
      <c r="AC47" s="5">
        <f>IF(ROW()&lt;=4,"",AVERAGE(Daily_Input!F47:F49))</f>
        <v>595791.86500904511</v>
      </c>
      <c r="AD47" s="5">
        <f>IF(ROW()&lt;=8,"",AVERAGE(Daily_Input!F47:F53))</f>
        <v>473112.19122852822</v>
      </c>
      <c r="AE47" s="5">
        <f>IF(ROW()&lt;=8,"",MAX(Daily_Input!F47:F53))</f>
        <v>986251.87556389906</v>
      </c>
      <c r="AF47" s="5">
        <f>IF(ROW()&lt;=2+0,"",INDEX(Daily_Input!$G:$G,ROW()-1))</f>
        <v>15019.2</v>
      </c>
      <c r="AG47" s="5">
        <f>IF(ROW()&lt;=2+0,"",INDEX(Daily_Input!$H:$H,ROW()-1))</f>
        <v>53219.596149999998</v>
      </c>
      <c r="AH47" s="5">
        <f>IF(ROW()&lt;=2+1,"",INDEX(Daily_Input!$G:$G,ROW()-2))</f>
        <v>15019.2</v>
      </c>
      <c r="AI47" s="5">
        <f>IF(ROW()&lt;=2+1,"",INDEX(Daily_Input!$H:$H,ROW()-2))</f>
        <v>14373.71314</v>
      </c>
      <c r="AJ47" s="5">
        <f>IF(ROW()&lt;=2+2,"",INDEX(Daily_Input!$G:$G,ROW()-3))</f>
        <v>15019.2</v>
      </c>
      <c r="AK47" s="5">
        <f>IF(ROW()&lt;=2+2,"",INDEX(Daily_Input!$H:$H,ROW()-3))</f>
        <v>0</v>
      </c>
    </row>
    <row r="48" spans="1:37">
      <c r="A48" s="5">
        <f>Daily_Input!A48</f>
        <v>45885</v>
      </c>
      <c r="B48" s="5">
        <f>Daily_Input!F48</f>
        <v>677241.19359863247</v>
      </c>
      <c r="C48" s="5">
        <f>Daily_Input!D48</f>
        <v>489.69200000000001</v>
      </c>
      <c r="D48" s="5">
        <f>Daily_Input!E48</f>
        <v>1670813.4823932</v>
      </c>
      <c r="E48" s="5">
        <f>IF(ROW()=2,"",Daily_Input!E48-Daily_Input!E47)</f>
        <v>36319.465880900156</v>
      </c>
      <c r="F48" s="5">
        <f>IFERROR(Daily_Input!E48/Config!$B$4,"")</f>
        <v>1.0278995598159937</v>
      </c>
      <c r="G48" s="5">
        <f>Daily_Input!I48</f>
        <v>32.200000000000003</v>
      </c>
      <c r="H48" s="5">
        <f>IF(A48="","",IF(ROW()=2,G48,Config!$B$5*H47+G48))</f>
        <v>175.98914424575582</v>
      </c>
      <c r="I48" s="5">
        <f t="shared" si="0"/>
        <v>228</v>
      </c>
      <c r="J48" s="5">
        <f>IF(I48="","",SIN(2*PI()*I48/Config!$B$6))</f>
        <v>-0.70558361010717741</v>
      </c>
      <c r="K48" s="5">
        <f>IF(I48="","",COS(2*PI()*I48/Config!$B$6))</f>
        <v>-0.70862667826446002</v>
      </c>
      <c r="L48" s="5">
        <f>IF(ROW()&lt;=2+0,"",INDEX(Daily_Input!$F:$F,ROW()-1))</f>
        <v>123882.52586460387</v>
      </c>
      <c r="M48" s="5">
        <f>IF(ROW()&lt;=2+1,"",INDEX(Daily_Input!$F:$F,ROW()-2))</f>
        <v>98688.858359799415</v>
      </c>
      <c r="N48" s="5">
        <f>IF(ROW()&lt;=2+2,"",INDEX(Daily_Input!$F:$F,ROW()-3))</f>
        <v>57986.6924778705</v>
      </c>
      <c r="O48" s="5">
        <f>IF(ROW()&lt;=2+3,"",INDEX(Daily_Input!$F:$F,ROW()-4))</f>
        <v>12894.535813435617</v>
      </c>
      <c r="P48" s="5">
        <f>IF(ROW()&lt;=2+4,"",INDEX(Daily_Input!$F:$F,ROW()-5))</f>
        <v>3947.8923826043183</v>
      </c>
      <c r="Q48" s="5">
        <f>IF(ROW()&lt;=2+5,"",INDEX(Daily_Input!$F:$F,ROW()-6))</f>
        <v>6831.8853462880434</v>
      </c>
      <c r="R48" s="5">
        <f>IF(ROW()&lt;=2+6,"",INDEX(Daily_Input!$F:$F,ROW()-7))</f>
        <v>5801.6363530791823</v>
      </c>
      <c r="S48" s="5">
        <f>IF(ROW()&lt;=2+7,"",INDEX(Daily_Input!$F:$F,ROW()-8))</f>
        <v>6447.4052380911789</v>
      </c>
      <c r="T48" s="5">
        <f>IF(ROW()&lt;=2+8,"",INDEX(Daily_Input!$F:$F,ROW()-9))</f>
        <v>3846.2012694066034</v>
      </c>
      <c r="U48" s="5">
        <f>IF(ROW()&lt;=2+9,"",INDEX(Daily_Input!$F:$F,ROW()-10))</f>
        <v>7635.1242850645058</v>
      </c>
      <c r="V48" s="5">
        <f>IF(ROW()&lt;=2+10,"",INDEX(Daily_Input!$F:$F,ROW()-11))</f>
        <v>31783.878141474797</v>
      </c>
      <c r="W48" s="5">
        <f>IF(ROW()&lt;=2+11,"",INDEX(Daily_Input!$F:$F,ROW()-12))</f>
        <v>95627.562866258872</v>
      </c>
      <c r="X48" s="5">
        <f>IF(ROW()&lt;=2+12,"",INDEX(Daily_Input!$F:$F,ROW()-13))</f>
        <v>176815.45815023186</v>
      </c>
      <c r="Y48" s="5">
        <f>IF(ROW()&lt;=2+13,"",INDEX(Daily_Input!$F:$F,ROW()-14))</f>
        <v>279106.45961991127</v>
      </c>
      <c r="Z48" s="5">
        <f>IF(ROW()&lt;=4,"",SUM(Daily_Input!I48:I50))</f>
        <v>90</v>
      </c>
      <c r="AA48" s="5">
        <f>IF(ROW()&lt;=8,"",SUM(Daily_Input!I48:I54))</f>
        <v>106</v>
      </c>
      <c r="AB48" s="5">
        <f>IF(ROW()&lt;=15,"",SUM(Daily_Input!I48:I61))</f>
        <v>212.80000000000004</v>
      </c>
      <c r="AC48" s="5">
        <f>IF(ROW()&lt;=4,"",AVERAGE(Daily_Input!F48:F50))</f>
        <v>774104.52277293953</v>
      </c>
      <c r="AD48" s="5">
        <f>IF(ROW()&lt;=8,"",AVERAGE(Daily_Input!F48:F54))</f>
        <v>479110.31028436468</v>
      </c>
      <c r="AE48" s="5">
        <f>IF(ROW()&lt;=8,"",MAX(Daily_Input!F48:F54))</f>
        <v>986251.87556389906</v>
      </c>
      <c r="AF48" s="5">
        <f>IF(ROW()&lt;=2+0,"",INDEX(Daily_Input!$G:$G,ROW()-1))</f>
        <v>15019.2</v>
      </c>
      <c r="AG48" s="5">
        <f>IF(ROW()&lt;=2+0,"",INDEX(Daily_Input!$H:$H,ROW()-1))</f>
        <v>118257.8576</v>
      </c>
      <c r="AH48" s="5">
        <f>IF(ROW()&lt;=2+1,"",INDEX(Daily_Input!$G:$G,ROW()-2))</f>
        <v>15019.2</v>
      </c>
      <c r="AI48" s="5">
        <f>IF(ROW()&lt;=2+1,"",INDEX(Daily_Input!$H:$H,ROW()-2))</f>
        <v>53219.596149999998</v>
      </c>
      <c r="AJ48" s="5">
        <f>IF(ROW()&lt;=2+2,"",INDEX(Daily_Input!$G:$G,ROW()-3))</f>
        <v>15019.2</v>
      </c>
      <c r="AK48" s="5">
        <f>IF(ROW()&lt;=2+2,"",INDEX(Daily_Input!$H:$H,ROW()-3))</f>
        <v>14373.71314</v>
      </c>
    </row>
    <row r="49" spans="1:37">
      <c r="A49" s="5">
        <f>Daily_Input!A49</f>
        <v>45886</v>
      </c>
      <c r="B49" s="5">
        <f>Daily_Input!F49</f>
        <v>986251.87556389906</v>
      </c>
      <c r="C49" s="5">
        <f>Daily_Input!D49</f>
        <v>489.88</v>
      </c>
      <c r="D49" s="5">
        <f>Daily_Input!E49</f>
        <v>1728897.6614808999</v>
      </c>
      <c r="E49" s="5">
        <f>IF(ROW()=2,"",Daily_Input!E49-Daily_Input!E48)</f>
        <v>58084.179087699857</v>
      </c>
      <c r="F49" s="5">
        <f>IFERROR(Daily_Input!E49/Config!$B$4,"")</f>
        <v>1.0636334719167038</v>
      </c>
      <c r="G49" s="5">
        <f>Daily_Input!I49</f>
        <v>47.2</v>
      </c>
      <c r="H49" s="5">
        <f>IF(A49="","",IF(ROW()=2,G49,Config!$B$5*H48+G49))</f>
        <v>214.38968703346802</v>
      </c>
      <c r="I49" s="5">
        <f t="shared" si="0"/>
        <v>229</v>
      </c>
      <c r="J49" s="5">
        <f>IF(I49="","",SIN(2*PI()*I49/Config!$B$6))</f>
        <v>-0.71767691367596154</v>
      </c>
      <c r="K49" s="5">
        <f>IF(I49="","",COS(2*PI()*I49/Config!$B$6))</f>
        <v>-0.69637622559687262</v>
      </c>
      <c r="L49" s="5">
        <f>IF(ROW()&lt;=2+0,"",INDEX(Daily_Input!$F:$F,ROW()-1))</f>
        <v>677241.19359863247</v>
      </c>
      <c r="M49" s="5">
        <f>IF(ROW()&lt;=2+1,"",INDEX(Daily_Input!$F:$F,ROW()-2))</f>
        <v>123882.52586460387</v>
      </c>
      <c r="N49" s="5">
        <f>IF(ROW()&lt;=2+2,"",INDEX(Daily_Input!$F:$F,ROW()-3))</f>
        <v>98688.858359799415</v>
      </c>
      <c r="O49" s="5">
        <f>IF(ROW()&lt;=2+3,"",INDEX(Daily_Input!$F:$F,ROW()-4))</f>
        <v>57986.6924778705</v>
      </c>
      <c r="P49" s="5">
        <f>IF(ROW()&lt;=2+4,"",INDEX(Daily_Input!$F:$F,ROW()-5))</f>
        <v>12894.535813435617</v>
      </c>
      <c r="Q49" s="5">
        <f>IF(ROW()&lt;=2+5,"",INDEX(Daily_Input!$F:$F,ROW()-6))</f>
        <v>3947.8923826043183</v>
      </c>
      <c r="R49" s="5">
        <f>IF(ROW()&lt;=2+6,"",INDEX(Daily_Input!$F:$F,ROW()-7))</f>
        <v>6831.8853462880434</v>
      </c>
      <c r="S49" s="5">
        <f>IF(ROW()&lt;=2+7,"",INDEX(Daily_Input!$F:$F,ROW()-8))</f>
        <v>5801.6363530791823</v>
      </c>
      <c r="T49" s="5">
        <f>IF(ROW()&lt;=2+8,"",INDEX(Daily_Input!$F:$F,ROW()-9))</f>
        <v>6447.4052380911789</v>
      </c>
      <c r="U49" s="5">
        <f>IF(ROW()&lt;=2+9,"",INDEX(Daily_Input!$F:$F,ROW()-10))</f>
        <v>3846.2012694066034</v>
      </c>
      <c r="V49" s="5">
        <f>IF(ROW()&lt;=2+10,"",INDEX(Daily_Input!$F:$F,ROW()-11))</f>
        <v>7635.1242850645058</v>
      </c>
      <c r="W49" s="5">
        <f>IF(ROW()&lt;=2+11,"",INDEX(Daily_Input!$F:$F,ROW()-12))</f>
        <v>31783.878141474797</v>
      </c>
      <c r="X49" s="5">
        <f>IF(ROW()&lt;=2+12,"",INDEX(Daily_Input!$F:$F,ROW()-13))</f>
        <v>95627.562866258872</v>
      </c>
      <c r="Y49" s="5">
        <f>IF(ROW()&lt;=2+13,"",INDEX(Daily_Input!$F:$F,ROW()-14))</f>
        <v>176815.45815023186</v>
      </c>
      <c r="Z49" s="5">
        <f>IF(ROW()&lt;=4,"",SUM(Daily_Input!I49:I51))</f>
        <v>57.800000000000004</v>
      </c>
      <c r="AA49" s="5">
        <f>IF(ROW()&lt;=8,"",SUM(Daily_Input!I49:I55))</f>
        <v>87.2</v>
      </c>
      <c r="AB49" s="5">
        <f>IF(ROW()&lt;=15,"",SUM(Daily_Input!I49:I62))</f>
        <v>180.6</v>
      </c>
      <c r="AC49" s="5">
        <f>IF(ROW()&lt;=4,"",AVERAGE(Daily_Input!F49:F51))</f>
        <v>685770.46219987562</v>
      </c>
      <c r="AD49" s="5">
        <f>IF(ROW()&lt;=8,"",AVERAGE(Daily_Input!F49:F55))</f>
        <v>407758.457420839</v>
      </c>
      <c r="AE49" s="5">
        <f>IF(ROW()&lt;=8,"",MAX(Daily_Input!F49:F55))</f>
        <v>986251.87556389906</v>
      </c>
      <c r="AF49" s="5">
        <f>IF(ROW()&lt;=2+0,"",INDEX(Daily_Input!$G:$G,ROW()-1))</f>
        <v>15019.2</v>
      </c>
      <c r="AG49" s="5">
        <f>IF(ROW()&lt;=2+0,"",INDEX(Daily_Input!$H:$H,ROW()-1))</f>
        <v>634821.46479999996</v>
      </c>
      <c r="AH49" s="5">
        <f>IF(ROW()&lt;=2+1,"",INDEX(Daily_Input!$G:$G,ROW()-2))</f>
        <v>15019.2</v>
      </c>
      <c r="AI49" s="5">
        <f>IF(ROW()&lt;=2+1,"",INDEX(Daily_Input!$H:$H,ROW()-2))</f>
        <v>118257.8576</v>
      </c>
      <c r="AJ49" s="5">
        <f>IF(ROW()&lt;=2+2,"",INDEX(Daily_Input!$G:$G,ROW()-3))</f>
        <v>15019.2</v>
      </c>
      <c r="AK49" s="5">
        <f>IF(ROW()&lt;=2+2,"",INDEX(Daily_Input!$H:$H,ROW()-3))</f>
        <v>53219.596149999998</v>
      </c>
    </row>
    <row r="50" spans="1:37">
      <c r="A50" s="5">
        <f>Daily_Input!A50</f>
        <v>45887</v>
      </c>
      <c r="B50" s="5">
        <f>Daily_Input!F50</f>
        <v>658820.49915628741</v>
      </c>
      <c r="C50" s="5">
        <f>Daily_Input!D50</f>
        <v>489.83300000000003</v>
      </c>
      <c r="D50" s="5">
        <f>Daily_Input!E50</f>
        <v>1713524.2337388999</v>
      </c>
      <c r="E50" s="5">
        <f>IF(ROW()=2,"",Daily_Input!E50-Daily_Input!E49)</f>
        <v>-15373.427741999971</v>
      </c>
      <c r="F50" s="5">
        <f>IFERROR(Daily_Input!E50/Config!$B$4,"")</f>
        <v>1.0541756001821339</v>
      </c>
      <c r="G50" s="5">
        <f>Daily_Input!I50</f>
        <v>10.6</v>
      </c>
      <c r="H50" s="5">
        <f>IF(A50="","",IF(ROW()=2,G50,Config!$B$5*H49+G50))</f>
        <v>214.27020268179461</v>
      </c>
      <c r="I50" s="5">
        <f t="shared" si="0"/>
        <v>230</v>
      </c>
      <c r="J50" s="5">
        <f>IF(I50="","",SIN(2*PI()*I50/Config!$B$6))</f>
        <v>-0.72955755408648759</v>
      </c>
      <c r="K50" s="5">
        <f>IF(I50="","",COS(2*PI()*I50/Config!$B$6))</f>
        <v>-0.6839194216246105</v>
      </c>
      <c r="L50" s="5">
        <f>IF(ROW()&lt;=2+0,"",INDEX(Daily_Input!$F:$F,ROW()-1))</f>
        <v>986251.87556389906</v>
      </c>
      <c r="M50" s="5">
        <f>IF(ROW()&lt;=2+1,"",INDEX(Daily_Input!$F:$F,ROW()-2))</f>
        <v>677241.19359863247</v>
      </c>
      <c r="N50" s="5">
        <f>IF(ROW()&lt;=2+2,"",INDEX(Daily_Input!$F:$F,ROW()-3))</f>
        <v>123882.52586460387</v>
      </c>
      <c r="O50" s="5">
        <f>IF(ROW()&lt;=2+3,"",INDEX(Daily_Input!$F:$F,ROW()-4))</f>
        <v>98688.858359799415</v>
      </c>
      <c r="P50" s="5">
        <f>IF(ROW()&lt;=2+4,"",INDEX(Daily_Input!$F:$F,ROW()-5))</f>
        <v>57986.6924778705</v>
      </c>
      <c r="Q50" s="5">
        <f>IF(ROW()&lt;=2+5,"",INDEX(Daily_Input!$F:$F,ROW()-6))</f>
        <v>12894.535813435617</v>
      </c>
      <c r="R50" s="5">
        <f>IF(ROW()&lt;=2+6,"",INDEX(Daily_Input!$F:$F,ROW()-7))</f>
        <v>3947.8923826043183</v>
      </c>
      <c r="S50" s="5">
        <f>IF(ROW()&lt;=2+7,"",INDEX(Daily_Input!$F:$F,ROW()-8))</f>
        <v>6831.8853462880434</v>
      </c>
      <c r="T50" s="5">
        <f>IF(ROW()&lt;=2+8,"",INDEX(Daily_Input!$F:$F,ROW()-9))</f>
        <v>5801.6363530791823</v>
      </c>
      <c r="U50" s="5">
        <f>IF(ROW()&lt;=2+9,"",INDEX(Daily_Input!$F:$F,ROW()-10))</f>
        <v>6447.4052380911789</v>
      </c>
      <c r="V50" s="5">
        <f>IF(ROW()&lt;=2+10,"",INDEX(Daily_Input!$F:$F,ROW()-11))</f>
        <v>3846.2012694066034</v>
      </c>
      <c r="W50" s="5">
        <f>IF(ROW()&lt;=2+11,"",INDEX(Daily_Input!$F:$F,ROW()-12))</f>
        <v>7635.1242850645058</v>
      </c>
      <c r="X50" s="5">
        <f>IF(ROW()&lt;=2+12,"",INDEX(Daily_Input!$F:$F,ROW()-13))</f>
        <v>31783.878141474797</v>
      </c>
      <c r="Y50" s="5">
        <f>IF(ROW()&lt;=2+13,"",INDEX(Daily_Input!$F:$F,ROW()-14))</f>
        <v>95627.562866258872</v>
      </c>
      <c r="Z50" s="5">
        <f>IF(ROW()&lt;=4,"",SUM(Daily_Input!I50:I52))</f>
        <v>11.4</v>
      </c>
      <c r="AA50" s="5">
        <f>IF(ROW()&lt;=8,"",SUM(Daily_Input!I50:I56))</f>
        <v>47.2</v>
      </c>
      <c r="AB50" s="5">
        <f>IF(ROW()&lt;=15,"",SUM(Daily_Input!I50:I63))</f>
        <v>146.80000000000001</v>
      </c>
      <c r="AC50" s="5">
        <f>IF(ROW()&lt;=4,"",AVERAGE(Daily_Input!F50:F52))</f>
        <v>447929.2525407768</v>
      </c>
      <c r="AD50" s="5">
        <f>IF(ROW()&lt;=8,"",AVERAGE(Daily_Input!F50:F56))</f>
        <v>315037.67667821533</v>
      </c>
      <c r="AE50" s="5">
        <f>IF(ROW()&lt;=8,"",MAX(Daily_Input!F50:F56))</f>
        <v>658820.49915628741</v>
      </c>
      <c r="AF50" s="5">
        <f>IF(ROW()&lt;=2+0,"",INDEX(Daily_Input!$G:$G,ROW()-1))</f>
        <v>15019.2</v>
      </c>
      <c r="AG50" s="5">
        <f>IF(ROW()&lt;=2+0,"",INDEX(Daily_Input!$H:$H,ROW()-1))</f>
        <v>926807.14509999997</v>
      </c>
      <c r="AH50" s="5">
        <f>IF(ROW()&lt;=2+1,"",INDEX(Daily_Input!$G:$G,ROW()-2))</f>
        <v>15019.2</v>
      </c>
      <c r="AI50" s="5">
        <f>IF(ROW()&lt;=2+1,"",INDEX(Daily_Input!$H:$H,ROW()-2))</f>
        <v>634821.46479999996</v>
      </c>
      <c r="AJ50" s="5">
        <f>IF(ROW()&lt;=2+2,"",INDEX(Daily_Input!$G:$G,ROW()-3))</f>
        <v>15019.2</v>
      </c>
      <c r="AK50" s="5">
        <f>IF(ROW()&lt;=2+2,"",INDEX(Daily_Input!$H:$H,ROW()-3))</f>
        <v>118257.8576</v>
      </c>
    </row>
    <row r="51" spans="1:37">
      <c r="A51" s="5">
        <f>Daily_Input!A51</f>
        <v>45888</v>
      </c>
      <c r="B51" s="5">
        <f>Daily_Input!F51</f>
        <v>412239.01187944028</v>
      </c>
      <c r="C51" s="5">
        <f>Daily_Input!D51</f>
        <v>489.75700000000001</v>
      </c>
      <c r="D51" s="5">
        <f>Daily_Input!E51</f>
        <v>1689066.0691295001</v>
      </c>
      <c r="E51" s="5">
        <f>IF(ROW()=2,"",Daily_Input!E51-Daily_Input!E50)</f>
        <v>-24458.164609399857</v>
      </c>
      <c r="F51" s="5">
        <f>IFERROR(Daily_Input!E51/Config!$B$4,"")</f>
        <v>1.0391287161936835</v>
      </c>
      <c r="G51" s="5">
        <f>Daily_Input!I51</f>
        <v>0</v>
      </c>
      <c r="H51" s="5">
        <f>IF(A51="","",IF(ROW()=2,G51,Config!$B$5*H50+G51))</f>
        <v>203.55669254770487</v>
      </c>
      <c r="I51" s="5">
        <f t="shared" si="0"/>
        <v>231</v>
      </c>
      <c r="J51" s="5">
        <f>IF(I51="","",SIN(2*PI()*I51/Config!$B$6))</f>
        <v>-0.74122201084859574</v>
      </c>
      <c r="K51" s="5">
        <f>IF(I51="","",COS(2*PI()*I51/Config!$B$6))</f>
        <v>-0.67125995756753154</v>
      </c>
      <c r="L51" s="5">
        <f>IF(ROW()&lt;=2+0,"",INDEX(Daily_Input!$F:$F,ROW()-1))</f>
        <v>658820.49915628741</v>
      </c>
      <c r="M51" s="5">
        <f>IF(ROW()&lt;=2+1,"",INDEX(Daily_Input!$F:$F,ROW()-2))</f>
        <v>986251.87556389906</v>
      </c>
      <c r="N51" s="5">
        <f>IF(ROW()&lt;=2+2,"",INDEX(Daily_Input!$F:$F,ROW()-3))</f>
        <v>677241.19359863247</v>
      </c>
      <c r="O51" s="5">
        <f>IF(ROW()&lt;=2+3,"",INDEX(Daily_Input!$F:$F,ROW()-4))</f>
        <v>123882.52586460387</v>
      </c>
      <c r="P51" s="5">
        <f>IF(ROW()&lt;=2+4,"",INDEX(Daily_Input!$F:$F,ROW()-5))</f>
        <v>98688.858359799415</v>
      </c>
      <c r="Q51" s="5">
        <f>IF(ROW()&lt;=2+5,"",INDEX(Daily_Input!$F:$F,ROW()-6))</f>
        <v>57986.6924778705</v>
      </c>
      <c r="R51" s="5">
        <f>IF(ROW()&lt;=2+6,"",INDEX(Daily_Input!$F:$F,ROW()-7))</f>
        <v>12894.535813435617</v>
      </c>
      <c r="S51" s="5">
        <f>IF(ROW()&lt;=2+7,"",INDEX(Daily_Input!$F:$F,ROW()-8))</f>
        <v>3947.8923826043183</v>
      </c>
      <c r="T51" s="5">
        <f>IF(ROW()&lt;=2+8,"",INDEX(Daily_Input!$F:$F,ROW()-9))</f>
        <v>6831.8853462880434</v>
      </c>
      <c r="U51" s="5">
        <f>IF(ROW()&lt;=2+9,"",INDEX(Daily_Input!$F:$F,ROW()-10))</f>
        <v>5801.6363530791823</v>
      </c>
      <c r="V51" s="5">
        <f>IF(ROW()&lt;=2+10,"",INDEX(Daily_Input!$F:$F,ROW()-11))</f>
        <v>6447.4052380911789</v>
      </c>
      <c r="W51" s="5">
        <f>IF(ROW()&lt;=2+11,"",INDEX(Daily_Input!$F:$F,ROW()-12))</f>
        <v>3846.2012694066034</v>
      </c>
      <c r="X51" s="5">
        <f>IF(ROW()&lt;=2+12,"",INDEX(Daily_Input!$F:$F,ROW()-13))</f>
        <v>7635.1242850645058</v>
      </c>
      <c r="Y51" s="5">
        <f>IF(ROW()&lt;=2+13,"",INDEX(Daily_Input!$F:$F,ROW()-14))</f>
        <v>31783.878141474797</v>
      </c>
      <c r="Z51" s="5">
        <f>IF(ROW()&lt;=4,"",SUM(Daily_Input!I51:I53))</f>
        <v>0.8</v>
      </c>
      <c r="AA51" s="5">
        <f>IF(ROW()&lt;=8,"",SUM(Daily_Input!I51:I57))</f>
        <v>50.6</v>
      </c>
      <c r="AB51" s="5">
        <f>IF(ROW()&lt;=15,"",SUM(Daily_Input!I51:I64))</f>
        <v>140.00000000000003</v>
      </c>
      <c r="AC51" s="5">
        <f>IF(ROW()&lt;=4,"",AVERAGE(Daily_Input!F51:F53))</f>
        <v>288529.74813875818</v>
      </c>
      <c r="AD51" s="5">
        <f>IF(ROW()&lt;=8,"",AVERAGE(Daily_Input!F51:F57))</f>
        <v>251707.6180353802</v>
      </c>
      <c r="AE51" s="5">
        <f>IF(ROW()&lt;=8,"",MAX(Daily_Input!F51:F57))</f>
        <v>412239.01187944028</v>
      </c>
      <c r="AF51" s="5">
        <f>IF(ROW()&lt;=2+0,"",INDEX(Daily_Input!$G:$G,ROW()-1))</f>
        <v>15019.2</v>
      </c>
      <c r="AG51" s="5">
        <f>IF(ROW()&lt;=2+0,"",INDEX(Daily_Input!$H:$H,ROW()-1))</f>
        <v>661558.46109999996</v>
      </c>
      <c r="AH51" s="5">
        <f>IF(ROW()&lt;=2+1,"",INDEX(Daily_Input!$G:$G,ROW()-2))</f>
        <v>15019.2</v>
      </c>
      <c r="AI51" s="5">
        <f>IF(ROW()&lt;=2+1,"",INDEX(Daily_Input!$H:$H,ROW()-2))</f>
        <v>926807.14509999997</v>
      </c>
      <c r="AJ51" s="5">
        <f>IF(ROW()&lt;=2+2,"",INDEX(Daily_Input!$G:$G,ROW()-3))</f>
        <v>15019.2</v>
      </c>
      <c r="AK51" s="5">
        <f>IF(ROW()&lt;=2+2,"",INDEX(Daily_Input!$H:$H,ROW()-3))</f>
        <v>634821.46479999996</v>
      </c>
    </row>
    <row r="52" spans="1:37">
      <c r="A52" s="5">
        <f>Daily_Input!A52</f>
        <v>45889</v>
      </c>
      <c r="B52" s="5">
        <f>Daily_Input!F52</f>
        <v>272728.24658660253</v>
      </c>
      <c r="C52" s="5">
        <f>Daily_Input!D52</f>
        <v>489.70499999999998</v>
      </c>
      <c r="D52" s="5">
        <f>Daily_Input!E52</f>
        <v>1673851.7406957999</v>
      </c>
      <c r="E52" s="5">
        <f>IF(ROW()=2,"",Daily_Input!E52-Daily_Input!E51)</f>
        <v>-15214.328433700139</v>
      </c>
      <c r="F52" s="5">
        <f>IFERROR(Daily_Input!E52/Config!$B$4,"")</f>
        <v>1.0297687237919608</v>
      </c>
      <c r="G52" s="5">
        <f>Daily_Input!I52</f>
        <v>0.8</v>
      </c>
      <c r="H52" s="5">
        <f>IF(A52="","",IF(ROW()=2,G52,Config!$B$5*H51+G52))</f>
        <v>194.17885792031962</v>
      </c>
      <c r="I52" s="5">
        <f t="shared" si="0"/>
        <v>232</v>
      </c>
      <c r="J52" s="5">
        <f>IF(I52="","",SIN(2*PI()*I52/Config!$B$6))</f>
        <v>-0.75266682753200831</v>
      </c>
      <c r="K52" s="5">
        <f>IF(I52="","",COS(2*PI()*I52/Config!$B$6))</f>
        <v>-0.65840158469804888</v>
      </c>
      <c r="L52" s="5">
        <f>IF(ROW()&lt;=2+0,"",INDEX(Daily_Input!$F:$F,ROW()-1))</f>
        <v>412239.01187944028</v>
      </c>
      <c r="M52" s="5">
        <f>IF(ROW()&lt;=2+1,"",INDEX(Daily_Input!$F:$F,ROW()-2))</f>
        <v>658820.49915628741</v>
      </c>
      <c r="N52" s="5">
        <f>IF(ROW()&lt;=2+2,"",INDEX(Daily_Input!$F:$F,ROW()-3))</f>
        <v>986251.87556389906</v>
      </c>
      <c r="O52" s="5">
        <f>IF(ROW()&lt;=2+3,"",INDEX(Daily_Input!$F:$F,ROW()-4))</f>
        <v>677241.19359863247</v>
      </c>
      <c r="P52" s="5">
        <f>IF(ROW()&lt;=2+4,"",INDEX(Daily_Input!$F:$F,ROW()-5))</f>
        <v>123882.52586460387</v>
      </c>
      <c r="Q52" s="5">
        <f>IF(ROW()&lt;=2+5,"",INDEX(Daily_Input!$F:$F,ROW()-6))</f>
        <v>98688.858359799415</v>
      </c>
      <c r="R52" s="5">
        <f>IF(ROW()&lt;=2+6,"",INDEX(Daily_Input!$F:$F,ROW()-7))</f>
        <v>57986.6924778705</v>
      </c>
      <c r="S52" s="5">
        <f>IF(ROW()&lt;=2+7,"",INDEX(Daily_Input!$F:$F,ROW()-8))</f>
        <v>12894.535813435617</v>
      </c>
      <c r="T52" s="5">
        <f>IF(ROW()&lt;=2+8,"",INDEX(Daily_Input!$F:$F,ROW()-9))</f>
        <v>3947.8923826043183</v>
      </c>
      <c r="U52" s="5">
        <f>IF(ROW()&lt;=2+9,"",INDEX(Daily_Input!$F:$F,ROW()-10))</f>
        <v>6831.8853462880434</v>
      </c>
      <c r="V52" s="5">
        <f>IF(ROW()&lt;=2+10,"",INDEX(Daily_Input!$F:$F,ROW()-11))</f>
        <v>5801.6363530791823</v>
      </c>
      <c r="W52" s="5">
        <f>IF(ROW()&lt;=2+11,"",INDEX(Daily_Input!$F:$F,ROW()-12))</f>
        <v>6447.4052380911789</v>
      </c>
      <c r="X52" s="5">
        <f>IF(ROW()&lt;=2+12,"",INDEX(Daily_Input!$F:$F,ROW()-13))</f>
        <v>3846.2012694066034</v>
      </c>
      <c r="Y52" s="5">
        <f>IF(ROW()&lt;=2+13,"",INDEX(Daily_Input!$F:$F,ROW()-14))</f>
        <v>7635.1242850645058</v>
      </c>
      <c r="Z52" s="5">
        <f>IF(ROW()&lt;=4,"",SUM(Daily_Input!I52:I54))</f>
        <v>16</v>
      </c>
      <c r="AA52" s="5">
        <f>IF(ROW()&lt;=8,"",SUM(Daily_Input!I52:I58))</f>
        <v>63.400000000000006</v>
      </c>
      <c r="AB52" s="5">
        <f>IF(ROW()&lt;=15,"",SUM(Daily_Input!I52:I65))</f>
        <v>141.40000000000003</v>
      </c>
      <c r="AC52" s="5">
        <f>IF(ROW()&lt;=4,"",AVERAGE(Daily_Input!F52:F54))</f>
        <v>206406.53059743121</v>
      </c>
      <c r="AD52" s="5">
        <f>IF(ROW()&lt;=8,"",AVERAGE(Daily_Input!F52:F58))</f>
        <v>226705.36618703816</v>
      </c>
      <c r="AE52" s="5">
        <f>IF(ROW()&lt;=8,"",MAX(Daily_Input!F52:F58))</f>
        <v>337206.41036553407</v>
      </c>
      <c r="AF52" s="5">
        <f>IF(ROW()&lt;=2+0,"",INDEX(Daily_Input!$G:$G,ROW()-1))</f>
        <v>15019.2</v>
      </c>
      <c r="AG52" s="5">
        <f>IF(ROW()&lt;=2+0,"",INDEX(Daily_Input!$H:$H,ROW()-1))</f>
        <v>420813.59080000001</v>
      </c>
      <c r="AH52" s="5">
        <f>IF(ROW()&lt;=2+1,"",INDEX(Daily_Input!$G:$G,ROW()-2))</f>
        <v>15019.2</v>
      </c>
      <c r="AI52" s="5">
        <f>IF(ROW()&lt;=2+1,"",INDEX(Daily_Input!$H:$H,ROW()-2))</f>
        <v>661558.46109999996</v>
      </c>
      <c r="AJ52" s="5">
        <f>IF(ROW()&lt;=2+2,"",INDEX(Daily_Input!$G:$G,ROW()-3))</f>
        <v>15019.2</v>
      </c>
      <c r="AK52" s="5">
        <f>IF(ROW()&lt;=2+2,"",INDEX(Daily_Input!$H:$H,ROW()-3))</f>
        <v>926807.14509999997</v>
      </c>
    </row>
    <row r="53" spans="1:37">
      <c r="A53" s="5">
        <f>Daily_Input!A53</f>
        <v>45890</v>
      </c>
      <c r="B53" s="5">
        <f>Daily_Input!F53</f>
        <v>180621.98595023184</v>
      </c>
      <c r="C53" s="5">
        <f>Daily_Input!D53</f>
        <v>489.666</v>
      </c>
      <c r="D53" s="5">
        <f>Daily_Input!E53</f>
        <v>1661708.0167959</v>
      </c>
      <c r="E53" s="5">
        <f>IF(ROW()=2,"",Daily_Input!E53-Daily_Input!E52)</f>
        <v>-12143.723899899982</v>
      </c>
      <c r="F53" s="5">
        <f>IFERROR(Daily_Input!E53/Config!$B$4,"")</f>
        <v>1.0222977950600747</v>
      </c>
      <c r="G53" s="5">
        <f>Daily_Input!I53</f>
        <v>0</v>
      </c>
      <c r="H53" s="5">
        <f>IF(A53="","",IF(ROW()=2,G53,Config!$B$5*H52+G53))</f>
        <v>184.46991502430362</v>
      </c>
      <c r="I53" s="5">
        <f t="shared" si="0"/>
        <v>233</v>
      </c>
      <c r="J53" s="5">
        <f>IF(I53="","",SIN(2*PI()*I53/Config!$B$6))</f>
        <v>-0.76388861279054288</v>
      </c>
      <c r="K53" s="5">
        <f>IF(I53="","",COS(2*PI()*I53/Config!$B$6))</f>
        <v>-0.64534811322954999</v>
      </c>
      <c r="L53" s="5">
        <f>IF(ROW()&lt;=2+0,"",INDEX(Daily_Input!$F:$F,ROW()-1))</f>
        <v>272728.24658660253</v>
      </c>
      <c r="M53" s="5">
        <f>IF(ROW()&lt;=2+1,"",INDEX(Daily_Input!$F:$F,ROW()-2))</f>
        <v>412239.01187944028</v>
      </c>
      <c r="N53" s="5">
        <f>IF(ROW()&lt;=2+2,"",INDEX(Daily_Input!$F:$F,ROW()-3))</f>
        <v>658820.49915628741</v>
      </c>
      <c r="O53" s="5">
        <f>IF(ROW()&lt;=2+3,"",INDEX(Daily_Input!$F:$F,ROW()-4))</f>
        <v>986251.87556389906</v>
      </c>
      <c r="P53" s="5">
        <f>IF(ROW()&lt;=2+4,"",INDEX(Daily_Input!$F:$F,ROW()-5))</f>
        <v>677241.19359863247</v>
      </c>
      <c r="Q53" s="5">
        <f>IF(ROW()&lt;=2+5,"",INDEX(Daily_Input!$F:$F,ROW()-6))</f>
        <v>123882.52586460387</v>
      </c>
      <c r="R53" s="5">
        <f>IF(ROW()&lt;=2+6,"",INDEX(Daily_Input!$F:$F,ROW()-7))</f>
        <v>98688.858359799415</v>
      </c>
      <c r="S53" s="5">
        <f>IF(ROW()&lt;=2+7,"",INDEX(Daily_Input!$F:$F,ROW()-8))</f>
        <v>57986.6924778705</v>
      </c>
      <c r="T53" s="5">
        <f>IF(ROW()&lt;=2+8,"",INDEX(Daily_Input!$F:$F,ROW()-9))</f>
        <v>12894.535813435617</v>
      </c>
      <c r="U53" s="5">
        <f>IF(ROW()&lt;=2+9,"",INDEX(Daily_Input!$F:$F,ROW()-10))</f>
        <v>3947.8923826043183</v>
      </c>
      <c r="V53" s="5">
        <f>IF(ROW()&lt;=2+10,"",INDEX(Daily_Input!$F:$F,ROW()-11))</f>
        <v>6831.8853462880434</v>
      </c>
      <c r="W53" s="5">
        <f>IF(ROW()&lt;=2+11,"",INDEX(Daily_Input!$F:$F,ROW()-12))</f>
        <v>5801.6363530791823</v>
      </c>
      <c r="X53" s="5">
        <f>IF(ROW()&lt;=2+12,"",INDEX(Daily_Input!$F:$F,ROW()-13))</f>
        <v>6447.4052380911789</v>
      </c>
      <c r="Y53" s="5">
        <f>IF(ROW()&lt;=2+13,"",INDEX(Daily_Input!$F:$F,ROW()-14))</f>
        <v>3846.2012694066034</v>
      </c>
      <c r="Z53" s="5">
        <f>IF(ROW()&lt;=4,"",SUM(Daily_Input!I53:I55))</f>
        <v>28.6</v>
      </c>
      <c r="AA53" s="5">
        <f>IF(ROW()&lt;=8,"",SUM(Daily_Input!I53:I59))</f>
        <v>99</v>
      </c>
      <c r="AB53" s="5">
        <f>IF(ROW()&lt;=15,"",SUM(Daily_Input!I53:I66))</f>
        <v>143.80000000000001</v>
      </c>
      <c r="AC53" s="5">
        <f>IF(ROW()&lt;=4,"",AVERAGE(Daily_Input!F53:F55))</f>
        <v>174756.52291988107</v>
      </c>
      <c r="AD53" s="5">
        <f>IF(ROW()&lt;=8,"",AVERAGE(Daily_Input!F53:F59))</f>
        <v>321006.56978920911</v>
      </c>
      <c r="AE53" s="5">
        <f>IF(ROW()&lt;=8,"",MAX(Daily_Input!F53:F59))</f>
        <v>932836.67180179933</v>
      </c>
      <c r="AF53" s="5">
        <f>IF(ROW()&lt;=2+0,"",INDEX(Daily_Input!$G:$G,ROW()-1))</f>
        <v>15019.2</v>
      </c>
      <c r="AG53" s="5">
        <f>IF(ROW()&lt;=2+0,"",INDEX(Daily_Input!$H:$H,ROW()-1))</f>
        <v>272304.3187</v>
      </c>
      <c r="AH53" s="5">
        <f>IF(ROW()&lt;=2+1,"",INDEX(Daily_Input!$G:$G,ROW()-2))</f>
        <v>15019.2</v>
      </c>
      <c r="AI53" s="5">
        <f>IF(ROW()&lt;=2+1,"",INDEX(Daily_Input!$H:$H,ROW()-2))</f>
        <v>420813.59080000001</v>
      </c>
      <c r="AJ53" s="5">
        <f>IF(ROW()&lt;=2+2,"",INDEX(Daily_Input!$G:$G,ROW()-3))</f>
        <v>15019.2</v>
      </c>
      <c r="AK53" s="5">
        <f>IF(ROW()&lt;=2+2,"",INDEX(Daily_Input!$H:$H,ROW()-3))</f>
        <v>661558.46109999996</v>
      </c>
    </row>
    <row r="54" spans="1:37">
      <c r="A54" s="5">
        <f>Daily_Input!A54</f>
        <v>45891</v>
      </c>
      <c r="B54" s="5">
        <f>Daily_Input!F54</f>
        <v>165869.35925545922</v>
      </c>
      <c r="C54" s="5">
        <f>Daily_Input!D54</f>
        <v>489.654</v>
      </c>
      <c r="D54" s="5">
        <f>Daily_Input!E54</f>
        <v>1658675.7961466999</v>
      </c>
      <c r="E54" s="5">
        <f>IF(ROW()=2,"",Daily_Input!E54-Daily_Input!E53)</f>
        <v>-3032.2206492000259</v>
      </c>
      <c r="F54" s="5">
        <f>IFERROR(Daily_Input!E54/Config!$B$4,"")</f>
        <v>1.0204323455030642</v>
      </c>
      <c r="G54" s="5">
        <f>Daily_Input!I54</f>
        <v>15.2</v>
      </c>
      <c r="H54" s="5">
        <f>IF(A54="","",IF(ROW()=2,G54,Config!$B$5*H53+G54))</f>
        <v>190.44641927308842</v>
      </c>
      <c r="I54" s="5">
        <f t="shared" si="0"/>
        <v>234</v>
      </c>
      <c r="J54" s="5">
        <f>IF(I54="","",SIN(2*PI()*I54/Config!$B$6))</f>
        <v>-0.77488404136704059</v>
      </c>
      <c r="K54" s="5">
        <f>IF(I54="","",COS(2*PI()*I54/Config!$B$6))</f>
        <v>-0.63210341118734881</v>
      </c>
      <c r="L54" s="5">
        <f>IF(ROW()&lt;=2+0,"",INDEX(Daily_Input!$F:$F,ROW()-1))</f>
        <v>180621.98595023184</v>
      </c>
      <c r="M54" s="5">
        <f>IF(ROW()&lt;=2+1,"",INDEX(Daily_Input!$F:$F,ROW()-2))</f>
        <v>272728.24658660253</v>
      </c>
      <c r="N54" s="5">
        <f>IF(ROW()&lt;=2+2,"",INDEX(Daily_Input!$F:$F,ROW()-3))</f>
        <v>412239.01187944028</v>
      </c>
      <c r="O54" s="5">
        <f>IF(ROW()&lt;=2+3,"",INDEX(Daily_Input!$F:$F,ROW()-4))</f>
        <v>658820.49915628741</v>
      </c>
      <c r="P54" s="5">
        <f>IF(ROW()&lt;=2+4,"",INDEX(Daily_Input!$F:$F,ROW()-5))</f>
        <v>986251.87556389906</v>
      </c>
      <c r="Q54" s="5">
        <f>IF(ROW()&lt;=2+5,"",INDEX(Daily_Input!$F:$F,ROW()-6))</f>
        <v>677241.19359863247</v>
      </c>
      <c r="R54" s="5">
        <f>IF(ROW()&lt;=2+6,"",INDEX(Daily_Input!$F:$F,ROW()-7))</f>
        <v>123882.52586460387</v>
      </c>
      <c r="S54" s="5">
        <f>IF(ROW()&lt;=2+7,"",INDEX(Daily_Input!$F:$F,ROW()-8))</f>
        <v>98688.858359799415</v>
      </c>
      <c r="T54" s="5">
        <f>IF(ROW()&lt;=2+8,"",INDEX(Daily_Input!$F:$F,ROW()-9))</f>
        <v>57986.6924778705</v>
      </c>
      <c r="U54" s="5">
        <f>IF(ROW()&lt;=2+9,"",INDEX(Daily_Input!$F:$F,ROW()-10))</f>
        <v>12894.535813435617</v>
      </c>
      <c r="V54" s="5">
        <f>IF(ROW()&lt;=2+10,"",INDEX(Daily_Input!$F:$F,ROW()-11))</f>
        <v>3947.8923826043183</v>
      </c>
      <c r="W54" s="5">
        <f>IF(ROW()&lt;=2+11,"",INDEX(Daily_Input!$F:$F,ROW()-12))</f>
        <v>6831.8853462880434</v>
      </c>
      <c r="X54" s="5">
        <f>IF(ROW()&lt;=2+12,"",INDEX(Daily_Input!$F:$F,ROW()-13))</f>
        <v>5801.6363530791823</v>
      </c>
      <c r="Y54" s="5">
        <f>IF(ROW()&lt;=2+13,"",INDEX(Daily_Input!$F:$F,ROW()-14))</f>
        <v>6447.4052380911789</v>
      </c>
      <c r="Z54" s="5">
        <f>IF(ROW()&lt;=4,"",SUM(Daily_Input!I54:I56))</f>
        <v>35.800000000000004</v>
      </c>
      <c r="AA54" s="5">
        <f>IF(ROW()&lt;=8,"",SUM(Daily_Input!I54:I60))</f>
        <v>122</v>
      </c>
      <c r="AB54" s="5">
        <f>IF(ROW()&lt;=15,"",SUM(Daily_Input!I54:I67))</f>
        <v>143.80000000000001</v>
      </c>
      <c r="AC54" s="5">
        <f>IF(ROW()&lt;=4,"",AVERAGE(Daily_Input!F54:F56))</f>
        <v>226951.33105831515</v>
      </c>
      <c r="AD54" s="5">
        <f>IF(ROW()&lt;=8,"",AVERAGE(Daily_Input!F54:F60))</f>
        <v>392722.85969484091</v>
      </c>
      <c r="AE54" s="5">
        <f>IF(ROW()&lt;=8,"",MAX(Daily_Input!F54:F60))</f>
        <v>932836.67180179933</v>
      </c>
      <c r="AF54" s="5">
        <f>IF(ROW()&lt;=2+0,"",INDEX(Daily_Input!$G:$G,ROW()-1))</f>
        <v>15019.2</v>
      </c>
      <c r="AG54" s="5">
        <f>IF(ROW()&lt;=2+0,"",INDEX(Daily_Input!$H:$H,ROW()-1))</f>
        <v>176886.0575</v>
      </c>
      <c r="AH54" s="5">
        <f>IF(ROW()&lt;=2+1,"",INDEX(Daily_Input!$G:$G,ROW()-2))</f>
        <v>15019.2</v>
      </c>
      <c r="AI54" s="5">
        <f>IF(ROW()&lt;=2+1,"",INDEX(Daily_Input!$H:$H,ROW()-2))</f>
        <v>272304.3187</v>
      </c>
      <c r="AJ54" s="5">
        <f>IF(ROW()&lt;=2+2,"",INDEX(Daily_Input!$G:$G,ROW()-3))</f>
        <v>15019.2</v>
      </c>
      <c r="AK54" s="5">
        <f>IF(ROW()&lt;=2+2,"",INDEX(Daily_Input!$H:$H,ROW()-3))</f>
        <v>420813.59080000001</v>
      </c>
    </row>
    <row r="55" spans="1:37">
      <c r="A55" s="5">
        <f>Daily_Input!A55</f>
        <v>45892</v>
      </c>
      <c r="B55" s="5">
        <f>Daily_Input!F55</f>
        <v>177778.22355395212</v>
      </c>
      <c r="C55" s="5">
        <f>Daily_Input!D55</f>
        <v>489.63400000000001</v>
      </c>
      <c r="D55" s="5">
        <f>Daily_Input!E55</f>
        <v>1652616.0060848999</v>
      </c>
      <c r="E55" s="5">
        <f>IF(ROW()=2,"",Daily_Input!E55-Daily_Input!E54)</f>
        <v>-6059.7900618000422</v>
      </c>
      <c r="F55" s="5">
        <f>IFERROR(Daily_Input!E55/Config!$B$4,"")</f>
        <v>1.0167043078718501</v>
      </c>
      <c r="G55" s="5">
        <f>Daily_Input!I55</f>
        <v>13.4</v>
      </c>
      <c r="H55" s="5">
        <f>IF(A55="","",IF(ROW()=2,G55,Config!$B$5*H54+G55))</f>
        <v>194.32409830943399</v>
      </c>
      <c r="I55" s="5">
        <f t="shared" si="0"/>
        <v>235</v>
      </c>
      <c r="J55" s="5">
        <f>IF(I55="","",SIN(2*PI()*I55/Config!$B$6))</f>
        <v>-0.78564985507871443</v>
      </c>
      <c r="K55" s="5">
        <f>IF(I55="","",COS(2*PI()*I55/Config!$B$6))</f>
        <v>-0.61867140326250325</v>
      </c>
      <c r="L55" s="5">
        <f>IF(ROW()&lt;=2+0,"",INDEX(Daily_Input!$F:$F,ROW()-1))</f>
        <v>165869.35925545922</v>
      </c>
      <c r="M55" s="5">
        <f>IF(ROW()&lt;=2+1,"",INDEX(Daily_Input!$F:$F,ROW()-2))</f>
        <v>180621.98595023184</v>
      </c>
      <c r="N55" s="5">
        <f>IF(ROW()&lt;=2+2,"",INDEX(Daily_Input!$F:$F,ROW()-3))</f>
        <v>272728.24658660253</v>
      </c>
      <c r="O55" s="5">
        <f>IF(ROW()&lt;=2+3,"",INDEX(Daily_Input!$F:$F,ROW()-4))</f>
        <v>412239.01187944028</v>
      </c>
      <c r="P55" s="5">
        <f>IF(ROW()&lt;=2+4,"",INDEX(Daily_Input!$F:$F,ROW()-5))</f>
        <v>658820.49915628741</v>
      </c>
      <c r="Q55" s="5">
        <f>IF(ROW()&lt;=2+5,"",INDEX(Daily_Input!$F:$F,ROW()-6))</f>
        <v>986251.87556389906</v>
      </c>
      <c r="R55" s="5">
        <f>IF(ROW()&lt;=2+6,"",INDEX(Daily_Input!$F:$F,ROW()-7))</f>
        <v>677241.19359863247</v>
      </c>
      <c r="S55" s="5">
        <f>IF(ROW()&lt;=2+7,"",INDEX(Daily_Input!$F:$F,ROW()-8))</f>
        <v>123882.52586460387</v>
      </c>
      <c r="T55" s="5">
        <f>IF(ROW()&lt;=2+8,"",INDEX(Daily_Input!$F:$F,ROW()-9))</f>
        <v>98688.858359799415</v>
      </c>
      <c r="U55" s="5">
        <f>IF(ROW()&lt;=2+9,"",INDEX(Daily_Input!$F:$F,ROW()-10))</f>
        <v>57986.6924778705</v>
      </c>
      <c r="V55" s="5">
        <f>IF(ROW()&lt;=2+10,"",INDEX(Daily_Input!$F:$F,ROW()-11))</f>
        <v>12894.535813435617</v>
      </c>
      <c r="W55" s="5">
        <f>IF(ROW()&lt;=2+11,"",INDEX(Daily_Input!$F:$F,ROW()-12))</f>
        <v>3947.8923826043183</v>
      </c>
      <c r="X55" s="5">
        <f>IF(ROW()&lt;=2+12,"",INDEX(Daily_Input!$F:$F,ROW()-13))</f>
        <v>6831.8853462880434</v>
      </c>
      <c r="Y55" s="5">
        <f>IF(ROW()&lt;=2+13,"",INDEX(Daily_Input!$F:$F,ROW()-14))</f>
        <v>5801.6363530791823</v>
      </c>
      <c r="Z55" s="5">
        <f>IF(ROW()&lt;=4,"",SUM(Daily_Input!I55:I57))</f>
        <v>34.6</v>
      </c>
      <c r="AA55" s="5">
        <f>IF(ROW()&lt;=8,"",SUM(Daily_Input!I55:I61))</f>
        <v>106.80000000000001</v>
      </c>
      <c r="AB55" s="5">
        <f>IF(ROW()&lt;=15,"",SUM(Daily_Input!I55:I68))</f>
        <v>128.60000000000002</v>
      </c>
      <c r="AC55" s="5">
        <f>IF(ROW()&lt;=4,"",AVERAGE(Daily_Input!F55:F57))</f>
        <v>243498.24085864262</v>
      </c>
      <c r="AD55" s="5">
        <f>IF(ROW()&lt;=8,"",AVERAGE(Daily_Input!F55:F61))</f>
        <v>434288.91572909063</v>
      </c>
      <c r="AE55" s="5">
        <f>IF(ROW()&lt;=8,"",MAX(Daily_Input!F55:F61))</f>
        <v>932836.67180179933</v>
      </c>
      <c r="AF55" s="5">
        <f>IF(ROW()&lt;=2+0,"",INDEX(Daily_Input!$G:$G,ROW()-1))</f>
        <v>15019.2</v>
      </c>
      <c r="AG55" s="5">
        <f>IF(ROW()&lt;=2+0,"",INDEX(Daily_Input!$H:$H,ROW()-1))</f>
        <v>157630.1244</v>
      </c>
      <c r="AH55" s="5">
        <f>IF(ROW()&lt;=2+1,"",INDEX(Daily_Input!$G:$G,ROW()-2))</f>
        <v>15019.2</v>
      </c>
      <c r="AI55" s="5">
        <f>IF(ROW()&lt;=2+1,"",INDEX(Daily_Input!$H:$H,ROW()-2))</f>
        <v>176886.0575</v>
      </c>
      <c r="AJ55" s="5">
        <f>IF(ROW()&lt;=2+2,"",INDEX(Daily_Input!$G:$G,ROW()-3))</f>
        <v>15019.2</v>
      </c>
      <c r="AK55" s="5">
        <f>IF(ROW()&lt;=2+2,"",INDEX(Daily_Input!$H:$H,ROW()-3))</f>
        <v>272304.3187</v>
      </c>
    </row>
    <row r="56" spans="1:37">
      <c r="A56" s="5">
        <f>Daily_Input!A56</f>
        <v>45893</v>
      </c>
      <c r="B56" s="5">
        <f>Daily_Input!F56</f>
        <v>337206.41036553407</v>
      </c>
      <c r="C56" s="5">
        <f>Daily_Input!D56</f>
        <v>489.70499999999998</v>
      </c>
      <c r="D56" s="5">
        <f>Daily_Input!E56</f>
        <v>1673851.7406957999</v>
      </c>
      <c r="E56" s="5">
        <f>IF(ROW()=2,"",Daily_Input!E56-Daily_Input!E55)</f>
        <v>21235.73461090005</v>
      </c>
      <c r="F56" s="5">
        <f>IFERROR(Daily_Input!E56/Config!$B$4,"")</f>
        <v>1.0297687237919608</v>
      </c>
      <c r="G56" s="5">
        <f>Daily_Input!I56</f>
        <v>7.2</v>
      </c>
      <c r="H56" s="5">
        <f>IF(A56="","",IF(ROW()=2,G56,Config!$B$5*H55+G56))</f>
        <v>191.80789339396227</v>
      </c>
      <c r="I56" s="5">
        <f t="shared" si="0"/>
        <v>236</v>
      </c>
      <c r="J56" s="5">
        <f>IF(I56="","",SIN(2*PI()*I56/Config!$B$6))</f>
        <v>-0.79618286378261538</v>
      </c>
      <c r="K56" s="5">
        <f>IF(I56="","",COS(2*PI()*I56/Config!$B$6))</f>
        <v>-0.60505606964884939</v>
      </c>
      <c r="L56" s="5">
        <f>IF(ROW()&lt;=2+0,"",INDEX(Daily_Input!$F:$F,ROW()-1))</f>
        <v>177778.22355395212</v>
      </c>
      <c r="M56" s="5">
        <f>IF(ROW()&lt;=2+1,"",INDEX(Daily_Input!$F:$F,ROW()-2))</f>
        <v>165869.35925545922</v>
      </c>
      <c r="N56" s="5">
        <f>IF(ROW()&lt;=2+2,"",INDEX(Daily_Input!$F:$F,ROW()-3))</f>
        <v>180621.98595023184</v>
      </c>
      <c r="O56" s="5">
        <f>IF(ROW()&lt;=2+3,"",INDEX(Daily_Input!$F:$F,ROW()-4))</f>
        <v>272728.24658660253</v>
      </c>
      <c r="P56" s="5">
        <f>IF(ROW()&lt;=2+4,"",INDEX(Daily_Input!$F:$F,ROW()-5))</f>
        <v>412239.01187944028</v>
      </c>
      <c r="Q56" s="5">
        <f>IF(ROW()&lt;=2+5,"",INDEX(Daily_Input!$F:$F,ROW()-6))</f>
        <v>658820.49915628741</v>
      </c>
      <c r="R56" s="5">
        <f>IF(ROW()&lt;=2+6,"",INDEX(Daily_Input!$F:$F,ROW()-7))</f>
        <v>986251.87556389906</v>
      </c>
      <c r="S56" s="5">
        <f>IF(ROW()&lt;=2+7,"",INDEX(Daily_Input!$F:$F,ROW()-8))</f>
        <v>677241.19359863247</v>
      </c>
      <c r="T56" s="5">
        <f>IF(ROW()&lt;=2+8,"",INDEX(Daily_Input!$F:$F,ROW()-9))</f>
        <v>123882.52586460387</v>
      </c>
      <c r="U56" s="5">
        <f>IF(ROW()&lt;=2+9,"",INDEX(Daily_Input!$F:$F,ROW()-10))</f>
        <v>98688.858359799415</v>
      </c>
      <c r="V56" s="5">
        <f>IF(ROW()&lt;=2+10,"",INDEX(Daily_Input!$F:$F,ROW()-11))</f>
        <v>57986.6924778705</v>
      </c>
      <c r="W56" s="5">
        <f>IF(ROW()&lt;=2+11,"",INDEX(Daily_Input!$F:$F,ROW()-12))</f>
        <v>12894.535813435617</v>
      </c>
      <c r="X56" s="5">
        <f>IF(ROW()&lt;=2+12,"",INDEX(Daily_Input!$F:$F,ROW()-13))</f>
        <v>3947.8923826043183</v>
      </c>
      <c r="Y56" s="5">
        <f>IF(ROW()&lt;=2+13,"",INDEX(Daily_Input!$F:$F,ROW()-14))</f>
        <v>6831.8853462880434</v>
      </c>
      <c r="Z56" s="5">
        <f>IF(ROW()&lt;=4,"",SUM(Daily_Input!I56:I58))</f>
        <v>34</v>
      </c>
      <c r="AA56" s="5">
        <f>IF(ROW()&lt;=8,"",SUM(Daily_Input!I56:I62))</f>
        <v>93.4</v>
      </c>
      <c r="AB56" s="5">
        <f>IF(ROW()&lt;=15,"",SUM(Daily_Input!I56:I69))</f>
        <v>115.20000000000002</v>
      </c>
      <c r="AC56" s="5">
        <f>IF(ROW()&lt;=4,"",AVERAGE(Daily_Input!F56:F58))</f>
        <v>263313.24932100723</v>
      </c>
      <c r="AD56" s="5">
        <f>IF(ROW()&lt;=8,"",AVERAGE(Daily_Input!F56:F62))</f>
        <v>457092.94099319383</v>
      </c>
      <c r="AE56" s="5">
        <f>IF(ROW()&lt;=8,"",MAX(Daily_Input!F56:F62))</f>
        <v>932836.67180179933</v>
      </c>
      <c r="AF56" s="5">
        <f>IF(ROW()&lt;=2+0,"",INDEX(Daily_Input!$G:$G,ROW()-1))</f>
        <v>15019.2</v>
      </c>
      <c r="AG56" s="5">
        <f>IF(ROW()&lt;=2+0,"",INDEX(Daily_Input!$H:$H,ROW()-1))</f>
        <v>172017.7188</v>
      </c>
      <c r="AH56" s="5">
        <f>IF(ROW()&lt;=2+1,"",INDEX(Daily_Input!$G:$G,ROW()-2))</f>
        <v>15019.2</v>
      </c>
      <c r="AI56" s="5">
        <f>IF(ROW()&lt;=2+1,"",INDEX(Daily_Input!$H:$H,ROW()-2))</f>
        <v>157630.1244</v>
      </c>
      <c r="AJ56" s="5">
        <f>IF(ROW()&lt;=2+2,"",INDEX(Daily_Input!$G:$G,ROW()-3))</f>
        <v>15019.2</v>
      </c>
      <c r="AK56" s="5">
        <f>IF(ROW()&lt;=2+2,"",INDEX(Daily_Input!$H:$H,ROW()-3))</f>
        <v>176886.0575</v>
      </c>
    </row>
    <row r="57" spans="1:37">
      <c r="A57" s="5">
        <f>Daily_Input!A57</f>
        <v>45894</v>
      </c>
      <c r="B57" s="5">
        <f>Daily_Input!F57</f>
        <v>215510.0886564416</v>
      </c>
      <c r="C57" s="5">
        <f>Daily_Input!D57</f>
        <v>489.68599999999998</v>
      </c>
      <c r="D57" s="5">
        <f>Daily_Input!E57</f>
        <v>1667776.8298903999</v>
      </c>
      <c r="E57" s="5">
        <f>IF(ROW()=2,"",Daily_Input!E57-Daily_Input!E56)</f>
        <v>-6074.9108053999953</v>
      </c>
      <c r="F57" s="5">
        <f>IFERROR(Daily_Input!E57/Config!$B$4,"")</f>
        <v>1.026031383742581</v>
      </c>
      <c r="G57" s="5">
        <f>Daily_Input!I57</f>
        <v>14</v>
      </c>
      <c r="H57" s="5">
        <f>IF(A57="","",IF(ROW()=2,G57,Config!$B$5*H56+G57))</f>
        <v>196.21749872426415</v>
      </c>
      <c r="I57" s="5">
        <f t="shared" si="0"/>
        <v>237</v>
      </c>
      <c r="J57" s="5">
        <f>IF(I57="","",SIN(2*PI()*I57/Config!$B$6))</f>
        <v>-0.80647994632094466</v>
      </c>
      <c r="K57" s="5">
        <f>IF(I57="","",COS(2*PI()*I57/Config!$B$6))</f>
        <v>-0.59126144486357834</v>
      </c>
      <c r="L57" s="5">
        <f>IF(ROW()&lt;=2+0,"",INDEX(Daily_Input!$F:$F,ROW()-1))</f>
        <v>337206.41036553407</v>
      </c>
      <c r="M57" s="5">
        <f>IF(ROW()&lt;=2+1,"",INDEX(Daily_Input!$F:$F,ROW()-2))</f>
        <v>177778.22355395212</v>
      </c>
      <c r="N57" s="5">
        <f>IF(ROW()&lt;=2+2,"",INDEX(Daily_Input!$F:$F,ROW()-3))</f>
        <v>165869.35925545922</v>
      </c>
      <c r="O57" s="5">
        <f>IF(ROW()&lt;=2+3,"",INDEX(Daily_Input!$F:$F,ROW()-4))</f>
        <v>180621.98595023184</v>
      </c>
      <c r="P57" s="5">
        <f>IF(ROW()&lt;=2+4,"",INDEX(Daily_Input!$F:$F,ROW()-5))</f>
        <v>272728.24658660253</v>
      </c>
      <c r="Q57" s="5">
        <f>IF(ROW()&lt;=2+5,"",INDEX(Daily_Input!$F:$F,ROW()-6))</f>
        <v>412239.01187944028</v>
      </c>
      <c r="R57" s="5">
        <f>IF(ROW()&lt;=2+6,"",INDEX(Daily_Input!$F:$F,ROW()-7))</f>
        <v>658820.49915628741</v>
      </c>
      <c r="S57" s="5">
        <f>IF(ROW()&lt;=2+7,"",INDEX(Daily_Input!$F:$F,ROW()-8))</f>
        <v>986251.87556389906</v>
      </c>
      <c r="T57" s="5">
        <f>IF(ROW()&lt;=2+8,"",INDEX(Daily_Input!$F:$F,ROW()-9))</f>
        <v>677241.19359863247</v>
      </c>
      <c r="U57" s="5">
        <f>IF(ROW()&lt;=2+9,"",INDEX(Daily_Input!$F:$F,ROW()-10))</f>
        <v>123882.52586460387</v>
      </c>
      <c r="V57" s="5">
        <f>IF(ROW()&lt;=2+10,"",INDEX(Daily_Input!$F:$F,ROW()-11))</f>
        <v>98688.858359799415</v>
      </c>
      <c r="W57" s="5">
        <f>IF(ROW()&lt;=2+11,"",INDEX(Daily_Input!$F:$F,ROW()-12))</f>
        <v>57986.6924778705</v>
      </c>
      <c r="X57" s="5">
        <f>IF(ROW()&lt;=2+12,"",INDEX(Daily_Input!$F:$F,ROW()-13))</f>
        <v>12894.535813435617</v>
      </c>
      <c r="Y57" s="5">
        <f>IF(ROW()&lt;=2+13,"",INDEX(Daily_Input!$F:$F,ROW()-14))</f>
        <v>3947.8923826043183</v>
      </c>
      <c r="Z57" s="5">
        <f>IF(ROW()&lt;=4,"",SUM(Daily_Input!I57:I59))</f>
        <v>63.2</v>
      </c>
      <c r="AA57" s="5">
        <f>IF(ROW()&lt;=8,"",SUM(Daily_Input!I57:I63))</f>
        <v>99.600000000000009</v>
      </c>
      <c r="AB57" s="5">
        <f>IF(ROW()&lt;=15,"",SUM(Daily_Input!I57:I70))</f>
        <v>108.00000000000001</v>
      </c>
      <c r="AC57" s="5">
        <f>IF(ROW()&lt;=4,"",AVERAGE(Daily_Input!F57:F59))</f>
        <v>461856.66979976231</v>
      </c>
      <c r="AD57" s="5">
        <f>IF(ROW()&lt;=8,"",AVERAGE(Daily_Input!F57:F63))</f>
        <v>451591.54070813779</v>
      </c>
      <c r="AE57" s="5">
        <f>IF(ROW()&lt;=8,"",MAX(Daily_Input!F57:F63))</f>
        <v>932836.67180179933</v>
      </c>
      <c r="AF57" s="5">
        <f>IF(ROW()&lt;=2+0,"",INDEX(Daily_Input!$G:$G,ROW()-1))</f>
        <v>15019.2</v>
      </c>
      <c r="AG57" s="5">
        <f>IF(ROW()&lt;=2+0,"",INDEX(Daily_Input!$H:$H,ROW()-1))</f>
        <v>302277.38640000002</v>
      </c>
      <c r="AH57" s="5">
        <f>IF(ROW()&lt;=2+1,"",INDEX(Daily_Input!$G:$G,ROW()-2))</f>
        <v>15019.2</v>
      </c>
      <c r="AI57" s="5">
        <f>IF(ROW()&lt;=2+1,"",INDEX(Daily_Input!$H:$H,ROW()-2))</f>
        <v>172017.7188</v>
      </c>
      <c r="AJ57" s="5">
        <f>IF(ROW()&lt;=2+2,"",INDEX(Daily_Input!$G:$G,ROW()-3))</f>
        <v>15019.2</v>
      </c>
      <c r="AK57" s="5">
        <f>IF(ROW()&lt;=2+2,"",INDEX(Daily_Input!$H:$H,ROW()-3))</f>
        <v>157630.1244</v>
      </c>
    </row>
    <row r="58" spans="1:37">
      <c r="A58" s="5">
        <f>Daily_Input!A58</f>
        <v>45895</v>
      </c>
      <c r="B58" s="5">
        <f>Daily_Input!F58</f>
        <v>237223.24894104595</v>
      </c>
      <c r="C58" s="5">
        <f>Daily_Input!D58</f>
        <v>489.64800000000002</v>
      </c>
      <c r="D58" s="5">
        <f>Daily_Input!E58</f>
        <v>1655645.1614623</v>
      </c>
      <c r="E58" s="5">
        <f>IF(ROW()=2,"",Daily_Input!E58-Daily_Input!E57)</f>
        <v>-12131.668428099947</v>
      </c>
      <c r="F58" s="5">
        <f>IFERROR(Daily_Input!E58/Config!$B$4,"")</f>
        <v>1.018567871645937</v>
      </c>
      <c r="G58" s="5">
        <f>Daily_Input!I58</f>
        <v>12.8</v>
      </c>
      <c r="H58" s="5">
        <f>IF(A58="","",IF(ROW()=2,G58,Config!$B$5*H57+G58))</f>
        <v>199.20662378805093</v>
      </c>
      <c r="I58" s="5">
        <f t="shared" si="0"/>
        <v>238</v>
      </c>
      <c r="J58" s="5">
        <f>IF(I58="","",SIN(2*PI()*I58/Config!$B$6))</f>
        <v>-0.81653805144591574</v>
      </c>
      <c r="K58" s="5">
        <f>IF(I58="","",COS(2*PI()*I58/Config!$B$6))</f>
        <v>-0.57729161655172778</v>
      </c>
      <c r="L58" s="5">
        <f>IF(ROW()&lt;=2+0,"",INDEX(Daily_Input!$F:$F,ROW()-1))</f>
        <v>215510.0886564416</v>
      </c>
      <c r="M58" s="5">
        <f>IF(ROW()&lt;=2+1,"",INDEX(Daily_Input!$F:$F,ROW()-2))</f>
        <v>337206.41036553407</v>
      </c>
      <c r="N58" s="5">
        <f>IF(ROW()&lt;=2+2,"",INDEX(Daily_Input!$F:$F,ROW()-3))</f>
        <v>177778.22355395212</v>
      </c>
      <c r="O58" s="5">
        <f>IF(ROW()&lt;=2+3,"",INDEX(Daily_Input!$F:$F,ROW()-4))</f>
        <v>165869.35925545922</v>
      </c>
      <c r="P58" s="5">
        <f>IF(ROW()&lt;=2+4,"",INDEX(Daily_Input!$F:$F,ROW()-5))</f>
        <v>180621.98595023184</v>
      </c>
      <c r="Q58" s="5">
        <f>IF(ROW()&lt;=2+5,"",INDEX(Daily_Input!$F:$F,ROW()-6))</f>
        <v>272728.24658660253</v>
      </c>
      <c r="R58" s="5">
        <f>IF(ROW()&lt;=2+6,"",INDEX(Daily_Input!$F:$F,ROW()-7))</f>
        <v>412239.01187944028</v>
      </c>
      <c r="S58" s="5">
        <f>IF(ROW()&lt;=2+7,"",INDEX(Daily_Input!$F:$F,ROW()-8))</f>
        <v>658820.49915628741</v>
      </c>
      <c r="T58" s="5">
        <f>IF(ROW()&lt;=2+8,"",INDEX(Daily_Input!$F:$F,ROW()-9))</f>
        <v>986251.87556389906</v>
      </c>
      <c r="U58" s="5">
        <f>IF(ROW()&lt;=2+9,"",INDEX(Daily_Input!$F:$F,ROW()-10))</f>
        <v>677241.19359863247</v>
      </c>
      <c r="V58" s="5">
        <f>IF(ROW()&lt;=2+10,"",INDEX(Daily_Input!$F:$F,ROW()-11))</f>
        <v>123882.52586460387</v>
      </c>
      <c r="W58" s="5">
        <f>IF(ROW()&lt;=2+11,"",INDEX(Daily_Input!$F:$F,ROW()-12))</f>
        <v>98688.858359799415</v>
      </c>
      <c r="X58" s="5">
        <f>IF(ROW()&lt;=2+12,"",INDEX(Daily_Input!$F:$F,ROW()-13))</f>
        <v>57986.6924778705</v>
      </c>
      <c r="Y58" s="5">
        <f>IF(ROW()&lt;=2+13,"",INDEX(Daily_Input!$F:$F,ROW()-14))</f>
        <v>12894.535813435617</v>
      </c>
      <c r="Z58" s="5">
        <f>IF(ROW()&lt;=4,"",SUM(Daily_Input!I58:I60))</f>
        <v>72.2</v>
      </c>
      <c r="AA58" s="5">
        <f>IF(ROW()&lt;=8,"",SUM(Daily_Input!I58:I64))</f>
        <v>89.4</v>
      </c>
      <c r="AB58" s="5">
        <f>IF(ROW()&lt;=15,"",SUM(Daily_Input!I58:I71))</f>
        <v>98.40000000000002</v>
      </c>
      <c r="AC58" s="5">
        <f>IF(ROW()&lt;=4,"",AVERAGE(Daily_Input!F58:F60))</f>
        <v>617565.31201083306</v>
      </c>
      <c r="AD58" s="5">
        <f>IF(ROW()&lt;=8,"",AVERAGE(Daily_Input!F58:F64))</f>
        <v>454636.0560963793</v>
      </c>
      <c r="AE58" s="5">
        <f>IF(ROW()&lt;=8,"",MAX(Daily_Input!F58:F64))</f>
        <v>932836.67180179933</v>
      </c>
      <c r="AF58" s="5">
        <f>IF(ROW()&lt;=2+0,"",INDEX(Daily_Input!$G:$G,ROW()-1))</f>
        <v>15019.2</v>
      </c>
      <c r="AG58" s="5">
        <f>IF(ROW()&lt;=2+0,"",INDEX(Daily_Input!$H:$H,ROW()-1))</f>
        <v>209954.82500000001</v>
      </c>
      <c r="AH58" s="5">
        <f>IF(ROW()&lt;=2+1,"",INDEX(Daily_Input!$G:$G,ROW()-2))</f>
        <v>15019.2</v>
      </c>
      <c r="AI58" s="5">
        <f>IF(ROW()&lt;=2+1,"",INDEX(Daily_Input!$H:$H,ROW()-2))</f>
        <v>302277.38640000002</v>
      </c>
      <c r="AJ58" s="5">
        <f>IF(ROW()&lt;=2+2,"",INDEX(Daily_Input!$G:$G,ROW()-3))</f>
        <v>15019.2</v>
      </c>
      <c r="AK58" s="5">
        <f>IF(ROW()&lt;=2+2,"",INDEX(Daily_Input!$H:$H,ROW()-3))</f>
        <v>172017.7188</v>
      </c>
    </row>
    <row r="59" spans="1:37">
      <c r="A59" s="5">
        <f>Daily_Input!A59</f>
        <v>45896</v>
      </c>
      <c r="B59" s="5">
        <f>Daily_Input!F59</f>
        <v>932836.67180179933</v>
      </c>
      <c r="C59" s="5">
        <f>Daily_Input!D59</f>
        <v>489.87200000000001</v>
      </c>
      <c r="D59" s="5">
        <f>Daily_Input!E59</f>
        <v>1725819.6938243001</v>
      </c>
      <c r="E59" s="5">
        <f>IF(ROW()=2,"",Daily_Input!E59-Daily_Input!E58)</f>
        <v>70174.532362000085</v>
      </c>
      <c r="F59" s="5">
        <f>IFERROR(Daily_Input!E59/Config!$B$4,"")</f>
        <v>1.0617398783871526</v>
      </c>
      <c r="G59" s="5">
        <f>Daily_Input!I59</f>
        <v>36.4</v>
      </c>
      <c r="H59" s="5">
        <f>IF(A59="","",IF(ROW()=2,G59,Config!$B$5*H58+G59))</f>
        <v>225.64629259864839</v>
      </c>
      <c r="I59" s="5">
        <f t="shared" si="0"/>
        <v>239</v>
      </c>
      <c r="J59" s="5">
        <f>IF(I59="","",SIN(2*PI()*I59/Config!$B$6))</f>
        <v>-0.82635419872390936</v>
      </c>
      <c r="K59" s="5">
        <f>IF(I59="","",COS(2*PI()*I59/Config!$B$6))</f>
        <v>-0.56315072427491886</v>
      </c>
      <c r="L59" s="5">
        <f>IF(ROW()&lt;=2+0,"",INDEX(Daily_Input!$F:$F,ROW()-1))</f>
        <v>237223.24894104595</v>
      </c>
      <c r="M59" s="5">
        <f>IF(ROW()&lt;=2+1,"",INDEX(Daily_Input!$F:$F,ROW()-2))</f>
        <v>215510.0886564416</v>
      </c>
      <c r="N59" s="5">
        <f>IF(ROW()&lt;=2+2,"",INDEX(Daily_Input!$F:$F,ROW()-3))</f>
        <v>337206.41036553407</v>
      </c>
      <c r="O59" s="5">
        <f>IF(ROW()&lt;=2+3,"",INDEX(Daily_Input!$F:$F,ROW()-4))</f>
        <v>177778.22355395212</v>
      </c>
      <c r="P59" s="5">
        <f>IF(ROW()&lt;=2+4,"",INDEX(Daily_Input!$F:$F,ROW()-5))</f>
        <v>165869.35925545922</v>
      </c>
      <c r="Q59" s="5">
        <f>IF(ROW()&lt;=2+5,"",INDEX(Daily_Input!$F:$F,ROW()-6))</f>
        <v>180621.98595023184</v>
      </c>
      <c r="R59" s="5">
        <f>IF(ROW()&lt;=2+6,"",INDEX(Daily_Input!$F:$F,ROW()-7))</f>
        <v>272728.24658660253</v>
      </c>
      <c r="S59" s="5">
        <f>IF(ROW()&lt;=2+7,"",INDEX(Daily_Input!$F:$F,ROW()-8))</f>
        <v>412239.01187944028</v>
      </c>
      <c r="T59" s="5">
        <f>IF(ROW()&lt;=2+8,"",INDEX(Daily_Input!$F:$F,ROW()-9))</f>
        <v>658820.49915628741</v>
      </c>
      <c r="U59" s="5">
        <f>IF(ROW()&lt;=2+9,"",INDEX(Daily_Input!$F:$F,ROW()-10))</f>
        <v>986251.87556389906</v>
      </c>
      <c r="V59" s="5">
        <f>IF(ROW()&lt;=2+10,"",INDEX(Daily_Input!$F:$F,ROW()-11))</f>
        <v>677241.19359863247</v>
      </c>
      <c r="W59" s="5">
        <f>IF(ROW()&lt;=2+11,"",INDEX(Daily_Input!$F:$F,ROW()-12))</f>
        <v>123882.52586460387</v>
      </c>
      <c r="X59" s="5">
        <f>IF(ROW()&lt;=2+12,"",INDEX(Daily_Input!$F:$F,ROW()-13))</f>
        <v>98688.858359799415</v>
      </c>
      <c r="Y59" s="5">
        <f>IF(ROW()&lt;=2+13,"",INDEX(Daily_Input!$F:$F,ROW()-14))</f>
        <v>57986.6924778705</v>
      </c>
      <c r="Z59" s="5">
        <f>IF(ROW()&lt;=4,"",SUM(Daily_Input!I59:I61))</f>
        <v>59.4</v>
      </c>
      <c r="AA59" s="5">
        <f>IF(ROW()&lt;=8,"",SUM(Daily_Input!I59:I65))</f>
        <v>78</v>
      </c>
      <c r="AB59" s="5">
        <f>IF(ROW()&lt;=15,"",SUM(Daily_Input!I59:I72))</f>
        <v>85.600000000000009</v>
      </c>
      <c r="AC59" s="5">
        <f>IF(ROW()&lt;=4,"",AVERAGE(Daily_Input!F59:F61))</f>
        <v>690768.14619555348</v>
      </c>
      <c r="AD59" s="5">
        <f>IF(ROW()&lt;=8,"",AVERAGE(Daily_Input!F59:F65))</f>
        <v>448713.46135850932</v>
      </c>
      <c r="AE59" s="5">
        <f>IF(ROW()&lt;=8,"",MAX(Daily_Input!F59:F65))</f>
        <v>932836.67180179933</v>
      </c>
      <c r="AF59" s="5">
        <f>IF(ROW()&lt;=2+0,"",INDEX(Daily_Input!$G:$G,ROW()-1))</f>
        <v>15019.2</v>
      </c>
      <c r="AG59" s="5">
        <f>IF(ROW()&lt;=2+0,"",INDEX(Daily_Input!$H:$H,ROW()-1))</f>
        <v>237354.42230000001</v>
      </c>
      <c r="AH59" s="5">
        <f>IF(ROW()&lt;=2+1,"",INDEX(Daily_Input!$G:$G,ROW()-2))</f>
        <v>15019.2</v>
      </c>
      <c r="AI59" s="5">
        <f>IF(ROW()&lt;=2+1,"",INDEX(Daily_Input!$H:$H,ROW()-2))</f>
        <v>209954.82500000001</v>
      </c>
      <c r="AJ59" s="5">
        <f>IF(ROW()&lt;=2+2,"",INDEX(Daily_Input!$G:$G,ROW()-3))</f>
        <v>15019.2</v>
      </c>
      <c r="AK59" s="5">
        <f>IF(ROW()&lt;=2+2,"",INDEX(Daily_Input!$H:$H,ROW()-3))</f>
        <v>302277.38640000002</v>
      </c>
    </row>
    <row r="60" spans="1:37">
      <c r="A60" s="5">
        <f>Daily_Input!A60</f>
        <v>45897</v>
      </c>
      <c r="B60" s="5">
        <f>Daily_Input!F60</f>
        <v>682636.01528965402</v>
      </c>
      <c r="C60" s="5">
        <f>Daily_Input!D60</f>
        <v>489.839</v>
      </c>
      <c r="D60" s="5">
        <f>Daily_Input!E60</f>
        <v>1713524.2337388999</v>
      </c>
      <c r="E60" s="5">
        <f>IF(ROW()=2,"",Daily_Input!E60-Daily_Input!E59)</f>
        <v>-12295.460085400147</v>
      </c>
      <c r="F60" s="5">
        <f>IFERROR(Daily_Input!E60/Config!$B$4,"")</f>
        <v>1.0541756001821339</v>
      </c>
      <c r="G60" s="5">
        <f>Daily_Input!I60</f>
        <v>23</v>
      </c>
      <c r="H60" s="5">
        <f>IF(A60="","",IF(ROW()=2,G60,Config!$B$5*H59+G60))</f>
        <v>237.36397796871594</v>
      </c>
      <c r="I60" s="5">
        <f t="shared" si="0"/>
        <v>240</v>
      </c>
      <c r="J60" s="5">
        <f>IF(I60="","",SIN(2*PI()*I60/Config!$B$6))</f>
        <v>-0.83592547941863649</v>
      </c>
      <c r="K60" s="5">
        <f>IF(I60="","",COS(2*PI()*I60/Config!$B$6))</f>
        <v>-0.54884295828471985</v>
      </c>
      <c r="L60" s="5">
        <f>IF(ROW()&lt;=2+0,"",INDEX(Daily_Input!$F:$F,ROW()-1))</f>
        <v>932836.67180179933</v>
      </c>
      <c r="M60" s="5">
        <f>IF(ROW()&lt;=2+1,"",INDEX(Daily_Input!$F:$F,ROW()-2))</f>
        <v>237223.24894104595</v>
      </c>
      <c r="N60" s="5">
        <f>IF(ROW()&lt;=2+2,"",INDEX(Daily_Input!$F:$F,ROW()-3))</f>
        <v>215510.0886564416</v>
      </c>
      <c r="O60" s="5">
        <f>IF(ROW()&lt;=2+3,"",INDEX(Daily_Input!$F:$F,ROW()-4))</f>
        <v>337206.41036553407</v>
      </c>
      <c r="P60" s="5">
        <f>IF(ROW()&lt;=2+4,"",INDEX(Daily_Input!$F:$F,ROW()-5))</f>
        <v>177778.22355395212</v>
      </c>
      <c r="Q60" s="5">
        <f>IF(ROW()&lt;=2+5,"",INDEX(Daily_Input!$F:$F,ROW()-6))</f>
        <v>165869.35925545922</v>
      </c>
      <c r="R60" s="5">
        <f>IF(ROW()&lt;=2+6,"",INDEX(Daily_Input!$F:$F,ROW()-7))</f>
        <v>180621.98595023184</v>
      </c>
      <c r="S60" s="5">
        <f>IF(ROW()&lt;=2+7,"",INDEX(Daily_Input!$F:$F,ROW()-8))</f>
        <v>272728.24658660253</v>
      </c>
      <c r="T60" s="5">
        <f>IF(ROW()&lt;=2+8,"",INDEX(Daily_Input!$F:$F,ROW()-9))</f>
        <v>412239.01187944028</v>
      </c>
      <c r="U60" s="5">
        <f>IF(ROW()&lt;=2+9,"",INDEX(Daily_Input!$F:$F,ROW()-10))</f>
        <v>658820.49915628741</v>
      </c>
      <c r="V60" s="5">
        <f>IF(ROW()&lt;=2+10,"",INDEX(Daily_Input!$F:$F,ROW()-11))</f>
        <v>986251.87556389906</v>
      </c>
      <c r="W60" s="5">
        <f>IF(ROW()&lt;=2+11,"",INDEX(Daily_Input!$F:$F,ROW()-12))</f>
        <v>677241.19359863247</v>
      </c>
      <c r="X60" s="5">
        <f>IF(ROW()&lt;=2+12,"",INDEX(Daily_Input!$F:$F,ROW()-13))</f>
        <v>123882.52586460387</v>
      </c>
      <c r="Y60" s="5">
        <f>IF(ROW()&lt;=2+13,"",INDEX(Daily_Input!$F:$F,ROW()-14))</f>
        <v>98688.858359799415</v>
      </c>
      <c r="Z60" s="5">
        <f>IF(ROW()&lt;=4,"",SUM(Daily_Input!I60:I62))</f>
        <v>23</v>
      </c>
      <c r="AA60" s="5">
        <f>IF(ROW()&lt;=8,"",SUM(Daily_Input!I60:I66))</f>
        <v>44.8</v>
      </c>
      <c r="AB60" s="5">
        <f>IF(ROW()&lt;=15,"",SUM(Daily_Input!I60:I73))</f>
        <v>49.199999999999996</v>
      </c>
      <c r="AC60" s="5">
        <f>IF(ROW()&lt;=4,"",AVERAGE(Daily_Input!F60:F62))</f>
        <v>492291.38906251173</v>
      </c>
      <c r="AD60" s="5">
        <f>IF(ROW()&lt;=8,"",AVERAGE(Daily_Input!F60:F66))</f>
        <v>342902.11676738708</v>
      </c>
      <c r="AE60" s="5">
        <f>IF(ROW()&lt;=8,"",MAX(Daily_Input!F60:F66))</f>
        <v>682636.01528965402</v>
      </c>
      <c r="AF60" s="5">
        <f>IF(ROW()&lt;=2+0,"",INDEX(Daily_Input!$G:$G,ROW()-1))</f>
        <v>15019.2</v>
      </c>
      <c r="AG60" s="5">
        <f>IF(ROW()&lt;=2+0,"",INDEX(Daily_Input!$H:$H,ROW()-1))</f>
        <v>857970.94030000002</v>
      </c>
      <c r="AH60" s="5">
        <f>IF(ROW()&lt;=2+1,"",INDEX(Daily_Input!$G:$G,ROW()-2))</f>
        <v>15019.2</v>
      </c>
      <c r="AI60" s="5">
        <f>IF(ROW()&lt;=2+1,"",INDEX(Daily_Input!$H:$H,ROW()-2))</f>
        <v>237354.42230000001</v>
      </c>
      <c r="AJ60" s="5">
        <f>IF(ROW()&lt;=2+2,"",INDEX(Daily_Input!$G:$G,ROW()-3))</f>
        <v>15019.2</v>
      </c>
      <c r="AK60" s="5">
        <f>IF(ROW()&lt;=2+2,"",INDEX(Daily_Input!$H:$H,ROW()-3))</f>
        <v>209954.82500000001</v>
      </c>
    </row>
    <row r="61" spans="1:37">
      <c r="A61" s="5">
        <f>Daily_Input!A61</f>
        <v>45898</v>
      </c>
      <c r="B61" s="5">
        <f>Daily_Input!F61</f>
        <v>456831.75149520702</v>
      </c>
      <c r="C61" s="5">
        <f>Daily_Input!D61</f>
        <v>489.77</v>
      </c>
      <c r="D61" s="5">
        <f>Daily_Input!E61</f>
        <v>1695162.8519716</v>
      </c>
      <c r="E61" s="5">
        <f>IF(ROW()=2,"",Daily_Input!E61-Daily_Input!E60)</f>
        <v>-18361.381767299958</v>
      </c>
      <c r="F61" s="5">
        <f>IFERROR(Daily_Input!E61/Config!$B$4,"")</f>
        <v>1.0428795121177814</v>
      </c>
      <c r="G61" s="5">
        <f>Daily_Input!I61</f>
        <v>0</v>
      </c>
      <c r="H61" s="5">
        <f>IF(A61="","",IF(ROW()=2,G61,Config!$B$5*H60+G61))</f>
        <v>225.49577907028012</v>
      </c>
      <c r="I61" s="5">
        <f t="shared" si="0"/>
        <v>241</v>
      </c>
      <c r="J61" s="5">
        <f>IF(I61="","",SIN(2*PI()*I61/Config!$B$6))</f>
        <v>-0.84524905735306333</v>
      </c>
      <c r="K61" s="5">
        <f>IF(I61="","",COS(2*PI()*I61/Config!$B$6))</f>
        <v>-0.53437255828097852</v>
      </c>
      <c r="L61" s="5">
        <f>IF(ROW()&lt;=2+0,"",INDEX(Daily_Input!$F:$F,ROW()-1))</f>
        <v>682636.01528965402</v>
      </c>
      <c r="M61" s="5">
        <f>IF(ROW()&lt;=2+1,"",INDEX(Daily_Input!$F:$F,ROW()-2))</f>
        <v>932836.67180179933</v>
      </c>
      <c r="N61" s="5">
        <f>IF(ROW()&lt;=2+2,"",INDEX(Daily_Input!$F:$F,ROW()-3))</f>
        <v>237223.24894104595</v>
      </c>
      <c r="O61" s="5">
        <f>IF(ROW()&lt;=2+3,"",INDEX(Daily_Input!$F:$F,ROW()-4))</f>
        <v>215510.0886564416</v>
      </c>
      <c r="P61" s="5">
        <f>IF(ROW()&lt;=2+4,"",INDEX(Daily_Input!$F:$F,ROW()-5))</f>
        <v>337206.41036553407</v>
      </c>
      <c r="Q61" s="5">
        <f>IF(ROW()&lt;=2+5,"",INDEX(Daily_Input!$F:$F,ROW()-6))</f>
        <v>177778.22355395212</v>
      </c>
      <c r="R61" s="5">
        <f>IF(ROW()&lt;=2+6,"",INDEX(Daily_Input!$F:$F,ROW()-7))</f>
        <v>165869.35925545922</v>
      </c>
      <c r="S61" s="5">
        <f>IF(ROW()&lt;=2+7,"",INDEX(Daily_Input!$F:$F,ROW()-8))</f>
        <v>180621.98595023184</v>
      </c>
      <c r="T61" s="5">
        <f>IF(ROW()&lt;=2+8,"",INDEX(Daily_Input!$F:$F,ROW()-9))</f>
        <v>272728.24658660253</v>
      </c>
      <c r="U61" s="5">
        <f>IF(ROW()&lt;=2+9,"",INDEX(Daily_Input!$F:$F,ROW()-10))</f>
        <v>412239.01187944028</v>
      </c>
      <c r="V61" s="5">
        <f>IF(ROW()&lt;=2+10,"",INDEX(Daily_Input!$F:$F,ROW()-11))</f>
        <v>658820.49915628741</v>
      </c>
      <c r="W61" s="5">
        <f>IF(ROW()&lt;=2+11,"",INDEX(Daily_Input!$F:$F,ROW()-12))</f>
        <v>986251.87556389906</v>
      </c>
      <c r="X61" s="5">
        <f>IF(ROW()&lt;=2+12,"",INDEX(Daily_Input!$F:$F,ROW()-13))</f>
        <v>677241.19359863247</v>
      </c>
      <c r="Y61" s="5">
        <f>IF(ROW()&lt;=2+13,"",INDEX(Daily_Input!$F:$F,ROW()-14))</f>
        <v>123882.52586460387</v>
      </c>
      <c r="Z61" s="5">
        <f>IF(ROW()&lt;=4,"",SUM(Daily_Input!I61:I63))</f>
        <v>13.4</v>
      </c>
      <c r="AA61" s="5">
        <f>IF(ROW()&lt;=8,"",SUM(Daily_Input!I61:I67))</f>
        <v>21.799999999999997</v>
      </c>
      <c r="AB61" s="5">
        <f>IF(ROW()&lt;=15,"",SUM(Daily_Input!I61:I74))</f>
        <v>32.199999999999996</v>
      </c>
      <c r="AC61" s="5">
        <f>IF(ROW()&lt;=4,"",AVERAGE(Daily_Input!F61:F63))</f>
        <v>364311.5867560078</v>
      </c>
      <c r="AD61" s="5">
        <f>IF(ROW()&lt;=8,"",AVERAGE(Daily_Input!F61:F67))</f>
        <v>263731.52018523298</v>
      </c>
      <c r="AE61" s="5">
        <f>IF(ROW()&lt;=8,"",MAX(Daily_Input!F61:F67))</f>
        <v>456831.75149520702</v>
      </c>
      <c r="AF61" s="5">
        <f>IF(ROW()&lt;=2+0,"",INDEX(Daily_Input!$G:$G,ROW()-1))</f>
        <v>15019.2</v>
      </c>
      <c r="AG61" s="5">
        <f>IF(ROW()&lt;=2+0,"",INDEX(Daily_Input!$H:$H,ROW()-1))</f>
        <v>686103.61320000002</v>
      </c>
      <c r="AH61" s="5">
        <f>IF(ROW()&lt;=2+1,"",INDEX(Daily_Input!$G:$G,ROW()-2))</f>
        <v>15019.2</v>
      </c>
      <c r="AI61" s="5">
        <f>IF(ROW()&lt;=2+1,"",INDEX(Daily_Input!$H:$H,ROW()-2))</f>
        <v>857970.94030000002</v>
      </c>
      <c r="AJ61" s="5">
        <f>IF(ROW()&lt;=2+2,"",INDEX(Daily_Input!$G:$G,ROW()-3))</f>
        <v>15019.2</v>
      </c>
      <c r="AK61" s="5">
        <f>IF(ROW()&lt;=2+2,"",INDEX(Daily_Input!$H:$H,ROW()-3))</f>
        <v>237354.42230000001</v>
      </c>
    </row>
    <row r="62" spans="1:37">
      <c r="A62" s="5">
        <f>Daily_Input!A62</f>
        <v>45899</v>
      </c>
      <c r="B62" s="5">
        <f>Daily_Input!F62</f>
        <v>337406.40040267422</v>
      </c>
      <c r="C62" s="5">
        <f>Daily_Input!D62</f>
        <v>489.71699999999998</v>
      </c>
      <c r="D62" s="5">
        <f>Daily_Input!E62</f>
        <v>1676891.4600323001</v>
      </c>
      <c r="E62" s="5">
        <f>IF(ROW()=2,"",Daily_Input!E62-Daily_Input!E61)</f>
        <v>-18271.39193929988</v>
      </c>
      <c r="F62" s="5">
        <f>IFERROR(Daily_Input!E62/Config!$B$4,"")</f>
        <v>1.0316387866091923</v>
      </c>
      <c r="G62" s="5">
        <f>Daily_Input!I62</f>
        <v>0</v>
      </c>
      <c r="H62" s="5">
        <f>IF(A62="","",IF(ROW()=2,G62,Config!$B$5*H61+G62))</f>
        <v>214.2209901167661</v>
      </c>
      <c r="I62" s="5">
        <f t="shared" si="0"/>
        <v>242</v>
      </c>
      <c r="J62" s="5">
        <f>IF(I62="","",SIN(2*PI()*I62/Config!$B$6))</f>
        <v>-0.85432216974982689</v>
      </c>
      <c r="K62" s="5">
        <f>IF(I62="","",COS(2*PI()*I62/Config!$B$6))</f>
        <v>-0.51974381215551568</v>
      </c>
      <c r="L62" s="5">
        <f>IF(ROW()&lt;=2+0,"",INDEX(Daily_Input!$F:$F,ROW()-1))</f>
        <v>456831.75149520702</v>
      </c>
      <c r="M62" s="5">
        <f>IF(ROW()&lt;=2+1,"",INDEX(Daily_Input!$F:$F,ROW()-2))</f>
        <v>682636.01528965402</v>
      </c>
      <c r="N62" s="5">
        <f>IF(ROW()&lt;=2+2,"",INDEX(Daily_Input!$F:$F,ROW()-3))</f>
        <v>932836.67180179933</v>
      </c>
      <c r="O62" s="5">
        <f>IF(ROW()&lt;=2+3,"",INDEX(Daily_Input!$F:$F,ROW()-4))</f>
        <v>237223.24894104595</v>
      </c>
      <c r="P62" s="5">
        <f>IF(ROW()&lt;=2+4,"",INDEX(Daily_Input!$F:$F,ROW()-5))</f>
        <v>215510.0886564416</v>
      </c>
      <c r="Q62" s="5">
        <f>IF(ROW()&lt;=2+5,"",INDEX(Daily_Input!$F:$F,ROW()-6))</f>
        <v>337206.41036553407</v>
      </c>
      <c r="R62" s="5">
        <f>IF(ROW()&lt;=2+6,"",INDEX(Daily_Input!$F:$F,ROW()-7))</f>
        <v>177778.22355395212</v>
      </c>
      <c r="S62" s="5">
        <f>IF(ROW()&lt;=2+7,"",INDEX(Daily_Input!$F:$F,ROW()-8))</f>
        <v>165869.35925545922</v>
      </c>
      <c r="T62" s="5">
        <f>IF(ROW()&lt;=2+8,"",INDEX(Daily_Input!$F:$F,ROW()-9))</f>
        <v>180621.98595023184</v>
      </c>
      <c r="U62" s="5">
        <f>IF(ROW()&lt;=2+9,"",INDEX(Daily_Input!$F:$F,ROW()-10))</f>
        <v>272728.24658660253</v>
      </c>
      <c r="V62" s="5">
        <f>IF(ROW()&lt;=2+10,"",INDEX(Daily_Input!$F:$F,ROW()-11))</f>
        <v>412239.01187944028</v>
      </c>
      <c r="W62" s="5">
        <f>IF(ROW()&lt;=2+11,"",INDEX(Daily_Input!$F:$F,ROW()-12))</f>
        <v>658820.49915628741</v>
      </c>
      <c r="X62" s="5">
        <f>IF(ROW()&lt;=2+12,"",INDEX(Daily_Input!$F:$F,ROW()-13))</f>
        <v>986251.87556389906</v>
      </c>
      <c r="Y62" s="5">
        <f>IF(ROW()&lt;=2+13,"",INDEX(Daily_Input!$F:$F,ROW()-14))</f>
        <v>677241.19359863247</v>
      </c>
      <c r="Z62" s="5">
        <f>IF(ROW()&lt;=4,"",SUM(Daily_Input!I62:I64))</f>
        <v>17.2</v>
      </c>
      <c r="AA62" s="5">
        <f>IF(ROW()&lt;=8,"",SUM(Daily_Input!I62:I68))</f>
        <v>21.799999999999997</v>
      </c>
      <c r="AB62" s="5">
        <f>IF(ROW()&lt;=15,"",SUM(Daily_Input!I62:I75))</f>
        <v>32.199999999999996</v>
      </c>
      <c r="AC62" s="5">
        <f>IF(ROW()&lt;=4,"",AVERAGE(Daily_Input!F62:F64))</f>
        <v>290974.90171564976</v>
      </c>
      <c r="AD62" s="5">
        <f>IF(ROW()&lt;=8,"",AVERAGE(Daily_Input!F62:F68))</f>
        <v>209691.79835394979</v>
      </c>
      <c r="AE62" s="5">
        <f>IF(ROW()&lt;=8,"",MAX(Daily_Input!F62:F68))</f>
        <v>337406.40040267422</v>
      </c>
      <c r="AF62" s="5">
        <f>IF(ROW()&lt;=2+0,"",INDEX(Daily_Input!$G:$G,ROW()-1))</f>
        <v>15019.2</v>
      </c>
      <c r="AG62" s="5">
        <f>IF(ROW()&lt;=2+0,"",INDEX(Daily_Input!$H:$H,ROW()-1))</f>
        <v>459308.64809999999</v>
      </c>
      <c r="AH62" s="5">
        <f>IF(ROW()&lt;=2+1,"",INDEX(Daily_Input!$G:$G,ROW()-2))</f>
        <v>15019.2</v>
      </c>
      <c r="AI62" s="5">
        <f>IF(ROW()&lt;=2+1,"",INDEX(Daily_Input!$H:$H,ROW()-2))</f>
        <v>686103.61320000002</v>
      </c>
      <c r="AJ62" s="5">
        <f>IF(ROW()&lt;=2+2,"",INDEX(Daily_Input!$G:$G,ROW()-3))</f>
        <v>15019.2</v>
      </c>
      <c r="AK62" s="5">
        <f>IF(ROW()&lt;=2+2,"",INDEX(Daily_Input!$H:$H,ROW()-3))</f>
        <v>857970.94030000002</v>
      </c>
    </row>
    <row r="63" spans="1:37">
      <c r="A63" s="5">
        <f>Daily_Input!A63</f>
        <v>45900</v>
      </c>
      <c r="B63" s="5">
        <f>Daily_Input!F63</f>
        <v>298696.60837014229</v>
      </c>
      <c r="C63" s="5">
        <f>Daily_Input!D63</f>
        <v>489.70499999999998</v>
      </c>
      <c r="D63" s="5">
        <f>Daily_Input!E63</f>
        <v>1673851.7406957999</v>
      </c>
      <c r="E63" s="5">
        <f>IF(ROW()=2,"",Daily_Input!E63-Daily_Input!E62)</f>
        <v>-3039.7193365001585</v>
      </c>
      <c r="F63" s="5">
        <f>IFERROR(Daily_Input!E63/Config!$B$4,"")</f>
        <v>1.0297687237919608</v>
      </c>
      <c r="G63" s="5">
        <f>Daily_Input!I63</f>
        <v>13.4</v>
      </c>
      <c r="H63" s="5">
        <f>IF(A63="","",IF(ROW()=2,G63,Config!$B$5*H62+G63))</f>
        <v>216.9099406109278</v>
      </c>
      <c r="I63" s="5">
        <f t="shared" si="0"/>
        <v>243</v>
      </c>
      <c r="J63" s="5">
        <f>IF(I63="","",SIN(2*PI()*I63/Config!$B$6))</f>
        <v>-0.86314212804991153</v>
      </c>
      <c r="K63" s="5">
        <f>IF(I63="","",COS(2*PI()*I63/Config!$B$6))</f>
        <v>-0.5049610547215202</v>
      </c>
      <c r="L63" s="5">
        <f>IF(ROW()&lt;=2+0,"",INDEX(Daily_Input!$F:$F,ROW()-1))</f>
        <v>337406.40040267422</v>
      </c>
      <c r="M63" s="5">
        <f>IF(ROW()&lt;=2+1,"",INDEX(Daily_Input!$F:$F,ROW()-2))</f>
        <v>456831.75149520702</v>
      </c>
      <c r="N63" s="5">
        <f>IF(ROW()&lt;=2+2,"",INDEX(Daily_Input!$F:$F,ROW()-3))</f>
        <v>682636.01528965402</v>
      </c>
      <c r="O63" s="5">
        <f>IF(ROW()&lt;=2+3,"",INDEX(Daily_Input!$F:$F,ROW()-4))</f>
        <v>932836.67180179933</v>
      </c>
      <c r="P63" s="5">
        <f>IF(ROW()&lt;=2+4,"",INDEX(Daily_Input!$F:$F,ROW()-5))</f>
        <v>237223.24894104595</v>
      </c>
      <c r="Q63" s="5">
        <f>IF(ROW()&lt;=2+5,"",INDEX(Daily_Input!$F:$F,ROW()-6))</f>
        <v>215510.0886564416</v>
      </c>
      <c r="R63" s="5">
        <f>IF(ROW()&lt;=2+6,"",INDEX(Daily_Input!$F:$F,ROW()-7))</f>
        <v>337206.41036553407</v>
      </c>
      <c r="S63" s="5">
        <f>IF(ROW()&lt;=2+7,"",INDEX(Daily_Input!$F:$F,ROW()-8))</f>
        <v>177778.22355395212</v>
      </c>
      <c r="T63" s="5">
        <f>IF(ROW()&lt;=2+8,"",INDEX(Daily_Input!$F:$F,ROW()-9))</f>
        <v>165869.35925545922</v>
      </c>
      <c r="U63" s="5">
        <f>IF(ROW()&lt;=2+9,"",INDEX(Daily_Input!$F:$F,ROW()-10))</f>
        <v>180621.98595023184</v>
      </c>
      <c r="V63" s="5">
        <f>IF(ROW()&lt;=2+10,"",INDEX(Daily_Input!$F:$F,ROW()-11))</f>
        <v>272728.24658660253</v>
      </c>
      <c r="W63" s="5">
        <f>IF(ROW()&lt;=2+11,"",INDEX(Daily_Input!$F:$F,ROW()-12))</f>
        <v>412239.01187944028</v>
      </c>
      <c r="X63" s="5">
        <f>IF(ROW()&lt;=2+12,"",INDEX(Daily_Input!$F:$F,ROW()-13))</f>
        <v>658820.49915628741</v>
      </c>
      <c r="Y63" s="5">
        <f>IF(ROW()&lt;=2+13,"",INDEX(Daily_Input!$F:$F,ROW()-14))</f>
        <v>986251.87556389906</v>
      </c>
      <c r="Z63" s="5">
        <f>IF(ROW()&lt;=4,"",SUM(Daily_Input!I63:I65))</f>
        <v>18.599999999999998</v>
      </c>
      <c r="AA63" s="5">
        <f>IF(ROW()&lt;=8,"",SUM(Daily_Input!I63:I69))</f>
        <v>21.799999999999997</v>
      </c>
      <c r="AB63" s="5">
        <f>IF(ROW()&lt;=15,"",SUM(Daily_Input!I63:I76))</f>
        <v>32.199999999999996</v>
      </c>
      <c r="AC63" s="5">
        <f>IF(ROW()&lt;=4,"",AVERAGE(Daily_Input!F63:F65))</f>
        <v>243761.13017340997</v>
      </c>
      <c r="AD63" s="5">
        <f>IF(ROW()&lt;=8,"",AVERAGE(Daily_Input!F63:F69))</f>
        <v>167772.39638934616</v>
      </c>
      <c r="AE63" s="5">
        <f>IF(ROW()&lt;=8,"",MAX(Daily_Input!F63:F69))</f>
        <v>298696.60837014229</v>
      </c>
      <c r="AF63" s="5">
        <f>IF(ROW()&lt;=2+0,"",INDEX(Daily_Input!$G:$G,ROW()-1))</f>
        <v>15019.2</v>
      </c>
      <c r="AG63" s="5">
        <f>IF(ROW()&lt;=2+0,"",INDEX(Daily_Input!$H:$H,ROW()-1))</f>
        <v>339795.97820000001</v>
      </c>
      <c r="AH63" s="5">
        <f>IF(ROW()&lt;=2+1,"",INDEX(Daily_Input!$G:$G,ROW()-2))</f>
        <v>15019.2</v>
      </c>
      <c r="AI63" s="5">
        <f>IF(ROW()&lt;=2+1,"",INDEX(Daily_Input!$H:$H,ROW()-2))</f>
        <v>459308.64809999999</v>
      </c>
      <c r="AJ63" s="5">
        <f>IF(ROW()&lt;=2+2,"",INDEX(Daily_Input!$G:$G,ROW()-3))</f>
        <v>15019.2</v>
      </c>
      <c r="AK63" s="5">
        <f>IF(ROW()&lt;=2+2,"",INDEX(Daily_Input!$H:$H,ROW()-3))</f>
        <v>686103.61320000002</v>
      </c>
    </row>
    <row r="64" spans="1:37">
      <c r="A64" s="5">
        <f>Daily_Input!A64</f>
        <v>45901</v>
      </c>
      <c r="B64" s="5">
        <f>Daily_Input!F64</f>
        <v>236821.69637413273</v>
      </c>
      <c r="C64" s="5">
        <f>Daily_Input!D64</f>
        <v>489.68</v>
      </c>
      <c r="D64" s="5">
        <f>Daily_Input!E64</f>
        <v>1667776.8298903999</v>
      </c>
      <c r="E64" s="5">
        <f>IF(ROW()=2,"",Daily_Input!E64-Daily_Input!E63)</f>
        <v>-6074.9108053999953</v>
      </c>
      <c r="F64" s="5">
        <f>IFERROR(Daily_Input!E64/Config!$B$4,"")</f>
        <v>1.026031383742581</v>
      </c>
      <c r="G64" s="5">
        <f>Daily_Input!I64</f>
        <v>3.8</v>
      </c>
      <c r="H64" s="5">
        <f>IF(A64="","",IF(ROW()=2,G64,Config!$B$5*H63+G64))</f>
        <v>209.86444358038142</v>
      </c>
      <c r="I64" s="5">
        <f t="shared" si="0"/>
        <v>244</v>
      </c>
      <c r="J64" s="5">
        <f>IF(I64="","",SIN(2*PI()*I64/Config!$B$6))</f>
        <v>-0.87170631870932169</v>
      </c>
      <c r="K64" s="5">
        <f>IF(I64="","",COS(2*PI()*I64/Config!$B$6))</f>
        <v>-0.4900286664290594</v>
      </c>
      <c r="L64" s="5">
        <f>IF(ROW()&lt;=2+0,"",INDEX(Daily_Input!$F:$F,ROW()-1))</f>
        <v>298696.60837014229</v>
      </c>
      <c r="M64" s="5">
        <f>IF(ROW()&lt;=2+1,"",INDEX(Daily_Input!$F:$F,ROW()-2))</f>
        <v>337406.40040267422</v>
      </c>
      <c r="N64" s="5">
        <f>IF(ROW()&lt;=2+2,"",INDEX(Daily_Input!$F:$F,ROW()-3))</f>
        <v>456831.75149520702</v>
      </c>
      <c r="O64" s="5">
        <f>IF(ROW()&lt;=2+3,"",INDEX(Daily_Input!$F:$F,ROW()-4))</f>
        <v>682636.01528965402</v>
      </c>
      <c r="P64" s="5">
        <f>IF(ROW()&lt;=2+4,"",INDEX(Daily_Input!$F:$F,ROW()-5))</f>
        <v>932836.67180179933</v>
      </c>
      <c r="Q64" s="5">
        <f>IF(ROW()&lt;=2+5,"",INDEX(Daily_Input!$F:$F,ROW()-6))</f>
        <v>237223.24894104595</v>
      </c>
      <c r="R64" s="5">
        <f>IF(ROW()&lt;=2+6,"",INDEX(Daily_Input!$F:$F,ROW()-7))</f>
        <v>215510.0886564416</v>
      </c>
      <c r="S64" s="5">
        <f>IF(ROW()&lt;=2+7,"",INDEX(Daily_Input!$F:$F,ROW()-8))</f>
        <v>337206.41036553407</v>
      </c>
      <c r="T64" s="5">
        <f>IF(ROW()&lt;=2+8,"",INDEX(Daily_Input!$F:$F,ROW()-9))</f>
        <v>177778.22355395212</v>
      </c>
      <c r="U64" s="5">
        <f>IF(ROW()&lt;=2+9,"",INDEX(Daily_Input!$F:$F,ROW()-10))</f>
        <v>165869.35925545922</v>
      </c>
      <c r="V64" s="5">
        <f>IF(ROW()&lt;=2+10,"",INDEX(Daily_Input!$F:$F,ROW()-11))</f>
        <v>180621.98595023184</v>
      </c>
      <c r="W64" s="5">
        <f>IF(ROW()&lt;=2+11,"",INDEX(Daily_Input!$F:$F,ROW()-12))</f>
        <v>272728.24658660253</v>
      </c>
      <c r="X64" s="5">
        <f>IF(ROW()&lt;=2+12,"",INDEX(Daily_Input!$F:$F,ROW()-13))</f>
        <v>412239.01187944028</v>
      </c>
      <c r="Y64" s="5">
        <f>IF(ROW()&lt;=2+13,"",INDEX(Daily_Input!$F:$F,ROW()-14))</f>
        <v>658820.49915628741</v>
      </c>
      <c r="Z64" s="5">
        <f>IF(ROW()&lt;=4,"",SUM(Daily_Input!I64:I66))</f>
        <v>8.3999999999999986</v>
      </c>
      <c r="AA64" s="5">
        <f>IF(ROW()&lt;=8,"",SUM(Daily_Input!I64:I70))</f>
        <v>8.3999999999999986</v>
      </c>
      <c r="AB64" s="5">
        <f>IF(ROW()&lt;=15,"",SUM(Daily_Input!I64:I77))</f>
        <v>18.799999999999997</v>
      </c>
      <c r="AC64" s="5">
        <f>IF(ROW()&lt;=4,"",AVERAGE(Daily_Input!F64:F66))</f>
        <v>208248.01393801079</v>
      </c>
      <c r="AD64" s="5">
        <f>IF(ROW()&lt;=8,"",AVERAGE(Daily_Input!F64:F70))</f>
        <v>128095.70096248157</v>
      </c>
      <c r="AE64" s="5">
        <f>IF(ROW()&lt;=8,"",MAX(Daily_Input!F64:F70))</f>
        <v>236821.69637413273</v>
      </c>
      <c r="AF64" s="5">
        <f>IF(ROW()&lt;=2+0,"",INDEX(Daily_Input!$G:$G,ROW()-1))</f>
        <v>15019.2</v>
      </c>
      <c r="AG64" s="5">
        <f>IF(ROW()&lt;=2+0,"",INDEX(Daily_Input!$H:$H,ROW()-1))</f>
        <v>289927.22509999998</v>
      </c>
      <c r="AH64" s="5">
        <f>IF(ROW()&lt;=2+1,"",INDEX(Daily_Input!$G:$G,ROW()-2))</f>
        <v>15019.2</v>
      </c>
      <c r="AI64" s="5">
        <f>IF(ROW()&lt;=2+1,"",INDEX(Daily_Input!$H:$H,ROW()-2))</f>
        <v>339795.97820000001</v>
      </c>
      <c r="AJ64" s="5">
        <f>IF(ROW()&lt;=2+2,"",INDEX(Daily_Input!$G:$G,ROW()-3))</f>
        <v>15019.2</v>
      </c>
      <c r="AK64" s="5">
        <f>IF(ROW()&lt;=2+2,"",INDEX(Daily_Input!$H:$H,ROW()-3))</f>
        <v>459308.64809999999</v>
      </c>
    </row>
    <row r="65" spans="1:37">
      <c r="A65" s="5">
        <f>Daily_Input!A65</f>
        <v>45902</v>
      </c>
      <c r="B65" s="5">
        <f>Daily_Input!F65</f>
        <v>195765.08577595494</v>
      </c>
      <c r="C65" s="5">
        <f>Daily_Input!D65</f>
        <v>489.661</v>
      </c>
      <c r="D65" s="5">
        <f>Daily_Input!E65</f>
        <v>1661708.0167959</v>
      </c>
      <c r="E65" s="5">
        <f>IF(ROW()=2,"",Daily_Input!E65-Daily_Input!E64)</f>
        <v>-6068.8130944999866</v>
      </c>
      <c r="F65" s="5">
        <f>IFERROR(Daily_Input!E65/Config!$B$4,"")</f>
        <v>1.0222977950600747</v>
      </c>
      <c r="G65" s="5">
        <f>Daily_Input!I65</f>
        <v>1.4</v>
      </c>
      <c r="H65" s="5">
        <f>IF(A65="","",IF(ROW()=2,G65,Config!$B$5*H64+G65))</f>
        <v>200.77122140136234</v>
      </c>
      <c r="I65" s="5">
        <f t="shared" si="0"/>
        <v>245</v>
      </c>
      <c r="J65" s="5">
        <f>IF(I65="","",SIN(2*PI()*I65/Config!$B$6))</f>
        <v>-0.88001220397353563</v>
      </c>
      <c r="K65" s="5">
        <f>IF(I65="","",COS(2*PI()*I65/Config!$B$6))</f>
        <v>-0.47495107206705017</v>
      </c>
      <c r="L65" s="5">
        <f>IF(ROW()&lt;=2+0,"",INDEX(Daily_Input!$F:$F,ROW()-1))</f>
        <v>236821.69637413273</v>
      </c>
      <c r="M65" s="5">
        <f>IF(ROW()&lt;=2+1,"",INDEX(Daily_Input!$F:$F,ROW()-2))</f>
        <v>298696.60837014229</v>
      </c>
      <c r="N65" s="5">
        <f>IF(ROW()&lt;=2+2,"",INDEX(Daily_Input!$F:$F,ROW()-3))</f>
        <v>337406.40040267422</v>
      </c>
      <c r="O65" s="5">
        <f>IF(ROW()&lt;=2+3,"",INDEX(Daily_Input!$F:$F,ROW()-4))</f>
        <v>456831.75149520702</v>
      </c>
      <c r="P65" s="5">
        <f>IF(ROW()&lt;=2+4,"",INDEX(Daily_Input!$F:$F,ROW()-5))</f>
        <v>682636.01528965402</v>
      </c>
      <c r="Q65" s="5">
        <f>IF(ROW()&lt;=2+5,"",INDEX(Daily_Input!$F:$F,ROW()-6))</f>
        <v>932836.67180179933</v>
      </c>
      <c r="R65" s="5">
        <f>IF(ROW()&lt;=2+6,"",INDEX(Daily_Input!$F:$F,ROW()-7))</f>
        <v>237223.24894104595</v>
      </c>
      <c r="S65" s="5">
        <f>IF(ROW()&lt;=2+7,"",INDEX(Daily_Input!$F:$F,ROW()-8))</f>
        <v>215510.0886564416</v>
      </c>
      <c r="T65" s="5">
        <f>IF(ROW()&lt;=2+8,"",INDEX(Daily_Input!$F:$F,ROW()-9))</f>
        <v>337206.41036553407</v>
      </c>
      <c r="U65" s="5">
        <f>IF(ROW()&lt;=2+9,"",INDEX(Daily_Input!$F:$F,ROW()-10))</f>
        <v>177778.22355395212</v>
      </c>
      <c r="V65" s="5">
        <f>IF(ROW()&lt;=2+10,"",INDEX(Daily_Input!$F:$F,ROW()-11))</f>
        <v>165869.35925545922</v>
      </c>
      <c r="W65" s="5">
        <f>IF(ROW()&lt;=2+11,"",INDEX(Daily_Input!$F:$F,ROW()-12))</f>
        <v>180621.98595023184</v>
      </c>
      <c r="X65" s="5">
        <f>IF(ROW()&lt;=2+12,"",INDEX(Daily_Input!$F:$F,ROW()-13))</f>
        <v>272728.24658660253</v>
      </c>
      <c r="Y65" s="5">
        <f>IF(ROW()&lt;=2+13,"",INDEX(Daily_Input!$F:$F,ROW()-14))</f>
        <v>412239.01187944028</v>
      </c>
      <c r="Z65" s="5">
        <f>IF(ROW()&lt;=4,"",SUM(Daily_Input!I65:I67))</f>
        <v>4.5999999999999996</v>
      </c>
      <c r="AA65" s="5">
        <f>IF(ROW()&lt;=8,"",SUM(Daily_Input!I65:I71))</f>
        <v>9</v>
      </c>
      <c r="AB65" s="5">
        <f>IF(ROW()&lt;=15,"",SUM(Daily_Input!I65:I78))</f>
        <v>30.4</v>
      </c>
      <c r="AC65" s="5">
        <f>IF(ROW()&lt;=4,"",AVERAGE(Daily_Input!F65:F67))</f>
        <v>172121.3948848249</v>
      </c>
      <c r="AD65" s="5">
        <f>IF(ROW()&lt;=8,"",AVERAGE(Daily_Input!F65:F71))</f>
        <v>95527.268085955424</v>
      </c>
      <c r="AE65" s="5">
        <f>IF(ROW()&lt;=8,"",MAX(Daily_Input!F65:F71))</f>
        <v>195765.08577595494</v>
      </c>
      <c r="AF65" s="5">
        <f>IF(ROW()&lt;=2+0,"",INDEX(Daily_Input!$G:$G,ROW()-1))</f>
        <v>15019.199999999999</v>
      </c>
      <c r="AG65" s="5">
        <f>IF(ROW()&lt;=2+0,"",INDEX(Daily_Input!$H:$H,ROW()-1))</f>
        <v>228179.2309</v>
      </c>
      <c r="AH65" s="5">
        <f>IF(ROW()&lt;=2+1,"",INDEX(Daily_Input!$G:$G,ROW()-2))</f>
        <v>15019.2</v>
      </c>
      <c r="AI65" s="5">
        <f>IF(ROW()&lt;=2+1,"",INDEX(Daily_Input!$H:$H,ROW()-2))</f>
        <v>289927.22509999998</v>
      </c>
      <c r="AJ65" s="5">
        <f>IF(ROW()&lt;=2+2,"",INDEX(Daily_Input!$G:$G,ROW()-3))</f>
        <v>15019.2</v>
      </c>
      <c r="AK65" s="5">
        <f>IF(ROW()&lt;=2+2,"",INDEX(Daily_Input!$H:$H,ROW()-3))</f>
        <v>339795.97820000001</v>
      </c>
    </row>
    <row r="66" spans="1:37">
      <c r="A66" s="5">
        <f>Daily_Input!A66</f>
        <v>45903</v>
      </c>
      <c r="B66" s="5">
        <f>Daily_Input!F66</f>
        <v>192157.25966394474</v>
      </c>
      <c r="C66" s="5">
        <f>Daily_Input!D66</f>
        <v>489.661</v>
      </c>
      <c r="D66" s="5">
        <f>Daily_Input!E66</f>
        <v>1661708.0167959</v>
      </c>
      <c r="E66" s="5">
        <f>IF(ROW()=2,"",Daily_Input!E66-Daily_Input!E65)</f>
        <v>0</v>
      </c>
      <c r="F66" s="5">
        <f>IFERROR(Daily_Input!E66/Config!$B$4,"")</f>
        <v>1.0222977950600747</v>
      </c>
      <c r="G66" s="5">
        <f>Daily_Input!I66</f>
        <v>3.2</v>
      </c>
      <c r="H66" s="5">
        <f>IF(A66="","",IF(ROW()=2,G66,Config!$B$5*H65+G66))</f>
        <v>193.93266033129422</v>
      </c>
      <c r="I66" s="5">
        <f t="shared" si="0"/>
        <v>246</v>
      </c>
      <c r="J66" s="5">
        <f>IF(I66="","",SIN(2*PI()*I66/Config!$B$6))</f>
        <v>-0.888057322629493</v>
      </c>
      <c r="K66" s="5">
        <f>IF(I66="","",COS(2*PI()*I66/Config!$B$6))</f>
        <v>-0.45973273945210458</v>
      </c>
      <c r="L66" s="5">
        <f>IF(ROW()&lt;=2+0,"",INDEX(Daily_Input!$F:$F,ROW()-1))</f>
        <v>195765.08577595494</v>
      </c>
      <c r="M66" s="5">
        <f>IF(ROW()&lt;=2+1,"",INDEX(Daily_Input!$F:$F,ROW()-2))</f>
        <v>236821.69637413273</v>
      </c>
      <c r="N66" s="5">
        <f>IF(ROW()&lt;=2+2,"",INDEX(Daily_Input!$F:$F,ROW()-3))</f>
        <v>298696.60837014229</v>
      </c>
      <c r="O66" s="5">
        <f>IF(ROW()&lt;=2+3,"",INDEX(Daily_Input!$F:$F,ROW()-4))</f>
        <v>337406.40040267422</v>
      </c>
      <c r="P66" s="5">
        <f>IF(ROW()&lt;=2+4,"",INDEX(Daily_Input!$F:$F,ROW()-5))</f>
        <v>456831.75149520702</v>
      </c>
      <c r="Q66" s="5">
        <f>IF(ROW()&lt;=2+5,"",INDEX(Daily_Input!$F:$F,ROW()-6))</f>
        <v>682636.01528965402</v>
      </c>
      <c r="R66" s="5">
        <f>IF(ROW()&lt;=2+6,"",INDEX(Daily_Input!$F:$F,ROW()-7))</f>
        <v>932836.67180179933</v>
      </c>
      <c r="S66" s="5">
        <f>IF(ROW()&lt;=2+7,"",INDEX(Daily_Input!$F:$F,ROW()-8))</f>
        <v>237223.24894104595</v>
      </c>
      <c r="T66" s="5">
        <f>IF(ROW()&lt;=2+8,"",INDEX(Daily_Input!$F:$F,ROW()-9))</f>
        <v>215510.0886564416</v>
      </c>
      <c r="U66" s="5">
        <f>IF(ROW()&lt;=2+9,"",INDEX(Daily_Input!$F:$F,ROW()-10))</f>
        <v>337206.41036553407</v>
      </c>
      <c r="V66" s="5">
        <f>IF(ROW()&lt;=2+10,"",INDEX(Daily_Input!$F:$F,ROW()-11))</f>
        <v>177778.22355395212</v>
      </c>
      <c r="W66" s="5">
        <f>IF(ROW()&lt;=2+11,"",INDEX(Daily_Input!$F:$F,ROW()-12))</f>
        <v>165869.35925545922</v>
      </c>
      <c r="X66" s="5">
        <f>IF(ROW()&lt;=2+12,"",INDEX(Daily_Input!$F:$F,ROW()-13))</f>
        <v>180621.98595023184</v>
      </c>
      <c r="Y66" s="5">
        <f>IF(ROW()&lt;=2+13,"",INDEX(Daily_Input!$F:$F,ROW()-14))</f>
        <v>272728.24658660253</v>
      </c>
      <c r="Z66" s="5">
        <f>IF(ROW()&lt;=4,"",SUM(Daily_Input!I66:I68))</f>
        <v>3.2</v>
      </c>
      <c r="AA66" s="5">
        <f>IF(ROW()&lt;=8,"",SUM(Daily_Input!I66:I72))</f>
        <v>7.6000000000000005</v>
      </c>
      <c r="AB66" s="5">
        <f>IF(ROW()&lt;=15,"",SUM(Daily_Input!I66:I79))</f>
        <v>34.799999999999997</v>
      </c>
      <c r="AC66" s="5">
        <f>IF(ROW()&lt;=4,"",AVERAGE(Daily_Input!F66:F68))</f>
        <v>133050.9325182481</v>
      </c>
      <c r="AD66" s="5">
        <f>IF(ROW()&lt;=8,"",AVERAGE(Daily_Input!F66:F72))</f>
        <v>68538.738469017058</v>
      </c>
      <c r="AE66" s="5">
        <f>IF(ROW()&lt;=8,"",MAX(Daily_Input!F66:F72))</f>
        <v>192157.25966394474</v>
      </c>
      <c r="AF66" s="5">
        <f>IF(ROW()&lt;=2+0,"",INDEX(Daily_Input!$G:$G,ROW()-1))</f>
        <v>15019.199999999999</v>
      </c>
      <c r="AG66" s="5">
        <f>IF(ROW()&lt;=2+0,"",INDEX(Daily_Input!$H:$H,ROW()-1))</f>
        <v>186388.3193</v>
      </c>
      <c r="AH66" s="5">
        <f>IF(ROW()&lt;=2+1,"",INDEX(Daily_Input!$G:$G,ROW()-2))</f>
        <v>15019.199999999999</v>
      </c>
      <c r="AI66" s="5">
        <f>IF(ROW()&lt;=2+1,"",INDEX(Daily_Input!$H:$H,ROW()-2))</f>
        <v>228179.2309</v>
      </c>
      <c r="AJ66" s="5">
        <f>IF(ROW()&lt;=2+2,"",INDEX(Daily_Input!$G:$G,ROW()-3))</f>
        <v>15019.2</v>
      </c>
      <c r="AK66" s="5">
        <f>IF(ROW()&lt;=2+2,"",INDEX(Daily_Input!$H:$H,ROW()-3))</f>
        <v>289927.22509999998</v>
      </c>
    </row>
    <row r="67" spans="1:37">
      <c r="A67" s="5">
        <f>Daily_Input!A67</f>
        <v>45904</v>
      </c>
      <c r="B67" s="5">
        <f>Daily_Input!F67</f>
        <v>128441.83921457497</v>
      </c>
      <c r="C67" s="5">
        <f>Daily_Input!D67</f>
        <v>489.63997999999998</v>
      </c>
      <c r="D67" s="5">
        <f>Daily_Input!E67</f>
        <v>1652616.0060848999</v>
      </c>
      <c r="E67" s="5">
        <f>IF(ROW()=2,"",Daily_Input!E67-Daily_Input!E66)</f>
        <v>-9092.0107110000681</v>
      </c>
      <c r="F67" s="5">
        <f>IFERROR(Daily_Input!E67/Config!$B$4,"")</f>
        <v>1.0167043078718501</v>
      </c>
      <c r="G67" s="5">
        <f>Daily_Input!I67</f>
        <v>0</v>
      </c>
      <c r="H67" s="5">
        <f>IF(A67="","",IF(ROW()=2,G67,Config!$B$5*H66+G67))</f>
        <v>184.23602731472948</v>
      </c>
      <c r="I67" s="5">
        <f t="shared" ref="I67:I130" si="1">IF(A67="","",A67-DATE(YEAR(A67),1,0))</f>
        <v>247</v>
      </c>
      <c r="J67" s="5">
        <f>IF(I67="","",SIN(2*PI()*I67/Config!$B$6))</f>
        <v>-0.89583929073490887</v>
      </c>
      <c r="K67" s="5">
        <f>IF(I67="","",COS(2*PI()*I67/Config!$B$6))</f>
        <v>-0.44437817810461339</v>
      </c>
      <c r="L67" s="5">
        <f>IF(ROW()&lt;=2+0,"",INDEX(Daily_Input!$F:$F,ROW()-1))</f>
        <v>192157.25966394474</v>
      </c>
      <c r="M67" s="5">
        <f>IF(ROW()&lt;=2+1,"",INDEX(Daily_Input!$F:$F,ROW()-2))</f>
        <v>195765.08577595494</v>
      </c>
      <c r="N67" s="5">
        <f>IF(ROW()&lt;=2+2,"",INDEX(Daily_Input!$F:$F,ROW()-3))</f>
        <v>236821.69637413273</v>
      </c>
      <c r="O67" s="5">
        <f>IF(ROW()&lt;=2+3,"",INDEX(Daily_Input!$F:$F,ROW()-4))</f>
        <v>298696.60837014229</v>
      </c>
      <c r="P67" s="5">
        <f>IF(ROW()&lt;=2+4,"",INDEX(Daily_Input!$F:$F,ROW()-5))</f>
        <v>337406.40040267422</v>
      </c>
      <c r="Q67" s="5">
        <f>IF(ROW()&lt;=2+5,"",INDEX(Daily_Input!$F:$F,ROW()-6))</f>
        <v>456831.75149520702</v>
      </c>
      <c r="R67" s="5">
        <f>IF(ROW()&lt;=2+6,"",INDEX(Daily_Input!$F:$F,ROW()-7))</f>
        <v>682636.01528965402</v>
      </c>
      <c r="S67" s="5">
        <f>IF(ROW()&lt;=2+7,"",INDEX(Daily_Input!$F:$F,ROW()-8))</f>
        <v>932836.67180179933</v>
      </c>
      <c r="T67" s="5">
        <f>IF(ROW()&lt;=2+8,"",INDEX(Daily_Input!$F:$F,ROW()-9))</f>
        <v>237223.24894104595</v>
      </c>
      <c r="U67" s="5">
        <f>IF(ROW()&lt;=2+9,"",INDEX(Daily_Input!$F:$F,ROW()-10))</f>
        <v>215510.0886564416</v>
      </c>
      <c r="V67" s="5">
        <f>IF(ROW()&lt;=2+10,"",INDEX(Daily_Input!$F:$F,ROW()-11))</f>
        <v>337206.41036553407</v>
      </c>
      <c r="W67" s="5">
        <f>IF(ROW()&lt;=2+11,"",INDEX(Daily_Input!$F:$F,ROW()-12))</f>
        <v>177778.22355395212</v>
      </c>
      <c r="X67" s="5">
        <f>IF(ROW()&lt;=2+12,"",INDEX(Daily_Input!$F:$F,ROW()-13))</f>
        <v>165869.35925545922</v>
      </c>
      <c r="Y67" s="5">
        <f>IF(ROW()&lt;=2+13,"",INDEX(Daily_Input!$F:$F,ROW()-14))</f>
        <v>180621.98595023184</v>
      </c>
      <c r="Z67" s="5">
        <f>IF(ROW()&lt;=4,"",SUM(Daily_Input!I67:I69))</f>
        <v>0</v>
      </c>
      <c r="AA67" s="5">
        <f>IF(ROW()&lt;=8,"",SUM(Daily_Input!I67:I73))</f>
        <v>4.4000000000000004</v>
      </c>
      <c r="AB67" s="5">
        <f>IF(ROW()&lt;=15,"",SUM(Daily_Input!I67:I80))</f>
        <v>31.6</v>
      </c>
      <c r="AC67" s="5">
        <f>IF(ROW()&lt;=4,"",AVERAGE(Daily_Input!F67:F69))</f>
        <v>83655.374847082872</v>
      </c>
      <c r="AD67" s="5">
        <f>IF(ROW()&lt;=8,"",AVERAGE(Daily_Input!F67:F73))</f>
        <v>42067.395298246083</v>
      </c>
      <c r="AE67" s="5">
        <f>IF(ROW()&lt;=8,"",MAX(Daily_Input!F67:F73))</f>
        <v>128441.83921457497</v>
      </c>
      <c r="AF67" s="5">
        <f>IF(ROW()&lt;=2+0,"",INDEX(Daily_Input!$G:$G,ROW()-1))</f>
        <v>15019.199999999999</v>
      </c>
      <c r="AG67" s="5">
        <f>IF(ROW()&lt;=2+0,"",INDEX(Daily_Input!$H:$H,ROW()-1))</f>
        <v>177257.60769999999</v>
      </c>
      <c r="AH67" s="5">
        <f>IF(ROW()&lt;=2+1,"",INDEX(Daily_Input!$G:$G,ROW()-2))</f>
        <v>15019.199999999999</v>
      </c>
      <c r="AI67" s="5">
        <f>IF(ROW()&lt;=2+1,"",INDEX(Daily_Input!$H:$H,ROW()-2))</f>
        <v>186388.3193</v>
      </c>
      <c r="AJ67" s="5">
        <f>IF(ROW()&lt;=2+2,"",INDEX(Daily_Input!$G:$G,ROW()-3))</f>
        <v>15019.199999999999</v>
      </c>
      <c r="AK67" s="5">
        <f>IF(ROW()&lt;=2+2,"",INDEX(Daily_Input!$H:$H,ROW()-3))</f>
        <v>228179.2309</v>
      </c>
    </row>
    <row r="68" spans="1:37">
      <c r="A68" s="5">
        <f>Daily_Input!A68</f>
        <v>45905</v>
      </c>
      <c r="B68" s="5">
        <f>Daily_Input!F68</f>
        <v>78553.698676224551</v>
      </c>
      <c r="C68" s="5">
        <f>Daily_Input!D68</f>
        <v>489.608</v>
      </c>
      <c r="D68" s="5">
        <f>Daily_Input!E68</f>
        <v>1643538.2164867001</v>
      </c>
      <c r="E68" s="5">
        <f>IF(ROW()=2,"",Daily_Input!E68-Daily_Input!E67)</f>
        <v>-9077.7895981997717</v>
      </c>
      <c r="F68" s="5">
        <f>IFERROR(Daily_Input!E68/Config!$B$4,"")</f>
        <v>1.0111195696407902</v>
      </c>
      <c r="G68" s="5">
        <f>Daily_Input!I68</f>
        <v>0</v>
      </c>
      <c r="H68" s="5">
        <f>IF(A68="","",IF(ROW()=2,G68,Config!$B$5*H67+G68))</f>
        <v>175.02422594899301</v>
      </c>
      <c r="I68" s="5">
        <f t="shared" si="1"/>
        <v>248</v>
      </c>
      <c r="J68" s="5">
        <f>IF(I68="","",SIN(2*PI()*I68/Config!$B$6))</f>
        <v>-0.90335580232468415</v>
      </c>
      <c r="K68" s="5">
        <f>IF(I68="","",COS(2*PI()*I68/Config!$B$6))</f>
        <v>-0.42889193791248409</v>
      </c>
      <c r="L68" s="5">
        <f>IF(ROW()&lt;=2+0,"",INDEX(Daily_Input!$F:$F,ROW()-1))</f>
        <v>128441.83921457497</v>
      </c>
      <c r="M68" s="5">
        <f>IF(ROW()&lt;=2+1,"",INDEX(Daily_Input!$F:$F,ROW()-2))</f>
        <v>192157.25966394474</v>
      </c>
      <c r="N68" s="5">
        <f>IF(ROW()&lt;=2+2,"",INDEX(Daily_Input!$F:$F,ROW()-3))</f>
        <v>195765.08577595494</v>
      </c>
      <c r="O68" s="5">
        <f>IF(ROW()&lt;=2+3,"",INDEX(Daily_Input!$F:$F,ROW()-4))</f>
        <v>236821.69637413273</v>
      </c>
      <c r="P68" s="5">
        <f>IF(ROW()&lt;=2+4,"",INDEX(Daily_Input!$F:$F,ROW()-5))</f>
        <v>298696.60837014229</v>
      </c>
      <c r="Q68" s="5">
        <f>IF(ROW()&lt;=2+5,"",INDEX(Daily_Input!$F:$F,ROW()-6))</f>
        <v>337406.40040267422</v>
      </c>
      <c r="R68" s="5">
        <f>IF(ROW()&lt;=2+6,"",INDEX(Daily_Input!$F:$F,ROW()-7))</f>
        <v>456831.75149520702</v>
      </c>
      <c r="S68" s="5">
        <f>IF(ROW()&lt;=2+7,"",INDEX(Daily_Input!$F:$F,ROW()-8))</f>
        <v>682636.01528965402</v>
      </c>
      <c r="T68" s="5">
        <f>IF(ROW()&lt;=2+8,"",INDEX(Daily_Input!$F:$F,ROW()-9))</f>
        <v>932836.67180179933</v>
      </c>
      <c r="U68" s="5">
        <f>IF(ROW()&lt;=2+9,"",INDEX(Daily_Input!$F:$F,ROW()-10))</f>
        <v>237223.24894104595</v>
      </c>
      <c r="V68" s="5">
        <f>IF(ROW()&lt;=2+10,"",INDEX(Daily_Input!$F:$F,ROW()-11))</f>
        <v>215510.0886564416</v>
      </c>
      <c r="W68" s="5">
        <f>IF(ROW()&lt;=2+11,"",INDEX(Daily_Input!$F:$F,ROW()-12))</f>
        <v>337206.41036553407</v>
      </c>
      <c r="X68" s="5">
        <f>IF(ROW()&lt;=2+12,"",INDEX(Daily_Input!$F:$F,ROW()-13))</f>
        <v>177778.22355395212</v>
      </c>
      <c r="Y68" s="5">
        <f>IF(ROW()&lt;=2+13,"",INDEX(Daily_Input!$F:$F,ROW()-14))</f>
        <v>165869.35925545922</v>
      </c>
      <c r="Z68" s="5">
        <f>IF(ROW()&lt;=4,"",SUM(Daily_Input!I68:I70))</f>
        <v>0</v>
      </c>
      <c r="AA68" s="5">
        <f>IF(ROW()&lt;=8,"",SUM(Daily_Input!I68:I74))</f>
        <v>10.4</v>
      </c>
      <c r="AB68" s="5">
        <f>IF(ROW()&lt;=15,"",SUM(Daily_Input!I68:I81))</f>
        <v>31.6</v>
      </c>
      <c r="AC68" s="5">
        <f>IF(ROW()&lt;=4,"",AVERAGE(Daily_Input!F68:F70))</f>
        <v>47828.008569587859</v>
      </c>
      <c r="AD68" s="5">
        <f>IF(ROW()&lt;=8,"",AVERAGE(Daily_Input!F68:F74))</f>
        <v>25299.13167360186</v>
      </c>
      <c r="AE68" s="5">
        <f>IF(ROW()&lt;=8,"",MAX(Daily_Input!F68:F74))</f>
        <v>78553.698676224551</v>
      </c>
      <c r="AF68" s="5">
        <f>IF(ROW()&lt;=2+0,"",INDEX(Daily_Input!$G:$G,ROW()-1))</f>
        <v>15019.199999999999</v>
      </c>
      <c r="AG68" s="5">
        <f>IF(ROW()&lt;=2+0,"",INDEX(Daily_Input!$H:$H,ROW()-1))</f>
        <v>121664.9271</v>
      </c>
      <c r="AH68" s="5">
        <f>IF(ROW()&lt;=2+1,"",INDEX(Daily_Input!$G:$G,ROW()-2))</f>
        <v>15019.199999999999</v>
      </c>
      <c r="AI68" s="5">
        <f>IF(ROW()&lt;=2+1,"",INDEX(Daily_Input!$H:$H,ROW()-2))</f>
        <v>177257.60769999999</v>
      </c>
      <c r="AJ68" s="5">
        <f>IF(ROW()&lt;=2+2,"",INDEX(Daily_Input!$G:$G,ROW()-3))</f>
        <v>15019.199999999999</v>
      </c>
      <c r="AK68" s="5">
        <f>IF(ROW()&lt;=2+2,"",INDEX(Daily_Input!$H:$H,ROW()-3))</f>
        <v>186388.3193</v>
      </c>
    </row>
    <row r="69" spans="1:37">
      <c r="A69" s="5">
        <f>Daily_Input!A69</f>
        <v>45906</v>
      </c>
      <c r="B69" s="5">
        <f>Daily_Input!F69</f>
        <v>43970.58665044907</v>
      </c>
      <c r="C69" s="5">
        <f>Daily_Input!D69</f>
        <v>489.589</v>
      </c>
      <c r="D69" s="5">
        <f>Daily_Input!E69</f>
        <v>1637507.2197397</v>
      </c>
      <c r="E69" s="5">
        <f>IF(ROW()=2,"",Daily_Input!E69-Daily_Input!E68)</f>
        <v>-6030.9967470001429</v>
      </c>
      <c r="F69" s="5">
        <f>IFERROR(Daily_Input!E69/Config!$B$4,"")</f>
        <v>1.0074092459171549</v>
      </c>
      <c r="G69" s="5">
        <f>Daily_Input!I69</f>
        <v>0</v>
      </c>
      <c r="H69" s="5">
        <f>IF(A69="","",IF(ROW()=2,G69,Config!$B$5*H68+G69))</f>
        <v>166.27301465154335</v>
      </c>
      <c r="I69" s="5">
        <f t="shared" si="1"/>
        <v>249</v>
      </c>
      <c r="J69" s="5">
        <f>IF(I69="","",SIN(2*PI()*I69/Config!$B$6))</f>
        <v>-0.91060463009421622</v>
      </c>
      <c r="K69" s="5">
        <f>IF(I69="","",COS(2*PI()*I69/Config!$B$6))</f>
        <v>-0.41327860778290443</v>
      </c>
      <c r="L69" s="5">
        <f>IF(ROW()&lt;=2+0,"",INDEX(Daily_Input!$F:$F,ROW()-1))</f>
        <v>78553.698676224551</v>
      </c>
      <c r="M69" s="5">
        <f>IF(ROW()&lt;=2+1,"",INDEX(Daily_Input!$F:$F,ROW()-2))</f>
        <v>128441.83921457497</v>
      </c>
      <c r="N69" s="5">
        <f>IF(ROW()&lt;=2+2,"",INDEX(Daily_Input!$F:$F,ROW()-3))</f>
        <v>192157.25966394474</v>
      </c>
      <c r="O69" s="5">
        <f>IF(ROW()&lt;=2+3,"",INDEX(Daily_Input!$F:$F,ROW()-4))</f>
        <v>195765.08577595494</v>
      </c>
      <c r="P69" s="5">
        <f>IF(ROW()&lt;=2+4,"",INDEX(Daily_Input!$F:$F,ROW()-5))</f>
        <v>236821.69637413273</v>
      </c>
      <c r="Q69" s="5">
        <f>IF(ROW()&lt;=2+5,"",INDEX(Daily_Input!$F:$F,ROW()-6))</f>
        <v>298696.60837014229</v>
      </c>
      <c r="R69" s="5">
        <f>IF(ROW()&lt;=2+6,"",INDEX(Daily_Input!$F:$F,ROW()-7))</f>
        <v>337406.40040267422</v>
      </c>
      <c r="S69" s="5">
        <f>IF(ROW()&lt;=2+7,"",INDEX(Daily_Input!$F:$F,ROW()-8))</f>
        <v>456831.75149520702</v>
      </c>
      <c r="T69" s="5">
        <f>IF(ROW()&lt;=2+8,"",INDEX(Daily_Input!$F:$F,ROW()-9))</f>
        <v>682636.01528965402</v>
      </c>
      <c r="U69" s="5">
        <f>IF(ROW()&lt;=2+9,"",INDEX(Daily_Input!$F:$F,ROW()-10))</f>
        <v>932836.67180179933</v>
      </c>
      <c r="V69" s="5">
        <f>IF(ROW()&lt;=2+10,"",INDEX(Daily_Input!$F:$F,ROW()-11))</f>
        <v>237223.24894104595</v>
      </c>
      <c r="W69" s="5">
        <f>IF(ROW()&lt;=2+11,"",INDEX(Daily_Input!$F:$F,ROW()-12))</f>
        <v>215510.0886564416</v>
      </c>
      <c r="X69" s="5">
        <f>IF(ROW()&lt;=2+12,"",INDEX(Daily_Input!$F:$F,ROW()-13))</f>
        <v>337206.41036553407</v>
      </c>
      <c r="Y69" s="5">
        <f>IF(ROW()&lt;=2+13,"",INDEX(Daily_Input!$F:$F,ROW()-14))</f>
        <v>177778.22355395212</v>
      </c>
      <c r="Z69" s="5">
        <f>IF(ROW()&lt;=4,"",SUM(Daily_Input!I69:I71))</f>
        <v>4.4000000000000004</v>
      </c>
      <c r="AA69" s="5">
        <f>IF(ROW()&lt;=8,"",SUM(Daily_Input!I69:I75))</f>
        <v>10.4</v>
      </c>
      <c r="AB69" s="5">
        <f>IF(ROW()&lt;=15,"",SUM(Daily_Input!I69:I82))</f>
        <v>36.800000000000004</v>
      </c>
      <c r="AC69" s="5">
        <f>IF(ROW()&lt;=4,"",AVERAGE(Daily_Input!F69:F71))</f>
        <v>24590.997756996268</v>
      </c>
      <c r="AD69" s="5">
        <f>IF(ROW()&lt;=8,"",AVERAGE(Daily_Input!F69:F75))</f>
        <v>15059.201159771968</v>
      </c>
      <c r="AE69" s="5">
        <f>IF(ROW()&lt;=8,"",MAX(Daily_Input!F69:F75))</f>
        <v>43970.58665044907</v>
      </c>
      <c r="AF69" s="5">
        <f>IF(ROW()&lt;=2+0,"",INDEX(Daily_Input!$G:$G,ROW()-1))</f>
        <v>15019.199999999999</v>
      </c>
      <c r="AG69" s="5">
        <f>IF(ROW()&lt;=2+0,"",INDEX(Daily_Input!$H:$H,ROW()-1))</f>
        <v>71765.656430000003</v>
      </c>
      <c r="AH69" s="5">
        <f>IF(ROW()&lt;=2+1,"",INDEX(Daily_Input!$G:$G,ROW()-2))</f>
        <v>15019.199999999999</v>
      </c>
      <c r="AI69" s="5">
        <f>IF(ROW()&lt;=2+1,"",INDEX(Daily_Input!$H:$H,ROW()-2))</f>
        <v>121664.9271</v>
      </c>
      <c r="AJ69" s="5">
        <f>IF(ROW()&lt;=2+2,"",INDEX(Daily_Input!$G:$G,ROW()-3))</f>
        <v>15019.199999999999</v>
      </c>
      <c r="AK69" s="5">
        <f>IF(ROW()&lt;=2+2,"",INDEX(Daily_Input!$H:$H,ROW()-3))</f>
        <v>177257.60769999999</v>
      </c>
    </row>
    <row r="70" spans="1:37">
      <c r="A70" s="5">
        <f>Daily_Input!A70</f>
        <v>45907</v>
      </c>
      <c r="B70" s="5">
        <f>Daily_Input!F70</f>
        <v>20959.740382089953</v>
      </c>
      <c r="C70" s="5">
        <f>Daily_Input!D70</f>
        <v>489.56400000000002</v>
      </c>
      <c r="D70" s="5">
        <f>Daily_Input!E70</f>
        <v>1631482.3951735001</v>
      </c>
      <c r="E70" s="5">
        <f>IF(ROW()=2,"",Daily_Input!E70-Daily_Input!E69)</f>
        <v>-6024.8245661999099</v>
      </c>
      <c r="F70" s="5">
        <f>IFERROR(Daily_Input!E70/Config!$B$4,"")</f>
        <v>1.0037027193749493</v>
      </c>
      <c r="G70" s="5">
        <f>Daily_Input!I70</f>
        <v>0</v>
      </c>
      <c r="H70" s="5">
        <f>IF(A70="","",IF(ROW()=2,G70,Config!$B$5*H69+G70))</f>
        <v>157.95936391896618</v>
      </c>
      <c r="I70" s="5">
        <f t="shared" si="1"/>
        <v>250</v>
      </c>
      <c r="J70" s="5">
        <f>IF(I70="","",SIN(2*PI()*I70/Config!$B$6))</f>
        <v>-0.91758362605939336</v>
      </c>
      <c r="K70" s="5">
        <f>IF(I70="","",COS(2*PI()*I70/Config!$B$6))</f>
        <v>-0.39754281428255661</v>
      </c>
      <c r="L70" s="5">
        <f>IF(ROW()&lt;=2+0,"",INDEX(Daily_Input!$F:$F,ROW()-1))</f>
        <v>43970.58665044907</v>
      </c>
      <c r="M70" s="5">
        <f>IF(ROW()&lt;=2+1,"",INDEX(Daily_Input!$F:$F,ROW()-2))</f>
        <v>78553.698676224551</v>
      </c>
      <c r="N70" s="5">
        <f>IF(ROW()&lt;=2+2,"",INDEX(Daily_Input!$F:$F,ROW()-3))</f>
        <v>128441.83921457497</v>
      </c>
      <c r="O70" s="5">
        <f>IF(ROW()&lt;=2+3,"",INDEX(Daily_Input!$F:$F,ROW()-4))</f>
        <v>192157.25966394474</v>
      </c>
      <c r="P70" s="5">
        <f>IF(ROW()&lt;=2+4,"",INDEX(Daily_Input!$F:$F,ROW()-5))</f>
        <v>195765.08577595494</v>
      </c>
      <c r="Q70" s="5">
        <f>IF(ROW()&lt;=2+5,"",INDEX(Daily_Input!$F:$F,ROW()-6))</f>
        <v>236821.69637413273</v>
      </c>
      <c r="R70" s="5">
        <f>IF(ROW()&lt;=2+6,"",INDEX(Daily_Input!$F:$F,ROW()-7))</f>
        <v>298696.60837014229</v>
      </c>
      <c r="S70" s="5">
        <f>IF(ROW()&lt;=2+7,"",INDEX(Daily_Input!$F:$F,ROW()-8))</f>
        <v>337406.40040267422</v>
      </c>
      <c r="T70" s="5">
        <f>IF(ROW()&lt;=2+8,"",INDEX(Daily_Input!$F:$F,ROW()-9))</f>
        <v>456831.75149520702</v>
      </c>
      <c r="U70" s="5">
        <f>IF(ROW()&lt;=2+9,"",INDEX(Daily_Input!$F:$F,ROW()-10))</f>
        <v>682636.01528965402</v>
      </c>
      <c r="V70" s="5">
        <f>IF(ROW()&lt;=2+10,"",INDEX(Daily_Input!$F:$F,ROW()-11))</f>
        <v>932836.67180179933</v>
      </c>
      <c r="W70" s="5">
        <f>IF(ROW()&lt;=2+11,"",INDEX(Daily_Input!$F:$F,ROW()-12))</f>
        <v>237223.24894104595</v>
      </c>
      <c r="X70" s="5">
        <f>IF(ROW()&lt;=2+12,"",INDEX(Daily_Input!$F:$F,ROW()-13))</f>
        <v>215510.0886564416</v>
      </c>
      <c r="Y70" s="5">
        <f>IF(ROW()&lt;=2+13,"",INDEX(Daily_Input!$F:$F,ROW()-14))</f>
        <v>337206.41036553407</v>
      </c>
      <c r="Z70" s="5">
        <f>IF(ROW()&lt;=4,"",SUM(Daily_Input!I70:I72))</f>
        <v>4.4000000000000004</v>
      </c>
      <c r="AA70" s="5">
        <f>IF(ROW()&lt;=8,"",SUM(Daily_Input!I70:I76))</f>
        <v>10.4</v>
      </c>
      <c r="AB70" s="5">
        <f>IF(ROW()&lt;=15,"",SUM(Daily_Input!I70:I83))</f>
        <v>38.400000000000006</v>
      </c>
      <c r="AC70" s="5">
        <f>IF(ROW()&lt;=4,"",AVERAGE(Daily_Input!F70:F72))</f>
        <v>12215.928359308667</v>
      </c>
      <c r="AD70" s="5">
        <f>IF(ROW()&lt;=8,"",AVERAGE(Daily_Input!F70:F76))</f>
        <v>9334.658182568106</v>
      </c>
      <c r="AE70" s="5">
        <f>IF(ROW()&lt;=8,"",MAX(Daily_Input!F70:F76))</f>
        <v>20959.740382089953</v>
      </c>
      <c r="AF70" s="5">
        <f>IF(ROW()&lt;=2+0,"",INDEX(Daily_Input!$G:$G,ROW()-1))</f>
        <v>15019.199999999999</v>
      </c>
      <c r="AG70" s="5">
        <f>IF(ROW()&lt;=2+0,"",INDEX(Daily_Input!$H:$H,ROW()-1))</f>
        <v>34136.719790000003</v>
      </c>
      <c r="AH70" s="5">
        <f>IF(ROW()&lt;=2+1,"",INDEX(Daily_Input!$G:$G,ROW()-2))</f>
        <v>15019.199999999999</v>
      </c>
      <c r="AI70" s="5">
        <f>IF(ROW()&lt;=2+1,"",INDEX(Daily_Input!$H:$H,ROW()-2))</f>
        <v>71765.656430000003</v>
      </c>
      <c r="AJ70" s="5">
        <f>IF(ROW()&lt;=2+2,"",INDEX(Daily_Input!$G:$G,ROW()-3))</f>
        <v>15019.199999999999</v>
      </c>
      <c r="AK70" s="5">
        <f>IF(ROW()&lt;=2+2,"",INDEX(Daily_Input!$H:$H,ROW()-3))</f>
        <v>121664.9271</v>
      </c>
    </row>
    <row r="71" spans="1:37">
      <c r="A71" s="5">
        <f>Daily_Input!A71</f>
        <v>45908</v>
      </c>
      <c r="B71" s="5">
        <f>Daily_Input!F71</f>
        <v>8842.6662384497886</v>
      </c>
      <c r="C71" s="5">
        <f>Daily_Input!D71</f>
        <v>489.54399999999998</v>
      </c>
      <c r="D71" s="5">
        <f>Daily_Input!E71</f>
        <v>1625463.7590197001</v>
      </c>
      <c r="E71" s="5">
        <f>IF(ROW()=2,"",Daily_Input!E71-Daily_Input!E70)</f>
        <v>-6018.6361537999474</v>
      </c>
      <c r="F71" s="5">
        <f>IFERROR(Daily_Input!E71/Config!$B$4,"")</f>
        <v>1</v>
      </c>
      <c r="G71" s="5">
        <f>Daily_Input!I71</f>
        <v>4.4000000000000004</v>
      </c>
      <c r="H71" s="5">
        <f>IF(A71="","",IF(ROW()=2,G71,Config!$B$5*H70+G71))</f>
        <v>154.46139572301786</v>
      </c>
      <c r="I71" s="5">
        <f t="shared" si="1"/>
        <v>251</v>
      </c>
      <c r="J71" s="5">
        <f>IF(I71="","",SIN(2*PI()*I71/Config!$B$6))</f>
        <v>-0.92429072219309338</v>
      </c>
      <c r="K71" s="5">
        <f>IF(I71="","",COS(2*PI()*I71/Config!$B$6))</f>
        <v>-0.38168922026665858</v>
      </c>
      <c r="L71" s="5">
        <f>IF(ROW()&lt;=2+0,"",INDEX(Daily_Input!$F:$F,ROW()-1))</f>
        <v>20959.740382089953</v>
      </c>
      <c r="M71" s="5">
        <f>IF(ROW()&lt;=2+1,"",INDEX(Daily_Input!$F:$F,ROW()-2))</f>
        <v>43970.58665044907</v>
      </c>
      <c r="N71" s="5">
        <f>IF(ROW()&lt;=2+2,"",INDEX(Daily_Input!$F:$F,ROW()-3))</f>
        <v>78553.698676224551</v>
      </c>
      <c r="O71" s="5">
        <f>IF(ROW()&lt;=2+3,"",INDEX(Daily_Input!$F:$F,ROW()-4))</f>
        <v>128441.83921457497</v>
      </c>
      <c r="P71" s="5">
        <f>IF(ROW()&lt;=2+4,"",INDEX(Daily_Input!$F:$F,ROW()-5))</f>
        <v>192157.25966394474</v>
      </c>
      <c r="Q71" s="5">
        <f>IF(ROW()&lt;=2+5,"",INDEX(Daily_Input!$F:$F,ROW()-6))</f>
        <v>195765.08577595494</v>
      </c>
      <c r="R71" s="5">
        <f>IF(ROW()&lt;=2+6,"",INDEX(Daily_Input!$F:$F,ROW()-7))</f>
        <v>236821.69637413273</v>
      </c>
      <c r="S71" s="5">
        <f>IF(ROW()&lt;=2+7,"",INDEX(Daily_Input!$F:$F,ROW()-8))</f>
        <v>298696.60837014229</v>
      </c>
      <c r="T71" s="5">
        <f>IF(ROW()&lt;=2+8,"",INDEX(Daily_Input!$F:$F,ROW()-9))</f>
        <v>337406.40040267422</v>
      </c>
      <c r="U71" s="5">
        <f>IF(ROW()&lt;=2+9,"",INDEX(Daily_Input!$F:$F,ROW()-10))</f>
        <v>456831.75149520702</v>
      </c>
      <c r="V71" s="5">
        <f>IF(ROW()&lt;=2+10,"",INDEX(Daily_Input!$F:$F,ROW()-11))</f>
        <v>682636.01528965402</v>
      </c>
      <c r="W71" s="5">
        <f>IF(ROW()&lt;=2+11,"",INDEX(Daily_Input!$F:$F,ROW()-12))</f>
        <v>932836.67180179933</v>
      </c>
      <c r="X71" s="5">
        <f>IF(ROW()&lt;=2+12,"",INDEX(Daily_Input!$F:$F,ROW()-13))</f>
        <v>237223.24894104595</v>
      </c>
      <c r="Y71" s="5">
        <f>IF(ROW()&lt;=2+13,"",INDEX(Daily_Input!$F:$F,ROW()-14))</f>
        <v>215510.0886564416</v>
      </c>
      <c r="Z71" s="5">
        <f>IF(ROW()&lt;=4,"",SUM(Daily_Input!I71:I73))</f>
        <v>4.4000000000000004</v>
      </c>
      <c r="AA71" s="5">
        <f>IF(ROW()&lt;=8,"",SUM(Daily_Input!I71:I77))</f>
        <v>10.4</v>
      </c>
      <c r="AB71" s="5">
        <f>IF(ROW()&lt;=15,"",SUM(Daily_Input!I71:I84))</f>
        <v>45.2</v>
      </c>
      <c r="AC71" s="5">
        <f>IF(ROW()&lt;=4,"",AVERAGE(Daily_Input!F71:F73))</f>
        <v>7515.300721461329</v>
      </c>
      <c r="AD71" s="5">
        <f>IF(ROW()&lt;=8,"",AVERAGE(Daily_Input!F71:F77))</f>
        <v>7333.0103082705082</v>
      </c>
      <c r="AE71" s="5">
        <f>IF(ROW()&lt;=8,"",MAX(Daily_Input!F71:F77))</f>
        <v>11063.993842065462</v>
      </c>
      <c r="AF71" s="5">
        <f>IF(ROW()&lt;=2+0,"",INDEX(Daily_Input!$G:$G,ROW()-1))</f>
        <v>15019.199999999999</v>
      </c>
      <c r="AG71" s="5">
        <f>IF(ROW()&lt;=2+0,"",INDEX(Daily_Input!$H:$H,ROW()-1))</f>
        <v>11120.572969999999</v>
      </c>
      <c r="AH71" s="5">
        <f>IF(ROW()&lt;=2+1,"",INDEX(Daily_Input!$G:$G,ROW()-2))</f>
        <v>15019.199999999999</v>
      </c>
      <c r="AI71" s="5">
        <f>IF(ROW()&lt;=2+1,"",INDEX(Daily_Input!$H:$H,ROW()-2))</f>
        <v>34136.719790000003</v>
      </c>
      <c r="AJ71" s="5">
        <f>IF(ROW()&lt;=2+2,"",INDEX(Daily_Input!$G:$G,ROW()-3))</f>
        <v>15019.199999999999</v>
      </c>
      <c r="AK71" s="5">
        <f>IF(ROW()&lt;=2+2,"",INDEX(Daily_Input!$H:$H,ROW()-3))</f>
        <v>71765.656430000003</v>
      </c>
    </row>
    <row r="72" spans="1:37">
      <c r="A72" s="5">
        <f>Daily_Input!A72</f>
        <v>45909</v>
      </c>
      <c r="B72" s="5">
        <f>Daily_Input!F72</f>
        <v>6845.3784573862686</v>
      </c>
      <c r="C72" s="5">
        <f>Daily_Input!D72</f>
        <v>489.51799999999997</v>
      </c>
      <c r="D72" s="5">
        <f>Daily_Input!E72</f>
        <v>1616447.3000027</v>
      </c>
      <c r="E72" s="5">
        <f>IF(ROW()=2,"",Daily_Input!E72-Daily_Input!E71)</f>
        <v>-9016.4590170001611</v>
      </c>
      <c r="F72" s="5">
        <f>IFERROR(Daily_Input!E72/Config!$B$4,"")</f>
        <v>0.99445299289696998</v>
      </c>
      <c r="G72" s="5">
        <f>Daily_Input!I72</f>
        <v>0</v>
      </c>
      <c r="H72" s="5">
        <f>IF(A72="","",IF(ROW()=2,G72,Config!$B$5*H71+G72))</f>
        <v>146.73832593686697</v>
      </c>
      <c r="I72" s="5">
        <f t="shared" si="1"/>
        <v>252</v>
      </c>
      <c r="J72" s="5">
        <f>IF(I72="","",SIN(2*PI()*I72/Config!$B$6))</f>
        <v>-0.93072393103797935</v>
      </c>
      <c r="K72" s="5">
        <f>IF(I72="","",COS(2*PI()*I72/Config!$B$6))</f>
        <v>-0.36572252349726919</v>
      </c>
      <c r="L72" s="5">
        <f>IF(ROW()&lt;=2+0,"",INDEX(Daily_Input!$F:$F,ROW()-1))</f>
        <v>8842.6662384497886</v>
      </c>
      <c r="M72" s="5">
        <f>IF(ROW()&lt;=2+1,"",INDEX(Daily_Input!$F:$F,ROW()-2))</f>
        <v>20959.740382089953</v>
      </c>
      <c r="N72" s="5">
        <f>IF(ROW()&lt;=2+2,"",INDEX(Daily_Input!$F:$F,ROW()-3))</f>
        <v>43970.58665044907</v>
      </c>
      <c r="O72" s="5">
        <f>IF(ROW()&lt;=2+3,"",INDEX(Daily_Input!$F:$F,ROW()-4))</f>
        <v>78553.698676224551</v>
      </c>
      <c r="P72" s="5">
        <f>IF(ROW()&lt;=2+4,"",INDEX(Daily_Input!$F:$F,ROW()-5))</f>
        <v>128441.83921457497</v>
      </c>
      <c r="Q72" s="5">
        <f>IF(ROW()&lt;=2+5,"",INDEX(Daily_Input!$F:$F,ROW()-6))</f>
        <v>192157.25966394474</v>
      </c>
      <c r="R72" s="5">
        <f>IF(ROW()&lt;=2+6,"",INDEX(Daily_Input!$F:$F,ROW()-7))</f>
        <v>195765.08577595494</v>
      </c>
      <c r="S72" s="5">
        <f>IF(ROW()&lt;=2+7,"",INDEX(Daily_Input!$F:$F,ROW()-8))</f>
        <v>236821.69637413273</v>
      </c>
      <c r="T72" s="5">
        <f>IF(ROW()&lt;=2+8,"",INDEX(Daily_Input!$F:$F,ROW()-9))</f>
        <v>298696.60837014229</v>
      </c>
      <c r="U72" s="5">
        <f>IF(ROW()&lt;=2+9,"",INDEX(Daily_Input!$F:$F,ROW()-10))</f>
        <v>337406.40040267422</v>
      </c>
      <c r="V72" s="5">
        <f>IF(ROW()&lt;=2+10,"",INDEX(Daily_Input!$F:$F,ROW()-11))</f>
        <v>456831.75149520702</v>
      </c>
      <c r="W72" s="5">
        <f>IF(ROW()&lt;=2+11,"",INDEX(Daily_Input!$F:$F,ROW()-12))</f>
        <v>682636.01528965402</v>
      </c>
      <c r="X72" s="5">
        <f>IF(ROW()&lt;=2+12,"",INDEX(Daily_Input!$F:$F,ROW()-13))</f>
        <v>932836.67180179933</v>
      </c>
      <c r="Y72" s="5">
        <f>IF(ROW()&lt;=2+13,"",INDEX(Daily_Input!$F:$F,ROW()-14))</f>
        <v>237223.24894104595</v>
      </c>
      <c r="Z72" s="5">
        <f>IF(ROW()&lt;=4,"",SUM(Daily_Input!I72:I74))</f>
        <v>6</v>
      </c>
      <c r="AA72" s="5">
        <f>IF(ROW()&lt;=8,"",SUM(Daily_Input!I72:I78))</f>
        <v>21.4</v>
      </c>
      <c r="AB72" s="5">
        <f>IF(ROW()&lt;=15,"",SUM(Daily_Input!I72:I85))</f>
        <v>42.599999999999994</v>
      </c>
      <c r="AC72" s="5">
        <f>IF(ROW()&lt;=4,"",AVERAGE(Daily_Input!F72:F74))</f>
        <v>8255.743255999887</v>
      </c>
      <c r="AD72" s="5">
        <f>IF(ROW()&lt;=8,"",AVERAGE(Daily_Input!F72:F78))</f>
        <v>6835.9309069105884</v>
      </c>
      <c r="AE72" s="5">
        <f>IF(ROW()&lt;=8,"",MAX(Daily_Input!F72:F78))</f>
        <v>11063.993842065462</v>
      </c>
      <c r="AF72" s="5">
        <f>IF(ROW()&lt;=2+0,"",INDEX(Daily_Input!$G:$G,ROW()-1))</f>
        <v>15019.199999999999</v>
      </c>
      <c r="AG72" s="5">
        <f>IF(ROW()&lt;=2+0,"",INDEX(Daily_Input!$H:$H,ROW()-1))</f>
        <v>321.58828549999998</v>
      </c>
      <c r="AH72" s="5">
        <f>IF(ROW()&lt;=2+1,"",INDEX(Daily_Input!$G:$G,ROW()-2))</f>
        <v>15019.199999999999</v>
      </c>
      <c r="AI72" s="5">
        <f>IF(ROW()&lt;=2+1,"",INDEX(Daily_Input!$H:$H,ROW()-2))</f>
        <v>11120.572969999999</v>
      </c>
      <c r="AJ72" s="5">
        <f>IF(ROW()&lt;=2+2,"",INDEX(Daily_Input!$G:$G,ROW()-3))</f>
        <v>15019.199999999999</v>
      </c>
      <c r="AK72" s="5">
        <f>IF(ROW()&lt;=2+2,"",INDEX(Daily_Input!$H:$H,ROW()-3))</f>
        <v>34136.719790000003</v>
      </c>
    </row>
    <row r="73" spans="1:37">
      <c r="A73" s="5">
        <f>Daily_Input!A73</f>
        <v>45910</v>
      </c>
      <c r="B73" s="5">
        <f>Daily_Input!F73</f>
        <v>6857.8574685479307</v>
      </c>
      <c r="C73" s="5">
        <f>Daily_Input!D73</f>
        <v>489.48599999999999</v>
      </c>
      <c r="D73" s="5">
        <f>Daily_Input!E73</f>
        <v>1607444.5930314001</v>
      </c>
      <c r="E73" s="5">
        <f>IF(ROW()=2,"",Daily_Input!E73-Daily_Input!E72)</f>
        <v>-9002.7069712998345</v>
      </c>
      <c r="F73" s="5">
        <f>IFERROR(Daily_Input!E73/Config!$B$4,"")</f>
        <v>0.98891444617678392</v>
      </c>
      <c r="G73" s="5">
        <f>Daily_Input!I73</f>
        <v>0</v>
      </c>
      <c r="H73" s="5">
        <f>IF(A73="","",IF(ROW()=2,G73,Config!$B$5*H72+G73))</f>
        <v>139.40140964002362</v>
      </c>
      <c r="I73" s="5">
        <f t="shared" si="1"/>
        <v>253</v>
      </c>
      <c r="J73" s="5">
        <f>IF(I73="","",SIN(2*PI()*I73/Config!$B$6))</f>
        <v>-0.93688134629543152</v>
      </c>
      <c r="K73" s="5">
        <f>IF(I73="","",COS(2*PI()*I73/Config!$B$6))</f>
        <v>-0.34964745525122826</v>
      </c>
      <c r="L73" s="5">
        <f>IF(ROW()&lt;=2+0,"",INDEX(Daily_Input!$F:$F,ROW()-1))</f>
        <v>6845.3784573862686</v>
      </c>
      <c r="M73" s="5">
        <f>IF(ROW()&lt;=2+1,"",INDEX(Daily_Input!$F:$F,ROW()-2))</f>
        <v>8842.6662384497886</v>
      </c>
      <c r="N73" s="5">
        <f>IF(ROW()&lt;=2+2,"",INDEX(Daily_Input!$F:$F,ROW()-3))</f>
        <v>20959.740382089953</v>
      </c>
      <c r="O73" s="5">
        <f>IF(ROW()&lt;=2+3,"",INDEX(Daily_Input!$F:$F,ROW()-4))</f>
        <v>43970.58665044907</v>
      </c>
      <c r="P73" s="5">
        <f>IF(ROW()&lt;=2+4,"",INDEX(Daily_Input!$F:$F,ROW()-5))</f>
        <v>78553.698676224551</v>
      </c>
      <c r="Q73" s="5">
        <f>IF(ROW()&lt;=2+5,"",INDEX(Daily_Input!$F:$F,ROW()-6))</f>
        <v>128441.83921457497</v>
      </c>
      <c r="R73" s="5">
        <f>IF(ROW()&lt;=2+6,"",INDEX(Daily_Input!$F:$F,ROW()-7))</f>
        <v>192157.25966394474</v>
      </c>
      <c r="S73" s="5">
        <f>IF(ROW()&lt;=2+7,"",INDEX(Daily_Input!$F:$F,ROW()-8))</f>
        <v>195765.08577595494</v>
      </c>
      <c r="T73" s="5">
        <f>IF(ROW()&lt;=2+8,"",INDEX(Daily_Input!$F:$F,ROW()-9))</f>
        <v>236821.69637413273</v>
      </c>
      <c r="U73" s="5">
        <f>IF(ROW()&lt;=2+9,"",INDEX(Daily_Input!$F:$F,ROW()-10))</f>
        <v>298696.60837014229</v>
      </c>
      <c r="V73" s="5">
        <f>IF(ROW()&lt;=2+10,"",INDEX(Daily_Input!$F:$F,ROW()-11))</f>
        <v>337406.40040267422</v>
      </c>
      <c r="W73" s="5">
        <f>IF(ROW()&lt;=2+11,"",INDEX(Daily_Input!$F:$F,ROW()-12))</f>
        <v>456831.75149520702</v>
      </c>
      <c r="X73" s="5">
        <f>IF(ROW()&lt;=2+12,"",INDEX(Daily_Input!$F:$F,ROW()-13))</f>
        <v>682636.01528965402</v>
      </c>
      <c r="Y73" s="5">
        <f>IF(ROW()&lt;=2+13,"",INDEX(Daily_Input!$F:$F,ROW()-14))</f>
        <v>932836.67180179933</v>
      </c>
      <c r="Z73" s="5">
        <f>IF(ROW()&lt;=4,"",SUM(Daily_Input!I73:I75))</f>
        <v>6</v>
      </c>
      <c r="AA73" s="5">
        <f>IF(ROW()&lt;=8,"",SUM(Daily_Input!I73:I79))</f>
        <v>27.2</v>
      </c>
      <c r="AB73" s="5">
        <f>IF(ROW()&lt;=15,"",SUM(Daily_Input!I73:I86))</f>
        <v>44.199999999999996</v>
      </c>
      <c r="AC73" s="5">
        <f>IF(ROW()&lt;=4,"",AVERAGE(Daily_Input!F73:F75))</f>
        <v>8265.3454633429028</v>
      </c>
      <c r="AD73" s="5">
        <f>IF(ROW()&lt;=8,"",AVERAGE(Daily_Input!F73:F79))</f>
        <v>7454.0653120370334</v>
      </c>
      <c r="AE73" s="5">
        <f>IF(ROW()&lt;=8,"",MAX(Daily_Input!F73:F79))</f>
        <v>11172.319293271388</v>
      </c>
      <c r="AF73" s="5">
        <f>IF(ROW()&lt;=2+0,"",INDEX(Daily_Input!$G:$G,ROW()-1))</f>
        <v>15019.199999999999</v>
      </c>
      <c r="AG73" s="5">
        <f>IF(ROW()&lt;=2+0,"",INDEX(Daily_Input!$H:$H,ROW()-1))</f>
        <v>0</v>
      </c>
      <c r="AH73" s="5">
        <f>IF(ROW()&lt;=2+1,"",INDEX(Daily_Input!$G:$G,ROW()-2))</f>
        <v>15019.199999999999</v>
      </c>
      <c r="AI73" s="5">
        <f>IF(ROW()&lt;=2+1,"",INDEX(Daily_Input!$H:$H,ROW()-2))</f>
        <v>321.58828549999998</v>
      </c>
      <c r="AJ73" s="5">
        <f>IF(ROW()&lt;=2+2,"",INDEX(Daily_Input!$G:$G,ROW()-3))</f>
        <v>15019.199999999999</v>
      </c>
      <c r="AK73" s="5">
        <f>IF(ROW()&lt;=2+2,"",INDEX(Daily_Input!$H:$H,ROW()-3))</f>
        <v>11120.572969999999</v>
      </c>
    </row>
    <row r="74" spans="1:37">
      <c r="A74" s="5">
        <f>Daily_Input!A74</f>
        <v>45911</v>
      </c>
      <c r="B74" s="5">
        <f>Daily_Input!F74</f>
        <v>11063.993842065462</v>
      </c>
      <c r="C74" s="5">
        <f>Daily_Input!D74</f>
        <v>489.47399999999999</v>
      </c>
      <c r="D74" s="5">
        <f>Daily_Input!E74</f>
        <v>1604446.7185589999</v>
      </c>
      <c r="E74" s="5">
        <f>IF(ROW()=2,"",Daily_Input!E74-Daily_Input!E73)</f>
        <v>-2997.8744724001735</v>
      </c>
      <c r="F74" s="5">
        <f>IFERROR(Daily_Input!E74/Config!$B$4,"")</f>
        <v>0.98707012669825667</v>
      </c>
      <c r="G74" s="5">
        <f>Daily_Input!I74</f>
        <v>6</v>
      </c>
      <c r="H74" s="5">
        <f>IF(A74="","",IF(ROW()=2,G74,Config!$B$5*H73+G74))</f>
        <v>138.43133915802244</v>
      </c>
      <c r="I74" s="5">
        <f t="shared" si="1"/>
        <v>254</v>
      </c>
      <c r="J74" s="5">
        <f>IF(I74="","",SIN(2*PI()*I74/Config!$B$6))</f>
        <v>-0.94276114339042061</v>
      </c>
      <c r="K74" s="5">
        <f>IF(I74="","",COS(2*PI()*I74/Config!$B$6))</f>
        <v>-0.33346877891818705</v>
      </c>
      <c r="L74" s="5">
        <f>IF(ROW()&lt;=2+0,"",INDEX(Daily_Input!$F:$F,ROW()-1))</f>
        <v>6857.8574685479307</v>
      </c>
      <c r="M74" s="5">
        <f>IF(ROW()&lt;=2+1,"",INDEX(Daily_Input!$F:$F,ROW()-2))</f>
        <v>6845.3784573862686</v>
      </c>
      <c r="N74" s="5">
        <f>IF(ROW()&lt;=2+2,"",INDEX(Daily_Input!$F:$F,ROW()-3))</f>
        <v>8842.6662384497886</v>
      </c>
      <c r="O74" s="5">
        <f>IF(ROW()&lt;=2+3,"",INDEX(Daily_Input!$F:$F,ROW()-4))</f>
        <v>20959.740382089953</v>
      </c>
      <c r="P74" s="5">
        <f>IF(ROW()&lt;=2+4,"",INDEX(Daily_Input!$F:$F,ROW()-5))</f>
        <v>43970.58665044907</v>
      </c>
      <c r="Q74" s="5">
        <f>IF(ROW()&lt;=2+5,"",INDEX(Daily_Input!$F:$F,ROW()-6))</f>
        <v>78553.698676224551</v>
      </c>
      <c r="R74" s="5">
        <f>IF(ROW()&lt;=2+6,"",INDEX(Daily_Input!$F:$F,ROW()-7))</f>
        <v>128441.83921457497</v>
      </c>
      <c r="S74" s="5">
        <f>IF(ROW()&lt;=2+7,"",INDEX(Daily_Input!$F:$F,ROW()-8))</f>
        <v>192157.25966394474</v>
      </c>
      <c r="T74" s="5">
        <f>IF(ROW()&lt;=2+8,"",INDEX(Daily_Input!$F:$F,ROW()-9))</f>
        <v>195765.08577595494</v>
      </c>
      <c r="U74" s="5">
        <f>IF(ROW()&lt;=2+9,"",INDEX(Daily_Input!$F:$F,ROW()-10))</f>
        <v>236821.69637413273</v>
      </c>
      <c r="V74" s="5">
        <f>IF(ROW()&lt;=2+10,"",INDEX(Daily_Input!$F:$F,ROW()-11))</f>
        <v>298696.60837014229</v>
      </c>
      <c r="W74" s="5">
        <f>IF(ROW()&lt;=2+11,"",INDEX(Daily_Input!$F:$F,ROW()-12))</f>
        <v>337406.40040267422</v>
      </c>
      <c r="X74" s="5">
        <f>IF(ROW()&lt;=2+12,"",INDEX(Daily_Input!$F:$F,ROW()-13))</f>
        <v>456831.75149520702</v>
      </c>
      <c r="Y74" s="5">
        <f>IF(ROW()&lt;=2+13,"",INDEX(Daily_Input!$F:$F,ROW()-14))</f>
        <v>682636.01528965402</v>
      </c>
      <c r="Z74" s="5">
        <f>IF(ROW()&lt;=4,"",SUM(Daily_Input!I74:I76))</f>
        <v>6</v>
      </c>
      <c r="AA74" s="5">
        <f>IF(ROW()&lt;=8,"",SUM(Daily_Input!I74:I80))</f>
        <v>27.2</v>
      </c>
      <c r="AB74" s="5">
        <f>IF(ROW()&lt;=15,"",SUM(Daily_Input!I74:I87))</f>
        <v>44.199999999999996</v>
      </c>
      <c r="AC74" s="5">
        <f>IF(ROW()&lt;=4,"",AVERAGE(Daily_Input!F74:F76))</f>
        <v>7278.988243834272</v>
      </c>
      <c r="AD74" s="5">
        <f>IF(ROW()&lt;=8,"",AVERAGE(Daily_Input!F74:F80))</f>
        <v>8315.8280567301827</v>
      </c>
      <c r="AE74" s="5">
        <f>IF(ROW()&lt;=8,"",MAX(Daily_Input!F74:F80))</f>
        <v>12890.196681399973</v>
      </c>
      <c r="AF74" s="5">
        <f>IF(ROW()&lt;=2+0,"",INDEX(Daily_Input!$G:$G,ROW()-1))</f>
        <v>15019.199999999999</v>
      </c>
      <c r="AG74" s="5">
        <f>IF(ROW()&lt;=2+0,"",INDEX(Daily_Input!$H:$H,ROW()-1))</f>
        <v>0</v>
      </c>
      <c r="AH74" s="5">
        <f>IF(ROW()&lt;=2+1,"",INDEX(Daily_Input!$G:$G,ROW()-2))</f>
        <v>15019.199999999999</v>
      </c>
      <c r="AI74" s="5">
        <f>IF(ROW()&lt;=2+1,"",INDEX(Daily_Input!$H:$H,ROW()-2))</f>
        <v>0</v>
      </c>
      <c r="AJ74" s="5">
        <f>IF(ROW()&lt;=2+2,"",INDEX(Daily_Input!$G:$G,ROW()-3))</f>
        <v>15019.199999999999</v>
      </c>
      <c r="AK74" s="5">
        <f>IF(ROW()&lt;=2+2,"",INDEX(Daily_Input!$H:$H,ROW()-3))</f>
        <v>321.58828549999998</v>
      </c>
    </row>
    <row r="75" spans="1:37">
      <c r="A75" s="5">
        <f>Daily_Input!A75</f>
        <v>45912</v>
      </c>
      <c r="B75" s="5">
        <f>Daily_Input!F75</f>
        <v>6874.1850794153179</v>
      </c>
      <c r="C75" s="5">
        <f>Daily_Input!D75</f>
        <v>489.44799999999998</v>
      </c>
      <c r="D75" s="5">
        <f>Daily_Input!E75</f>
        <v>1595462.0162961001</v>
      </c>
      <c r="E75" s="5">
        <f>IF(ROW()=2,"",Daily_Input!E75-Daily_Input!E74)</f>
        <v>-8984.7022628998384</v>
      </c>
      <c r="F75" s="5">
        <f>IFERROR(Daily_Input!E75/Config!$B$4,"")</f>
        <v>0.98154265663745477</v>
      </c>
      <c r="G75" s="5">
        <f>Daily_Input!I75</f>
        <v>0</v>
      </c>
      <c r="H75" s="5">
        <f>IF(A75="","",IF(ROW()=2,G75,Config!$B$5*H74+G75))</f>
        <v>131.50977220012132</v>
      </c>
      <c r="I75" s="5">
        <f t="shared" si="1"/>
        <v>255</v>
      </c>
      <c r="J75" s="5">
        <f>IF(I75="","",SIN(2*PI()*I75/Config!$B$6))</f>
        <v>-0.94836158001217163</v>
      </c>
      <c r="K75" s="5">
        <f>IF(I75="","",COS(2*PI()*I75/Config!$B$6))</f>
        <v>-0.31719128858910595</v>
      </c>
      <c r="L75" s="5">
        <f>IF(ROW()&lt;=2+0,"",INDEX(Daily_Input!$F:$F,ROW()-1))</f>
        <v>11063.993842065462</v>
      </c>
      <c r="M75" s="5">
        <f>IF(ROW()&lt;=2+1,"",INDEX(Daily_Input!$F:$F,ROW()-2))</f>
        <v>6857.8574685479307</v>
      </c>
      <c r="N75" s="5">
        <f>IF(ROW()&lt;=2+2,"",INDEX(Daily_Input!$F:$F,ROW()-3))</f>
        <v>6845.3784573862686</v>
      </c>
      <c r="O75" s="5">
        <f>IF(ROW()&lt;=2+3,"",INDEX(Daily_Input!$F:$F,ROW()-4))</f>
        <v>8842.6662384497886</v>
      </c>
      <c r="P75" s="5">
        <f>IF(ROW()&lt;=2+4,"",INDEX(Daily_Input!$F:$F,ROW()-5))</f>
        <v>20959.740382089953</v>
      </c>
      <c r="Q75" s="5">
        <f>IF(ROW()&lt;=2+5,"",INDEX(Daily_Input!$F:$F,ROW()-6))</f>
        <v>43970.58665044907</v>
      </c>
      <c r="R75" s="5">
        <f>IF(ROW()&lt;=2+6,"",INDEX(Daily_Input!$F:$F,ROW()-7))</f>
        <v>78553.698676224551</v>
      </c>
      <c r="S75" s="5">
        <f>IF(ROW()&lt;=2+7,"",INDEX(Daily_Input!$F:$F,ROW()-8))</f>
        <v>128441.83921457497</v>
      </c>
      <c r="T75" s="5">
        <f>IF(ROW()&lt;=2+8,"",INDEX(Daily_Input!$F:$F,ROW()-9))</f>
        <v>192157.25966394474</v>
      </c>
      <c r="U75" s="5">
        <f>IF(ROW()&lt;=2+9,"",INDEX(Daily_Input!$F:$F,ROW()-10))</f>
        <v>195765.08577595494</v>
      </c>
      <c r="V75" s="5">
        <f>IF(ROW()&lt;=2+10,"",INDEX(Daily_Input!$F:$F,ROW()-11))</f>
        <v>236821.69637413273</v>
      </c>
      <c r="W75" s="5">
        <f>IF(ROW()&lt;=2+11,"",INDEX(Daily_Input!$F:$F,ROW()-12))</f>
        <v>298696.60837014229</v>
      </c>
      <c r="X75" s="5">
        <f>IF(ROW()&lt;=2+12,"",INDEX(Daily_Input!$F:$F,ROW()-13))</f>
        <v>337406.40040267422</v>
      </c>
      <c r="Y75" s="5">
        <f>IF(ROW()&lt;=2+13,"",INDEX(Daily_Input!$F:$F,ROW()-14))</f>
        <v>456831.75149520702</v>
      </c>
      <c r="Z75" s="5">
        <f>IF(ROW()&lt;=4,"",SUM(Daily_Input!I75:I77))</f>
        <v>0</v>
      </c>
      <c r="AA75" s="5">
        <f>IF(ROW()&lt;=8,"",SUM(Daily_Input!I75:I81))</f>
        <v>21.2</v>
      </c>
      <c r="AB75" s="5">
        <f>IF(ROW()&lt;=15,"",SUM(Daily_Input!I75:I88))</f>
        <v>56.199999999999996</v>
      </c>
      <c r="AC75" s="5">
        <f>IF(ROW()&lt;=4,"",AVERAGE(Daily_Input!F75:F77))</f>
        <v>5907.0587171480392</v>
      </c>
      <c r="AD75" s="5">
        <f>IF(ROW()&lt;=8,"",AVERAGE(Daily_Input!F75:F81))</f>
        <v>6888.9537849537955</v>
      </c>
      <c r="AE75" s="5">
        <f>IF(ROW()&lt;=8,"",MAX(Daily_Input!F75:F81))</f>
        <v>12890.196681399973</v>
      </c>
      <c r="AF75" s="5">
        <f>IF(ROW()&lt;=2+0,"",INDEX(Daily_Input!$G:$G,ROW()-1))</f>
        <v>15019.199999999999</v>
      </c>
      <c r="AG75" s="5">
        <f>IF(ROW()&lt;=2+0,"",INDEX(Daily_Input!$H:$H,ROW()-1))</f>
        <v>0</v>
      </c>
      <c r="AH75" s="5">
        <f>IF(ROW()&lt;=2+1,"",INDEX(Daily_Input!$G:$G,ROW()-2))</f>
        <v>15019.199999999999</v>
      </c>
      <c r="AI75" s="5">
        <f>IF(ROW()&lt;=2+1,"",INDEX(Daily_Input!$H:$H,ROW()-2))</f>
        <v>0</v>
      </c>
      <c r="AJ75" s="5">
        <f>IF(ROW()&lt;=2+2,"",INDEX(Daily_Input!$G:$G,ROW()-3))</f>
        <v>15019.199999999999</v>
      </c>
      <c r="AK75" s="5">
        <f>IF(ROW()&lt;=2+2,"",INDEX(Daily_Input!$H:$H,ROW()-3))</f>
        <v>0</v>
      </c>
    </row>
    <row r="76" spans="1:37">
      <c r="A76" s="5">
        <f>Daily_Input!A76</f>
        <v>45913</v>
      </c>
      <c r="B76" s="5">
        <f>Daily_Input!F76</f>
        <v>3898.785810022036</v>
      </c>
      <c r="C76" s="5">
        <f>Daily_Input!D76</f>
        <v>489.40899999999999</v>
      </c>
      <c r="D76" s="5">
        <f>Daily_Input!E76</f>
        <v>1583503.9153768001</v>
      </c>
      <c r="E76" s="5">
        <f>IF(ROW()=2,"",Daily_Input!E76-Daily_Input!E75)</f>
        <v>-11958.100919299992</v>
      </c>
      <c r="F76" s="5">
        <f>IFERROR(Daily_Input!E76/Config!$B$4,"")</f>
        <v>0.9741859248414092</v>
      </c>
      <c r="G76" s="5">
        <f>Daily_Input!I76</f>
        <v>0</v>
      </c>
      <c r="H76" s="5">
        <f>IF(A76="","",IF(ROW()=2,G76,Config!$B$5*H75+G76))</f>
        <v>124.93428359011524</v>
      </c>
      <c r="I76" s="5">
        <f t="shared" si="1"/>
        <v>256</v>
      </c>
      <c r="J76" s="5">
        <f>IF(I76="","",SIN(2*PI()*I76/Config!$B$6))</f>
        <v>-0.95368099663044548</v>
      </c>
      <c r="K76" s="5">
        <f>IF(I76="","",COS(2*PI()*I76/Config!$B$6))</f>
        <v>-0.30081980763566801</v>
      </c>
      <c r="L76" s="5">
        <f>IF(ROW()&lt;=2+0,"",INDEX(Daily_Input!$F:$F,ROW()-1))</f>
        <v>6874.1850794153179</v>
      </c>
      <c r="M76" s="5">
        <f>IF(ROW()&lt;=2+1,"",INDEX(Daily_Input!$F:$F,ROW()-2))</f>
        <v>11063.993842065462</v>
      </c>
      <c r="N76" s="5">
        <f>IF(ROW()&lt;=2+2,"",INDEX(Daily_Input!$F:$F,ROW()-3))</f>
        <v>6857.8574685479307</v>
      </c>
      <c r="O76" s="5">
        <f>IF(ROW()&lt;=2+3,"",INDEX(Daily_Input!$F:$F,ROW()-4))</f>
        <v>6845.3784573862686</v>
      </c>
      <c r="P76" s="5">
        <f>IF(ROW()&lt;=2+4,"",INDEX(Daily_Input!$F:$F,ROW()-5))</f>
        <v>8842.6662384497886</v>
      </c>
      <c r="Q76" s="5">
        <f>IF(ROW()&lt;=2+5,"",INDEX(Daily_Input!$F:$F,ROW()-6))</f>
        <v>20959.740382089953</v>
      </c>
      <c r="R76" s="5">
        <f>IF(ROW()&lt;=2+6,"",INDEX(Daily_Input!$F:$F,ROW()-7))</f>
        <v>43970.58665044907</v>
      </c>
      <c r="S76" s="5">
        <f>IF(ROW()&lt;=2+7,"",INDEX(Daily_Input!$F:$F,ROW()-8))</f>
        <v>78553.698676224551</v>
      </c>
      <c r="T76" s="5">
        <f>IF(ROW()&lt;=2+8,"",INDEX(Daily_Input!$F:$F,ROW()-9))</f>
        <v>128441.83921457497</v>
      </c>
      <c r="U76" s="5">
        <f>IF(ROW()&lt;=2+9,"",INDEX(Daily_Input!$F:$F,ROW()-10))</f>
        <v>192157.25966394474</v>
      </c>
      <c r="V76" s="5">
        <f>IF(ROW()&lt;=2+10,"",INDEX(Daily_Input!$F:$F,ROW()-11))</f>
        <v>195765.08577595494</v>
      </c>
      <c r="W76" s="5">
        <f>IF(ROW()&lt;=2+11,"",INDEX(Daily_Input!$F:$F,ROW()-12))</f>
        <v>236821.69637413273</v>
      </c>
      <c r="X76" s="5">
        <f>IF(ROW()&lt;=2+12,"",INDEX(Daily_Input!$F:$F,ROW()-13))</f>
        <v>298696.60837014229</v>
      </c>
      <c r="Y76" s="5">
        <f>IF(ROW()&lt;=2+13,"",INDEX(Daily_Input!$F:$F,ROW()-14))</f>
        <v>337406.40040267422</v>
      </c>
      <c r="Z76" s="5">
        <f>IF(ROW()&lt;=4,"",SUM(Daily_Input!I76:I78))</f>
        <v>15.4</v>
      </c>
      <c r="AA76" s="5">
        <f>IF(ROW()&lt;=8,"",SUM(Daily_Input!I76:I82))</f>
        <v>26.4</v>
      </c>
      <c r="AB76" s="5">
        <f>IF(ROW()&lt;=15,"",SUM(Daily_Input!I76:I89))</f>
        <v>56.199999999999996</v>
      </c>
      <c r="AC76" s="5">
        <f>IF(ROW()&lt;=4,"",AVERAGE(Daily_Input!F76:F78))</f>
        <v>5403.3671669863797</v>
      </c>
      <c r="AD76" s="5">
        <f>IF(ROW()&lt;=8,"",AVERAGE(Daily_Input!F76:F82))</f>
        <v>6267.6766524640179</v>
      </c>
      <c r="AE76" s="5">
        <f>IF(ROW()&lt;=8,"",MAX(Daily_Input!F76:F82))</f>
        <v>12890.196681399973</v>
      </c>
      <c r="AF76" s="5">
        <f>IF(ROW()&lt;=2+0,"",INDEX(Daily_Input!$G:$G,ROW()-1))</f>
        <v>15019.199999999999</v>
      </c>
      <c r="AG76" s="5">
        <f>IF(ROW()&lt;=2+0,"",INDEX(Daily_Input!$H:$H,ROW()-1))</f>
        <v>0</v>
      </c>
      <c r="AH76" s="5">
        <f>IF(ROW()&lt;=2+1,"",INDEX(Daily_Input!$G:$G,ROW()-2))</f>
        <v>15019.199999999999</v>
      </c>
      <c r="AI76" s="5">
        <f>IF(ROW()&lt;=2+1,"",INDEX(Daily_Input!$H:$H,ROW()-2))</f>
        <v>0</v>
      </c>
      <c r="AJ76" s="5">
        <f>IF(ROW()&lt;=2+2,"",INDEX(Daily_Input!$G:$G,ROW()-3))</f>
        <v>15019.199999999999</v>
      </c>
      <c r="AK76" s="5">
        <f>IF(ROW()&lt;=2+2,"",INDEX(Daily_Input!$H:$H,ROW()-3))</f>
        <v>0</v>
      </c>
    </row>
    <row r="77" spans="1:37">
      <c r="A77" s="5">
        <f>Daily_Input!A77</f>
        <v>45914</v>
      </c>
      <c r="B77" s="5">
        <f>Daily_Input!F77</f>
        <v>6948.2052620067643</v>
      </c>
      <c r="C77" s="5">
        <f>Daily_Input!D77</f>
        <v>489.37200000000001</v>
      </c>
      <c r="D77" s="5">
        <f>Daily_Input!E77</f>
        <v>1574601.0268989</v>
      </c>
      <c r="E77" s="5">
        <f>IF(ROW()=2,"",Daily_Input!E77-Daily_Input!E76)</f>
        <v>-8902.8884779000655</v>
      </c>
      <c r="F77" s="5">
        <f>IFERROR(Daily_Input!E77/Config!$B$4,"")</f>
        <v>0.96870878736079924</v>
      </c>
      <c r="G77" s="5">
        <f>Daily_Input!I77</f>
        <v>0</v>
      </c>
      <c r="H77" s="5">
        <f>IF(A77="","",IF(ROW()=2,G77,Config!$B$5*H76+G77))</f>
        <v>118.68756941060947</v>
      </c>
      <c r="I77" s="5">
        <f t="shared" si="1"/>
        <v>257</v>
      </c>
      <c r="J77" s="5">
        <f>IF(I77="","",SIN(2*PI()*I77/Config!$B$6))</f>
        <v>-0.95871781698729641</v>
      </c>
      <c r="K77" s="5">
        <f>IF(I77="","",COS(2*PI()*I77/Config!$B$6))</f>
        <v>-0.28435918728100362</v>
      </c>
      <c r="L77" s="5">
        <f>IF(ROW()&lt;=2+0,"",INDEX(Daily_Input!$F:$F,ROW()-1))</f>
        <v>3898.785810022036</v>
      </c>
      <c r="M77" s="5">
        <f>IF(ROW()&lt;=2+1,"",INDEX(Daily_Input!$F:$F,ROW()-2))</f>
        <v>6874.1850794153179</v>
      </c>
      <c r="N77" s="5">
        <f>IF(ROW()&lt;=2+2,"",INDEX(Daily_Input!$F:$F,ROW()-3))</f>
        <v>11063.993842065462</v>
      </c>
      <c r="O77" s="5">
        <f>IF(ROW()&lt;=2+3,"",INDEX(Daily_Input!$F:$F,ROW()-4))</f>
        <v>6857.8574685479307</v>
      </c>
      <c r="P77" s="5">
        <f>IF(ROW()&lt;=2+4,"",INDEX(Daily_Input!$F:$F,ROW()-5))</f>
        <v>6845.3784573862686</v>
      </c>
      <c r="Q77" s="5">
        <f>IF(ROW()&lt;=2+5,"",INDEX(Daily_Input!$F:$F,ROW()-6))</f>
        <v>8842.6662384497886</v>
      </c>
      <c r="R77" s="5">
        <f>IF(ROW()&lt;=2+6,"",INDEX(Daily_Input!$F:$F,ROW()-7))</f>
        <v>20959.740382089953</v>
      </c>
      <c r="S77" s="5">
        <f>IF(ROW()&lt;=2+7,"",INDEX(Daily_Input!$F:$F,ROW()-8))</f>
        <v>43970.58665044907</v>
      </c>
      <c r="T77" s="5">
        <f>IF(ROW()&lt;=2+8,"",INDEX(Daily_Input!$F:$F,ROW()-9))</f>
        <v>78553.698676224551</v>
      </c>
      <c r="U77" s="5">
        <f>IF(ROW()&lt;=2+9,"",INDEX(Daily_Input!$F:$F,ROW()-10))</f>
        <v>128441.83921457497</v>
      </c>
      <c r="V77" s="5">
        <f>IF(ROW()&lt;=2+10,"",INDEX(Daily_Input!$F:$F,ROW()-11))</f>
        <v>192157.25966394474</v>
      </c>
      <c r="W77" s="5">
        <f>IF(ROW()&lt;=2+11,"",INDEX(Daily_Input!$F:$F,ROW()-12))</f>
        <v>195765.08577595494</v>
      </c>
      <c r="X77" s="5">
        <f>IF(ROW()&lt;=2+12,"",INDEX(Daily_Input!$F:$F,ROW()-13))</f>
        <v>236821.69637413273</v>
      </c>
      <c r="Y77" s="5">
        <f>IF(ROW()&lt;=2+13,"",INDEX(Daily_Input!$F:$F,ROW()-14))</f>
        <v>298696.60837014229</v>
      </c>
      <c r="Z77" s="5">
        <f>IF(ROW()&lt;=4,"",SUM(Daily_Input!I77:I79))</f>
        <v>21.2</v>
      </c>
      <c r="AA77" s="5">
        <f>IF(ROW()&lt;=8,"",SUM(Daily_Input!I77:I83))</f>
        <v>28</v>
      </c>
      <c r="AB77" s="5">
        <f>IF(ROW()&lt;=15,"",SUM(Daily_Input!I77:I90))</f>
        <v>56.199999999999996</v>
      </c>
      <c r="AC77" s="5">
        <f>IF(ROW()&lt;=4,"",AVERAGE(Daily_Input!F77:F79))</f>
        <v>7827.8783280694961</v>
      </c>
      <c r="AD77" s="5">
        <f>IF(ROW()&lt;=8,"",AVERAGE(Daily_Input!F77:F83))</f>
        <v>5806.8294874969706</v>
      </c>
      <c r="AE77" s="5">
        <f>IF(ROW()&lt;=8,"",MAX(Daily_Input!F77:F83))</f>
        <v>12890.196681399973</v>
      </c>
      <c r="AF77" s="5">
        <f>IF(ROW()&lt;=2+0,"",INDEX(Daily_Input!$G:$G,ROW()-1))</f>
        <v>15019.199999999999</v>
      </c>
      <c r="AG77" s="5">
        <f>IF(ROW()&lt;=2+0,"",INDEX(Daily_Input!$H:$H,ROW()-1))</f>
        <v>0</v>
      </c>
      <c r="AH77" s="5">
        <f>IF(ROW()&lt;=2+1,"",INDEX(Daily_Input!$G:$G,ROW()-2))</f>
        <v>15019.199999999999</v>
      </c>
      <c r="AI77" s="5">
        <f>IF(ROW()&lt;=2+1,"",INDEX(Daily_Input!$H:$H,ROW()-2))</f>
        <v>0</v>
      </c>
      <c r="AJ77" s="5">
        <f>IF(ROW()&lt;=2+2,"",INDEX(Daily_Input!$G:$G,ROW()-3))</f>
        <v>15019.199999999999</v>
      </c>
      <c r="AK77" s="5">
        <f>IF(ROW()&lt;=2+2,"",INDEX(Daily_Input!$H:$H,ROW()-3))</f>
        <v>0</v>
      </c>
    </row>
    <row r="78" spans="1:37">
      <c r="A78" s="5">
        <f>Daily_Input!A78</f>
        <v>45915</v>
      </c>
      <c r="B78" s="5">
        <f>Daily_Input!F78</f>
        <v>5363.1104289303385</v>
      </c>
      <c r="C78" s="5">
        <f>Daily_Input!D78</f>
        <v>489.35899999999998</v>
      </c>
      <c r="D78" s="5">
        <f>Daily_Input!E78</f>
        <v>1568674.6777429001</v>
      </c>
      <c r="E78" s="5">
        <f>IF(ROW()=2,"",Daily_Input!E78-Daily_Input!E77)</f>
        <v>-5926.3491559999529</v>
      </c>
      <c r="F78" s="5">
        <f>IFERROR(Daily_Input!E78/Config!$B$4,"")</f>
        <v>0.96506284378124252</v>
      </c>
      <c r="G78" s="5">
        <f>Daily_Input!I78</f>
        <v>15.4</v>
      </c>
      <c r="H78" s="5">
        <f>IF(A78="","",IF(ROW()=2,G78,Config!$B$5*H77+G78))</f>
        <v>128.15319094007899</v>
      </c>
      <c r="I78" s="5">
        <f t="shared" si="1"/>
        <v>258</v>
      </c>
      <c r="J78" s="5">
        <f>IF(I78="","",SIN(2*PI()*I78/Config!$B$6))</f>
        <v>-0.9634705485641486</v>
      </c>
      <c r="K78" s="5">
        <f>IF(I78="","",COS(2*PI()*I78/Config!$B$6))</f>
        <v>-0.26781430516217486</v>
      </c>
      <c r="L78" s="5">
        <f>IF(ROW()&lt;=2+0,"",INDEX(Daily_Input!$F:$F,ROW()-1))</f>
        <v>6948.2052620067643</v>
      </c>
      <c r="M78" s="5">
        <f>IF(ROW()&lt;=2+1,"",INDEX(Daily_Input!$F:$F,ROW()-2))</f>
        <v>3898.785810022036</v>
      </c>
      <c r="N78" s="5">
        <f>IF(ROW()&lt;=2+2,"",INDEX(Daily_Input!$F:$F,ROW()-3))</f>
        <v>6874.1850794153179</v>
      </c>
      <c r="O78" s="5">
        <f>IF(ROW()&lt;=2+3,"",INDEX(Daily_Input!$F:$F,ROW()-4))</f>
        <v>11063.993842065462</v>
      </c>
      <c r="P78" s="5">
        <f>IF(ROW()&lt;=2+4,"",INDEX(Daily_Input!$F:$F,ROW()-5))</f>
        <v>6857.8574685479307</v>
      </c>
      <c r="Q78" s="5">
        <f>IF(ROW()&lt;=2+5,"",INDEX(Daily_Input!$F:$F,ROW()-6))</f>
        <v>6845.3784573862686</v>
      </c>
      <c r="R78" s="5">
        <f>IF(ROW()&lt;=2+6,"",INDEX(Daily_Input!$F:$F,ROW()-7))</f>
        <v>8842.6662384497886</v>
      </c>
      <c r="S78" s="5">
        <f>IF(ROW()&lt;=2+7,"",INDEX(Daily_Input!$F:$F,ROW()-8))</f>
        <v>20959.740382089953</v>
      </c>
      <c r="T78" s="5">
        <f>IF(ROW()&lt;=2+8,"",INDEX(Daily_Input!$F:$F,ROW()-9))</f>
        <v>43970.58665044907</v>
      </c>
      <c r="U78" s="5">
        <f>IF(ROW()&lt;=2+9,"",INDEX(Daily_Input!$F:$F,ROW()-10))</f>
        <v>78553.698676224551</v>
      </c>
      <c r="V78" s="5">
        <f>IF(ROW()&lt;=2+10,"",INDEX(Daily_Input!$F:$F,ROW()-11))</f>
        <v>128441.83921457497</v>
      </c>
      <c r="W78" s="5">
        <f>IF(ROW()&lt;=2+11,"",INDEX(Daily_Input!$F:$F,ROW()-12))</f>
        <v>192157.25966394474</v>
      </c>
      <c r="X78" s="5">
        <f>IF(ROW()&lt;=2+12,"",INDEX(Daily_Input!$F:$F,ROW()-13))</f>
        <v>195765.08577595494</v>
      </c>
      <c r="Y78" s="5">
        <f>IF(ROW()&lt;=2+13,"",INDEX(Daily_Input!$F:$F,ROW()-14))</f>
        <v>236821.69637413273</v>
      </c>
      <c r="Z78" s="5">
        <f>IF(ROW()&lt;=4,"",SUM(Daily_Input!I78:I80))</f>
        <v>21.2</v>
      </c>
      <c r="AA78" s="5">
        <f>IF(ROW()&lt;=8,"",SUM(Daily_Input!I78:I84))</f>
        <v>34.799999999999997</v>
      </c>
      <c r="AB78" s="5">
        <f>IF(ROW()&lt;=15,"",SUM(Daily_Input!I78:I91))</f>
        <v>57.199999999999996</v>
      </c>
      <c r="AC78" s="5">
        <f>IF(ROW()&lt;=4,"",AVERAGE(Daily_Input!F78:F80))</f>
        <v>9808.5421345339</v>
      </c>
      <c r="AD78" s="5">
        <f>IF(ROW()&lt;=8,"",AVERAGE(Daily_Input!F78:F84))</f>
        <v>5954.6797226284616</v>
      </c>
      <c r="AE78" s="5">
        <f>IF(ROW()&lt;=8,"",MAX(Daily_Input!F78:F84))</f>
        <v>12890.196681399973</v>
      </c>
      <c r="AF78" s="5">
        <f>IF(ROW()&lt;=2+0,"",INDEX(Daily_Input!$G:$G,ROW()-1))</f>
        <v>15019.199999999999</v>
      </c>
      <c r="AG78" s="5">
        <f>IF(ROW()&lt;=2+0,"",INDEX(Daily_Input!$H:$H,ROW()-1))</f>
        <v>0</v>
      </c>
      <c r="AH78" s="5">
        <f>IF(ROW()&lt;=2+1,"",INDEX(Daily_Input!$G:$G,ROW()-2))</f>
        <v>15019.199999999999</v>
      </c>
      <c r="AI78" s="5">
        <f>IF(ROW()&lt;=2+1,"",INDEX(Daily_Input!$H:$H,ROW()-2))</f>
        <v>0</v>
      </c>
      <c r="AJ78" s="5">
        <f>IF(ROW()&lt;=2+2,"",INDEX(Daily_Input!$G:$G,ROW()-3))</f>
        <v>15019.199999999999</v>
      </c>
      <c r="AK78" s="5">
        <f>IF(ROW()&lt;=2+2,"",INDEX(Daily_Input!$H:$H,ROW()-3))</f>
        <v>0</v>
      </c>
    </row>
    <row r="79" spans="1:37">
      <c r="A79" s="5">
        <f>Daily_Input!A79</f>
        <v>45916</v>
      </c>
      <c r="B79" s="5">
        <f>Daily_Input!F79</f>
        <v>11172.319293271388</v>
      </c>
      <c r="C79" s="5">
        <f>Daily_Input!D79</f>
        <v>489.34300000000002</v>
      </c>
      <c r="D79" s="5">
        <f>Daily_Input!E79</f>
        <v>1565714.0163252</v>
      </c>
      <c r="E79" s="5">
        <f>IF(ROW()=2,"",Daily_Input!E79-Daily_Input!E78)</f>
        <v>-2960.6614177001175</v>
      </c>
      <c r="F79" s="5">
        <f>IFERROR(Daily_Input!E79/Config!$B$4,"")</f>
        <v>0.96324141811040154</v>
      </c>
      <c r="G79" s="5">
        <f>Daily_Input!I79</f>
        <v>5.8</v>
      </c>
      <c r="H79" s="5">
        <f>IF(A79="","",IF(ROW()=2,G79,Config!$B$5*H78+G79))</f>
        <v>127.54553139307502</v>
      </c>
      <c r="I79" s="5">
        <f t="shared" si="1"/>
        <v>259</v>
      </c>
      <c r="J79" s="5">
        <f>IF(I79="","",SIN(2*PI()*I79/Config!$B$6))</f>
        <v>-0.96793778302406408</v>
      </c>
      <c r="K79" s="5">
        <f>IF(I79="","",COS(2*PI()*I79/Config!$B$6))</f>
        <v>-0.25119006388481957</v>
      </c>
      <c r="L79" s="5">
        <f>IF(ROW()&lt;=2+0,"",INDEX(Daily_Input!$F:$F,ROW()-1))</f>
        <v>5363.1104289303385</v>
      </c>
      <c r="M79" s="5">
        <f>IF(ROW()&lt;=2+1,"",INDEX(Daily_Input!$F:$F,ROW()-2))</f>
        <v>6948.2052620067643</v>
      </c>
      <c r="N79" s="5">
        <f>IF(ROW()&lt;=2+2,"",INDEX(Daily_Input!$F:$F,ROW()-3))</f>
        <v>3898.785810022036</v>
      </c>
      <c r="O79" s="5">
        <f>IF(ROW()&lt;=2+3,"",INDEX(Daily_Input!$F:$F,ROW()-4))</f>
        <v>6874.1850794153179</v>
      </c>
      <c r="P79" s="5">
        <f>IF(ROW()&lt;=2+4,"",INDEX(Daily_Input!$F:$F,ROW()-5))</f>
        <v>11063.993842065462</v>
      </c>
      <c r="Q79" s="5">
        <f>IF(ROW()&lt;=2+5,"",INDEX(Daily_Input!$F:$F,ROW()-6))</f>
        <v>6857.8574685479307</v>
      </c>
      <c r="R79" s="5">
        <f>IF(ROW()&lt;=2+6,"",INDEX(Daily_Input!$F:$F,ROW()-7))</f>
        <v>6845.3784573862686</v>
      </c>
      <c r="S79" s="5">
        <f>IF(ROW()&lt;=2+7,"",INDEX(Daily_Input!$F:$F,ROW()-8))</f>
        <v>8842.6662384497886</v>
      </c>
      <c r="T79" s="5">
        <f>IF(ROW()&lt;=2+8,"",INDEX(Daily_Input!$F:$F,ROW()-9))</f>
        <v>20959.740382089953</v>
      </c>
      <c r="U79" s="5">
        <f>IF(ROW()&lt;=2+9,"",INDEX(Daily_Input!$F:$F,ROW()-10))</f>
        <v>43970.58665044907</v>
      </c>
      <c r="V79" s="5">
        <f>IF(ROW()&lt;=2+10,"",INDEX(Daily_Input!$F:$F,ROW()-11))</f>
        <v>78553.698676224551</v>
      </c>
      <c r="W79" s="5">
        <f>IF(ROW()&lt;=2+11,"",INDEX(Daily_Input!$F:$F,ROW()-12))</f>
        <v>128441.83921457497</v>
      </c>
      <c r="X79" s="5">
        <f>IF(ROW()&lt;=2+12,"",INDEX(Daily_Input!$F:$F,ROW()-13))</f>
        <v>192157.25966394474</v>
      </c>
      <c r="Y79" s="5">
        <f>IF(ROW()&lt;=2+13,"",INDEX(Daily_Input!$F:$F,ROW()-14))</f>
        <v>195765.08577595494</v>
      </c>
      <c r="Z79" s="5">
        <f>IF(ROW()&lt;=4,"",SUM(Daily_Input!I79:I81))</f>
        <v>5.8</v>
      </c>
      <c r="AA79" s="5">
        <f>IF(ROW()&lt;=8,"",SUM(Daily_Input!I79:I85))</f>
        <v>21.2</v>
      </c>
      <c r="AB79" s="5">
        <f>IF(ROW()&lt;=15,"",SUM(Daily_Input!I79:I92))</f>
        <v>41.8</v>
      </c>
      <c r="AC79" s="5">
        <f>IF(ROW()&lt;=4,"",AVERAGE(Daily_Input!F79:F81))</f>
        <v>8379.4633047673688</v>
      </c>
      <c r="AD79" s="5">
        <f>IF(ROW()&lt;=8,"",AVERAGE(Daily_Input!F79:F85))</f>
        <v>5701.9735396956385</v>
      </c>
      <c r="AE79" s="5">
        <f>IF(ROW()&lt;=8,"",MAX(Daily_Input!F79:F85))</f>
        <v>12890.196681399973</v>
      </c>
      <c r="AF79" s="5">
        <f>IF(ROW()&lt;=2+0,"",INDEX(Daily_Input!$G:$G,ROW()-1))</f>
        <v>15019.199999999999</v>
      </c>
      <c r="AG79" s="5">
        <f>IF(ROW()&lt;=2+0,"",INDEX(Daily_Input!$H:$H,ROW()-1))</f>
        <v>0</v>
      </c>
      <c r="AH79" s="5">
        <f>IF(ROW()&lt;=2+1,"",INDEX(Daily_Input!$G:$G,ROW()-2))</f>
        <v>15019.199999999999</v>
      </c>
      <c r="AI79" s="5">
        <f>IF(ROW()&lt;=2+1,"",INDEX(Daily_Input!$H:$H,ROW()-2))</f>
        <v>0</v>
      </c>
      <c r="AJ79" s="5">
        <f>IF(ROW()&lt;=2+2,"",INDEX(Daily_Input!$G:$G,ROW()-3))</f>
        <v>15019.199999999999</v>
      </c>
      <c r="AK79" s="5">
        <f>IF(ROW()&lt;=2+2,"",INDEX(Daily_Input!$H:$H,ROW()-3))</f>
        <v>0</v>
      </c>
    </row>
    <row r="80" spans="1:37">
      <c r="A80" s="5">
        <f>Daily_Input!A80</f>
        <v>45917</v>
      </c>
      <c r="B80" s="5">
        <f>Daily_Input!F80</f>
        <v>12890.196681399973</v>
      </c>
      <c r="C80" s="5">
        <f>Daily_Input!D80</f>
        <v>489.33699999999999</v>
      </c>
      <c r="D80" s="5">
        <f>Daily_Input!E80</f>
        <v>1562754.9976601</v>
      </c>
      <c r="E80" s="5">
        <f>IF(ROW()=2,"",Daily_Input!E80-Daily_Input!E79)</f>
        <v>-2959.0186650999822</v>
      </c>
      <c r="F80" s="5">
        <f>IFERROR(Daily_Input!E80/Config!$B$4,"")</f>
        <v>0.96142100307581202</v>
      </c>
      <c r="G80" s="5">
        <f>Daily_Input!I80</f>
        <v>0</v>
      </c>
      <c r="H80" s="5">
        <f>IF(A80="","",IF(ROW()=2,G80,Config!$B$5*H79+G80))</f>
        <v>121.16825482342126</v>
      </c>
      <c r="I80" s="5">
        <f t="shared" si="1"/>
        <v>260</v>
      </c>
      <c r="J80" s="5">
        <f>IF(I80="","",SIN(2*PI()*I80/Config!$B$6))</f>
        <v>-0.97211819662906118</v>
      </c>
      <c r="K80" s="5">
        <f>IF(I80="","",COS(2*PI()*I80/Config!$B$6))</f>
        <v>-0.23449138957041052</v>
      </c>
      <c r="L80" s="5">
        <f>IF(ROW()&lt;=2+0,"",INDEX(Daily_Input!$F:$F,ROW()-1))</f>
        <v>11172.319293271388</v>
      </c>
      <c r="M80" s="5">
        <f>IF(ROW()&lt;=2+1,"",INDEX(Daily_Input!$F:$F,ROW()-2))</f>
        <v>5363.1104289303385</v>
      </c>
      <c r="N80" s="5">
        <f>IF(ROW()&lt;=2+2,"",INDEX(Daily_Input!$F:$F,ROW()-3))</f>
        <v>6948.2052620067643</v>
      </c>
      <c r="O80" s="5">
        <f>IF(ROW()&lt;=2+3,"",INDEX(Daily_Input!$F:$F,ROW()-4))</f>
        <v>3898.785810022036</v>
      </c>
      <c r="P80" s="5">
        <f>IF(ROW()&lt;=2+4,"",INDEX(Daily_Input!$F:$F,ROW()-5))</f>
        <v>6874.1850794153179</v>
      </c>
      <c r="Q80" s="5">
        <f>IF(ROW()&lt;=2+5,"",INDEX(Daily_Input!$F:$F,ROW()-6))</f>
        <v>11063.993842065462</v>
      </c>
      <c r="R80" s="5">
        <f>IF(ROW()&lt;=2+6,"",INDEX(Daily_Input!$F:$F,ROW()-7))</f>
        <v>6857.8574685479307</v>
      </c>
      <c r="S80" s="5">
        <f>IF(ROW()&lt;=2+7,"",INDEX(Daily_Input!$F:$F,ROW()-8))</f>
        <v>6845.3784573862686</v>
      </c>
      <c r="T80" s="5">
        <f>IF(ROW()&lt;=2+8,"",INDEX(Daily_Input!$F:$F,ROW()-9))</f>
        <v>8842.6662384497886</v>
      </c>
      <c r="U80" s="5">
        <f>IF(ROW()&lt;=2+9,"",INDEX(Daily_Input!$F:$F,ROW()-10))</f>
        <v>20959.740382089953</v>
      </c>
      <c r="V80" s="5">
        <f>IF(ROW()&lt;=2+10,"",INDEX(Daily_Input!$F:$F,ROW()-11))</f>
        <v>43970.58665044907</v>
      </c>
      <c r="W80" s="5">
        <f>IF(ROW()&lt;=2+11,"",INDEX(Daily_Input!$F:$F,ROW()-12))</f>
        <v>78553.698676224551</v>
      </c>
      <c r="X80" s="5">
        <f>IF(ROW()&lt;=2+12,"",INDEX(Daily_Input!$F:$F,ROW()-13))</f>
        <v>128441.83921457497</v>
      </c>
      <c r="Y80" s="5">
        <f>IF(ROW()&lt;=2+13,"",INDEX(Daily_Input!$F:$F,ROW()-14))</f>
        <v>192157.25966394474</v>
      </c>
      <c r="Z80" s="5">
        <f>IF(ROW()&lt;=4,"",SUM(Daily_Input!I80:I82))</f>
        <v>5.2</v>
      </c>
      <c r="AA80" s="5">
        <f>IF(ROW()&lt;=8,"",SUM(Daily_Input!I80:I86))</f>
        <v>17.000000000000004</v>
      </c>
      <c r="AB80" s="5">
        <f>IF(ROW()&lt;=15,"",SUM(Daily_Input!I80:I93))</f>
        <v>52</v>
      </c>
      <c r="AC80" s="5">
        <f>IF(ROW()&lt;=4,"",AVERAGE(Daily_Input!F80:F82))</f>
        <v>5497.1052576725297</v>
      </c>
      <c r="AD80" s="5">
        <f>IF(ROW()&lt;=8,"",AVERAGE(Daily_Input!F80:F86))</f>
        <v>4211.9497360466685</v>
      </c>
      <c r="AE80" s="5">
        <f>IF(ROW()&lt;=8,"",MAX(Daily_Input!F80:F86))</f>
        <v>12890.196681399973</v>
      </c>
      <c r="AF80" s="5">
        <f>IF(ROW()&lt;=2+0,"",INDEX(Daily_Input!$G:$G,ROW()-1))</f>
        <v>15019.199999999999</v>
      </c>
      <c r="AG80" s="5">
        <f>IF(ROW()&lt;=2+0,"",INDEX(Daily_Input!$H:$H,ROW()-1))</f>
        <v>0</v>
      </c>
      <c r="AH80" s="5">
        <f>IF(ROW()&lt;=2+1,"",INDEX(Daily_Input!$G:$G,ROW()-2))</f>
        <v>15019.199999999999</v>
      </c>
      <c r="AI80" s="5">
        <f>IF(ROW()&lt;=2+1,"",INDEX(Daily_Input!$H:$H,ROW()-2))</f>
        <v>0</v>
      </c>
      <c r="AJ80" s="5">
        <f>IF(ROW()&lt;=2+2,"",INDEX(Daily_Input!$G:$G,ROW()-3))</f>
        <v>15019.199999999999</v>
      </c>
      <c r="AK80" s="5">
        <f>IF(ROW()&lt;=2+2,"",INDEX(Daily_Input!$H:$H,ROW()-3))</f>
        <v>0</v>
      </c>
    </row>
    <row r="81" spans="1:37">
      <c r="A81" s="5">
        <f>Daily_Input!A81</f>
        <v>45918</v>
      </c>
      <c r="B81" s="5">
        <f>Daily_Input!F81</f>
        <v>1075.8739396307471</v>
      </c>
      <c r="C81" s="5">
        <f>Daily_Input!D81</f>
        <v>489.28399999999999</v>
      </c>
      <c r="D81" s="5">
        <f>Daily_Input!E81</f>
        <v>1547983.8767252001</v>
      </c>
      <c r="E81" s="5">
        <f>IF(ROW()=2,"",Daily_Input!E81-Daily_Input!E80)</f>
        <v>-14771.120934899896</v>
      </c>
      <c r="F81" s="5">
        <f>IFERROR(Daily_Input!E81/Config!$B$4,"")</f>
        <v>0.95233367593429008</v>
      </c>
      <c r="G81" s="5">
        <f>Daily_Input!I81</f>
        <v>0</v>
      </c>
      <c r="H81" s="5">
        <f>IF(A81="","",IF(ROW()=2,G81,Config!$B$5*H80+G81))</f>
        <v>115.1098420822502</v>
      </c>
      <c r="I81" s="5">
        <f t="shared" si="1"/>
        <v>261</v>
      </c>
      <c r="J81" s="5">
        <f>IF(I81="","",SIN(2*PI()*I81/Config!$B$6))</f>
        <v>-0.97601055063236819</v>
      </c>
      <c r="K81" s="5">
        <f>IF(I81="","",COS(2*PI()*I81/Config!$B$6))</f>
        <v>-0.21772323039653224</v>
      </c>
      <c r="L81" s="5">
        <f>IF(ROW()&lt;=2+0,"",INDEX(Daily_Input!$F:$F,ROW()-1))</f>
        <v>12890.196681399973</v>
      </c>
      <c r="M81" s="5">
        <f>IF(ROW()&lt;=2+1,"",INDEX(Daily_Input!$F:$F,ROW()-2))</f>
        <v>11172.319293271388</v>
      </c>
      <c r="N81" s="5">
        <f>IF(ROW()&lt;=2+2,"",INDEX(Daily_Input!$F:$F,ROW()-3))</f>
        <v>5363.1104289303385</v>
      </c>
      <c r="O81" s="5">
        <f>IF(ROW()&lt;=2+3,"",INDEX(Daily_Input!$F:$F,ROW()-4))</f>
        <v>6948.2052620067643</v>
      </c>
      <c r="P81" s="5">
        <f>IF(ROW()&lt;=2+4,"",INDEX(Daily_Input!$F:$F,ROW()-5))</f>
        <v>3898.785810022036</v>
      </c>
      <c r="Q81" s="5">
        <f>IF(ROW()&lt;=2+5,"",INDEX(Daily_Input!$F:$F,ROW()-6))</f>
        <v>6874.1850794153179</v>
      </c>
      <c r="R81" s="5">
        <f>IF(ROW()&lt;=2+6,"",INDEX(Daily_Input!$F:$F,ROW()-7))</f>
        <v>11063.993842065462</v>
      </c>
      <c r="S81" s="5">
        <f>IF(ROW()&lt;=2+7,"",INDEX(Daily_Input!$F:$F,ROW()-8))</f>
        <v>6857.8574685479307</v>
      </c>
      <c r="T81" s="5">
        <f>IF(ROW()&lt;=2+8,"",INDEX(Daily_Input!$F:$F,ROW()-9))</f>
        <v>6845.3784573862686</v>
      </c>
      <c r="U81" s="5">
        <f>IF(ROW()&lt;=2+9,"",INDEX(Daily_Input!$F:$F,ROW()-10))</f>
        <v>8842.6662384497886</v>
      </c>
      <c r="V81" s="5">
        <f>IF(ROW()&lt;=2+10,"",INDEX(Daily_Input!$F:$F,ROW()-11))</f>
        <v>20959.740382089953</v>
      </c>
      <c r="W81" s="5">
        <f>IF(ROW()&lt;=2+11,"",INDEX(Daily_Input!$F:$F,ROW()-12))</f>
        <v>43970.58665044907</v>
      </c>
      <c r="X81" s="5">
        <f>IF(ROW()&lt;=2+12,"",INDEX(Daily_Input!$F:$F,ROW()-13))</f>
        <v>78553.698676224551</v>
      </c>
      <c r="Y81" s="5">
        <f>IF(ROW()&lt;=2+13,"",INDEX(Daily_Input!$F:$F,ROW()-14))</f>
        <v>128441.83921457497</v>
      </c>
      <c r="Z81" s="5">
        <f>IF(ROW()&lt;=4,"",SUM(Daily_Input!I81:I83))</f>
        <v>6.8000000000000007</v>
      </c>
      <c r="AA81" s="5">
        <f>IF(ROW()&lt;=8,"",SUM(Daily_Input!I81:I87))</f>
        <v>17.000000000000004</v>
      </c>
      <c r="AB81" s="5">
        <f>IF(ROW()&lt;=15,"",SUM(Daily_Input!I81:I94))</f>
        <v>62.8</v>
      </c>
      <c r="AC81" s="5">
        <f>IF(ROW()&lt;=4,"",AVERAGE(Daily_Input!F81:F83))</f>
        <v>1424.6582489567754</v>
      </c>
      <c r="AD81" s="5">
        <f>IF(ROW()&lt;=8,"",AVERAGE(Daily_Input!F81:F87))</f>
        <v>2546.2157139256678</v>
      </c>
      <c r="AE81" s="5">
        <f>IF(ROW()&lt;=8,"",MAX(Daily_Input!F81:F87))</f>
        <v>7983.1569079272103</v>
      </c>
      <c r="AF81" s="5">
        <f>IF(ROW()&lt;=2+0,"",INDEX(Daily_Input!$G:$G,ROW()-1))</f>
        <v>15019.199999999999</v>
      </c>
      <c r="AG81" s="5">
        <f>IF(ROW()&lt;=2+0,"",INDEX(Daily_Input!$H:$H,ROW()-1))</f>
        <v>0</v>
      </c>
      <c r="AH81" s="5">
        <f>IF(ROW()&lt;=2+1,"",INDEX(Daily_Input!$G:$G,ROW()-2))</f>
        <v>15019.199999999999</v>
      </c>
      <c r="AI81" s="5">
        <f>IF(ROW()&lt;=2+1,"",INDEX(Daily_Input!$H:$H,ROW()-2))</f>
        <v>0</v>
      </c>
      <c r="AJ81" s="5">
        <f>IF(ROW()&lt;=2+2,"",INDEX(Daily_Input!$G:$G,ROW()-3))</f>
        <v>15019.199999999999</v>
      </c>
      <c r="AK81" s="5">
        <f>IF(ROW()&lt;=2+2,"",INDEX(Daily_Input!$H:$H,ROW()-3))</f>
        <v>0</v>
      </c>
    </row>
    <row r="82" spans="1:37">
      <c r="A82" s="5">
        <f>Daily_Input!A82</f>
        <v>45919</v>
      </c>
      <c r="B82" s="5">
        <f>Daily_Input!F82</f>
        <v>2525.2451519868682</v>
      </c>
      <c r="C82" s="5">
        <f>Daily_Input!D82</f>
        <v>489.24599999999998</v>
      </c>
      <c r="D82" s="5">
        <f>Daily_Input!E82</f>
        <v>1536194.8351113</v>
      </c>
      <c r="E82" s="5">
        <f>IF(ROW()=2,"",Daily_Input!E82-Daily_Input!E81)</f>
        <v>-11789.041613900103</v>
      </c>
      <c r="F82" s="5">
        <f>IFERROR(Daily_Input!E82/Config!$B$4,"")</f>
        <v>0.94508095095135358</v>
      </c>
      <c r="G82" s="5">
        <f>Daily_Input!I82</f>
        <v>5.2</v>
      </c>
      <c r="H82" s="5">
        <f>IF(A82="","",IF(ROW()=2,G82,Config!$B$5*H81+G82))</f>
        <v>114.55434997813768</v>
      </c>
      <c r="I82" s="5">
        <f t="shared" si="1"/>
        <v>262</v>
      </c>
      <c r="J82" s="5">
        <f>IF(I82="","",SIN(2*PI()*I82/Config!$B$6))</f>
        <v>-0.97961369164549006</v>
      </c>
      <c r="K82" s="5">
        <f>IF(I82="","",COS(2*PI()*I82/Config!$B$6))</f>
        <v>-0.20089055513063528</v>
      </c>
      <c r="L82" s="5">
        <f>IF(ROW()&lt;=2+0,"",INDEX(Daily_Input!$F:$F,ROW()-1))</f>
        <v>1075.8739396307471</v>
      </c>
      <c r="M82" s="5">
        <f>IF(ROW()&lt;=2+1,"",INDEX(Daily_Input!$F:$F,ROW()-2))</f>
        <v>12890.196681399973</v>
      </c>
      <c r="N82" s="5">
        <f>IF(ROW()&lt;=2+2,"",INDEX(Daily_Input!$F:$F,ROW()-3))</f>
        <v>11172.319293271388</v>
      </c>
      <c r="O82" s="5">
        <f>IF(ROW()&lt;=2+3,"",INDEX(Daily_Input!$F:$F,ROW()-4))</f>
        <v>5363.1104289303385</v>
      </c>
      <c r="P82" s="5">
        <f>IF(ROW()&lt;=2+4,"",INDEX(Daily_Input!$F:$F,ROW()-5))</f>
        <v>6948.2052620067643</v>
      </c>
      <c r="Q82" s="5">
        <f>IF(ROW()&lt;=2+5,"",INDEX(Daily_Input!$F:$F,ROW()-6))</f>
        <v>3898.785810022036</v>
      </c>
      <c r="R82" s="5">
        <f>IF(ROW()&lt;=2+6,"",INDEX(Daily_Input!$F:$F,ROW()-7))</f>
        <v>6874.1850794153179</v>
      </c>
      <c r="S82" s="5">
        <f>IF(ROW()&lt;=2+7,"",INDEX(Daily_Input!$F:$F,ROW()-8))</f>
        <v>11063.993842065462</v>
      </c>
      <c r="T82" s="5">
        <f>IF(ROW()&lt;=2+8,"",INDEX(Daily_Input!$F:$F,ROW()-9))</f>
        <v>6857.8574685479307</v>
      </c>
      <c r="U82" s="5">
        <f>IF(ROW()&lt;=2+9,"",INDEX(Daily_Input!$F:$F,ROW()-10))</f>
        <v>6845.3784573862686</v>
      </c>
      <c r="V82" s="5">
        <f>IF(ROW()&lt;=2+10,"",INDEX(Daily_Input!$F:$F,ROW()-11))</f>
        <v>8842.6662384497886</v>
      </c>
      <c r="W82" s="5">
        <f>IF(ROW()&lt;=2+11,"",INDEX(Daily_Input!$F:$F,ROW()-12))</f>
        <v>20959.740382089953</v>
      </c>
      <c r="X82" s="5">
        <f>IF(ROW()&lt;=2+12,"",INDEX(Daily_Input!$F:$F,ROW()-13))</f>
        <v>43970.58665044907</v>
      </c>
      <c r="Y82" s="5">
        <f>IF(ROW()&lt;=2+13,"",INDEX(Daily_Input!$F:$F,ROW()-14))</f>
        <v>78553.698676224551</v>
      </c>
      <c r="Z82" s="5">
        <f>IF(ROW()&lt;=4,"",SUM(Daily_Input!I82:I84))</f>
        <v>13.600000000000001</v>
      </c>
      <c r="AA82" s="5">
        <f>IF(ROW()&lt;=8,"",SUM(Daily_Input!I82:I88))</f>
        <v>35</v>
      </c>
      <c r="AB82" s="5">
        <f>IF(ROW()&lt;=15,"",SUM(Daily_Input!I82:I95))</f>
        <v>64.2</v>
      </c>
      <c r="AC82" s="5">
        <f>IF(ROW()&lt;=4,"",AVERAGE(Daily_Input!F82:F84))</f>
        <v>3727.0859050555969</v>
      </c>
      <c r="AD82" s="5">
        <f>IF(ROW()&lt;=8,"",AVERAGE(Daily_Input!F82:F88))</f>
        <v>4321.3561569929725</v>
      </c>
      <c r="AE82" s="5">
        <f>IF(ROW()&lt;=8,"",MAX(Daily_Input!F82:F88))</f>
        <v>13501.857041101875</v>
      </c>
      <c r="AF82" s="5">
        <f>IF(ROW()&lt;=2+0,"",INDEX(Daily_Input!$G:$G,ROW()-1))</f>
        <v>15019.199999999999</v>
      </c>
      <c r="AG82" s="5">
        <f>IF(ROW()&lt;=2+0,"",INDEX(Daily_Input!$H:$H,ROW()-1))</f>
        <v>0</v>
      </c>
      <c r="AH82" s="5">
        <f>IF(ROW()&lt;=2+1,"",INDEX(Daily_Input!$G:$G,ROW()-2))</f>
        <v>15019.199999999999</v>
      </c>
      <c r="AI82" s="5">
        <f>IF(ROW()&lt;=2+1,"",INDEX(Daily_Input!$H:$H,ROW()-2))</f>
        <v>0</v>
      </c>
      <c r="AJ82" s="5">
        <f>IF(ROW()&lt;=2+2,"",INDEX(Daily_Input!$G:$G,ROW()-3))</f>
        <v>15019.199999999999</v>
      </c>
      <c r="AK82" s="5">
        <f>IF(ROW()&lt;=2+2,"",INDEX(Daily_Input!$H:$H,ROW()-3))</f>
        <v>0</v>
      </c>
    </row>
    <row r="83" spans="1:37">
      <c r="A83" s="5">
        <f>Daily_Input!A83</f>
        <v>45920</v>
      </c>
      <c r="B83" s="5">
        <f>Daily_Input!F83</f>
        <v>672.85565525271102</v>
      </c>
      <c r="C83" s="5">
        <f>Daily_Input!D83</f>
        <v>489.19799999999998</v>
      </c>
      <c r="D83" s="5">
        <f>Daily_Input!E83</f>
        <v>1521494.7669134</v>
      </c>
      <c r="E83" s="5">
        <f>IF(ROW()=2,"",Daily_Input!E83-Daily_Input!E82)</f>
        <v>-14700.068197899964</v>
      </c>
      <c r="F83" s="5">
        <f>IFERROR(Daily_Input!E83/Config!$B$4,"")</f>
        <v>0.93603733609600581</v>
      </c>
      <c r="G83" s="5">
        <f>Daily_Input!I83</f>
        <v>1.6</v>
      </c>
      <c r="H83" s="5">
        <f>IF(A83="","",IF(ROW()=2,G83,Config!$B$5*H82+G83))</f>
        <v>110.42663247923079</v>
      </c>
      <c r="I83" s="5">
        <f t="shared" si="1"/>
        <v>263</v>
      </c>
      <c r="J83" s="5">
        <f>IF(I83="","",SIN(2*PI()*I83/Config!$B$6))</f>
        <v>-0.98292655197998224</v>
      </c>
      <c r="K83" s="5">
        <f>IF(I83="","",COS(2*PI()*I83/Config!$B$6))</f>
        <v>-0.18399835165767986</v>
      </c>
      <c r="L83" s="5">
        <f>IF(ROW()&lt;=2+0,"",INDEX(Daily_Input!$F:$F,ROW()-1))</f>
        <v>2525.2451519868682</v>
      </c>
      <c r="M83" s="5">
        <f>IF(ROW()&lt;=2+1,"",INDEX(Daily_Input!$F:$F,ROW()-2))</f>
        <v>1075.8739396307471</v>
      </c>
      <c r="N83" s="5">
        <f>IF(ROW()&lt;=2+2,"",INDEX(Daily_Input!$F:$F,ROW()-3))</f>
        <v>12890.196681399973</v>
      </c>
      <c r="O83" s="5">
        <f>IF(ROW()&lt;=2+3,"",INDEX(Daily_Input!$F:$F,ROW()-4))</f>
        <v>11172.319293271388</v>
      </c>
      <c r="P83" s="5">
        <f>IF(ROW()&lt;=2+4,"",INDEX(Daily_Input!$F:$F,ROW()-5))</f>
        <v>5363.1104289303385</v>
      </c>
      <c r="Q83" s="5">
        <f>IF(ROW()&lt;=2+5,"",INDEX(Daily_Input!$F:$F,ROW()-6))</f>
        <v>6948.2052620067643</v>
      </c>
      <c r="R83" s="5">
        <f>IF(ROW()&lt;=2+6,"",INDEX(Daily_Input!$F:$F,ROW()-7))</f>
        <v>3898.785810022036</v>
      </c>
      <c r="S83" s="5">
        <f>IF(ROW()&lt;=2+7,"",INDEX(Daily_Input!$F:$F,ROW()-8))</f>
        <v>6874.1850794153179</v>
      </c>
      <c r="T83" s="5">
        <f>IF(ROW()&lt;=2+8,"",INDEX(Daily_Input!$F:$F,ROW()-9))</f>
        <v>11063.993842065462</v>
      </c>
      <c r="U83" s="5">
        <f>IF(ROW()&lt;=2+9,"",INDEX(Daily_Input!$F:$F,ROW()-10))</f>
        <v>6857.8574685479307</v>
      </c>
      <c r="V83" s="5">
        <f>IF(ROW()&lt;=2+10,"",INDEX(Daily_Input!$F:$F,ROW()-11))</f>
        <v>6845.3784573862686</v>
      </c>
      <c r="W83" s="5">
        <f>IF(ROW()&lt;=2+11,"",INDEX(Daily_Input!$F:$F,ROW()-12))</f>
        <v>8842.6662384497886</v>
      </c>
      <c r="X83" s="5">
        <f>IF(ROW()&lt;=2+12,"",INDEX(Daily_Input!$F:$F,ROW()-13))</f>
        <v>20959.740382089953</v>
      </c>
      <c r="Y83" s="5">
        <f>IF(ROW()&lt;=2+13,"",INDEX(Daily_Input!$F:$F,ROW()-14))</f>
        <v>43970.58665044907</v>
      </c>
      <c r="Z83" s="5">
        <f>IF(ROW()&lt;=4,"",SUM(Daily_Input!I83:I85))</f>
        <v>10.200000000000001</v>
      </c>
      <c r="AA83" s="5">
        <f>IF(ROW()&lt;=8,"",SUM(Daily_Input!I83:I89))</f>
        <v>29.8</v>
      </c>
      <c r="AB83" s="5">
        <f>IF(ROW()&lt;=15,"",SUM(Daily_Input!I83:I96))</f>
        <v>58.999999999999993</v>
      </c>
      <c r="AC83" s="5">
        <f>IF(ROW()&lt;=4,"",AVERAGE(Daily_Input!F83:F85))</f>
        <v>4083.3932371934984</v>
      </c>
      <c r="AD83" s="5">
        <f>IF(ROW()&lt;=8,"",AVERAGE(Daily_Input!F83:F89))</f>
        <v>4972.0987010279659</v>
      </c>
      <c r="AE83" s="5">
        <f>IF(ROW()&lt;=8,"",MAX(Daily_Input!F83:F89))</f>
        <v>13501.857041101875</v>
      </c>
      <c r="AF83" s="5">
        <f>IF(ROW()&lt;=2+0,"",INDEX(Daily_Input!$G:$G,ROW()-1))</f>
        <v>15019.199999999999</v>
      </c>
      <c r="AG83" s="5">
        <f>IF(ROW()&lt;=2+0,"",INDEX(Daily_Input!$H:$H,ROW()-1))</f>
        <v>0</v>
      </c>
      <c r="AH83" s="5">
        <f>IF(ROW()&lt;=2+1,"",INDEX(Daily_Input!$G:$G,ROW()-2))</f>
        <v>15019.199999999999</v>
      </c>
      <c r="AI83" s="5">
        <f>IF(ROW()&lt;=2+1,"",INDEX(Daily_Input!$H:$H,ROW()-2))</f>
        <v>0</v>
      </c>
      <c r="AJ83" s="5">
        <f>IF(ROW()&lt;=2+2,"",INDEX(Daily_Input!$G:$G,ROW()-3))</f>
        <v>15019.199999999999</v>
      </c>
      <c r="AK83" s="5">
        <f>IF(ROW()&lt;=2+2,"",INDEX(Daily_Input!$H:$H,ROW()-3))</f>
        <v>0</v>
      </c>
    </row>
    <row r="84" spans="1:37">
      <c r="A84" s="5">
        <f>Daily_Input!A84</f>
        <v>45921</v>
      </c>
      <c r="B84" s="5">
        <f>Daily_Input!F84</f>
        <v>7983.1569079272103</v>
      </c>
      <c r="C84" s="5">
        <f>Daily_Input!D84</f>
        <v>489.173</v>
      </c>
      <c r="D84" s="5">
        <f>Daily_Input!E84</f>
        <v>1515629.6565953</v>
      </c>
      <c r="E84" s="5">
        <f>IF(ROW()=2,"",Daily_Input!E84-Daily_Input!E83)</f>
        <v>-5865.1103181000799</v>
      </c>
      <c r="F84" s="5">
        <f>IFERROR(Daily_Input!E84/Config!$B$4,"")</f>
        <v>0.93242906720317165</v>
      </c>
      <c r="G84" s="5">
        <f>Daily_Input!I84</f>
        <v>6.8</v>
      </c>
      <c r="H84" s="5">
        <f>IF(A84="","",IF(ROW()=2,G84,Config!$B$5*H83+G84))</f>
        <v>111.70530085526924</v>
      </c>
      <c r="I84" s="5">
        <f t="shared" si="1"/>
        <v>264</v>
      </c>
      <c r="J84" s="5">
        <f>IF(I84="","",SIN(2*PI()*I84/Config!$B$6))</f>
        <v>-0.98594814996383029</v>
      </c>
      <c r="K84" s="5">
        <f>IF(I84="","",COS(2*PI()*I84/Config!$B$6))</f>
        <v>-0.16705162550211949</v>
      </c>
      <c r="L84" s="5">
        <f>IF(ROW()&lt;=2+0,"",INDEX(Daily_Input!$F:$F,ROW()-1))</f>
        <v>672.85565525271102</v>
      </c>
      <c r="M84" s="5">
        <f>IF(ROW()&lt;=2+1,"",INDEX(Daily_Input!$F:$F,ROW()-2))</f>
        <v>2525.2451519868682</v>
      </c>
      <c r="N84" s="5">
        <f>IF(ROW()&lt;=2+2,"",INDEX(Daily_Input!$F:$F,ROW()-3))</f>
        <v>1075.8739396307471</v>
      </c>
      <c r="O84" s="5">
        <f>IF(ROW()&lt;=2+3,"",INDEX(Daily_Input!$F:$F,ROW()-4))</f>
        <v>12890.196681399973</v>
      </c>
      <c r="P84" s="5">
        <f>IF(ROW()&lt;=2+4,"",INDEX(Daily_Input!$F:$F,ROW()-5))</f>
        <v>11172.319293271388</v>
      </c>
      <c r="Q84" s="5">
        <f>IF(ROW()&lt;=2+5,"",INDEX(Daily_Input!$F:$F,ROW()-6))</f>
        <v>5363.1104289303385</v>
      </c>
      <c r="R84" s="5">
        <f>IF(ROW()&lt;=2+6,"",INDEX(Daily_Input!$F:$F,ROW()-7))</f>
        <v>6948.2052620067643</v>
      </c>
      <c r="S84" s="5">
        <f>IF(ROW()&lt;=2+7,"",INDEX(Daily_Input!$F:$F,ROW()-8))</f>
        <v>3898.785810022036</v>
      </c>
      <c r="T84" s="5">
        <f>IF(ROW()&lt;=2+8,"",INDEX(Daily_Input!$F:$F,ROW()-9))</f>
        <v>6874.1850794153179</v>
      </c>
      <c r="U84" s="5">
        <f>IF(ROW()&lt;=2+9,"",INDEX(Daily_Input!$F:$F,ROW()-10))</f>
        <v>11063.993842065462</v>
      </c>
      <c r="V84" s="5">
        <f>IF(ROW()&lt;=2+10,"",INDEX(Daily_Input!$F:$F,ROW()-11))</f>
        <v>6857.8574685479307</v>
      </c>
      <c r="W84" s="5">
        <f>IF(ROW()&lt;=2+11,"",INDEX(Daily_Input!$F:$F,ROW()-12))</f>
        <v>6845.3784573862686</v>
      </c>
      <c r="X84" s="5">
        <f>IF(ROW()&lt;=2+12,"",INDEX(Daily_Input!$F:$F,ROW()-13))</f>
        <v>8842.6662384497886</v>
      </c>
      <c r="Y84" s="5">
        <f>IF(ROW()&lt;=2+13,"",INDEX(Daily_Input!$F:$F,ROW()-14))</f>
        <v>20959.740382089953</v>
      </c>
      <c r="Z84" s="5">
        <f>IF(ROW()&lt;=4,"",SUM(Daily_Input!I84:I86))</f>
        <v>10.199999999999999</v>
      </c>
      <c r="AA84" s="5">
        <f>IF(ROW()&lt;=8,"",SUM(Daily_Input!I84:I90))</f>
        <v>28.2</v>
      </c>
      <c r="AB84" s="5">
        <f>IF(ROW()&lt;=15,"",SUM(Daily_Input!I84:I97))</f>
        <v>59.4</v>
      </c>
      <c r="AC84" s="5">
        <f>IF(ROW()&lt;=4,"",AVERAGE(Daily_Input!F84:F86))</f>
        <v>4106.4922413521263</v>
      </c>
      <c r="AD84" s="5">
        <f>IF(ROW()&lt;=8,"",AVERAGE(Daily_Input!F84:F90))</f>
        <v>5888.4142360961641</v>
      </c>
      <c r="AE84" s="5">
        <f>IF(ROW()&lt;=8,"",MAX(Daily_Input!F84:F90))</f>
        <v>13501.857041101875</v>
      </c>
      <c r="AF84" s="5">
        <f>IF(ROW()&lt;=2+0,"",INDEX(Daily_Input!$G:$G,ROW()-1))</f>
        <v>15019.199999999999</v>
      </c>
      <c r="AG84" s="5">
        <f>IF(ROW()&lt;=2+0,"",INDEX(Daily_Input!$H:$H,ROW()-1))</f>
        <v>0</v>
      </c>
      <c r="AH84" s="5">
        <f>IF(ROW()&lt;=2+1,"",INDEX(Daily_Input!$G:$G,ROW()-2))</f>
        <v>15019.199999999999</v>
      </c>
      <c r="AI84" s="5">
        <f>IF(ROW()&lt;=2+1,"",INDEX(Daily_Input!$H:$H,ROW()-2))</f>
        <v>0</v>
      </c>
      <c r="AJ84" s="5">
        <f>IF(ROW()&lt;=2+2,"",INDEX(Daily_Input!$G:$G,ROW()-3))</f>
        <v>15019.199999999999</v>
      </c>
      <c r="AK84" s="5">
        <f>IF(ROW()&lt;=2+2,"",INDEX(Daily_Input!$H:$H,ROW()-3))</f>
        <v>0</v>
      </c>
    </row>
    <row r="85" spans="1:37">
      <c r="A85" s="5">
        <f>Daily_Input!A85</f>
        <v>45922</v>
      </c>
      <c r="B85" s="5">
        <f>Daily_Input!F85</f>
        <v>3594.1671484005728</v>
      </c>
      <c r="C85" s="5">
        <f>Daily_Input!D85</f>
        <v>489.13499999999999</v>
      </c>
      <c r="D85" s="5">
        <f>Daily_Input!E85</f>
        <v>1503910.109441</v>
      </c>
      <c r="E85" s="5">
        <f>IF(ROW()=2,"",Daily_Input!E85-Daily_Input!E84)</f>
        <v>-11719.547154299915</v>
      </c>
      <c r="F85" s="5">
        <f>IFERROR(Daily_Input!E85/Config!$B$4,"")</f>
        <v>0.9252190958400649</v>
      </c>
      <c r="G85" s="5">
        <f>Daily_Input!I85</f>
        <v>1.8</v>
      </c>
      <c r="H85" s="5">
        <f>IF(A85="","",IF(ROW()=2,G85,Config!$B$5*H84+G85))</f>
        <v>107.92003581250577</v>
      </c>
      <c r="I85" s="5">
        <f t="shared" si="1"/>
        <v>265</v>
      </c>
      <c r="J85" s="5">
        <f>IF(I85="","",SIN(2*PI()*I85/Config!$B$6))</f>
        <v>-0.98867759023234036</v>
      </c>
      <c r="K85" s="5">
        <f>IF(I85="","",COS(2*PI()*I85/Config!$B$6))</f>
        <v>-0.15005539834465262</v>
      </c>
      <c r="L85" s="5">
        <f>IF(ROW()&lt;=2+0,"",INDEX(Daily_Input!$F:$F,ROW()-1))</f>
        <v>7983.1569079272103</v>
      </c>
      <c r="M85" s="5">
        <f>IF(ROW()&lt;=2+1,"",INDEX(Daily_Input!$F:$F,ROW()-2))</f>
        <v>672.85565525271102</v>
      </c>
      <c r="N85" s="5">
        <f>IF(ROW()&lt;=2+2,"",INDEX(Daily_Input!$F:$F,ROW()-3))</f>
        <v>2525.2451519868682</v>
      </c>
      <c r="O85" s="5">
        <f>IF(ROW()&lt;=2+3,"",INDEX(Daily_Input!$F:$F,ROW()-4))</f>
        <v>1075.8739396307471</v>
      </c>
      <c r="P85" s="5">
        <f>IF(ROW()&lt;=2+4,"",INDEX(Daily_Input!$F:$F,ROW()-5))</f>
        <v>12890.196681399973</v>
      </c>
      <c r="Q85" s="5">
        <f>IF(ROW()&lt;=2+5,"",INDEX(Daily_Input!$F:$F,ROW()-6))</f>
        <v>11172.319293271388</v>
      </c>
      <c r="R85" s="5">
        <f>IF(ROW()&lt;=2+6,"",INDEX(Daily_Input!$F:$F,ROW()-7))</f>
        <v>5363.1104289303385</v>
      </c>
      <c r="S85" s="5">
        <f>IF(ROW()&lt;=2+7,"",INDEX(Daily_Input!$F:$F,ROW()-8))</f>
        <v>6948.2052620067643</v>
      </c>
      <c r="T85" s="5">
        <f>IF(ROW()&lt;=2+8,"",INDEX(Daily_Input!$F:$F,ROW()-9))</f>
        <v>3898.785810022036</v>
      </c>
      <c r="U85" s="5">
        <f>IF(ROW()&lt;=2+9,"",INDEX(Daily_Input!$F:$F,ROW()-10))</f>
        <v>6874.1850794153179</v>
      </c>
      <c r="V85" s="5">
        <f>IF(ROW()&lt;=2+10,"",INDEX(Daily_Input!$F:$F,ROW()-11))</f>
        <v>11063.993842065462</v>
      </c>
      <c r="W85" s="5">
        <f>IF(ROW()&lt;=2+11,"",INDEX(Daily_Input!$F:$F,ROW()-12))</f>
        <v>6857.8574685479307</v>
      </c>
      <c r="X85" s="5">
        <f>IF(ROW()&lt;=2+12,"",INDEX(Daily_Input!$F:$F,ROW()-13))</f>
        <v>6845.3784573862686</v>
      </c>
      <c r="Y85" s="5">
        <f>IF(ROW()&lt;=2+13,"",INDEX(Daily_Input!$F:$F,ROW()-14))</f>
        <v>8842.6662384497886</v>
      </c>
      <c r="Z85" s="5">
        <f>IF(ROW()&lt;=4,"",SUM(Daily_Input!I85:I87))</f>
        <v>3.4000000000000004</v>
      </c>
      <c r="AA85" s="5">
        <f>IF(ROW()&lt;=8,"",SUM(Daily_Input!I85:I91))</f>
        <v>22.4</v>
      </c>
      <c r="AB85" s="5">
        <f>IF(ROW()&lt;=15,"",SUM(Daily_Input!I85:I98))</f>
        <v>55.6</v>
      </c>
      <c r="AC85" s="5">
        <f>IF(ROW()&lt;=4,"",AVERAGE(Daily_Input!F85:F87))</f>
        <v>1855.459447560713</v>
      </c>
      <c r="AD85" s="5">
        <f>IF(ROW()&lt;=8,"",AVERAGE(Daily_Input!F85:F91))</f>
        <v>5719.7254797142286</v>
      </c>
      <c r="AE85" s="5">
        <f>IF(ROW()&lt;=8,"",MAX(Daily_Input!F85:F91))</f>
        <v>13501.857041101875</v>
      </c>
      <c r="AF85" s="5">
        <f>IF(ROW()&lt;=2+0,"",INDEX(Daily_Input!$G:$G,ROW()-1))</f>
        <v>15019.199999999999</v>
      </c>
      <c r="AG85" s="5">
        <f>IF(ROW()&lt;=2+0,"",INDEX(Daily_Input!$H:$H,ROW()-1))</f>
        <v>0</v>
      </c>
      <c r="AH85" s="5">
        <f>IF(ROW()&lt;=2+1,"",INDEX(Daily_Input!$G:$G,ROW()-2))</f>
        <v>15019.199999999999</v>
      </c>
      <c r="AI85" s="5">
        <f>IF(ROW()&lt;=2+1,"",INDEX(Daily_Input!$H:$H,ROW()-2))</f>
        <v>0</v>
      </c>
      <c r="AJ85" s="5">
        <f>IF(ROW()&lt;=2+2,"",INDEX(Daily_Input!$G:$G,ROW()-3))</f>
        <v>15019.199999999999</v>
      </c>
      <c r="AK85" s="5">
        <f>IF(ROW()&lt;=2+2,"",INDEX(Daily_Input!$H:$H,ROW()-3))</f>
        <v>0</v>
      </c>
    </row>
    <row r="86" spans="1:37">
      <c r="A86" s="5">
        <f>Daily_Input!A86</f>
        <v>45923</v>
      </c>
      <c r="B86" s="5">
        <f>Daily_Input!F86</f>
        <v>742.15266772859582</v>
      </c>
      <c r="C86" s="5">
        <f>Daily_Input!D86</f>
        <v>489.089</v>
      </c>
      <c r="D86" s="5">
        <f>Daily_Input!E86</f>
        <v>1489280.5058130999</v>
      </c>
      <c r="E86" s="5">
        <f>IF(ROW()=2,"",Daily_Input!E86-Daily_Input!E85)</f>
        <v>-14629.603627900127</v>
      </c>
      <c r="F86" s="5">
        <f>IFERROR(Daily_Input!E86/Config!$B$4,"")</f>
        <v>0.9162188314252353</v>
      </c>
      <c r="G86" s="5">
        <f>Daily_Input!I86</f>
        <v>1.6</v>
      </c>
      <c r="H86" s="5">
        <f>IF(A86="","",IF(ROW()=2,G86,Config!$B$5*H85+G86))</f>
        <v>104.12403402188048</v>
      </c>
      <c r="I86" s="5">
        <f t="shared" si="1"/>
        <v>266</v>
      </c>
      <c r="J86" s="5">
        <f>IF(I86="","",SIN(2*PI()*I86/Config!$B$6))</f>
        <v>-0.99111406399345459</v>
      </c>
      <c r="K86" s="5">
        <f>IF(I86="","",COS(2*PI()*I86/Config!$B$6))</f>
        <v>-0.13301470653419636</v>
      </c>
      <c r="L86" s="5">
        <f>IF(ROW()&lt;=2+0,"",INDEX(Daily_Input!$F:$F,ROW()-1))</f>
        <v>3594.1671484005728</v>
      </c>
      <c r="M86" s="5">
        <f>IF(ROW()&lt;=2+1,"",INDEX(Daily_Input!$F:$F,ROW()-2))</f>
        <v>7983.1569079272103</v>
      </c>
      <c r="N86" s="5">
        <f>IF(ROW()&lt;=2+2,"",INDEX(Daily_Input!$F:$F,ROW()-3))</f>
        <v>672.85565525271102</v>
      </c>
      <c r="O86" s="5">
        <f>IF(ROW()&lt;=2+3,"",INDEX(Daily_Input!$F:$F,ROW()-4))</f>
        <v>2525.2451519868682</v>
      </c>
      <c r="P86" s="5">
        <f>IF(ROW()&lt;=2+4,"",INDEX(Daily_Input!$F:$F,ROW()-5))</f>
        <v>1075.8739396307471</v>
      </c>
      <c r="Q86" s="5">
        <f>IF(ROW()&lt;=2+5,"",INDEX(Daily_Input!$F:$F,ROW()-6))</f>
        <v>12890.196681399973</v>
      </c>
      <c r="R86" s="5">
        <f>IF(ROW()&lt;=2+6,"",INDEX(Daily_Input!$F:$F,ROW()-7))</f>
        <v>11172.319293271388</v>
      </c>
      <c r="S86" s="5">
        <f>IF(ROW()&lt;=2+7,"",INDEX(Daily_Input!$F:$F,ROW()-8))</f>
        <v>5363.1104289303385</v>
      </c>
      <c r="T86" s="5">
        <f>IF(ROW()&lt;=2+8,"",INDEX(Daily_Input!$F:$F,ROW()-9))</f>
        <v>6948.2052620067643</v>
      </c>
      <c r="U86" s="5">
        <f>IF(ROW()&lt;=2+9,"",INDEX(Daily_Input!$F:$F,ROW()-10))</f>
        <v>3898.785810022036</v>
      </c>
      <c r="V86" s="5">
        <f>IF(ROW()&lt;=2+10,"",INDEX(Daily_Input!$F:$F,ROW()-11))</f>
        <v>6874.1850794153179</v>
      </c>
      <c r="W86" s="5">
        <f>IF(ROW()&lt;=2+11,"",INDEX(Daily_Input!$F:$F,ROW()-12))</f>
        <v>11063.993842065462</v>
      </c>
      <c r="X86" s="5">
        <f>IF(ROW()&lt;=2+12,"",INDEX(Daily_Input!$F:$F,ROW()-13))</f>
        <v>6857.8574685479307</v>
      </c>
      <c r="Y86" s="5">
        <f>IF(ROW()&lt;=2+13,"",INDEX(Daily_Input!$F:$F,ROW()-14))</f>
        <v>6845.3784573862686</v>
      </c>
      <c r="Z86" s="5">
        <f>IF(ROW()&lt;=4,"",SUM(Daily_Input!I86:I88))</f>
        <v>19.600000000000001</v>
      </c>
      <c r="AA86" s="5">
        <f>IF(ROW()&lt;=8,"",SUM(Daily_Input!I86:I92))</f>
        <v>20.6</v>
      </c>
      <c r="AB86" s="5">
        <f>IF(ROW()&lt;=15,"",SUM(Daily_Input!I86:I99))</f>
        <v>53.800000000000004</v>
      </c>
      <c r="AC86" s="5">
        <f>IF(ROW()&lt;=4,"",AVERAGE(Daily_Input!F86:F88))</f>
        <v>5158.0227451278142</v>
      </c>
      <c r="AD86" s="5">
        <f>IF(ROW()&lt;=8,"",AVERAGE(Daily_Input!F86:F92))</f>
        <v>5804.7599474878125</v>
      </c>
      <c r="AE86" s="5">
        <f>IF(ROW()&lt;=8,"",MAX(Daily_Input!F86:F92))</f>
        <v>13501.857041101875</v>
      </c>
      <c r="AF86" s="5">
        <f>IF(ROW()&lt;=2+0,"",INDEX(Daily_Input!$G:$G,ROW()-1))</f>
        <v>15019.199999999999</v>
      </c>
      <c r="AG86" s="5">
        <f>IF(ROW()&lt;=2+0,"",INDEX(Daily_Input!$H:$H,ROW()-1))</f>
        <v>0</v>
      </c>
      <c r="AH86" s="5">
        <f>IF(ROW()&lt;=2+1,"",INDEX(Daily_Input!$G:$G,ROW()-2))</f>
        <v>15019.199999999999</v>
      </c>
      <c r="AI86" s="5">
        <f>IF(ROW()&lt;=2+1,"",INDEX(Daily_Input!$H:$H,ROW()-2))</f>
        <v>0</v>
      </c>
      <c r="AJ86" s="5">
        <f>IF(ROW()&lt;=2+2,"",INDEX(Daily_Input!$G:$G,ROW()-3))</f>
        <v>15019.199999999999</v>
      </c>
      <c r="AK86" s="5">
        <f>IF(ROW()&lt;=2+2,"",INDEX(Daily_Input!$H:$H,ROW()-3))</f>
        <v>0</v>
      </c>
    </row>
    <row r="87" spans="1:37">
      <c r="A87" s="5">
        <f>Daily_Input!A87</f>
        <v>45924</v>
      </c>
      <c r="B87" s="5">
        <f>Daily_Input!F87</f>
        <v>1230.0585265529705</v>
      </c>
      <c r="C87" s="5">
        <f>Daily_Input!D87</f>
        <v>489.03197999999998</v>
      </c>
      <c r="D87" s="5">
        <f>Daily_Input!E87</f>
        <v>1474672.1813453001</v>
      </c>
      <c r="E87" s="5">
        <f>IF(ROW()=2,"",Daily_Input!E87-Daily_Input!E86)</f>
        <v>-14608.324467799859</v>
      </c>
      <c r="F87" s="5">
        <f>IFERROR(Daily_Input!E87/Config!$B$4,"")</f>
        <v>0.90723165814207951</v>
      </c>
      <c r="G87" s="5">
        <f>Daily_Input!I87</f>
        <v>0</v>
      </c>
      <c r="H87" s="5">
        <f>IF(A87="","",IF(ROW()=2,G87,Config!$B$5*H86+G87))</f>
        <v>98.917832320786445</v>
      </c>
      <c r="I87" s="5">
        <f t="shared" si="1"/>
        <v>267</v>
      </c>
      <c r="J87" s="5">
        <f>IF(I87="","",SIN(2*PI()*I87/Config!$B$6))</f>
        <v>-0.99325684926741431</v>
      </c>
      <c r="K87" s="5">
        <f>IF(I87="","",COS(2*PI()*I87/Config!$B$6))</f>
        <v>-0.11593459959550066</v>
      </c>
      <c r="L87" s="5">
        <f>IF(ROW()&lt;=2+0,"",INDEX(Daily_Input!$F:$F,ROW()-1))</f>
        <v>742.15266772859582</v>
      </c>
      <c r="M87" s="5">
        <f>IF(ROW()&lt;=2+1,"",INDEX(Daily_Input!$F:$F,ROW()-2))</f>
        <v>3594.1671484005728</v>
      </c>
      <c r="N87" s="5">
        <f>IF(ROW()&lt;=2+2,"",INDEX(Daily_Input!$F:$F,ROW()-3))</f>
        <v>7983.1569079272103</v>
      </c>
      <c r="O87" s="5">
        <f>IF(ROW()&lt;=2+3,"",INDEX(Daily_Input!$F:$F,ROW()-4))</f>
        <v>672.85565525271102</v>
      </c>
      <c r="P87" s="5">
        <f>IF(ROW()&lt;=2+4,"",INDEX(Daily_Input!$F:$F,ROW()-5))</f>
        <v>2525.2451519868682</v>
      </c>
      <c r="Q87" s="5">
        <f>IF(ROW()&lt;=2+5,"",INDEX(Daily_Input!$F:$F,ROW()-6))</f>
        <v>1075.8739396307471</v>
      </c>
      <c r="R87" s="5">
        <f>IF(ROW()&lt;=2+6,"",INDEX(Daily_Input!$F:$F,ROW()-7))</f>
        <v>12890.196681399973</v>
      </c>
      <c r="S87" s="5">
        <f>IF(ROW()&lt;=2+7,"",INDEX(Daily_Input!$F:$F,ROW()-8))</f>
        <v>11172.319293271388</v>
      </c>
      <c r="T87" s="5">
        <f>IF(ROW()&lt;=2+8,"",INDEX(Daily_Input!$F:$F,ROW()-9))</f>
        <v>5363.1104289303385</v>
      </c>
      <c r="U87" s="5">
        <f>IF(ROW()&lt;=2+9,"",INDEX(Daily_Input!$F:$F,ROW()-10))</f>
        <v>6948.2052620067643</v>
      </c>
      <c r="V87" s="5">
        <f>IF(ROW()&lt;=2+10,"",INDEX(Daily_Input!$F:$F,ROW()-11))</f>
        <v>3898.785810022036</v>
      </c>
      <c r="W87" s="5">
        <f>IF(ROW()&lt;=2+11,"",INDEX(Daily_Input!$F:$F,ROW()-12))</f>
        <v>6874.1850794153179</v>
      </c>
      <c r="X87" s="5">
        <f>IF(ROW()&lt;=2+12,"",INDEX(Daily_Input!$F:$F,ROW()-13))</f>
        <v>11063.993842065462</v>
      </c>
      <c r="Y87" s="5">
        <f>IF(ROW()&lt;=2+13,"",INDEX(Daily_Input!$F:$F,ROW()-14))</f>
        <v>6857.8574685479307</v>
      </c>
      <c r="Z87" s="5">
        <f>IF(ROW()&lt;=4,"",SUM(Daily_Input!I87:I89))</f>
        <v>18</v>
      </c>
      <c r="AA87" s="5">
        <f>IF(ROW()&lt;=8,"",SUM(Daily_Input!I87:I93))</f>
        <v>35</v>
      </c>
      <c r="AB87" s="5">
        <f>IF(ROW()&lt;=15,"",SUM(Daily_Input!I87:I100))</f>
        <v>52.199999999999996</v>
      </c>
      <c r="AC87" s="5">
        <f>IF(ROW()&lt;=4,"",AVERAGE(Daily_Input!F87:F89))</f>
        <v>7270.7861759622219</v>
      </c>
      <c r="AD87" s="5">
        <f>IF(ROW()&lt;=8,"",AVERAGE(Daily_Input!F87:F93))</f>
        <v>6464.9385977179363</v>
      </c>
      <c r="AE87" s="5">
        <f>IF(ROW()&lt;=8,"",MAX(Daily_Input!F87:F93))</f>
        <v>13501.857041101875</v>
      </c>
      <c r="AF87" s="5">
        <f>IF(ROW()&lt;=2+0,"",INDEX(Daily_Input!$G:$G,ROW()-1))</f>
        <v>15019.199999999999</v>
      </c>
      <c r="AG87" s="5">
        <f>IF(ROW()&lt;=2+0,"",INDEX(Daily_Input!$H:$H,ROW()-1))</f>
        <v>0</v>
      </c>
      <c r="AH87" s="5">
        <f>IF(ROW()&lt;=2+1,"",INDEX(Daily_Input!$G:$G,ROW()-2))</f>
        <v>15019.199999999999</v>
      </c>
      <c r="AI87" s="5">
        <f>IF(ROW()&lt;=2+1,"",INDEX(Daily_Input!$H:$H,ROW()-2))</f>
        <v>0</v>
      </c>
      <c r="AJ87" s="5">
        <f>IF(ROW()&lt;=2+2,"",INDEX(Daily_Input!$G:$G,ROW()-3))</f>
        <v>15019.199999999999</v>
      </c>
      <c r="AK87" s="5">
        <f>IF(ROW()&lt;=2+2,"",INDEX(Daily_Input!$H:$H,ROW()-3))</f>
        <v>0</v>
      </c>
    </row>
    <row r="88" spans="1:37">
      <c r="A88" s="5">
        <f>Daily_Input!A88</f>
        <v>45925</v>
      </c>
      <c r="B88" s="5">
        <f>Daily_Input!F88</f>
        <v>13501.857041101875</v>
      </c>
      <c r="C88" s="5">
        <f>Daily_Input!D88</f>
        <v>489.04399999999998</v>
      </c>
      <c r="D88" s="5">
        <f>Daily_Input!E88</f>
        <v>1477592.1420386999</v>
      </c>
      <c r="E88" s="5">
        <f>IF(ROW()=2,"",Daily_Input!E88-Daily_Input!E87)</f>
        <v>2919.9606933998875</v>
      </c>
      <c r="F88" s="5">
        <f>IFERROR(Daily_Input!E88/Config!$B$4,"")</f>
        <v>0.90902804435936491</v>
      </c>
      <c r="G88" s="5">
        <f>Daily_Input!I88</f>
        <v>18</v>
      </c>
      <c r="H88" s="5">
        <f>IF(A88="","",IF(ROW()=2,G88,Config!$B$5*H87+G88))</f>
        <v>111.97194070474711</v>
      </c>
      <c r="I88" s="5">
        <f t="shared" si="1"/>
        <v>268</v>
      </c>
      <c r="J88" s="5">
        <f>IF(I88="","",SIN(2*PI()*I88/Config!$B$6))</f>
        <v>-0.99510531110069744</v>
      </c>
      <c r="K88" s="5">
        <f>IF(I88="","",COS(2*PI()*I88/Config!$B$6))</f>
        <v>-9.8820138732872112E-2</v>
      </c>
      <c r="L88" s="5">
        <f>IF(ROW()&lt;=2+0,"",INDEX(Daily_Input!$F:$F,ROW()-1))</f>
        <v>1230.0585265529705</v>
      </c>
      <c r="M88" s="5">
        <f>IF(ROW()&lt;=2+1,"",INDEX(Daily_Input!$F:$F,ROW()-2))</f>
        <v>742.15266772859582</v>
      </c>
      <c r="N88" s="5">
        <f>IF(ROW()&lt;=2+2,"",INDEX(Daily_Input!$F:$F,ROW()-3))</f>
        <v>3594.1671484005728</v>
      </c>
      <c r="O88" s="5">
        <f>IF(ROW()&lt;=2+3,"",INDEX(Daily_Input!$F:$F,ROW()-4))</f>
        <v>7983.1569079272103</v>
      </c>
      <c r="P88" s="5">
        <f>IF(ROW()&lt;=2+4,"",INDEX(Daily_Input!$F:$F,ROW()-5))</f>
        <v>672.85565525271102</v>
      </c>
      <c r="Q88" s="5">
        <f>IF(ROW()&lt;=2+5,"",INDEX(Daily_Input!$F:$F,ROW()-6))</f>
        <v>2525.2451519868682</v>
      </c>
      <c r="R88" s="5">
        <f>IF(ROW()&lt;=2+6,"",INDEX(Daily_Input!$F:$F,ROW()-7))</f>
        <v>1075.8739396307471</v>
      </c>
      <c r="S88" s="5">
        <f>IF(ROW()&lt;=2+7,"",INDEX(Daily_Input!$F:$F,ROW()-8))</f>
        <v>12890.196681399973</v>
      </c>
      <c r="T88" s="5">
        <f>IF(ROW()&lt;=2+8,"",INDEX(Daily_Input!$F:$F,ROW()-9))</f>
        <v>11172.319293271388</v>
      </c>
      <c r="U88" s="5">
        <f>IF(ROW()&lt;=2+9,"",INDEX(Daily_Input!$F:$F,ROW()-10))</f>
        <v>5363.1104289303385</v>
      </c>
      <c r="V88" s="5">
        <f>IF(ROW()&lt;=2+10,"",INDEX(Daily_Input!$F:$F,ROW()-11))</f>
        <v>6948.2052620067643</v>
      </c>
      <c r="W88" s="5">
        <f>IF(ROW()&lt;=2+11,"",INDEX(Daily_Input!$F:$F,ROW()-12))</f>
        <v>3898.785810022036</v>
      </c>
      <c r="X88" s="5">
        <f>IF(ROW()&lt;=2+12,"",INDEX(Daily_Input!$F:$F,ROW()-13))</f>
        <v>6874.1850794153179</v>
      </c>
      <c r="Y88" s="5">
        <f>IF(ROW()&lt;=2+13,"",INDEX(Daily_Input!$F:$F,ROW()-14))</f>
        <v>11063.993842065462</v>
      </c>
      <c r="Z88" s="5">
        <f>IF(ROW()&lt;=4,"",SUM(Daily_Input!I88:I90))</f>
        <v>18</v>
      </c>
      <c r="AA88" s="5">
        <f>IF(ROW()&lt;=8,"",SUM(Daily_Input!I88:I94))</f>
        <v>45.8</v>
      </c>
      <c r="AB88" s="5">
        <f>IF(ROW()&lt;=15,"",SUM(Daily_Input!I88:I101))</f>
        <v>55.999999999999993</v>
      </c>
      <c r="AC88" s="5">
        <f>IF(ROW()&lt;=4,"",AVERAGE(Daily_Input!F88:F90))</f>
        <v>9223.1214673546001</v>
      </c>
      <c r="AD88" s="5">
        <f>IF(ROW()&lt;=8,"",AVERAGE(Daily_Input!F88:F94))</f>
        <v>8506.8433691027185</v>
      </c>
      <c r="AE88" s="5">
        <f>IF(ROW()&lt;=8,"",MAX(Daily_Input!F88:F94))</f>
        <v>15523.391926246441</v>
      </c>
      <c r="AF88" s="5">
        <f>IF(ROW()&lt;=2+0,"",INDEX(Daily_Input!$G:$G,ROW()-1))</f>
        <v>15019.199999999999</v>
      </c>
      <c r="AG88" s="5">
        <f>IF(ROW()&lt;=2+0,"",INDEX(Daily_Input!$H:$H,ROW()-1))</f>
        <v>0</v>
      </c>
      <c r="AH88" s="5">
        <f>IF(ROW()&lt;=2+1,"",INDEX(Daily_Input!$G:$G,ROW()-2))</f>
        <v>15019.199999999999</v>
      </c>
      <c r="AI88" s="5">
        <f>IF(ROW()&lt;=2+1,"",INDEX(Daily_Input!$H:$H,ROW()-2))</f>
        <v>0</v>
      </c>
      <c r="AJ88" s="5">
        <f>IF(ROW()&lt;=2+2,"",INDEX(Daily_Input!$G:$G,ROW()-3))</f>
        <v>15019.199999999999</v>
      </c>
      <c r="AK88" s="5">
        <f>IF(ROW()&lt;=2+2,"",INDEX(Daily_Input!$H:$H,ROW()-3))</f>
        <v>0</v>
      </c>
    </row>
    <row r="89" spans="1:37">
      <c r="A89" s="5">
        <f>Daily_Input!A89</f>
        <v>45926</v>
      </c>
      <c r="B89" s="5">
        <f>Daily_Input!F89</f>
        <v>7080.4429602318232</v>
      </c>
      <c r="C89" s="5">
        <f>Daily_Input!D89</f>
        <v>489.01799999999997</v>
      </c>
      <c r="D89" s="5">
        <f>Daily_Input!E89</f>
        <v>1468834.6627917001</v>
      </c>
      <c r="E89" s="5">
        <f>IF(ROW()=2,"",Daily_Input!E89-Daily_Input!E88)</f>
        <v>-8757.4792469998356</v>
      </c>
      <c r="F89" s="5">
        <f>IFERROR(Daily_Input!E89/Config!$B$4,"")</f>
        <v>0.9036403639522167</v>
      </c>
      <c r="G89" s="5">
        <f>Daily_Input!I89</f>
        <v>0</v>
      </c>
      <c r="H89" s="5">
        <f>IF(A89="","",IF(ROW()=2,G89,Config!$B$5*H88+G89))</f>
        <v>106.37334366950975</v>
      </c>
      <c r="I89" s="5">
        <f t="shared" si="1"/>
        <v>269</v>
      </c>
      <c r="J89" s="5">
        <f>IF(I89="","",SIN(2*PI()*I89/Config!$B$6))</f>
        <v>-0.99665890175417005</v>
      </c>
      <c r="K89" s="5">
        <f>IF(I89="","",COS(2*PI()*I89/Config!$B$6))</f>
        <v>-8.1676395330422882E-2</v>
      </c>
      <c r="L89" s="5">
        <f>IF(ROW()&lt;=2+0,"",INDEX(Daily_Input!$F:$F,ROW()-1))</f>
        <v>13501.857041101875</v>
      </c>
      <c r="M89" s="5">
        <f>IF(ROW()&lt;=2+1,"",INDEX(Daily_Input!$F:$F,ROW()-2))</f>
        <v>1230.0585265529705</v>
      </c>
      <c r="N89" s="5">
        <f>IF(ROW()&lt;=2+2,"",INDEX(Daily_Input!$F:$F,ROW()-3))</f>
        <v>742.15266772859582</v>
      </c>
      <c r="O89" s="5">
        <f>IF(ROW()&lt;=2+3,"",INDEX(Daily_Input!$F:$F,ROW()-4))</f>
        <v>3594.1671484005728</v>
      </c>
      <c r="P89" s="5">
        <f>IF(ROW()&lt;=2+4,"",INDEX(Daily_Input!$F:$F,ROW()-5))</f>
        <v>7983.1569079272103</v>
      </c>
      <c r="Q89" s="5">
        <f>IF(ROW()&lt;=2+5,"",INDEX(Daily_Input!$F:$F,ROW()-6))</f>
        <v>672.85565525271102</v>
      </c>
      <c r="R89" s="5">
        <f>IF(ROW()&lt;=2+6,"",INDEX(Daily_Input!$F:$F,ROW()-7))</f>
        <v>2525.2451519868682</v>
      </c>
      <c r="S89" s="5">
        <f>IF(ROW()&lt;=2+7,"",INDEX(Daily_Input!$F:$F,ROW()-8))</f>
        <v>1075.8739396307471</v>
      </c>
      <c r="T89" s="5">
        <f>IF(ROW()&lt;=2+8,"",INDEX(Daily_Input!$F:$F,ROW()-9))</f>
        <v>12890.196681399973</v>
      </c>
      <c r="U89" s="5">
        <f>IF(ROW()&lt;=2+9,"",INDEX(Daily_Input!$F:$F,ROW()-10))</f>
        <v>11172.319293271388</v>
      </c>
      <c r="V89" s="5">
        <f>IF(ROW()&lt;=2+10,"",INDEX(Daily_Input!$F:$F,ROW()-11))</f>
        <v>5363.1104289303385</v>
      </c>
      <c r="W89" s="5">
        <f>IF(ROW()&lt;=2+11,"",INDEX(Daily_Input!$F:$F,ROW()-12))</f>
        <v>6948.2052620067643</v>
      </c>
      <c r="X89" s="5">
        <f>IF(ROW()&lt;=2+12,"",INDEX(Daily_Input!$F:$F,ROW()-13))</f>
        <v>3898.785810022036</v>
      </c>
      <c r="Y89" s="5">
        <f>IF(ROW()&lt;=2+13,"",INDEX(Daily_Input!$F:$F,ROW()-14))</f>
        <v>6874.1850794153179</v>
      </c>
      <c r="Z89" s="5">
        <f>IF(ROW()&lt;=4,"",SUM(Daily_Input!I89:I91))</f>
        <v>1</v>
      </c>
      <c r="AA89" s="5">
        <f>IF(ROW()&lt;=8,"",SUM(Daily_Input!I89:I95))</f>
        <v>29.2</v>
      </c>
      <c r="AB89" s="5">
        <f>IF(ROW()&lt;=15,"",SUM(Daily_Input!I89:I102))</f>
        <v>38.799999999999997</v>
      </c>
      <c r="AC89" s="5">
        <f>IF(ROW()&lt;=4,"",AVERAGE(Daily_Input!F89:F91))</f>
        <v>6989.947658071862</v>
      </c>
      <c r="AD89" s="5">
        <f>IF(ROW()&lt;=8,"",AVERAGE(Daily_Input!F89:F95))</f>
        <v>7524.4144314051346</v>
      </c>
      <c r="AE89" s="5">
        <f>IF(ROW()&lt;=8,"",MAX(Daily_Input!F89:F95))</f>
        <v>15523.391926246441</v>
      </c>
      <c r="AF89" s="5">
        <f>IF(ROW()&lt;=2+0,"",INDEX(Daily_Input!$G:$G,ROW()-1))</f>
        <v>15019.199999999999</v>
      </c>
      <c r="AG89" s="5">
        <f>IF(ROW()&lt;=2+0,"",INDEX(Daily_Input!$H:$H,ROW()-1))</f>
        <v>0</v>
      </c>
      <c r="AH89" s="5">
        <f>IF(ROW()&lt;=2+1,"",INDEX(Daily_Input!$G:$G,ROW()-2))</f>
        <v>15019.199999999999</v>
      </c>
      <c r="AI89" s="5">
        <f>IF(ROW()&lt;=2+1,"",INDEX(Daily_Input!$H:$H,ROW()-2))</f>
        <v>0</v>
      </c>
      <c r="AJ89" s="5">
        <f>IF(ROW()&lt;=2+2,"",INDEX(Daily_Input!$G:$G,ROW()-3))</f>
        <v>15019.199999999999</v>
      </c>
      <c r="AK89" s="5">
        <f>IF(ROW()&lt;=2+2,"",INDEX(Daily_Input!$H:$H,ROW()-3))</f>
        <v>0</v>
      </c>
    </row>
    <row r="90" spans="1:37">
      <c r="A90" s="5">
        <f>Daily_Input!A90</f>
        <v>45927</v>
      </c>
      <c r="B90" s="5">
        <f>Daily_Input!F90</f>
        <v>7087.0644007301025</v>
      </c>
      <c r="C90" s="5">
        <f>Daily_Input!D90</f>
        <v>488.98599999999999</v>
      </c>
      <c r="D90" s="5">
        <f>Daily_Input!E90</f>
        <v>1460084.4867827999</v>
      </c>
      <c r="E90" s="5">
        <f>IF(ROW()=2,"",Daily_Input!E90-Daily_Input!E89)</f>
        <v>-8750.1760089001618</v>
      </c>
      <c r="F90" s="5">
        <f>IFERROR(Daily_Input!E90/Config!$B$4,"")</f>
        <v>0.89825717656317439</v>
      </c>
      <c r="G90" s="5">
        <f>Daily_Input!I90</f>
        <v>0</v>
      </c>
      <c r="H90" s="5">
        <f>IF(A90="","",IF(ROW()=2,G90,Config!$B$5*H89+G90))</f>
        <v>101.05467648603425</v>
      </c>
      <c r="I90" s="5">
        <f t="shared" si="1"/>
        <v>270</v>
      </c>
      <c r="J90" s="5">
        <f>IF(I90="","",SIN(2*PI()*I90/Config!$B$6))</f>
        <v>-0.99791716086539217</v>
      </c>
      <c r="K90" s="5">
        <f>IF(I90="","",COS(2*PI()*I90/Config!$B$6))</f>
        <v>-6.4508449449316246E-2</v>
      </c>
      <c r="L90" s="5">
        <f>IF(ROW()&lt;=2+0,"",INDEX(Daily_Input!$F:$F,ROW()-1))</f>
        <v>7080.4429602318232</v>
      </c>
      <c r="M90" s="5">
        <f>IF(ROW()&lt;=2+1,"",INDEX(Daily_Input!$F:$F,ROW()-2))</f>
        <v>13501.857041101875</v>
      </c>
      <c r="N90" s="5">
        <f>IF(ROW()&lt;=2+2,"",INDEX(Daily_Input!$F:$F,ROW()-3))</f>
        <v>1230.0585265529705</v>
      </c>
      <c r="O90" s="5">
        <f>IF(ROW()&lt;=2+3,"",INDEX(Daily_Input!$F:$F,ROW()-4))</f>
        <v>742.15266772859582</v>
      </c>
      <c r="P90" s="5">
        <f>IF(ROW()&lt;=2+4,"",INDEX(Daily_Input!$F:$F,ROW()-5))</f>
        <v>3594.1671484005728</v>
      </c>
      <c r="Q90" s="5">
        <f>IF(ROW()&lt;=2+5,"",INDEX(Daily_Input!$F:$F,ROW()-6))</f>
        <v>7983.1569079272103</v>
      </c>
      <c r="R90" s="5">
        <f>IF(ROW()&lt;=2+6,"",INDEX(Daily_Input!$F:$F,ROW()-7))</f>
        <v>672.85565525271102</v>
      </c>
      <c r="S90" s="5">
        <f>IF(ROW()&lt;=2+7,"",INDEX(Daily_Input!$F:$F,ROW()-8))</f>
        <v>2525.2451519868682</v>
      </c>
      <c r="T90" s="5">
        <f>IF(ROW()&lt;=2+8,"",INDEX(Daily_Input!$F:$F,ROW()-9))</f>
        <v>1075.8739396307471</v>
      </c>
      <c r="U90" s="5">
        <f>IF(ROW()&lt;=2+9,"",INDEX(Daily_Input!$F:$F,ROW()-10))</f>
        <v>12890.196681399973</v>
      </c>
      <c r="V90" s="5">
        <f>IF(ROW()&lt;=2+10,"",INDEX(Daily_Input!$F:$F,ROW()-11))</f>
        <v>11172.319293271388</v>
      </c>
      <c r="W90" s="5">
        <f>IF(ROW()&lt;=2+11,"",INDEX(Daily_Input!$F:$F,ROW()-12))</f>
        <v>5363.1104289303385</v>
      </c>
      <c r="X90" s="5">
        <f>IF(ROW()&lt;=2+12,"",INDEX(Daily_Input!$F:$F,ROW()-13))</f>
        <v>6948.2052620067643</v>
      </c>
      <c r="Y90" s="5">
        <f>IF(ROW()&lt;=2+13,"",INDEX(Daily_Input!$F:$F,ROW()-14))</f>
        <v>3898.785810022036</v>
      </c>
      <c r="Z90" s="5">
        <f>IF(ROW()&lt;=4,"",SUM(Daily_Input!I90:I92))</f>
        <v>1</v>
      </c>
      <c r="AA90" s="5">
        <f>IF(ROW()&lt;=8,"",SUM(Daily_Input!I90:I96))</f>
        <v>29.2</v>
      </c>
      <c r="AB90" s="5">
        <f>IF(ROW()&lt;=15,"",SUM(Daily_Input!I90:I103))</f>
        <v>41.199999999999996</v>
      </c>
      <c r="AC90" s="5">
        <f>IF(ROW()&lt;=4,"",AVERAGE(Daily_Input!F90:F92))</f>
        <v>6026.2694789331408</v>
      </c>
      <c r="AD90" s="5">
        <f>IF(ROW()&lt;=8,"",AVERAGE(Daily_Input!F90:F96))</f>
        <v>8348.5279007038134</v>
      </c>
      <c r="AE90" s="5">
        <f>IF(ROW()&lt;=8,"",MAX(Daily_Input!F90:F96))</f>
        <v>15523.391926246441</v>
      </c>
      <c r="AF90" s="5">
        <f>IF(ROW()&lt;=2+0,"",INDEX(Daily_Input!$G:$G,ROW()-1))</f>
        <v>15019.199999999999</v>
      </c>
      <c r="AG90" s="5">
        <f>IF(ROW()&lt;=2+0,"",INDEX(Daily_Input!$H:$H,ROW()-1))</f>
        <v>0</v>
      </c>
      <c r="AH90" s="5">
        <f>IF(ROW()&lt;=2+1,"",INDEX(Daily_Input!$G:$G,ROW()-2))</f>
        <v>15019.199999999999</v>
      </c>
      <c r="AI90" s="5">
        <f>IF(ROW()&lt;=2+1,"",INDEX(Daily_Input!$H:$H,ROW()-2))</f>
        <v>0</v>
      </c>
      <c r="AJ90" s="5">
        <f>IF(ROW()&lt;=2+2,"",INDEX(Daily_Input!$G:$G,ROW()-3))</f>
        <v>15019.199999999999</v>
      </c>
      <c r="AK90" s="5">
        <f>IF(ROW()&lt;=2+2,"",INDEX(Daily_Input!$H:$H,ROW()-3))</f>
        <v>0</v>
      </c>
    </row>
    <row r="91" spans="1:37">
      <c r="A91" s="5">
        <f>Daily_Input!A91</f>
        <v>45928</v>
      </c>
      <c r="B91" s="5">
        <f>Daily_Input!F91</f>
        <v>6802.3356132536592</v>
      </c>
      <c r="C91" s="5">
        <f>Daily_Input!D91</f>
        <v>488.95600000000002</v>
      </c>
      <c r="D91" s="5">
        <f>Daily_Input!E91</f>
        <v>1451341.5620411001</v>
      </c>
      <c r="E91" s="5">
        <f>IF(ROW()=2,"",Daily_Input!E91-Daily_Input!E90)</f>
        <v>-8742.924741699826</v>
      </c>
      <c r="F91" s="5">
        <f>IFERROR(Daily_Input!E91/Config!$B$4,"")</f>
        <v>0.89287845021927081</v>
      </c>
      <c r="G91" s="5">
        <f>Daily_Input!I91</f>
        <v>1</v>
      </c>
      <c r="H91" s="5">
        <f>IF(A91="","",IF(ROW()=2,G91,Config!$B$5*H90+G91))</f>
        <v>97.001942661732542</v>
      </c>
      <c r="I91" s="5">
        <f t="shared" si="1"/>
        <v>271</v>
      </c>
      <c r="J91" s="5">
        <f>IF(I91="","",SIN(2*PI()*I91/Config!$B$6))</f>
        <v>-0.99887971558503352</v>
      </c>
      <c r="K91" s="5">
        <f>IF(I91="","",COS(2*PI()*I91/Config!$B$6))</f>
        <v>-4.7321388322432323E-2</v>
      </c>
      <c r="L91" s="5">
        <f>IF(ROW()&lt;=2+0,"",INDEX(Daily_Input!$F:$F,ROW()-1))</f>
        <v>7087.0644007301025</v>
      </c>
      <c r="M91" s="5">
        <f>IF(ROW()&lt;=2+1,"",INDEX(Daily_Input!$F:$F,ROW()-2))</f>
        <v>7080.4429602318232</v>
      </c>
      <c r="N91" s="5">
        <f>IF(ROW()&lt;=2+2,"",INDEX(Daily_Input!$F:$F,ROW()-3))</f>
        <v>13501.857041101875</v>
      </c>
      <c r="O91" s="5">
        <f>IF(ROW()&lt;=2+3,"",INDEX(Daily_Input!$F:$F,ROW()-4))</f>
        <v>1230.0585265529705</v>
      </c>
      <c r="P91" s="5">
        <f>IF(ROW()&lt;=2+4,"",INDEX(Daily_Input!$F:$F,ROW()-5))</f>
        <v>742.15266772859582</v>
      </c>
      <c r="Q91" s="5">
        <f>IF(ROW()&lt;=2+5,"",INDEX(Daily_Input!$F:$F,ROW()-6))</f>
        <v>3594.1671484005728</v>
      </c>
      <c r="R91" s="5">
        <f>IF(ROW()&lt;=2+6,"",INDEX(Daily_Input!$F:$F,ROW()-7))</f>
        <v>7983.1569079272103</v>
      </c>
      <c r="S91" s="5">
        <f>IF(ROW()&lt;=2+7,"",INDEX(Daily_Input!$F:$F,ROW()-8))</f>
        <v>672.85565525271102</v>
      </c>
      <c r="T91" s="5">
        <f>IF(ROW()&lt;=2+8,"",INDEX(Daily_Input!$F:$F,ROW()-9))</f>
        <v>2525.2451519868682</v>
      </c>
      <c r="U91" s="5">
        <f>IF(ROW()&lt;=2+9,"",INDEX(Daily_Input!$F:$F,ROW()-10))</f>
        <v>1075.8739396307471</v>
      </c>
      <c r="V91" s="5">
        <f>IF(ROW()&lt;=2+10,"",INDEX(Daily_Input!$F:$F,ROW()-11))</f>
        <v>12890.196681399973</v>
      </c>
      <c r="W91" s="5">
        <f>IF(ROW()&lt;=2+11,"",INDEX(Daily_Input!$F:$F,ROW()-12))</f>
        <v>11172.319293271388</v>
      </c>
      <c r="X91" s="5">
        <f>IF(ROW()&lt;=2+12,"",INDEX(Daily_Input!$F:$F,ROW()-13))</f>
        <v>5363.1104289303385</v>
      </c>
      <c r="Y91" s="5">
        <f>IF(ROW()&lt;=2+13,"",INDEX(Daily_Input!$F:$F,ROW()-14))</f>
        <v>6948.2052620067643</v>
      </c>
      <c r="Z91" s="5">
        <f>IF(ROW()&lt;=4,"",SUM(Daily_Input!I91:I93))</f>
        <v>17</v>
      </c>
      <c r="AA91" s="5">
        <f>IF(ROW()&lt;=8,"",SUM(Daily_Input!I91:I97))</f>
        <v>31.2</v>
      </c>
      <c r="AB91" s="5">
        <f>IF(ROW()&lt;=15,"",SUM(Daily_Input!I91:I104))</f>
        <v>41.199999999999996</v>
      </c>
      <c r="AC91" s="5">
        <f>IF(ROW()&lt;=4,"",AVERAGE(Daily_Input!F91:F93))</f>
        <v>5451.7157518029308</v>
      </c>
      <c r="AD91" s="5">
        <f>IF(ROW()&lt;=8,"",AVERAGE(Daily_Input!F91:F97))</f>
        <v>8673.7806985072057</v>
      </c>
      <c r="AE91" s="5">
        <f>IF(ROW()&lt;=8,"",MAX(Daily_Input!F91:F97))</f>
        <v>15523.391926246441</v>
      </c>
      <c r="AF91" s="5">
        <f>IF(ROW()&lt;=2+0,"",INDEX(Daily_Input!$G:$G,ROW()-1))</f>
        <v>15019.199999999999</v>
      </c>
      <c r="AG91" s="5">
        <f>IF(ROW()&lt;=2+0,"",INDEX(Daily_Input!$H:$H,ROW()-1))</f>
        <v>0</v>
      </c>
      <c r="AH91" s="5">
        <f>IF(ROW()&lt;=2+1,"",INDEX(Daily_Input!$G:$G,ROW()-2))</f>
        <v>15019.199999999999</v>
      </c>
      <c r="AI91" s="5">
        <f>IF(ROW()&lt;=2+1,"",INDEX(Daily_Input!$H:$H,ROW()-2))</f>
        <v>0</v>
      </c>
      <c r="AJ91" s="5">
        <f>IF(ROW()&lt;=2+2,"",INDEX(Daily_Input!$G:$G,ROW()-3))</f>
        <v>15019.199999999999</v>
      </c>
      <c r="AK91" s="5">
        <f>IF(ROW()&lt;=2+2,"",INDEX(Daily_Input!$H:$H,ROW()-3))</f>
        <v>0</v>
      </c>
    </row>
    <row r="92" spans="1:37">
      <c r="A92" s="5">
        <f>Daily_Input!A92</f>
        <v>45929</v>
      </c>
      <c r="B92" s="5">
        <f>Daily_Input!F92</f>
        <v>4189.4084228156607</v>
      </c>
      <c r="C92" s="5">
        <f>Daily_Input!D92</f>
        <v>488.91</v>
      </c>
      <c r="D92" s="5">
        <f>Daily_Input!E92</f>
        <v>1439695.2819463999</v>
      </c>
      <c r="E92" s="5">
        <f>IF(ROW()=2,"",Daily_Input!E92-Daily_Input!E91)</f>
        <v>-11646.280094700167</v>
      </c>
      <c r="F92" s="5">
        <f>IFERROR(Daily_Input!E92/Config!$B$4,"")</f>
        <v>0.88571355341362079</v>
      </c>
      <c r="G92" s="5">
        <f>Daily_Input!I92</f>
        <v>0</v>
      </c>
      <c r="H92" s="5">
        <f>IF(A92="","",IF(ROW()=2,G92,Config!$B$5*H91+G92))</f>
        <v>92.151845528645907</v>
      </c>
      <c r="I92" s="5">
        <f t="shared" si="1"/>
        <v>272</v>
      </c>
      <c r="J92" s="5">
        <f>IF(I92="","",SIN(2*PI()*I92/Config!$B$6))</f>
        <v>-0.99954628068735729</v>
      </c>
      <c r="K92" s="5">
        <f>IF(I92="","",COS(2*PI()*I92/Config!$B$6))</f>
        <v>-3.012030484690836E-2</v>
      </c>
      <c r="L92" s="5">
        <f>IF(ROW()&lt;=2+0,"",INDEX(Daily_Input!$F:$F,ROW()-1))</f>
        <v>6802.3356132536592</v>
      </c>
      <c r="M92" s="5">
        <f>IF(ROW()&lt;=2+1,"",INDEX(Daily_Input!$F:$F,ROW()-2))</f>
        <v>7087.0644007301025</v>
      </c>
      <c r="N92" s="5">
        <f>IF(ROW()&lt;=2+2,"",INDEX(Daily_Input!$F:$F,ROW()-3))</f>
        <v>7080.4429602318232</v>
      </c>
      <c r="O92" s="5">
        <f>IF(ROW()&lt;=2+3,"",INDEX(Daily_Input!$F:$F,ROW()-4))</f>
        <v>13501.857041101875</v>
      </c>
      <c r="P92" s="5">
        <f>IF(ROW()&lt;=2+4,"",INDEX(Daily_Input!$F:$F,ROW()-5))</f>
        <v>1230.0585265529705</v>
      </c>
      <c r="Q92" s="5">
        <f>IF(ROW()&lt;=2+5,"",INDEX(Daily_Input!$F:$F,ROW()-6))</f>
        <v>742.15266772859582</v>
      </c>
      <c r="R92" s="5">
        <f>IF(ROW()&lt;=2+6,"",INDEX(Daily_Input!$F:$F,ROW()-7))</f>
        <v>3594.1671484005728</v>
      </c>
      <c r="S92" s="5">
        <f>IF(ROW()&lt;=2+7,"",INDEX(Daily_Input!$F:$F,ROW()-8))</f>
        <v>7983.1569079272103</v>
      </c>
      <c r="T92" s="5">
        <f>IF(ROW()&lt;=2+8,"",INDEX(Daily_Input!$F:$F,ROW()-9))</f>
        <v>672.85565525271102</v>
      </c>
      <c r="U92" s="5">
        <f>IF(ROW()&lt;=2+9,"",INDEX(Daily_Input!$F:$F,ROW()-10))</f>
        <v>2525.2451519868682</v>
      </c>
      <c r="V92" s="5">
        <f>IF(ROW()&lt;=2+10,"",INDEX(Daily_Input!$F:$F,ROW()-11))</f>
        <v>1075.8739396307471</v>
      </c>
      <c r="W92" s="5">
        <f>IF(ROW()&lt;=2+11,"",INDEX(Daily_Input!$F:$F,ROW()-12))</f>
        <v>12890.196681399973</v>
      </c>
      <c r="X92" s="5">
        <f>IF(ROW()&lt;=2+12,"",INDEX(Daily_Input!$F:$F,ROW()-13))</f>
        <v>11172.319293271388</v>
      </c>
      <c r="Y92" s="5">
        <f>IF(ROW()&lt;=2+13,"",INDEX(Daily_Input!$F:$F,ROW()-14))</f>
        <v>5363.1104289303385</v>
      </c>
      <c r="Z92" s="5">
        <f>IF(ROW()&lt;=4,"",SUM(Daily_Input!I92:I94))</f>
        <v>26.8</v>
      </c>
      <c r="AA92" s="5">
        <f>IF(ROW()&lt;=8,"",SUM(Daily_Input!I92:I98))</f>
        <v>33.200000000000003</v>
      </c>
      <c r="AB92" s="5">
        <f>IF(ROW()&lt;=15,"",SUM(Daily_Input!I92:I105))</f>
        <v>40.199999999999996</v>
      </c>
      <c r="AC92" s="5">
        <f>IF(ROW()&lt;=4,"",AVERAGE(Daily_Input!F92:F94))</f>
        <v>8358.7345228005233</v>
      </c>
      <c r="AD92" s="5">
        <f>IF(ROW()&lt;=8,"",AVERAGE(Daily_Input!F92:F98))</f>
        <v>8998.6622072978007</v>
      </c>
      <c r="AE92" s="5">
        <f>IF(ROW()&lt;=8,"",MAX(Daily_Input!F92:F98))</f>
        <v>15523.391926246441</v>
      </c>
      <c r="AF92" s="5">
        <f>IF(ROW()&lt;=2+0,"",INDEX(Daily_Input!$G:$G,ROW()-1))</f>
        <v>15019.199999999999</v>
      </c>
      <c r="AG92" s="5">
        <f>IF(ROW()&lt;=2+0,"",INDEX(Daily_Input!$H:$H,ROW()-1))</f>
        <v>0</v>
      </c>
      <c r="AH92" s="5">
        <f>IF(ROW()&lt;=2+1,"",INDEX(Daily_Input!$G:$G,ROW()-2))</f>
        <v>15019.199999999999</v>
      </c>
      <c r="AI92" s="5">
        <f>IF(ROW()&lt;=2+1,"",INDEX(Daily_Input!$H:$H,ROW()-2))</f>
        <v>0</v>
      </c>
      <c r="AJ92" s="5">
        <f>IF(ROW()&lt;=2+2,"",INDEX(Daily_Input!$G:$G,ROW()-3))</f>
        <v>15019.199999999999</v>
      </c>
      <c r="AK92" s="5">
        <f>IF(ROW()&lt;=2+2,"",INDEX(Daily_Input!$H:$H,ROW()-3))</f>
        <v>0</v>
      </c>
    </row>
    <row r="93" spans="1:37">
      <c r="A93" s="5">
        <f>Daily_Input!A93</f>
        <v>45930</v>
      </c>
      <c r="B93" s="5">
        <f>Daily_Input!F93</f>
        <v>5363.4032193394723</v>
      </c>
      <c r="C93" s="5">
        <f>Daily_Input!D93</f>
        <v>488.892</v>
      </c>
      <c r="D93" s="5">
        <f>Daily_Input!E93</f>
        <v>1433876.8830075001</v>
      </c>
      <c r="E93" s="5">
        <f>IF(ROW()=2,"",Daily_Input!E93-Daily_Input!E92)</f>
        <v>-5818.3989388998598</v>
      </c>
      <c r="F93" s="5">
        <f>IFERROR(Daily_Input!E93/Config!$B$4,"")</f>
        <v>0.88213402178357758</v>
      </c>
      <c r="G93" s="5">
        <f>Daily_Input!I93</f>
        <v>16</v>
      </c>
      <c r="H93" s="5">
        <f>IF(A93="","",IF(ROW()=2,G93,Config!$B$5*H92+G93))</f>
        <v>103.54425325221361</v>
      </c>
      <c r="I93" s="5">
        <f t="shared" si="1"/>
        <v>273</v>
      </c>
      <c r="J93" s="5">
        <f>IF(I93="","",SIN(2*PI()*I93/Config!$B$6))</f>
        <v>-0.99991665865473789</v>
      </c>
      <c r="K93" s="5">
        <f>IF(I93="","",COS(2*PI()*I93/Config!$B$6))</f>
        <v>-1.2910296075008843E-2</v>
      </c>
      <c r="L93" s="5">
        <f>IF(ROW()&lt;=2+0,"",INDEX(Daily_Input!$F:$F,ROW()-1))</f>
        <v>4189.4084228156607</v>
      </c>
      <c r="M93" s="5">
        <f>IF(ROW()&lt;=2+1,"",INDEX(Daily_Input!$F:$F,ROW()-2))</f>
        <v>6802.3356132536592</v>
      </c>
      <c r="N93" s="5">
        <f>IF(ROW()&lt;=2+2,"",INDEX(Daily_Input!$F:$F,ROW()-3))</f>
        <v>7087.0644007301025</v>
      </c>
      <c r="O93" s="5">
        <f>IF(ROW()&lt;=2+3,"",INDEX(Daily_Input!$F:$F,ROW()-4))</f>
        <v>7080.4429602318232</v>
      </c>
      <c r="P93" s="5">
        <f>IF(ROW()&lt;=2+4,"",INDEX(Daily_Input!$F:$F,ROW()-5))</f>
        <v>13501.857041101875</v>
      </c>
      <c r="Q93" s="5">
        <f>IF(ROW()&lt;=2+5,"",INDEX(Daily_Input!$F:$F,ROW()-6))</f>
        <v>1230.0585265529705</v>
      </c>
      <c r="R93" s="5">
        <f>IF(ROW()&lt;=2+6,"",INDEX(Daily_Input!$F:$F,ROW()-7))</f>
        <v>742.15266772859582</v>
      </c>
      <c r="S93" s="5">
        <f>IF(ROW()&lt;=2+7,"",INDEX(Daily_Input!$F:$F,ROW()-8))</f>
        <v>3594.1671484005728</v>
      </c>
      <c r="T93" s="5">
        <f>IF(ROW()&lt;=2+8,"",INDEX(Daily_Input!$F:$F,ROW()-9))</f>
        <v>7983.1569079272103</v>
      </c>
      <c r="U93" s="5">
        <f>IF(ROW()&lt;=2+9,"",INDEX(Daily_Input!$F:$F,ROW()-10))</f>
        <v>672.85565525271102</v>
      </c>
      <c r="V93" s="5">
        <f>IF(ROW()&lt;=2+10,"",INDEX(Daily_Input!$F:$F,ROW()-11))</f>
        <v>2525.2451519868682</v>
      </c>
      <c r="W93" s="5">
        <f>IF(ROW()&lt;=2+11,"",INDEX(Daily_Input!$F:$F,ROW()-12))</f>
        <v>1075.8739396307471</v>
      </c>
      <c r="X93" s="5">
        <f>IF(ROW()&lt;=2+12,"",INDEX(Daily_Input!$F:$F,ROW()-13))</f>
        <v>12890.196681399973</v>
      </c>
      <c r="Y93" s="5">
        <f>IF(ROW()&lt;=2+13,"",INDEX(Daily_Input!$F:$F,ROW()-14))</f>
        <v>11172.319293271388</v>
      </c>
      <c r="Z93" s="5">
        <f>IF(ROW()&lt;=4,"",SUM(Daily_Input!I93:I95))</f>
        <v>28.2</v>
      </c>
      <c r="AA93" s="5">
        <f>IF(ROW()&lt;=8,"",SUM(Daily_Input!I93:I99))</f>
        <v>33.200000000000003</v>
      </c>
      <c r="AB93" s="5">
        <f>IF(ROW()&lt;=15,"",SUM(Daily_Input!I93:I106))</f>
        <v>40.199999999999996</v>
      </c>
      <c r="AC93" s="5">
        <f>IF(ROW()&lt;=4,"",AVERAGE(Daily_Input!F93:F95))</f>
        <v>9170.5498742682321</v>
      </c>
      <c r="AD93" s="5">
        <f>IF(ROW()&lt;=8,"",AVERAGE(Daily_Input!F93:F99))</f>
        <v>8992.7764611568418</v>
      </c>
      <c r="AE93" s="5">
        <f>IF(ROW()&lt;=8,"",MAX(Daily_Input!F93:F99))</f>
        <v>15523.391926246441</v>
      </c>
      <c r="AF93" s="5">
        <f>IF(ROW()&lt;=2+0,"",INDEX(Daily_Input!$G:$G,ROW()-1))</f>
        <v>15019.199999999999</v>
      </c>
      <c r="AG93" s="5">
        <f>IF(ROW()&lt;=2+0,"",INDEX(Daily_Input!$H:$H,ROW()-1))</f>
        <v>0</v>
      </c>
      <c r="AH93" s="5">
        <f>IF(ROW()&lt;=2+1,"",INDEX(Daily_Input!$G:$G,ROW()-2))</f>
        <v>15019.199999999999</v>
      </c>
      <c r="AI93" s="5">
        <f>IF(ROW()&lt;=2+1,"",INDEX(Daily_Input!$H:$H,ROW()-2))</f>
        <v>0</v>
      </c>
      <c r="AJ93" s="5">
        <f>IF(ROW()&lt;=2+2,"",INDEX(Daily_Input!$G:$G,ROW()-3))</f>
        <v>15019.199999999999</v>
      </c>
      <c r="AK93" s="5">
        <f>IF(ROW()&lt;=2+2,"",INDEX(Daily_Input!$H:$H,ROW()-3))</f>
        <v>0</v>
      </c>
    </row>
    <row r="94" spans="1:37">
      <c r="A94" s="5">
        <f>Daily_Input!A94</f>
        <v>45931</v>
      </c>
      <c r="B94" s="5">
        <f>Daily_Input!F94</f>
        <v>15523.391926246441</v>
      </c>
      <c r="C94" s="5">
        <f>Daily_Input!D94</f>
        <v>488.904</v>
      </c>
      <c r="D94" s="5">
        <f>Daily_Input!E94</f>
        <v>1436785.6733039999</v>
      </c>
      <c r="E94" s="5">
        <f>IF(ROW()=2,"",Daily_Input!E94-Daily_Input!E93)</f>
        <v>2908.7902964998502</v>
      </c>
      <c r="F94" s="5">
        <f>IFERROR(Daily_Input!E94/Config!$B$4,"")</f>
        <v>0.88392353587170103</v>
      </c>
      <c r="G94" s="5">
        <f>Daily_Input!I94</f>
        <v>10.8</v>
      </c>
      <c r="H94" s="5">
        <f>IF(A94="","",IF(ROW()=2,G94,Config!$B$5*H93+G94))</f>
        <v>109.16704058960292</v>
      </c>
      <c r="I94" s="5">
        <f t="shared" si="1"/>
        <v>274</v>
      </c>
      <c r="J94" s="5">
        <f>IF(I94="","",SIN(2*PI()*I94/Config!$B$6))</f>
        <v>-0.99999073973619013</v>
      </c>
      <c r="K94" s="5">
        <f>IF(I94="","",COS(2*PI()*I94/Config!$B$6))</f>
        <v>4.3035382962438211E-3</v>
      </c>
      <c r="L94" s="5">
        <f>IF(ROW()&lt;=2+0,"",INDEX(Daily_Input!$F:$F,ROW()-1))</f>
        <v>5363.4032193394723</v>
      </c>
      <c r="M94" s="5">
        <f>IF(ROW()&lt;=2+1,"",INDEX(Daily_Input!$F:$F,ROW()-2))</f>
        <v>4189.4084228156607</v>
      </c>
      <c r="N94" s="5">
        <f>IF(ROW()&lt;=2+2,"",INDEX(Daily_Input!$F:$F,ROW()-3))</f>
        <v>6802.3356132536592</v>
      </c>
      <c r="O94" s="5">
        <f>IF(ROW()&lt;=2+3,"",INDEX(Daily_Input!$F:$F,ROW()-4))</f>
        <v>7087.0644007301025</v>
      </c>
      <c r="P94" s="5">
        <f>IF(ROW()&lt;=2+4,"",INDEX(Daily_Input!$F:$F,ROW()-5))</f>
        <v>7080.4429602318232</v>
      </c>
      <c r="Q94" s="5">
        <f>IF(ROW()&lt;=2+5,"",INDEX(Daily_Input!$F:$F,ROW()-6))</f>
        <v>13501.857041101875</v>
      </c>
      <c r="R94" s="5">
        <f>IF(ROW()&lt;=2+6,"",INDEX(Daily_Input!$F:$F,ROW()-7))</f>
        <v>1230.0585265529705</v>
      </c>
      <c r="S94" s="5">
        <f>IF(ROW()&lt;=2+7,"",INDEX(Daily_Input!$F:$F,ROW()-8))</f>
        <v>742.15266772859582</v>
      </c>
      <c r="T94" s="5">
        <f>IF(ROW()&lt;=2+8,"",INDEX(Daily_Input!$F:$F,ROW()-9))</f>
        <v>3594.1671484005728</v>
      </c>
      <c r="U94" s="5">
        <f>IF(ROW()&lt;=2+9,"",INDEX(Daily_Input!$F:$F,ROW()-10))</f>
        <v>7983.1569079272103</v>
      </c>
      <c r="V94" s="5">
        <f>IF(ROW()&lt;=2+10,"",INDEX(Daily_Input!$F:$F,ROW()-11))</f>
        <v>672.85565525271102</v>
      </c>
      <c r="W94" s="5">
        <f>IF(ROW()&lt;=2+11,"",INDEX(Daily_Input!$F:$F,ROW()-12))</f>
        <v>2525.2451519868682</v>
      </c>
      <c r="X94" s="5">
        <f>IF(ROW()&lt;=2+12,"",INDEX(Daily_Input!$F:$F,ROW()-13))</f>
        <v>1075.8739396307471</v>
      </c>
      <c r="Y94" s="5">
        <f>IF(ROW()&lt;=2+13,"",INDEX(Daily_Input!$F:$F,ROW()-14))</f>
        <v>12890.196681399973</v>
      </c>
      <c r="Z94" s="5">
        <f>IF(ROW()&lt;=4,"",SUM(Daily_Input!I94:I96))</f>
        <v>12.200000000000001</v>
      </c>
      <c r="AA94" s="5">
        <f>IF(ROW()&lt;=8,"",SUM(Daily_Input!I94:I100))</f>
        <v>17.200000000000003</v>
      </c>
      <c r="AB94" s="5">
        <f>IF(ROW()&lt;=15,"",SUM(Daily_Input!I94:I107))</f>
        <v>26.400000000000002</v>
      </c>
      <c r="AC94" s="5">
        <f>IF(ROW()&lt;=4,"",AVERAGE(Daily_Input!F94:F96))</f>
        <v>11665.827882929263</v>
      </c>
      <c r="AD94" s="5">
        <f>IF(ROW()&lt;=8,"",AVERAGE(Daily_Input!F94:F100))</f>
        <v>8820.8312014568164</v>
      </c>
      <c r="AE94" s="5">
        <f>IF(ROW()&lt;=8,"",MAX(Daily_Input!F94:F100))</f>
        <v>15523.391926246441</v>
      </c>
      <c r="AF94" s="5">
        <f>IF(ROW()&lt;=2+0,"",INDEX(Daily_Input!$G:$G,ROW()-1))</f>
        <v>15019.199999999999</v>
      </c>
      <c r="AG94" s="5">
        <f>IF(ROW()&lt;=2+0,"",INDEX(Daily_Input!$H:$H,ROW()-1))</f>
        <v>0</v>
      </c>
      <c r="AH94" s="5">
        <f>IF(ROW()&lt;=2+1,"",INDEX(Daily_Input!$G:$G,ROW()-2))</f>
        <v>15019.199999999999</v>
      </c>
      <c r="AI94" s="5">
        <f>IF(ROW()&lt;=2+1,"",INDEX(Daily_Input!$H:$H,ROW()-2))</f>
        <v>0</v>
      </c>
      <c r="AJ94" s="5">
        <f>IF(ROW()&lt;=2+2,"",INDEX(Daily_Input!$G:$G,ROW()-3))</f>
        <v>15019.199999999999</v>
      </c>
      <c r="AK94" s="5">
        <f>IF(ROW()&lt;=2+2,"",INDEX(Daily_Input!$H:$H,ROW()-3))</f>
        <v>0</v>
      </c>
    </row>
    <row r="95" spans="1:37">
      <c r="A95" s="5">
        <f>Daily_Input!A95</f>
        <v>45932</v>
      </c>
      <c r="B95" s="5">
        <f>Daily_Input!F95</f>
        <v>6624.8544772187824</v>
      </c>
      <c r="C95" s="5">
        <f>Daily_Input!D95</f>
        <v>488.87900000000002</v>
      </c>
      <c r="D95" s="5">
        <f>Daily_Input!E95</f>
        <v>1428061.5598544001</v>
      </c>
      <c r="E95" s="5">
        <f>IF(ROW()=2,"",Daily_Input!E95-Daily_Input!E94)</f>
        <v>-8724.1134495998267</v>
      </c>
      <c r="F95" s="5">
        <f>IFERROR(Daily_Input!E95/Config!$B$4,"")</f>
        <v>0.87855638240476608</v>
      </c>
      <c r="G95" s="5">
        <f>Daily_Input!I95</f>
        <v>1.4</v>
      </c>
      <c r="H95" s="5">
        <f>IF(A95="","",IF(ROW()=2,G95,Config!$B$5*H94+G95))</f>
        <v>105.10868856012277</v>
      </c>
      <c r="I95" s="5">
        <f t="shared" si="1"/>
        <v>275</v>
      </c>
      <c r="J95" s="5">
        <f>IF(I95="","",SIN(2*PI()*I95/Config!$B$6))</f>
        <v>-0.99976850197989087</v>
      </c>
      <c r="K95" s="5">
        <f>IF(I95="","",COS(2*PI()*I95/Config!$B$6))</f>
        <v>2.1516097436222233E-2</v>
      </c>
      <c r="L95" s="5">
        <f>IF(ROW()&lt;=2+0,"",INDEX(Daily_Input!$F:$F,ROW()-1))</f>
        <v>15523.391926246441</v>
      </c>
      <c r="M95" s="5">
        <f>IF(ROW()&lt;=2+1,"",INDEX(Daily_Input!$F:$F,ROW()-2))</f>
        <v>5363.4032193394723</v>
      </c>
      <c r="N95" s="5">
        <f>IF(ROW()&lt;=2+2,"",INDEX(Daily_Input!$F:$F,ROW()-3))</f>
        <v>4189.4084228156607</v>
      </c>
      <c r="O95" s="5">
        <f>IF(ROW()&lt;=2+3,"",INDEX(Daily_Input!$F:$F,ROW()-4))</f>
        <v>6802.3356132536592</v>
      </c>
      <c r="P95" s="5">
        <f>IF(ROW()&lt;=2+4,"",INDEX(Daily_Input!$F:$F,ROW()-5))</f>
        <v>7087.0644007301025</v>
      </c>
      <c r="Q95" s="5">
        <f>IF(ROW()&lt;=2+5,"",INDEX(Daily_Input!$F:$F,ROW()-6))</f>
        <v>7080.4429602318232</v>
      </c>
      <c r="R95" s="5">
        <f>IF(ROW()&lt;=2+6,"",INDEX(Daily_Input!$F:$F,ROW()-7))</f>
        <v>13501.857041101875</v>
      </c>
      <c r="S95" s="5">
        <f>IF(ROW()&lt;=2+7,"",INDEX(Daily_Input!$F:$F,ROW()-8))</f>
        <v>1230.0585265529705</v>
      </c>
      <c r="T95" s="5">
        <f>IF(ROW()&lt;=2+8,"",INDEX(Daily_Input!$F:$F,ROW()-9))</f>
        <v>742.15266772859582</v>
      </c>
      <c r="U95" s="5">
        <f>IF(ROW()&lt;=2+9,"",INDEX(Daily_Input!$F:$F,ROW()-10))</f>
        <v>3594.1671484005728</v>
      </c>
      <c r="V95" s="5">
        <f>IF(ROW()&lt;=2+10,"",INDEX(Daily_Input!$F:$F,ROW()-11))</f>
        <v>7983.1569079272103</v>
      </c>
      <c r="W95" s="5">
        <f>IF(ROW()&lt;=2+11,"",INDEX(Daily_Input!$F:$F,ROW()-12))</f>
        <v>672.85565525271102</v>
      </c>
      <c r="X95" s="5">
        <f>IF(ROW()&lt;=2+12,"",INDEX(Daily_Input!$F:$F,ROW()-13))</f>
        <v>2525.2451519868682</v>
      </c>
      <c r="Y95" s="5">
        <f>IF(ROW()&lt;=2+13,"",INDEX(Daily_Input!$F:$F,ROW()-14))</f>
        <v>1075.8739396307471</v>
      </c>
      <c r="Z95" s="5">
        <f>IF(ROW()&lt;=4,"",SUM(Daily_Input!I95:I97))</f>
        <v>3.4</v>
      </c>
      <c r="AA95" s="5">
        <f>IF(ROW()&lt;=8,"",SUM(Daily_Input!I95:I101))</f>
        <v>10.199999999999999</v>
      </c>
      <c r="AB95" s="5">
        <f>IF(ROW()&lt;=15,"",SUM(Daily_Input!I95:I108))</f>
        <v>17</v>
      </c>
      <c r="AC95" s="5">
        <f>IF(ROW()&lt;=4,"",AVERAGE(Daily_Input!F95:F97))</f>
        <v>9612.6419026317326</v>
      </c>
      <c r="AD95" s="5">
        <f>IF(ROW()&lt;=8,"",AVERAGE(Daily_Input!F95:F101))</f>
        <v>9110.3151934245543</v>
      </c>
      <c r="AE95" s="5">
        <f>IF(ROW()&lt;=8,"",MAX(Daily_Input!F95:F101))</f>
        <v>17549.779870020619</v>
      </c>
      <c r="AF95" s="5">
        <f>IF(ROW()&lt;=2+0,"",INDEX(Daily_Input!$G:$G,ROW()-1))</f>
        <v>15019.199999999999</v>
      </c>
      <c r="AG95" s="5">
        <f>IF(ROW()&lt;=2+0,"",INDEX(Daily_Input!$H:$H,ROW()-1))</f>
        <v>0</v>
      </c>
      <c r="AH95" s="5">
        <f>IF(ROW()&lt;=2+1,"",INDEX(Daily_Input!$G:$G,ROW()-2))</f>
        <v>15019.199999999999</v>
      </c>
      <c r="AI95" s="5">
        <f>IF(ROW()&lt;=2+1,"",INDEX(Daily_Input!$H:$H,ROW()-2))</f>
        <v>0</v>
      </c>
      <c r="AJ95" s="5">
        <f>IF(ROW()&lt;=2+2,"",INDEX(Daily_Input!$G:$G,ROW()-3))</f>
        <v>15019.199999999999</v>
      </c>
      <c r="AK95" s="5">
        <f>IF(ROW()&lt;=2+2,"",INDEX(Daily_Input!$H:$H,ROW()-3))</f>
        <v>0</v>
      </c>
    </row>
    <row r="96" spans="1:37">
      <c r="A96" s="5">
        <f>Daily_Input!A96</f>
        <v>45933</v>
      </c>
      <c r="B96" s="5">
        <f>Daily_Input!F96</f>
        <v>12849.237245322573</v>
      </c>
      <c r="C96" s="5">
        <f>Daily_Input!D96</f>
        <v>488.86599999999999</v>
      </c>
      <c r="D96" s="5">
        <f>Daily_Input!E96</f>
        <v>1425155.0669104999</v>
      </c>
      <c r="E96" s="5">
        <f>IF(ROW()=2,"",Daily_Input!E96-Daily_Input!E95)</f>
        <v>-2906.4929439001717</v>
      </c>
      <c r="F96" s="5">
        <f>IFERROR(Daily_Input!E96/Config!$B$4,"")</f>
        <v>0.87676828166873177</v>
      </c>
      <c r="G96" s="5">
        <f>Daily_Input!I96</f>
        <v>0</v>
      </c>
      <c r="H96" s="5">
        <f>IF(A96="","",IF(ROW()=2,G96,Config!$B$5*H95+G96))</f>
        <v>99.853254132116632</v>
      </c>
      <c r="I96" s="5">
        <f t="shared" si="1"/>
        <v>276</v>
      </c>
      <c r="J96" s="5">
        <f>IF(I96="","",SIN(2*PI()*I96/Config!$B$6))</f>
        <v>-0.99925001123968349</v>
      </c>
      <c r="K96" s="5">
        <f>IF(I96="","",COS(2*PI()*I96/Config!$B$6))</f>
        <v>3.8722280892173992E-2</v>
      </c>
      <c r="L96" s="5">
        <f>IF(ROW()&lt;=2+0,"",INDEX(Daily_Input!$F:$F,ROW()-1))</f>
        <v>6624.8544772187824</v>
      </c>
      <c r="M96" s="5">
        <f>IF(ROW()&lt;=2+1,"",INDEX(Daily_Input!$F:$F,ROW()-2))</f>
        <v>15523.391926246441</v>
      </c>
      <c r="N96" s="5">
        <f>IF(ROW()&lt;=2+2,"",INDEX(Daily_Input!$F:$F,ROW()-3))</f>
        <v>5363.4032193394723</v>
      </c>
      <c r="O96" s="5">
        <f>IF(ROW()&lt;=2+3,"",INDEX(Daily_Input!$F:$F,ROW()-4))</f>
        <v>4189.4084228156607</v>
      </c>
      <c r="P96" s="5">
        <f>IF(ROW()&lt;=2+4,"",INDEX(Daily_Input!$F:$F,ROW()-5))</f>
        <v>6802.3356132536592</v>
      </c>
      <c r="Q96" s="5">
        <f>IF(ROW()&lt;=2+5,"",INDEX(Daily_Input!$F:$F,ROW()-6))</f>
        <v>7087.0644007301025</v>
      </c>
      <c r="R96" s="5">
        <f>IF(ROW()&lt;=2+6,"",INDEX(Daily_Input!$F:$F,ROW()-7))</f>
        <v>7080.4429602318232</v>
      </c>
      <c r="S96" s="5">
        <f>IF(ROW()&lt;=2+7,"",INDEX(Daily_Input!$F:$F,ROW()-8))</f>
        <v>13501.857041101875</v>
      </c>
      <c r="T96" s="5">
        <f>IF(ROW()&lt;=2+8,"",INDEX(Daily_Input!$F:$F,ROW()-9))</f>
        <v>1230.0585265529705</v>
      </c>
      <c r="U96" s="5">
        <f>IF(ROW()&lt;=2+9,"",INDEX(Daily_Input!$F:$F,ROW()-10))</f>
        <v>742.15266772859582</v>
      </c>
      <c r="V96" s="5">
        <f>IF(ROW()&lt;=2+10,"",INDEX(Daily_Input!$F:$F,ROW()-11))</f>
        <v>3594.1671484005728</v>
      </c>
      <c r="W96" s="5">
        <f>IF(ROW()&lt;=2+11,"",INDEX(Daily_Input!$F:$F,ROW()-12))</f>
        <v>7983.1569079272103</v>
      </c>
      <c r="X96" s="5">
        <f>IF(ROW()&lt;=2+12,"",INDEX(Daily_Input!$F:$F,ROW()-13))</f>
        <v>672.85565525271102</v>
      </c>
      <c r="Y96" s="5">
        <f>IF(ROW()&lt;=2+13,"",INDEX(Daily_Input!$F:$F,ROW()-14))</f>
        <v>2525.2451519868682</v>
      </c>
      <c r="Z96" s="5">
        <f>IF(ROW()&lt;=4,"",SUM(Daily_Input!I96:I98))</f>
        <v>5</v>
      </c>
      <c r="AA96" s="5">
        <f>IF(ROW()&lt;=8,"",SUM(Daily_Input!I96:I102))</f>
        <v>9.6000000000000014</v>
      </c>
      <c r="AB96" s="5">
        <f>IF(ROW()&lt;=15,"",SUM(Daily_Input!I96:I109))</f>
        <v>36.200000000000003</v>
      </c>
      <c r="AC96" s="5">
        <f>IF(ROW()&lt;=4,"",AVERAGE(Daily_Input!F96:F98))</f>
        <v>10429.859135154746</v>
      </c>
      <c r="AD96" s="5">
        <f>IF(ROW()&lt;=8,"",AVERAGE(Daily_Input!F96:F102))</f>
        <v>17018.846012400398</v>
      </c>
      <c r="AE96" s="5">
        <f>IF(ROW()&lt;=8,"",MAX(Daily_Input!F96:F102))</f>
        <v>61984.570210049686</v>
      </c>
      <c r="AF96" s="5">
        <f>IF(ROW()&lt;=2+0,"",INDEX(Daily_Input!$G:$G,ROW()-1))</f>
        <v>15019.199999999999</v>
      </c>
      <c r="AG96" s="5">
        <f>IF(ROW()&lt;=2+0,"",INDEX(Daily_Input!$H:$H,ROW()-1))</f>
        <v>0</v>
      </c>
      <c r="AH96" s="5">
        <f>IF(ROW()&lt;=2+1,"",INDEX(Daily_Input!$G:$G,ROW()-2))</f>
        <v>15019.199999999999</v>
      </c>
      <c r="AI96" s="5">
        <f>IF(ROW()&lt;=2+1,"",INDEX(Daily_Input!$H:$H,ROW()-2))</f>
        <v>0</v>
      </c>
      <c r="AJ96" s="5">
        <f>IF(ROW()&lt;=2+2,"",INDEX(Daily_Input!$G:$G,ROW()-3))</f>
        <v>15019.199999999999</v>
      </c>
      <c r="AK96" s="5">
        <f>IF(ROW()&lt;=2+2,"",INDEX(Daily_Input!$H:$H,ROW()-3))</f>
        <v>0</v>
      </c>
    </row>
    <row r="97" spans="1:37">
      <c r="A97" s="5">
        <f>Daily_Input!A97</f>
        <v>45934</v>
      </c>
      <c r="B97" s="5">
        <f>Daily_Input!F97</f>
        <v>9363.8339853538455</v>
      </c>
      <c r="C97" s="5">
        <f>Daily_Input!D97</f>
        <v>488.84800000000001</v>
      </c>
      <c r="D97" s="5">
        <f>Daily_Input!E97</f>
        <v>1419344.4679610999</v>
      </c>
      <c r="E97" s="5">
        <f>IF(ROW()=2,"",Daily_Input!E97-Daily_Input!E96)</f>
        <v>-5810.5989494000096</v>
      </c>
      <c r="F97" s="5">
        <f>IFERROR(Daily_Input!E97/Config!$B$4,"")</f>
        <v>0.8731935486627469</v>
      </c>
      <c r="G97" s="5">
        <f>Daily_Input!I97</f>
        <v>2</v>
      </c>
      <c r="H97" s="5">
        <f>IF(A97="","",IF(ROW()=2,G97,Config!$B$5*H96+G97))</f>
        <v>96.86059142551079</v>
      </c>
      <c r="I97" s="5">
        <f t="shared" si="1"/>
        <v>277</v>
      </c>
      <c r="J97" s="5">
        <f>IF(I97="","",SIN(2*PI()*I97/Config!$B$6))</f>
        <v>-0.99843542115556427</v>
      </c>
      <c r="K97" s="5">
        <f>IF(I97="","",COS(2*PI()*I97/Config!$B$6))</f>
        <v>5.5916990100603019E-2</v>
      </c>
      <c r="L97" s="5">
        <f>IF(ROW()&lt;=2+0,"",INDEX(Daily_Input!$F:$F,ROW()-1))</f>
        <v>12849.237245322573</v>
      </c>
      <c r="M97" s="5">
        <f>IF(ROW()&lt;=2+1,"",INDEX(Daily_Input!$F:$F,ROW()-2))</f>
        <v>6624.8544772187824</v>
      </c>
      <c r="N97" s="5">
        <f>IF(ROW()&lt;=2+2,"",INDEX(Daily_Input!$F:$F,ROW()-3))</f>
        <v>15523.391926246441</v>
      </c>
      <c r="O97" s="5">
        <f>IF(ROW()&lt;=2+3,"",INDEX(Daily_Input!$F:$F,ROW()-4))</f>
        <v>5363.4032193394723</v>
      </c>
      <c r="P97" s="5">
        <f>IF(ROW()&lt;=2+4,"",INDEX(Daily_Input!$F:$F,ROW()-5))</f>
        <v>4189.4084228156607</v>
      </c>
      <c r="Q97" s="5">
        <f>IF(ROW()&lt;=2+5,"",INDEX(Daily_Input!$F:$F,ROW()-6))</f>
        <v>6802.3356132536592</v>
      </c>
      <c r="R97" s="5">
        <f>IF(ROW()&lt;=2+6,"",INDEX(Daily_Input!$F:$F,ROW()-7))</f>
        <v>7087.0644007301025</v>
      </c>
      <c r="S97" s="5">
        <f>IF(ROW()&lt;=2+7,"",INDEX(Daily_Input!$F:$F,ROW()-8))</f>
        <v>7080.4429602318232</v>
      </c>
      <c r="T97" s="5">
        <f>IF(ROW()&lt;=2+8,"",INDEX(Daily_Input!$F:$F,ROW()-9))</f>
        <v>13501.857041101875</v>
      </c>
      <c r="U97" s="5">
        <f>IF(ROW()&lt;=2+9,"",INDEX(Daily_Input!$F:$F,ROW()-10))</f>
        <v>1230.0585265529705</v>
      </c>
      <c r="V97" s="5">
        <f>IF(ROW()&lt;=2+10,"",INDEX(Daily_Input!$F:$F,ROW()-11))</f>
        <v>742.15266772859582</v>
      </c>
      <c r="W97" s="5">
        <f>IF(ROW()&lt;=2+11,"",INDEX(Daily_Input!$F:$F,ROW()-12))</f>
        <v>3594.1671484005728</v>
      </c>
      <c r="X97" s="5">
        <f>IF(ROW()&lt;=2+12,"",INDEX(Daily_Input!$F:$F,ROW()-13))</f>
        <v>7983.1569079272103</v>
      </c>
      <c r="Y97" s="5">
        <f>IF(ROW()&lt;=2+13,"",INDEX(Daily_Input!$F:$F,ROW()-14))</f>
        <v>672.85565525271102</v>
      </c>
      <c r="Z97" s="5">
        <f>IF(ROW()&lt;=4,"",SUM(Daily_Input!I97:I99))</f>
        <v>5</v>
      </c>
      <c r="AA97" s="5">
        <f>IF(ROW()&lt;=8,"",SUM(Daily_Input!I97:I103))</f>
        <v>12.000000000000002</v>
      </c>
      <c r="AB97" s="5">
        <f>IF(ROW()&lt;=15,"",SUM(Daily_Input!I97:I110))</f>
        <v>51.6</v>
      </c>
      <c r="AC97" s="5">
        <f>IF(ROW()&lt;=4,"",AVERAGE(Daily_Input!F97:F99))</f>
        <v>7529.5161199902059</v>
      </c>
      <c r="AD97" s="5">
        <f>IF(ROW()&lt;=8,"",AVERAGE(Daily_Input!F97:F103))</f>
        <v>18582.090493880412</v>
      </c>
      <c r="AE97" s="5">
        <f>IF(ROW()&lt;=8,"",MAX(Daily_Input!F97:F103))</f>
        <v>61984.570210049686</v>
      </c>
      <c r="AF97" s="5">
        <f>IF(ROW()&lt;=2+0,"",INDEX(Daily_Input!$G:$G,ROW()-1))</f>
        <v>15019.199999999999</v>
      </c>
      <c r="AG97" s="5">
        <f>IF(ROW()&lt;=2+0,"",INDEX(Daily_Input!$H:$H,ROW()-1))</f>
        <v>0</v>
      </c>
      <c r="AH97" s="5">
        <f>IF(ROW()&lt;=2+1,"",INDEX(Daily_Input!$G:$G,ROW()-2))</f>
        <v>15019.199999999999</v>
      </c>
      <c r="AI97" s="5">
        <f>IF(ROW()&lt;=2+1,"",INDEX(Daily_Input!$H:$H,ROW()-2))</f>
        <v>0</v>
      </c>
      <c r="AJ97" s="5">
        <f>IF(ROW()&lt;=2+2,"",INDEX(Daily_Input!$G:$G,ROW()-3))</f>
        <v>15019.199999999999</v>
      </c>
      <c r="AK97" s="5">
        <f>IF(ROW()&lt;=2+2,"",INDEX(Daily_Input!$H:$H,ROW()-3))</f>
        <v>0</v>
      </c>
    </row>
    <row r="98" spans="1:37">
      <c r="A98" s="5">
        <f>Daily_Input!A98</f>
        <v>45935</v>
      </c>
      <c r="B98" s="5">
        <f>Daily_Input!F98</f>
        <v>9076.5061747878171</v>
      </c>
      <c r="C98" s="5">
        <f>Daily_Input!D98</f>
        <v>488.82098000000002</v>
      </c>
      <c r="D98" s="5">
        <f>Daily_Input!E98</f>
        <v>1413536.9222839</v>
      </c>
      <c r="E98" s="5">
        <f>IF(ROW()=2,"",Daily_Input!E98-Daily_Input!E97)</f>
        <v>-5807.5456771999598</v>
      </c>
      <c r="F98" s="5">
        <f>IFERROR(Daily_Input!E98/Config!$B$4,"")</f>
        <v>0.86962069405742337</v>
      </c>
      <c r="G98" s="5">
        <f>Daily_Input!I98</f>
        <v>3</v>
      </c>
      <c r="H98" s="5">
        <f>IF(A98="","",IF(ROW()=2,G98,Config!$B$5*H97+G98))</f>
        <v>95.01756185423524</v>
      </c>
      <c r="I98" s="5">
        <f t="shared" si="1"/>
        <v>278</v>
      </c>
      <c r="J98" s="5">
        <f>IF(I98="","",SIN(2*PI()*I98/Config!$B$6))</f>
        <v>-0.99732497310815549</v>
      </c>
      <c r="K98" s="5">
        <f>IF(I98="","",COS(2*PI()*I98/Config!$B$6))</f>
        <v>7.309512989807776E-2</v>
      </c>
      <c r="L98" s="5">
        <f>IF(ROW()&lt;=2+0,"",INDEX(Daily_Input!$F:$F,ROW()-1))</f>
        <v>9363.8339853538455</v>
      </c>
      <c r="M98" s="5">
        <f>IF(ROW()&lt;=2+1,"",INDEX(Daily_Input!$F:$F,ROW()-2))</f>
        <v>12849.237245322573</v>
      </c>
      <c r="N98" s="5">
        <f>IF(ROW()&lt;=2+2,"",INDEX(Daily_Input!$F:$F,ROW()-3))</f>
        <v>6624.8544772187824</v>
      </c>
      <c r="O98" s="5">
        <f>IF(ROW()&lt;=2+3,"",INDEX(Daily_Input!$F:$F,ROW()-4))</f>
        <v>15523.391926246441</v>
      </c>
      <c r="P98" s="5">
        <f>IF(ROW()&lt;=2+4,"",INDEX(Daily_Input!$F:$F,ROW()-5))</f>
        <v>5363.4032193394723</v>
      </c>
      <c r="Q98" s="5">
        <f>IF(ROW()&lt;=2+5,"",INDEX(Daily_Input!$F:$F,ROW()-6))</f>
        <v>4189.4084228156607</v>
      </c>
      <c r="R98" s="5">
        <f>IF(ROW()&lt;=2+6,"",INDEX(Daily_Input!$F:$F,ROW()-7))</f>
        <v>6802.3356132536592</v>
      </c>
      <c r="S98" s="5">
        <f>IF(ROW()&lt;=2+7,"",INDEX(Daily_Input!$F:$F,ROW()-8))</f>
        <v>7087.0644007301025</v>
      </c>
      <c r="T98" s="5">
        <f>IF(ROW()&lt;=2+8,"",INDEX(Daily_Input!$F:$F,ROW()-9))</f>
        <v>7080.4429602318232</v>
      </c>
      <c r="U98" s="5">
        <f>IF(ROW()&lt;=2+9,"",INDEX(Daily_Input!$F:$F,ROW()-10))</f>
        <v>13501.857041101875</v>
      </c>
      <c r="V98" s="5">
        <f>IF(ROW()&lt;=2+10,"",INDEX(Daily_Input!$F:$F,ROW()-11))</f>
        <v>1230.0585265529705</v>
      </c>
      <c r="W98" s="5">
        <f>IF(ROW()&lt;=2+11,"",INDEX(Daily_Input!$F:$F,ROW()-12))</f>
        <v>742.15266772859582</v>
      </c>
      <c r="X98" s="5">
        <f>IF(ROW()&lt;=2+12,"",INDEX(Daily_Input!$F:$F,ROW()-13))</f>
        <v>3594.1671484005728</v>
      </c>
      <c r="Y98" s="5">
        <f>IF(ROW()&lt;=2+13,"",INDEX(Daily_Input!$F:$F,ROW()-14))</f>
        <v>7983.1569079272103</v>
      </c>
      <c r="Z98" s="5">
        <f>IF(ROW()&lt;=4,"",SUM(Daily_Input!I98:I100))</f>
        <v>3</v>
      </c>
      <c r="AA98" s="5">
        <f>IF(ROW()&lt;=8,"",SUM(Daily_Input!I98:I104))</f>
        <v>10</v>
      </c>
      <c r="AB98" s="5">
        <f>IF(ROW()&lt;=15,"",SUM(Daily_Input!I98:I111))</f>
        <v>49.6</v>
      </c>
      <c r="AC98" s="5">
        <f>IF(ROW()&lt;=4,"",AVERAGE(Daily_Input!F98:F100))</f>
        <v>5794.833592018691</v>
      </c>
      <c r="AD98" s="5">
        <f>IF(ROW()&lt;=8,"",AVERAGE(Daily_Input!F98:F104))</f>
        <v>19079.416438216951</v>
      </c>
      <c r="AE98" s="5">
        <f>IF(ROW()&lt;=8,"",MAX(Daily_Input!F98:F104))</f>
        <v>61984.570210049686</v>
      </c>
      <c r="AF98" s="5">
        <f>IF(ROW()&lt;=2+0,"",INDEX(Daily_Input!$G:$G,ROW()-1))</f>
        <v>15019.199999999999</v>
      </c>
      <c r="AG98" s="5">
        <f>IF(ROW()&lt;=2+0,"",INDEX(Daily_Input!$H:$H,ROW()-1))</f>
        <v>0</v>
      </c>
      <c r="AH98" s="5">
        <f>IF(ROW()&lt;=2+1,"",INDEX(Daily_Input!$G:$G,ROW()-2))</f>
        <v>15019.199999999999</v>
      </c>
      <c r="AI98" s="5">
        <f>IF(ROW()&lt;=2+1,"",INDEX(Daily_Input!$H:$H,ROW()-2))</f>
        <v>0</v>
      </c>
      <c r="AJ98" s="5">
        <f>IF(ROW()&lt;=2+2,"",INDEX(Daily_Input!$G:$G,ROW()-3))</f>
        <v>15019.199999999999</v>
      </c>
      <c r="AK98" s="5">
        <f>IF(ROW()&lt;=2+2,"",INDEX(Daily_Input!$H:$H,ROW()-3))</f>
        <v>0</v>
      </c>
    </row>
    <row r="99" spans="1:37">
      <c r="A99" s="5">
        <f>Daily_Input!A99</f>
        <v>45936</v>
      </c>
      <c r="B99" s="5">
        <f>Daily_Input!F99</f>
        <v>4148.2081998289541</v>
      </c>
      <c r="C99" s="5">
        <f>Daily_Input!D99</f>
        <v>488.78899999999999</v>
      </c>
      <c r="D99" s="5">
        <f>Daily_Input!E99</f>
        <v>1401930.9575960001</v>
      </c>
      <c r="E99" s="5">
        <f>IF(ROW()=2,"",Daily_Input!E99-Daily_Input!E98)</f>
        <v>-11605.964687899919</v>
      </c>
      <c r="F99" s="5">
        <f>IFERROR(Daily_Input!E99/Config!$B$4,"")</f>
        <v>0.86248059965451929</v>
      </c>
      <c r="G99" s="5">
        <f>Daily_Input!I99</f>
        <v>0</v>
      </c>
      <c r="H99" s="5">
        <f>IF(A99="","",IF(ROW()=2,G99,Config!$B$5*H98+G99))</f>
        <v>90.266683761523467</v>
      </c>
      <c r="I99" s="5">
        <f t="shared" si="1"/>
        <v>279</v>
      </c>
      <c r="J99" s="5">
        <f>IF(I99="","",SIN(2*PI()*I99/Config!$B$6))</f>
        <v>-0.99591899614717916</v>
      </c>
      <c r="K99" s="5">
        <f>IF(I99="","",COS(2*PI()*I99/Config!$B$6))</f>
        <v>9.0251610031040694E-2</v>
      </c>
      <c r="L99" s="5">
        <f>IF(ROW()&lt;=2+0,"",INDEX(Daily_Input!$F:$F,ROW()-1))</f>
        <v>9076.5061747878171</v>
      </c>
      <c r="M99" s="5">
        <f>IF(ROW()&lt;=2+1,"",INDEX(Daily_Input!$F:$F,ROW()-2))</f>
        <v>9363.8339853538455</v>
      </c>
      <c r="N99" s="5">
        <f>IF(ROW()&lt;=2+2,"",INDEX(Daily_Input!$F:$F,ROW()-3))</f>
        <v>12849.237245322573</v>
      </c>
      <c r="O99" s="5">
        <f>IF(ROW()&lt;=2+3,"",INDEX(Daily_Input!$F:$F,ROW()-4))</f>
        <v>6624.8544772187824</v>
      </c>
      <c r="P99" s="5">
        <f>IF(ROW()&lt;=2+4,"",INDEX(Daily_Input!$F:$F,ROW()-5))</f>
        <v>15523.391926246441</v>
      </c>
      <c r="Q99" s="5">
        <f>IF(ROW()&lt;=2+5,"",INDEX(Daily_Input!$F:$F,ROW()-6))</f>
        <v>5363.4032193394723</v>
      </c>
      <c r="R99" s="5">
        <f>IF(ROW()&lt;=2+6,"",INDEX(Daily_Input!$F:$F,ROW()-7))</f>
        <v>4189.4084228156607</v>
      </c>
      <c r="S99" s="5">
        <f>IF(ROW()&lt;=2+7,"",INDEX(Daily_Input!$F:$F,ROW()-8))</f>
        <v>6802.3356132536592</v>
      </c>
      <c r="T99" s="5">
        <f>IF(ROW()&lt;=2+8,"",INDEX(Daily_Input!$F:$F,ROW()-9))</f>
        <v>7087.0644007301025</v>
      </c>
      <c r="U99" s="5">
        <f>IF(ROW()&lt;=2+9,"",INDEX(Daily_Input!$F:$F,ROW()-10))</f>
        <v>7080.4429602318232</v>
      </c>
      <c r="V99" s="5">
        <f>IF(ROW()&lt;=2+10,"",INDEX(Daily_Input!$F:$F,ROW()-11))</f>
        <v>13501.857041101875</v>
      </c>
      <c r="W99" s="5">
        <f>IF(ROW()&lt;=2+11,"",INDEX(Daily_Input!$F:$F,ROW()-12))</f>
        <v>1230.0585265529705</v>
      </c>
      <c r="X99" s="5">
        <f>IF(ROW()&lt;=2+12,"",INDEX(Daily_Input!$F:$F,ROW()-13))</f>
        <v>742.15266772859582</v>
      </c>
      <c r="Y99" s="5">
        <f>IF(ROW()&lt;=2+13,"",INDEX(Daily_Input!$F:$F,ROW()-14))</f>
        <v>3594.1671484005728</v>
      </c>
      <c r="Z99" s="5">
        <f>IF(ROW()&lt;=4,"",SUM(Daily_Input!I99:I101))</f>
        <v>3.8</v>
      </c>
      <c r="AA99" s="5">
        <f>IF(ROW()&lt;=8,"",SUM(Daily_Input!I99:I105))</f>
        <v>7</v>
      </c>
      <c r="AB99" s="5">
        <f>IF(ROW()&lt;=15,"",SUM(Daily_Input!I99:I112))</f>
        <v>46.6</v>
      </c>
      <c r="AC99" s="5">
        <f>IF(ROW()&lt;=4,"",AVERAGE(Daily_Input!F99:F101))</f>
        <v>8619.2581570962921</v>
      </c>
      <c r="AD99" s="5">
        <f>IF(ROW()&lt;=8,"",AVERAGE(Daily_Input!F99:F105))</f>
        <v>19202.076296070307</v>
      </c>
      <c r="AE99" s="5">
        <f>IF(ROW()&lt;=8,"",MAX(Daily_Input!F99:F105))</f>
        <v>61984.570210049686</v>
      </c>
      <c r="AF99" s="5">
        <f>IF(ROW()&lt;=2+0,"",INDEX(Daily_Input!$G:$G,ROW()-1))</f>
        <v>15019.199999999999</v>
      </c>
      <c r="AG99" s="5">
        <f>IF(ROW()&lt;=2+0,"",INDEX(Daily_Input!$H:$H,ROW()-1))</f>
        <v>0</v>
      </c>
      <c r="AH99" s="5">
        <f>IF(ROW()&lt;=2+1,"",INDEX(Daily_Input!$G:$G,ROW()-2))</f>
        <v>15019.199999999999</v>
      </c>
      <c r="AI99" s="5">
        <f>IF(ROW()&lt;=2+1,"",INDEX(Daily_Input!$H:$H,ROW()-2))</f>
        <v>0</v>
      </c>
      <c r="AJ99" s="5">
        <f>IF(ROW()&lt;=2+2,"",INDEX(Daily_Input!$G:$G,ROW()-3))</f>
        <v>15019.199999999999</v>
      </c>
      <c r="AK99" s="5">
        <f>IF(ROW()&lt;=2+2,"",INDEX(Daily_Input!$H:$H,ROW()-3))</f>
        <v>0</v>
      </c>
    </row>
    <row r="100" spans="1:37">
      <c r="A100" s="5">
        <f>Daily_Input!A100</f>
        <v>45937</v>
      </c>
      <c r="B100" s="5">
        <f>Daily_Input!F100</f>
        <v>4159.7864014393017</v>
      </c>
      <c r="C100" s="5">
        <f>Daily_Input!D100</f>
        <v>488.745</v>
      </c>
      <c r="D100" s="5">
        <f>Daily_Input!E100</f>
        <v>1390337.3398593001</v>
      </c>
      <c r="E100" s="5">
        <f>IF(ROW()=2,"",Daily_Input!E100-Daily_Input!E99)</f>
        <v>-11593.617736699991</v>
      </c>
      <c r="F100" s="5">
        <f>IFERROR(Daily_Input!E100/Config!$B$4,"")</f>
        <v>0.8553481012076195</v>
      </c>
      <c r="G100" s="5">
        <f>Daily_Input!I100</f>
        <v>0</v>
      </c>
      <c r="H100" s="5">
        <f>IF(A100="","",IF(ROW()=2,G100,Config!$B$5*H99+G100))</f>
        <v>85.753349573447295</v>
      </c>
      <c r="I100" s="5">
        <f t="shared" si="1"/>
        <v>280</v>
      </c>
      <c r="J100" s="5">
        <f>IF(I100="","",SIN(2*PI()*I100/Config!$B$6))</f>
        <v>-0.99421790689395195</v>
      </c>
      <c r="K100" s="5">
        <f>IF(I100="","",COS(2*PI()*I100/Config!$B$6))</f>
        <v>0.10738134666416306</v>
      </c>
      <c r="L100" s="5">
        <f>IF(ROW()&lt;=2+0,"",INDEX(Daily_Input!$F:$F,ROW()-1))</f>
        <v>4148.2081998289541</v>
      </c>
      <c r="M100" s="5">
        <f>IF(ROW()&lt;=2+1,"",INDEX(Daily_Input!$F:$F,ROW()-2))</f>
        <v>9076.5061747878171</v>
      </c>
      <c r="N100" s="5">
        <f>IF(ROW()&lt;=2+2,"",INDEX(Daily_Input!$F:$F,ROW()-3))</f>
        <v>9363.8339853538455</v>
      </c>
      <c r="O100" s="5">
        <f>IF(ROW()&lt;=2+3,"",INDEX(Daily_Input!$F:$F,ROW()-4))</f>
        <v>12849.237245322573</v>
      </c>
      <c r="P100" s="5">
        <f>IF(ROW()&lt;=2+4,"",INDEX(Daily_Input!$F:$F,ROW()-5))</f>
        <v>6624.8544772187824</v>
      </c>
      <c r="Q100" s="5">
        <f>IF(ROW()&lt;=2+5,"",INDEX(Daily_Input!$F:$F,ROW()-6))</f>
        <v>15523.391926246441</v>
      </c>
      <c r="R100" s="5">
        <f>IF(ROW()&lt;=2+6,"",INDEX(Daily_Input!$F:$F,ROW()-7))</f>
        <v>5363.4032193394723</v>
      </c>
      <c r="S100" s="5">
        <f>IF(ROW()&lt;=2+7,"",INDEX(Daily_Input!$F:$F,ROW()-8))</f>
        <v>4189.4084228156607</v>
      </c>
      <c r="T100" s="5">
        <f>IF(ROW()&lt;=2+8,"",INDEX(Daily_Input!$F:$F,ROW()-9))</f>
        <v>6802.3356132536592</v>
      </c>
      <c r="U100" s="5">
        <f>IF(ROW()&lt;=2+9,"",INDEX(Daily_Input!$F:$F,ROW()-10))</f>
        <v>7087.0644007301025</v>
      </c>
      <c r="V100" s="5">
        <f>IF(ROW()&lt;=2+10,"",INDEX(Daily_Input!$F:$F,ROW()-11))</f>
        <v>7080.4429602318232</v>
      </c>
      <c r="W100" s="5">
        <f>IF(ROW()&lt;=2+11,"",INDEX(Daily_Input!$F:$F,ROW()-12))</f>
        <v>13501.857041101875</v>
      </c>
      <c r="X100" s="5">
        <f>IF(ROW()&lt;=2+12,"",INDEX(Daily_Input!$F:$F,ROW()-13))</f>
        <v>1230.0585265529705</v>
      </c>
      <c r="Y100" s="5">
        <f>IF(ROW()&lt;=2+13,"",INDEX(Daily_Input!$F:$F,ROW()-14))</f>
        <v>742.15266772859582</v>
      </c>
      <c r="Z100" s="5">
        <f>IF(ROW()&lt;=4,"",SUM(Daily_Input!I100:I102))</f>
        <v>4.5999999999999996</v>
      </c>
      <c r="AA100" s="5">
        <f>IF(ROW()&lt;=8,"",SUM(Daily_Input!I100:I106))</f>
        <v>7</v>
      </c>
      <c r="AB100" s="5">
        <f>IF(ROW()&lt;=15,"",SUM(Daily_Input!I100:I113))</f>
        <v>51.800000000000004</v>
      </c>
      <c r="AC100" s="5">
        <f>IF(ROW()&lt;=4,"",AVERAGE(Daily_Input!F100:F102))</f>
        <v>27898.045493836533</v>
      </c>
      <c r="AD100" s="5">
        <f>IF(ROW()&lt;=8,"",AVERAGE(Daily_Input!F100:F106))</f>
        <v>20029.17829597817</v>
      </c>
      <c r="AE100" s="5">
        <f>IF(ROW()&lt;=8,"",MAX(Daily_Input!F100:F106))</f>
        <v>61984.570210049686</v>
      </c>
      <c r="AF100" s="5">
        <f>IF(ROW()&lt;=2+0,"",INDEX(Daily_Input!$G:$G,ROW()-1))</f>
        <v>15019.199999999999</v>
      </c>
      <c r="AG100" s="5">
        <f>IF(ROW()&lt;=2+0,"",INDEX(Daily_Input!$H:$H,ROW()-1))</f>
        <v>0</v>
      </c>
      <c r="AH100" s="5">
        <f>IF(ROW()&lt;=2+1,"",INDEX(Daily_Input!$G:$G,ROW()-2))</f>
        <v>15019.199999999999</v>
      </c>
      <c r="AI100" s="5">
        <f>IF(ROW()&lt;=2+1,"",INDEX(Daily_Input!$H:$H,ROW()-2))</f>
        <v>0</v>
      </c>
      <c r="AJ100" s="5">
        <f>IF(ROW()&lt;=2+2,"",INDEX(Daily_Input!$G:$G,ROW()-3))</f>
        <v>15019.199999999999</v>
      </c>
      <c r="AK100" s="5">
        <f>IF(ROW()&lt;=2+2,"",INDEX(Daily_Input!$H:$H,ROW()-3))</f>
        <v>0</v>
      </c>
    </row>
    <row r="101" spans="1:37">
      <c r="A101" s="5">
        <f>Daily_Input!A101</f>
        <v>45938</v>
      </c>
      <c r="B101" s="5">
        <f>Daily_Input!F101</f>
        <v>17549.779870020619</v>
      </c>
      <c r="C101" s="5">
        <f>Daily_Input!D101</f>
        <v>488.75198</v>
      </c>
      <c r="D101" s="5">
        <f>Daily_Input!E101</f>
        <v>1393234.6316031001</v>
      </c>
      <c r="E101" s="5">
        <f>IF(ROW()=2,"",Daily_Input!E101-Daily_Input!E100)</f>
        <v>2897.2917438000441</v>
      </c>
      <c r="F101" s="5">
        <f>IFERROR(Daily_Input!E101/Config!$B$4,"")</f>
        <v>0.85713054128216615</v>
      </c>
      <c r="G101" s="5">
        <f>Daily_Input!I101</f>
        <v>3.8</v>
      </c>
      <c r="H101" s="5">
        <f>IF(A101="","",IF(ROW()=2,G101,Config!$B$5*H100+G101))</f>
        <v>85.265682094774917</v>
      </c>
      <c r="I101" s="5">
        <f t="shared" si="1"/>
        <v>281</v>
      </c>
      <c r="J101" s="5">
        <f>IF(I101="","",SIN(2*PI()*I101/Config!$B$6))</f>
        <v>-0.99222220941793238</v>
      </c>
      <c r="K101" s="5">
        <f>IF(I101="","",COS(2*PI()*I101/Config!$B$6))</f>
        <v>0.12447926388678869</v>
      </c>
      <c r="L101" s="5">
        <f>IF(ROW()&lt;=2+0,"",INDEX(Daily_Input!$F:$F,ROW()-1))</f>
        <v>4159.7864014393017</v>
      </c>
      <c r="M101" s="5">
        <f>IF(ROW()&lt;=2+1,"",INDEX(Daily_Input!$F:$F,ROW()-2))</f>
        <v>4148.2081998289541</v>
      </c>
      <c r="N101" s="5">
        <f>IF(ROW()&lt;=2+2,"",INDEX(Daily_Input!$F:$F,ROW()-3))</f>
        <v>9076.5061747878171</v>
      </c>
      <c r="O101" s="5">
        <f>IF(ROW()&lt;=2+3,"",INDEX(Daily_Input!$F:$F,ROW()-4))</f>
        <v>9363.8339853538455</v>
      </c>
      <c r="P101" s="5">
        <f>IF(ROW()&lt;=2+4,"",INDEX(Daily_Input!$F:$F,ROW()-5))</f>
        <v>12849.237245322573</v>
      </c>
      <c r="Q101" s="5">
        <f>IF(ROW()&lt;=2+5,"",INDEX(Daily_Input!$F:$F,ROW()-6))</f>
        <v>6624.8544772187824</v>
      </c>
      <c r="R101" s="5">
        <f>IF(ROW()&lt;=2+6,"",INDEX(Daily_Input!$F:$F,ROW()-7))</f>
        <v>15523.391926246441</v>
      </c>
      <c r="S101" s="5">
        <f>IF(ROW()&lt;=2+7,"",INDEX(Daily_Input!$F:$F,ROW()-8))</f>
        <v>5363.4032193394723</v>
      </c>
      <c r="T101" s="5">
        <f>IF(ROW()&lt;=2+8,"",INDEX(Daily_Input!$F:$F,ROW()-9))</f>
        <v>4189.4084228156607</v>
      </c>
      <c r="U101" s="5">
        <f>IF(ROW()&lt;=2+9,"",INDEX(Daily_Input!$F:$F,ROW()-10))</f>
        <v>6802.3356132536592</v>
      </c>
      <c r="V101" s="5">
        <f>IF(ROW()&lt;=2+10,"",INDEX(Daily_Input!$F:$F,ROW()-11))</f>
        <v>7087.0644007301025</v>
      </c>
      <c r="W101" s="5">
        <f>IF(ROW()&lt;=2+11,"",INDEX(Daily_Input!$F:$F,ROW()-12))</f>
        <v>7080.4429602318232</v>
      </c>
      <c r="X101" s="5">
        <f>IF(ROW()&lt;=2+12,"",INDEX(Daily_Input!$F:$F,ROW()-13))</f>
        <v>13501.857041101875</v>
      </c>
      <c r="Y101" s="5">
        <f>IF(ROW()&lt;=2+13,"",INDEX(Daily_Input!$F:$F,ROW()-14))</f>
        <v>1230.0585265529705</v>
      </c>
      <c r="Z101" s="5">
        <f>IF(ROW()&lt;=4,"",SUM(Daily_Input!I101:I103))</f>
        <v>7</v>
      </c>
      <c r="AA101" s="5">
        <f>IF(ROW()&lt;=8,"",SUM(Daily_Input!I101:I107))</f>
        <v>9.1999999999999993</v>
      </c>
      <c r="AB101" s="5">
        <f>IF(ROW()&lt;=15,"",SUM(Daily_Input!I101:I114))</f>
        <v>51.800000000000004</v>
      </c>
      <c r="AC101" s="5">
        <f>IF(ROW()&lt;=4,"",AVERAGE(Daily_Input!F101:F103))</f>
        <v>34442.099565250988</v>
      </c>
      <c r="AD101" s="5">
        <f>IF(ROW()&lt;=8,"",AVERAGE(Daily_Input!F101:F107))</f>
        <v>20763.651220435542</v>
      </c>
      <c r="AE101" s="5">
        <f>IF(ROW()&lt;=8,"",MAX(Daily_Input!F101:F107))</f>
        <v>61984.570210049686</v>
      </c>
      <c r="AF101" s="5">
        <f>IF(ROW()&lt;=2+0,"",INDEX(Daily_Input!$G:$G,ROW()-1))</f>
        <v>15019.199999999999</v>
      </c>
      <c r="AG101" s="5">
        <f>IF(ROW()&lt;=2+0,"",INDEX(Daily_Input!$H:$H,ROW()-1))</f>
        <v>0</v>
      </c>
      <c r="AH101" s="5">
        <f>IF(ROW()&lt;=2+1,"",INDEX(Daily_Input!$G:$G,ROW()-2))</f>
        <v>15019.199999999999</v>
      </c>
      <c r="AI101" s="5">
        <f>IF(ROW()&lt;=2+1,"",INDEX(Daily_Input!$H:$H,ROW()-2))</f>
        <v>0</v>
      </c>
      <c r="AJ101" s="5">
        <f>IF(ROW()&lt;=2+2,"",INDEX(Daily_Input!$G:$G,ROW()-3))</f>
        <v>15019.199999999999</v>
      </c>
      <c r="AK101" s="5">
        <f>IF(ROW()&lt;=2+2,"",INDEX(Daily_Input!$H:$H,ROW()-3))</f>
        <v>0</v>
      </c>
    </row>
    <row r="102" spans="1:37">
      <c r="A102" s="5">
        <f>Daily_Input!A102</f>
        <v>45939</v>
      </c>
      <c r="B102" s="5">
        <f>Daily_Input!F102</f>
        <v>61984.570210049686</v>
      </c>
      <c r="C102" s="5">
        <f>Daily_Input!D102</f>
        <v>488.91</v>
      </c>
      <c r="D102" s="5">
        <f>Daily_Input!E102</f>
        <v>1439695.2819463999</v>
      </c>
      <c r="E102" s="5">
        <f>IF(ROW()=2,"",Daily_Input!E102-Daily_Input!E101)</f>
        <v>46460.650343299843</v>
      </c>
      <c r="F102" s="5">
        <f>IFERROR(Daily_Input!E102/Config!$B$4,"")</f>
        <v>0.88571355341362079</v>
      </c>
      <c r="G102" s="5">
        <f>Daily_Input!I102</f>
        <v>0.8</v>
      </c>
      <c r="H102" s="5">
        <f>IF(A102="","",IF(ROW()=2,G102,Config!$B$5*H101+G102))</f>
        <v>81.80239799003617</v>
      </c>
      <c r="I102" s="5">
        <f t="shared" si="1"/>
        <v>282</v>
      </c>
      <c r="J102" s="5">
        <f>IF(I102="","",SIN(2*PI()*I102/Config!$B$6))</f>
        <v>-0.98993249508735304</v>
      </c>
      <c r="K102" s="5">
        <f>IF(I102="","",COS(2*PI()*I102/Config!$B$6))</f>
        <v>0.14154029521704301</v>
      </c>
      <c r="L102" s="5">
        <f>IF(ROW()&lt;=2+0,"",INDEX(Daily_Input!$F:$F,ROW()-1))</f>
        <v>17549.779870020619</v>
      </c>
      <c r="M102" s="5">
        <f>IF(ROW()&lt;=2+1,"",INDEX(Daily_Input!$F:$F,ROW()-2))</f>
        <v>4159.7864014393017</v>
      </c>
      <c r="N102" s="5">
        <f>IF(ROW()&lt;=2+2,"",INDEX(Daily_Input!$F:$F,ROW()-3))</f>
        <v>4148.2081998289541</v>
      </c>
      <c r="O102" s="5">
        <f>IF(ROW()&lt;=2+3,"",INDEX(Daily_Input!$F:$F,ROW()-4))</f>
        <v>9076.5061747878171</v>
      </c>
      <c r="P102" s="5">
        <f>IF(ROW()&lt;=2+4,"",INDEX(Daily_Input!$F:$F,ROW()-5))</f>
        <v>9363.8339853538455</v>
      </c>
      <c r="Q102" s="5">
        <f>IF(ROW()&lt;=2+5,"",INDEX(Daily_Input!$F:$F,ROW()-6))</f>
        <v>12849.237245322573</v>
      </c>
      <c r="R102" s="5">
        <f>IF(ROW()&lt;=2+6,"",INDEX(Daily_Input!$F:$F,ROW()-7))</f>
        <v>6624.8544772187824</v>
      </c>
      <c r="S102" s="5">
        <f>IF(ROW()&lt;=2+7,"",INDEX(Daily_Input!$F:$F,ROW()-8))</f>
        <v>15523.391926246441</v>
      </c>
      <c r="T102" s="5">
        <f>IF(ROW()&lt;=2+8,"",INDEX(Daily_Input!$F:$F,ROW()-9))</f>
        <v>5363.4032193394723</v>
      </c>
      <c r="U102" s="5">
        <f>IF(ROW()&lt;=2+9,"",INDEX(Daily_Input!$F:$F,ROW()-10))</f>
        <v>4189.4084228156607</v>
      </c>
      <c r="V102" s="5">
        <f>IF(ROW()&lt;=2+10,"",INDEX(Daily_Input!$F:$F,ROW()-11))</f>
        <v>6802.3356132536592</v>
      </c>
      <c r="W102" s="5">
        <f>IF(ROW()&lt;=2+11,"",INDEX(Daily_Input!$F:$F,ROW()-12))</f>
        <v>7087.0644007301025</v>
      </c>
      <c r="X102" s="5">
        <f>IF(ROW()&lt;=2+12,"",INDEX(Daily_Input!$F:$F,ROW()-13))</f>
        <v>7080.4429602318232</v>
      </c>
      <c r="Y102" s="5">
        <f>IF(ROW()&lt;=2+13,"",INDEX(Daily_Input!$F:$F,ROW()-14))</f>
        <v>13501.857041101875</v>
      </c>
      <c r="Z102" s="5">
        <f>IF(ROW()&lt;=4,"",SUM(Daily_Input!I102:I104))</f>
        <v>3.2</v>
      </c>
      <c r="AA102" s="5">
        <f>IF(ROW()&lt;=8,"",SUM(Daily_Input!I102:I108))</f>
        <v>6.8000000000000007</v>
      </c>
      <c r="AB102" s="5">
        <f>IF(ROW()&lt;=15,"",SUM(Daily_Input!I102:I115))</f>
        <v>48.000000000000007</v>
      </c>
      <c r="AC102" s="5">
        <f>IF(ROW()&lt;=4,"",AVERAGE(Daily_Input!F102:F104))</f>
        <v>32873.878140480658</v>
      </c>
      <c r="AD102" s="5">
        <f>IF(ROW()&lt;=8,"",AVERAGE(Daily_Input!F102:F108))</f>
        <v>24191.293836031775</v>
      </c>
      <c r="AE102" s="5">
        <f>IF(ROW()&lt;=8,"",MAX(Daily_Input!F102:F108))</f>
        <v>61984.570210049686</v>
      </c>
      <c r="AF102" s="5">
        <f>IF(ROW()&lt;=2+0,"",INDEX(Daily_Input!$G:$G,ROW()-1))</f>
        <v>15019.199999999999</v>
      </c>
      <c r="AG102" s="5">
        <f>IF(ROW()&lt;=2+0,"",INDEX(Daily_Input!$H:$H,ROW()-1))</f>
        <v>0</v>
      </c>
      <c r="AH102" s="5">
        <f>IF(ROW()&lt;=2+1,"",INDEX(Daily_Input!$G:$G,ROW()-2))</f>
        <v>15019.199999999999</v>
      </c>
      <c r="AI102" s="5">
        <f>IF(ROW()&lt;=2+1,"",INDEX(Daily_Input!$H:$H,ROW()-2))</f>
        <v>0</v>
      </c>
      <c r="AJ102" s="5">
        <f>IF(ROW()&lt;=2+2,"",INDEX(Daily_Input!$G:$G,ROW()-3))</f>
        <v>15019.199999999999</v>
      </c>
      <c r="AK102" s="5">
        <f>IF(ROW()&lt;=2+2,"",INDEX(Daily_Input!$H:$H,ROW()-3))</f>
        <v>0</v>
      </c>
    </row>
    <row r="103" spans="1:37">
      <c r="A103" s="5">
        <f>Daily_Input!A103</f>
        <v>45940</v>
      </c>
      <c r="B103" s="5">
        <f>Daily_Input!F103</f>
        <v>23791.948615682664</v>
      </c>
      <c r="C103" s="5">
        <f>Daily_Input!D103</f>
        <v>488.94299999999998</v>
      </c>
      <c r="D103" s="5">
        <f>Daily_Input!E103</f>
        <v>1448428.8738585</v>
      </c>
      <c r="E103" s="5">
        <f>IF(ROW()=2,"",Daily_Input!E103-Daily_Input!E102)</f>
        <v>8733.5919121000916</v>
      </c>
      <c r="F103" s="5">
        <f>IFERROR(Daily_Input!E103/Config!$B$4,"")</f>
        <v>0.89108653811637861</v>
      </c>
      <c r="G103" s="5">
        <f>Daily_Input!I103</f>
        <v>2.4</v>
      </c>
      <c r="H103" s="5">
        <f>IF(A103="","",IF(ROW()=2,G103,Config!$B$5*H102+G103))</f>
        <v>80.11227809053436</v>
      </c>
      <c r="I103" s="5">
        <f t="shared" si="1"/>
        <v>283</v>
      </c>
      <c r="J103" s="5">
        <f>IF(I103="","",SIN(2*PI()*I103/Config!$B$6))</f>
        <v>-0.98734944239398637</v>
      </c>
      <c r="K103" s="5">
        <f>IF(I103="","",COS(2*PI()*I103/Config!$B$6))</f>
        <v>0.15855938510313475</v>
      </c>
      <c r="L103" s="5">
        <f>IF(ROW()&lt;=2+0,"",INDEX(Daily_Input!$F:$F,ROW()-1))</f>
        <v>61984.570210049686</v>
      </c>
      <c r="M103" s="5">
        <f>IF(ROW()&lt;=2+1,"",INDEX(Daily_Input!$F:$F,ROW()-2))</f>
        <v>17549.779870020619</v>
      </c>
      <c r="N103" s="5">
        <f>IF(ROW()&lt;=2+2,"",INDEX(Daily_Input!$F:$F,ROW()-3))</f>
        <v>4159.7864014393017</v>
      </c>
      <c r="O103" s="5">
        <f>IF(ROW()&lt;=2+3,"",INDEX(Daily_Input!$F:$F,ROW()-4))</f>
        <v>4148.2081998289541</v>
      </c>
      <c r="P103" s="5">
        <f>IF(ROW()&lt;=2+4,"",INDEX(Daily_Input!$F:$F,ROW()-5))</f>
        <v>9076.5061747878171</v>
      </c>
      <c r="Q103" s="5">
        <f>IF(ROW()&lt;=2+5,"",INDEX(Daily_Input!$F:$F,ROW()-6))</f>
        <v>9363.8339853538455</v>
      </c>
      <c r="R103" s="5">
        <f>IF(ROW()&lt;=2+6,"",INDEX(Daily_Input!$F:$F,ROW()-7))</f>
        <v>12849.237245322573</v>
      </c>
      <c r="S103" s="5">
        <f>IF(ROW()&lt;=2+7,"",INDEX(Daily_Input!$F:$F,ROW()-8))</f>
        <v>6624.8544772187824</v>
      </c>
      <c r="T103" s="5">
        <f>IF(ROW()&lt;=2+8,"",INDEX(Daily_Input!$F:$F,ROW()-9))</f>
        <v>15523.391926246441</v>
      </c>
      <c r="U103" s="5">
        <f>IF(ROW()&lt;=2+9,"",INDEX(Daily_Input!$F:$F,ROW()-10))</f>
        <v>5363.4032193394723</v>
      </c>
      <c r="V103" s="5">
        <f>IF(ROW()&lt;=2+10,"",INDEX(Daily_Input!$F:$F,ROW()-11))</f>
        <v>4189.4084228156607</v>
      </c>
      <c r="W103" s="5">
        <f>IF(ROW()&lt;=2+11,"",INDEX(Daily_Input!$F:$F,ROW()-12))</f>
        <v>6802.3356132536592</v>
      </c>
      <c r="X103" s="5">
        <f>IF(ROW()&lt;=2+12,"",INDEX(Daily_Input!$F:$F,ROW()-13))</f>
        <v>7087.0644007301025</v>
      </c>
      <c r="Y103" s="5">
        <f>IF(ROW()&lt;=2+13,"",INDEX(Daily_Input!$F:$F,ROW()-14))</f>
        <v>7080.4429602318232</v>
      </c>
      <c r="Z103" s="5">
        <f>IF(ROW()&lt;=4,"",SUM(Daily_Input!I103:I105))</f>
        <v>2.4</v>
      </c>
      <c r="AA103" s="5">
        <f>IF(ROW()&lt;=8,"",SUM(Daily_Input!I103:I109))</f>
        <v>26.6</v>
      </c>
      <c r="AB103" s="5">
        <f>IF(ROW()&lt;=15,"",SUM(Daily_Input!I103:I116))</f>
        <v>47.2</v>
      </c>
      <c r="AC103" s="5">
        <f>IF(ROW()&lt;=4,"",AVERAGE(Daily_Input!F103:F105))</f>
        <v>15524.063130384535</v>
      </c>
      <c r="AD103" s="5">
        <f>IF(ROW()&lt;=8,"",AVERAGE(Daily_Input!F103:F109))</f>
        <v>21313.625127666914</v>
      </c>
      <c r="AE103" s="5">
        <f>IF(ROW()&lt;=8,"",MAX(Daily_Input!F103:F109))</f>
        <v>41840.889251495639</v>
      </c>
      <c r="AF103" s="5">
        <f>IF(ROW()&lt;=2+0,"",INDEX(Daily_Input!$G:$G,ROW()-1))</f>
        <v>15019.199999999999</v>
      </c>
      <c r="AG103" s="5">
        <f>IF(ROW()&lt;=2+0,"",INDEX(Daily_Input!$H:$H,ROW()-1))</f>
        <v>0</v>
      </c>
      <c r="AH103" s="5">
        <f>IF(ROW()&lt;=2+1,"",INDEX(Daily_Input!$G:$G,ROW()-2))</f>
        <v>15019.199999999999</v>
      </c>
      <c r="AI103" s="5">
        <f>IF(ROW()&lt;=2+1,"",INDEX(Daily_Input!$H:$H,ROW()-2))</f>
        <v>0</v>
      </c>
      <c r="AJ103" s="5">
        <f>IF(ROW()&lt;=2+2,"",INDEX(Daily_Input!$G:$G,ROW()-3))</f>
        <v>15019.199999999999</v>
      </c>
      <c r="AK103" s="5">
        <f>IF(ROW()&lt;=2+2,"",INDEX(Daily_Input!$H:$H,ROW()-3))</f>
        <v>0</v>
      </c>
    </row>
    <row r="104" spans="1:37">
      <c r="A104" s="5">
        <f>Daily_Input!A104</f>
        <v>45941</v>
      </c>
      <c r="B104" s="5">
        <f>Daily_Input!F104</f>
        <v>12845.115595709625</v>
      </c>
      <c r="C104" s="5">
        <f>Daily_Input!D104</f>
        <v>488.93599999999998</v>
      </c>
      <c r="D104" s="5">
        <f>Daily_Input!E104</f>
        <v>1445516.8740723</v>
      </c>
      <c r="E104" s="5">
        <f>IF(ROW()=2,"",Daily_Input!E104-Daily_Input!E103)</f>
        <v>-2911.9997862000018</v>
      </c>
      <c r="F104" s="5">
        <f>IFERROR(Daily_Input!E104/Config!$B$4,"")</f>
        <v>0.88929504952117533</v>
      </c>
      <c r="G104" s="5">
        <f>Daily_Input!I104</f>
        <v>0</v>
      </c>
      <c r="H104" s="5">
        <f>IF(A104="","",IF(ROW()=2,G104,Config!$B$5*H103+G104))</f>
        <v>76.106664186007634</v>
      </c>
      <c r="I104" s="5">
        <f t="shared" si="1"/>
        <v>284</v>
      </c>
      <c r="J104" s="5">
        <f>IF(I104="","",SIN(2*PI()*I104/Config!$B$6))</f>
        <v>-0.98447381675209233</v>
      </c>
      <c r="K104" s="5">
        <f>IF(I104="","",COS(2*PI()*I104/Config!$B$6))</f>
        <v>0.17553149042142777</v>
      </c>
      <c r="L104" s="5">
        <f>IF(ROW()&lt;=2+0,"",INDEX(Daily_Input!$F:$F,ROW()-1))</f>
        <v>23791.948615682664</v>
      </c>
      <c r="M104" s="5">
        <f>IF(ROW()&lt;=2+1,"",INDEX(Daily_Input!$F:$F,ROW()-2))</f>
        <v>61984.570210049686</v>
      </c>
      <c r="N104" s="5">
        <f>IF(ROW()&lt;=2+2,"",INDEX(Daily_Input!$F:$F,ROW()-3))</f>
        <v>17549.779870020619</v>
      </c>
      <c r="O104" s="5">
        <f>IF(ROW()&lt;=2+3,"",INDEX(Daily_Input!$F:$F,ROW()-4))</f>
        <v>4159.7864014393017</v>
      </c>
      <c r="P104" s="5">
        <f>IF(ROW()&lt;=2+4,"",INDEX(Daily_Input!$F:$F,ROW()-5))</f>
        <v>4148.2081998289541</v>
      </c>
      <c r="Q104" s="5">
        <f>IF(ROW()&lt;=2+5,"",INDEX(Daily_Input!$F:$F,ROW()-6))</f>
        <v>9076.5061747878171</v>
      </c>
      <c r="R104" s="5">
        <f>IF(ROW()&lt;=2+6,"",INDEX(Daily_Input!$F:$F,ROW()-7))</f>
        <v>9363.8339853538455</v>
      </c>
      <c r="S104" s="5">
        <f>IF(ROW()&lt;=2+7,"",INDEX(Daily_Input!$F:$F,ROW()-8))</f>
        <v>12849.237245322573</v>
      </c>
      <c r="T104" s="5">
        <f>IF(ROW()&lt;=2+8,"",INDEX(Daily_Input!$F:$F,ROW()-9))</f>
        <v>6624.8544772187824</v>
      </c>
      <c r="U104" s="5">
        <f>IF(ROW()&lt;=2+9,"",INDEX(Daily_Input!$F:$F,ROW()-10))</f>
        <v>15523.391926246441</v>
      </c>
      <c r="V104" s="5">
        <f>IF(ROW()&lt;=2+10,"",INDEX(Daily_Input!$F:$F,ROW()-11))</f>
        <v>5363.4032193394723</v>
      </c>
      <c r="W104" s="5">
        <f>IF(ROW()&lt;=2+11,"",INDEX(Daily_Input!$F:$F,ROW()-12))</f>
        <v>4189.4084228156607</v>
      </c>
      <c r="X104" s="5">
        <f>IF(ROW()&lt;=2+12,"",INDEX(Daily_Input!$F:$F,ROW()-13))</f>
        <v>6802.3356132536592</v>
      </c>
      <c r="Y104" s="5">
        <f>IF(ROW()&lt;=2+13,"",INDEX(Daily_Input!$F:$F,ROW()-14))</f>
        <v>7087.0644007301025</v>
      </c>
      <c r="Z104" s="5">
        <f>IF(ROW()&lt;=4,"",SUM(Daily_Input!I104:I106))</f>
        <v>0</v>
      </c>
      <c r="AA104" s="5">
        <f>IF(ROW()&lt;=8,"",SUM(Daily_Input!I104:I110))</f>
        <v>39.6</v>
      </c>
      <c r="AB104" s="5">
        <f>IF(ROW()&lt;=15,"",SUM(Daily_Input!I104:I117))</f>
        <v>44.800000000000004</v>
      </c>
      <c r="AC104" s="5">
        <f>IF(ROW()&lt;=4,"",AVERAGE(Daily_Input!F104:F106))</f>
        <v>10906.054324884984</v>
      </c>
      <c r="AD104" s="5">
        <f>IF(ROW()&lt;=8,"",AVERAGE(Daily_Input!F104:F110))</f>
        <v>28321.953098417791</v>
      </c>
      <c r="AE104" s="5">
        <f>IF(ROW()&lt;=8,"",MAX(Daily_Input!F104:F110))</f>
        <v>72850.244410938816</v>
      </c>
      <c r="AF104" s="5">
        <f>IF(ROW()&lt;=2+0,"",INDEX(Daily_Input!$G:$G,ROW()-1))</f>
        <v>15019.199999999999</v>
      </c>
      <c r="AG104" s="5">
        <f>IF(ROW()&lt;=2+0,"",INDEX(Daily_Input!$H:$H,ROW()-1))</f>
        <v>0</v>
      </c>
      <c r="AH104" s="5">
        <f>IF(ROW()&lt;=2+1,"",INDEX(Daily_Input!$G:$G,ROW()-2))</f>
        <v>15019.199999999999</v>
      </c>
      <c r="AI104" s="5">
        <f>IF(ROW()&lt;=2+1,"",INDEX(Daily_Input!$H:$H,ROW()-2))</f>
        <v>0</v>
      </c>
      <c r="AJ104" s="5">
        <f>IF(ROW()&lt;=2+2,"",INDEX(Daily_Input!$G:$G,ROW()-3))</f>
        <v>15019.199999999999</v>
      </c>
      <c r="AK104" s="5">
        <f>IF(ROW()&lt;=2+2,"",INDEX(Daily_Input!$H:$H,ROW()-3))</f>
        <v>0</v>
      </c>
    </row>
    <row r="105" spans="1:37">
      <c r="A105" s="5">
        <f>Daily_Input!A105</f>
        <v>45942</v>
      </c>
      <c r="B105" s="5">
        <f>Daily_Input!F105</f>
        <v>9935.1251797613131</v>
      </c>
      <c r="C105" s="5">
        <f>Daily_Input!D105</f>
        <v>488.91699999999997</v>
      </c>
      <c r="D105" s="5">
        <f>Daily_Input!E105</f>
        <v>1439695.2819463999</v>
      </c>
      <c r="E105" s="5">
        <f>IF(ROW()=2,"",Daily_Input!E105-Daily_Input!E104)</f>
        <v>-5821.5921259000897</v>
      </c>
      <c r="F105" s="5">
        <f>IFERROR(Daily_Input!E105/Config!$B$4,"")</f>
        <v>0.88571355341362079</v>
      </c>
      <c r="G105" s="5">
        <f>Daily_Input!I105</f>
        <v>0</v>
      </c>
      <c r="H105" s="5">
        <f>IF(A105="","",IF(ROW()=2,G105,Config!$B$5*H104+G105))</f>
        <v>72.301330976707249</v>
      </c>
      <c r="I105" s="5">
        <f t="shared" si="1"/>
        <v>285</v>
      </c>
      <c r="J105" s="5">
        <f>IF(I105="","",SIN(2*PI()*I105/Config!$B$6))</f>
        <v>-0.98130647027160933</v>
      </c>
      <c r="K105" s="5">
        <f>IF(I105="","",COS(2*PI()*I105/Config!$B$6))</f>
        <v>0.19245158197082995</v>
      </c>
      <c r="L105" s="5">
        <f>IF(ROW()&lt;=2+0,"",INDEX(Daily_Input!$F:$F,ROW()-1))</f>
        <v>12845.115595709625</v>
      </c>
      <c r="M105" s="5">
        <f>IF(ROW()&lt;=2+1,"",INDEX(Daily_Input!$F:$F,ROW()-2))</f>
        <v>23791.948615682664</v>
      </c>
      <c r="N105" s="5">
        <f>IF(ROW()&lt;=2+2,"",INDEX(Daily_Input!$F:$F,ROW()-3))</f>
        <v>61984.570210049686</v>
      </c>
      <c r="O105" s="5">
        <f>IF(ROW()&lt;=2+3,"",INDEX(Daily_Input!$F:$F,ROW()-4))</f>
        <v>17549.779870020619</v>
      </c>
      <c r="P105" s="5">
        <f>IF(ROW()&lt;=2+4,"",INDEX(Daily_Input!$F:$F,ROW()-5))</f>
        <v>4159.7864014393017</v>
      </c>
      <c r="Q105" s="5">
        <f>IF(ROW()&lt;=2+5,"",INDEX(Daily_Input!$F:$F,ROW()-6))</f>
        <v>4148.2081998289541</v>
      </c>
      <c r="R105" s="5">
        <f>IF(ROW()&lt;=2+6,"",INDEX(Daily_Input!$F:$F,ROW()-7))</f>
        <v>9076.5061747878171</v>
      </c>
      <c r="S105" s="5">
        <f>IF(ROW()&lt;=2+7,"",INDEX(Daily_Input!$F:$F,ROW()-8))</f>
        <v>9363.8339853538455</v>
      </c>
      <c r="T105" s="5">
        <f>IF(ROW()&lt;=2+8,"",INDEX(Daily_Input!$F:$F,ROW()-9))</f>
        <v>12849.237245322573</v>
      </c>
      <c r="U105" s="5">
        <f>IF(ROW()&lt;=2+9,"",INDEX(Daily_Input!$F:$F,ROW()-10))</f>
        <v>6624.8544772187824</v>
      </c>
      <c r="V105" s="5">
        <f>IF(ROW()&lt;=2+10,"",INDEX(Daily_Input!$F:$F,ROW()-11))</f>
        <v>15523.391926246441</v>
      </c>
      <c r="W105" s="5">
        <f>IF(ROW()&lt;=2+11,"",INDEX(Daily_Input!$F:$F,ROW()-12))</f>
        <v>5363.4032193394723</v>
      </c>
      <c r="X105" s="5">
        <f>IF(ROW()&lt;=2+12,"",INDEX(Daily_Input!$F:$F,ROW()-13))</f>
        <v>4189.4084228156607</v>
      </c>
      <c r="Y105" s="5">
        <f>IF(ROW()&lt;=2+13,"",INDEX(Daily_Input!$F:$F,ROW()-14))</f>
        <v>6802.3356132536592</v>
      </c>
      <c r="Z105" s="5">
        <f>IF(ROW()&lt;=4,"",SUM(Daily_Input!I105:I107))</f>
        <v>2.2000000000000002</v>
      </c>
      <c r="AA105" s="5">
        <f>IF(ROW()&lt;=8,"",SUM(Daily_Input!I105:I111))</f>
        <v>39.6</v>
      </c>
      <c r="AB105" s="5">
        <f>IF(ROW()&lt;=15,"",SUM(Daily_Input!I105:I118))</f>
        <v>44.800000000000004</v>
      </c>
      <c r="AC105" s="5">
        <f>IF(ROW()&lt;=4,"",AVERAGE(Daily_Input!F105:F107))</f>
        <v>9724.714750528743</v>
      </c>
      <c r="AD105" s="5">
        <f>IF(ROW()&lt;=8,"",AVERAGE(Daily_Input!F105:F111))</f>
        <v>34668.767020260268</v>
      </c>
      <c r="AE105" s="5">
        <f>IF(ROW()&lt;=8,"",MAX(Daily_Input!F105:F111))</f>
        <v>72850.244410938816</v>
      </c>
      <c r="AF105" s="5">
        <f>IF(ROW()&lt;=2+0,"",INDEX(Daily_Input!$G:$G,ROW()-1))</f>
        <v>15019.199999999999</v>
      </c>
      <c r="AG105" s="5">
        <f>IF(ROW()&lt;=2+0,"",INDEX(Daily_Input!$H:$H,ROW()-1))</f>
        <v>0</v>
      </c>
      <c r="AH105" s="5">
        <f>IF(ROW()&lt;=2+1,"",INDEX(Daily_Input!$G:$G,ROW()-2))</f>
        <v>15019.199999999999</v>
      </c>
      <c r="AI105" s="5">
        <f>IF(ROW()&lt;=2+1,"",INDEX(Daily_Input!$H:$H,ROW()-2))</f>
        <v>0</v>
      </c>
      <c r="AJ105" s="5">
        <f>IF(ROW()&lt;=2+2,"",INDEX(Daily_Input!$G:$G,ROW()-3))</f>
        <v>15019.199999999999</v>
      </c>
      <c r="AK105" s="5">
        <f>IF(ROW()&lt;=2+2,"",INDEX(Daily_Input!$H:$H,ROW()-3))</f>
        <v>0</v>
      </c>
    </row>
    <row r="106" spans="1:37">
      <c r="A106" s="5">
        <f>Daily_Input!A106</f>
        <v>45943</v>
      </c>
      <c r="B106" s="5">
        <f>Daily_Input!F106</f>
        <v>9937.922199184015</v>
      </c>
      <c r="C106" s="5">
        <f>Daily_Input!D106</f>
        <v>488.89100000000002</v>
      </c>
      <c r="D106" s="5">
        <f>Daily_Input!E106</f>
        <v>1433876.8830075001</v>
      </c>
      <c r="E106" s="5">
        <f>IF(ROW()=2,"",Daily_Input!E106-Daily_Input!E105)</f>
        <v>-5818.3989388998598</v>
      </c>
      <c r="F106" s="5">
        <f>IFERROR(Daily_Input!E106/Config!$B$4,"")</f>
        <v>0.88213402178357758</v>
      </c>
      <c r="G106" s="5">
        <f>Daily_Input!I106</f>
        <v>0</v>
      </c>
      <c r="H106" s="5">
        <f>IF(A106="","",IF(ROW()=2,G106,Config!$B$5*H105+G106))</f>
        <v>68.686264427871876</v>
      </c>
      <c r="I106" s="5">
        <f t="shared" si="1"/>
        <v>286</v>
      </c>
      <c r="J106" s="5">
        <f>IF(I106="","",SIN(2*PI()*I106/Config!$B$6))</f>
        <v>-0.9778483415056568</v>
      </c>
      <c r="K106" s="5">
        <f>IF(I106="","",COS(2*PI()*I106/Config!$B$6))</f>
        <v>0.20931464596304888</v>
      </c>
      <c r="L106" s="5">
        <f>IF(ROW()&lt;=2+0,"",INDEX(Daily_Input!$F:$F,ROW()-1))</f>
        <v>9935.1251797613131</v>
      </c>
      <c r="M106" s="5">
        <f>IF(ROW()&lt;=2+1,"",INDEX(Daily_Input!$F:$F,ROW()-2))</f>
        <v>12845.115595709625</v>
      </c>
      <c r="N106" s="5">
        <f>IF(ROW()&lt;=2+2,"",INDEX(Daily_Input!$F:$F,ROW()-3))</f>
        <v>23791.948615682664</v>
      </c>
      <c r="O106" s="5">
        <f>IF(ROW()&lt;=2+3,"",INDEX(Daily_Input!$F:$F,ROW()-4))</f>
        <v>61984.570210049686</v>
      </c>
      <c r="P106" s="5">
        <f>IF(ROW()&lt;=2+4,"",INDEX(Daily_Input!$F:$F,ROW()-5))</f>
        <v>17549.779870020619</v>
      </c>
      <c r="Q106" s="5">
        <f>IF(ROW()&lt;=2+5,"",INDEX(Daily_Input!$F:$F,ROW()-6))</f>
        <v>4159.7864014393017</v>
      </c>
      <c r="R106" s="5">
        <f>IF(ROW()&lt;=2+6,"",INDEX(Daily_Input!$F:$F,ROW()-7))</f>
        <v>4148.2081998289541</v>
      </c>
      <c r="S106" s="5">
        <f>IF(ROW()&lt;=2+7,"",INDEX(Daily_Input!$F:$F,ROW()-8))</f>
        <v>9076.5061747878171</v>
      </c>
      <c r="T106" s="5">
        <f>IF(ROW()&lt;=2+8,"",INDEX(Daily_Input!$F:$F,ROW()-9))</f>
        <v>9363.8339853538455</v>
      </c>
      <c r="U106" s="5">
        <f>IF(ROW()&lt;=2+9,"",INDEX(Daily_Input!$F:$F,ROW()-10))</f>
        <v>12849.237245322573</v>
      </c>
      <c r="V106" s="5">
        <f>IF(ROW()&lt;=2+10,"",INDEX(Daily_Input!$F:$F,ROW()-11))</f>
        <v>6624.8544772187824</v>
      </c>
      <c r="W106" s="5">
        <f>IF(ROW()&lt;=2+11,"",INDEX(Daily_Input!$F:$F,ROW()-12))</f>
        <v>15523.391926246441</v>
      </c>
      <c r="X106" s="5">
        <f>IF(ROW()&lt;=2+12,"",INDEX(Daily_Input!$F:$F,ROW()-13))</f>
        <v>5363.4032193394723</v>
      </c>
      <c r="Y106" s="5">
        <f>IF(ROW()&lt;=2+13,"",INDEX(Daily_Input!$F:$F,ROW()-14))</f>
        <v>4189.4084228156607</v>
      </c>
      <c r="Z106" s="5">
        <f>IF(ROW()&lt;=4,"",SUM(Daily_Input!I106:I108))</f>
        <v>3.6</v>
      </c>
      <c r="AA106" s="5">
        <f>IF(ROW()&lt;=8,"",SUM(Daily_Input!I106:I112))</f>
        <v>39.6</v>
      </c>
      <c r="AB106" s="5">
        <f>IF(ROW()&lt;=15,"",SUM(Daily_Input!I106:I119))</f>
        <v>44.800000000000004</v>
      </c>
      <c r="AC106" s="5">
        <f>IF(ROW()&lt;=4,"",AVERAGE(Daily_Input!F106:F108))</f>
        <v>20260.76575033972</v>
      </c>
      <c r="AD106" s="5">
        <f>IF(ROW()&lt;=8,"",AVERAGE(Daily_Input!F106:F112))</f>
        <v>41719.867721984338</v>
      </c>
      <c r="AE106" s="5">
        <f>IF(ROW()&lt;=8,"",MAX(Daily_Input!F106:F112))</f>
        <v>72850.244410938816</v>
      </c>
      <c r="AF106" s="5">
        <f>IF(ROW()&lt;=2+0,"",INDEX(Daily_Input!$G:$G,ROW()-1))</f>
        <v>15019.199999999999</v>
      </c>
      <c r="AG106" s="5">
        <f>IF(ROW()&lt;=2+0,"",INDEX(Daily_Input!$H:$H,ROW()-1))</f>
        <v>0</v>
      </c>
      <c r="AH106" s="5">
        <f>IF(ROW()&lt;=2+1,"",INDEX(Daily_Input!$G:$G,ROW()-2))</f>
        <v>15019.199999999999</v>
      </c>
      <c r="AI106" s="5">
        <f>IF(ROW()&lt;=2+1,"",INDEX(Daily_Input!$H:$H,ROW()-2))</f>
        <v>0</v>
      </c>
      <c r="AJ106" s="5">
        <f>IF(ROW()&lt;=2+2,"",INDEX(Daily_Input!$G:$G,ROW()-3))</f>
        <v>15019.199999999999</v>
      </c>
      <c r="AK106" s="5">
        <f>IF(ROW()&lt;=2+2,"",INDEX(Daily_Input!$H:$H,ROW()-3))</f>
        <v>0</v>
      </c>
    </row>
    <row r="107" spans="1:37">
      <c r="A107" s="5">
        <f>Daily_Input!A107</f>
        <v>45944</v>
      </c>
      <c r="B107" s="5">
        <f>Daily_Input!F107</f>
        <v>9301.0968726409028</v>
      </c>
      <c r="C107" s="5">
        <f>Daily_Input!D107</f>
        <v>488.87200000000001</v>
      </c>
      <c r="D107" s="5">
        <f>Daily_Input!E107</f>
        <v>1428061.5598544001</v>
      </c>
      <c r="E107" s="5">
        <f>IF(ROW()=2,"",Daily_Input!E107-Daily_Input!E106)</f>
        <v>-5815.3231530999765</v>
      </c>
      <c r="F107" s="5">
        <f>IFERROR(Daily_Input!E107/Config!$B$4,"")</f>
        <v>0.87855638240476608</v>
      </c>
      <c r="G107" s="5">
        <f>Daily_Input!I107</f>
        <v>2.2000000000000002</v>
      </c>
      <c r="H107" s="5">
        <f>IF(A107="","",IF(ROW()=2,G107,Config!$B$5*H106+G107))</f>
        <v>67.451951206478284</v>
      </c>
      <c r="I107" s="5">
        <f t="shared" si="1"/>
        <v>287</v>
      </c>
      <c r="J107" s="5">
        <f>IF(I107="","",SIN(2*PI()*I107/Config!$B$6))</f>
        <v>-0.97410045517242061</v>
      </c>
      <c r="K107" s="5">
        <f>IF(I107="","",COS(2*PI()*I107/Config!$B$6))</f>
        <v>0.22611568550828803</v>
      </c>
      <c r="L107" s="5">
        <f>IF(ROW()&lt;=2+0,"",INDEX(Daily_Input!$F:$F,ROW()-1))</f>
        <v>9937.922199184015</v>
      </c>
      <c r="M107" s="5">
        <f>IF(ROW()&lt;=2+1,"",INDEX(Daily_Input!$F:$F,ROW()-2))</f>
        <v>9935.1251797613131</v>
      </c>
      <c r="N107" s="5">
        <f>IF(ROW()&lt;=2+2,"",INDEX(Daily_Input!$F:$F,ROW()-3))</f>
        <v>12845.115595709625</v>
      </c>
      <c r="O107" s="5">
        <f>IF(ROW()&lt;=2+3,"",INDEX(Daily_Input!$F:$F,ROW()-4))</f>
        <v>23791.948615682664</v>
      </c>
      <c r="P107" s="5">
        <f>IF(ROW()&lt;=2+4,"",INDEX(Daily_Input!$F:$F,ROW()-5))</f>
        <v>61984.570210049686</v>
      </c>
      <c r="Q107" s="5">
        <f>IF(ROW()&lt;=2+5,"",INDEX(Daily_Input!$F:$F,ROW()-6))</f>
        <v>17549.779870020619</v>
      </c>
      <c r="R107" s="5">
        <f>IF(ROW()&lt;=2+6,"",INDEX(Daily_Input!$F:$F,ROW()-7))</f>
        <v>4159.7864014393017</v>
      </c>
      <c r="S107" s="5">
        <f>IF(ROW()&lt;=2+7,"",INDEX(Daily_Input!$F:$F,ROW()-8))</f>
        <v>4148.2081998289541</v>
      </c>
      <c r="T107" s="5">
        <f>IF(ROW()&lt;=2+8,"",INDEX(Daily_Input!$F:$F,ROW()-9))</f>
        <v>9076.5061747878171</v>
      </c>
      <c r="U107" s="5">
        <f>IF(ROW()&lt;=2+9,"",INDEX(Daily_Input!$F:$F,ROW()-10))</f>
        <v>9363.8339853538455</v>
      </c>
      <c r="V107" s="5">
        <f>IF(ROW()&lt;=2+10,"",INDEX(Daily_Input!$F:$F,ROW()-11))</f>
        <v>12849.237245322573</v>
      </c>
      <c r="W107" s="5">
        <f>IF(ROW()&lt;=2+11,"",INDEX(Daily_Input!$F:$F,ROW()-12))</f>
        <v>6624.8544772187824</v>
      </c>
      <c r="X107" s="5">
        <f>IF(ROW()&lt;=2+12,"",INDEX(Daily_Input!$F:$F,ROW()-13))</f>
        <v>15523.391926246441</v>
      </c>
      <c r="Y107" s="5">
        <f>IF(ROW()&lt;=2+13,"",INDEX(Daily_Input!$F:$F,ROW()-14))</f>
        <v>5363.4032193394723</v>
      </c>
      <c r="Z107" s="5">
        <f>IF(ROW()&lt;=4,"",SUM(Daily_Input!I107:I109))</f>
        <v>24.200000000000003</v>
      </c>
      <c r="AA107" s="5">
        <f>IF(ROW()&lt;=8,"",SUM(Daily_Input!I107:I113))</f>
        <v>44.800000000000004</v>
      </c>
      <c r="AB107" s="5">
        <f>IF(ROW()&lt;=15,"",SUM(Daily_Input!I107:I120))</f>
        <v>44.800000000000004</v>
      </c>
      <c r="AC107" s="5">
        <f>IF(ROW()&lt;=4,"",AVERAGE(Daily_Input!F107:F109))</f>
        <v>30895.088101110261</v>
      </c>
      <c r="AD107" s="5">
        <f>IF(ROW()&lt;=8,"",AVERAGE(Daily_Input!F107:F113))</f>
        <v>63131.883835306347</v>
      </c>
      <c r="AE107" s="5">
        <f>IF(ROW()&lt;=8,"",MAX(Daily_Input!F107:F113))</f>
        <v>159822.0349924381</v>
      </c>
      <c r="AF107" s="5">
        <f>IF(ROW()&lt;=2+0,"",INDEX(Daily_Input!$G:$G,ROW()-1))</f>
        <v>15019.199999999999</v>
      </c>
      <c r="AG107" s="5">
        <f>IF(ROW()&lt;=2+0,"",INDEX(Daily_Input!$H:$H,ROW()-1))</f>
        <v>0</v>
      </c>
      <c r="AH107" s="5">
        <f>IF(ROW()&lt;=2+1,"",INDEX(Daily_Input!$G:$G,ROW()-2))</f>
        <v>15019.199999999999</v>
      </c>
      <c r="AI107" s="5">
        <f>IF(ROW()&lt;=2+1,"",INDEX(Daily_Input!$H:$H,ROW()-2))</f>
        <v>0</v>
      </c>
      <c r="AJ107" s="5">
        <f>IF(ROW()&lt;=2+2,"",INDEX(Daily_Input!$G:$G,ROW()-3))</f>
        <v>15019.199999999999</v>
      </c>
      <c r="AK107" s="5">
        <f>IF(ROW()&lt;=2+2,"",INDEX(Daily_Input!$H:$H,ROW()-3))</f>
        <v>0</v>
      </c>
    </row>
    <row r="108" spans="1:37">
      <c r="A108" s="5">
        <f>Daily_Input!A108</f>
        <v>45945</v>
      </c>
      <c r="B108" s="5">
        <f>Daily_Input!F108</f>
        <v>41543.27817919424</v>
      </c>
      <c r="C108" s="5">
        <f>Daily_Input!D108</f>
        <v>488.96100000000001</v>
      </c>
      <c r="D108" s="5">
        <f>Daily_Input!E108</f>
        <v>1454255.0691730001</v>
      </c>
      <c r="E108" s="5">
        <f>IF(ROW()=2,"",Daily_Input!E108-Daily_Input!E107)</f>
        <v>26193.509318599943</v>
      </c>
      <c r="F108" s="5">
        <f>IFERROR(Daily_Input!E108/Config!$B$4,"")</f>
        <v>0.89467086614717628</v>
      </c>
      <c r="G108" s="5">
        <f>Daily_Input!I108</f>
        <v>1.4</v>
      </c>
      <c r="H108" s="5">
        <f>IF(A108="","",IF(ROW()=2,G108,Config!$B$5*H107+G108))</f>
        <v>65.479353646154379</v>
      </c>
      <c r="I108" s="5">
        <f t="shared" si="1"/>
        <v>288</v>
      </c>
      <c r="J108" s="5">
        <f>IF(I108="","",SIN(2*PI()*I108/Config!$B$6))</f>
        <v>-0.97006392185150703</v>
      </c>
      <c r="K108" s="5">
        <f>IF(I108="","",COS(2*PI()*I108/Config!$B$6))</f>
        <v>0.2428497220959358</v>
      </c>
      <c r="L108" s="5">
        <f>IF(ROW()&lt;=2+0,"",INDEX(Daily_Input!$F:$F,ROW()-1))</f>
        <v>9301.0968726409028</v>
      </c>
      <c r="M108" s="5">
        <f>IF(ROW()&lt;=2+1,"",INDEX(Daily_Input!$F:$F,ROW()-2))</f>
        <v>9937.922199184015</v>
      </c>
      <c r="N108" s="5">
        <f>IF(ROW()&lt;=2+2,"",INDEX(Daily_Input!$F:$F,ROW()-3))</f>
        <v>9935.1251797613131</v>
      </c>
      <c r="O108" s="5">
        <f>IF(ROW()&lt;=2+3,"",INDEX(Daily_Input!$F:$F,ROW()-4))</f>
        <v>12845.115595709625</v>
      </c>
      <c r="P108" s="5">
        <f>IF(ROW()&lt;=2+4,"",INDEX(Daily_Input!$F:$F,ROW()-5))</f>
        <v>23791.948615682664</v>
      </c>
      <c r="Q108" s="5">
        <f>IF(ROW()&lt;=2+5,"",INDEX(Daily_Input!$F:$F,ROW()-6))</f>
        <v>61984.570210049686</v>
      </c>
      <c r="R108" s="5">
        <f>IF(ROW()&lt;=2+6,"",INDEX(Daily_Input!$F:$F,ROW()-7))</f>
        <v>17549.779870020619</v>
      </c>
      <c r="S108" s="5">
        <f>IF(ROW()&lt;=2+7,"",INDEX(Daily_Input!$F:$F,ROW()-8))</f>
        <v>4159.7864014393017</v>
      </c>
      <c r="T108" s="5">
        <f>IF(ROW()&lt;=2+8,"",INDEX(Daily_Input!$F:$F,ROW()-9))</f>
        <v>4148.2081998289541</v>
      </c>
      <c r="U108" s="5">
        <f>IF(ROW()&lt;=2+9,"",INDEX(Daily_Input!$F:$F,ROW()-10))</f>
        <v>9076.5061747878171</v>
      </c>
      <c r="V108" s="5">
        <f>IF(ROW()&lt;=2+10,"",INDEX(Daily_Input!$F:$F,ROW()-11))</f>
        <v>9363.8339853538455</v>
      </c>
      <c r="W108" s="5">
        <f>IF(ROW()&lt;=2+11,"",INDEX(Daily_Input!$F:$F,ROW()-12))</f>
        <v>12849.237245322573</v>
      </c>
      <c r="X108" s="5">
        <f>IF(ROW()&lt;=2+12,"",INDEX(Daily_Input!$F:$F,ROW()-13))</f>
        <v>6624.8544772187824</v>
      </c>
      <c r="Y108" s="5">
        <f>IF(ROW()&lt;=2+13,"",INDEX(Daily_Input!$F:$F,ROW()-14))</f>
        <v>15523.391926246441</v>
      </c>
      <c r="Z108" s="5">
        <f>IF(ROW()&lt;=4,"",SUM(Daily_Input!I108:I110))</f>
        <v>37.4</v>
      </c>
      <c r="AA108" s="5">
        <f>IF(ROW()&lt;=8,"",SUM(Daily_Input!I108:I114))</f>
        <v>42.6</v>
      </c>
      <c r="AB108" s="5">
        <f>IF(ROW()&lt;=15,"",SUM(Daily_Input!I108:I121))</f>
        <v>42.6</v>
      </c>
      <c r="AC108" s="5">
        <f>IF(ROW()&lt;=4,"",AVERAGE(Daily_Input!F108:F110))</f>
        <v>52078.137280542898</v>
      </c>
      <c r="AD108" s="5">
        <f>IF(ROW()&lt;=8,"",AVERAGE(Daily_Input!F108:F114))</f>
        <v>93787.489129991387</v>
      </c>
      <c r="AE108" s="5">
        <f>IF(ROW()&lt;=8,"",MAX(Daily_Input!F108:F114))</f>
        <v>223890.33393543618</v>
      </c>
      <c r="AF108" s="5">
        <f>IF(ROW()&lt;=2+0,"",INDEX(Daily_Input!$G:$G,ROW()-1))</f>
        <v>15019.199999999999</v>
      </c>
      <c r="AG108" s="5">
        <f>IF(ROW()&lt;=2+0,"",INDEX(Daily_Input!$H:$H,ROW()-1))</f>
        <v>0</v>
      </c>
      <c r="AH108" s="5">
        <f>IF(ROW()&lt;=2+1,"",INDEX(Daily_Input!$G:$G,ROW()-2))</f>
        <v>15019.199999999999</v>
      </c>
      <c r="AI108" s="5">
        <f>IF(ROW()&lt;=2+1,"",INDEX(Daily_Input!$H:$H,ROW()-2))</f>
        <v>0</v>
      </c>
      <c r="AJ108" s="5">
        <f>IF(ROW()&lt;=2+2,"",INDEX(Daily_Input!$G:$G,ROW()-3))</f>
        <v>15019.199999999999</v>
      </c>
      <c r="AK108" s="5">
        <f>IF(ROW()&lt;=2+2,"",INDEX(Daily_Input!$H:$H,ROW()-3))</f>
        <v>0</v>
      </c>
    </row>
    <row r="109" spans="1:37">
      <c r="A109" s="5">
        <f>Daily_Input!A109</f>
        <v>45946</v>
      </c>
      <c r="B109" s="5">
        <f>Daily_Input!F109</f>
        <v>41840.889251495639</v>
      </c>
      <c r="C109" s="5">
        <f>Daily_Input!D109</f>
        <v>489.07</v>
      </c>
      <c r="D109" s="5">
        <f>Daily_Input!E109</f>
        <v>1486357.15604</v>
      </c>
      <c r="E109" s="5">
        <f>IF(ROW()=2,"",Daily_Input!E109-Daily_Input!E108)</f>
        <v>32102.086866999976</v>
      </c>
      <c r="F109" s="5">
        <f>IFERROR(Daily_Input!E109/Config!$B$4,"")</f>
        <v>0.91442036021547857</v>
      </c>
      <c r="G109" s="5">
        <f>Daily_Input!I109</f>
        <v>20.6</v>
      </c>
      <c r="H109" s="5">
        <f>IF(A109="","",IF(ROW()=2,G109,Config!$B$5*H108+G109))</f>
        <v>82.805385963846661</v>
      </c>
      <c r="I109" s="5">
        <f t="shared" si="1"/>
        <v>289</v>
      </c>
      <c r="J109" s="5">
        <f>IF(I109="","",SIN(2*PI()*I109/Config!$B$6))</f>
        <v>-0.965739937654855</v>
      </c>
      <c r="K109" s="5">
        <f>IF(I109="","",COS(2*PI()*I109/Config!$B$6))</f>
        <v>0.25951179706979943</v>
      </c>
      <c r="L109" s="5">
        <f>IF(ROW()&lt;=2+0,"",INDEX(Daily_Input!$F:$F,ROW()-1))</f>
        <v>41543.27817919424</v>
      </c>
      <c r="M109" s="5">
        <f>IF(ROW()&lt;=2+1,"",INDEX(Daily_Input!$F:$F,ROW()-2))</f>
        <v>9301.0968726409028</v>
      </c>
      <c r="N109" s="5">
        <f>IF(ROW()&lt;=2+2,"",INDEX(Daily_Input!$F:$F,ROW()-3))</f>
        <v>9937.922199184015</v>
      </c>
      <c r="O109" s="5">
        <f>IF(ROW()&lt;=2+3,"",INDEX(Daily_Input!$F:$F,ROW()-4))</f>
        <v>9935.1251797613131</v>
      </c>
      <c r="P109" s="5">
        <f>IF(ROW()&lt;=2+4,"",INDEX(Daily_Input!$F:$F,ROW()-5))</f>
        <v>12845.115595709625</v>
      </c>
      <c r="Q109" s="5">
        <f>IF(ROW()&lt;=2+5,"",INDEX(Daily_Input!$F:$F,ROW()-6))</f>
        <v>23791.948615682664</v>
      </c>
      <c r="R109" s="5">
        <f>IF(ROW()&lt;=2+6,"",INDEX(Daily_Input!$F:$F,ROW()-7))</f>
        <v>61984.570210049686</v>
      </c>
      <c r="S109" s="5">
        <f>IF(ROW()&lt;=2+7,"",INDEX(Daily_Input!$F:$F,ROW()-8))</f>
        <v>17549.779870020619</v>
      </c>
      <c r="T109" s="5">
        <f>IF(ROW()&lt;=2+8,"",INDEX(Daily_Input!$F:$F,ROW()-9))</f>
        <v>4159.7864014393017</v>
      </c>
      <c r="U109" s="5">
        <f>IF(ROW()&lt;=2+9,"",INDEX(Daily_Input!$F:$F,ROW()-10))</f>
        <v>4148.2081998289541</v>
      </c>
      <c r="V109" s="5">
        <f>IF(ROW()&lt;=2+10,"",INDEX(Daily_Input!$F:$F,ROW()-11))</f>
        <v>9076.5061747878171</v>
      </c>
      <c r="W109" s="5">
        <f>IF(ROW()&lt;=2+11,"",INDEX(Daily_Input!$F:$F,ROW()-12))</f>
        <v>9363.8339853538455</v>
      </c>
      <c r="X109" s="5">
        <f>IF(ROW()&lt;=2+12,"",INDEX(Daily_Input!$F:$F,ROW()-13))</f>
        <v>12849.237245322573</v>
      </c>
      <c r="Y109" s="5">
        <f>IF(ROW()&lt;=2+13,"",INDEX(Daily_Input!$F:$F,ROW()-14))</f>
        <v>6624.8544772187824</v>
      </c>
      <c r="Z109" s="5">
        <f>IF(ROW()&lt;=4,"",SUM(Daily_Input!I109:I111))</f>
        <v>36</v>
      </c>
      <c r="AA109" s="5">
        <f>IF(ROW()&lt;=8,"",SUM(Daily_Input!I109:I115))</f>
        <v>41.2</v>
      </c>
      <c r="AB109" s="5">
        <f>IF(ROW()&lt;=15,"",SUM(Daily_Input!I109:I122))</f>
        <v>41.2</v>
      </c>
      <c r="AC109" s="5">
        <f>IF(ROW()&lt;=4,"",AVERAGE(Daily_Input!F109:F111))</f>
        <v>57321.315570347135</v>
      </c>
      <c r="AD109" s="5">
        <f>IF(ROW()&lt;=8,"",AVERAGE(Daily_Input!F109:F115))</f>
        <v>119971.37423057437</v>
      </c>
      <c r="AE109" s="5">
        <f>IF(ROW()&lt;=8,"",MAX(Daily_Input!F109:F115))</f>
        <v>224830.47388327509</v>
      </c>
      <c r="AF109" s="5">
        <f>IF(ROW()&lt;=2+0,"",INDEX(Daily_Input!$G:$G,ROW()-1))</f>
        <v>15019.199999999999</v>
      </c>
      <c r="AG109" s="5">
        <f>IF(ROW()&lt;=2+0,"",INDEX(Daily_Input!$H:$H,ROW()-1))</f>
        <v>0</v>
      </c>
      <c r="AH109" s="5">
        <f>IF(ROW()&lt;=2+1,"",INDEX(Daily_Input!$G:$G,ROW()-2))</f>
        <v>15019.199999999999</v>
      </c>
      <c r="AI109" s="5">
        <f>IF(ROW()&lt;=2+1,"",INDEX(Daily_Input!$H:$H,ROW()-2))</f>
        <v>0</v>
      </c>
      <c r="AJ109" s="5">
        <f>IF(ROW()&lt;=2+2,"",INDEX(Daily_Input!$G:$G,ROW()-3))</f>
        <v>15019.199999999999</v>
      </c>
      <c r="AK109" s="5">
        <f>IF(ROW()&lt;=2+2,"",INDEX(Daily_Input!$H:$H,ROW()-3))</f>
        <v>0</v>
      </c>
    </row>
    <row r="110" spans="1:37">
      <c r="A110" s="5">
        <f>Daily_Input!A110</f>
        <v>45947</v>
      </c>
      <c r="B110" s="5">
        <f>Daily_Input!F110</f>
        <v>72850.244410938816</v>
      </c>
      <c r="C110" s="5">
        <f>Daily_Input!D110</f>
        <v>489.28500000000003</v>
      </c>
      <c r="D110" s="5">
        <f>Daily_Input!E110</f>
        <v>1547983.8767252001</v>
      </c>
      <c r="E110" s="5">
        <f>IF(ROW()=2,"",Daily_Input!E110-Daily_Input!E109)</f>
        <v>61626.720685200067</v>
      </c>
      <c r="F110" s="5">
        <f>IFERROR(Daily_Input!E110/Config!$B$4,"")</f>
        <v>0.95233367593429008</v>
      </c>
      <c r="G110" s="5">
        <f>Daily_Input!I110</f>
        <v>15.4</v>
      </c>
      <c r="H110" s="5">
        <f>IF(A110="","",IF(ROW()=2,G110,Config!$B$5*H109+G110))</f>
        <v>94.06511666565433</v>
      </c>
      <c r="I110" s="5">
        <f t="shared" si="1"/>
        <v>290</v>
      </c>
      <c r="J110" s="5">
        <f>IF(I110="","",SIN(2*PI()*I110/Config!$B$6))</f>
        <v>-0.96112978387230075</v>
      </c>
      <c r="K110" s="5">
        <f>IF(I110="","",COS(2*PI()*I110/Config!$B$6))</f>
        <v>0.27609697309746883</v>
      </c>
      <c r="L110" s="5">
        <f>IF(ROW()&lt;=2+0,"",INDEX(Daily_Input!$F:$F,ROW()-1))</f>
        <v>41840.889251495639</v>
      </c>
      <c r="M110" s="5">
        <f>IF(ROW()&lt;=2+1,"",INDEX(Daily_Input!$F:$F,ROW()-2))</f>
        <v>41543.27817919424</v>
      </c>
      <c r="N110" s="5">
        <f>IF(ROW()&lt;=2+2,"",INDEX(Daily_Input!$F:$F,ROW()-3))</f>
        <v>9301.0968726409028</v>
      </c>
      <c r="O110" s="5">
        <f>IF(ROW()&lt;=2+3,"",INDEX(Daily_Input!$F:$F,ROW()-4))</f>
        <v>9937.922199184015</v>
      </c>
      <c r="P110" s="5">
        <f>IF(ROW()&lt;=2+4,"",INDEX(Daily_Input!$F:$F,ROW()-5))</f>
        <v>9935.1251797613131</v>
      </c>
      <c r="Q110" s="5">
        <f>IF(ROW()&lt;=2+5,"",INDEX(Daily_Input!$F:$F,ROW()-6))</f>
        <v>12845.115595709625</v>
      </c>
      <c r="R110" s="5">
        <f>IF(ROW()&lt;=2+6,"",INDEX(Daily_Input!$F:$F,ROW()-7))</f>
        <v>23791.948615682664</v>
      </c>
      <c r="S110" s="5">
        <f>IF(ROW()&lt;=2+7,"",INDEX(Daily_Input!$F:$F,ROW()-8))</f>
        <v>61984.570210049686</v>
      </c>
      <c r="T110" s="5">
        <f>IF(ROW()&lt;=2+8,"",INDEX(Daily_Input!$F:$F,ROW()-9))</f>
        <v>17549.779870020619</v>
      </c>
      <c r="U110" s="5">
        <f>IF(ROW()&lt;=2+9,"",INDEX(Daily_Input!$F:$F,ROW()-10))</f>
        <v>4159.7864014393017</v>
      </c>
      <c r="V110" s="5">
        <f>IF(ROW()&lt;=2+10,"",INDEX(Daily_Input!$F:$F,ROW()-11))</f>
        <v>4148.2081998289541</v>
      </c>
      <c r="W110" s="5">
        <f>IF(ROW()&lt;=2+11,"",INDEX(Daily_Input!$F:$F,ROW()-12))</f>
        <v>9076.5061747878171</v>
      </c>
      <c r="X110" s="5">
        <f>IF(ROW()&lt;=2+12,"",INDEX(Daily_Input!$F:$F,ROW()-13))</f>
        <v>9363.8339853538455</v>
      </c>
      <c r="Y110" s="5">
        <f>IF(ROW()&lt;=2+13,"",INDEX(Daily_Input!$F:$F,ROW()-14))</f>
        <v>12849.237245322573</v>
      </c>
      <c r="Z110" s="5">
        <f>IF(ROW()&lt;=4,"",SUM(Daily_Input!I110:I112))</f>
        <v>15.4</v>
      </c>
      <c r="AA110" s="5">
        <f>IF(ROW()&lt;=8,"",SUM(Daily_Input!I110:I116))</f>
        <v>20.6</v>
      </c>
      <c r="AB110" s="5">
        <f>IF(ROW()&lt;=15,"",SUM(Daily_Input!I110:I123))</f>
        <v>20.6</v>
      </c>
      <c r="AC110" s="5">
        <f>IF(ROW()&lt;=4,"",AVERAGE(Daily_Input!F110:F112))</f>
        <v>63138.629183791847</v>
      </c>
      <c r="AD110" s="5">
        <f>IF(ROW()&lt;=8,"",AVERAGE(Daily_Input!F110:F116))</f>
        <v>138667.47210993731</v>
      </c>
      <c r="AE110" s="5">
        <f>IF(ROW()&lt;=8,"",MAX(Daily_Input!F110:F116))</f>
        <v>224830.47388327509</v>
      </c>
      <c r="AF110" s="5">
        <f>IF(ROW()&lt;=2+0,"",INDEX(Daily_Input!$G:$G,ROW()-1))</f>
        <v>15019.199999999999</v>
      </c>
      <c r="AG110" s="5">
        <f>IF(ROW()&lt;=2+0,"",INDEX(Daily_Input!$H:$H,ROW()-1))</f>
        <v>0</v>
      </c>
      <c r="AH110" s="5">
        <f>IF(ROW()&lt;=2+1,"",INDEX(Daily_Input!$G:$G,ROW()-2))</f>
        <v>15019.199999999999</v>
      </c>
      <c r="AI110" s="5">
        <f>IF(ROW()&lt;=2+1,"",INDEX(Daily_Input!$H:$H,ROW()-2))</f>
        <v>0</v>
      </c>
      <c r="AJ110" s="5">
        <f>IF(ROW()&lt;=2+2,"",INDEX(Daily_Input!$G:$G,ROW()-3))</f>
        <v>15019.199999999999</v>
      </c>
      <c r="AK110" s="5">
        <f>IF(ROW()&lt;=2+2,"",INDEX(Daily_Input!$H:$H,ROW()-3))</f>
        <v>0</v>
      </c>
    </row>
    <row r="111" spans="1:37">
      <c r="A111" s="5">
        <f>Daily_Input!A111</f>
        <v>45948</v>
      </c>
      <c r="B111" s="5">
        <f>Daily_Input!F111</f>
        <v>57272.813048606957</v>
      </c>
      <c r="C111" s="5">
        <f>Daily_Input!D111</f>
        <v>489.42399999999998</v>
      </c>
      <c r="D111" s="5">
        <f>Daily_Input!E111</f>
        <v>1589479.7778056001</v>
      </c>
      <c r="E111" s="5">
        <f>IF(ROW()=2,"",Daily_Input!E111-Daily_Input!E110)</f>
        <v>41495.901080399984</v>
      </c>
      <c r="F111" s="5">
        <f>IFERROR(Daily_Input!E111/Config!$B$4,"")</f>
        <v>0.97786232943403084</v>
      </c>
      <c r="G111" s="5">
        <f>Daily_Input!I111</f>
        <v>0</v>
      </c>
      <c r="H111" s="5">
        <f>IF(A111="","",IF(ROW()=2,G111,Config!$B$5*H110+G111))</f>
        <v>89.361860832371605</v>
      </c>
      <c r="I111" s="5">
        <f t="shared" si="1"/>
        <v>291</v>
      </c>
      <c r="J111" s="5">
        <f>IF(I111="","",SIN(2*PI()*I111/Config!$B$6))</f>
        <v>-0.95623482659190584</v>
      </c>
      <c r="K111" s="5">
        <f>IF(I111="","",COS(2*PI()*I111/Config!$B$6))</f>
        <v>0.29260033563334792</v>
      </c>
      <c r="L111" s="5">
        <f>IF(ROW()&lt;=2+0,"",INDEX(Daily_Input!$F:$F,ROW()-1))</f>
        <v>72850.244410938816</v>
      </c>
      <c r="M111" s="5">
        <f>IF(ROW()&lt;=2+1,"",INDEX(Daily_Input!$F:$F,ROW()-2))</f>
        <v>41840.889251495639</v>
      </c>
      <c r="N111" s="5">
        <f>IF(ROW()&lt;=2+2,"",INDEX(Daily_Input!$F:$F,ROW()-3))</f>
        <v>41543.27817919424</v>
      </c>
      <c r="O111" s="5">
        <f>IF(ROW()&lt;=2+3,"",INDEX(Daily_Input!$F:$F,ROW()-4))</f>
        <v>9301.0968726409028</v>
      </c>
      <c r="P111" s="5">
        <f>IF(ROW()&lt;=2+4,"",INDEX(Daily_Input!$F:$F,ROW()-5))</f>
        <v>9937.922199184015</v>
      </c>
      <c r="Q111" s="5">
        <f>IF(ROW()&lt;=2+5,"",INDEX(Daily_Input!$F:$F,ROW()-6))</f>
        <v>9935.1251797613131</v>
      </c>
      <c r="R111" s="5">
        <f>IF(ROW()&lt;=2+6,"",INDEX(Daily_Input!$F:$F,ROW()-7))</f>
        <v>12845.115595709625</v>
      </c>
      <c r="S111" s="5">
        <f>IF(ROW()&lt;=2+7,"",INDEX(Daily_Input!$F:$F,ROW()-8))</f>
        <v>23791.948615682664</v>
      </c>
      <c r="T111" s="5">
        <f>IF(ROW()&lt;=2+8,"",INDEX(Daily_Input!$F:$F,ROW()-9))</f>
        <v>61984.570210049686</v>
      </c>
      <c r="U111" s="5">
        <f>IF(ROW()&lt;=2+9,"",INDEX(Daily_Input!$F:$F,ROW()-10))</f>
        <v>17549.779870020619</v>
      </c>
      <c r="V111" s="5">
        <f>IF(ROW()&lt;=2+10,"",INDEX(Daily_Input!$F:$F,ROW()-11))</f>
        <v>4159.7864014393017</v>
      </c>
      <c r="W111" s="5">
        <f>IF(ROW()&lt;=2+11,"",INDEX(Daily_Input!$F:$F,ROW()-12))</f>
        <v>4148.2081998289541</v>
      </c>
      <c r="X111" s="5">
        <f>IF(ROW()&lt;=2+12,"",INDEX(Daily_Input!$F:$F,ROW()-13))</f>
        <v>9076.5061747878171</v>
      </c>
      <c r="Y111" s="5">
        <f>IF(ROW()&lt;=2+13,"",INDEX(Daily_Input!$F:$F,ROW()-14))</f>
        <v>9363.8339853538455</v>
      </c>
      <c r="Z111" s="5">
        <f>IF(ROW()&lt;=4,"",SUM(Daily_Input!I111:I113))</f>
        <v>5.2</v>
      </c>
      <c r="AA111" s="5">
        <f>IF(ROW()&lt;=8,"",SUM(Daily_Input!I111:I117))</f>
        <v>5.2</v>
      </c>
      <c r="AB111" s="5">
        <f>IF(ROW()&lt;=15,"",SUM(Daily_Input!I111:I124))</f>
        <v>5.2</v>
      </c>
      <c r="AC111" s="5">
        <f>IF(ROW()&lt;=4,"",AVERAGE(Daily_Input!F111:F113))</f>
        <v>92129.226044291616</v>
      </c>
      <c r="AD111" s="5">
        <f>IF(ROW()&lt;=8,"",AVERAGE(Daily_Input!F111:F117))</f>
        <v>146898.32225289405</v>
      </c>
      <c r="AE111" s="5">
        <f>IF(ROW()&lt;=8,"",MAX(Daily_Input!F111:F117))</f>
        <v>224830.47388327509</v>
      </c>
      <c r="AF111" s="5">
        <f>IF(ROW()&lt;=2+0,"",INDEX(Daily_Input!$G:$G,ROW()-1))</f>
        <v>15019.199999999999</v>
      </c>
      <c r="AG111" s="5">
        <f>IF(ROW()&lt;=2+0,"",INDEX(Daily_Input!$H:$H,ROW()-1))</f>
        <v>0</v>
      </c>
      <c r="AH111" s="5">
        <f>IF(ROW()&lt;=2+1,"",INDEX(Daily_Input!$G:$G,ROW()-2))</f>
        <v>15019.199999999999</v>
      </c>
      <c r="AI111" s="5">
        <f>IF(ROW()&lt;=2+1,"",INDEX(Daily_Input!$H:$H,ROW()-2))</f>
        <v>0</v>
      </c>
      <c r="AJ111" s="5">
        <f>IF(ROW()&lt;=2+2,"",INDEX(Daily_Input!$G:$G,ROW()-3))</f>
        <v>15019.199999999999</v>
      </c>
      <c r="AK111" s="5">
        <f>IF(ROW()&lt;=2+2,"",INDEX(Daily_Input!$H:$H,ROW()-3))</f>
        <v>0</v>
      </c>
    </row>
    <row r="112" spans="1:37">
      <c r="A112" s="5">
        <f>Daily_Input!A112</f>
        <v>45949</v>
      </c>
      <c r="B112" s="5">
        <f>Daily_Input!F112</f>
        <v>59292.830091829761</v>
      </c>
      <c r="C112" s="5">
        <f>Daily_Input!D112</f>
        <v>489.52798000000001</v>
      </c>
      <c r="D112" s="5">
        <f>Daily_Input!E112</f>
        <v>1619451.3170382001</v>
      </c>
      <c r="E112" s="5">
        <f>IF(ROW()=2,"",Daily_Input!E112-Daily_Input!E111)</f>
        <v>29971.539232600015</v>
      </c>
      <c r="F112" s="5">
        <f>IFERROR(Daily_Input!E112/Config!$B$4,"")</f>
        <v>0.99630109133584988</v>
      </c>
      <c r="G112" s="5">
        <f>Daily_Input!I112</f>
        <v>0</v>
      </c>
      <c r="H112" s="5">
        <f>IF(A112="","",IF(ROW()=2,G112,Config!$B$5*H111+G112))</f>
        <v>84.893767790753017</v>
      </c>
      <c r="I112" s="5">
        <f t="shared" si="1"/>
        <v>292</v>
      </c>
      <c r="J112" s="5">
        <f>IF(I112="","",SIN(2*PI()*I112/Config!$B$6))</f>
        <v>-0.95105651629515364</v>
      </c>
      <c r="K112" s="5">
        <f>IF(I112="","",COS(2*PI()*I112/Config!$B$6))</f>
        <v>0.30901699437494723</v>
      </c>
      <c r="L112" s="5">
        <f>IF(ROW()&lt;=2+0,"",INDEX(Daily_Input!$F:$F,ROW()-1))</f>
        <v>57272.813048606957</v>
      </c>
      <c r="M112" s="5">
        <f>IF(ROW()&lt;=2+1,"",INDEX(Daily_Input!$F:$F,ROW()-2))</f>
        <v>72850.244410938816</v>
      </c>
      <c r="N112" s="5">
        <f>IF(ROW()&lt;=2+2,"",INDEX(Daily_Input!$F:$F,ROW()-3))</f>
        <v>41840.889251495639</v>
      </c>
      <c r="O112" s="5">
        <f>IF(ROW()&lt;=2+3,"",INDEX(Daily_Input!$F:$F,ROW()-4))</f>
        <v>41543.27817919424</v>
      </c>
      <c r="P112" s="5">
        <f>IF(ROW()&lt;=2+4,"",INDEX(Daily_Input!$F:$F,ROW()-5))</f>
        <v>9301.0968726409028</v>
      </c>
      <c r="Q112" s="5">
        <f>IF(ROW()&lt;=2+5,"",INDEX(Daily_Input!$F:$F,ROW()-6))</f>
        <v>9937.922199184015</v>
      </c>
      <c r="R112" s="5">
        <f>IF(ROW()&lt;=2+6,"",INDEX(Daily_Input!$F:$F,ROW()-7))</f>
        <v>9935.1251797613131</v>
      </c>
      <c r="S112" s="5">
        <f>IF(ROW()&lt;=2+7,"",INDEX(Daily_Input!$F:$F,ROW()-8))</f>
        <v>12845.115595709625</v>
      </c>
      <c r="T112" s="5">
        <f>IF(ROW()&lt;=2+8,"",INDEX(Daily_Input!$F:$F,ROW()-9))</f>
        <v>23791.948615682664</v>
      </c>
      <c r="U112" s="5">
        <f>IF(ROW()&lt;=2+9,"",INDEX(Daily_Input!$F:$F,ROW()-10))</f>
        <v>61984.570210049686</v>
      </c>
      <c r="V112" s="5">
        <f>IF(ROW()&lt;=2+10,"",INDEX(Daily_Input!$F:$F,ROW()-11))</f>
        <v>17549.779870020619</v>
      </c>
      <c r="W112" s="5">
        <f>IF(ROW()&lt;=2+11,"",INDEX(Daily_Input!$F:$F,ROW()-12))</f>
        <v>4159.7864014393017</v>
      </c>
      <c r="X112" s="5">
        <f>IF(ROW()&lt;=2+12,"",INDEX(Daily_Input!$F:$F,ROW()-13))</f>
        <v>4148.2081998289541</v>
      </c>
      <c r="Y112" s="5">
        <f>IF(ROW()&lt;=2+13,"",INDEX(Daily_Input!$F:$F,ROW()-14))</f>
        <v>9076.5061747878171</v>
      </c>
      <c r="Z112" s="5">
        <f>IF(ROW()&lt;=4,"",SUM(Daily_Input!I112:I114))</f>
        <v>5.2</v>
      </c>
      <c r="AA112" s="5">
        <f>IF(ROW()&lt;=8,"",SUM(Daily_Input!I112:I118))</f>
        <v>5.2</v>
      </c>
      <c r="AB112" s="5">
        <f>IF(ROW()&lt;=15,"",SUM(Daily_Input!I112:I125))</f>
        <v>30.4</v>
      </c>
      <c r="AC112" s="5">
        <f>IF(ROW()&lt;=4,"",AVERAGE(Daily_Input!F112:F114))</f>
        <v>147668.39967323467</v>
      </c>
      <c r="AD112" s="5">
        <f>IF(ROW()&lt;=8,"",AVERAGE(Daily_Input!F112:F118))</f>
        <v>149785.97720530126</v>
      </c>
      <c r="AE112" s="5">
        <f>IF(ROW()&lt;=8,"",MAX(Daily_Input!F112:F118))</f>
        <v>224830.47388327509</v>
      </c>
      <c r="AF112" s="5">
        <f>IF(ROW()&lt;=2+0,"",INDEX(Daily_Input!$G:$G,ROW()-1))</f>
        <v>15019.199999999999</v>
      </c>
      <c r="AG112" s="5">
        <f>IF(ROW()&lt;=2+0,"",INDEX(Daily_Input!$H:$H,ROW()-1))</f>
        <v>0</v>
      </c>
      <c r="AH112" s="5">
        <f>IF(ROW()&lt;=2+1,"",INDEX(Daily_Input!$G:$G,ROW()-2))</f>
        <v>15019.199999999999</v>
      </c>
      <c r="AI112" s="5">
        <f>IF(ROW()&lt;=2+1,"",INDEX(Daily_Input!$H:$H,ROW()-2))</f>
        <v>0</v>
      </c>
      <c r="AJ112" s="5">
        <f>IF(ROW()&lt;=2+2,"",INDEX(Daily_Input!$G:$G,ROW()-3))</f>
        <v>15019.199999999999</v>
      </c>
      <c r="AK112" s="5">
        <f>IF(ROW()&lt;=2+2,"",INDEX(Daily_Input!$H:$H,ROW()-3))</f>
        <v>0</v>
      </c>
    </row>
    <row r="113" spans="1:37">
      <c r="A113" s="5">
        <f>Daily_Input!A113</f>
        <v>45950</v>
      </c>
      <c r="B113" s="5">
        <f>Daily_Input!F113</f>
        <v>159822.0349924381</v>
      </c>
      <c r="C113" s="5">
        <f>Daily_Input!D113</f>
        <v>489.61799999999999</v>
      </c>
      <c r="D113" s="5">
        <f>Daily_Input!E113</f>
        <v>1646562.4785364</v>
      </c>
      <c r="E113" s="5">
        <f>IF(ROW()=2,"",Daily_Input!E113-Daily_Input!E112)</f>
        <v>27111.161498199916</v>
      </c>
      <c r="F113" s="5">
        <f>IFERROR(Daily_Input!E113/Config!$B$4,"")</f>
        <v>1.0129801229954363</v>
      </c>
      <c r="G113" s="5">
        <f>Daily_Input!I113</f>
        <v>5.2</v>
      </c>
      <c r="H113" s="5">
        <f>IF(A113="","",IF(ROW()=2,G113,Config!$B$5*H112+G113))</f>
        <v>85.849079401215363</v>
      </c>
      <c r="I113" s="5">
        <f t="shared" si="1"/>
        <v>293</v>
      </c>
      <c r="J113" s="5">
        <f>IF(I113="","",SIN(2*PI()*I113/Config!$B$6))</f>
        <v>-0.9455963874271428</v>
      </c>
      <c r="K113" s="5">
        <f>IF(I113="","",COS(2*PI()*I113/Config!$B$6))</f>
        <v>0.32534208471197951</v>
      </c>
      <c r="L113" s="5">
        <f>IF(ROW()&lt;=2+0,"",INDEX(Daily_Input!$F:$F,ROW()-1))</f>
        <v>59292.830091829761</v>
      </c>
      <c r="M113" s="5">
        <f>IF(ROW()&lt;=2+1,"",INDEX(Daily_Input!$F:$F,ROW()-2))</f>
        <v>57272.813048606957</v>
      </c>
      <c r="N113" s="5">
        <f>IF(ROW()&lt;=2+2,"",INDEX(Daily_Input!$F:$F,ROW()-3))</f>
        <v>72850.244410938816</v>
      </c>
      <c r="O113" s="5">
        <f>IF(ROW()&lt;=2+3,"",INDEX(Daily_Input!$F:$F,ROW()-4))</f>
        <v>41840.889251495639</v>
      </c>
      <c r="P113" s="5">
        <f>IF(ROW()&lt;=2+4,"",INDEX(Daily_Input!$F:$F,ROW()-5))</f>
        <v>41543.27817919424</v>
      </c>
      <c r="Q113" s="5">
        <f>IF(ROW()&lt;=2+5,"",INDEX(Daily_Input!$F:$F,ROW()-6))</f>
        <v>9301.0968726409028</v>
      </c>
      <c r="R113" s="5">
        <f>IF(ROW()&lt;=2+6,"",INDEX(Daily_Input!$F:$F,ROW()-7))</f>
        <v>9937.922199184015</v>
      </c>
      <c r="S113" s="5">
        <f>IF(ROW()&lt;=2+7,"",INDEX(Daily_Input!$F:$F,ROW()-8))</f>
        <v>9935.1251797613131</v>
      </c>
      <c r="T113" s="5">
        <f>IF(ROW()&lt;=2+8,"",INDEX(Daily_Input!$F:$F,ROW()-9))</f>
        <v>12845.115595709625</v>
      </c>
      <c r="U113" s="5">
        <f>IF(ROW()&lt;=2+9,"",INDEX(Daily_Input!$F:$F,ROW()-10))</f>
        <v>23791.948615682664</v>
      </c>
      <c r="V113" s="5">
        <f>IF(ROW()&lt;=2+10,"",INDEX(Daily_Input!$F:$F,ROW()-11))</f>
        <v>61984.570210049686</v>
      </c>
      <c r="W113" s="5">
        <f>IF(ROW()&lt;=2+11,"",INDEX(Daily_Input!$F:$F,ROW()-12))</f>
        <v>17549.779870020619</v>
      </c>
      <c r="X113" s="5">
        <f>IF(ROW()&lt;=2+12,"",INDEX(Daily_Input!$F:$F,ROW()-13))</f>
        <v>4159.7864014393017</v>
      </c>
      <c r="Y113" s="5">
        <f>IF(ROW()&lt;=2+13,"",INDEX(Daily_Input!$F:$F,ROW()-14))</f>
        <v>4148.2081998289541</v>
      </c>
      <c r="Z113" s="5">
        <f>IF(ROW()&lt;=4,"",SUM(Daily_Input!I113:I115))</f>
        <v>5.2</v>
      </c>
      <c r="AA113" s="5">
        <f>IF(ROW()&lt;=8,"",SUM(Daily_Input!I113:I119))</f>
        <v>5.2</v>
      </c>
      <c r="AB113" s="5">
        <f>IF(ROW()&lt;=15,"",SUM(Daily_Input!I113:I126))</f>
        <v>39.799999999999997</v>
      </c>
      <c r="AC113" s="5">
        <f>IF(ROW()&lt;=4,"",AVERAGE(Daily_Input!F113:F115))</f>
        <v>202847.61427038311</v>
      </c>
      <c r="AD113" s="5">
        <f>IF(ROW()&lt;=8,"",AVERAGE(Daily_Input!F113:F119))</f>
        <v>147669.76457905228</v>
      </c>
      <c r="AE113" s="5">
        <f>IF(ROW()&lt;=8,"",MAX(Daily_Input!F113:F119))</f>
        <v>224830.47388327509</v>
      </c>
      <c r="AF113" s="5">
        <f>IF(ROW()&lt;=2+0,"",INDEX(Daily_Input!$G:$G,ROW()-1))</f>
        <v>15019.199999999999</v>
      </c>
      <c r="AG113" s="5">
        <f>IF(ROW()&lt;=2+0,"",INDEX(Daily_Input!$H:$H,ROW()-1))</f>
        <v>13540.567419999999</v>
      </c>
      <c r="AH113" s="5">
        <f>IF(ROW()&lt;=2+1,"",INDEX(Daily_Input!$G:$G,ROW()-2))</f>
        <v>15019.199999999999</v>
      </c>
      <c r="AI113" s="5">
        <f>IF(ROW()&lt;=2+1,"",INDEX(Daily_Input!$H:$H,ROW()-2))</f>
        <v>0</v>
      </c>
      <c r="AJ113" s="5">
        <f>IF(ROW()&lt;=2+2,"",INDEX(Daily_Input!$G:$G,ROW()-3))</f>
        <v>15019.199999999999</v>
      </c>
      <c r="AK113" s="5">
        <f>IF(ROW()&lt;=2+2,"",INDEX(Daily_Input!$H:$H,ROW()-3))</f>
        <v>0</v>
      </c>
    </row>
    <row r="114" spans="1:37">
      <c r="A114" s="5">
        <f>Daily_Input!A114</f>
        <v>45951</v>
      </c>
      <c r="B114" s="5">
        <f>Daily_Input!F114</f>
        <v>223890.33393543618</v>
      </c>
      <c r="C114" s="5">
        <f>Daily_Input!D114</f>
        <v>489.65697999999998</v>
      </c>
      <c r="D114" s="5">
        <f>Daily_Input!E114</f>
        <v>1658675.7961466999</v>
      </c>
      <c r="E114" s="5">
        <f>IF(ROW()=2,"",Daily_Input!E114-Daily_Input!E113)</f>
        <v>12113.317610299913</v>
      </c>
      <c r="F114" s="5">
        <f>IFERROR(Daily_Input!E114/Config!$B$4,"")</f>
        <v>1.0204323455030642</v>
      </c>
      <c r="G114" s="5">
        <f>Daily_Input!I114</f>
        <v>0</v>
      </c>
      <c r="H114" s="5">
        <f>IF(A114="","",IF(ROW()=2,G114,Config!$B$5*H113+G114))</f>
        <v>81.556625431154586</v>
      </c>
      <c r="I114" s="5">
        <f t="shared" si="1"/>
        <v>294</v>
      </c>
      <c r="J114" s="5">
        <f>IF(I114="","",SIN(2*PI()*I114/Config!$B$6))</f>
        <v>-0.93985605794189531</v>
      </c>
      <c r="K114" s="5">
        <f>IF(I114="","",COS(2*PI()*I114/Config!$B$6))</f>
        <v>0.341570769167856</v>
      </c>
      <c r="L114" s="5">
        <f>IF(ROW()&lt;=2+0,"",INDEX(Daily_Input!$F:$F,ROW()-1))</f>
        <v>159822.0349924381</v>
      </c>
      <c r="M114" s="5">
        <f>IF(ROW()&lt;=2+1,"",INDEX(Daily_Input!$F:$F,ROW()-2))</f>
        <v>59292.830091829761</v>
      </c>
      <c r="N114" s="5">
        <f>IF(ROW()&lt;=2+2,"",INDEX(Daily_Input!$F:$F,ROW()-3))</f>
        <v>57272.813048606957</v>
      </c>
      <c r="O114" s="5">
        <f>IF(ROW()&lt;=2+3,"",INDEX(Daily_Input!$F:$F,ROW()-4))</f>
        <v>72850.244410938816</v>
      </c>
      <c r="P114" s="5">
        <f>IF(ROW()&lt;=2+4,"",INDEX(Daily_Input!$F:$F,ROW()-5))</f>
        <v>41840.889251495639</v>
      </c>
      <c r="Q114" s="5">
        <f>IF(ROW()&lt;=2+5,"",INDEX(Daily_Input!$F:$F,ROW()-6))</f>
        <v>41543.27817919424</v>
      </c>
      <c r="R114" s="5">
        <f>IF(ROW()&lt;=2+6,"",INDEX(Daily_Input!$F:$F,ROW()-7))</f>
        <v>9301.0968726409028</v>
      </c>
      <c r="S114" s="5">
        <f>IF(ROW()&lt;=2+7,"",INDEX(Daily_Input!$F:$F,ROW()-8))</f>
        <v>9937.922199184015</v>
      </c>
      <c r="T114" s="5">
        <f>IF(ROW()&lt;=2+8,"",INDEX(Daily_Input!$F:$F,ROW()-9))</f>
        <v>9935.1251797613131</v>
      </c>
      <c r="U114" s="5">
        <f>IF(ROW()&lt;=2+9,"",INDEX(Daily_Input!$F:$F,ROW()-10))</f>
        <v>12845.115595709625</v>
      </c>
      <c r="V114" s="5">
        <f>IF(ROW()&lt;=2+10,"",INDEX(Daily_Input!$F:$F,ROW()-11))</f>
        <v>23791.948615682664</v>
      </c>
      <c r="W114" s="5">
        <f>IF(ROW()&lt;=2+11,"",INDEX(Daily_Input!$F:$F,ROW()-12))</f>
        <v>61984.570210049686</v>
      </c>
      <c r="X114" s="5">
        <f>IF(ROW()&lt;=2+12,"",INDEX(Daily_Input!$F:$F,ROW()-13))</f>
        <v>17549.779870020619</v>
      </c>
      <c r="Y114" s="5">
        <f>IF(ROW()&lt;=2+13,"",INDEX(Daily_Input!$F:$F,ROW()-14))</f>
        <v>4159.7864014393017</v>
      </c>
      <c r="Z114" s="5">
        <f>IF(ROW()&lt;=4,"",SUM(Daily_Input!I114:I116))</f>
        <v>0</v>
      </c>
      <c r="AA114" s="5">
        <f>IF(ROW()&lt;=8,"",SUM(Daily_Input!I114:I120))</f>
        <v>0</v>
      </c>
      <c r="AB114" s="5">
        <f>IF(ROW()&lt;=15,"",SUM(Daily_Input!I114:I127))</f>
        <v>35.200000000000003</v>
      </c>
      <c r="AC114" s="5">
        <f>IF(ROW()&lt;=4,"",AVERAGE(Daily_Input!F114:F116))</f>
        <v>207144.7940752492</v>
      </c>
      <c r="AD114" s="5">
        <f>IF(ROW()&lt;=8,"",AVERAGE(Daily_Input!F114:F120))</f>
        <v>127447.00149101431</v>
      </c>
      <c r="AE114" s="5">
        <f>IF(ROW()&lt;=8,"",MAX(Daily_Input!F114:F120))</f>
        <v>224830.47388327509</v>
      </c>
      <c r="AF114" s="5">
        <f>IF(ROW()&lt;=2+0,"",INDEX(Daily_Input!$G:$G,ROW()-1))</f>
        <v>15019.199999999999</v>
      </c>
      <c r="AG114" s="5">
        <f>IF(ROW()&lt;=2+0,"",INDEX(Daily_Input!$H:$H,ROW()-1))</f>
        <v>118498.07309999999</v>
      </c>
      <c r="AH114" s="5">
        <f>IF(ROW()&lt;=2+1,"",INDEX(Daily_Input!$G:$G,ROW()-2))</f>
        <v>15019.199999999999</v>
      </c>
      <c r="AI114" s="5">
        <f>IF(ROW()&lt;=2+1,"",INDEX(Daily_Input!$H:$H,ROW()-2))</f>
        <v>13540.567419999999</v>
      </c>
      <c r="AJ114" s="5">
        <f>IF(ROW()&lt;=2+2,"",INDEX(Daily_Input!$G:$G,ROW()-3))</f>
        <v>15019.199999999999</v>
      </c>
      <c r="AK114" s="5">
        <f>IF(ROW()&lt;=2+2,"",INDEX(Daily_Input!$H:$H,ROW()-3))</f>
        <v>0</v>
      </c>
    </row>
    <row r="115" spans="1:37">
      <c r="A115" s="5">
        <f>Daily_Input!A115</f>
        <v>45952</v>
      </c>
      <c r="B115" s="5">
        <f>Daily_Input!F115</f>
        <v>224830.47388327509</v>
      </c>
      <c r="C115" s="5">
        <f>Daily_Input!D115</f>
        <v>489.67099999999999</v>
      </c>
      <c r="D115" s="5">
        <f>Daily_Input!E115</f>
        <v>1664741.6725647999</v>
      </c>
      <c r="E115" s="5">
        <f>IF(ROW()=2,"",Daily_Input!E115-Daily_Input!E114)</f>
        <v>6065.8764180999715</v>
      </c>
      <c r="F115" s="5">
        <f>IFERROR(Daily_Input!E115/Config!$B$4,"")</f>
        <v>1.0241641275156992</v>
      </c>
      <c r="G115" s="5">
        <f>Daily_Input!I115</f>
        <v>0</v>
      </c>
      <c r="H115" s="5">
        <f>IF(A115="","",IF(ROW()=2,G115,Config!$B$5*H114+G115))</f>
        <v>77.478794159596859</v>
      </c>
      <c r="I115" s="5">
        <f t="shared" si="1"/>
        <v>295</v>
      </c>
      <c r="J115" s="5">
        <f>IF(I115="","",SIN(2*PI()*I115/Config!$B$6))</f>
        <v>-0.93383722882292519</v>
      </c>
      <c r="K115" s="5">
        <f>IF(I115="","",COS(2*PI()*I115/Config!$B$6))</f>
        <v>0.35769823883312546</v>
      </c>
      <c r="L115" s="5">
        <f>IF(ROW()&lt;=2+0,"",INDEX(Daily_Input!$F:$F,ROW()-1))</f>
        <v>223890.33393543618</v>
      </c>
      <c r="M115" s="5">
        <f>IF(ROW()&lt;=2+1,"",INDEX(Daily_Input!$F:$F,ROW()-2))</f>
        <v>159822.0349924381</v>
      </c>
      <c r="N115" s="5">
        <f>IF(ROW()&lt;=2+2,"",INDEX(Daily_Input!$F:$F,ROW()-3))</f>
        <v>59292.830091829761</v>
      </c>
      <c r="O115" s="5">
        <f>IF(ROW()&lt;=2+3,"",INDEX(Daily_Input!$F:$F,ROW()-4))</f>
        <v>57272.813048606957</v>
      </c>
      <c r="P115" s="5">
        <f>IF(ROW()&lt;=2+4,"",INDEX(Daily_Input!$F:$F,ROW()-5))</f>
        <v>72850.244410938816</v>
      </c>
      <c r="Q115" s="5">
        <f>IF(ROW()&lt;=2+5,"",INDEX(Daily_Input!$F:$F,ROW()-6))</f>
        <v>41840.889251495639</v>
      </c>
      <c r="R115" s="5">
        <f>IF(ROW()&lt;=2+6,"",INDEX(Daily_Input!$F:$F,ROW()-7))</f>
        <v>41543.27817919424</v>
      </c>
      <c r="S115" s="5">
        <f>IF(ROW()&lt;=2+7,"",INDEX(Daily_Input!$F:$F,ROW()-8))</f>
        <v>9301.0968726409028</v>
      </c>
      <c r="T115" s="5">
        <f>IF(ROW()&lt;=2+8,"",INDEX(Daily_Input!$F:$F,ROW()-9))</f>
        <v>9937.922199184015</v>
      </c>
      <c r="U115" s="5">
        <f>IF(ROW()&lt;=2+9,"",INDEX(Daily_Input!$F:$F,ROW()-10))</f>
        <v>9935.1251797613131</v>
      </c>
      <c r="V115" s="5">
        <f>IF(ROW()&lt;=2+10,"",INDEX(Daily_Input!$F:$F,ROW()-11))</f>
        <v>12845.115595709625</v>
      </c>
      <c r="W115" s="5">
        <f>IF(ROW()&lt;=2+11,"",INDEX(Daily_Input!$F:$F,ROW()-12))</f>
        <v>23791.948615682664</v>
      </c>
      <c r="X115" s="5">
        <f>IF(ROW()&lt;=2+12,"",INDEX(Daily_Input!$F:$F,ROW()-13))</f>
        <v>61984.570210049686</v>
      </c>
      <c r="Y115" s="5">
        <f>IF(ROW()&lt;=2+13,"",INDEX(Daily_Input!$F:$F,ROW()-14))</f>
        <v>17549.779870020619</v>
      </c>
      <c r="Z115" s="5">
        <f>IF(ROW()&lt;=4,"",SUM(Daily_Input!I115:I117))</f>
        <v>0</v>
      </c>
      <c r="AA115" s="5">
        <f>IF(ROW()&lt;=8,"",SUM(Daily_Input!I115:I121))</f>
        <v>0</v>
      </c>
      <c r="AB115" s="5">
        <f>IF(ROW()&lt;=15,"",SUM(Daily_Input!I115:I128))</f>
        <v>35.200000000000003</v>
      </c>
      <c r="AC115" s="5">
        <f>IF(ROW()&lt;=4,"",AVERAGE(Daily_Input!F115:F117))</f>
        <v>176003.41456731581</v>
      </c>
      <c r="AD115" s="5">
        <f>IF(ROW()&lt;=8,"",AVERAGE(Daily_Input!F115:F121))</f>
        <v>96865.376489666683</v>
      </c>
      <c r="AE115" s="5">
        <f>IF(ROW()&lt;=8,"",MAX(Daily_Input!F115:F121))</f>
        <v>224830.47388327509</v>
      </c>
      <c r="AF115" s="5">
        <f>IF(ROW()&lt;=2+0,"",INDEX(Daily_Input!$G:$G,ROW()-1))</f>
        <v>15019.199999999999</v>
      </c>
      <c r="AG115" s="5">
        <f>IF(ROW()&lt;=2+0,"",INDEX(Daily_Input!$H:$H,ROW()-1))</f>
        <v>195989.51560000001</v>
      </c>
      <c r="AH115" s="5">
        <f>IF(ROW()&lt;=2+1,"",INDEX(Daily_Input!$G:$G,ROW()-2))</f>
        <v>15019.199999999999</v>
      </c>
      <c r="AI115" s="5">
        <f>IF(ROW()&lt;=2+1,"",INDEX(Daily_Input!$H:$H,ROW()-2))</f>
        <v>118498.07309999999</v>
      </c>
      <c r="AJ115" s="5">
        <f>IF(ROW()&lt;=2+2,"",INDEX(Daily_Input!$G:$G,ROW()-3))</f>
        <v>15019.199999999999</v>
      </c>
      <c r="AK115" s="5">
        <f>IF(ROW()&lt;=2+2,"",INDEX(Daily_Input!$H:$H,ROW()-3))</f>
        <v>13540.567419999999</v>
      </c>
    </row>
    <row r="116" spans="1:37">
      <c r="A116" s="5">
        <f>Daily_Input!A116</f>
        <v>45953</v>
      </c>
      <c r="B116" s="5">
        <f>Daily_Input!F116</f>
        <v>172713.5744070363</v>
      </c>
      <c r="C116" s="5">
        <f>Daily_Input!D116</f>
        <v>489.65697999999998</v>
      </c>
      <c r="D116" s="5">
        <f>Daily_Input!E116</f>
        <v>1658675.7961466999</v>
      </c>
      <c r="E116" s="5">
        <f>IF(ROW()=2,"",Daily_Input!E116-Daily_Input!E115)</f>
        <v>-6065.8764180999715</v>
      </c>
      <c r="F116" s="5">
        <f>IFERROR(Daily_Input!E116/Config!$B$4,"")</f>
        <v>1.0204323455030642</v>
      </c>
      <c r="G116" s="5">
        <f>Daily_Input!I116</f>
        <v>0</v>
      </c>
      <c r="H116" s="5">
        <f>IF(A116="","",IF(ROW()=2,G116,Config!$B$5*H115+G116))</f>
        <v>73.604854451617015</v>
      </c>
      <c r="I116" s="5">
        <f t="shared" si="1"/>
        <v>296</v>
      </c>
      <c r="J116" s="5">
        <f>IF(I116="","",SIN(2*PI()*I116/Config!$B$6))</f>
        <v>-0.92754168357919653</v>
      </c>
      <c r="K116" s="5">
        <f>IF(I116="","",COS(2*PI()*I116/Config!$B$6))</f>
        <v>0.37371971479046923</v>
      </c>
      <c r="L116" s="5">
        <f>IF(ROW()&lt;=2+0,"",INDEX(Daily_Input!$F:$F,ROW()-1))</f>
        <v>224830.47388327509</v>
      </c>
      <c r="M116" s="5">
        <f>IF(ROW()&lt;=2+1,"",INDEX(Daily_Input!$F:$F,ROW()-2))</f>
        <v>223890.33393543618</v>
      </c>
      <c r="N116" s="5">
        <f>IF(ROW()&lt;=2+2,"",INDEX(Daily_Input!$F:$F,ROW()-3))</f>
        <v>159822.0349924381</v>
      </c>
      <c r="O116" s="5">
        <f>IF(ROW()&lt;=2+3,"",INDEX(Daily_Input!$F:$F,ROW()-4))</f>
        <v>59292.830091829761</v>
      </c>
      <c r="P116" s="5">
        <f>IF(ROW()&lt;=2+4,"",INDEX(Daily_Input!$F:$F,ROW()-5))</f>
        <v>57272.813048606957</v>
      </c>
      <c r="Q116" s="5">
        <f>IF(ROW()&lt;=2+5,"",INDEX(Daily_Input!$F:$F,ROW()-6))</f>
        <v>72850.244410938816</v>
      </c>
      <c r="R116" s="5">
        <f>IF(ROW()&lt;=2+6,"",INDEX(Daily_Input!$F:$F,ROW()-7))</f>
        <v>41840.889251495639</v>
      </c>
      <c r="S116" s="5">
        <f>IF(ROW()&lt;=2+7,"",INDEX(Daily_Input!$F:$F,ROW()-8))</f>
        <v>41543.27817919424</v>
      </c>
      <c r="T116" s="5">
        <f>IF(ROW()&lt;=2+8,"",INDEX(Daily_Input!$F:$F,ROW()-9))</f>
        <v>9301.0968726409028</v>
      </c>
      <c r="U116" s="5">
        <f>IF(ROW()&lt;=2+9,"",INDEX(Daily_Input!$F:$F,ROW()-10))</f>
        <v>9937.922199184015</v>
      </c>
      <c r="V116" s="5">
        <f>IF(ROW()&lt;=2+10,"",INDEX(Daily_Input!$F:$F,ROW()-11))</f>
        <v>9935.1251797613131</v>
      </c>
      <c r="W116" s="5">
        <f>IF(ROW()&lt;=2+11,"",INDEX(Daily_Input!$F:$F,ROW()-12))</f>
        <v>12845.115595709625</v>
      </c>
      <c r="X116" s="5">
        <f>IF(ROW()&lt;=2+12,"",INDEX(Daily_Input!$F:$F,ROW()-13))</f>
        <v>23791.948615682664</v>
      </c>
      <c r="Y116" s="5">
        <f>IF(ROW()&lt;=2+13,"",INDEX(Daily_Input!$F:$F,ROW()-14))</f>
        <v>61984.570210049686</v>
      </c>
      <c r="Z116" s="5">
        <f>IF(ROW()&lt;=4,"",SUM(Daily_Input!I116:I118))</f>
        <v>0</v>
      </c>
      <c r="AA116" s="5">
        <f>IF(ROW()&lt;=8,"",SUM(Daily_Input!I116:I122))</f>
        <v>0</v>
      </c>
      <c r="AB116" s="5">
        <f>IF(ROW()&lt;=15,"",SUM(Daily_Input!I116:I129))</f>
        <v>53.6</v>
      </c>
      <c r="AC116" s="5">
        <f>IF(ROW()&lt;=4,"",AVERAGE(Daily_Input!F116:F118))</f>
        <v>126888.72251137659</v>
      </c>
      <c r="AD116" s="5">
        <f>IF(ROW()&lt;=8,"",AVERAGE(Daily_Input!F116:F122))</f>
        <v>66142.20614316022</v>
      </c>
      <c r="AE116" s="5">
        <f>IF(ROW()&lt;=8,"",MAX(Daily_Input!F116:F122))</f>
        <v>172713.5744070363</v>
      </c>
      <c r="AF116" s="5">
        <f>IF(ROW()&lt;=2+0,"",INDEX(Daily_Input!$G:$G,ROW()-1))</f>
        <v>15019.199999999999</v>
      </c>
      <c r="AG116" s="5">
        <f>IF(ROW()&lt;=2+0,"",INDEX(Daily_Input!$H:$H,ROW()-1))</f>
        <v>202976.33369999999</v>
      </c>
      <c r="AH116" s="5">
        <f>IF(ROW()&lt;=2+1,"",INDEX(Daily_Input!$G:$G,ROW()-2))</f>
        <v>15019.199999999999</v>
      </c>
      <c r="AI116" s="5">
        <f>IF(ROW()&lt;=2+1,"",INDEX(Daily_Input!$H:$H,ROW()-2))</f>
        <v>195989.51560000001</v>
      </c>
      <c r="AJ116" s="5">
        <f>IF(ROW()&lt;=2+2,"",INDEX(Daily_Input!$G:$G,ROW()-3))</f>
        <v>15019.199999999999</v>
      </c>
      <c r="AK116" s="5">
        <f>IF(ROW()&lt;=2+2,"",INDEX(Daily_Input!$H:$H,ROW()-3))</f>
        <v>118498.07309999999</v>
      </c>
    </row>
    <row r="117" spans="1:37">
      <c r="A117" s="5">
        <f>Daily_Input!A117</f>
        <v>45954</v>
      </c>
      <c r="B117" s="5">
        <f>Daily_Input!F117</f>
        <v>130466.19541163601</v>
      </c>
      <c r="C117" s="5">
        <f>Daily_Input!D117</f>
        <v>489.63799999999998</v>
      </c>
      <c r="D117" s="5">
        <f>Daily_Input!E117</f>
        <v>1652616.0060848999</v>
      </c>
      <c r="E117" s="5">
        <f>IF(ROW()=2,"",Daily_Input!E117-Daily_Input!E116)</f>
        <v>-6059.7900618000422</v>
      </c>
      <c r="F117" s="5">
        <f>IFERROR(Daily_Input!E117/Config!$B$4,"")</f>
        <v>1.0167043078718501</v>
      </c>
      <c r="G117" s="5">
        <f>Daily_Input!I117</f>
        <v>0</v>
      </c>
      <c r="H117" s="5">
        <f>IF(A117="","",IF(ROW()=2,G117,Config!$B$5*H116+G117))</f>
        <v>69.924611729036158</v>
      </c>
      <c r="I117" s="5">
        <f t="shared" si="1"/>
        <v>297</v>
      </c>
      <c r="J117" s="5">
        <f>IF(I117="","",SIN(2*PI()*I117/Config!$B$6))</f>
        <v>-0.92097128771663461</v>
      </c>
      <c r="K117" s="5">
        <f>IF(I117="","",COS(2*PI()*I117/Config!$B$6))</f>
        <v>0.38963044953078774</v>
      </c>
      <c r="L117" s="5">
        <f>IF(ROW()&lt;=2+0,"",INDEX(Daily_Input!$F:$F,ROW()-1))</f>
        <v>172713.5744070363</v>
      </c>
      <c r="M117" s="5">
        <f>IF(ROW()&lt;=2+1,"",INDEX(Daily_Input!$F:$F,ROW()-2))</f>
        <v>224830.47388327509</v>
      </c>
      <c r="N117" s="5">
        <f>IF(ROW()&lt;=2+2,"",INDEX(Daily_Input!$F:$F,ROW()-3))</f>
        <v>223890.33393543618</v>
      </c>
      <c r="O117" s="5">
        <f>IF(ROW()&lt;=2+3,"",INDEX(Daily_Input!$F:$F,ROW()-4))</f>
        <v>159822.0349924381</v>
      </c>
      <c r="P117" s="5">
        <f>IF(ROW()&lt;=2+4,"",INDEX(Daily_Input!$F:$F,ROW()-5))</f>
        <v>59292.830091829761</v>
      </c>
      <c r="Q117" s="5">
        <f>IF(ROW()&lt;=2+5,"",INDEX(Daily_Input!$F:$F,ROW()-6))</f>
        <v>57272.813048606957</v>
      </c>
      <c r="R117" s="5">
        <f>IF(ROW()&lt;=2+6,"",INDEX(Daily_Input!$F:$F,ROW()-7))</f>
        <v>72850.244410938816</v>
      </c>
      <c r="S117" s="5">
        <f>IF(ROW()&lt;=2+7,"",INDEX(Daily_Input!$F:$F,ROW()-8))</f>
        <v>41840.889251495639</v>
      </c>
      <c r="T117" s="5">
        <f>IF(ROW()&lt;=2+8,"",INDEX(Daily_Input!$F:$F,ROW()-9))</f>
        <v>41543.27817919424</v>
      </c>
      <c r="U117" s="5">
        <f>IF(ROW()&lt;=2+9,"",INDEX(Daily_Input!$F:$F,ROW()-10))</f>
        <v>9301.0968726409028</v>
      </c>
      <c r="V117" s="5">
        <f>IF(ROW()&lt;=2+10,"",INDEX(Daily_Input!$F:$F,ROW()-11))</f>
        <v>9937.922199184015</v>
      </c>
      <c r="W117" s="5">
        <f>IF(ROW()&lt;=2+11,"",INDEX(Daily_Input!$F:$F,ROW()-12))</f>
        <v>9935.1251797613131</v>
      </c>
      <c r="X117" s="5">
        <f>IF(ROW()&lt;=2+12,"",INDEX(Daily_Input!$F:$F,ROW()-13))</f>
        <v>12845.115595709625</v>
      </c>
      <c r="Y117" s="5">
        <f>IF(ROW()&lt;=2+13,"",INDEX(Daily_Input!$F:$F,ROW()-14))</f>
        <v>23791.948615682664</v>
      </c>
      <c r="Z117" s="5">
        <f>IF(ROW()&lt;=4,"",SUM(Daily_Input!I117:I119))</f>
        <v>0</v>
      </c>
      <c r="AA117" s="5">
        <f>IF(ROW()&lt;=8,"",SUM(Daily_Input!I117:I123))</f>
        <v>0</v>
      </c>
      <c r="AB117" s="5">
        <f>IF(ROW()&lt;=15,"",SUM(Daily_Input!I117:I130))</f>
        <v>54</v>
      </c>
      <c r="AC117" s="5">
        <f>IF(ROW()&lt;=4,"",AVERAGE(Daily_Input!F117:F119))</f>
        <v>84143.978278393421</v>
      </c>
      <c r="AD117" s="5">
        <f>IF(ROW()&lt;=8,"",AVERAGE(Daily_Input!F117:F123))</f>
        <v>42865.062282628278</v>
      </c>
      <c r="AE117" s="5">
        <f>IF(ROW()&lt;=8,"",MAX(Daily_Input!F117:F123))</f>
        <v>130466.19541163601</v>
      </c>
      <c r="AF117" s="5">
        <f>IF(ROW()&lt;=2+0,"",INDEX(Daily_Input!$G:$G,ROW()-1))</f>
        <v>15019.199999999999</v>
      </c>
      <c r="AG117" s="5">
        <f>IF(ROW()&lt;=2+0,"",INDEX(Daily_Input!$H:$H,ROW()-1))</f>
        <v>162991.95009999999</v>
      </c>
      <c r="AH117" s="5">
        <f>IF(ROW()&lt;=2+1,"",INDEX(Daily_Input!$G:$G,ROW()-2))</f>
        <v>15019.199999999999</v>
      </c>
      <c r="AI117" s="5">
        <f>IF(ROW()&lt;=2+1,"",INDEX(Daily_Input!$H:$H,ROW()-2))</f>
        <v>202976.33369999999</v>
      </c>
      <c r="AJ117" s="5">
        <f>IF(ROW()&lt;=2+2,"",INDEX(Daily_Input!$G:$G,ROW()-3))</f>
        <v>15019.199999999999</v>
      </c>
      <c r="AK117" s="5">
        <f>IF(ROW()&lt;=2+2,"",INDEX(Daily_Input!$H:$H,ROW()-3))</f>
        <v>195989.51560000001</v>
      </c>
    </row>
    <row r="118" spans="1:37">
      <c r="A118" s="5">
        <f>Daily_Input!A118</f>
        <v>45955</v>
      </c>
      <c r="B118" s="5">
        <f>Daily_Input!F118</f>
        <v>77486.39771545741</v>
      </c>
      <c r="C118" s="5">
        <f>Daily_Input!D118</f>
        <v>489.60599999999999</v>
      </c>
      <c r="D118" s="5">
        <f>Daily_Input!E118</f>
        <v>1643538.2164867001</v>
      </c>
      <c r="E118" s="5">
        <f>IF(ROW()=2,"",Daily_Input!E118-Daily_Input!E117)</f>
        <v>-9077.7895981997717</v>
      </c>
      <c r="F118" s="5">
        <f>IFERROR(Daily_Input!E118/Config!$B$4,"")</f>
        <v>1.0111195696407902</v>
      </c>
      <c r="G118" s="5">
        <f>Daily_Input!I118</f>
        <v>0</v>
      </c>
      <c r="H118" s="5">
        <f>IF(A118="","",IF(ROW()=2,G118,Config!$B$5*H117+G118))</f>
        <v>66.428381142584342</v>
      </c>
      <c r="I118" s="5">
        <f t="shared" si="1"/>
        <v>298</v>
      </c>
      <c r="J118" s="5">
        <f>IF(I118="","",SIN(2*PI()*I118/Config!$B$6))</f>
        <v>-0.9141279881853337</v>
      </c>
      <c r="K118" s="5">
        <f>IF(I118="","",COS(2*PI()*I118/Config!$B$6))</f>
        <v>0.40542572835999729</v>
      </c>
      <c r="L118" s="5">
        <f>IF(ROW()&lt;=2+0,"",INDEX(Daily_Input!$F:$F,ROW()-1))</f>
        <v>130466.19541163601</v>
      </c>
      <c r="M118" s="5">
        <f>IF(ROW()&lt;=2+1,"",INDEX(Daily_Input!$F:$F,ROW()-2))</f>
        <v>172713.5744070363</v>
      </c>
      <c r="N118" s="5">
        <f>IF(ROW()&lt;=2+2,"",INDEX(Daily_Input!$F:$F,ROW()-3))</f>
        <v>224830.47388327509</v>
      </c>
      <c r="O118" s="5">
        <f>IF(ROW()&lt;=2+3,"",INDEX(Daily_Input!$F:$F,ROW()-4))</f>
        <v>223890.33393543618</v>
      </c>
      <c r="P118" s="5">
        <f>IF(ROW()&lt;=2+4,"",INDEX(Daily_Input!$F:$F,ROW()-5))</f>
        <v>159822.0349924381</v>
      </c>
      <c r="Q118" s="5">
        <f>IF(ROW()&lt;=2+5,"",INDEX(Daily_Input!$F:$F,ROW()-6))</f>
        <v>59292.830091829761</v>
      </c>
      <c r="R118" s="5">
        <f>IF(ROW()&lt;=2+6,"",INDEX(Daily_Input!$F:$F,ROW()-7))</f>
        <v>57272.813048606957</v>
      </c>
      <c r="S118" s="5">
        <f>IF(ROW()&lt;=2+7,"",INDEX(Daily_Input!$F:$F,ROW()-8))</f>
        <v>72850.244410938816</v>
      </c>
      <c r="T118" s="5">
        <f>IF(ROW()&lt;=2+8,"",INDEX(Daily_Input!$F:$F,ROW()-9))</f>
        <v>41840.889251495639</v>
      </c>
      <c r="U118" s="5">
        <f>IF(ROW()&lt;=2+9,"",INDEX(Daily_Input!$F:$F,ROW()-10))</f>
        <v>41543.27817919424</v>
      </c>
      <c r="V118" s="5">
        <f>IF(ROW()&lt;=2+10,"",INDEX(Daily_Input!$F:$F,ROW()-11))</f>
        <v>9301.0968726409028</v>
      </c>
      <c r="W118" s="5">
        <f>IF(ROW()&lt;=2+11,"",INDEX(Daily_Input!$F:$F,ROW()-12))</f>
        <v>9937.922199184015</v>
      </c>
      <c r="X118" s="5">
        <f>IF(ROW()&lt;=2+12,"",INDEX(Daily_Input!$F:$F,ROW()-13))</f>
        <v>9935.1251797613131</v>
      </c>
      <c r="Y118" s="5">
        <f>IF(ROW()&lt;=2+13,"",INDEX(Daily_Input!$F:$F,ROW()-14))</f>
        <v>12845.115595709625</v>
      </c>
      <c r="Z118" s="5">
        <f>IF(ROW()&lt;=4,"",SUM(Daily_Input!I118:I120))</f>
        <v>0</v>
      </c>
      <c r="AA118" s="5">
        <f>IF(ROW()&lt;=8,"",SUM(Daily_Input!I118:I124))</f>
        <v>0</v>
      </c>
      <c r="AB118" s="5">
        <f>IF(ROW()&lt;=15,"",SUM(Daily_Input!I118:I131))</f>
        <v>54</v>
      </c>
      <c r="AC118" s="5">
        <f>IF(ROW()&lt;=4,"",AVERAGE(Daily_Input!F118:F120))</f>
        <v>46742.810933238863</v>
      </c>
      <c r="AD118" s="5">
        <f>IF(ROW()&lt;=8,"",AVERAGE(Daily_Input!F118:F124))</f>
        <v>25624.012695095364</v>
      </c>
      <c r="AE118" s="5">
        <f>IF(ROW()&lt;=8,"",MAX(Daily_Input!F118:F124))</f>
        <v>77486.39771545741</v>
      </c>
      <c r="AF118" s="5">
        <f>IF(ROW()&lt;=2+0,"",INDEX(Daily_Input!$G:$G,ROW()-1))</f>
        <v>15019.199999999999</v>
      </c>
      <c r="AG118" s="5">
        <f>IF(ROW()&lt;=2+0,"",INDEX(Daily_Input!$H:$H,ROW()-1))</f>
        <v>120739.24830000001</v>
      </c>
      <c r="AH118" s="5">
        <f>IF(ROW()&lt;=2+1,"",INDEX(Daily_Input!$G:$G,ROW()-2))</f>
        <v>15019.199999999999</v>
      </c>
      <c r="AI118" s="5">
        <f>IF(ROW()&lt;=2+1,"",INDEX(Daily_Input!$H:$H,ROW()-2))</f>
        <v>162991.95009999999</v>
      </c>
      <c r="AJ118" s="5">
        <f>IF(ROW()&lt;=2+2,"",INDEX(Daily_Input!$G:$G,ROW()-3))</f>
        <v>15019.199999999999</v>
      </c>
      <c r="AK118" s="5">
        <f>IF(ROW()&lt;=2+2,"",INDEX(Daily_Input!$H:$H,ROW()-3))</f>
        <v>202976.33369999999</v>
      </c>
    </row>
    <row r="119" spans="1:37">
      <c r="A119" s="5">
        <f>Daily_Input!A119</f>
        <v>45956</v>
      </c>
      <c r="B119" s="5">
        <f>Daily_Input!F119</f>
        <v>44479.341708086838</v>
      </c>
      <c r="C119" s="5">
        <f>Daily_Input!D119</f>
        <v>489.58699999999999</v>
      </c>
      <c r="D119" s="5">
        <f>Daily_Input!E119</f>
        <v>1637507.2197397</v>
      </c>
      <c r="E119" s="5">
        <f>IF(ROW()=2,"",Daily_Input!E119-Daily_Input!E118)</f>
        <v>-6030.9967470001429</v>
      </c>
      <c r="F119" s="5">
        <f>IFERROR(Daily_Input!E119/Config!$B$4,"")</f>
        <v>1.0074092459171549</v>
      </c>
      <c r="G119" s="5">
        <f>Daily_Input!I119</f>
        <v>0</v>
      </c>
      <c r="H119" s="5">
        <f>IF(A119="","",IF(ROW()=2,G119,Config!$B$5*H118+G119))</f>
        <v>63.106962085455123</v>
      </c>
      <c r="I119" s="5">
        <f t="shared" si="1"/>
        <v>299</v>
      </c>
      <c r="J119" s="5">
        <f>IF(I119="","",SIN(2*PI()*I119/Config!$B$6))</f>
        <v>-0.90701381280263615</v>
      </c>
      <c r="K119" s="5">
        <f>IF(I119="","",COS(2*PI()*I119/Config!$B$6))</f>
        <v>0.42110087079608916</v>
      </c>
      <c r="L119" s="5">
        <f>IF(ROW()&lt;=2+0,"",INDEX(Daily_Input!$F:$F,ROW()-1))</f>
        <v>77486.39771545741</v>
      </c>
      <c r="M119" s="5">
        <f>IF(ROW()&lt;=2+1,"",INDEX(Daily_Input!$F:$F,ROW()-2))</f>
        <v>130466.19541163601</v>
      </c>
      <c r="N119" s="5">
        <f>IF(ROW()&lt;=2+2,"",INDEX(Daily_Input!$F:$F,ROW()-3))</f>
        <v>172713.5744070363</v>
      </c>
      <c r="O119" s="5">
        <f>IF(ROW()&lt;=2+3,"",INDEX(Daily_Input!$F:$F,ROW()-4))</f>
        <v>224830.47388327509</v>
      </c>
      <c r="P119" s="5">
        <f>IF(ROW()&lt;=2+4,"",INDEX(Daily_Input!$F:$F,ROW()-5))</f>
        <v>223890.33393543618</v>
      </c>
      <c r="Q119" s="5">
        <f>IF(ROW()&lt;=2+5,"",INDEX(Daily_Input!$F:$F,ROW()-6))</f>
        <v>159822.0349924381</v>
      </c>
      <c r="R119" s="5">
        <f>IF(ROW()&lt;=2+6,"",INDEX(Daily_Input!$F:$F,ROW()-7))</f>
        <v>59292.830091829761</v>
      </c>
      <c r="S119" s="5">
        <f>IF(ROW()&lt;=2+7,"",INDEX(Daily_Input!$F:$F,ROW()-8))</f>
        <v>57272.813048606957</v>
      </c>
      <c r="T119" s="5">
        <f>IF(ROW()&lt;=2+8,"",INDEX(Daily_Input!$F:$F,ROW()-9))</f>
        <v>72850.244410938816</v>
      </c>
      <c r="U119" s="5">
        <f>IF(ROW()&lt;=2+9,"",INDEX(Daily_Input!$F:$F,ROW()-10))</f>
        <v>41840.889251495639</v>
      </c>
      <c r="V119" s="5">
        <f>IF(ROW()&lt;=2+10,"",INDEX(Daily_Input!$F:$F,ROW()-11))</f>
        <v>41543.27817919424</v>
      </c>
      <c r="W119" s="5">
        <f>IF(ROW()&lt;=2+11,"",INDEX(Daily_Input!$F:$F,ROW()-12))</f>
        <v>9301.0968726409028</v>
      </c>
      <c r="X119" s="5">
        <f>IF(ROW()&lt;=2+12,"",INDEX(Daily_Input!$F:$F,ROW()-13))</f>
        <v>9937.922199184015</v>
      </c>
      <c r="Y119" s="5">
        <f>IF(ROW()&lt;=2+13,"",INDEX(Daily_Input!$F:$F,ROW()-14))</f>
        <v>9935.1251797613131</v>
      </c>
      <c r="Z119" s="5">
        <f>IF(ROW()&lt;=4,"",SUM(Daily_Input!I119:I121))</f>
        <v>0</v>
      </c>
      <c r="AA119" s="5">
        <f>IF(ROW()&lt;=8,"",SUM(Daily_Input!I119:I125))</f>
        <v>25.2</v>
      </c>
      <c r="AB119" s="5">
        <f>IF(ROW()&lt;=15,"",SUM(Daily_Input!I119:I132))</f>
        <v>54.4</v>
      </c>
      <c r="AC119" s="5">
        <f>IF(ROW()&lt;=4,"",AVERAGE(Daily_Input!F119:F121))</f>
        <v>24186.9980034207</v>
      </c>
      <c r="AD119" s="5">
        <f>IF(ROW()&lt;=8,"",AVERAGE(Daily_Input!F119:F125))</f>
        <v>15721.646135121413</v>
      </c>
      <c r="AE119" s="5">
        <f>IF(ROW()&lt;=8,"",MAX(Daily_Input!F119:F125))</f>
        <v>44479.341708086838</v>
      </c>
      <c r="AF119" s="5">
        <f>IF(ROW()&lt;=2+0,"",INDEX(Daily_Input!$G:$G,ROW()-1))</f>
        <v>15019.199999999999</v>
      </c>
      <c r="AG119" s="5">
        <f>IF(ROW()&lt;=2+0,"",INDEX(Daily_Input!$H:$H,ROW()-1))</f>
        <v>70780.242159999994</v>
      </c>
      <c r="AH119" s="5">
        <f>IF(ROW()&lt;=2+1,"",INDEX(Daily_Input!$G:$G,ROW()-2))</f>
        <v>15019.199999999999</v>
      </c>
      <c r="AI119" s="5">
        <f>IF(ROW()&lt;=2+1,"",INDEX(Daily_Input!$H:$H,ROW()-2))</f>
        <v>120739.24830000001</v>
      </c>
      <c r="AJ119" s="5">
        <f>IF(ROW()&lt;=2+2,"",INDEX(Daily_Input!$G:$G,ROW()-3))</f>
        <v>15019.199999999999</v>
      </c>
      <c r="AK119" s="5">
        <f>IF(ROW()&lt;=2+2,"",INDEX(Daily_Input!$H:$H,ROW()-3))</f>
        <v>162991.95009999999</v>
      </c>
    </row>
    <row r="120" spans="1:37">
      <c r="A120" s="5">
        <f>Daily_Input!A120</f>
        <v>45957</v>
      </c>
      <c r="B120" s="5">
        <f>Daily_Input!F120</f>
        <v>18262.693376172334</v>
      </c>
      <c r="C120" s="5">
        <f>Daily_Input!D120</f>
        <v>489.56099999999998</v>
      </c>
      <c r="D120" s="5">
        <f>Daily_Input!E120</f>
        <v>1631482.3951735001</v>
      </c>
      <c r="E120" s="5">
        <f>IF(ROW()=2,"",Daily_Input!E120-Daily_Input!E119)</f>
        <v>-6024.8245661999099</v>
      </c>
      <c r="F120" s="5">
        <f>IFERROR(Daily_Input!E120/Config!$B$4,"")</f>
        <v>1.0037027193749493</v>
      </c>
      <c r="G120" s="5">
        <f>Daily_Input!I120</f>
        <v>0</v>
      </c>
      <c r="H120" s="5">
        <f>IF(A120="","",IF(ROW()=2,G120,Config!$B$5*H119+G120))</f>
        <v>59.951613981182362</v>
      </c>
      <c r="I120" s="5">
        <f t="shared" si="1"/>
        <v>300</v>
      </c>
      <c r="J120" s="5">
        <f>IF(I120="","",SIN(2*PI()*I120/Config!$B$6))</f>
        <v>-0.89963086965224337</v>
      </c>
      <c r="K120" s="5">
        <f>IF(I120="","",COS(2*PI()*I120/Config!$B$6))</f>
        <v>0.43665123195606381</v>
      </c>
      <c r="L120" s="5">
        <f>IF(ROW()&lt;=2+0,"",INDEX(Daily_Input!$F:$F,ROW()-1))</f>
        <v>44479.341708086838</v>
      </c>
      <c r="M120" s="5">
        <f>IF(ROW()&lt;=2+1,"",INDEX(Daily_Input!$F:$F,ROW()-2))</f>
        <v>77486.39771545741</v>
      </c>
      <c r="N120" s="5">
        <f>IF(ROW()&lt;=2+2,"",INDEX(Daily_Input!$F:$F,ROW()-3))</f>
        <v>130466.19541163601</v>
      </c>
      <c r="O120" s="5">
        <f>IF(ROW()&lt;=2+3,"",INDEX(Daily_Input!$F:$F,ROW()-4))</f>
        <v>172713.5744070363</v>
      </c>
      <c r="P120" s="5">
        <f>IF(ROW()&lt;=2+4,"",INDEX(Daily_Input!$F:$F,ROW()-5))</f>
        <v>224830.47388327509</v>
      </c>
      <c r="Q120" s="5">
        <f>IF(ROW()&lt;=2+5,"",INDEX(Daily_Input!$F:$F,ROW()-6))</f>
        <v>223890.33393543618</v>
      </c>
      <c r="R120" s="5">
        <f>IF(ROW()&lt;=2+6,"",INDEX(Daily_Input!$F:$F,ROW()-7))</f>
        <v>159822.0349924381</v>
      </c>
      <c r="S120" s="5">
        <f>IF(ROW()&lt;=2+7,"",INDEX(Daily_Input!$F:$F,ROW()-8))</f>
        <v>59292.830091829761</v>
      </c>
      <c r="T120" s="5">
        <f>IF(ROW()&lt;=2+8,"",INDEX(Daily_Input!$F:$F,ROW()-9))</f>
        <v>57272.813048606957</v>
      </c>
      <c r="U120" s="5">
        <f>IF(ROW()&lt;=2+9,"",INDEX(Daily_Input!$F:$F,ROW()-10))</f>
        <v>72850.244410938816</v>
      </c>
      <c r="V120" s="5">
        <f>IF(ROW()&lt;=2+10,"",INDEX(Daily_Input!$F:$F,ROW()-11))</f>
        <v>41840.889251495639</v>
      </c>
      <c r="W120" s="5">
        <f>IF(ROW()&lt;=2+11,"",INDEX(Daily_Input!$F:$F,ROW()-12))</f>
        <v>41543.27817919424</v>
      </c>
      <c r="X120" s="5">
        <f>IF(ROW()&lt;=2+12,"",INDEX(Daily_Input!$F:$F,ROW()-13))</f>
        <v>9301.0968726409028</v>
      </c>
      <c r="Y120" s="5">
        <f>IF(ROW()&lt;=2+13,"",INDEX(Daily_Input!$F:$F,ROW()-14))</f>
        <v>9937.922199184015</v>
      </c>
      <c r="Z120" s="5">
        <f>IF(ROW()&lt;=4,"",SUM(Daily_Input!I120:I122))</f>
        <v>0</v>
      </c>
      <c r="AA120" s="5">
        <f>IF(ROW()&lt;=8,"",SUM(Daily_Input!I120:I126))</f>
        <v>34.6</v>
      </c>
      <c r="AB120" s="5">
        <f>IF(ROW()&lt;=15,"",SUM(Daily_Input!I120:I133))</f>
        <v>96.8</v>
      </c>
      <c r="AC120" s="5">
        <f>IF(ROW()&lt;=4,"",AVERAGE(Daily_Input!F120:F122))</f>
        <v>12616.644586634997</v>
      </c>
      <c r="AD120" s="5">
        <f>IF(ROW()&lt;=8,"",AVERAGE(Daily_Input!F120:F126))</f>
        <v>11513.054462537579</v>
      </c>
      <c r="AE120" s="5">
        <f>IF(ROW()&lt;=8,"",MAX(Daily_Input!F120:F126))</f>
        <v>18262.693376172334</v>
      </c>
      <c r="AF120" s="5">
        <f>IF(ROW()&lt;=2+0,"",INDEX(Daily_Input!$G:$G,ROW()-1))</f>
        <v>15019.199999999999</v>
      </c>
      <c r="AG120" s="5">
        <f>IF(ROW()&lt;=2+0,"",INDEX(Daily_Input!$H:$H,ROW()-1))</f>
        <v>34727.267890000003</v>
      </c>
      <c r="AH120" s="5">
        <f>IF(ROW()&lt;=2+1,"",INDEX(Daily_Input!$G:$G,ROW()-2))</f>
        <v>15019.199999999999</v>
      </c>
      <c r="AI120" s="5">
        <f>IF(ROW()&lt;=2+1,"",INDEX(Daily_Input!$H:$H,ROW()-2))</f>
        <v>70780.242159999994</v>
      </c>
      <c r="AJ120" s="5">
        <f>IF(ROW()&lt;=2+2,"",INDEX(Daily_Input!$G:$G,ROW()-3))</f>
        <v>15019.199999999999</v>
      </c>
      <c r="AK120" s="5">
        <f>IF(ROW()&lt;=2+2,"",INDEX(Daily_Input!$H:$H,ROW()-3))</f>
        <v>120739.24830000001</v>
      </c>
    </row>
    <row r="121" spans="1:37">
      <c r="A121" s="5">
        <f>Daily_Input!A121</f>
        <v>45958</v>
      </c>
      <c r="B121" s="5">
        <f>Daily_Input!F121</f>
        <v>9818.9589260029243</v>
      </c>
      <c r="C121" s="5">
        <f>Daily_Input!D121</f>
        <v>489.54199999999997</v>
      </c>
      <c r="D121" s="5">
        <f>Daily_Input!E121</f>
        <v>1625463.7590197001</v>
      </c>
      <c r="E121" s="5">
        <f>IF(ROW()=2,"",Daily_Input!E121-Daily_Input!E120)</f>
        <v>-6018.6361537999474</v>
      </c>
      <c r="F121" s="5">
        <f>IFERROR(Daily_Input!E121/Config!$B$4,"")</f>
        <v>1</v>
      </c>
      <c r="G121" s="5">
        <f>Daily_Input!I121</f>
        <v>0</v>
      </c>
      <c r="H121" s="5">
        <f>IF(A121="","",IF(ROW()=2,G121,Config!$B$5*H120+G121))</f>
        <v>56.954033282123241</v>
      </c>
      <c r="I121" s="5">
        <f t="shared" si="1"/>
        <v>301</v>
      </c>
      <c r="J121" s="5">
        <f>IF(I121="","",SIN(2*PI()*I121/Config!$B$6))</f>
        <v>-0.89198134645954874</v>
      </c>
      <c r="K121" s="5">
        <f>IF(I121="","",COS(2*PI()*I121/Config!$B$6))</f>
        <v>0.45207220393230374</v>
      </c>
      <c r="L121" s="5">
        <f>IF(ROW()&lt;=2+0,"",INDEX(Daily_Input!$F:$F,ROW()-1))</f>
        <v>18262.693376172334</v>
      </c>
      <c r="M121" s="5">
        <f>IF(ROW()&lt;=2+1,"",INDEX(Daily_Input!$F:$F,ROW()-2))</f>
        <v>44479.341708086838</v>
      </c>
      <c r="N121" s="5">
        <f>IF(ROW()&lt;=2+2,"",INDEX(Daily_Input!$F:$F,ROW()-3))</f>
        <v>77486.39771545741</v>
      </c>
      <c r="O121" s="5">
        <f>IF(ROW()&lt;=2+3,"",INDEX(Daily_Input!$F:$F,ROW()-4))</f>
        <v>130466.19541163601</v>
      </c>
      <c r="P121" s="5">
        <f>IF(ROW()&lt;=2+4,"",INDEX(Daily_Input!$F:$F,ROW()-5))</f>
        <v>172713.5744070363</v>
      </c>
      <c r="Q121" s="5">
        <f>IF(ROW()&lt;=2+5,"",INDEX(Daily_Input!$F:$F,ROW()-6))</f>
        <v>224830.47388327509</v>
      </c>
      <c r="R121" s="5">
        <f>IF(ROW()&lt;=2+6,"",INDEX(Daily_Input!$F:$F,ROW()-7))</f>
        <v>223890.33393543618</v>
      </c>
      <c r="S121" s="5">
        <f>IF(ROW()&lt;=2+7,"",INDEX(Daily_Input!$F:$F,ROW()-8))</f>
        <v>159822.0349924381</v>
      </c>
      <c r="T121" s="5">
        <f>IF(ROW()&lt;=2+8,"",INDEX(Daily_Input!$F:$F,ROW()-9))</f>
        <v>59292.830091829761</v>
      </c>
      <c r="U121" s="5">
        <f>IF(ROW()&lt;=2+9,"",INDEX(Daily_Input!$F:$F,ROW()-10))</f>
        <v>57272.813048606957</v>
      </c>
      <c r="V121" s="5">
        <f>IF(ROW()&lt;=2+10,"",INDEX(Daily_Input!$F:$F,ROW()-11))</f>
        <v>72850.244410938816</v>
      </c>
      <c r="W121" s="5">
        <f>IF(ROW()&lt;=2+11,"",INDEX(Daily_Input!$F:$F,ROW()-12))</f>
        <v>41840.889251495639</v>
      </c>
      <c r="X121" s="5">
        <f>IF(ROW()&lt;=2+12,"",INDEX(Daily_Input!$F:$F,ROW()-13))</f>
        <v>41543.27817919424</v>
      </c>
      <c r="Y121" s="5">
        <f>IF(ROW()&lt;=2+13,"",INDEX(Daily_Input!$F:$F,ROW()-14))</f>
        <v>9301.0968726409028</v>
      </c>
      <c r="Z121" s="5">
        <f>IF(ROW()&lt;=4,"",SUM(Daily_Input!I121:I123))</f>
        <v>0</v>
      </c>
      <c r="AA121" s="5">
        <f>IF(ROW()&lt;=8,"",SUM(Daily_Input!I121:I127))</f>
        <v>35.200000000000003</v>
      </c>
      <c r="AB121" s="5">
        <f>IF(ROW()&lt;=15,"",SUM(Daily_Input!I121:I134))</f>
        <v>106.2</v>
      </c>
      <c r="AC121" s="5">
        <f>IF(ROW()&lt;=4,"",AVERAGE(Daily_Input!F121:F123))</f>
        <v>9786.9359223484535</v>
      </c>
      <c r="AD121" s="5">
        <f>IF(ROW()&lt;=8,"",AVERAGE(Daily_Input!F121:F127))</f>
        <v>9765.5381808272123</v>
      </c>
      <c r="AE121" s="5">
        <f>IF(ROW()&lt;=8,"",MAX(Daily_Input!F121:F127))</f>
        <v>15019.199999999999</v>
      </c>
      <c r="AF121" s="5">
        <f>IF(ROW()&lt;=2+0,"",INDEX(Daily_Input!$G:$G,ROW()-1))</f>
        <v>15019.199999999999</v>
      </c>
      <c r="AG121" s="5">
        <f>IF(ROW()&lt;=2+0,"",INDEX(Daily_Input!$H:$H,ROW()-1))</f>
        <v>8505.2347019999997</v>
      </c>
      <c r="AH121" s="5">
        <f>IF(ROW()&lt;=2+1,"",INDEX(Daily_Input!$G:$G,ROW()-2))</f>
        <v>15019.199999999999</v>
      </c>
      <c r="AI121" s="5">
        <f>IF(ROW()&lt;=2+1,"",INDEX(Daily_Input!$H:$H,ROW()-2))</f>
        <v>34727.267890000003</v>
      </c>
      <c r="AJ121" s="5">
        <f>IF(ROW()&lt;=2+2,"",INDEX(Daily_Input!$G:$G,ROW()-3))</f>
        <v>15019.199999999999</v>
      </c>
      <c r="AK121" s="5">
        <f>IF(ROW()&lt;=2+2,"",INDEX(Daily_Input!$H:$H,ROW()-3))</f>
        <v>70780.242159999994</v>
      </c>
    </row>
    <row r="122" spans="1:37">
      <c r="A122" s="5">
        <f>Daily_Input!A122</f>
        <v>45959</v>
      </c>
      <c r="B122" s="5">
        <f>Daily_Input!F122</f>
        <v>9768.2814577297322</v>
      </c>
      <c r="C122" s="5">
        <f>Daily_Input!D122</f>
        <v>489.52100000000002</v>
      </c>
      <c r="D122" s="5">
        <f>Daily_Input!E122</f>
        <v>1619451.3170382001</v>
      </c>
      <c r="E122" s="5">
        <f>IF(ROW()=2,"",Daily_Input!E122-Daily_Input!E121)</f>
        <v>-6012.4419815000147</v>
      </c>
      <c r="F122" s="5">
        <f>IFERROR(Daily_Input!E122/Config!$B$4,"")</f>
        <v>0.99630109133584988</v>
      </c>
      <c r="G122" s="5">
        <f>Daily_Input!I122</f>
        <v>0</v>
      </c>
      <c r="H122" s="5">
        <f>IF(A122="","",IF(ROW()=2,G122,Config!$B$5*H121+G122))</f>
        <v>54.106331618017073</v>
      </c>
      <c r="I122" s="5">
        <f t="shared" si="1"/>
        <v>302</v>
      </c>
      <c r="J122" s="5">
        <f>IF(I122="","",SIN(2*PI()*I122/Config!$B$6))</f>
        <v>-0.88406750994336369</v>
      </c>
      <c r="K122" s="5">
        <f>IF(I122="","",COS(2*PI()*I122/Config!$B$6))</f>
        <v>0.46735921715800205</v>
      </c>
      <c r="L122" s="5">
        <f>IF(ROW()&lt;=2+0,"",INDEX(Daily_Input!$F:$F,ROW()-1))</f>
        <v>9818.9589260029243</v>
      </c>
      <c r="M122" s="5">
        <f>IF(ROW()&lt;=2+1,"",INDEX(Daily_Input!$F:$F,ROW()-2))</f>
        <v>18262.693376172334</v>
      </c>
      <c r="N122" s="5">
        <f>IF(ROW()&lt;=2+2,"",INDEX(Daily_Input!$F:$F,ROW()-3))</f>
        <v>44479.341708086838</v>
      </c>
      <c r="O122" s="5">
        <f>IF(ROW()&lt;=2+3,"",INDEX(Daily_Input!$F:$F,ROW()-4))</f>
        <v>77486.39771545741</v>
      </c>
      <c r="P122" s="5">
        <f>IF(ROW()&lt;=2+4,"",INDEX(Daily_Input!$F:$F,ROW()-5))</f>
        <v>130466.19541163601</v>
      </c>
      <c r="Q122" s="5">
        <f>IF(ROW()&lt;=2+5,"",INDEX(Daily_Input!$F:$F,ROW()-6))</f>
        <v>172713.5744070363</v>
      </c>
      <c r="R122" s="5">
        <f>IF(ROW()&lt;=2+6,"",INDEX(Daily_Input!$F:$F,ROW()-7))</f>
        <v>224830.47388327509</v>
      </c>
      <c r="S122" s="5">
        <f>IF(ROW()&lt;=2+7,"",INDEX(Daily_Input!$F:$F,ROW()-8))</f>
        <v>223890.33393543618</v>
      </c>
      <c r="T122" s="5">
        <f>IF(ROW()&lt;=2+8,"",INDEX(Daily_Input!$F:$F,ROW()-9))</f>
        <v>159822.0349924381</v>
      </c>
      <c r="U122" s="5">
        <f>IF(ROW()&lt;=2+9,"",INDEX(Daily_Input!$F:$F,ROW()-10))</f>
        <v>59292.830091829761</v>
      </c>
      <c r="V122" s="5">
        <f>IF(ROW()&lt;=2+10,"",INDEX(Daily_Input!$F:$F,ROW()-11))</f>
        <v>57272.813048606957</v>
      </c>
      <c r="W122" s="5">
        <f>IF(ROW()&lt;=2+11,"",INDEX(Daily_Input!$F:$F,ROW()-12))</f>
        <v>72850.244410938816</v>
      </c>
      <c r="X122" s="5">
        <f>IF(ROW()&lt;=2+12,"",INDEX(Daily_Input!$F:$F,ROW()-13))</f>
        <v>41840.889251495639</v>
      </c>
      <c r="Y122" s="5">
        <f>IF(ROW()&lt;=2+13,"",INDEX(Daily_Input!$F:$F,ROW()-14))</f>
        <v>41543.27817919424</v>
      </c>
      <c r="Z122" s="5">
        <f>IF(ROW()&lt;=4,"",SUM(Daily_Input!I122:I124))</f>
        <v>0</v>
      </c>
      <c r="AA122" s="5">
        <f>IF(ROW()&lt;=8,"",SUM(Daily_Input!I122:I128))</f>
        <v>35.200000000000003</v>
      </c>
      <c r="AB122" s="5">
        <f>IF(ROW()&lt;=15,"",SUM(Daily_Input!I122:I135))</f>
        <v>106.2</v>
      </c>
      <c r="AC122" s="5">
        <f>IF(ROW()&lt;=4,"",AVERAGE(Daily_Input!F122:F124))</f>
        <v>9773.565713316013</v>
      </c>
      <c r="AD122" s="5">
        <f>IF(ROW()&lt;=8,"",AVERAGE(Daily_Input!F122:F128))</f>
        <v>9653.3803794696596</v>
      </c>
      <c r="AE122" s="5">
        <f>IF(ROW()&lt;=8,"",MAX(Daily_Input!F122:F128))</f>
        <v>15019.199999999999</v>
      </c>
      <c r="AF122" s="5">
        <f>IF(ROW()&lt;=2+0,"",INDEX(Daily_Input!$G:$G,ROW()-1))</f>
        <v>15019.199999999999</v>
      </c>
      <c r="AG122" s="5">
        <f>IF(ROW()&lt;=2+0,"",INDEX(Daily_Input!$H:$H,ROW()-1))</f>
        <v>56.094737610000003</v>
      </c>
      <c r="AH122" s="5">
        <f>IF(ROW()&lt;=2+1,"",INDEX(Daily_Input!$G:$G,ROW()-2))</f>
        <v>15019.199999999999</v>
      </c>
      <c r="AI122" s="5">
        <f>IF(ROW()&lt;=2+1,"",INDEX(Daily_Input!$H:$H,ROW()-2))</f>
        <v>8505.2347019999997</v>
      </c>
      <c r="AJ122" s="5">
        <f>IF(ROW()&lt;=2+2,"",INDEX(Daily_Input!$G:$G,ROW()-3))</f>
        <v>15019.199999999999</v>
      </c>
      <c r="AK122" s="5">
        <f>IF(ROW()&lt;=2+2,"",INDEX(Daily_Input!$H:$H,ROW()-3))</f>
        <v>34727.267890000003</v>
      </c>
    </row>
    <row r="123" spans="1:37">
      <c r="A123" s="5">
        <f>Daily_Input!A123</f>
        <v>45960</v>
      </c>
      <c r="B123" s="5">
        <f>Daily_Input!F123</f>
        <v>9773.5673833127039</v>
      </c>
      <c r="C123" s="5">
        <f>Daily_Input!D123</f>
        <v>489.50198</v>
      </c>
      <c r="D123" s="5">
        <f>Daily_Input!E123</f>
        <v>1613444.9319478001</v>
      </c>
      <c r="E123" s="5">
        <f>IF(ROW()=2,"",Daily_Input!E123-Daily_Input!E122)</f>
        <v>-6006.3850903999992</v>
      </c>
      <c r="F123" s="5">
        <f>IFERROR(Daily_Input!E123/Config!$B$4,"")</f>
        <v>0.99260590892586342</v>
      </c>
      <c r="G123" s="5">
        <f>Daily_Input!I123</f>
        <v>0</v>
      </c>
      <c r="H123" s="5">
        <f>IF(A123="","",IF(ROW()=2,G123,Config!$B$5*H122+G123))</f>
        <v>51.401015037116217</v>
      </c>
      <c r="I123" s="5">
        <f t="shared" si="1"/>
        <v>303</v>
      </c>
      <c r="J123" s="5">
        <f>IF(I123="","",SIN(2*PI()*I123/Config!$B$6))</f>
        <v>-0.8758917051442433</v>
      </c>
      <c r="K123" s="5">
        <f>IF(I123="","",COS(2*PI()*I123/Config!$B$6))</f>
        <v>0.48250774176121763</v>
      </c>
      <c r="L123" s="5">
        <f>IF(ROW()&lt;=2+0,"",INDEX(Daily_Input!$F:$F,ROW()-1))</f>
        <v>9768.2814577297322</v>
      </c>
      <c r="M123" s="5">
        <f>IF(ROW()&lt;=2+1,"",INDEX(Daily_Input!$F:$F,ROW()-2))</f>
        <v>9818.9589260029243</v>
      </c>
      <c r="N123" s="5">
        <f>IF(ROW()&lt;=2+2,"",INDEX(Daily_Input!$F:$F,ROW()-3))</f>
        <v>18262.693376172334</v>
      </c>
      <c r="O123" s="5">
        <f>IF(ROW()&lt;=2+3,"",INDEX(Daily_Input!$F:$F,ROW()-4))</f>
        <v>44479.341708086838</v>
      </c>
      <c r="P123" s="5">
        <f>IF(ROW()&lt;=2+4,"",INDEX(Daily_Input!$F:$F,ROW()-5))</f>
        <v>77486.39771545741</v>
      </c>
      <c r="Q123" s="5">
        <f>IF(ROW()&lt;=2+5,"",INDEX(Daily_Input!$F:$F,ROW()-6))</f>
        <v>130466.19541163601</v>
      </c>
      <c r="R123" s="5">
        <f>IF(ROW()&lt;=2+6,"",INDEX(Daily_Input!$F:$F,ROW()-7))</f>
        <v>172713.5744070363</v>
      </c>
      <c r="S123" s="5">
        <f>IF(ROW()&lt;=2+7,"",INDEX(Daily_Input!$F:$F,ROW()-8))</f>
        <v>224830.47388327509</v>
      </c>
      <c r="T123" s="5">
        <f>IF(ROW()&lt;=2+8,"",INDEX(Daily_Input!$F:$F,ROW()-9))</f>
        <v>223890.33393543618</v>
      </c>
      <c r="U123" s="5">
        <f>IF(ROW()&lt;=2+9,"",INDEX(Daily_Input!$F:$F,ROW()-10))</f>
        <v>159822.0349924381</v>
      </c>
      <c r="V123" s="5">
        <f>IF(ROW()&lt;=2+10,"",INDEX(Daily_Input!$F:$F,ROW()-11))</f>
        <v>59292.830091829761</v>
      </c>
      <c r="W123" s="5">
        <f>IF(ROW()&lt;=2+11,"",INDEX(Daily_Input!$F:$F,ROW()-12))</f>
        <v>57272.813048606957</v>
      </c>
      <c r="X123" s="5">
        <f>IF(ROW()&lt;=2+12,"",INDEX(Daily_Input!$F:$F,ROW()-13))</f>
        <v>72850.244410938816</v>
      </c>
      <c r="Y123" s="5">
        <f>IF(ROW()&lt;=2+13,"",INDEX(Daily_Input!$F:$F,ROW()-14))</f>
        <v>41840.889251495639</v>
      </c>
      <c r="Z123" s="5">
        <f>IF(ROW()&lt;=4,"",SUM(Daily_Input!I123:I125))</f>
        <v>25.2</v>
      </c>
      <c r="AA123" s="5">
        <f>IF(ROW()&lt;=8,"",SUM(Daily_Input!I123:I129))</f>
        <v>53.6</v>
      </c>
      <c r="AB123" s="5">
        <f>IF(ROW()&lt;=15,"",SUM(Daily_Input!I123:I136))</f>
        <v>106.2</v>
      </c>
      <c r="AC123" s="5">
        <f>IF(ROW()&lt;=4,"",AVERAGE(Daily_Input!F123:F125))</f>
        <v>9240.7491592860188</v>
      </c>
      <c r="AD123" s="5">
        <f>IF(ROW()&lt;=8,"",AVERAGE(Daily_Input!F123:F129))</f>
        <v>11258.560983151119</v>
      </c>
      <c r="AE123" s="5">
        <f>IF(ROW()&lt;=8,"",MAX(Daily_Input!F123:F129))</f>
        <v>21004.545683499935</v>
      </c>
      <c r="AF123" s="5">
        <f>IF(ROW()&lt;=2+0,"",INDEX(Daily_Input!$G:$G,ROW()-1))</f>
        <v>15019.199999999999</v>
      </c>
      <c r="AG123" s="5">
        <f>IF(ROW()&lt;=2+0,"",INDEX(Daily_Input!$H:$H,ROW()-1))</f>
        <v>0</v>
      </c>
      <c r="AH123" s="5">
        <f>IF(ROW()&lt;=2+1,"",INDEX(Daily_Input!$G:$G,ROW()-2))</f>
        <v>15019.199999999999</v>
      </c>
      <c r="AI123" s="5">
        <f>IF(ROW()&lt;=2+1,"",INDEX(Daily_Input!$H:$H,ROW()-2))</f>
        <v>56.094737610000003</v>
      </c>
      <c r="AJ123" s="5">
        <f>IF(ROW()&lt;=2+2,"",INDEX(Daily_Input!$G:$G,ROW()-3))</f>
        <v>15019.199999999999</v>
      </c>
      <c r="AK123" s="5">
        <f>IF(ROW()&lt;=2+2,"",INDEX(Daily_Input!$H:$H,ROW()-3))</f>
        <v>8505.2347019999997</v>
      </c>
    </row>
    <row r="124" spans="1:37">
      <c r="A124" s="5">
        <f>Daily_Input!A124</f>
        <v>45961</v>
      </c>
      <c r="B124" s="5">
        <f>Daily_Input!F124</f>
        <v>9778.8482989056029</v>
      </c>
      <c r="C124" s="5">
        <f>Daily_Input!D124</f>
        <v>489.483</v>
      </c>
      <c r="D124" s="5">
        <f>Daily_Input!E124</f>
        <v>1607444.5930314001</v>
      </c>
      <c r="E124" s="5">
        <f>IF(ROW()=2,"",Daily_Input!E124-Daily_Input!E123)</f>
        <v>-6000.3389163999818</v>
      </c>
      <c r="F124" s="5">
        <f>IFERROR(Daily_Input!E124/Config!$B$4,"")</f>
        <v>0.98891444617678392</v>
      </c>
      <c r="G124" s="5">
        <f>Daily_Input!I124</f>
        <v>0</v>
      </c>
      <c r="H124" s="5">
        <f>IF(A124="","",IF(ROW()=2,G124,Config!$B$5*H123+G124))</f>
        <v>48.830964285260407</v>
      </c>
      <c r="I124" s="5">
        <f t="shared" si="1"/>
        <v>304</v>
      </c>
      <c r="J124" s="5">
        <f>IF(I124="","",SIN(2*PI()*I124/Config!$B$6))</f>
        <v>-0.86745635472959715</v>
      </c>
      <c r="K124" s="5">
        <f>IF(I124="","",COS(2*PI()*I124/Config!$B$6))</f>
        <v>0.49751328890718027</v>
      </c>
      <c r="L124" s="5">
        <f>IF(ROW()&lt;=2+0,"",INDEX(Daily_Input!$F:$F,ROW()-1))</f>
        <v>9773.5673833127039</v>
      </c>
      <c r="M124" s="5">
        <f>IF(ROW()&lt;=2+1,"",INDEX(Daily_Input!$F:$F,ROW()-2))</f>
        <v>9768.2814577297322</v>
      </c>
      <c r="N124" s="5">
        <f>IF(ROW()&lt;=2+2,"",INDEX(Daily_Input!$F:$F,ROW()-3))</f>
        <v>9818.9589260029243</v>
      </c>
      <c r="O124" s="5">
        <f>IF(ROW()&lt;=2+3,"",INDEX(Daily_Input!$F:$F,ROW()-4))</f>
        <v>18262.693376172334</v>
      </c>
      <c r="P124" s="5">
        <f>IF(ROW()&lt;=2+4,"",INDEX(Daily_Input!$F:$F,ROW()-5))</f>
        <v>44479.341708086838</v>
      </c>
      <c r="Q124" s="5">
        <f>IF(ROW()&lt;=2+5,"",INDEX(Daily_Input!$F:$F,ROW()-6))</f>
        <v>77486.39771545741</v>
      </c>
      <c r="R124" s="5">
        <f>IF(ROW()&lt;=2+6,"",INDEX(Daily_Input!$F:$F,ROW()-7))</f>
        <v>130466.19541163601</v>
      </c>
      <c r="S124" s="5">
        <f>IF(ROW()&lt;=2+7,"",INDEX(Daily_Input!$F:$F,ROW()-8))</f>
        <v>172713.5744070363</v>
      </c>
      <c r="T124" s="5">
        <f>IF(ROW()&lt;=2+8,"",INDEX(Daily_Input!$F:$F,ROW()-9))</f>
        <v>224830.47388327509</v>
      </c>
      <c r="U124" s="5">
        <f>IF(ROW()&lt;=2+9,"",INDEX(Daily_Input!$F:$F,ROW()-10))</f>
        <v>223890.33393543618</v>
      </c>
      <c r="V124" s="5">
        <f>IF(ROW()&lt;=2+10,"",INDEX(Daily_Input!$F:$F,ROW()-11))</f>
        <v>159822.0349924381</v>
      </c>
      <c r="W124" s="5">
        <f>IF(ROW()&lt;=2+11,"",INDEX(Daily_Input!$F:$F,ROW()-12))</f>
        <v>59292.830091829761</v>
      </c>
      <c r="X124" s="5">
        <f>IF(ROW()&lt;=2+12,"",INDEX(Daily_Input!$F:$F,ROW()-13))</f>
        <v>57272.813048606957</v>
      </c>
      <c r="Y124" s="5">
        <f>IF(ROW()&lt;=2+13,"",INDEX(Daily_Input!$F:$F,ROW()-14))</f>
        <v>72850.244410938816</v>
      </c>
      <c r="Z124" s="5">
        <f>IF(ROW()&lt;=4,"",SUM(Daily_Input!I124:I126))</f>
        <v>34.6</v>
      </c>
      <c r="AA124" s="5">
        <f>IF(ROW()&lt;=8,"",SUM(Daily_Input!I124:I130))</f>
        <v>54</v>
      </c>
      <c r="AB124" s="5">
        <f>IF(ROW()&lt;=15,"",SUM(Daily_Input!I124:I137))</f>
        <v>106.2</v>
      </c>
      <c r="AC124" s="5">
        <f>IF(ROW()&lt;=4,"",AVERAGE(Daily_Input!F124:F126))</f>
        <v>10989.293364848452</v>
      </c>
      <c r="AD124" s="5">
        <f>IF(ROW()&lt;=8,"",AVERAGE(Daily_Input!F124:F130))</f>
        <v>12007.937071249302</v>
      </c>
      <c r="AE124" s="5">
        <f>IF(ROW()&lt;=8,"",MAX(Daily_Input!F124:F130))</f>
        <v>21004.545683499935</v>
      </c>
      <c r="AF124" s="5">
        <f>IF(ROW()&lt;=2+0,"",INDEX(Daily_Input!$G:$G,ROW()-1))</f>
        <v>15019.199999999999</v>
      </c>
      <c r="AG124" s="5">
        <f>IF(ROW()&lt;=2+0,"",INDEX(Daily_Input!$H:$H,ROW()-1))</f>
        <v>0</v>
      </c>
      <c r="AH124" s="5">
        <f>IF(ROW()&lt;=2+1,"",INDEX(Daily_Input!$G:$G,ROW()-2))</f>
        <v>15019.199999999999</v>
      </c>
      <c r="AI124" s="5">
        <f>IF(ROW()&lt;=2+1,"",INDEX(Daily_Input!$H:$H,ROW()-2))</f>
        <v>0</v>
      </c>
      <c r="AJ124" s="5">
        <f>IF(ROW()&lt;=2+2,"",INDEX(Daily_Input!$G:$G,ROW()-3))</f>
        <v>15019.199999999999</v>
      </c>
      <c r="AK124" s="5">
        <f>IF(ROW()&lt;=2+2,"",INDEX(Daily_Input!$H:$H,ROW()-3))</f>
        <v>56.094737610000003</v>
      </c>
    </row>
    <row r="125" spans="1:37">
      <c r="A125" s="5">
        <f>Daily_Input!A125</f>
        <v>45962</v>
      </c>
      <c r="B125" s="5">
        <f>Daily_Input!F125</f>
        <v>8169.8317956397523</v>
      </c>
      <c r="C125" s="5">
        <f>Daily_Input!D125</f>
        <v>489.483</v>
      </c>
      <c r="D125" s="5">
        <f>Daily_Input!E125</f>
        <v>1607444.5930314001</v>
      </c>
      <c r="E125" s="5">
        <f>IF(ROW()=2,"",Daily_Input!E125-Daily_Input!E124)</f>
        <v>0</v>
      </c>
      <c r="F125" s="5">
        <f>IFERROR(Daily_Input!E125/Config!$B$4,"")</f>
        <v>0.98891444617678392</v>
      </c>
      <c r="G125" s="5">
        <f>Daily_Input!I125</f>
        <v>25.2</v>
      </c>
      <c r="H125" s="5">
        <f>IF(A125="","",IF(ROW()=2,G125,Config!$B$5*H124+G125))</f>
        <v>71.589416070997387</v>
      </c>
      <c r="I125" s="5">
        <f t="shared" si="1"/>
        <v>305</v>
      </c>
      <c r="J125" s="5">
        <f>IF(I125="","",SIN(2*PI()*I125/Config!$B$6))</f>
        <v>-0.8587639582758031</v>
      </c>
      <c r="K125" s="5">
        <f>IF(I125="","",COS(2*PI()*I125/Config!$B$6))</f>
        <v>0.51237141212842352</v>
      </c>
      <c r="L125" s="5">
        <f>IF(ROW()&lt;=2+0,"",INDEX(Daily_Input!$F:$F,ROW()-1))</f>
        <v>9778.8482989056029</v>
      </c>
      <c r="M125" s="5">
        <f>IF(ROW()&lt;=2+1,"",INDEX(Daily_Input!$F:$F,ROW()-2))</f>
        <v>9773.5673833127039</v>
      </c>
      <c r="N125" s="5">
        <f>IF(ROW()&lt;=2+2,"",INDEX(Daily_Input!$F:$F,ROW()-3))</f>
        <v>9768.2814577297322</v>
      </c>
      <c r="O125" s="5">
        <f>IF(ROW()&lt;=2+3,"",INDEX(Daily_Input!$F:$F,ROW()-4))</f>
        <v>9818.9589260029243</v>
      </c>
      <c r="P125" s="5">
        <f>IF(ROW()&lt;=2+4,"",INDEX(Daily_Input!$F:$F,ROW()-5))</f>
        <v>18262.693376172334</v>
      </c>
      <c r="Q125" s="5">
        <f>IF(ROW()&lt;=2+5,"",INDEX(Daily_Input!$F:$F,ROW()-6))</f>
        <v>44479.341708086838</v>
      </c>
      <c r="R125" s="5">
        <f>IF(ROW()&lt;=2+6,"",INDEX(Daily_Input!$F:$F,ROW()-7))</f>
        <v>77486.39771545741</v>
      </c>
      <c r="S125" s="5">
        <f>IF(ROW()&lt;=2+7,"",INDEX(Daily_Input!$F:$F,ROW()-8))</f>
        <v>130466.19541163601</v>
      </c>
      <c r="T125" s="5">
        <f>IF(ROW()&lt;=2+8,"",INDEX(Daily_Input!$F:$F,ROW()-9))</f>
        <v>172713.5744070363</v>
      </c>
      <c r="U125" s="5">
        <f>IF(ROW()&lt;=2+9,"",INDEX(Daily_Input!$F:$F,ROW()-10))</f>
        <v>224830.47388327509</v>
      </c>
      <c r="V125" s="5">
        <f>IF(ROW()&lt;=2+10,"",INDEX(Daily_Input!$F:$F,ROW()-11))</f>
        <v>223890.33393543618</v>
      </c>
      <c r="W125" s="5">
        <f>IF(ROW()&lt;=2+11,"",INDEX(Daily_Input!$F:$F,ROW()-12))</f>
        <v>159822.0349924381</v>
      </c>
      <c r="X125" s="5">
        <f>IF(ROW()&lt;=2+12,"",INDEX(Daily_Input!$F:$F,ROW()-13))</f>
        <v>59292.830091829761</v>
      </c>
      <c r="Y125" s="5">
        <f>IF(ROW()&lt;=2+13,"",INDEX(Daily_Input!$F:$F,ROW()-14))</f>
        <v>57272.813048606957</v>
      </c>
      <c r="Z125" s="5">
        <f>IF(ROW()&lt;=4,"",SUM(Daily_Input!I125:I127))</f>
        <v>35.200000000000003</v>
      </c>
      <c r="AA125" s="5">
        <f>IF(ROW()&lt;=8,"",SUM(Daily_Input!I125:I131))</f>
        <v>54</v>
      </c>
      <c r="AB125" s="5">
        <f>IF(ROW()&lt;=15,"",SUM(Daily_Input!I125:I138))</f>
        <v>106.2</v>
      </c>
      <c r="AC125" s="5">
        <f>IF(ROW()&lt;=4,"",AVERAGE(Daily_Input!F125:F127))</f>
        <v>9739.7037332798427</v>
      </c>
      <c r="AD125" s="5">
        <f>IF(ROW()&lt;=8,"",AVERAGE(Daily_Input!F125:F131))</f>
        <v>11148.122151477106</v>
      </c>
      <c r="AE125" s="5">
        <f>IF(ROW()&lt;=8,"",MAX(Daily_Input!F125:F131))</f>
        <v>21004.545683499935</v>
      </c>
      <c r="AF125" s="5">
        <f>IF(ROW()&lt;=2+0,"",INDEX(Daily_Input!$G:$G,ROW()-1))</f>
        <v>15019.199999999999</v>
      </c>
      <c r="AG125" s="5">
        <f>IF(ROW()&lt;=2+0,"",INDEX(Daily_Input!$H:$H,ROW()-1))</f>
        <v>0</v>
      </c>
      <c r="AH125" s="5">
        <f>IF(ROW()&lt;=2+1,"",INDEX(Daily_Input!$G:$G,ROW()-2))</f>
        <v>15019.199999999999</v>
      </c>
      <c r="AI125" s="5">
        <f>IF(ROW()&lt;=2+1,"",INDEX(Daily_Input!$H:$H,ROW()-2))</f>
        <v>0</v>
      </c>
      <c r="AJ125" s="5">
        <f>IF(ROW()&lt;=2+2,"",INDEX(Daily_Input!$G:$G,ROW()-3))</f>
        <v>15019.199999999999</v>
      </c>
      <c r="AK125" s="5">
        <f>IF(ROW()&lt;=2+2,"",INDEX(Daily_Input!$H:$H,ROW()-3))</f>
        <v>0</v>
      </c>
    </row>
    <row r="126" spans="1:37">
      <c r="A126" s="5">
        <f>Daily_Input!A126</f>
        <v>45963</v>
      </c>
      <c r="B126" s="5">
        <f>Daily_Input!F126</f>
        <v>15019.199999999999</v>
      </c>
      <c r="C126" s="5">
        <f>Daily_Input!D126</f>
        <v>489.483</v>
      </c>
      <c r="D126" s="5">
        <f>Daily_Input!E126</f>
        <v>1607444.5930314001</v>
      </c>
      <c r="E126" s="5">
        <f>IF(ROW()=2,"",Daily_Input!E126-Daily_Input!E125)</f>
        <v>0</v>
      </c>
      <c r="F126" s="5">
        <f>IFERROR(Daily_Input!E126/Config!$B$4,"")</f>
        <v>0.98891444617678392</v>
      </c>
      <c r="G126" s="5">
        <f>Daily_Input!I126</f>
        <v>9.4</v>
      </c>
      <c r="H126" s="5">
        <f>IF(A126="","",IF(ROW()=2,G126,Config!$B$5*H125+G126))</f>
        <v>77.409945267447526</v>
      </c>
      <c r="I126" s="5">
        <f t="shared" si="1"/>
        <v>306</v>
      </c>
      <c r="J126" s="5">
        <f>IF(I126="","",SIN(2*PI()*I126/Config!$B$6))</f>
        <v>-0.84981709152752771</v>
      </c>
      <c r="K126" s="5">
        <f>IF(I126="","",COS(2*PI()*I126/Config!$B$6))</f>
        <v>0.52707770864237236</v>
      </c>
      <c r="L126" s="5">
        <f>IF(ROW()&lt;=2+0,"",INDEX(Daily_Input!$F:$F,ROW()-1))</f>
        <v>8169.8317956397523</v>
      </c>
      <c r="M126" s="5">
        <f>IF(ROW()&lt;=2+1,"",INDEX(Daily_Input!$F:$F,ROW()-2))</f>
        <v>9778.8482989056029</v>
      </c>
      <c r="N126" s="5">
        <f>IF(ROW()&lt;=2+2,"",INDEX(Daily_Input!$F:$F,ROW()-3))</f>
        <v>9773.5673833127039</v>
      </c>
      <c r="O126" s="5">
        <f>IF(ROW()&lt;=2+3,"",INDEX(Daily_Input!$F:$F,ROW()-4))</f>
        <v>9768.2814577297322</v>
      </c>
      <c r="P126" s="5">
        <f>IF(ROW()&lt;=2+4,"",INDEX(Daily_Input!$F:$F,ROW()-5))</f>
        <v>9818.9589260029243</v>
      </c>
      <c r="Q126" s="5">
        <f>IF(ROW()&lt;=2+5,"",INDEX(Daily_Input!$F:$F,ROW()-6))</f>
        <v>18262.693376172334</v>
      </c>
      <c r="R126" s="5">
        <f>IF(ROW()&lt;=2+6,"",INDEX(Daily_Input!$F:$F,ROW()-7))</f>
        <v>44479.341708086838</v>
      </c>
      <c r="S126" s="5">
        <f>IF(ROW()&lt;=2+7,"",INDEX(Daily_Input!$F:$F,ROW()-8))</f>
        <v>77486.39771545741</v>
      </c>
      <c r="T126" s="5">
        <f>IF(ROW()&lt;=2+8,"",INDEX(Daily_Input!$F:$F,ROW()-9))</f>
        <v>130466.19541163601</v>
      </c>
      <c r="U126" s="5">
        <f>IF(ROW()&lt;=2+9,"",INDEX(Daily_Input!$F:$F,ROW()-10))</f>
        <v>172713.5744070363</v>
      </c>
      <c r="V126" s="5">
        <f>IF(ROW()&lt;=2+10,"",INDEX(Daily_Input!$F:$F,ROW()-11))</f>
        <v>224830.47388327509</v>
      </c>
      <c r="W126" s="5">
        <f>IF(ROW()&lt;=2+11,"",INDEX(Daily_Input!$F:$F,ROW()-12))</f>
        <v>223890.33393543618</v>
      </c>
      <c r="X126" s="5">
        <f>IF(ROW()&lt;=2+12,"",INDEX(Daily_Input!$F:$F,ROW()-13))</f>
        <v>159822.0349924381</v>
      </c>
      <c r="Y126" s="5">
        <f>IF(ROW()&lt;=2+13,"",INDEX(Daily_Input!$F:$F,ROW()-14))</f>
        <v>59292.830091829761</v>
      </c>
      <c r="Z126" s="5">
        <f>IF(ROW()&lt;=4,"",SUM(Daily_Input!I126:I128))</f>
        <v>10</v>
      </c>
      <c r="AA126" s="5">
        <f>IF(ROW()&lt;=8,"",SUM(Daily_Input!I126:I132))</f>
        <v>29.199999999999996</v>
      </c>
      <c r="AB126" s="5">
        <f>IF(ROW()&lt;=15,"",SUM(Daily_Input!I126:I139))</f>
        <v>81</v>
      </c>
      <c r="AC126" s="5">
        <f>IF(ROW()&lt;=4,"",AVERAGE(Daily_Input!F126:F128))</f>
        <v>10027.711240233279</v>
      </c>
      <c r="AD126" s="5">
        <f>IF(ROW()&lt;=8,"",AVERAGE(Daily_Input!F126:F132))</f>
        <v>15766.126787628553</v>
      </c>
      <c r="AE126" s="5">
        <f>IF(ROW()&lt;=8,"",MAX(Daily_Input!F126:F132))</f>
        <v>40495.864248699872</v>
      </c>
      <c r="AF126" s="5">
        <f>IF(ROW()&lt;=2+0,"",INDEX(Daily_Input!$G:$G,ROW()-1))</f>
        <v>15019.199999999999</v>
      </c>
      <c r="AG126" s="5">
        <f>IF(ROW()&lt;=2+0,"",INDEX(Daily_Input!$H:$H,ROW()-1))</f>
        <v>0</v>
      </c>
      <c r="AH126" s="5">
        <f>IF(ROW()&lt;=2+1,"",INDEX(Daily_Input!$G:$G,ROW()-2))</f>
        <v>15019.199999999999</v>
      </c>
      <c r="AI126" s="5">
        <f>IF(ROW()&lt;=2+1,"",INDEX(Daily_Input!$H:$H,ROW()-2))</f>
        <v>0</v>
      </c>
      <c r="AJ126" s="5">
        <f>IF(ROW()&lt;=2+2,"",INDEX(Daily_Input!$G:$G,ROW()-3))</f>
        <v>15019.199999999999</v>
      </c>
      <c r="AK126" s="5">
        <f>IF(ROW()&lt;=2+2,"",INDEX(Daily_Input!$H:$H,ROW()-3))</f>
        <v>0</v>
      </c>
    </row>
    <row r="127" spans="1:37">
      <c r="A127" s="5">
        <f>Daily_Input!A127</f>
        <v>45964</v>
      </c>
      <c r="B127" s="5">
        <f>Daily_Input!F127</f>
        <v>6030.0794041997742</v>
      </c>
      <c r="C127" s="5">
        <f>Daily_Input!D127</f>
        <v>489.45100000000002</v>
      </c>
      <c r="D127" s="5">
        <f>Daily_Input!E127</f>
        <v>1598455.4724355999</v>
      </c>
      <c r="E127" s="5">
        <f>IF(ROW()=2,"",Daily_Input!E127-Daily_Input!E126)</f>
        <v>-8989.1205958002247</v>
      </c>
      <c r="F127" s="5">
        <f>IFERROR(Daily_Input!E127/Config!$B$4,"")</f>
        <v>0.98338425791763662</v>
      </c>
      <c r="G127" s="5">
        <f>Daily_Input!I127</f>
        <v>0.6</v>
      </c>
      <c r="H127" s="5">
        <f>IF(A127="","",IF(ROW()=2,G127,Config!$B$5*H126+G127))</f>
        <v>74.139448004075135</v>
      </c>
      <c r="I127" s="5">
        <f t="shared" si="1"/>
        <v>307</v>
      </c>
      <c r="J127" s="5">
        <f>IF(I127="","",SIN(2*PI()*I127/Config!$B$6))</f>
        <v>-0.84061840563447832</v>
      </c>
      <c r="K127" s="5">
        <f>IF(I127="","",COS(2*PI()*I127/Config!$B$6))</f>
        <v>0.54162782065598114</v>
      </c>
      <c r="L127" s="5">
        <f>IF(ROW()&lt;=2+0,"",INDEX(Daily_Input!$F:$F,ROW()-1))</f>
        <v>15019.199999999999</v>
      </c>
      <c r="M127" s="5">
        <f>IF(ROW()&lt;=2+1,"",INDEX(Daily_Input!$F:$F,ROW()-2))</f>
        <v>8169.8317956397523</v>
      </c>
      <c r="N127" s="5">
        <f>IF(ROW()&lt;=2+2,"",INDEX(Daily_Input!$F:$F,ROW()-3))</f>
        <v>9778.8482989056029</v>
      </c>
      <c r="O127" s="5">
        <f>IF(ROW()&lt;=2+3,"",INDEX(Daily_Input!$F:$F,ROW()-4))</f>
        <v>9773.5673833127039</v>
      </c>
      <c r="P127" s="5">
        <f>IF(ROW()&lt;=2+4,"",INDEX(Daily_Input!$F:$F,ROW()-5))</f>
        <v>9768.2814577297322</v>
      </c>
      <c r="Q127" s="5">
        <f>IF(ROW()&lt;=2+5,"",INDEX(Daily_Input!$F:$F,ROW()-6))</f>
        <v>9818.9589260029243</v>
      </c>
      <c r="R127" s="5">
        <f>IF(ROW()&lt;=2+6,"",INDEX(Daily_Input!$F:$F,ROW()-7))</f>
        <v>18262.693376172334</v>
      </c>
      <c r="S127" s="5">
        <f>IF(ROW()&lt;=2+7,"",INDEX(Daily_Input!$F:$F,ROW()-8))</f>
        <v>44479.341708086838</v>
      </c>
      <c r="T127" s="5">
        <f>IF(ROW()&lt;=2+8,"",INDEX(Daily_Input!$F:$F,ROW()-9))</f>
        <v>77486.39771545741</v>
      </c>
      <c r="U127" s="5">
        <f>IF(ROW()&lt;=2+9,"",INDEX(Daily_Input!$F:$F,ROW()-10))</f>
        <v>130466.19541163601</v>
      </c>
      <c r="V127" s="5">
        <f>IF(ROW()&lt;=2+10,"",INDEX(Daily_Input!$F:$F,ROW()-11))</f>
        <v>172713.5744070363</v>
      </c>
      <c r="W127" s="5">
        <f>IF(ROW()&lt;=2+11,"",INDEX(Daily_Input!$F:$F,ROW()-12))</f>
        <v>224830.47388327509</v>
      </c>
      <c r="X127" s="5">
        <f>IF(ROW()&lt;=2+12,"",INDEX(Daily_Input!$F:$F,ROW()-13))</f>
        <v>223890.33393543618</v>
      </c>
      <c r="Y127" s="5">
        <f>IF(ROW()&lt;=2+13,"",INDEX(Daily_Input!$F:$F,ROW()-14))</f>
        <v>159822.0349924381</v>
      </c>
      <c r="Z127" s="5">
        <f>IF(ROW()&lt;=4,"",SUM(Daily_Input!I127:I129))</f>
        <v>19</v>
      </c>
      <c r="AA127" s="5">
        <f>IF(ROW()&lt;=8,"",SUM(Daily_Input!I127:I133))</f>
        <v>62.199999999999996</v>
      </c>
      <c r="AB127" s="5">
        <f>IF(ROW()&lt;=15,"",SUM(Daily_Input!I127:I140))</f>
        <v>71.599999999999994</v>
      </c>
      <c r="AC127" s="5">
        <f>IF(ROW()&lt;=4,"",AVERAGE(Daily_Input!F127:F129))</f>
        <v>12022.826468066589</v>
      </c>
      <c r="AD127" s="5">
        <f>IF(ROW()&lt;=8,"",AVERAGE(Daily_Input!F127:F133))</f>
        <v>61650.091787628531</v>
      </c>
      <c r="AE127" s="5">
        <f>IF(ROW()&lt;=8,"",MAX(Daily_Input!F127:F133))</f>
        <v>336206.9549999999</v>
      </c>
      <c r="AF127" s="5">
        <f>IF(ROW()&lt;=2+0,"",INDEX(Daily_Input!$G:$G,ROW()-1))</f>
        <v>15019.199999999999</v>
      </c>
      <c r="AG127" s="5">
        <f>IF(ROW()&lt;=2+0,"",INDEX(Daily_Input!$H:$H,ROW()-1))</f>
        <v>0</v>
      </c>
      <c r="AH127" s="5">
        <f>IF(ROW()&lt;=2+1,"",INDEX(Daily_Input!$G:$G,ROW()-2))</f>
        <v>15019.199999999999</v>
      </c>
      <c r="AI127" s="5">
        <f>IF(ROW()&lt;=2+1,"",INDEX(Daily_Input!$H:$H,ROW()-2))</f>
        <v>0</v>
      </c>
      <c r="AJ127" s="5">
        <f>IF(ROW()&lt;=2+2,"",INDEX(Daily_Input!$G:$G,ROW()-3))</f>
        <v>15019.199999999999</v>
      </c>
      <c r="AK127" s="5">
        <f>IF(ROW()&lt;=2+2,"",INDEX(Daily_Input!$H:$H,ROW()-3))</f>
        <v>0</v>
      </c>
    </row>
    <row r="128" spans="1:37">
      <c r="A128" s="5">
        <f>Daily_Input!A128</f>
        <v>45965</v>
      </c>
      <c r="B128" s="5">
        <f>Daily_Input!F128</f>
        <v>9033.854316500061</v>
      </c>
      <c r="C128" s="5">
        <f>Daily_Input!D128</f>
        <v>489.43799999999999</v>
      </c>
      <c r="D128" s="5">
        <f>Daily_Input!E128</f>
        <v>1592470.1267521</v>
      </c>
      <c r="E128" s="5">
        <f>IF(ROW()=2,"",Daily_Input!E128-Daily_Input!E127)</f>
        <v>-5985.3456834999379</v>
      </c>
      <c r="F128" s="5">
        <f>IFERROR(Daily_Input!E128/Config!$B$4,"")</f>
        <v>0.97970201914098765</v>
      </c>
      <c r="G128" s="5">
        <f>Daily_Input!I128</f>
        <v>0</v>
      </c>
      <c r="H128" s="5">
        <f>IF(A128="","",IF(ROW()=2,G128,Config!$B$5*H127+G128))</f>
        <v>70.432475603871382</v>
      </c>
      <c r="I128" s="5">
        <f t="shared" si="1"/>
        <v>308</v>
      </c>
      <c r="J128" s="5">
        <f>IF(I128="","",SIN(2*PI()*I128/Config!$B$6))</f>
        <v>-0.83117062636580785</v>
      </c>
      <c r="K128" s="5">
        <f>IF(I128="","",COS(2*PI()*I128/Config!$B$6))</f>
        <v>0.55601743665704462</v>
      </c>
      <c r="L128" s="5">
        <f>IF(ROW()&lt;=2+0,"",INDEX(Daily_Input!$F:$F,ROW()-1))</f>
        <v>6030.0794041997742</v>
      </c>
      <c r="M128" s="5">
        <f>IF(ROW()&lt;=2+1,"",INDEX(Daily_Input!$F:$F,ROW()-2))</f>
        <v>15019.199999999999</v>
      </c>
      <c r="N128" s="5">
        <f>IF(ROW()&lt;=2+2,"",INDEX(Daily_Input!$F:$F,ROW()-3))</f>
        <v>8169.8317956397523</v>
      </c>
      <c r="O128" s="5">
        <f>IF(ROW()&lt;=2+3,"",INDEX(Daily_Input!$F:$F,ROW()-4))</f>
        <v>9778.8482989056029</v>
      </c>
      <c r="P128" s="5">
        <f>IF(ROW()&lt;=2+4,"",INDEX(Daily_Input!$F:$F,ROW()-5))</f>
        <v>9773.5673833127039</v>
      </c>
      <c r="Q128" s="5">
        <f>IF(ROW()&lt;=2+5,"",INDEX(Daily_Input!$F:$F,ROW()-6))</f>
        <v>9768.2814577297322</v>
      </c>
      <c r="R128" s="5">
        <f>IF(ROW()&lt;=2+6,"",INDEX(Daily_Input!$F:$F,ROW()-7))</f>
        <v>9818.9589260029243</v>
      </c>
      <c r="S128" s="5">
        <f>IF(ROW()&lt;=2+7,"",INDEX(Daily_Input!$F:$F,ROW()-8))</f>
        <v>18262.693376172334</v>
      </c>
      <c r="T128" s="5">
        <f>IF(ROW()&lt;=2+8,"",INDEX(Daily_Input!$F:$F,ROW()-9))</f>
        <v>44479.341708086838</v>
      </c>
      <c r="U128" s="5">
        <f>IF(ROW()&lt;=2+9,"",INDEX(Daily_Input!$F:$F,ROW()-10))</f>
        <v>77486.39771545741</v>
      </c>
      <c r="V128" s="5">
        <f>IF(ROW()&lt;=2+10,"",INDEX(Daily_Input!$F:$F,ROW()-11))</f>
        <v>130466.19541163601</v>
      </c>
      <c r="W128" s="5">
        <f>IF(ROW()&lt;=2+11,"",INDEX(Daily_Input!$F:$F,ROW()-12))</f>
        <v>172713.5744070363</v>
      </c>
      <c r="X128" s="5">
        <f>IF(ROW()&lt;=2+12,"",INDEX(Daily_Input!$F:$F,ROW()-13))</f>
        <v>224830.47388327509</v>
      </c>
      <c r="Y128" s="5">
        <f>IF(ROW()&lt;=2+13,"",INDEX(Daily_Input!$F:$F,ROW()-14))</f>
        <v>223890.33393543618</v>
      </c>
      <c r="Z128" s="5">
        <f>IF(ROW()&lt;=4,"",SUM(Daily_Input!I128:I130))</f>
        <v>18.799999999999997</v>
      </c>
      <c r="AA128" s="5">
        <f>IF(ROW()&lt;=8,"",SUM(Daily_Input!I128:I134))</f>
        <v>71</v>
      </c>
      <c r="AB128" s="5">
        <f>IF(ROW()&lt;=15,"",SUM(Daily_Input!I128:I141))</f>
        <v>71</v>
      </c>
      <c r="AC128" s="5">
        <f>IF(ROW()&lt;=4,"",AVERAGE(Daily_Input!F128:F130))</f>
        <v>15019.199999999997</v>
      </c>
      <c r="AD128" s="5">
        <f>IF(ROW()&lt;=8,"",AVERAGE(Daily_Input!F128:F134))</f>
        <v>113715.70758772858</v>
      </c>
      <c r="AE128" s="5">
        <f>IF(ROW()&lt;=8,"",MAX(Daily_Input!F128:F134))</f>
        <v>370489.39000490011</v>
      </c>
      <c r="AF128" s="5">
        <f>IF(ROW()&lt;=2+0,"",INDEX(Daily_Input!$G:$G,ROW()-1))</f>
        <v>15019.199999999999</v>
      </c>
      <c r="AG128" s="5">
        <f>IF(ROW()&lt;=2+0,"",INDEX(Daily_Input!$H:$H,ROW()-1))</f>
        <v>0</v>
      </c>
      <c r="AH128" s="5">
        <f>IF(ROW()&lt;=2+1,"",INDEX(Daily_Input!$G:$G,ROW()-2))</f>
        <v>15019.199999999999</v>
      </c>
      <c r="AI128" s="5">
        <f>IF(ROW()&lt;=2+1,"",INDEX(Daily_Input!$H:$H,ROW()-2))</f>
        <v>0</v>
      </c>
      <c r="AJ128" s="5">
        <f>IF(ROW()&lt;=2+2,"",INDEX(Daily_Input!$G:$G,ROW()-3))</f>
        <v>15019.199999999999</v>
      </c>
      <c r="AK128" s="5">
        <f>IF(ROW()&lt;=2+2,"",INDEX(Daily_Input!$H:$H,ROW()-3))</f>
        <v>0</v>
      </c>
    </row>
    <row r="129" spans="1:37">
      <c r="A129" s="5">
        <f>Daily_Input!A129</f>
        <v>45966</v>
      </c>
      <c r="B129" s="5">
        <f>Daily_Input!F129</f>
        <v>21004.545683499935</v>
      </c>
      <c r="C129" s="5">
        <f>Daily_Input!D129</f>
        <v>489.45100000000002</v>
      </c>
      <c r="D129" s="5">
        <f>Daily_Input!E129</f>
        <v>1598455.4724355999</v>
      </c>
      <c r="E129" s="5">
        <f>IF(ROW()=2,"",Daily_Input!E129-Daily_Input!E128)</f>
        <v>5985.3456834999379</v>
      </c>
      <c r="F129" s="5">
        <f>IFERROR(Daily_Input!E129/Config!$B$4,"")</f>
        <v>0.98338425791763662</v>
      </c>
      <c r="G129" s="5">
        <f>Daily_Input!I129</f>
        <v>18.399999999999999</v>
      </c>
      <c r="H129" s="5">
        <f>IF(A129="","",IF(ROW()=2,G129,Config!$B$5*H128+G129))</f>
        <v>85.310851823677808</v>
      </c>
      <c r="I129" s="5">
        <f t="shared" si="1"/>
        <v>309</v>
      </c>
      <c r="J129" s="5">
        <f>IF(I129="","",SIN(2*PI()*I129/Config!$B$6))</f>
        <v>-0.82147655330241454</v>
      </c>
      <c r="K129" s="5">
        <f>IF(I129="","",COS(2*PI()*I129/Config!$B$6))</f>
        <v>0.57024229269178672</v>
      </c>
      <c r="L129" s="5">
        <f>IF(ROW()&lt;=2+0,"",INDEX(Daily_Input!$F:$F,ROW()-1))</f>
        <v>9033.854316500061</v>
      </c>
      <c r="M129" s="5">
        <f>IF(ROW()&lt;=2+1,"",INDEX(Daily_Input!$F:$F,ROW()-2))</f>
        <v>6030.0794041997742</v>
      </c>
      <c r="N129" s="5">
        <f>IF(ROW()&lt;=2+2,"",INDEX(Daily_Input!$F:$F,ROW()-3))</f>
        <v>15019.199999999999</v>
      </c>
      <c r="O129" s="5">
        <f>IF(ROW()&lt;=2+3,"",INDEX(Daily_Input!$F:$F,ROW()-4))</f>
        <v>8169.8317956397523</v>
      </c>
      <c r="P129" s="5">
        <f>IF(ROW()&lt;=2+4,"",INDEX(Daily_Input!$F:$F,ROW()-5))</f>
        <v>9778.8482989056029</v>
      </c>
      <c r="Q129" s="5">
        <f>IF(ROW()&lt;=2+5,"",INDEX(Daily_Input!$F:$F,ROW()-6))</f>
        <v>9773.5673833127039</v>
      </c>
      <c r="R129" s="5">
        <f>IF(ROW()&lt;=2+6,"",INDEX(Daily_Input!$F:$F,ROW()-7))</f>
        <v>9768.2814577297322</v>
      </c>
      <c r="S129" s="5">
        <f>IF(ROW()&lt;=2+7,"",INDEX(Daily_Input!$F:$F,ROW()-8))</f>
        <v>9818.9589260029243</v>
      </c>
      <c r="T129" s="5">
        <f>IF(ROW()&lt;=2+8,"",INDEX(Daily_Input!$F:$F,ROW()-9))</f>
        <v>18262.693376172334</v>
      </c>
      <c r="U129" s="5">
        <f>IF(ROW()&lt;=2+9,"",INDEX(Daily_Input!$F:$F,ROW()-10))</f>
        <v>44479.341708086838</v>
      </c>
      <c r="V129" s="5">
        <f>IF(ROW()&lt;=2+10,"",INDEX(Daily_Input!$F:$F,ROW()-11))</f>
        <v>77486.39771545741</v>
      </c>
      <c r="W129" s="5">
        <f>IF(ROW()&lt;=2+11,"",INDEX(Daily_Input!$F:$F,ROW()-12))</f>
        <v>130466.19541163601</v>
      </c>
      <c r="X129" s="5">
        <f>IF(ROW()&lt;=2+12,"",INDEX(Daily_Input!$F:$F,ROW()-13))</f>
        <v>172713.5744070363</v>
      </c>
      <c r="Y129" s="5">
        <f>IF(ROW()&lt;=2+13,"",INDEX(Daily_Input!$F:$F,ROW()-14))</f>
        <v>224830.47388327509</v>
      </c>
      <c r="Z129" s="5">
        <f>IF(ROW()&lt;=4,"",SUM(Daily_Input!I129:I131))</f>
        <v>18.799999999999997</v>
      </c>
      <c r="AA129" s="5">
        <f>IF(ROW()&lt;=8,"",SUM(Daily_Input!I129:I135))</f>
        <v>71</v>
      </c>
      <c r="AB129" s="5">
        <f>IF(ROW()&lt;=15,"",SUM(Daily_Input!I129:I142))</f>
        <v>112.2</v>
      </c>
      <c r="AC129" s="5">
        <f>IF(ROW()&lt;=4,"",AVERAGE(Daily_Input!F129:F131))</f>
        <v>13261.296514666714</v>
      </c>
      <c r="AD129" s="5">
        <f>IF(ROW()&lt;=8,"",AVERAGE(Daily_Input!F129:F135))</f>
        <v>158542.74223717145</v>
      </c>
      <c r="AE129" s="5">
        <f>IF(ROW()&lt;=8,"",MAX(Daily_Input!F129:F135))</f>
        <v>370489.39000490011</v>
      </c>
      <c r="AF129" s="5">
        <f>IF(ROW()&lt;=2+0,"",INDEX(Daily_Input!$G:$G,ROW()-1))</f>
        <v>15019.199999999999</v>
      </c>
      <c r="AG129" s="5">
        <f>IF(ROW()&lt;=2+0,"",INDEX(Daily_Input!$H:$H,ROW()-1))</f>
        <v>0</v>
      </c>
      <c r="AH129" s="5">
        <f>IF(ROW()&lt;=2+1,"",INDEX(Daily_Input!$G:$G,ROW()-2))</f>
        <v>15019.199999999999</v>
      </c>
      <c r="AI129" s="5">
        <f>IF(ROW()&lt;=2+1,"",INDEX(Daily_Input!$H:$H,ROW()-2))</f>
        <v>0</v>
      </c>
      <c r="AJ129" s="5">
        <f>IF(ROW()&lt;=2+2,"",INDEX(Daily_Input!$G:$G,ROW()-3))</f>
        <v>15019.199999999999</v>
      </c>
      <c r="AK129" s="5">
        <f>IF(ROW()&lt;=2+2,"",INDEX(Daily_Input!$H:$H,ROW()-3))</f>
        <v>0</v>
      </c>
    </row>
    <row r="130" spans="1:37">
      <c r="A130" s="5">
        <f>Daily_Input!A130</f>
        <v>45967</v>
      </c>
      <c r="B130" s="5">
        <f>Daily_Input!F130</f>
        <v>15019.199999999999</v>
      </c>
      <c r="C130" s="5">
        <f>Daily_Input!D130</f>
        <v>489.45699999999999</v>
      </c>
      <c r="D130" s="5">
        <f>Daily_Input!E130</f>
        <v>1598455.4724355999</v>
      </c>
      <c r="E130" s="5">
        <f>IF(ROW()=2,"",Daily_Input!E130-Daily_Input!E129)</f>
        <v>0</v>
      </c>
      <c r="F130" s="5">
        <f>IFERROR(Daily_Input!E130/Config!$B$4,"")</f>
        <v>0.98338425791763662</v>
      </c>
      <c r="G130" s="5">
        <f>Daily_Input!I130</f>
        <v>0.4</v>
      </c>
      <c r="H130" s="5">
        <f>IF(A130="","",IF(ROW()=2,G130,Config!$B$5*H129+G130))</f>
        <v>81.445309232493926</v>
      </c>
      <c r="I130" s="5">
        <f t="shared" si="1"/>
        <v>310</v>
      </c>
      <c r="J130" s="5">
        <f>IF(I130="","",SIN(2*PI()*I130/Config!$B$6))</f>
        <v>-0.81153905900736112</v>
      </c>
      <c r="K130" s="5">
        <f>IF(I130="","",COS(2*PI()*I130/Config!$B$6))</f>
        <v>0.58429817362836833</v>
      </c>
      <c r="L130" s="5">
        <f>IF(ROW()&lt;=2+0,"",INDEX(Daily_Input!$F:$F,ROW()-1))</f>
        <v>21004.545683499935</v>
      </c>
      <c r="M130" s="5">
        <f>IF(ROW()&lt;=2+1,"",INDEX(Daily_Input!$F:$F,ROW()-2))</f>
        <v>9033.854316500061</v>
      </c>
      <c r="N130" s="5">
        <f>IF(ROW()&lt;=2+2,"",INDEX(Daily_Input!$F:$F,ROW()-3))</f>
        <v>6030.0794041997742</v>
      </c>
      <c r="O130" s="5">
        <f>IF(ROW()&lt;=2+3,"",INDEX(Daily_Input!$F:$F,ROW()-4))</f>
        <v>15019.199999999999</v>
      </c>
      <c r="P130" s="5">
        <f>IF(ROW()&lt;=2+4,"",INDEX(Daily_Input!$F:$F,ROW()-5))</f>
        <v>8169.8317956397523</v>
      </c>
      <c r="Q130" s="5">
        <f>IF(ROW()&lt;=2+5,"",INDEX(Daily_Input!$F:$F,ROW()-6))</f>
        <v>9778.8482989056029</v>
      </c>
      <c r="R130" s="5">
        <f>IF(ROW()&lt;=2+6,"",INDEX(Daily_Input!$F:$F,ROW()-7))</f>
        <v>9773.5673833127039</v>
      </c>
      <c r="S130" s="5">
        <f>IF(ROW()&lt;=2+7,"",INDEX(Daily_Input!$F:$F,ROW()-8))</f>
        <v>9768.2814577297322</v>
      </c>
      <c r="T130" s="5">
        <f>IF(ROW()&lt;=2+8,"",INDEX(Daily_Input!$F:$F,ROW()-9))</f>
        <v>9818.9589260029243</v>
      </c>
      <c r="U130" s="5">
        <f>IF(ROW()&lt;=2+9,"",INDEX(Daily_Input!$F:$F,ROW()-10))</f>
        <v>18262.693376172334</v>
      </c>
      <c r="V130" s="5">
        <f>IF(ROW()&lt;=2+10,"",INDEX(Daily_Input!$F:$F,ROW()-11))</f>
        <v>44479.341708086838</v>
      </c>
      <c r="W130" s="5">
        <f>IF(ROW()&lt;=2+11,"",INDEX(Daily_Input!$F:$F,ROW()-12))</f>
        <v>77486.39771545741</v>
      </c>
      <c r="X130" s="5">
        <f>IF(ROW()&lt;=2+12,"",INDEX(Daily_Input!$F:$F,ROW()-13))</f>
        <v>130466.19541163601</v>
      </c>
      <c r="Y130" s="5">
        <f>IF(ROW()&lt;=2+13,"",INDEX(Daily_Input!$F:$F,ROW()-14))</f>
        <v>172713.5744070363</v>
      </c>
      <c r="Z130" s="5">
        <f>IF(ROW()&lt;=4,"",SUM(Daily_Input!I130:I132))</f>
        <v>0.8</v>
      </c>
      <c r="AA130" s="5">
        <f>IF(ROW()&lt;=8,"",SUM(Daily_Input!I130:I136))</f>
        <v>52.599999999999994</v>
      </c>
      <c r="AB130" s="5">
        <f>IF(ROW()&lt;=15,"",SUM(Daily_Input!I130:I143))</f>
        <v>125</v>
      </c>
      <c r="AC130" s="5">
        <f>IF(ROW()&lt;=4,"",AVERAGE(Daily_Input!F130:F132))</f>
        <v>19758.402703066695</v>
      </c>
      <c r="AD130" s="5">
        <f>IF(ROW()&lt;=8,"",AVERAGE(Daily_Input!F130:F136))</f>
        <v>195433.90629145716</v>
      </c>
      <c r="AE130" s="5">
        <f>IF(ROW()&lt;=8,"",MAX(Daily_Input!F130:F136))</f>
        <v>370489.39000490011</v>
      </c>
      <c r="AF130" s="5">
        <f>IF(ROW()&lt;=2+0,"",INDEX(Daily_Input!$G:$G,ROW()-1))</f>
        <v>15019.199999999999</v>
      </c>
      <c r="AG130" s="5">
        <f>IF(ROW()&lt;=2+0,"",INDEX(Daily_Input!$H:$H,ROW()-1))</f>
        <v>0</v>
      </c>
      <c r="AH130" s="5">
        <f>IF(ROW()&lt;=2+1,"",INDEX(Daily_Input!$G:$G,ROW()-2))</f>
        <v>15019.199999999999</v>
      </c>
      <c r="AI130" s="5">
        <f>IF(ROW()&lt;=2+1,"",INDEX(Daily_Input!$H:$H,ROW()-2))</f>
        <v>0</v>
      </c>
      <c r="AJ130" s="5">
        <f>IF(ROW()&lt;=2+2,"",INDEX(Daily_Input!$G:$G,ROW()-3))</f>
        <v>15019.199999999999</v>
      </c>
      <c r="AK130" s="5">
        <f>IF(ROW()&lt;=2+2,"",INDEX(Daily_Input!$H:$H,ROW()-3))</f>
        <v>0</v>
      </c>
    </row>
    <row r="131" spans="1:37">
      <c r="A131" s="5">
        <f>Daily_Input!A131</f>
        <v>45968</v>
      </c>
      <c r="B131" s="5">
        <f>Daily_Input!F131</f>
        <v>3760.1438605002122</v>
      </c>
      <c r="C131" s="5">
        <f>Daily_Input!D131</f>
        <v>489.44499999999999</v>
      </c>
      <c r="D131" s="5">
        <f>Daily_Input!E131</f>
        <v>1595462.0162961001</v>
      </c>
      <c r="E131" s="5">
        <f>IF(ROW()=2,"",Daily_Input!E131-Daily_Input!E130)</f>
        <v>-2993.4561394997872</v>
      </c>
      <c r="F131" s="5">
        <f>IFERROR(Daily_Input!E131/Config!$B$4,"")</f>
        <v>0.98154265663745477</v>
      </c>
      <c r="G131" s="5">
        <f>Daily_Input!I131</f>
        <v>0</v>
      </c>
      <c r="H131" s="5">
        <f>IF(A131="","",IF(ROW()=2,G131,Config!$B$5*H130+G131))</f>
        <v>77.373043770869231</v>
      </c>
      <c r="I131" s="5">
        <f t="shared" ref="I131:I194" si="2">IF(A131="","",A131-DATE(YEAR(A131),1,0))</f>
        <v>311</v>
      </c>
      <c r="J131" s="5">
        <f>IF(I131="","",SIN(2*PI()*I131/Config!$B$6))</f>
        <v>-0.80136108817467699</v>
      </c>
      <c r="K131" s="5">
        <f>IF(I131="","",COS(2*PI()*I131/Config!$B$6))</f>
        <v>0.59818091440591592</v>
      </c>
      <c r="L131" s="5">
        <f>IF(ROW()&lt;=2+0,"",INDEX(Daily_Input!$F:$F,ROW()-1))</f>
        <v>15019.199999999999</v>
      </c>
      <c r="M131" s="5">
        <f>IF(ROW()&lt;=2+1,"",INDEX(Daily_Input!$F:$F,ROW()-2))</f>
        <v>21004.545683499935</v>
      </c>
      <c r="N131" s="5">
        <f>IF(ROW()&lt;=2+2,"",INDEX(Daily_Input!$F:$F,ROW()-3))</f>
        <v>9033.854316500061</v>
      </c>
      <c r="O131" s="5">
        <f>IF(ROW()&lt;=2+3,"",INDEX(Daily_Input!$F:$F,ROW()-4))</f>
        <v>6030.0794041997742</v>
      </c>
      <c r="P131" s="5">
        <f>IF(ROW()&lt;=2+4,"",INDEX(Daily_Input!$F:$F,ROW()-5))</f>
        <v>15019.199999999999</v>
      </c>
      <c r="Q131" s="5">
        <f>IF(ROW()&lt;=2+5,"",INDEX(Daily_Input!$F:$F,ROW()-6))</f>
        <v>8169.8317956397523</v>
      </c>
      <c r="R131" s="5">
        <f>IF(ROW()&lt;=2+6,"",INDEX(Daily_Input!$F:$F,ROW()-7))</f>
        <v>9778.8482989056029</v>
      </c>
      <c r="S131" s="5">
        <f>IF(ROW()&lt;=2+7,"",INDEX(Daily_Input!$F:$F,ROW()-8))</f>
        <v>9773.5673833127039</v>
      </c>
      <c r="T131" s="5">
        <f>IF(ROW()&lt;=2+8,"",INDEX(Daily_Input!$F:$F,ROW()-9))</f>
        <v>9768.2814577297322</v>
      </c>
      <c r="U131" s="5">
        <f>IF(ROW()&lt;=2+9,"",INDEX(Daily_Input!$F:$F,ROW()-10))</f>
        <v>9818.9589260029243</v>
      </c>
      <c r="V131" s="5">
        <f>IF(ROW()&lt;=2+10,"",INDEX(Daily_Input!$F:$F,ROW()-11))</f>
        <v>18262.693376172334</v>
      </c>
      <c r="W131" s="5">
        <f>IF(ROW()&lt;=2+11,"",INDEX(Daily_Input!$F:$F,ROW()-12))</f>
        <v>44479.341708086838</v>
      </c>
      <c r="X131" s="5">
        <f>IF(ROW()&lt;=2+12,"",INDEX(Daily_Input!$F:$F,ROW()-13))</f>
        <v>77486.39771545741</v>
      </c>
      <c r="Y131" s="5">
        <f>IF(ROW()&lt;=2+13,"",INDEX(Daily_Input!$F:$F,ROW()-14))</f>
        <v>130466.19541163601</v>
      </c>
      <c r="Z131" s="5">
        <f>IF(ROW()&lt;=4,"",SUM(Daily_Input!I131:I133))</f>
        <v>42.8</v>
      </c>
      <c r="AA131" s="5">
        <f>IF(ROW()&lt;=8,"",SUM(Daily_Input!I131:I137))</f>
        <v>52.199999999999996</v>
      </c>
      <c r="AB131" s="5">
        <f>IF(ROW()&lt;=15,"",SUM(Daily_Input!I131:I144))</f>
        <v>141</v>
      </c>
      <c r="AC131" s="5">
        <f>IF(ROW()&lt;=4,"",AVERAGE(Daily_Input!F131:F133))</f>
        <v>126820.98770306667</v>
      </c>
      <c r="AD131" s="5">
        <f>IF(ROW()&lt;=8,"",AVERAGE(Daily_Input!F131:F137))</f>
        <v>227153.41340497145</v>
      </c>
      <c r="AE131" s="5">
        <f>IF(ROW()&lt;=8,"",MAX(Daily_Input!F131:F137))</f>
        <v>370489.39000490011</v>
      </c>
      <c r="AF131" s="5">
        <f>IF(ROW()&lt;=2+0,"",INDEX(Daily_Input!$G:$G,ROW()-1))</f>
        <v>15019.199999999999</v>
      </c>
      <c r="AG131" s="5">
        <f>IF(ROW()&lt;=2+0,"",INDEX(Daily_Input!$H:$H,ROW()-1))</f>
        <v>0</v>
      </c>
      <c r="AH131" s="5">
        <f>IF(ROW()&lt;=2+1,"",INDEX(Daily_Input!$G:$G,ROW()-2))</f>
        <v>15019.199999999999</v>
      </c>
      <c r="AI131" s="5">
        <f>IF(ROW()&lt;=2+1,"",INDEX(Daily_Input!$H:$H,ROW()-2))</f>
        <v>0</v>
      </c>
      <c r="AJ131" s="5">
        <f>IF(ROW()&lt;=2+2,"",INDEX(Daily_Input!$G:$G,ROW()-3))</f>
        <v>15019.199999999999</v>
      </c>
      <c r="AK131" s="5">
        <f>IF(ROW()&lt;=2+2,"",INDEX(Daily_Input!$H:$H,ROW()-3))</f>
        <v>0</v>
      </c>
    </row>
    <row r="132" spans="1:37">
      <c r="A132" s="5">
        <f>Daily_Input!A132</f>
        <v>45969</v>
      </c>
      <c r="B132" s="5">
        <f>Daily_Input!F132</f>
        <v>40495.864248699872</v>
      </c>
      <c r="C132" s="5">
        <f>Daily_Input!D132</f>
        <v>489.464</v>
      </c>
      <c r="D132" s="5">
        <f>Daily_Input!E132</f>
        <v>1601450.3446648</v>
      </c>
      <c r="E132" s="5">
        <f>IF(ROW()=2,"",Daily_Input!E132-Daily_Input!E131)</f>
        <v>5988.3283686998766</v>
      </c>
      <c r="F132" s="5">
        <f>IFERROR(Daily_Input!E132/Config!$B$4,"")</f>
        <v>0.98522673038900455</v>
      </c>
      <c r="G132" s="5">
        <f>Daily_Input!I132</f>
        <v>0.4</v>
      </c>
      <c r="H132" s="5">
        <f>IF(A132="","",IF(ROW()=2,G132,Config!$B$5*H131+G132))</f>
        <v>73.904391582325772</v>
      </c>
      <c r="I132" s="5">
        <f t="shared" si="2"/>
        <v>312</v>
      </c>
      <c r="J132" s="5">
        <f>IF(I132="","",SIN(2*PI()*I132/Config!$B$6))</f>
        <v>-0.79094565675677742</v>
      </c>
      <c r="K132" s="5">
        <f>IF(I132="","",COS(2*PI()*I132/Config!$B$6))</f>
        <v>0.61188640126872418</v>
      </c>
      <c r="L132" s="5">
        <f>IF(ROW()&lt;=2+0,"",INDEX(Daily_Input!$F:$F,ROW()-1))</f>
        <v>3760.1438605002122</v>
      </c>
      <c r="M132" s="5">
        <f>IF(ROW()&lt;=2+1,"",INDEX(Daily_Input!$F:$F,ROW()-2))</f>
        <v>15019.199999999999</v>
      </c>
      <c r="N132" s="5">
        <f>IF(ROW()&lt;=2+2,"",INDEX(Daily_Input!$F:$F,ROW()-3))</f>
        <v>21004.545683499935</v>
      </c>
      <c r="O132" s="5">
        <f>IF(ROW()&lt;=2+3,"",INDEX(Daily_Input!$F:$F,ROW()-4))</f>
        <v>9033.854316500061</v>
      </c>
      <c r="P132" s="5">
        <f>IF(ROW()&lt;=2+4,"",INDEX(Daily_Input!$F:$F,ROW()-5))</f>
        <v>6030.0794041997742</v>
      </c>
      <c r="Q132" s="5">
        <f>IF(ROW()&lt;=2+5,"",INDEX(Daily_Input!$F:$F,ROW()-6))</f>
        <v>15019.199999999999</v>
      </c>
      <c r="R132" s="5">
        <f>IF(ROW()&lt;=2+6,"",INDEX(Daily_Input!$F:$F,ROW()-7))</f>
        <v>8169.8317956397523</v>
      </c>
      <c r="S132" s="5">
        <f>IF(ROW()&lt;=2+7,"",INDEX(Daily_Input!$F:$F,ROW()-8))</f>
        <v>9778.8482989056029</v>
      </c>
      <c r="T132" s="5">
        <f>IF(ROW()&lt;=2+8,"",INDEX(Daily_Input!$F:$F,ROW()-9))</f>
        <v>9773.5673833127039</v>
      </c>
      <c r="U132" s="5">
        <f>IF(ROW()&lt;=2+9,"",INDEX(Daily_Input!$F:$F,ROW()-10))</f>
        <v>9768.2814577297322</v>
      </c>
      <c r="V132" s="5">
        <f>IF(ROW()&lt;=2+10,"",INDEX(Daily_Input!$F:$F,ROW()-11))</f>
        <v>9818.9589260029243</v>
      </c>
      <c r="W132" s="5">
        <f>IF(ROW()&lt;=2+11,"",INDEX(Daily_Input!$F:$F,ROW()-12))</f>
        <v>18262.693376172334</v>
      </c>
      <c r="X132" s="5">
        <f>IF(ROW()&lt;=2+12,"",INDEX(Daily_Input!$F:$F,ROW()-13))</f>
        <v>44479.341708086838</v>
      </c>
      <c r="Y132" s="5">
        <f>IF(ROW()&lt;=2+13,"",INDEX(Daily_Input!$F:$F,ROW()-14))</f>
        <v>77486.39771545741</v>
      </c>
      <c r="Z132" s="5">
        <f>IF(ROW()&lt;=4,"",SUM(Daily_Input!I132:I134))</f>
        <v>52.199999999999996</v>
      </c>
      <c r="AA132" s="5">
        <f>IF(ROW()&lt;=8,"",SUM(Daily_Input!I132:I138))</f>
        <v>52.199999999999996</v>
      </c>
      <c r="AB132" s="5">
        <f>IF(ROW()&lt;=15,"",SUM(Daily_Input!I132:I145))</f>
        <v>141</v>
      </c>
      <c r="AC132" s="5">
        <f>IF(ROW()&lt;=4,"",AVERAGE(Daily_Input!F132:F134))</f>
        <v>249064.06975119995</v>
      </c>
      <c r="AD132" s="5">
        <f>IF(ROW()&lt;=8,"",AVERAGE(Daily_Input!F132:F138))</f>
        <v>256984.03259267143</v>
      </c>
      <c r="AE132" s="5">
        <f>IF(ROW()&lt;=8,"",MAX(Daily_Input!F132:F138))</f>
        <v>370489.39000490011</v>
      </c>
      <c r="AF132" s="5">
        <f>IF(ROW()&lt;=2+0,"",INDEX(Daily_Input!$G:$G,ROW()-1))</f>
        <v>6753.5999999999995</v>
      </c>
      <c r="AG132" s="5">
        <f>IF(ROW()&lt;=2+0,"",INDEX(Daily_Input!$H:$H,ROW()-1))</f>
        <v>0</v>
      </c>
      <c r="AH132" s="5">
        <f>IF(ROW()&lt;=2+1,"",INDEX(Daily_Input!$G:$G,ROW()-2))</f>
        <v>15019.199999999999</v>
      </c>
      <c r="AI132" s="5">
        <f>IF(ROW()&lt;=2+1,"",INDEX(Daily_Input!$H:$H,ROW()-2))</f>
        <v>0</v>
      </c>
      <c r="AJ132" s="5">
        <f>IF(ROW()&lt;=2+2,"",INDEX(Daily_Input!$G:$G,ROW()-3))</f>
        <v>15019.199999999999</v>
      </c>
      <c r="AK132" s="5">
        <f>IF(ROW()&lt;=2+2,"",INDEX(Daily_Input!$H:$H,ROW()-3))</f>
        <v>0</v>
      </c>
    </row>
    <row r="133" spans="1:37">
      <c r="A133" s="5">
        <f>Daily_Input!A133</f>
        <v>45970</v>
      </c>
      <c r="B133" s="5">
        <f>Daily_Input!F133</f>
        <v>336206.9549999999</v>
      </c>
      <c r="C133" s="5">
        <f>Daily_Input!D133</f>
        <v>489.67700000000002</v>
      </c>
      <c r="D133" s="5">
        <f>Daily_Input!E133</f>
        <v>1664741.6725647999</v>
      </c>
      <c r="E133" s="5">
        <f>IF(ROW()=2,"",Daily_Input!E133-Daily_Input!E132)</f>
        <v>63291.327899999917</v>
      </c>
      <c r="F133" s="5">
        <f>IFERROR(Daily_Input!E133/Config!$B$4,"")</f>
        <v>1.0241641275156992</v>
      </c>
      <c r="G133" s="5">
        <f>Daily_Input!I133</f>
        <v>42.4</v>
      </c>
      <c r="H133" s="5">
        <f>IF(A133="","",IF(ROW()=2,G133,Config!$B$5*H132+G133))</f>
        <v>112.60917200320947</v>
      </c>
      <c r="I133" s="5">
        <f t="shared" si="2"/>
        <v>313</v>
      </c>
      <c r="J133" s="5">
        <f>IF(I133="","",SIN(2*PI()*I133/Config!$B$6))</f>
        <v>-0.78029585107077604</v>
      </c>
      <c r="K133" s="5">
        <f>IF(I133="","",COS(2*PI()*I133/Config!$B$6))</f>
        <v>0.62541057298524572</v>
      </c>
      <c r="L133" s="5">
        <f>IF(ROW()&lt;=2+0,"",INDEX(Daily_Input!$F:$F,ROW()-1))</f>
        <v>40495.864248699872</v>
      </c>
      <c r="M133" s="5">
        <f>IF(ROW()&lt;=2+1,"",INDEX(Daily_Input!$F:$F,ROW()-2))</f>
        <v>3760.1438605002122</v>
      </c>
      <c r="N133" s="5">
        <f>IF(ROW()&lt;=2+2,"",INDEX(Daily_Input!$F:$F,ROW()-3))</f>
        <v>15019.199999999999</v>
      </c>
      <c r="O133" s="5">
        <f>IF(ROW()&lt;=2+3,"",INDEX(Daily_Input!$F:$F,ROW()-4))</f>
        <v>21004.545683499935</v>
      </c>
      <c r="P133" s="5">
        <f>IF(ROW()&lt;=2+4,"",INDEX(Daily_Input!$F:$F,ROW()-5))</f>
        <v>9033.854316500061</v>
      </c>
      <c r="Q133" s="5">
        <f>IF(ROW()&lt;=2+5,"",INDEX(Daily_Input!$F:$F,ROW()-6))</f>
        <v>6030.0794041997742</v>
      </c>
      <c r="R133" s="5">
        <f>IF(ROW()&lt;=2+6,"",INDEX(Daily_Input!$F:$F,ROW()-7))</f>
        <v>15019.199999999999</v>
      </c>
      <c r="S133" s="5">
        <f>IF(ROW()&lt;=2+7,"",INDEX(Daily_Input!$F:$F,ROW()-8))</f>
        <v>8169.8317956397523</v>
      </c>
      <c r="T133" s="5">
        <f>IF(ROW()&lt;=2+8,"",INDEX(Daily_Input!$F:$F,ROW()-9))</f>
        <v>9778.8482989056029</v>
      </c>
      <c r="U133" s="5">
        <f>IF(ROW()&lt;=2+9,"",INDEX(Daily_Input!$F:$F,ROW()-10))</f>
        <v>9773.5673833127039</v>
      </c>
      <c r="V133" s="5">
        <f>IF(ROW()&lt;=2+10,"",INDEX(Daily_Input!$F:$F,ROW()-11))</f>
        <v>9768.2814577297322</v>
      </c>
      <c r="W133" s="5">
        <f>IF(ROW()&lt;=2+11,"",INDEX(Daily_Input!$F:$F,ROW()-12))</f>
        <v>9818.9589260029243</v>
      </c>
      <c r="X133" s="5">
        <f>IF(ROW()&lt;=2+12,"",INDEX(Daily_Input!$F:$F,ROW()-13))</f>
        <v>18262.693376172334</v>
      </c>
      <c r="Y133" s="5">
        <f>IF(ROW()&lt;=2+13,"",INDEX(Daily_Input!$F:$F,ROW()-14))</f>
        <v>44479.341708086838</v>
      </c>
      <c r="Z133" s="5">
        <f>IF(ROW()&lt;=4,"",SUM(Daily_Input!I133:I135))</f>
        <v>51.8</v>
      </c>
      <c r="AA133" s="5">
        <f>IF(ROW()&lt;=8,"",SUM(Daily_Input!I133:I139))</f>
        <v>51.8</v>
      </c>
      <c r="AB133" s="5">
        <f>IF(ROW()&lt;=15,"",SUM(Daily_Input!I133:I146))</f>
        <v>140.6</v>
      </c>
      <c r="AC133" s="5">
        <f>IF(ROW()&lt;=4,"",AVERAGE(Daily_Input!F133:F135))</f>
        <v>343173.14728916669</v>
      </c>
      <c r="AD133" s="5">
        <f>IF(ROW()&lt;=8,"",AVERAGE(Daily_Input!F133:F139))</f>
        <v>278552.16834729997</v>
      </c>
      <c r="AE133" s="5">
        <f>IF(ROW()&lt;=8,"",MAX(Daily_Input!F133:F139))</f>
        <v>370489.39000490011</v>
      </c>
      <c r="AF133" s="5">
        <f>IF(ROW()&lt;=2+0,"",INDEX(Daily_Input!$G:$G,ROW()-1))</f>
        <v>696.59999999999991</v>
      </c>
      <c r="AG133" s="5">
        <f>IF(ROW()&lt;=2+0,"",INDEX(Daily_Input!$H:$H,ROW()-1))</f>
        <v>33810.935879999997</v>
      </c>
      <c r="AH133" s="5">
        <f>IF(ROW()&lt;=2+1,"",INDEX(Daily_Input!$G:$G,ROW()-2))</f>
        <v>6753.5999999999995</v>
      </c>
      <c r="AI133" s="5">
        <f>IF(ROW()&lt;=2+1,"",INDEX(Daily_Input!$H:$H,ROW()-2))</f>
        <v>0</v>
      </c>
      <c r="AJ133" s="5">
        <f>IF(ROW()&lt;=2+2,"",INDEX(Daily_Input!$G:$G,ROW()-3))</f>
        <v>15019.199999999999</v>
      </c>
      <c r="AK133" s="5">
        <f>IF(ROW()&lt;=2+2,"",INDEX(Daily_Input!$H:$H,ROW()-3))</f>
        <v>0</v>
      </c>
    </row>
    <row r="134" spans="1:37">
      <c r="A134" s="5">
        <f>Daily_Input!A134</f>
        <v>45971</v>
      </c>
      <c r="B134" s="5">
        <f>Daily_Input!F134</f>
        <v>370489.39000490011</v>
      </c>
      <c r="C134" s="5">
        <f>Daily_Input!D134</f>
        <v>489.721</v>
      </c>
      <c r="D134" s="5">
        <f>Daily_Input!E134</f>
        <v>1679932.8392697</v>
      </c>
      <c r="E134" s="5">
        <f>IF(ROW()=2,"",Daily_Input!E134-Daily_Input!E133)</f>
        <v>15191.166704900097</v>
      </c>
      <c r="F134" s="5">
        <f>IFERROR(Daily_Input!E134/Config!$B$4,"")</f>
        <v>1.0335098706124641</v>
      </c>
      <c r="G134" s="5">
        <f>Daily_Input!I134</f>
        <v>9.4</v>
      </c>
      <c r="H134" s="5">
        <f>IF(A134="","",IF(ROW()=2,G134,Config!$B$5*H133+G134))</f>
        <v>116.37871340304899</v>
      </c>
      <c r="I134" s="5">
        <f t="shared" si="2"/>
        <v>314</v>
      </c>
      <c r="J134" s="5">
        <f>IF(I134="","",SIN(2*PI()*I134/Config!$B$6))</f>
        <v>-0.76941482688393814</v>
      </c>
      <c r="K134" s="5">
        <f>IF(I134="","",COS(2*PI()*I134/Config!$B$6))</f>
        <v>0.63874942205152685</v>
      </c>
      <c r="L134" s="5">
        <f>IF(ROW()&lt;=2+0,"",INDEX(Daily_Input!$F:$F,ROW()-1))</f>
        <v>336206.9549999999</v>
      </c>
      <c r="M134" s="5">
        <f>IF(ROW()&lt;=2+1,"",INDEX(Daily_Input!$F:$F,ROW()-2))</f>
        <v>40495.864248699872</v>
      </c>
      <c r="N134" s="5">
        <f>IF(ROW()&lt;=2+2,"",INDEX(Daily_Input!$F:$F,ROW()-3))</f>
        <v>3760.1438605002122</v>
      </c>
      <c r="O134" s="5">
        <f>IF(ROW()&lt;=2+3,"",INDEX(Daily_Input!$F:$F,ROW()-4))</f>
        <v>15019.199999999999</v>
      </c>
      <c r="P134" s="5">
        <f>IF(ROW()&lt;=2+4,"",INDEX(Daily_Input!$F:$F,ROW()-5))</f>
        <v>21004.545683499935</v>
      </c>
      <c r="Q134" s="5">
        <f>IF(ROW()&lt;=2+5,"",INDEX(Daily_Input!$F:$F,ROW()-6))</f>
        <v>9033.854316500061</v>
      </c>
      <c r="R134" s="5">
        <f>IF(ROW()&lt;=2+6,"",INDEX(Daily_Input!$F:$F,ROW()-7))</f>
        <v>6030.0794041997742</v>
      </c>
      <c r="S134" s="5">
        <f>IF(ROW()&lt;=2+7,"",INDEX(Daily_Input!$F:$F,ROW()-8))</f>
        <v>15019.199999999999</v>
      </c>
      <c r="T134" s="5">
        <f>IF(ROW()&lt;=2+8,"",INDEX(Daily_Input!$F:$F,ROW()-9))</f>
        <v>8169.8317956397523</v>
      </c>
      <c r="U134" s="5">
        <f>IF(ROW()&lt;=2+9,"",INDEX(Daily_Input!$F:$F,ROW()-10))</f>
        <v>9778.8482989056029</v>
      </c>
      <c r="V134" s="5">
        <f>IF(ROW()&lt;=2+10,"",INDEX(Daily_Input!$F:$F,ROW()-11))</f>
        <v>9773.5673833127039</v>
      </c>
      <c r="W134" s="5">
        <f>IF(ROW()&lt;=2+11,"",INDEX(Daily_Input!$F:$F,ROW()-12))</f>
        <v>9768.2814577297322</v>
      </c>
      <c r="X134" s="5">
        <f>IF(ROW()&lt;=2+12,"",INDEX(Daily_Input!$F:$F,ROW()-13))</f>
        <v>9818.9589260029243</v>
      </c>
      <c r="Y134" s="5">
        <f>IF(ROW()&lt;=2+13,"",INDEX(Daily_Input!$F:$F,ROW()-14))</f>
        <v>18262.693376172334</v>
      </c>
      <c r="Z134" s="5">
        <f>IF(ROW()&lt;=4,"",SUM(Daily_Input!I134:I136))</f>
        <v>9.4</v>
      </c>
      <c r="AA134" s="5">
        <f>IF(ROW()&lt;=8,"",SUM(Daily_Input!I134:I140))</f>
        <v>9.4</v>
      </c>
      <c r="AB134" s="5">
        <f>IF(ROW()&lt;=15,"",SUM(Daily_Input!I134:I147))</f>
        <v>98.199999999999989</v>
      </c>
      <c r="AC134" s="5">
        <f>IF(ROW()&lt;=4,"",AVERAGE(Daily_Input!F134:F136))</f>
        <v>324185.06031033333</v>
      </c>
      <c r="AD134" s="5">
        <f>IF(ROW()&lt;=8,"",AVERAGE(Daily_Input!F134:F140))</f>
        <v>255481.34764027144</v>
      </c>
      <c r="AE134" s="5">
        <f>IF(ROW()&lt;=8,"",MAX(Daily_Input!F134:F140))</f>
        <v>370489.39000490011</v>
      </c>
      <c r="AF134" s="5">
        <f>IF(ROW()&lt;=2+0,"",INDEX(Daily_Input!$G:$G,ROW()-1))</f>
        <v>0</v>
      </c>
      <c r="AG134" s="5">
        <f>IF(ROW()&lt;=2+0,"",INDEX(Daily_Input!$H:$H,ROW()-1))</f>
        <v>272915.62709999998</v>
      </c>
      <c r="AH134" s="5">
        <f>IF(ROW()&lt;=2+1,"",INDEX(Daily_Input!$G:$G,ROW()-2))</f>
        <v>696.59999999999991</v>
      </c>
      <c r="AI134" s="5">
        <f>IF(ROW()&lt;=2+1,"",INDEX(Daily_Input!$H:$H,ROW()-2))</f>
        <v>33810.935879999997</v>
      </c>
      <c r="AJ134" s="5">
        <f>IF(ROW()&lt;=2+2,"",INDEX(Daily_Input!$G:$G,ROW()-3))</f>
        <v>6753.5999999999995</v>
      </c>
      <c r="AK134" s="5">
        <f>IF(ROW()&lt;=2+2,"",INDEX(Daily_Input!$H:$H,ROW()-3))</f>
        <v>0</v>
      </c>
    </row>
    <row r="135" spans="1:37">
      <c r="A135" s="5">
        <f>Daily_Input!A135</f>
        <v>45972</v>
      </c>
      <c r="B135" s="5">
        <f>Daily_Input!F135</f>
        <v>322823.09686260013</v>
      </c>
      <c r="C135" s="5">
        <f>Daily_Input!D135</f>
        <v>489.71499999999997</v>
      </c>
      <c r="D135" s="5">
        <f>Daily_Input!E135</f>
        <v>1676891.4600323001</v>
      </c>
      <c r="E135" s="5">
        <f>IF(ROW()=2,"",Daily_Input!E135-Daily_Input!E134)</f>
        <v>-3041.3792373999022</v>
      </c>
      <c r="F135" s="5">
        <f>IFERROR(Daily_Input!E135/Config!$B$4,"")</f>
        <v>1.0316387866091923</v>
      </c>
      <c r="G135" s="5">
        <f>Daily_Input!I135</f>
        <v>0</v>
      </c>
      <c r="H135" s="5">
        <f>IF(A135="","",IF(ROW()=2,G135,Config!$B$5*H134+G135))</f>
        <v>110.55977773289653</v>
      </c>
      <c r="I135" s="5">
        <f t="shared" si="2"/>
        <v>315</v>
      </c>
      <c r="J135" s="5">
        <f>IF(I135="","",SIN(2*PI()*I135/Config!$B$6))</f>
        <v>-0.75830580847856255</v>
      </c>
      <c r="K135" s="5">
        <f>IF(I135="","",COS(2*PI()*I135/Config!$B$6))</f>
        <v>0.65189899587871247</v>
      </c>
      <c r="L135" s="5">
        <f>IF(ROW()&lt;=2+0,"",INDEX(Daily_Input!$F:$F,ROW()-1))</f>
        <v>370489.39000490011</v>
      </c>
      <c r="M135" s="5">
        <f>IF(ROW()&lt;=2+1,"",INDEX(Daily_Input!$F:$F,ROW()-2))</f>
        <v>336206.9549999999</v>
      </c>
      <c r="N135" s="5">
        <f>IF(ROW()&lt;=2+2,"",INDEX(Daily_Input!$F:$F,ROW()-3))</f>
        <v>40495.864248699872</v>
      </c>
      <c r="O135" s="5">
        <f>IF(ROW()&lt;=2+3,"",INDEX(Daily_Input!$F:$F,ROW()-4))</f>
        <v>3760.1438605002122</v>
      </c>
      <c r="P135" s="5">
        <f>IF(ROW()&lt;=2+4,"",INDEX(Daily_Input!$F:$F,ROW()-5))</f>
        <v>15019.199999999999</v>
      </c>
      <c r="Q135" s="5">
        <f>IF(ROW()&lt;=2+5,"",INDEX(Daily_Input!$F:$F,ROW()-6))</f>
        <v>21004.545683499935</v>
      </c>
      <c r="R135" s="5">
        <f>IF(ROW()&lt;=2+6,"",INDEX(Daily_Input!$F:$F,ROW()-7))</f>
        <v>9033.854316500061</v>
      </c>
      <c r="S135" s="5">
        <f>IF(ROW()&lt;=2+7,"",INDEX(Daily_Input!$F:$F,ROW()-8))</f>
        <v>6030.0794041997742</v>
      </c>
      <c r="T135" s="5">
        <f>IF(ROW()&lt;=2+8,"",INDEX(Daily_Input!$F:$F,ROW()-9))</f>
        <v>15019.199999999999</v>
      </c>
      <c r="U135" s="5">
        <f>IF(ROW()&lt;=2+9,"",INDEX(Daily_Input!$F:$F,ROW()-10))</f>
        <v>8169.8317956397523</v>
      </c>
      <c r="V135" s="5">
        <f>IF(ROW()&lt;=2+10,"",INDEX(Daily_Input!$F:$F,ROW()-11))</f>
        <v>9778.8482989056029</v>
      </c>
      <c r="W135" s="5">
        <f>IF(ROW()&lt;=2+11,"",INDEX(Daily_Input!$F:$F,ROW()-12))</f>
        <v>9773.5673833127039</v>
      </c>
      <c r="X135" s="5">
        <f>IF(ROW()&lt;=2+12,"",INDEX(Daily_Input!$F:$F,ROW()-13))</f>
        <v>9768.2814577297322</v>
      </c>
      <c r="Y135" s="5">
        <f>IF(ROW()&lt;=2+13,"",INDEX(Daily_Input!$F:$F,ROW()-14))</f>
        <v>9818.9589260029243</v>
      </c>
      <c r="Z135" s="5">
        <f>IF(ROW()&lt;=4,"",SUM(Daily_Input!I135:I137))</f>
        <v>0</v>
      </c>
      <c r="AA135" s="5">
        <f>IF(ROW()&lt;=8,"",SUM(Daily_Input!I135:I141))</f>
        <v>0</v>
      </c>
      <c r="AB135" s="5">
        <f>IF(ROW()&lt;=15,"",SUM(Daily_Input!I135:I148))</f>
        <v>88.800000000000011</v>
      </c>
      <c r="AC135" s="5">
        <f>IF(ROW()&lt;=4,"",AVERAGE(Daily_Input!F135:F137))</f>
        <v>279707.18024023337</v>
      </c>
      <c r="AD135" s="5">
        <f>IF(ROW()&lt;=8,"",AVERAGE(Daily_Input!F135:F141))</f>
        <v>227810.1905252857</v>
      </c>
      <c r="AE135" s="5">
        <f>IF(ROW()&lt;=8,"",MAX(Daily_Input!F135:F141))</f>
        <v>322823.09686260013</v>
      </c>
      <c r="AF135" s="5">
        <f>IF(ROW()&lt;=2+0,"",INDEX(Daily_Input!$G:$G,ROW()-1))</f>
        <v>0</v>
      </c>
      <c r="AG135" s="5">
        <f>IF(ROW()&lt;=2+0,"",INDEX(Daily_Input!$H:$H,ROW()-1))</f>
        <v>355298.22330000001</v>
      </c>
      <c r="AH135" s="5">
        <f>IF(ROW()&lt;=2+1,"",INDEX(Daily_Input!$G:$G,ROW()-2))</f>
        <v>0</v>
      </c>
      <c r="AI135" s="5">
        <f>IF(ROW()&lt;=2+1,"",INDEX(Daily_Input!$H:$H,ROW()-2))</f>
        <v>272915.62709999998</v>
      </c>
      <c r="AJ135" s="5">
        <f>IF(ROW()&lt;=2+2,"",INDEX(Daily_Input!$G:$G,ROW()-3))</f>
        <v>696.59999999999991</v>
      </c>
      <c r="AK135" s="5">
        <f>IF(ROW()&lt;=2+2,"",INDEX(Daily_Input!$H:$H,ROW()-3))</f>
        <v>33810.935879999997</v>
      </c>
    </row>
    <row r="136" spans="1:37">
      <c r="A136" s="5">
        <f>Daily_Input!A136</f>
        <v>45973</v>
      </c>
      <c r="B136" s="5">
        <f>Daily_Input!F136</f>
        <v>279242.69406349986</v>
      </c>
      <c r="C136" s="5">
        <f>Daily_Input!D136</f>
        <v>489.702</v>
      </c>
      <c r="D136" s="5">
        <f>Daily_Input!E136</f>
        <v>1673851.7406957999</v>
      </c>
      <c r="E136" s="5">
        <f>IF(ROW()=2,"",Daily_Input!E136-Daily_Input!E135)</f>
        <v>-3039.7193365001585</v>
      </c>
      <c r="F136" s="5">
        <f>IFERROR(Daily_Input!E136/Config!$B$4,"")</f>
        <v>1.0297687237919608</v>
      </c>
      <c r="G136" s="5">
        <f>Daily_Input!I136</f>
        <v>0</v>
      </c>
      <c r="H136" s="5">
        <f>IF(A136="","",IF(ROW()=2,G136,Config!$B$5*H135+G136))</f>
        <v>105.0317888462517</v>
      </c>
      <c r="I136" s="5">
        <f t="shared" si="2"/>
        <v>316</v>
      </c>
      <c r="J136" s="5">
        <f>IF(I136="","",SIN(2*PI()*I136/Config!$B$6))</f>
        <v>-0.7469720876965551</v>
      </c>
      <c r="K136" s="5">
        <f>IF(I136="","",COS(2*PI()*I136/Config!$B$6))</f>
        <v>0.66485539796428661</v>
      </c>
      <c r="L136" s="5">
        <f>IF(ROW()&lt;=2+0,"",INDEX(Daily_Input!$F:$F,ROW()-1))</f>
        <v>322823.09686260013</v>
      </c>
      <c r="M136" s="5">
        <f>IF(ROW()&lt;=2+1,"",INDEX(Daily_Input!$F:$F,ROW()-2))</f>
        <v>370489.39000490011</v>
      </c>
      <c r="N136" s="5">
        <f>IF(ROW()&lt;=2+2,"",INDEX(Daily_Input!$F:$F,ROW()-3))</f>
        <v>336206.9549999999</v>
      </c>
      <c r="O136" s="5">
        <f>IF(ROW()&lt;=2+3,"",INDEX(Daily_Input!$F:$F,ROW()-4))</f>
        <v>40495.864248699872</v>
      </c>
      <c r="P136" s="5">
        <f>IF(ROW()&lt;=2+4,"",INDEX(Daily_Input!$F:$F,ROW()-5))</f>
        <v>3760.1438605002122</v>
      </c>
      <c r="Q136" s="5">
        <f>IF(ROW()&lt;=2+5,"",INDEX(Daily_Input!$F:$F,ROW()-6))</f>
        <v>15019.199999999999</v>
      </c>
      <c r="R136" s="5">
        <f>IF(ROW()&lt;=2+6,"",INDEX(Daily_Input!$F:$F,ROW()-7))</f>
        <v>21004.545683499935</v>
      </c>
      <c r="S136" s="5">
        <f>IF(ROW()&lt;=2+7,"",INDEX(Daily_Input!$F:$F,ROW()-8))</f>
        <v>9033.854316500061</v>
      </c>
      <c r="T136" s="5">
        <f>IF(ROW()&lt;=2+8,"",INDEX(Daily_Input!$F:$F,ROW()-9))</f>
        <v>6030.0794041997742</v>
      </c>
      <c r="U136" s="5">
        <f>IF(ROW()&lt;=2+9,"",INDEX(Daily_Input!$F:$F,ROW()-10))</f>
        <v>15019.199999999999</v>
      </c>
      <c r="V136" s="5">
        <f>IF(ROW()&lt;=2+10,"",INDEX(Daily_Input!$F:$F,ROW()-11))</f>
        <v>8169.8317956397523</v>
      </c>
      <c r="W136" s="5">
        <f>IF(ROW()&lt;=2+11,"",INDEX(Daily_Input!$F:$F,ROW()-12))</f>
        <v>9778.8482989056029</v>
      </c>
      <c r="X136" s="5">
        <f>IF(ROW()&lt;=2+12,"",INDEX(Daily_Input!$F:$F,ROW()-13))</f>
        <v>9773.5673833127039</v>
      </c>
      <c r="Y136" s="5">
        <f>IF(ROW()&lt;=2+13,"",INDEX(Daily_Input!$F:$F,ROW()-14))</f>
        <v>9768.2814577297322</v>
      </c>
      <c r="Z136" s="5">
        <f>IF(ROW()&lt;=4,"",SUM(Daily_Input!I136:I138))</f>
        <v>0</v>
      </c>
      <c r="AA136" s="5">
        <f>IF(ROW()&lt;=8,"",SUM(Daily_Input!I136:I142))</f>
        <v>41.2</v>
      </c>
      <c r="AB136" s="5">
        <f>IF(ROW()&lt;=15,"",SUM(Daily_Input!I136:I149))</f>
        <v>88.800000000000011</v>
      </c>
      <c r="AC136" s="5">
        <f>IF(ROW()&lt;=4,"",AVERAGE(Daily_Input!F136:F138))</f>
        <v>242957.64067749993</v>
      </c>
      <c r="AD136" s="5">
        <f>IF(ROW()&lt;=8,"",AVERAGE(Daily_Input!F136:F142))</f>
        <v>251700.88156248568</v>
      </c>
      <c r="AE136" s="5">
        <f>IF(ROW()&lt;=8,"",MAX(Daily_Input!F136:F142))</f>
        <v>490057.93412300007</v>
      </c>
      <c r="AF136" s="5">
        <f>IF(ROW()&lt;=2+0,"",INDEX(Daily_Input!$G:$G,ROW()-1))</f>
        <v>0</v>
      </c>
      <c r="AG136" s="5">
        <f>IF(ROW()&lt;=2+0,"",INDEX(Daily_Input!$H:$H,ROW()-1))</f>
        <v>325864.47610000003</v>
      </c>
      <c r="AH136" s="5">
        <f>IF(ROW()&lt;=2+1,"",INDEX(Daily_Input!$G:$G,ROW()-2))</f>
        <v>0</v>
      </c>
      <c r="AI136" s="5">
        <f>IF(ROW()&lt;=2+1,"",INDEX(Daily_Input!$H:$H,ROW()-2))</f>
        <v>355298.22330000001</v>
      </c>
      <c r="AJ136" s="5">
        <f>IF(ROW()&lt;=2+2,"",INDEX(Daily_Input!$G:$G,ROW()-3))</f>
        <v>0</v>
      </c>
      <c r="AK136" s="5">
        <f>IF(ROW()&lt;=2+2,"",INDEX(Daily_Input!$H:$H,ROW()-3))</f>
        <v>272915.62709999998</v>
      </c>
    </row>
    <row r="137" spans="1:37">
      <c r="A137" s="5">
        <f>Daily_Input!A137</f>
        <v>45974</v>
      </c>
      <c r="B137" s="5">
        <f>Daily_Input!F137</f>
        <v>237055.74979460001</v>
      </c>
      <c r="C137" s="5">
        <f>Daily_Input!D137</f>
        <v>489.68297999999999</v>
      </c>
      <c r="D137" s="5">
        <f>Daily_Input!E137</f>
        <v>1667776.8298903999</v>
      </c>
      <c r="E137" s="5">
        <f>IF(ROW()=2,"",Daily_Input!E137-Daily_Input!E136)</f>
        <v>-6074.9108053999953</v>
      </c>
      <c r="F137" s="5">
        <f>IFERROR(Daily_Input!E137/Config!$B$4,"")</f>
        <v>1.026031383742581</v>
      </c>
      <c r="G137" s="5">
        <f>Daily_Input!I137</f>
        <v>0</v>
      </c>
      <c r="H137" s="5">
        <f>IF(A137="","",IF(ROW()=2,G137,Config!$B$5*H136+G137))</f>
        <v>99.780199403939108</v>
      </c>
      <c r="I137" s="5">
        <f t="shared" si="2"/>
        <v>317</v>
      </c>
      <c r="J137" s="5">
        <f>IF(I137="","",SIN(2*PI()*I137/Config!$B$6))</f>
        <v>-0.73541702296398581</v>
      </c>
      <c r="K137" s="5">
        <f>IF(I137="","",COS(2*PI()*I137/Config!$B$6))</f>
        <v>0.6776147890466887</v>
      </c>
      <c r="L137" s="5">
        <f>IF(ROW()&lt;=2+0,"",INDEX(Daily_Input!$F:$F,ROW()-1))</f>
        <v>279242.69406349986</v>
      </c>
      <c r="M137" s="5">
        <f>IF(ROW()&lt;=2+1,"",INDEX(Daily_Input!$F:$F,ROW()-2))</f>
        <v>322823.09686260013</v>
      </c>
      <c r="N137" s="5">
        <f>IF(ROW()&lt;=2+2,"",INDEX(Daily_Input!$F:$F,ROW()-3))</f>
        <v>370489.39000490011</v>
      </c>
      <c r="O137" s="5">
        <f>IF(ROW()&lt;=2+3,"",INDEX(Daily_Input!$F:$F,ROW()-4))</f>
        <v>336206.9549999999</v>
      </c>
      <c r="P137" s="5">
        <f>IF(ROW()&lt;=2+4,"",INDEX(Daily_Input!$F:$F,ROW()-5))</f>
        <v>40495.864248699872</v>
      </c>
      <c r="Q137" s="5">
        <f>IF(ROW()&lt;=2+5,"",INDEX(Daily_Input!$F:$F,ROW()-6))</f>
        <v>3760.1438605002122</v>
      </c>
      <c r="R137" s="5">
        <f>IF(ROW()&lt;=2+6,"",INDEX(Daily_Input!$F:$F,ROW()-7))</f>
        <v>15019.199999999999</v>
      </c>
      <c r="S137" s="5">
        <f>IF(ROW()&lt;=2+7,"",INDEX(Daily_Input!$F:$F,ROW()-8))</f>
        <v>21004.545683499935</v>
      </c>
      <c r="T137" s="5">
        <f>IF(ROW()&lt;=2+8,"",INDEX(Daily_Input!$F:$F,ROW()-9))</f>
        <v>9033.854316500061</v>
      </c>
      <c r="U137" s="5">
        <f>IF(ROW()&lt;=2+9,"",INDEX(Daily_Input!$F:$F,ROW()-10))</f>
        <v>6030.0794041997742</v>
      </c>
      <c r="V137" s="5">
        <f>IF(ROW()&lt;=2+10,"",INDEX(Daily_Input!$F:$F,ROW()-11))</f>
        <v>15019.199999999999</v>
      </c>
      <c r="W137" s="5">
        <f>IF(ROW()&lt;=2+11,"",INDEX(Daily_Input!$F:$F,ROW()-12))</f>
        <v>8169.8317956397523</v>
      </c>
      <c r="X137" s="5">
        <f>IF(ROW()&lt;=2+12,"",INDEX(Daily_Input!$F:$F,ROW()-13))</f>
        <v>9778.8482989056029</v>
      </c>
      <c r="Y137" s="5">
        <f>IF(ROW()&lt;=2+13,"",INDEX(Daily_Input!$F:$F,ROW()-14))</f>
        <v>9773.5673833127039</v>
      </c>
      <c r="Z137" s="5">
        <f>IF(ROW()&lt;=4,"",SUM(Daily_Input!I137:I139))</f>
        <v>0</v>
      </c>
      <c r="AA137" s="5">
        <f>IF(ROW()&lt;=8,"",SUM(Daily_Input!I137:I143))</f>
        <v>72.400000000000006</v>
      </c>
      <c r="AB137" s="5">
        <f>IF(ROW()&lt;=15,"",SUM(Daily_Input!I137:I150))</f>
        <v>88.800000000000011</v>
      </c>
      <c r="AC137" s="5">
        <f>IF(ROW()&lt;=4,"",AVERAGE(Daily_Input!F137:F139))</f>
        <v>213701.01416670004</v>
      </c>
      <c r="AD137" s="5">
        <f>IF(ROW()&lt;=8,"",AVERAGE(Daily_Input!F137:F143))</f>
        <v>349805.76439851429</v>
      </c>
      <c r="AE137" s="5">
        <f>IF(ROW()&lt;=8,"",MAX(Daily_Input!F137:F143))</f>
        <v>965976.87391570001</v>
      </c>
      <c r="AF137" s="5">
        <f>IF(ROW()&lt;=2+0,"",INDEX(Daily_Input!$G:$G,ROW()-1))</f>
        <v>0</v>
      </c>
      <c r="AG137" s="5">
        <f>IF(ROW()&lt;=2+0,"",INDEX(Daily_Input!$H:$H,ROW()-1))</f>
        <v>282282.41340000002</v>
      </c>
      <c r="AH137" s="5">
        <f>IF(ROW()&lt;=2+1,"",INDEX(Daily_Input!$G:$G,ROW()-2))</f>
        <v>0</v>
      </c>
      <c r="AI137" s="5">
        <f>IF(ROW()&lt;=2+1,"",INDEX(Daily_Input!$H:$H,ROW()-2))</f>
        <v>325864.47610000003</v>
      </c>
      <c r="AJ137" s="5">
        <f>IF(ROW()&lt;=2+2,"",INDEX(Daily_Input!$G:$G,ROW()-3))</f>
        <v>0</v>
      </c>
      <c r="AK137" s="5">
        <f>IF(ROW()&lt;=2+2,"",INDEX(Daily_Input!$H:$H,ROW()-3))</f>
        <v>355298.22330000001</v>
      </c>
    </row>
    <row r="138" spans="1:37">
      <c r="A138" s="5">
        <f>Daily_Input!A138</f>
        <v>45975</v>
      </c>
      <c r="B138" s="5">
        <f>Daily_Input!F138</f>
        <v>212574.47817439996</v>
      </c>
      <c r="C138" s="5">
        <f>Daily_Input!D138</f>
        <v>489.67099999999999</v>
      </c>
      <c r="D138" s="5">
        <f>Daily_Input!E138</f>
        <v>1664741.6725647999</v>
      </c>
      <c r="E138" s="5">
        <f>IF(ROW()=2,"",Daily_Input!E138-Daily_Input!E137)</f>
        <v>-3035.1573256000411</v>
      </c>
      <c r="F138" s="5">
        <f>IFERROR(Daily_Input!E138/Config!$B$4,"")</f>
        <v>1.0241641275156992</v>
      </c>
      <c r="G138" s="5">
        <f>Daily_Input!I138</f>
        <v>0</v>
      </c>
      <c r="H138" s="5">
        <f>IF(A138="","",IF(ROW()=2,G138,Config!$B$5*H137+G138))</f>
        <v>94.791189433742147</v>
      </c>
      <c r="I138" s="5">
        <f t="shared" si="2"/>
        <v>318</v>
      </c>
      <c r="J138" s="5">
        <f>IF(I138="","",SIN(2*PI()*I138/Config!$B$6))</f>
        <v>-0.72364403829591228</v>
      </c>
      <c r="K138" s="5">
        <f>IF(I138="","",COS(2*PI()*I138/Config!$B$6))</f>
        <v>0.69017338824297203</v>
      </c>
      <c r="L138" s="5">
        <f>IF(ROW()&lt;=2+0,"",INDEX(Daily_Input!$F:$F,ROW()-1))</f>
        <v>237055.74979460001</v>
      </c>
      <c r="M138" s="5">
        <f>IF(ROW()&lt;=2+1,"",INDEX(Daily_Input!$F:$F,ROW()-2))</f>
        <v>279242.69406349986</v>
      </c>
      <c r="N138" s="5">
        <f>IF(ROW()&lt;=2+2,"",INDEX(Daily_Input!$F:$F,ROW()-3))</f>
        <v>322823.09686260013</v>
      </c>
      <c r="O138" s="5">
        <f>IF(ROW()&lt;=2+3,"",INDEX(Daily_Input!$F:$F,ROW()-4))</f>
        <v>370489.39000490011</v>
      </c>
      <c r="P138" s="5">
        <f>IF(ROW()&lt;=2+4,"",INDEX(Daily_Input!$F:$F,ROW()-5))</f>
        <v>336206.9549999999</v>
      </c>
      <c r="Q138" s="5">
        <f>IF(ROW()&lt;=2+5,"",INDEX(Daily_Input!$F:$F,ROW()-6))</f>
        <v>40495.864248699872</v>
      </c>
      <c r="R138" s="5">
        <f>IF(ROW()&lt;=2+6,"",INDEX(Daily_Input!$F:$F,ROW()-7))</f>
        <v>3760.1438605002122</v>
      </c>
      <c r="S138" s="5">
        <f>IF(ROW()&lt;=2+7,"",INDEX(Daily_Input!$F:$F,ROW()-8))</f>
        <v>15019.199999999999</v>
      </c>
      <c r="T138" s="5">
        <f>IF(ROW()&lt;=2+8,"",INDEX(Daily_Input!$F:$F,ROW()-9))</f>
        <v>21004.545683499935</v>
      </c>
      <c r="U138" s="5">
        <f>IF(ROW()&lt;=2+9,"",INDEX(Daily_Input!$F:$F,ROW()-10))</f>
        <v>9033.854316500061</v>
      </c>
      <c r="V138" s="5">
        <f>IF(ROW()&lt;=2+10,"",INDEX(Daily_Input!$F:$F,ROW()-11))</f>
        <v>6030.0794041997742</v>
      </c>
      <c r="W138" s="5">
        <f>IF(ROW()&lt;=2+11,"",INDEX(Daily_Input!$F:$F,ROW()-12))</f>
        <v>15019.199999999999</v>
      </c>
      <c r="X138" s="5">
        <f>IF(ROW()&lt;=2+12,"",INDEX(Daily_Input!$F:$F,ROW()-13))</f>
        <v>8169.8317956397523</v>
      </c>
      <c r="Y138" s="5">
        <f>IF(ROW()&lt;=2+13,"",INDEX(Daily_Input!$F:$F,ROW()-14))</f>
        <v>9778.8482989056029</v>
      </c>
      <c r="Z138" s="5">
        <f>IF(ROW()&lt;=4,"",SUM(Daily_Input!I138:I140))</f>
        <v>0</v>
      </c>
      <c r="AA138" s="5">
        <f>IF(ROW()&lt;=8,"",SUM(Daily_Input!I138:I144))</f>
        <v>88.800000000000011</v>
      </c>
      <c r="AB138" s="5">
        <f>IF(ROW()&lt;=15,"",SUM(Daily_Input!I138:I151))</f>
        <v>88.800000000000011</v>
      </c>
      <c r="AC138" s="5">
        <f>IF(ROW()&lt;=4,"",AVERAGE(Daily_Input!F138:F140))</f>
        <v>192919.50091876669</v>
      </c>
      <c r="AD138" s="5">
        <f>IF(ROW()&lt;=8,"",AVERAGE(Daily_Input!F138:F144))</f>
        <v>444102.64272721432</v>
      </c>
      <c r="AE138" s="5">
        <f>IF(ROW()&lt;=8,"",MAX(Daily_Input!F138:F144))</f>
        <v>965976.87391570001</v>
      </c>
      <c r="AF138" s="5">
        <f>IF(ROW()&lt;=2+0,"",INDEX(Daily_Input!$G:$G,ROW()-1))</f>
        <v>0</v>
      </c>
      <c r="AG138" s="5">
        <f>IF(ROW()&lt;=2+0,"",INDEX(Daily_Input!$H:$H,ROW()-1))</f>
        <v>243130.6606</v>
      </c>
      <c r="AH138" s="5">
        <f>IF(ROW()&lt;=2+1,"",INDEX(Daily_Input!$G:$G,ROW()-2))</f>
        <v>0</v>
      </c>
      <c r="AI138" s="5">
        <f>IF(ROW()&lt;=2+1,"",INDEX(Daily_Input!$H:$H,ROW()-2))</f>
        <v>282282.41340000002</v>
      </c>
      <c r="AJ138" s="5">
        <f>IF(ROW()&lt;=2+2,"",INDEX(Daily_Input!$G:$G,ROW()-3))</f>
        <v>0</v>
      </c>
      <c r="AK138" s="5">
        <f>IF(ROW()&lt;=2+2,"",INDEX(Daily_Input!$H:$H,ROW()-3))</f>
        <v>325864.47610000003</v>
      </c>
    </row>
    <row r="139" spans="1:37">
      <c r="A139" s="5">
        <f>Daily_Input!A139</f>
        <v>45976</v>
      </c>
      <c r="B139" s="5">
        <f>Daily_Input!F139</f>
        <v>191472.81453110004</v>
      </c>
      <c r="C139" s="5">
        <f>Daily_Input!D139</f>
        <v>489.66399999999999</v>
      </c>
      <c r="D139" s="5">
        <f>Daily_Input!E139</f>
        <v>1661708.0167959</v>
      </c>
      <c r="E139" s="5">
        <f>IF(ROW()=2,"",Daily_Input!E139-Daily_Input!E138)</f>
        <v>-3033.6557688999455</v>
      </c>
      <c r="F139" s="5">
        <f>IFERROR(Daily_Input!E139/Config!$B$4,"")</f>
        <v>1.0222977950600747</v>
      </c>
      <c r="G139" s="5">
        <f>Daily_Input!I139</f>
        <v>0</v>
      </c>
      <c r="H139" s="5">
        <f>IF(A139="","",IF(ROW()=2,G139,Config!$B$5*H138+G139))</f>
        <v>90.051629962055031</v>
      </c>
      <c r="I139" s="5">
        <f t="shared" si="2"/>
        <v>319</v>
      </c>
      <c r="J139" s="5">
        <f>IF(I139="","",SIN(2*PI()*I139/Config!$B$6))</f>
        <v>-0.71165662228177506</v>
      </c>
      <c r="K139" s="5">
        <f>IF(I139="","",COS(2*PI()*I139/Config!$B$6))</f>
        <v>0.70252747416915662</v>
      </c>
      <c r="L139" s="5">
        <f>IF(ROW()&lt;=2+0,"",INDEX(Daily_Input!$F:$F,ROW()-1))</f>
        <v>212574.47817439996</v>
      </c>
      <c r="M139" s="5">
        <f>IF(ROW()&lt;=2+1,"",INDEX(Daily_Input!$F:$F,ROW()-2))</f>
        <v>237055.74979460001</v>
      </c>
      <c r="N139" s="5">
        <f>IF(ROW()&lt;=2+2,"",INDEX(Daily_Input!$F:$F,ROW()-3))</f>
        <v>279242.69406349986</v>
      </c>
      <c r="O139" s="5">
        <f>IF(ROW()&lt;=2+3,"",INDEX(Daily_Input!$F:$F,ROW()-4))</f>
        <v>322823.09686260013</v>
      </c>
      <c r="P139" s="5">
        <f>IF(ROW()&lt;=2+4,"",INDEX(Daily_Input!$F:$F,ROW()-5))</f>
        <v>370489.39000490011</v>
      </c>
      <c r="Q139" s="5">
        <f>IF(ROW()&lt;=2+5,"",INDEX(Daily_Input!$F:$F,ROW()-6))</f>
        <v>336206.9549999999</v>
      </c>
      <c r="R139" s="5">
        <f>IF(ROW()&lt;=2+6,"",INDEX(Daily_Input!$F:$F,ROW()-7))</f>
        <v>40495.864248699872</v>
      </c>
      <c r="S139" s="5">
        <f>IF(ROW()&lt;=2+7,"",INDEX(Daily_Input!$F:$F,ROW()-8))</f>
        <v>3760.1438605002122</v>
      </c>
      <c r="T139" s="5">
        <f>IF(ROW()&lt;=2+8,"",INDEX(Daily_Input!$F:$F,ROW()-9))</f>
        <v>15019.199999999999</v>
      </c>
      <c r="U139" s="5">
        <f>IF(ROW()&lt;=2+9,"",INDEX(Daily_Input!$F:$F,ROW()-10))</f>
        <v>21004.545683499935</v>
      </c>
      <c r="V139" s="5">
        <f>IF(ROW()&lt;=2+10,"",INDEX(Daily_Input!$F:$F,ROW()-11))</f>
        <v>9033.854316500061</v>
      </c>
      <c r="W139" s="5">
        <f>IF(ROW()&lt;=2+11,"",INDEX(Daily_Input!$F:$F,ROW()-12))</f>
        <v>6030.0794041997742</v>
      </c>
      <c r="X139" s="5">
        <f>IF(ROW()&lt;=2+12,"",INDEX(Daily_Input!$F:$F,ROW()-13))</f>
        <v>15019.199999999999</v>
      </c>
      <c r="Y139" s="5">
        <f>IF(ROW()&lt;=2+13,"",INDEX(Daily_Input!$F:$F,ROW()-14))</f>
        <v>8169.8317956397523</v>
      </c>
      <c r="Z139" s="5">
        <f>IF(ROW()&lt;=4,"",SUM(Daily_Input!I139:I141))</f>
        <v>0</v>
      </c>
      <c r="AA139" s="5">
        <f>IF(ROW()&lt;=8,"",SUM(Daily_Input!I139:I145))</f>
        <v>88.800000000000011</v>
      </c>
      <c r="AB139" s="5">
        <f>IF(ROW()&lt;=15,"",SUM(Daily_Input!I139:I152))</f>
        <v>88.800000000000011</v>
      </c>
      <c r="AC139" s="5">
        <f>IF(ROW()&lt;=4,"",AVERAGE(Daily_Input!F139:F141))</f>
        <v>180991.77159396667</v>
      </c>
      <c r="AD139" s="5">
        <f>IF(ROW()&lt;=8,"",AVERAGE(Daily_Input!F139:F145))</f>
        <v>501137.89125450002</v>
      </c>
      <c r="AE139" s="5">
        <f>IF(ROW()&lt;=8,"",MAX(Daily_Input!F139:F145))</f>
        <v>965976.87391570001</v>
      </c>
      <c r="AF139" s="5">
        <f>IF(ROW()&lt;=2+0,"",INDEX(Daily_Input!$G:$G,ROW()-1))</f>
        <v>0</v>
      </c>
      <c r="AG139" s="5">
        <f>IF(ROW()&lt;=2+0,"",INDEX(Daily_Input!$H:$H,ROW()-1))</f>
        <v>215609.6355</v>
      </c>
      <c r="AH139" s="5">
        <f>IF(ROW()&lt;=2+1,"",INDEX(Daily_Input!$G:$G,ROW()-2))</f>
        <v>0</v>
      </c>
      <c r="AI139" s="5">
        <f>IF(ROW()&lt;=2+1,"",INDEX(Daily_Input!$H:$H,ROW()-2))</f>
        <v>243130.6606</v>
      </c>
      <c r="AJ139" s="5">
        <f>IF(ROW()&lt;=2+2,"",INDEX(Daily_Input!$G:$G,ROW()-3))</f>
        <v>0</v>
      </c>
      <c r="AK139" s="5">
        <f>IF(ROW()&lt;=2+2,"",INDEX(Daily_Input!$H:$H,ROW()-3))</f>
        <v>282282.41340000002</v>
      </c>
    </row>
    <row r="140" spans="1:37">
      <c r="A140" s="5">
        <f>Daily_Input!A140</f>
        <v>45977</v>
      </c>
      <c r="B140" s="5">
        <f>Daily_Input!F140</f>
        <v>174711.21005079997</v>
      </c>
      <c r="C140" s="5">
        <f>Daily_Input!D140</f>
        <v>489.65800000000002</v>
      </c>
      <c r="D140" s="5">
        <f>Daily_Input!E140</f>
        <v>1658675.7961466999</v>
      </c>
      <c r="E140" s="5">
        <f>IF(ROW()=2,"",Daily_Input!E140-Daily_Input!E139)</f>
        <v>-3032.2206492000259</v>
      </c>
      <c r="F140" s="5">
        <f>IFERROR(Daily_Input!E140/Config!$B$4,"")</f>
        <v>1.0204323455030642</v>
      </c>
      <c r="G140" s="5">
        <f>Daily_Input!I140</f>
        <v>0</v>
      </c>
      <c r="H140" s="5">
        <f>IF(A140="","",IF(ROW()=2,G140,Config!$B$5*H139+G140))</f>
        <v>85.549048463952275</v>
      </c>
      <c r="I140" s="5">
        <f t="shared" si="2"/>
        <v>320</v>
      </c>
      <c r="J140" s="5">
        <f>IF(I140="","",SIN(2*PI()*I140/Config!$B$6))</f>
        <v>-0.69945832705164712</v>
      </c>
      <c r="K140" s="5">
        <f>IF(I140="","",COS(2*PI()*I140/Config!$B$6))</f>
        <v>0.71467338604296093</v>
      </c>
      <c r="L140" s="5">
        <f>IF(ROW()&lt;=2+0,"",INDEX(Daily_Input!$F:$F,ROW()-1))</f>
        <v>191472.81453110004</v>
      </c>
      <c r="M140" s="5">
        <f>IF(ROW()&lt;=2+1,"",INDEX(Daily_Input!$F:$F,ROW()-2))</f>
        <v>212574.47817439996</v>
      </c>
      <c r="N140" s="5">
        <f>IF(ROW()&lt;=2+2,"",INDEX(Daily_Input!$F:$F,ROW()-3))</f>
        <v>237055.74979460001</v>
      </c>
      <c r="O140" s="5">
        <f>IF(ROW()&lt;=2+3,"",INDEX(Daily_Input!$F:$F,ROW()-4))</f>
        <v>279242.69406349986</v>
      </c>
      <c r="P140" s="5">
        <f>IF(ROW()&lt;=2+4,"",INDEX(Daily_Input!$F:$F,ROW()-5))</f>
        <v>322823.09686260013</v>
      </c>
      <c r="Q140" s="5">
        <f>IF(ROW()&lt;=2+5,"",INDEX(Daily_Input!$F:$F,ROW()-6))</f>
        <v>370489.39000490011</v>
      </c>
      <c r="R140" s="5">
        <f>IF(ROW()&lt;=2+6,"",INDEX(Daily_Input!$F:$F,ROW()-7))</f>
        <v>336206.9549999999</v>
      </c>
      <c r="S140" s="5">
        <f>IF(ROW()&lt;=2+7,"",INDEX(Daily_Input!$F:$F,ROW()-8))</f>
        <v>40495.864248699872</v>
      </c>
      <c r="T140" s="5">
        <f>IF(ROW()&lt;=2+8,"",INDEX(Daily_Input!$F:$F,ROW()-9))</f>
        <v>3760.1438605002122</v>
      </c>
      <c r="U140" s="5">
        <f>IF(ROW()&lt;=2+9,"",INDEX(Daily_Input!$F:$F,ROW()-10))</f>
        <v>15019.199999999999</v>
      </c>
      <c r="V140" s="5">
        <f>IF(ROW()&lt;=2+10,"",INDEX(Daily_Input!$F:$F,ROW()-11))</f>
        <v>21004.545683499935</v>
      </c>
      <c r="W140" s="5">
        <f>IF(ROW()&lt;=2+11,"",INDEX(Daily_Input!$F:$F,ROW()-12))</f>
        <v>9033.854316500061</v>
      </c>
      <c r="X140" s="5">
        <f>IF(ROW()&lt;=2+12,"",INDEX(Daily_Input!$F:$F,ROW()-13))</f>
        <v>6030.0794041997742</v>
      </c>
      <c r="Y140" s="5">
        <f>IF(ROW()&lt;=2+13,"",INDEX(Daily_Input!$F:$F,ROW()-14))</f>
        <v>15019.199999999999</v>
      </c>
      <c r="Z140" s="5">
        <f>IF(ROW()&lt;=4,"",SUM(Daily_Input!I140:I142))</f>
        <v>41.2</v>
      </c>
      <c r="AA140" s="5">
        <f>IF(ROW()&lt;=8,"",SUM(Daily_Input!I140:I146))</f>
        <v>88.800000000000011</v>
      </c>
      <c r="AB140" s="5">
        <f>IF(ROW()&lt;=15,"",SUM(Daily_Input!I140:I153))</f>
        <v>88.800000000000011</v>
      </c>
      <c r="AC140" s="5">
        <f>IF(ROW()&lt;=4,"",AVERAGE(Daily_Input!F140:F142))</f>
        <v>280520.14479126665</v>
      </c>
      <c r="AD140" s="5">
        <f>IF(ROW()&lt;=8,"",AVERAGE(Daily_Input!F140:F146))</f>
        <v>543735.37763938564</v>
      </c>
      <c r="AE140" s="5">
        <f>IF(ROW()&lt;=8,"",MAX(Daily_Input!F140:F146))</f>
        <v>965976.87391570001</v>
      </c>
      <c r="AF140" s="5">
        <f>IF(ROW()&lt;=2+0,"",INDEX(Daily_Input!$G:$G,ROW()-1))</f>
        <v>0</v>
      </c>
      <c r="AG140" s="5">
        <f>IF(ROW()&lt;=2+0,"",INDEX(Daily_Input!$H:$H,ROW()-1))</f>
        <v>194506.47029999999</v>
      </c>
      <c r="AH140" s="5">
        <f>IF(ROW()&lt;=2+1,"",INDEX(Daily_Input!$G:$G,ROW()-2))</f>
        <v>0</v>
      </c>
      <c r="AI140" s="5">
        <f>IF(ROW()&lt;=2+1,"",INDEX(Daily_Input!$H:$H,ROW()-2))</f>
        <v>215609.6355</v>
      </c>
      <c r="AJ140" s="5">
        <f>IF(ROW()&lt;=2+2,"",INDEX(Daily_Input!$G:$G,ROW()-3))</f>
        <v>0</v>
      </c>
      <c r="AK140" s="5">
        <f>IF(ROW()&lt;=2+2,"",INDEX(Daily_Input!$H:$H,ROW()-3))</f>
        <v>243130.6606</v>
      </c>
    </row>
    <row r="141" spans="1:37">
      <c r="A141" s="5">
        <f>Daily_Input!A141</f>
        <v>45978</v>
      </c>
      <c r="B141" s="5">
        <f>Daily_Input!F141</f>
        <v>176791.29019999999</v>
      </c>
      <c r="C141" s="5">
        <f>Daily_Input!D141</f>
        <v>489.65697999999998</v>
      </c>
      <c r="D141" s="5">
        <f>Daily_Input!E141</f>
        <v>1658675.7961466999</v>
      </c>
      <c r="E141" s="5">
        <f>IF(ROW()=2,"",Daily_Input!E141-Daily_Input!E140)</f>
        <v>0</v>
      </c>
      <c r="F141" s="5">
        <f>IFERROR(Daily_Input!E141/Config!$B$4,"")</f>
        <v>1.0204323455030642</v>
      </c>
      <c r="G141" s="5">
        <f>Daily_Input!I141</f>
        <v>0</v>
      </c>
      <c r="H141" s="5">
        <f>IF(A141="","",IF(ROW()=2,G141,Config!$B$5*H140+G141))</f>
        <v>81.271596040754659</v>
      </c>
      <c r="I141" s="5">
        <f t="shared" si="2"/>
        <v>321</v>
      </c>
      <c r="J141" s="5">
        <f>IF(I141="","",SIN(2*PI()*I141/Config!$B$6))</f>
        <v>-0.68705276722366748</v>
      </c>
      <c r="K141" s="5">
        <f>IF(I141="","",COS(2*PI()*I141/Config!$B$6))</f>
        <v>0.72660752476856505</v>
      </c>
      <c r="L141" s="5">
        <f>IF(ROW()&lt;=2+0,"",INDEX(Daily_Input!$F:$F,ROW()-1))</f>
        <v>174711.21005079997</v>
      </c>
      <c r="M141" s="5">
        <f>IF(ROW()&lt;=2+1,"",INDEX(Daily_Input!$F:$F,ROW()-2))</f>
        <v>191472.81453110004</v>
      </c>
      <c r="N141" s="5">
        <f>IF(ROW()&lt;=2+2,"",INDEX(Daily_Input!$F:$F,ROW()-3))</f>
        <v>212574.47817439996</v>
      </c>
      <c r="O141" s="5">
        <f>IF(ROW()&lt;=2+3,"",INDEX(Daily_Input!$F:$F,ROW()-4))</f>
        <v>237055.74979460001</v>
      </c>
      <c r="P141" s="5">
        <f>IF(ROW()&lt;=2+4,"",INDEX(Daily_Input!$F:$F,ROW()-5))</f>
        <v>279242.69406349986</v>
      </c>
      <c r="Q141" s="5">
        <f>IF(ROW()&lt;=2+5,"",INDEX(Daily_Input!$F:$F,ROW()-6))</f>
        <v>322823.09686260013</v>
      </c>
      <c r="R141" s="5">
        <f>IF(ROW()&lt;=2+6,"",INDEX(Daily_Input!$F:$F,ROW()-7))</f>
        <v>370489.39000490011</v>
      </c>
      <c r="S141" s="5">
        <f>IF(ROW()&lt;=2+7,"",INDEX(Daily_Input!$F:$F,ROW()-8))</f>
        <v>336206.9549999999</v>
      </c>
      <c r="T141" s="5">
        <f>IF(ROW()&lt;=2+8,"",INDEX(Daily_Input!$F:$F,ROW()-9))</f>
        <v>40495.864248699872</v>
      </c>
      <c r="U141" s="5">
        <f>IF(ROW()&lt;=2+9,"",INDEX(Daily_Input!$F:$F,ROW()-10))</f>
        <v>3760.1438605002122</v>
      </c>
      <c r="V141" s="5">
        <f>IF(ROW()&lt;=2+10,"",INDEX(Daily_Input!$F:$F,ROW()-11))</f>
        <v>15019.199999999999</v>
      </c>
      <c r="W141" s="5">
        <f>IF(ROW()&lt;=2+11,"",INDEX(Daily_Input!$F:$F,ROW()-12))</f>
        <v>21004.545683499935</v>
      </c>
      <c r="X141" s="5">
        <f>IF(ROW()&lt;=2+12,"",INDEX(Daily_Input!$F:$F,ROW()-13))</f>
        <v>9033.854316500061</v>
      </c>
      <c r="Y141" s="5">
        <f>IF(ROW()&lt;=2+13,"",INDEX(Daily_Input!$F:$F,ROW()-14))</f>
        <v>6030.0794041997742</v>
      </c>
      <c r="Z141" s="5">
        <f>IF(ROW()&lt;=4,"",SUM(Daily_Input!I141:I143))</f>
        <v>72.400000000000006</v>
      </c>
      <c r="AA141" s="5">
        <f>IF(ROW()&lt;=8,"",SUM(Daily_Input!I141:I147))</f>
        <v>88.800000000000011</v>
      </c>
      <c r="AB141" s="5">
        <f>IF(ROW()&lt;=15,"",SUM(Daily_Input!I141:I154))</f>
        <v>88.800000000000011</v>
      </c>
      <c r="AC141" s="5">
        <f>IF(ROW()&lt;=4,"",AVERAGE(Daily_Input!F141:F143))</f>
        <v>544275.36607956665</v>
      </c>
      <c r="AD141" s="5">
        <f>IF(ROW()&lt;=8,"",AVERAGE(Daily_Input!F141:F147))</f>
        <v>580589.67955468572</v>
      </c>
      <c r="AE141" s="5">
        <f>IF(ROW()&lt;=8,"",MAX(Daily_Input!F141:F147))</f>
        <v>965976.87391570001</v>
      </c>
      <c r="AF141" s="5">
        <f>IF(ROW()&lt;=2+0,"",INDEX(Daily_Input!$G:$G,ROW()-1))</f>
        <v>0</v>
      </c>
      <c r="AG141" s="5">
        <f>IF(ROW()&lt;=2+0,"",INDEX(Daily_Input!$H:$H,ROW()-1))</f>
        <v>177743.4307</v>
      </c>
      <c r="AH141" s="5">
        <f>IF(ROW()&lt;=2+1,"",INDEX(Daily_Input!$G:$G,ROW()-2))</f>
        <v>0</v>
      </c>
      <c r="AI141" s="5">
        <f>IF(ROW()&lt;=2+1,"",INDEX(Daily_Input!$H:$H,ROW()-2))</f>
        <v>194506.47029999999</v>
      </c>
      <c r="AJ141" s="5">
        <f>IF(ROW()&lt;=2+2,"",INDEX(Daily_Input!$G:$G,ROW()-3))</f>
        <v>0</v>
      </c>
      <c r="AK141" s="5">
        <f>IF(ROW()&lt;=2+2,"",INDEX(Daily_Input!$H:$H,ROW()-3))</f>
        <v>215609.6355</v>
      </c>
    </row>
    <row r="142" spans="1:37">
      <c r="A142" s="5">
        <f>Daily_Input!A142</f>
        <v>45979</v>
      </c>
      <c r="B142" s="5">
        <f>Daily_Input!F142</f>
        <v>490057.93412300007</v>
      </c>
      <c r="C142" s="5">
        <f>Daily_Input!D142</f>
        <v>489.72699999999998</v>
      </c>
      <c r="D142" s="5">
        <f>Daily_Input!E142</f>
        <v>1679932.8392697</v>
      </c>
      <c r="E142" s="5">
        <f>IF(ROW()=2,"",Daily_Input!E142-Daily_Input!E141)</f>
        <v>21257.043123000069</v>
      </c>
      <c r="F142" s="5">
        <f>IFERROR(Daily_Input!E142/Config!$B$4,"")</f>
        <v>1.0335098706124641</v>
      </c>
      <c r="G142" s="5">
        <f>Daily_Input!I142</f>
        <v>41.2</v>
      </c>
      <c r="H142" s="5">
        <f>IF(A142="","",IF(ROW()=2,G142,Config!$B$5*H141+G142))</f>
        <v>118.40801623871693</v>
      </c>
      <c r="I142" s="5">
        <f t="shared" si="2"/>
        <v>322</v>
      </c>
      <c r="J142" s="5">
        <f>IF(I142="","",SIN(2*PI()*I142/Config!$B$6))</f>
        <v>-0.67444361883294568</v>
      </c>
      <c r="K142" s="5">
        <f>IF(I142="","",COS(2*PI()*I142/Config!$B$6))</f>
        <v>0.73832635400310631</v>
      </c>
      <c r="L142" s="5">
        <f>IF(ROW()&lt;=2+0,"",INDEX(Daily_Input!$F:$F,ROW()-1))</f>
        <v>176791.29019999999</v>
      </c>
      <c r="M142" s="5">
        <f>IF(ROW()&lt;=2+1,"",INDEX(Daily_Input!$F:$F,ROW()-2))</f>
        <v>174711.21005079997</v>
      </c>
      <c r="N142" s="5">
        <f>IF(ROW()&lt;=2+2,"",INDEX(Daily_Input!$F:$F,ROW()-3))</f>
        <v>191472.81453110004</v>
      </c>
      <c r="O142" s="5">
        <f>IF(ROW()&lt;=2+3,"",INDEX(Daily_Input!$F:$F,ROW()-4))</f>
        <v>212574.47817439996</v>
      </c>
      <c r="P142" s="5">
        <f>IF(ROW()&lt;=2+4,"",INDEX(Daily_Input!$F:$F,ROW()-5))</f>
        <v>237055.74979460001</v>
      </c>
      <c r="Q142" s="5">
        <f>IF(ROW()&lt;=2+5,"",INDEX(Daily_Input!$F:$F,ROW()-6))</f>
        <v>279242.69406349986</v>
      </c>
      <c r="R142" s="5">
        <f>IF(ROW()&lt;=2+6,"",INDEX(Daily_Input!$F:$F,ROW()-7))</f>
        <v>322823.09686260013</v>
      </c>
      <c r="S142" s="5">
        <f>IF(ROW()&lt;=2+7,"",INDEX(Daily_Input!$F:$F,ROW()-8))</f>
        <v>370489.39000490011</v>
      </c>
      <c r="T142" s="5">
        <f>IF(ROW()&lt;=2+8,"",INDEX(Daily_Input!$F:$F,ROW()-9))</f>
        <v>336206.9549999999</v>
      </c>
      <c r="U142" s="5">
        <f>IF(ROW()&lt;=2+9,"",INDEX(Daily_Input!$F:$F,ROW()-10))</f>
        <v>40495.864248699872</v>
      </c>
      <c r="V142" s="5">
        <f>IF(ROW()&lt;=2+10,"",INDEX(Daily_Input!$F:$F,ROW()-11))</f>
        <v>3760.1438605002122</v>
      </c>
      <c r="W142" s="5">
        <f>IF(ROW()&lt;=2+11,"",INDEX(Daily_Input!$F:$F,ROW()-12))</f>
        <v>15019.199999999999</v>
      </c>
      <c r="X142" s="5">
        <f>IF(ROW()&lt;=2+12,"",INDEX(Daily_Input!$F:$F,ROW()-13))</f>
        <v>21004.545683499935</v>
      </c>
      <c r="Y142" s="5">
        <f>IF(ROW()&lt;=2+13,"",INDEX(Daily_Input!$F:$F,ROW()-14))</f>
        <v>9033.854316500061</v>
      </c>
      <c r="Z142" s="5">
        <f>IF(ROW()&lt;=4,"",SUM(Daily_Input!I142:I144))</f>
        <v>88.800000000000011</v>
      </c>
      <c r="AA142" s="5">
        <f>IF(ROW()&lt;=8,"",SUM(Daily_Input!I142:I148))</f>
        <v>88.800000000000011</v>
      </c>
      <c r="AB142" s="5">
        <f>IF(ROW()&lt;=15,"",SUM(Daily_Input!I142:I155))</f>
        <v>88.800000000000011</v>
      </c>
      <c r="AC142" s="5">
        <f>IF(ROW()&lt;=4,"",AVERAGE(Daily_Input!F142:F144))</f>
        <v>784389.56871140003</v>
      </c>
      <c r="AD142" s="5">
        <f>IF(ROW()&lt;=8,"",AVERAGE(Daily_Input!F142:F148))</f>
        <v>609401.24930288573</v>
      </c>
      <c r="AE142" s="5">
        <f>IF(ROW()&lt;=8,"",MAX(Daily_Input!F142:F148))</f>
        <v>965976.87391570001</v>
      </c>
      <c r="AF142" s="5">
        <f>IF(ROW()&lt;=2+0,"",INDEX(Daily_Input!$G:$G,ROW()-1))</f>
        <v>0</v>
      </c>
      <c r="AG142" s="5">
        <f>IF(ROW()&lt;=2+0,"",INDEX(Daily_Input!$H:$H,ROW()-1))</f>
        <v>176791.29019999999</v>
      </c>
      <c r="AH142" s="5">
        <f>IF(ROW()&lt;=2+1,"",INDEX(Daily_Input!$G:$G,ROW()-2))</f>
        <v>0</v>
      </c>
      <c r="AI142" s="5">
        <f>IF(ROW()&lt;=2+1,"",INDEX(Daily_Input!$H:$H,ROW()-2))</f>
        <v>177743.4307</v>
      </c>
      <c r="AJ142" s="5">
        <f>IF(ROW()&lt;=2+2,"",INDEX(Daily_Input!$G:$G,ROW()-3))</f>
        <v>0</v>
      </c>
      <c r="AK142" s="5">
        <f>IF(ROW()&lt;=2+2,"",INDEX(Daily_Input!$H:$H,ROW()-3))</f>
        <v>194506.47029999999</v>
      </c>
    </row>
    <row r="143" spans="1:37">
      <c r="A143" s="5">
        <f>Daily_Input!A143</f>
        <v>45980</v>
      </c>
      <c r="B143" s="5">
        <f>Daily_Input!F143</f>
        <v>965976.87391570001</v>
      </c>
      <c r="C143" s="5">
        <f>Daily_Input!D143</f>
        <v>489.85700000000003</v>
      </c>
      <c r="D143" s="5">
        <f>Daily_Input!E143</f>
        <v>1719668.7023854</v>
      </c>
      <c r="E143" s="5">
        <f>IF(ROW()=2,"",Daily_Input!E143-Daily_Input!E142)</f>
        <v>39735.863115699962</v>
      </c>
      <c r="F143" s="5">
        <f>IFERROR(Daily_Input!E143/Config!$B$4,"")</f>
        <v>1.0579557328442153</v>
      </c>
      <c r="G143" s="5">
        <f>Daily_Input!I143</f>
        <v>31.2</v>
      </c>
      <c r="H143" s="5">
        <f>IF(A143="","",IF(ROW()=2,G143,Config!$B$5*H142+G143))</f>
        <v>143.68761542678106</v>
      </c>
      <c r="I143" s="5">
        <f t="shared" si="2"/>
        <v>323</v>
      </c>
      <c r="J143" s="5">
        <f>IF(I143="","",SIN(2*PI()*I143/Config!$B$6))</f>
        <v>-0.66163461824227898</v>
      </c>
      <c r="K143" s="5">
        <f>IF(I143="","",COS(2*PI()*I143/Config!$B$6))</f>
        <v>0.749826401204568</v>
      </c>
      <c r="L143" s="5">
        <f>IF(ROW()&lt;=2+0,"",INDEX(Daily_Input!$F:$F,ROW()-1))</f>
        <v>490057.93412300007</v>
      </c>
      <c r="M143" s="5">
        <f>IF(ROW()&lt;=2+1,"",INDEX(Daily_Input!$F:$F,ROW()-2))</f>
        <v>176791.29019999999</v>
      </c>
      <c r="N143" s="5">
        <f>IF(ROW()&lt;=2+2,"",INDEX(Daily_Input!$F:$F,ROW()-3))</f>
        <v>174711.21005079997</v>
      </c>
      <c r="O143" s="5">
        <f>IF(ROW()&lt;=2+3,"",INDEX(Daily_Input!$F:$F,ROW()-4))</f>
        <v>191472.81453110004</v>
      </c>
      <c r="P143" s="5">
        <f>IF(ROW()&lt;=2+4,"",INDEX(Daily_Input!$F:$F,ROW()-5))</f>
        <v>212574.47817439996</v>
      </c>
      <c r="Q143" s="5">
        <f>IF(ROW()&lt;=2+5,"",INDEX(Daily_Input!$F:$F,ROW()-6))</f>
        <v>237055.74979460001</v>
      </c>
      <c r="R143" s="5">
        <f>IF(ROW()&lt;=2+6,"",INDEX(Daily_Input!$F:$F,ROW()-7))</f>
        <v>279242.69406349986</v>
      </c>
      <c r="S143" s="5">
        <f>IF(ROW()&lt;=2+7,"",INDEX(Daily_Input!$F:$F,ROW()-8))</f>
        <v>322823.09686260013</v>
      </c>
      <c r="T143" s="5">
        <f>IF(ROW()&lt;=2+8,"",INDEX(Daily_Input!$F:$F,ROW()-9))</f>
        <v>370489.39000490011</v>
      </c>
      <c r="U143" s="5">
        <f>IF(ROW()&lt;=2+9,"",INDEX(Daily_Input!$F:$F,ROW()-10))</f>
        <v>336206.9549999999</v>
      </c>
      <c r="V143" s="5">
        <f>IF(ROW()&lt;=2+10,"",INDEX(Daily_Input!$F:$F,ROW()-11))</f>
        <v>40495.864248699872</v>
      </c>
      <c r="W143" s="5">
        <f>IF(ROW()&lt;=2+11,"",INDEX(Daily_Input!$F:$F,ROW()-12))</f>
        <v>3760.1438605002122</v>
      </c>
      <c r="X143" s="5">
        <f>IF(ROW()&lt;=2+12,"",INDEX(Daily_Input!$F:$F,ROW()-13))</f>
        <v>15019.199999999999</v>
      </c>
      <c r="Y143" s="5">
        <f>IF(ROW()&lt;=2+13,"",INDEX(Daily_Input!$F:$F,ROW()-14))</f>
        <v>21004.545683499935</v>
      </c>
      <c r="Z143" s="5">
        <f>IF(ROW()&lt;=4,"",SUM(Daily_Input!I143:I145))</f>
        <v>47.599999999999994</v>
      </c>
      <c r="AA143" s="5">
        <f>IF(ROW()&lt;=8,"",SUM(Daily_Input!I143:I149))</f>
        <v>47.599999999999994</v>
      </c>
      <c r="AB143" s="5">
        <f>IF(ROW()&lt;=15,"",SUM(Daily_Input!I143:I156))</f>
        <v>47.599999999999994</v>
      </c>
      <c r="AC143" s="5">
        <f>IF(ROW()&lt;=4,"",AVERAGE(Daily_Input!F143:F145))</f>
        <v>824977.3299588667</v>
      </c>
      <c r="AD143" s="5">
        <f>IF(ROW()&lt;=8,"",AVERAGE(Daily_Input!F143:F149))</f>
        <v>588654.65232857142</v>
      </c>
      <c r="AE143" s="5">
        <f>IF(ROW()&lt;=8,"",MAX(Daily_Input!F143:F149))</f>
        <v>965976.87391570001</v>
      </c>
      <c r="AF143" s="5">
        <f>IF(ROW()&lt;=2+0,"",INDEX(Daily_Input!$G:$G,ROW()-1))</f>
        <v>0</v>
      </c>
      <c r="AG143" s="5">
        <f>IF(ROW()&lt;=2+0,"",INDEX(Daily_Input!$H:$H,ROW()-1))</f>
        <v>468800.891</v>
      </c>
      <c r="AH143" s="5">
        <f>IF(ROW()&lt;=2+1,"",INDEX(Daily_Input!$G:$G,ROW()-2))</f>
        <v>0</v>
      </c>
      <c r="AI143" s="5">
        <f>IF(ROW()&lt;=2+1,"",INDEX(Daily_Input!$H:$H,ROW()-2))</f>
        <v>176791.29019999999</v>
      </c>
      <c r="AJ143" s="5">
        <f>IF(ROW()&lt;=2+2,"",INDEX(Daily_Input!$G:$G,ROW()-3))</f>
        <v>0</v>
      </c>
      <c r="AK143" s="5">
        <f>IF(ROW()&lt;=2+2,"",INDEX(Daily_Input!$H:$H,ROW()-3))</f>
        <v>177743.4307</v>
      </c>
    </row>
    <row r="144" spans="1:37">
      <c r="A144" s="5">
        <f>Daily_Input!A144</f>
        <v>45981</v>
      </c>
      <c r="B144" s="5">
        <f>Daily_Input!F144</f>
        <v>897133.89809549996</v>
      </c>
      <c r="C144" s="5">
        <f>Daily_Input!D144</f>
        <v>489.88997999999998</v>
      </c>
      <c r="D144" s="5">
        <f>Daily_Input!E144</f>
        <v>1728897.6614808999</v>
      </c>
      <c r="E144" s="5">
        <f>IF(ROW()=2,"",Daily_Input!E144-Daily_Input!E143)</f>
        <v>9228.9590954999439</v>
      </c>
      <c r="F144" s="5">
        <f>IFERROR(Daily_Input!E144/Config!$B$4,"")</f>
        <v>1.0636334719167038</v>
      </c>
      <c r="G144" s="5">
        <f>Daily_Input!I144</f>
        <v>16.399999999999999</v>
      </c>
      <c r="H144" s="5">
        <f>IF(A144="","",IF(ROW()=2,G144,Config!$B$5*H143+G144))</f>
        <v>152.90323465544202</v>
      </c>
      <c r="I144" s="5">
        <f t="shared" si="2"/>
        <v>324</v>
      </c>
      <c r="J144" s="5">
        <f>IF(I144="","",SIN(2*PI()*I144/Config!$B$6))</f>
        <v>-0.64862956103498182</v>
      </c>
      <c r="K144" s="5">
        <f>IF(I144="","",COS(2*PI()*I144/Config!$B$6))</f>
        <v>0.76110425866077425</v>
      </c>
      <c r="L144" s="5">
        <f>IF(ROW()&lt;=2+0,"",INDEX(Daily_Input!$F:$F,ROW()-1))</f>
        <v>965976.87391570001</v>
      </c>
      <c r="M144" s="5">
        <f>IF(ROW()&lt;=2+1,"",INDEX(Daily_Input!$F:$F,ROW()-2))</f>
        <v>490057.93412300007</v>
      </c>
      <c r="N144" s="5">
        <f>IF(ROW()&lt;=2+2,"",INDEX(Daily_Input!$F:$F,ROW()-3))</f>
        <v>176791.29019999999</v>
      </c>
      <c r="O144" s="5">
        <f>IF(ROW()&lt;=2+3,"",INDEX(Daily_Input!$F:$F,ROW()-4))</f>
        <v>174711.21005079997</v>
      </c>
      <c r="P144" s="5">
        <f>IF(ROW()&lt;=2+4,"",INDEX(Daily_Input!$F:$F,ROW()-5))</f>
        <v>191472.81453110004</v>
      </c>
      <c r="Q144" s="5">
        <f>IF(ROW()&lt;=2+5,"",INDEX(Daily_Input!$F:$F,ROW()-6))</f>
        <v>212574.47817439996</v>
      </c>
      <c r="R144" s="5">
        <f>IF(ROW()&lt;=2+6,"",INDEX(Daily_Input!$F:$F,ROW()-7))</f>
        <v>237055.74979460001</v>
      </c>
      <c r="S144" s="5">
        <f>IF(ROW()&lt;=2+7,"",INDEX(Daily_Input!$F:$F,ROW()-8))</f>
        <v>279242.69406349986</v>
      </c>
      <c r="T144" s="5">
        <f>IF(ROW()&lt;=2+8,"",INDEX(Daily_Input!$F:$F,ROW()-9))</f>
        <v>322823.09686260013</v>
      </c>
      <c r="U144" s="5">
        <f>IF(ROW()&lt;=2+9,"",INDEX(Daily_Input!$F:$F,ROW()-10))</f>
        <v>370489.39000490011</v>
      </c>
      <c r="V144" s="5">
        <f>IF(ROW()&lt;=2+10,"",INDEX(Daily_Input!$F:$F,ROW()-11))</f>
        <v>336206.9549999999</v>
      </c>
      <c r="W144" s="5">
        <f>IF(ROW()&lt;=2+11,"",INDEX(Daily_Input!$F:$F,ROW()-12))</f>
        <v>40495.864248699872</v>
      </c>
      <c r="X144" s="5">
        <f>IF(ROW()&lt;=2+12,"",INDEX(Daily_Input!$F:$F,ROW()-13))</f>
        <v>3760.1438605002122</v>
      </c>
      <c r="Y144" s="5">
        <f>IF(ROW()&lt;=2+13,"",INDEX(Daily_Input!$F:$F,ROW()-14))</f>
        <v>15019.199999999999</v>
      </c>
      <c r="Z144" s="5">
        <f>IF(ROW()&lt;=4,"",SUM(Daily_Input!I144:I146))</f>
        <v>16.399999999999999</v>
      </c>
      <c r="AA144" s="5">
        <f>IF(ROW()&lt;=8,"",SUM(Daily_Input!I144:I150))</f>
        <v>16.399999999999999</v>
      </c>
      <c r="AB144" s="5">
        <f>IF(ROW()&lt;=15,"",SUM(Daily_Input!I144:I157))</f>
        <v>16.399999999999999</v>
      </c>
      <c r="AC144" s="5">
        <f>IF(ROW()&lt;=4,"",AVERAGE(Daily_Input!F144:F146))</f>
        <v>666203.44506206678</v>
      </c>
      <c r="AD144" s="5">
        <f>IF(ROW()&lt;=8,"",AVERAGE(Daily_Input!F144:F150))</f>
        <v>494885.13170148566</v>
      </c>
      <c r="AE144" s="5">
        <f>IF(ROW()&lt;=8,"",MAX(Daily_Input!F144:F150))</f>
        <v>897133.89809549996</v>
      </c>
      <c r="AF144" s="5">
        <f>IF(ROW()&lt;=2+0,"",INDEX(Daily_Input!$G:$G,ROW()-1))</f>
        <v>0</v>
      </c>
      <c r="AG144" s="5">
        <f>IF(ROW()&lt;=2+0,"",INDEX(Daily_Input!$H:$H,ROW()-1))</f>
        <v>926241.01080000005</v>
      </c>
      <c r="AH144" s="5">
        <f>IF(ROW()&lt;=2+1,"",INDEX(Daily_Input!$G:$G,ROW()-2))</f>
        <v>0</v>
      </c>
      <c r="AI144" s="5">
        <f>IF(ROW()&lt;=2+1,"",INDEX(Daily_Input!$H:$H,ROW()-2))</f>
        <v>468800.891</v>
      </c>
      <c r="AJ144" s="5">
        <f>IF(ROW()&lt;=2+2,"",INDEX(Daily_Input!$G:$G,ROW()-3))</f>
        <v>0</v>
      </c>
      <c r="AK144" s="5">
        <f>IF(ROW()&lt;=2+2,"",INDEX(Daily_Input!$H:$H,ROW()-3))</f>
        <v>176791.29019999999</v>
      </c>
    </row>
    <row r="145" spans="1:37">
      <c r="A145" s="5">
        <f>Daily_Input!A145</f>
        <v>45982</v>
      </c>
      <c r="B145" s="5">
        <f>Daily_Input!F145</f>
        <v>611821.21786540013</v>
      </c>
      <c r="C145" s="5">
        <f>Daily_Input!D145</f>
        <v>489.81799999999998</v>
      </c>
      <c r="D145" s="5">
        <f>Daily_Input!E145</f>
        <v>1707386.3914463001</v>
      </c>
      <c r="E145" s="5">
        <f>IF(ROW()=2,"",Daily_Input!E145-Daily_Input!E144)</f>
        <v>-21511.270034599816</v>
      </c>
      <c r="F145" s="5">
        <f>IFERROR(Daily_Input!E145/Config!$B$4,"")</f>
        <v>1.0503995441128793</v>
      </c>
      <c r="G145" s="5">
        <f>Daily_Input!I145</f>
        <v>0</v>
      </c>
      <c r="H145" s="5">
        <f>IF(A145="","",IF(ROW()=2,G145,Config!$B$5*H144+G145))</f>
        <v>145.25807292266992</v>
      </c>
      <c r="I145" s="5">
        <f t="shared" si="2"/>
        <v>325</v>
      </c>
      <c r="J145" s="5">
        <f>IF(I145="","",SIN(2*PI()*I145/Config!$B$6))</f>
        <v>-0.63543230089017755</v>
      </c>
      <c r="K145" s="5">
        <f>IF(I145="","",COS(2*PI()*I145/Config!$B$6))</f>
        <v>0.77215658449916413</v>
      </c>
      <c r="L145" s="5">
        <f>IF(ROW()&lt;=2+0,"",INDEX(Daily_Input!$F:$F,ROW()-1))</f>
        <v>897133.89809549996</v>
      </c>
      <c r="M145" s="5">
        <f>IF(ROW()&lt;=2+1,"",INDEX(Daily_Input!$F:$F,ROW()-2))</f>
        <v>965976.87391570001</v>
      </c>
      <c r="N145" s="5">
        <f>IF(ROW()&lt;=2+2,"",INDEX(Daily_Input!$F:$F,ROW()-3))</f>
        <v>490057.93412300007</v>
      </c>
      <c r="O145" s="5">
        <f>IF(ROW()&lt;=2+3,"",INDEX(Daily_Input!$F:$F,ROW()-4))</f>
        <v>176791.29019999999</v>
      </c>
      <c r="P145" s="5">
        <f>IF(ROW()&lt;=2+4,"",INDEX(Daily_Input!$F:$F,ROW()-5))</f>
        <v>174711.21005079997</v>
      </c>
      <c r="Q145" s="5">
        <f>IF(ROW()&lt;=2+5,"",INDEX(Daily_Input!$F:$F,ROW()-6))</f>
        <v>191472.81453110004</v>
      </c>
      <c r="R145" s="5">
        <f>IF(ROW()&lt;=2+6,"",INDEX(Daily_Input!$F:$F,ROW()-7))</f>
        <v>212574.47817439996</v>
      </c>
      <c r="S145" s="5">
        <f>IF(ROW()&lt;=2+7,"",INDEX(Daily_Input!$F:$F,ROW()-8))</f>
        <v>237055.74979460001</v>
      </c>
      <c r="T145" s="5">
        <f>IF(ROW()&lt;=2+8,"",INDEX(Daily_Input!$F:$F,ROW()-9))</f>
        <v>279242.69406349986</v>
      </c>
      <c r="U145" s="5">
        <f>IF(ROW()&lt;=2+9,"",INDEX(Daily_Input!$F:$F,ROW()-10))</f>
        <v>322823.09686260013</v>
      </c>
      <c r="V145" s="5">
        <f>IF(ROW()&lt;=2+10,"",INDEX(Daily_Input!$F:$F,ROW()-11))</f>
        <v>370489.39000490011</v>
      </c>
      <c r="W145" s="5">
        <f>IF(ROW()&lt;=2+11,"",INDEX(Daily_Input!$F:$F,ROW()-12))</f>
        <v>336206.9549999999</v>
      </c>
      <c r="X145" s="5">
        <f>IF(ROW()&lt;=2+12,"",INDEX(Daily_Input!$F:$F,ROW()-13))</f>
        <v>40495.864248699872</v>
      </c>
      <c r="Y145" s="5">
        <f>IF(ROW()&lt;=2+13,"",INDEX(Daily_Input!$F:$F,ROW()-14))</f>
        <v>3760.1438605002122</v>
      </c>
      <c r="Z145" s="5">
        <f>IF(ROW()&lt;=4,"",SUM(Daily_Input!I145:I147))</f>
        <v>0</v>
      </c>
      <c r="AA145" s="5">
        <f>IF(ROW()&lt;=8,"",SUM(Daily_Input!I145:I151))</f>
        <v>0</v>
      </c>
      <c r="AB145" s="5">
        <f>IF(ROW()&lt;=15,"",SUM(Daily_Input!I145:I158))</f>
        <v>0</v>
      </c>
      <c r="AC145" s="5">
        <f>IF(ROW()&lt;=4,"",AVERAGE(Daily_Input!F145:F147))</f>
        <v>511389.2535162</v>
      </c>
      <c r="AD145" s="5">
        <f>IF(ROW()&lt;=8,"",AVERAGE(Daily_Input!F145:F151))</f>
        <v>407843.1939589</v>
      </c>
      <c r="AE145" s="5">
        <f>IF(ROW()&lt;=8,"",MAX(Daily_Input!F145:F151))</f>
        <v>611821.21786540013</v>
      </c>
      <c r="AF145" s="5">
        <f>IF(ROW()&lt;=2+0,"",INDEX(Daily_Input!$G:$G,ROW()-1))</f>
        <v>0</v>
      </c>
      <c r="AG145" s="5">
        <f>IF(ROW()&lt;=2+0,"",INDEX(Daily_Input!$H:$H,ROW()-1))</f>
        <v>887904.93900000001</v>
      </c>
      <c r="AH145" s="5">
        <f>IF(ROW()&lt;=2+1,"",INDEX(Daily_Input!$G:$G,ROW()-2))</f>
        <v>0</v>
      </c>
      <c r="AI145" s="5">
        <f>IF(ROW()&lt;=2+1,"",INDEX(Daily_Input!$H:$H,ROW()-2))</f>
        <v>926241.01080000005</v>
      </c>
      <c r="AJ145" s="5">
        <f>IF(ROW()&lt;=2+2,"",INDEX(Daily_Input!$G:$G,ROW()-3))</f>
        <v>0</v>
      </c>
      <c r="AK145" s="5">
        <f>IF(ROW()&lt;=2+2,"",INDEX(Daily_Input!$H:$H,ROW()-3))</f>
        <v>468800.891</v>
      </c>
    </row>
    <row r="146" spans="1:37">
      <c r="A146" s="5">
        <f>Daily_Input!A146</f>
        <v>45983</v>
      </c>
      <c r="B146" s="5">
        <f>Daily_Input!F146</f>
        <v>489655.21922529989</v>
      </c>
      <c r="C146" s="5">
        <f>Daily_Input!D146</f>
        <v>489.774</v>
      </c>
      <c r="D146" s="5">
        <f>Daily_Input!E146</f>
        <v>1695162.8519716</v>
      </c>
      <c r="E146" s="5">
        <f>IF(ROW()=2,"",Daily_Input!E146-Daily_Input!E145)</f>
        <v>-12223.539474700112</v>
      </c>
      <c r="F146" s="5">
        <f>IFERROR(Daily_Input!E146/Config!$B$4,"")</f>
        <v>1.0428795121177814</v>
      </c>
      <c r="G146" s="5">
        <f>Daily_Input!I146</f>
        <v>0</v>
      </c>
      <c r="H146" s="5">
        <f>IF(A146="","",IF(ROW()=2,G146,Config!$B$5*H145+G146))</f>
        <v>137.99516927653642</v>
      </c>
      <c r="I146" s="5">
        <f t="shared" si="2"/>
        <v>326</v>
      </c>
      <c r="J146" s="5">
        <f>IF(I146="","",SIN(2*PI()*I146/Config!$B$6))</f>
        <v>-0.62204674844086805</v>
      </c>
      <c r="K146" s="5">
        <f>IF(I146="","",COS(2*PI()*I146/Config!$B$6))</f>
        <v>0.7829801036770625</v>
      </c>
      <c r="L146" s="5">
        <f>IF(ROW()&lt;=2+0,"",INDEX(Daily_Input!$F:$F,ROW()-1))</f>
        <v>611821.21786540013</v>
      </c>
      <c r="M146" s="5">
        <f>IF(ROW()&lt;=2+1,"",INDEX(Daily_Input!$F:$F,ROW()-2))</f>
        <v>897133.89809549996</v>
      </c>
      <c r="N146" s="5">
        <f>IF(ROW()&lt;=2+2,"",INDEX(Daily_Input!$F:$F,ROW()-3))</f>
        <v>965976.87391570001</v>
      </c>
      <c r="O146" s="5">
        <f>IF(ROW()&lt;=2+3,"",INDEX(Daily_Input!$F:$F,ROW()-4))</f>
        <v>490057.93412300007</v>
      </c>
      <c r="P146" s="5">
        <f>IF(ROW()&lt;=2+4,"",INDEX(Daily_Input!$F:$F,ROW()-5))</f>
        <v>176791.29019999999</v>
      </c>
      <c r="Q146" s="5">
        <f>IF(ROW()&lt;=2+5,"",INDEX(Daily_Input!$F:$F,ROW()-6))</f>
        <v>174711.21005079997</v>
      </c>
      <c r="R146" s="5">
        <f>IF(ROW()&lt;=2+6,"",INDEX(Daily_Input!$F:$F,ROW()-7))</f>
        <v>191472.81453110004</v>
      </c>
      <c r="S146" s="5">
        <f>IF(ROW()&lt;=2+7,"",INDEX(Daily_Input!$F:$F,ROW()-8))</f>
        <v>212574.47817439996</v>
      </c>
      <c r="T146" s="5">
        <f>IF(ROW()&lt;=2+8,"",INDEX(Daily_Input!$F:$F,ROW()-9))</f>
        <v>237055.74979460001</v>
      </c>
      <c r="U146" s="5">
        <f>IF(ROW()&lt;=2+9,"",INDEX(Daily_Input!$F:$F,ROW()-10))</f>
        <v>279242.69406349986</v>
      </c>
      <c r="V146" s="5">
        <f>IF(ROW()&lt;=2+10,"",INDEX(Daily_Input!$F:$F,ROW()-11))</f>
        <v>322823.09686260013</v>
      </c>
      <c r="W146" s="5">
        <f>IF(ROW()&lt;=2+11,"",INDEX(Daily_Input!$F:$F,ROW()-12))</f>
        <v>370489.39000490011</v>
      </c>
      <c r="X146" s="5">
        <f>IF(ROW()&lt;=2+12,"",INDEX(Daily_Input!$F:$F,ROW()-13))</f>
        <v>336206.9549999999</v>
      </c>
      <c r="Y146" s="5">
        <f>IF(ROW()&lt;=2+13,"",INDEX(Daily_Input!$F:$F,ROW()-14))</f>
        <v>40495.864248699872</v>
      </c>
      <c r="Z146" s="5">
        <f>IF(ROW()&lt;=4,"",SUM(Daily_Input!I146:I148))</f>
        <v>0</v>
      </c>
      <c r="AA146" s="5">
        <f>IF(ROW()&lt;=8,"",SUM(Daily_Input!I146:I152))</f>
        <v>0</v>
      </c>
      <c r="AB146" s="5">
        <f>IF(ROW()&lt;=15,"",SUM(Daily_Input!I146:I159))</f>
        <v>0</v>
      </c>
      <c r="AC146" s="5">
        <f>IF(ROW()&lt;=4,"",AVERAGE(Daily_Input!F146:F148))</f>
        <v>433606.2737068666</v>
      </c>
      <c r="AD146" s="5">
        <f>IF(ROW()&lt;=8,"",AVERAGE(Daily_Input!F146:F152))</f>
        <v>359157.0768638429</v>
      </c>
      <c r="AE146" s="5">
        <f>IF(ROW()&lt;=8,"",MAX(Daily_Input!F146:F152))</f>
        <v>489655.21922529989</v>
      </c>
      <c r="AF146" s="5">
        <f>IF(ROW()&lt;=2+0,"",INDEX(Daily_Input!$G:$G,ROW()-1))</f>
        <v>0</v>
      </c>
      <c r="AG146" s="5">
        <f>IF(ROW()&lt;=2+0,"",INDEX(Daily_Input!$H:$H,ROW()-1))</f>
        <v>633332.48789999995</v>
      </c>
      <c r="AH146" s="5">
        <f>IF(ROW()&lt;=2+1,"",INDEX(Daily_Input!$G:$G,ROW()-2))</f>
        <v>0</v>
      </c>
      <c r="AI146" s="5">
        <f>IF(ROW()&lt;=2+1,"",INDEX(Daily_Input!$H:$H,ROW()-2))</f>
        <v>887904.93900000001</v>
      </c>
      <c r="AJ146" s="5">
        <f>IF(ROW()&lt;=2+2,"",INDEX(Daily_Input!$G:$G,ROW()-3))</f>
        <v>0</v>
      </c>
      <c r="AK146" s="5">
        <f>IF(ROW()&lt;=2+2,"",INDEX(Daily_Input!$H:$H,ROW()-3))</f>
        <v>926241.01080000005</v>
      </c>
    </row>
    <row r="147" spans="1:37">
      <c r="A147" s="5">
        <f>Daily_Input!A147</f>
        <v>45984</v>
      </c>
      <c r="B147" s="5">
        <f>Daily_Input!F147</f>
        <v>432691.32345790009</v>
      </c>
      <c r="C147" s="5">
        <f>Daily_Input!D147</f>
        <v>489.75400000000002</v>
      </c>
      <c r="D147" s="5">
        <f>Daily_Input!E147</f>
        <v>1689066.0691295001</v>
      </c>
      <c r="E147" s="5">
        <f>IF(ROW()=2,"",Daily_Input!E147-Daily_Input!E146)</f>
        <v>-6096.7828420998994</v>
      </c>
      <c r="F147" s="5">
        <f>IFERROR(Daily_Input!E147/Config!$B$4,"")</f>
        <v>1.0391287161936835</v>
      </c>
      <c r="G147" s="5">
        <f>Daily_Input!I147</f>
        <v>0</v>
      </c>
      <c r="H147" s="5">
        <f>IF(A147="","",IF(ROW()=2,G147,Config!$B$5*H146+G147))</f>
        <v>131.09541081270959</v>
      </c>
      <c r="I147" s="5">
        <f t="shared" si="2"/>
        <v>327</v>
      </c>
      <c r="J147" s="5">
        <f>IF(I147="","",SIN(2*PI()*I147/Config!$B$6))</f>
        <v>-0.60847687011512641</v>
      </c>
      <c r="K147" s="5">
        <f>IF(I147="","",COS(2*PI()*I147/Config!$B$6))</f>
        <v>0.79357160895214718</v>
      </c>
      <c r="L147" s="5">
        <f>IF(ROW()&lt;=2+0,"",INDEX(Daily_Input!$F:$F,ROW()-1))</f>
        <v>489655.21922529989</v>
      </c>
      <c r="M147" s="5">
        <f>IF(ROW()&lt;=2+1,"",INDEX(Daily_Input!$F:$F,ROW()-2))</f>
        <v>611821.21786540013</v>
      </c>
      <c r="N147" s="5">
        <f>IF(ROW()&lt;=2+2,"",INDEX(Daily_Input!$F:$F,ROW()-3))</f>
        <v>897133.89809549996</v>
      </c>
      <c r="O147" s="5">
        <f>IF(ROW()&lt;=2+3,"",INDEX(Daily_Input!$F:$F,ROW()-4))</f>
        <v>965976.87391570001</v>
      </c>
      <c r="P147" s="5">
        <f>IF(ROW()&lt;=2+4,"",INDEX(Daily_Input!$F:$F,ROW()-5))</f>
        <v>490057.93412300007</v>
      </c>
      <c r="Q147" s="5">
        <f>IF(ROW()&lt;=2+5,"",INDEX(Daily_Input!$F:$F,ROW()-6))</f>
        <v>176791.29019999999</v>
      </c>
      <c r="R147" s="5">
        <f>IF(ROW()&lt;=2+6,"",INDEX(Daily_Input!$F:$F,ROW()-7))</f>
        <v>174711.21005079997</v>
      </c>
      <c r="S147" s="5">
        <f>IF(ROW()&lt;=2+7,"",INDEX(Daily_Input!$F:$F,ROW()-8))</f>
        <v>191472.81453110004</v>
      </c>
      <c r="T147" s="5">
        <f>IF(ROW()&lt;=2+8,"",INDEX(Daily_Input!$F:$F,ROW()-9))</f>
        <v>212574.47817439996</v>
      </c>
      <c r="U147" s="5">
        <f>IF(ROW()&lt;=2+9,"",INDEX(Daily_Input!$F:$F,ROW()-10))</f>
        <v>237055.74979460001</v>
      </c>
      <c r="V147" s="5">
        <f>IF(ROW()&lt;=2+10,"",INDEX(Daily_Input!$F:$F,ROW()-11))</f>
        <v>279242.69406349986</v>
      </c>
      <c r="W147" s="5">
        <f>IF(ROW()&lt;=2+11,"",INDEX(Daily_Input!$F:$F,ROW()-12))</f>
        <v>322823.09686260013</v>
      </c>
      <c r="X147" s="5">
        <f>IF(ROW()&lt;=2+12,"",INDEX(Daily_Input!$F:$F,ROW()-13))</f>
        <v>370489.39000490011</v>
      </c>
      <c r="Y147" s="5">
        <f>IF(ROW()&lt;=2+13,"",INDEX(Daily_Input!$F:$F,ROW()-14))</f>
        <v>336206.9549999999</v>
      </c>
      <c r="Z147" s="5">
        <f>IF(ROW()&lt;=4,"",SUM(Daily_Input!I147:I149))</f>
        <v>0</v>
      </c>
      <c r="AA147" s="5">
        <f>IF(ROW()&lt;=8,"",SUM(Daily_Input!I147:I153))</f>
        <v>0</v>
      </c>
      <c r="AB147" s="5">
        <f>IF(ROW()&lt;=15,"",SUM(Daily_Input!I147:I160))</f>
        <v>0</v>
      </c>
      <c r="AC147" s="5">
        <f>IF(ROW()&lt;=4,"",AVERAGE(Daily_Input!F147:F149))</f>
        <v>385331.78573270002</v>
      </c>
      <c r="AD147" s="5">
        <f>IF(ROW()&lt;=8,"",AVERAGE(Daily_Input!F147:F153))</f>
        <v>325145.83098840003</v>
      </c>
      <c r="AE147" s="5">
        <f>IF(ROW()&lt;=8,"",MAX(Daily_Input!F147:F153))</f>
        <v>432691.32345790009</v>
      </c>
      <c r="AF147" s="5">
        <f>IF(ROW()&lt;=2+0,"",INDEX(Daily_Input!$G:$G,ROW()-1))</f>
        <v>0</v>
      </c>
      <c r="AG147" s="5">
        <f>IF(ROW()&lt;=2+0,"",INDEX(Daily_Input!$H:$H,ROW()-1))</f>
        <v>501878.75870000001</v>
      </c>
      <c r="AH147" s="5">
        <f>IF(ROW()&lt;=2+1,"",INDEX(Daily_Input!$G:$G,ROW()-2))</f>
        <v>0</v>
      </c>
      <c r="AI147" s="5">
        <f>IF(ROW()&lt;=2+1,"",INDEX(Daily_Input!$H:$H,ROW()-2))</f>
        <v>633332.48789999995</v>
      </c>
      <c r="AJ147" s="5">
        <f>IF(ROW()&lt;=2+2,"",INDEX(Daily_Input!$G:$G,ROW()-3))</f>
        <v>0</v>
      </c>
      <c r="AK147" s="5">
        <f>IF(ROW()&lt;=2+2,"",INDEX(Daily_Input!$H:$H,ROW()-3))</f>
        <v>887904.93900000001</v>
      </c>
    </row>
    <row r="148" spans="1:37">
      <c r="A148" s="5">
        <f>Daily_Input!A148</f>
        <v>45985</v>
      </c>
      <c r="B148" s="5">
        <f>Daily_Input!F148</f>
        <v>378472.27843739983</v>
      </c>
      <c r="C148" s="5">
        <f>Daily_Input!D148</f>
        <v>489.73399999999998</v>
      </c>
      <c r="D148" s="5">
        <f>Daily_Input!E148</f>
        <v>1682975.6527668999</v>
      </c>
      <c r="E148" s="5">
        <f>IF(ROW()=2,"",Daily_Input!E148-Daily_Input!E147)</f>
        <v>-6090.4163626001682</v>
      </c>
      <c r="F148" s="5">
        <f>IFERROR(Daily_Input!E148/Config!$B$4,"")</f>
        <v>1.0353818369853318</v>
      </c>
      <c r="G148" s="5">
        <f>Daily_Input!I148</f>
        <v>0</v>
      </c>
      <c r="H148" s="5">
        <f>IF(A148="","",IF(ROW()=2,G148,Config!$B$5*H147+G148))</f>
        <v>124.5406402720741</v>
      </c>
      <c r="I148" s="5">
        <f t="shared" si="2"/>
        <v>328</v>
      </c>
      <c r="J148" s="5">
        <f>IF(I148="","",SIN(2*PI()*I148/Config!$B$6))</f>
        <v>-0.59472668696076403</v>
      </c>
      <c r="K148" s="5">
        <f>IF(I148="","",COS(2*PI()*I148/Config!$B$6))</f>
        <v>0.80392796183282078</v>
      </c>
      <c r="L148" s="5">
        <f>IF(ROW()&lt;=2+0,"",INDEX(Daily_Input!$F:$F,ROW()-1))</f>
        <v>432691.32345790009</v>
      </c>
      <c r="M148" s="5">
        <f>IF(ROW()&lt;=2+1,"",INDEX(Daily_Input!$F:$F,ROW()-2))</f>
        <v>489655.21922529989</v>
      </c>
      <c r="N148" s="5">
        <f>IF(ROW()&lt;=2+2,"",INDEX(Daily_Input!$F:$F,ROW()-3))</f>
        <v>611821.21786540013</v>
      </c>
      <c r="O148" s="5">
        <f>IF(ROW()&lt;=2+3,"",INDEX(Daily_Input!$F:$F,ROW()-4))</f>
        <v>897133.89809549996</v>
      </c>
      <c r="P148" s="5">
        <f>IF(ROW()&lt;=2+4,"",INDEX(Daily_Input!$F:$F,ROW()-5))</f>
        <v>965976.87391570001</v>
      </c>
      <c r="Q148" s="5">
        <f>IF(ROW()&lt;=2+5,"",INDEX(Daily_Input!$F:$F,ROW()-6))</f>
        <v>490057.93412300007</v>
      </c>
      <c r="R148" s="5">
        <f>IF(ROW()&lt;=2+6,"",INDEX(Daily_Input!$F:$F,ROW()-7))</f>
        <v>176791.29019999999</v>
      </c>
      <c r="S148" s="5">
        <f>IF(ROW()&lt;=2+7,"",INDEX(Daily_Input!$F:$F,ROW()-8))</f>
        <v>174711.21005079997</v>
      </c>
      <c r="T148" s="5">
        <f>IF(ROW()&lt;=2+8,"",INDEX(Daily_Input!$F:$F,ROW()-9))</f>
        <v>191472.81453110004</v>
      </c>
      <c r="U148" s="5">
        <f>IF(ROW()&lt;=2+9,"",INDEX(Daily_Input!$F:$F,ROW()-10))</f>
        <v>212574.47817439996</v>
      </c>
      <c r="V148" s="5">
        <f>IF(ROW()&lt;=2+10,"",INDEX(Daily_Input!$F:$F,ROW()-11))</f>
        <v>237055.74979460001</v>
      </c>
      <c r="W148" s="5">
        <f>IF(ROW()&lt;=2+11,"",INDEX(Daily_Input!$F:$F,ROW()-12))</f>
        <v>279242.69406349986</v>
      </c>
      <c r="X148" s="5">
        <f>IF(ROW()&lt;=2+12,"",INDEX(Daily_Input!$F:$F,ROW()-13))</f>
        <v>322823.09686260013</v>
      </c>
      <c r="Y148" s="5">
        <f>IF(ROW()&lt;=2+13,"",INDEX(Daily_Input!$F:$F,ROW()-14))</f>
        <v>370489.39000490011</v>
      </c>
      <c r="Z148" s="5">
        <f>IF(ROW()&lt;=4,"",SUM(Daily_Input!I148:I150))</f>
        <v>0</v>
      </c>
      <c r="AA148" s="5">
        <f>IF(ROW()&lt;=8,"",SUM(Daily_Input!I148:I154))</f>
        <v>0</v>
      </c>
      <c r="AB148" s="5">
        <f>IF(ROW()&lt;=15,"",SUM(Daily_Input!I148:I161))</f>
        <v>0</v>
      </c>
      <c r="AC148" s="5">
        <f>IF(ROW()&lt;=4,"",AVERAGE(Daily_Input!F148:F150))</f>
        <v>344298.08775543328</v>
      </c>
      <c r="AD148" s="5">
        <f>IF(ROW()&lt;=8,"",AVERAGE(Daily_Input!F148:F154))</f>
        <v>298174.28512298566</v>
      </c>
      <c r="AE148" s="5">
        <f>IF(ROW()&lt;=8,"",MAX(Daily_Input!F148:F154))</f>
        <v>378472.27843739983</v>
      </c>
      <c r="AF148" s="5">
        <f>IF(ROW()&lt;=2+0,"",INDEX(Daily_Input!$G:$G,ROW()-1))</f>
        <v>0</v>
      </c>
      <c r="AG148" s="5">
        <f>IF(ROW()&lt;=2+0,"",INDEX(Daily_Input!$H:$H,ROW()-1))</f>
        <v>438788.10629999998</v>
      </c>
      <c r="AH148" s="5">
        <f>IF(ROW()&lt;=2+1,"",INDEX(Daily_Input!$G:$G,ROW()-2))</f>
        <v>0</v>
      </c>
      <c r="AI148" s="5">
        <f>IF(ROW()&lt;=2+1,"",INDEX(Daily_Input!$H:$H,ROW()-2))</f>
        <v>501878.75870000001</v>
      </c>
      <c r="AJ148" s="5">
        <f>IF(ROW()&lt;=2+2,"",INDEX(Daily_Input!$G:$G,ROW()-3))</f>
        <v>0</v>
      </c>
      <c r="AK148" s="5">
        <f>IF(ROW()&lt;=2+2,"",INDEX(Daily_Input!$H:$H,ROW()-3))</f>
        <v>633332.48789999995</v>
      </c>
    </row>
    <row r="149" spans="1:37">
      <c r="A149" s="5">
        <f>Daily_Input!A149</f>
        <v>45986</v>
      </c>
      <c r="B149" s="5">
        <f>Daily_Input!F149</f>
        <v>344831.7553028001</v>
      </c>
      <c r="C149" s="5">
        <f>Daily_Input!D149</f>
        <v>489.721</v>
      </c>
      <c r="D149" s="5">
        <f>Daily_Input!E149</f>
        <v>1679932.8392697</v>
      </c>
      <c r="E149" s="5">
        <f>IF(ROW()=2,"",Daily_Input!E149-Daily_Input!E148)</f>
        <v>-3042.8134971999098</v>
      </c>
      <c r="F149" s="5">
        <f>IFERROR(Daily_Input!E149/Config!$B$4,"")</f>
        <v>1.0335098706124641</v>
      </c>
      <c r="G149" s="5">
        <f>Daily_Input!I149</f>
        <v>0</v>
      </c>
      <c r="H149" s="5">
        <f>IF(A149="","",IF(ROW()=2,G149,Config!$B$5*H148+G149))</f>
        <v>118.3136082584704</v>
      </c>
      <c r="I149" s="5">
        <f t="shared" si="2"/>
        <v>329</v>
      </c>
      <c r="J149" s="5">
        <f>IF(I149="","",SIN(2*PI()*I149/Config!$B$6))</f>
        <v>-0.58080027345380125</v>
      </c>
      <c r="K149" s="5">
        <f>IF(I149="","",COS(2*PI()*I149/Config!$B$6))</f>
        <v>0.81404609350821755</v>
      </c>
      <c r="L149" s="5">
        <f>IF(ROW()&lt;=2+0,"",INDEX(Daily_Input!$F:$F,ROW()-1))</f>
        <v>378472.27843739983</v>
      </c>
      <c r="M149" s="5">
        <f>IF(ROW()&lt;=2+1,"",INDEX(Daily_Input!$F:$F,ROW()-2))</f>
        <v>432691.32345790009</v>
      </c>
      <c r="N149" s="5">
        <f>IF(ROW()&lt;=2+2,"",INDEX(Daily_Input!$F:$F,ROW()-3))</f>
        <v>489655.21922529989</v>
      </c>
      <c r="O149" s="5">
        <f>IF(ROW()&lt;=2+3,"",INDEX(Daily_Input!$F:$F,ROW()-4))</f>
        <v>611821.21786540013</v>
      </c>
      <c r="P149" s="5">
        <f>IF(ROW()&lt;=2+4,"",INDEX(Daily_Input!$F:$F,ROW()-5))</f>
        <v>897133.89809549996</v>
      </c>
      <c r="Q149" s="5">
        <f>IF(ROW()&lt;=2+5,"",INDEX(Daily_Input!$F:$F,ROW()-6))</f>
        <v>965976.87391570001</v>
      </c>
      <c r="R149" s="5">
        <f>IF(ROW()&lt;=2+6,"",INDEX(Daily_Input!$F:$F,ROW()-7))</f>
        <v>490057.93412300007</v>
      </c>
      <c r="S149" s="5">
        <f>IF(ROW()&lt;=2+7,"",INDEX(Daily_Input!$F:$F,ROW()-8))</f>
        <v>176791.29019999999</v>
      </c>
      <c r="T149" s="5">
        <f>IF(ROW()&lt;=2+8,"",INDEX(Daily_Input!$F:$F,ROW()-9))</f>
        <v>174711.21005079997</v>
      </c>
      <c r="U149" s="5">
        <f>IF(ROW()&lt;=2+9,"",INDEX(Daily_Input!$F:$F,ROW()-10))</f>
        <v>191472.81453110004</v>
      </c>
      <c r="V149" s="5">
        <f>IF(ROW()&lt;=2+10,"",INDEX(Daily_Input!$F:$F,ROW()-11))</f>
        <v>212574.47817439996</v>
      </c>
      <c r="W149" s="5">
        <f>IF(ROW()&lt;=2+11,"",INDEX(Daily_Input!$F:$F,ROW()-12))</f>
        <v>237055.74979460001</v>
      </c>
      <c r="X149" s="5">
        <f>IF(ROW()&lt;=2+12,"",INDEX(Daily_Input!$F:$F,ROW()-13))</f>
        <v>279242.69406349986</v>
      </c>
      <c r="Y149" s="5">
        <f>IF(ROW()&lt;=2+13,"",INDEX(Daily_Input!$F:$F,ROW()-14))</f>
        <v>322823.09686260013</v>
      </c>
      <c r="Z149" s="5">
        <f>IF(ROW()&lt;=4,"",SUM(Daily_Input!I149:I151))</f>
        <v>0</v>
      </c>
      <c r="AA149" s="5">
        <f>IF(ROW()&lt;=8,"",SUM(Daily_Input!I149:I155))</f>
        <v>0</v>
      </c>
      <c r="AB149" s="5">
        <f>IF(ROW()&lt;=15,"",SUM(Daily_Input!I149:I162))</f>
        <v>0</v>
      </c>
      <c r="AC149" s="5">
        <f>IF(ROW()&lt;=4,"",AVERAGE(Daily_Input!F149:F151))</f>
        <v>314087.43957543344</v>
      </c>
      <c r="AD149" s="5">
        <f>IF(ROW()&lt;=8,"",AVERAGE(Daily_Input!F149:F155))</f>
        <v>277520.57118125755</v>
      </c>
      <c r="AE149" s="5">
        <f>IF(ROW()&lt;=8,"",MAX(Daily_Input!F149:F155))</f>
        <v>344831.7553028001</v>
      </c>
      <c r="AF149" s="5">
        <f>IF(ROW()&lt;=2+0,"",INDEX(Daily_Input!$G:$G,ROW()-1))</f>
        <v>0</v>
      </c>
      <c r="AG149" s="5">
        <f>IF(ROW()&lt;=2+0,"",INDEX(Daily_Input!$H:$H,ROW()-1))</f>
        <v>384562.6948</v>
      </c>
      <c r="AH149" s="5">
        <f>IF(ROW()&lt;=2+1,"",INDEX(Daily_Input!$G:$G,ROW()-2))</f>
        <v>0</v>
      </c>
      <c r="AI149" s="5">
        <f>IF(ROW()&lt;=2+1,"",INDEX(Daily_Input!$H:$H,ROW()-2))</f>
        <v>438788.10629999998</v>
      </c>
      <c r="AJ149" s="5">
        <f>IF(ROW()&lt;=2+2,"",INDEX(Daily_Input!$G:$G,ROW()-3))</f>
        <v>0</v>
      </c>
      <c r="AK149" s="5">
        <f>IF(ROW()&lt;=2+2,"",INDEX(Daily_Input!$H:$H,ROW()-3))</f>
        <v>501878.75870000001</v>
      </c>
    </row>
    <row r="150" spans="1:37">
      <c r="A150" s="5">
        <f>Daily_Input!A150</f>
        <v>45987</v>
      </c>
      <c r="B150" s="5">
        <f>Daily_Input!F150</f>
        <v>309590.22952609992</v>
      </c>
      <c r="C150" s="5">
        <f>Daily_Input!D150</f>
        <v>489.70898</v>
      </c>
      <c r="D150" s="5">
        <f>Daily_Input!E150</f>
        <v>1673851.7406957999</v>
      </c>
      <c r="E150" s="5">
        <f>IF(ROW()=2,"",Daily_Input!E150-Daily_Input!E149)</f>
        <v>-6081.0985739000607</v>
      </c>
      <c r="F150" s="5">
        <f>IFERROR(Daily_Input!E150/Config!$B$4,"")</f>
        <v>1.0297687237919608</v>
      </c>
      <c r="G150" s="5">
        <f>Daily_Input!I150</f>
        <v>0</v>
      </c>
      <c r="H150" s="5">
        <f>IF(A150="","",IF(ROW()=2,G150,Config!$B$5*H149+G150))</f>
        <v>112.39792784554687</v>
      </c>
      <c r="I150" s="5">
        <f t="shared" si="2"/>
        <v>330</v>
      </c>
      <c r="J150" s="5">
        <f>IF(I150="","",SIN(2*PI()*I150/Config!$B$6))</f>
        <v>-0.56670175629111841</v>
      </c>
      <c r="K150" s="5">
        <f>IF(I150="","",COS(2*PI()*I150/Config!$B$6))</f>
        <v>0.82392300575755362</v>
      </c>
      <c r="L150" s="5">
        <f>IF(ROW()&lt;=2+0,"",INDEX(Daily_Input!$F:$F,ROW()-1))</f>
        <v>344831.7553028001</v>
      </c>
      <c r="M150" s="5">
        <f>IF(ROW()&lt;=2+1,"",INDEX(Daily_Input!$F:$F,ROW()-2))</f>
        <v>378472.27843739983</v>
      </c>
      <c r="N150" s="5">
        <f>IF(ROW()&lt;=2+2,"",INDEX(Daily_Input!$F:$F,ROW()-3))</f>
        <v>432691.32345790009</v>
      </c>
      <c r="O150" s="5">
        <f>IF(ROW()&lt;=2+3,"",INDEX(Daily_Input!$F:$F,ROW()-4))</f>
        <v>489655.21922529989</v>
      </c>
      <c r="P150" s="5">
        <f>IF(ROW()&lt;=2+4,"",INDEX(Daily_Input!$F:$F,ROW()-5))</f>
        <v>611821.21786540013</v>
      </c>
      <c r="Q150" s="5">
        <f>IF(ROW()&lt;=2+5,"",INDEX(Daily_Input!$F:$F,ROW()-6))</f>
        <v>897133.89809549996</v>
      </c>
      <c r="R150" s="5">
        <f>IF(ROW()&lt;=2+6,"",INDEX(Daily_Input!$F:$F,ROW()-7))</f>
        <v>965976.87391570001</v>
      </c>
      <c r="S150" s="5">
        <f>IF(ROW()&lt;=2+7,"",INDEX(Daily_Input!$F:$F,ROW()-8))</f>
        <v>490057.93412300007</v>
      </c>
      <c r="T150" s="5">
        <f>IF(ROW()&lt;=2+8,"",INDEX(Daily_Input!$F:$F,ROW()-9))</f>
        <v>176791.29019999999</v>
      </c>
      <c r="U150" s="5">
        <f>IF(ROW()&lt;=2+9,"",INDEX(Daily_Input!$F:$F,ROW()-10))</f>
        <v>174711.21005079997</v>
      </c>
      <c r="V150" s="5">
        <f>IF(ROW()&lt;=2+10,"",INDEX(Daily_Input!$F:$F,ROW()-11))</f>
        <v>191472.81453110004</v>
      </c>
      <c r="W150" s="5">
        <f>IF(ROW()&lt;=2+11,"",INDEX(Daily_Input!$F:$F,ROW()-12))</f>
        <v>212574.47817439996</v>
      </c>
      <c r="X150" s="5">
        <f>IF(ROW()&lt;=2+12,"",INDEX(Daily_Input!$F:$F,ROW()-13))</f>
        <v>237055.74979460001</v>
      </c>
      <c r="Y150" s="5">
        <f>IF(ROW()&lt;=2+13,"",INDEX(Daily_Input!$F:$F,ROW()-14))</f>
        <v>279242.69406349986</v>
      </c>
      <c r="Z150" s="5">
        <f>IF(ROW()&lt;=4,"",SUM(Daily_Input!I150:I152))</f>
        <v>0</v>
      </c>
      <c r="AA150" s="5">
        <f>IF(ROW()&lt;=8,"",SUM(Daily_Input!I150:I156))</f>
        <v>0</v>
      </c>
      <c r="AB150" s="5">
        <f>IF(ROW()&lt;=15,"",SUM(Daily_Input!I150:I163))</f>
        <v>0</v>
      </c>
      <c r="AC150" s="5">
        <f>IF(ROW()&lt;=4,"",AVERAGE(Daily_Input!F150:F152))</f>
        <v>289482.98720783339</v>
      </c>
      <c r="AD150" s="5">
        <f>IF(ROW()&lt;=8,"",AVERAGE(Daily_Input!F150:F156))</f>
        <v>260827.98022371467</v>
      </c>
      <c r="AE150" s="5">
        <f>IF(ROW()&lt;=8,"",MAX(Daily_Input!F150:F156))</f>
        <v>309590.22952609992</v>
      </c>
      <c r="AF150" s="5">
        <f>IF(ROW()&lt;=2+0,"",INDEX(Daily_Input!$G:$G,ROW()-1))</f>
        <v>0</v>
      </c>
      <c r="AG150" s="5">
        <f>IF(ROW()&lt;=2+0,"",INDEX(Daily_Input!$H:$H,ROW()-1))</f>
        <v>347874.56880000001</v>
      </c>
      <c r="AH150" s="5">
        <f>IF(ROW()&lt;=2+1,"",INDEX(Daily_Input!$G:$G,ROW()-2))</f>
        <v>0</v>
      </c>
      <c r="AI150" s="5">
        <f>IF(ROW()&lt;=2+1,"",INDEX(Daily_Input!$H:$H,ROW()-2))</f>
        <v>384562.6948</v>
      </c>
      <c r="AJ150" s="5">
        <f>IF(ROW()&lt;=2+2,"",INDEX(Daily_Input!$G:$G,ROW()-3))</f>
        <v>0</v>
      </c>
      <c r="AK150" s="5">
        <f>IF(ROW()&lt;=2+2,"",INDEX(Daily_Input!$H:$H,ROW()-3))</f>
        <v>438788.10629999998</v>
      </c>
    </row>
    <row r="151" spans="1:37">
      <c r="A151" s="5">
        <f>Daily_Input!A151</f>
        <v>45988</v>
      </c>
      <c r="B151" s="5">
        <f>Daily_Input!F151</f>
        <v>287840.33389740012</v>
      </c>
      <c r="C151" s="5">
        <f>Daily_Input!D151</f>
        <v>489.697</v>
      </c>
      <c r="D151" s="5">
        <f>Daily_Input!E151</f>
        <v>1670813.4823932</v>
      </c>
      <c r="E151" s="5">
        <f>IF(ROW()=2,"",Daily_Input!E151-Daily_Input!E150)</f>
        <v>-3038.2583025998902</v>
      </c>
      <c r="F151" s="5">
        <f>IFERROR(Daily_Input!E151/Config!$B$4,"")</f>
        <v>1.0278995598159937</v>
      </c>
      <c r="G151" s="5">
        <f>Daily_Input!I151</f>
        <v>0</v>
      </c>
      <c r="H151" s="5">
        <f>IF(A151="","",IF(ROW()=2,G151,Config!$B$5*H150+G151))</f>
        <v>106.77803145326952</v>
      </c>
      <c r="I151" s="5">
        <f t="shared" si="2"/>
        <v>331</v>
      </c>
      <c r="J151" s="5">
        <f>IF(I151="","",SIN(2*PI()*I151/Config!$B$6))</f>
        <v>-0.55243531316762029</v>
      </c>
      <c r="K151" s="5">
        <f>IF(I151="","",COS(2*PI()*I151/Config!$B$6))</f>
        <v>0.83355577183856955</v>
      </c>
      <c r="L151" s="5">
        <f>IF(ROW()&lt;=2+0,"",INDEX(Daily_Input!$F:$F,ROW()-1))</f>
        <v>309590.22952609992</v>
      </c>
      <c r="M151" s="5">
        <f>IF(ROW()&lt;=2+1,"",INDEX(Daily_Input!$F:$F,ROW()-2))</f>
        <v>344831.7553028001</v>
      </c>
      <c r="N151" s="5">
        <f>IF(ROW()&lt;=2+2,"",INDEX(Daily_Input!$F:$F,ROW()-3))</f>
        <v>378472.27843739983</v>
      </c>
      <c r="O151" s="5">
        <f>IF(ROW()&lt;=2+3,"",INDEX(Daily_Input!$F:$F,ROW()-4))</f>
        <v>432691.32345790009</v>
      </c>
      <c r="P151" s="5">
        <f>IF(ROW()&lt;=2+4,"",INDEX(Daily_Input!$F:$F,ROW()-5))</f>
        <v>489655.21922529989</v>
      </c>
      <c r="Q151" s="5">
        <f>IF(ROW()&lt;=2+5,"",INDEX(Daily_Input!$F:$F,ROW()-6))</f>
        <v>611821.21786540013</v>
      </c>
      <c r="R151" s="5">
        <f>IF(ROW()&lt;=2+6,"",INDEX(Daily_Input!$F:$F,ROW()-7))</f>
        <v>897133.89809549996</v>
      </c>
      <c r="S151" s="5">
        <f>IF(ROW()&lt;=2+7,"",INDEX(Daily_Input!$F:$F,ROW()-8))</f>
        <v>965976.87391570001</v>
      </c>
      <c r="T151" s="5">
        <f>IF(ROW()&lt;=2+8,"",INDEX(Daily_Input!$F:$F,ROW()-9))</f>
        <v>490057.93412300007</v>
      </c>
      <c r="U151" s="5">
        <f>IF(ROW()&lt;=2+9,"",INDEX(Daily_Input!$F:$F,ROW()-10))</f>
        <v>176791.29019999999</v>
      </c>
      <c r="V151" s="5">
        <f>IF(ROW()&lt;=2+10,"",INDEX(Daily_Input!$F:$F,ROW()-11))</f>
        <v>174711.21005079997</v>
      </c>
      <c r="W151" s="5">
        <f>IF(ROW()&lt;=2+11,"",INDEX(Daily_Input!$F:$F,ROW()-12))</f>
        <v>191472.81453110004</v>
      </c>
      <c r="X151" s="5">
        <f>IF(ROW()&lt;=2+12,"",INDEX(Daily_Input!$F:$F,ROW()-13))</f>
        <v>212574.47817439996</v>
      </c>
      <c r="Y151" s="5">
        <f>IF(ROW()&lt;=2+13,"",INDEX(Daily_Input!$F:$F,ROW()-14))</f>
        <v>237055.74979460001</v>
      </c>
      <c r="Z151" s="5">
        <f>IF(ROW()&lt;=4,"",SUM(Daily_Input!I151:I153))</f>
        <v>0</v>
      </c>
      <c r="AA151" s="5">
        <f>IF(ROW()&lt;=8,"",SUM(Daily_Input!I151:I157))</f>
        <v>0</v>
      </c>
      <c r="AB151" s="5">
        <f>IF(ROW()&lt;=15,"",SUM(Daily_Input!I151:I164))</f>
        <v>0</v>
      </c>
      <c r="AC151" s="5">
        <f>IF(ROW()&lt;=4,"",AVERAGE(Daily_Input!F151:F153))</f>
        <v>270145.07673153334</v>
      </c>
      <c r="AD151" s="5">
        <f>IF(ROW()&lt;=8,"",AVERAGE(Daily_Input!F151:F157))</f>
        <v>248136.49309141465</v>
      </c>
      <c r="AE151" s="5">
        <f>IF(ROW()&lt;=8,"",MAX(Daily_Input!F151:F157))</f>
        <v>287840.33389740012</v>
      </c>
      <c r="AF151" s="5">
        <f>IF(ROW()&lt;=2+0,"",INDEX(Daily_Input!$G:$G,ROW()-1))</f>
        <v>0</v>
      </c>
      <c r="AG151" s="5">
        <f>IF(ROW()&lt;=2+0,"",INDEX(Daily_Input!$H:$H,ROW()-1))</f>
        <v>315671.32809999998</v>
      </c>
      <c r="AH151" s="5">
        <f>IF(ROW()&lt;=2+1,"",INDEX(Daily_Input!$G:$G,ROW()-2))</f>
        <v>0</v>
      </c>
      <c r="AI151" s="5">
        <f>IF(ROW()&lt;=2+1,"",INDEX(Daily_Input!$H:$H,ROW()-2))</f>
        <v>347874.56880000001</v>
      </c>
      <c r="AJ151" s="5">
        <f>IF(ROW()&lt;=2+2,"",INDEX(Daily_Input!$G:$G,ROW()-3))</f>
        <v>0</v>
      </c>
      <c r="AK151" s="5">
        <f>IF(ROW()&lt;=2+2,"",INDEX(Daily_Input!$H:$H,ROW()-3))</f>
        <v>384562.6948</v>
      </c>
    </row>
    <row r="152" spans="1:37">
      <c r="A152" s="5">
        <f>Daily_Input!A152</f>
        <v>45989</v>
      </c>
      <c r="B152" s="5">
        <f>Daily_Input!F152</f>
        <v>271018.3982</v>
      </c>
      <c r="C152" s="5">
        <f>Daily_Input!D152</f>
        <v>489.69099999999997</v>
      </c>
      <c r="D152" s="5">
        <f>Daily_Input!E152</f>
        <v>1670813.4823932</v>
      </c>
      <c r="E152" s="5">
        <f>IF(ROW()=2,"",Daily_Input!E152-Daily_Input!E151)</f>
        <v>0</v>
      </c>
      <c r="F152" s="5">
        <f>IFERROR(Daily_Input!E152/Config!$B$4,"")</f>
        <v>1.0278995598159937</v>
      </c>
      <c r="G152" s="5">
        <f>Daily_Input!I152</f>
        <v>0</v>
      </c>
      <c r="H152" s="5">
        <f>IF(A152="","",IF(ROW()=2,G152,Config!$B$5*H151+G152))</f>
        <v>101.43912988060605</v>
      </c>
      <c r="I152" s="5">
        <f t="shared" si="2"/>
        <v>332</v>
      </c>
      <c r="J152" s="5">
        <f>IF(I152="","",SIN(2*PI()*I152/Config!$B$6))</f>
        <v>-0.53800517153829919</v>
      </c>
      <c r="K152" s="5">
        <f>IF(I152="","",COS(2*PI()*I152/Config!$B$6))</f>
        <v>0.84294153735478317</v>
      </c>
      <c r="L152" s="5">
        <f>IF(ROW()&lt;=2+0,"",INDEX(Daily_Input!$F:$F,ROW()-1))</f>
        <v>287840.33389740012</v>
      </c>
      <c r="M152" s="5">
        <f>IF(ROW()&lt;=2+1,"",INDEX(Daily_Input!$F:$F,ROW()-2))</f>
        <v>309590.22952609992</v>
      </c>
      <c r="N152" s="5">
        <f>IF(ROW()&lt;=2+2,"",INDEX(Daily_Input!$F:$F,ROW()-3))</f>
        <v>344831.7553028001</v>
      </c>
      <c r="O152" s="5">
        <f>IF(ROW()&lt;=2+3,"",INDEX(Daily_Input!$F:$F,ROW()-4))</f>
        <v>378472.27843739983</v>
      </c>
      <c r="P152" s="5">
        <f>IF(ROW()&lt;=2+4,"",INDEX(Daily_Input!$F:$F,ROW()-5))</f>
        <v>432691.32345790009</v>
      </c>
      <c r="Q152" s="5">
        <f>IF(ROW()&lt;=2+5,"",INDEX(Daily_Input!$F:$F,ROW()-6))</f>
        <v>489655.21922529989</v>
      </c>
      <c r="R152" s="5">
        <f>IF(ROW()&lt;=2+6,"",INDEX(Daily_Input!$F:$F,ROW()-7))</f>
        <v>611821.21786540013</v>
      </c>
      <c r="S152" s="5">
        <f>IF(ROW()&lt;=2+7,"",INDEX(Daily_Input!$F:$F,ROW()-8))</f>
        <v>897133.89809549996</v>
      </c>
      <c r="T152" s="5">
        <f>IF(ROW()&lt;=2+8,"",INDEX(Daily_Input!$F:$F,ROW()-9))</f>
        <v>965976.87391570001</v>
      </c>
      <c r="U152" s="5">
        <f>IF(ROW()&lt;=2+9,"",INDEX(Daily_Input!$F:$F,ROW()-10))</f>
        <v>490057.93412300007</v>
      </c>
      <c r="V152" s="5">
        <f>IF(ROW()&lt;=2+10,"",INDEX(Daily_Input!$F:$F,ROW()-11))</f>
        <v>176791.29019999999</v>
      </c>
      <c r="W152" s="5">
        <f>IF(ROW()&lt;=2+11,"",INDEX(Daily_Input!$F:$F,ROW()-12))</f>
        <v>174711.21005079997</v>
      </c>
      <c r="X152" s="5">
        <f>IF(ROW()&lt;=2+12,"",INDEX(Daily_Input!$F:$F,ROW()-13))</f>
        <v>191472.81453110004</v>
      </c>
      <c r="Y152" s="5">
        <f>IF(ROW()&lt;=2+13,"",INDEX(Daily_Input!$F:$F,ROW()-14))</f>
        <v>212574.47817439996</v>
      </c>
      <c r="Z152" s="5">
        <f>IF(ROW()&lt;=4,"",SUM(Daily_Input!I152:I154))</f>
        <v>0</v>
      </c>
      <c r="AA152" s="5">
        <f>IF(ROW()&lt;=8,"",SUM(Daily_Input!I152:I158))</f>
        <v>0</v>
      </c>
      <c r="AB152" s="5">
        <f>IF(ROW()&lt;=15,"",SUM(Daily_Input!I152:I165))</f>
        <v>0</v>
      </c>
      <c r="AC152" s="5">
        <f>IF(ROW()&lt;=4,"",AVERAGE(Daily_Input!F152:F154))</f>
        <v>255495.13289906664</v>
      </c>
      <c r="AD152" s="5">
        <f>IF(ROW()&lt;=8,"",AVERAGE(Daily_Input!F152:F158))</f>
        <v>236769.37386765753</v>
      </c>
      <c r="AE152" s="5">
        <f>IF(ROW()&lt;=8,"",MAX(Daily_Input!F152:F158))</f>
        <v>271018.3982</v>
      </c>
      <c r="AF152" s="5">
        <f>IF(ROW()&lt;=2+0,"",INDEX(Daily_Input!$G:$G,ROW()-1))</f>
        <v>0</v>
      </c>
      <c r="AG152" s="5">
        <f>IF(ROW()&lt;=2+0,"",INDEX(Daily_Input!$H:$H,ROW()-1))</f>
        <v>290878.59220000001</v>
      </c>
      <c r="AH152" s="5">
        <f>IF(ROW()&lt;=2+1,"",INDEX(Daily_Input!$G:$G,ROW()-2))</f>
        <v>0</v>
      </c>
      <c r="AI152" s="5">
        <f>IF(ROW()&lt;=2+1,"",INDEX(Daily_Input!$H:$H,ROW()-2))</f>
        <v>315671.32809999998</v>
      </c>
      <c r="AJ152" s="5">
        <f>IF(ROW()&lt;=2+2,"",INDEX(Daily_Input!$G:$G,ROW()-3))</f>
        <v>0</v>
      </c>
      <c r="AK152" s="5">
        <f>IF(ROW()&lt;=2+2,"",INDEX(Daily_Input!$H:$H,ROW()-3))</f>
        <v>347874.56880000001</v>
      </c>
    </row>
    <row r="153" spans="1:37">
      <c r="A153" s="5">
        <f>Daily_Input!A153</f>
        <v>45990</v>
      </c>
      <c r="B153" s="5">
        <f>Daily_Input!F153</f>
        <v>251576.49809719989</v>
      </c>
      <c r="C153" s="5">
        <f>Daily_Input!D153</f>
        <v>489.68400000000003</v>
      </c>
      <c r="D153" s="5">
        <f>Daily_Input!E153</f>
        <v>1667776.8298903999</v>
      </c>
      <c r="E153" s="5">
        <f>IF(ROW()=2,"",Daily_Input!E153-Daily_Input!E152)</f>
        <v>-3036.6525028001051</v>
      </c>
      <c r="F153" s="5">
        <f>IFERROR(Daily_Input!E153/Config!$B$4,"")</f>
        <v>1.026031383742581</v>
      </c>
      <c r="G153" s="5">
        <f>Daily_Input!I153</f>
        <v>0</v>
      </c>
      <c r="H153" s="5">
        <f>IF(A153="","",IF(ROW()=2,G153,Config!$B$5*H152+G153))</f>
        <v>96.367173386575743</v>
      </c>
      <c r="I153" s="5">
        <f t="shared" si="2"/>
        <v>333</v>
      </c>
      <c r="J153" s="5">
        <f>IF(I153="","",SIN(2*PI()*I153/Config!$B$6))</f>
        <v>-0.52341560736555026</v>
      </c>
      <c r="K153" s="5">
        <f>IF(I153="","",COS(2*PI()*I153/Config!$B$6))</f>
        <v>0.8520775211013093</v>
      </c>
      <c r="L153" s="5">
        <f>IF(ROW()&lt;=2+0,"",INDEX(Daily_Input!$F:$F,ROW()-1))</f>
        <v>271018.3982</v>
      </c>
      <c r="M153" s="5">
        <f>IF(ROW()&lt;=2+1,"",INDEX(Daily_Input!$F:$F,ROW()-2))</f>
        <v>287840.33389740012</v>
      </c>
      <c r="N153" s="5">
        <f>IF(ROW()&lt;=2+2,"",INDEX(Daily_Input!$F:$F,ROW()-3))</f>
        <v>309590.22952609992</v>
      </c>
      <c r="O153" s="5">
        <f>IF(ROW()&lt;=2+3,"",INDEX(Daily_Input!$F:$F,ROW()-4))</f>
        <v>344831.7553028001</v>
      </c>
      <c r="P153" s="5">
        <f>IF(ROW()&lt;=2+4,"",INDEX(Daily_Input!$F:$F,ROW()-5))</f>
        <v>378472.27843739983</v>
      </c>
      <c r="Q153" s="5">
        <f>IF(ROW()&lt;=2+5,"",INDEX(Daily_Input!$F:$F,ROW()-6))</f>
        <v>432691.32345790009</v>
      </c>
      <c r="R153" s="5">
        <f>IF(ROW()&lt;=2+6,"",INDEX(Daily_Input!$F:$F,ROW()-7))</f>
        <v>489655.21922529989</v>
      </c>
      <c r="S153" s="5">
        <f>IF(ROW()&lt;=2+7,"",INDEX(Daily_Input!$F:$F,ROW()-8))</f>
        <v>611821.21786540013</v>
      </c>
      <c r="T153" s="5">
        <f>IF(ROW()&lt;=2+8,"",INDEX(Daily_Input!$F:$F,ROW()-9))</f>
        <v>897133.89809549996</v>
      </c>
      <c r="U153" s="5">
        <f>IF(ROW()&lt;=2+9,"",INDEX(Daily_Input!$F:$F,ROW()-10))</f>
        <v>965976.87391570001</v>
      </c>
      <c r="V153" s="5">
        <f>IF(ROW()&lt;=2+10,"",INDEX(Daily_Input!$F:$F,ROW()-11))</f>
        <v>490057.93412300007</v>
      </c>
      <c r="W153" s="5">
        <f>IF(ROW()&lt;=2+11,"",INDEX(Daily_Input!$F:$F,ROW()-12))</f>
        <v>176791.29019999999</v>
      </c>
      <c r="X153" s="5">
        <f>IF(ROW()&lt;=2+12,"",INDEX(Daily_Input!$F:$F,ROW()-13))</f>
        <v>174711.21005079997</v>
      </c>
      <c r="Y153" s="5">
        <f>IF(ROW()&lt;=2+13,"",INDEX(Daily_Input!$F:$F,ROW()-14))</f>
        <v>191472.81453110004</v>
      </c>
      <c r="Z153" s="5">
        <f>IF(ROW()&lt;=4,"",SUM(Daily_Input!I153:I155))</f>
        <v>0</v>
      </c>
      <c r="AA153" s="5">
        <f>IF(ROW()&lt;=8,"",SUM(Daily_Input!I153:I159))</f>
        <v>0</v>
      </c>
      <c r="AB153" s="5">
        <f>IF(ROW()&lt;=15,"",SUM(Daily_Input!I153:I166))</f>
        <v>0</v>
      </c>
      <c r="AC153" s="5">
        <f>IF(ROW()&lt;=4,"",AVERAGE(Daily_Input!F153:F155))</f>
        <v>243121.0937808342</v>
      </c>
      <c r="AD153" s="5">
        <f>IF(ROW()&lt;=8,"",AVERAGE(Daily_Input!F153:F159))</f>
        <v>227107.04379622897</v>
      </c>
      <c r="AE153" s="5">
        <f>IF(ROW()&lt;=8,"",MAX(Daily_Input!F153:F159))</f>
        <v>251576.49809719989</v>
      </c>
      <c r="AF153" s="5">
        <f>IF(ROW()&lt;=2+0,"",INDEX(Daily_Input!$G:$G,ROW()-1))</f>
        <v>0</v>
      </c>
      <c r="AG153" s="5">
        <f>IF(ROW()&lt;=2+0,"",INDEX(Daily_Input!$H:$H,ROW()-1))</f>
        <v>271018.3982</v>
      </c>
      <c r="AH153" s="5">
        <f>IF(ROW()&lt;=2+1,"",INDEX(Daily_Input!$G:$G,ROW()-2))</f>
        <v>0</v>
      </c>
      <c r="AI153" s="5">
        <f>IF(ROW()&lt;=2+1,"",INDEX(Daily_Input!$H:$H,ROW()-2))</f>
        <v>290878.59220000001</v>
      </c>
      <c r="AJ153" s="5">
        <f>IF(ROW()&lt;=2+2,"",INDEX(Daily_Input!$G:$G,ROW()-3))</f>
        <v>0</v>
      </c>
      <c r="AK153" s="5">
        <f>IF(ROW()&lt;=2+2,"",INDEX(Daily_Input!$H:$H,ROW()-3))</f>
        <v>315671.32809999998</v>
      </c>
    </row>
    <row r="154" spans="1:37">
      <c r="A154" s="5">
        <f>Daily_Input!A154</f>
        <v>45991</v>
      </c>
      <c r="B154" s="5">
        <f>Daily_Input!F154</f>
        <v>243890.5024</v>
      </c>
      <c r="C154" s="5">
        <f>Daily_Input!D154</f>
        <v>489.68400000000003</v>
      </c>
      <c r="D154" s="5">
        <f>Daily_Input!E154</f>
        <v>1667776.8298903999</v>
      </c>
      <c r="E154" s="5">
        <f>IF(ROW()=2,"",Daily_Input!E154-Daily_Input!E153)</f>
        <v>0</v>
      </c>
      <c r="F154" s="5">
        <f>IFERROR(Daily_Input!E154/Config!$B$4,"")</f>
        <v>1.026031383742581</v>
      </c>
      <c r="G154" s="5">
        <f>Daily_Input!I154</f>
        <v>0</v>
      </c>
      <c r="H154" s="5">
        <f>IF(A154="","",IF(ROW()=2,G154,Config!$B$5*H153+G154))</f>
        <v>91.548814717246955</v>
      </c>
      <c r="I154" s="5">
        <f t="shared" si="2"/>
        <v>334</v>
      </c>
      <c r="J154" s="5">
        <f>IF(I154="","",SIN(2*PI()*I154/Config!$B$6))</f>
        <v>-0.50867094385210421</v>
      </c>
      <c r="K154" s="5">
        <f>IF(I154="","",COS(2*PI()*I154/Config!$B$6))</f>
        <v>0.86096101588899454</v>
      </c>
      <c r="L154" s="5">
        <f>IF(ROW()&lt;=2+0,"",INDEX(Daily_Input!$F:$F,ROW()-1))</f>
        <v>251576.49809719989</v>
      </c>
      <c r="M154" s="5">
        <f>IF(ROW()&lt;=2+1,"",INDEX(Daily_Input!$F:$F,ROW()-2))</f>
        <v>271018.3982</v>
      </c>
      <c r="N154" s="5">
        <f>IF(ROW()&lt;=2+2,"",INDEX(Daily_Input!$F:$F,ROW()-3))</f>
        <v>287840.33389740012</v>
      </c>
      <c r="O154" s="5">
        <f>IF(ROW()&lt;=2+3,"",INDEX(Daily_Input!$F:$F,ROW()-4))</f>
        <v>309590.22952609992</v>
      </c>
      <c r="P154" s="5">
        <f>IF(ROW()&lt;=2+4,"",INDEX(Daily_Input!$F:$F,ROW()-5))</f>
        <v>344831.7553028001</v>
      </c>
      <c r="Q154" s="5">
        <f>IF(ROW()&lt;=2+5,"",INDEX(Daily_Input!$F:$F,ROW()-6))</f>
        <v>378472.27843739983</v>
      </c>
      <c r="R154" s="5">
        <f>IF(ROW()&lt;=2+6,"",INDEX(Daily_Input!$F:$F,ROW()-7))</f>
        <v>432691.32345790009</v>
      </c>
      <c r="S154" s="5">
        <f>IF(ROW()&lt;=2+7,"",INDEX(Daily_Input!$F:$F,ROW()-8))</f>
        <v>489655.21922529989</v>
      </c>
      <c r="T154" s="5">
        <f>IF(ROW()&lt;=2+8,"",INDEX(Daily_Input!$F:$F,ROW()-9))</f>
        <v>611821.21786540013</v>
      </c>
      <c r="U154" s="5">
        <f>IF(ROW()&lt;=2+9,"",INDEX(Daily_Input!$F:$F,ROW()-10))</f>
        <v>897133.89809549996</v>
      </c>
      <c r="V154" s="5">
        <f>IF(ROW()&lt;=2+10,"",INDEX(Daily_Input!$F:$F,ROW()-11))</f>
        <v>965976.87391570001</v>
      </c>
      <c r="W154" s="5">
        <f>IF(ROW()&lt;=2+11,"",INDEX(Daily_Input!$F:$F,ROW()-12))</f>
        <v>490057.93412300007</v>
      </c>
      <c r="X154" s="5">
        <f>IF(ROW()&lt;=2+12,"",INDEX(Daily_Input!$F:$F,ROW()-13))</f>
        <v>176791.29019999999</v>
      </c>
      <c r="Y154" s="5">
        <f>IF(ROW()&lt;=2+13,"",INDEX(Daily_Input!$F:$F,ROW()-14))</f>
        <v>174711.21005079997</v>
      </c>
      <c r="Z154" s="5">
        <f>IF(ROW()&lt;=4,"",SUM(Daily_Input!I154:I156))</f>
        <v>0</v>
      </c>
      <c r="AA154" s="5">
        <f>IF(ROW()&lt;=8,"",SUM(Daily_Input!I154:I160))</f>
        <v>0</v>
      </c>
      <c r="AB154" s="5">
        <f>IF(ROW()&lt;=15,"",SUM(Daily_Input!I154:I167))</f>
        <v>0</v>
      </c>
      <c r="AC154" s="5">
        <f>IF(ROW()&lt;=4,"",AVERAGE(Daily_Input!F154:F156))</f>
        <v>235256.80061510089</v>
      </c>
      <c r="AD154" s="5">
        <f>IF(ROW()&lt;=8,"",AVERAGE(Daily_Input!F154:F160))</f>
        <v>218914.47792520042</v>
      </c>
      <c r="AE154" s="5">
        <f>IF(ROW()&lt;=8,"",MAX(Daily_Input!F154:F160))</f>
        <v>243890.5024</v>
      </c>
      <c r="AF154" s="5">
        <f>IF(ROW()&lt;=2+0,"",INDEX(Daily_Input!$G:$G,ROW()-1))</f>
        <v>0</v>
      </c>
      <c r="AG154" s="5">
        <f>IF(ROW()&lt;=2+0,"",INDEX(Daily_Input!$H:$H,ROW()-1))</f>
        <v>254613.15059999999</v>
      </c>
      <c r="AH154" s="5">
        <f>IF(ROW()&lt;=2+1,"",INDEX(Daily_Input!$G:$G,ROW()-2))</f>
        <v>0</v>
      </c>
      <c r="AI154" s="5">
        <f>IF(ROW()&lt;=2+1,"",INDEX(Daily_Input!$H:$H,ROW()-2))</f>
        <v>271018.3982</v>
      </c>
      <c r="AJ154" s="5">
        <f>IF(ROW()&lt;=2+2,"",INDEX(Daily_Input!$G:$G,ROW()-3))</f>
        <v>0</v>
      </c>
      <c r="AK154" s="5">
        <f>IF(ROW()&lt;=2+2,"",INDEX(Daily_Input!$H:$H,ROW()-3))</f>
        <v>290878.59220000001</v>
      </c>
    </row>
    <row r="155" spans="1:37">
      <c r="A155" s="5">
        <f>Daily_Input!A155</f>
        <v>45992</v>
      </c>
      <c r="B155" s="5">
        <f>Daily_Input!F155</f>
        <v>233896.28084530271</v>
      </c>
      <c r="C155" s="5">
        <f>Daily_Input!D155</f>
        <v>489.678</v>
      </c>
      <c r="D155" s="5">
        <f>Daily_Input!E155</f>
        <v>1664741.6725647999</v>
      </c>
      <c r="E155" s="5">
        <f>IF(ROW()=2,"",Daily_Input!E155-Daily_Input!E154)</f>
        <v>-3035.1573256000411</v>
      </c>
      <c r="F155" s="5">
        <f>IFERROR(Daily_Input!E155/Config!$B$4,"")</f>
        <v>1.0241641275156992</v>
      </c>
      <c r="G155" s="5">
        <f>Daily_Input!I155</f>
        <v>0</v>
      </c>
      <c r="H155" s="5">
        <f>IF(A155="","",IF(ROW()=2,G155,Config!$B$5*H154+G155))</f>
        <v>86.971373981384602</v>
      </c>
      <c r="I155" s="5">
        <f t="shared" si="2"/>
        <v>335</v>
      </c>
      <c r="J155" s="5">
        <f>IF(I155="","",SIN(2*PI()*I155/Config!$B$6))</f>
        <v>-0.49377555015997737</v>
      </c>
      <c r="K155" s="5">
        <f>IF(I155="","",COS(2*PI()*I155/Config!$B$6))</f>
        <v>0.8695893893466109</v>
      </c>
      <c r="L155" s="5">
        <f>IF(ROW()&lt;=2+0,"",INDEX(Daily_Input!$F:$F,ROW()-1))</f>
        <v>243890.5024</v>
      </c>
      <c r="M155" s="5">
        <f>IF(ROW()&lt;=2+1,"",INDEX(Daily_Input!$F:$F,ROW()-2))</f>
        <v>251576.49809719989</v>
      </c>
      <c r="N155" s="5">
        <f>IF(ROW()&lt;=2+2,"",INDEX(Daily_Input!$F:$F,ROW()-3))</f>
        <v>271018.3982</v>
      </c>
      <c r="O155" s="5">
        <f>IF(ROW()&lt;=2+3,"",INDEX(Daily_Input!$F:$F,ROW()-4))</f>
        <v>287840.33389740012</v>
      </c>
      <c r="P155" s="5">
        <f>IF(ROW()&lt;=2+4,"",INDEX(Daily_Input!$F:$F,ROW()-5))</f>
        <v>309590.22952609992</v>
      </c>
      <c r="Q155" s="5">
        <f>IF(ROW()&lt;=2+5,"",INDEX(Daily_Input!$F:$F,ROW()-6))</f>
        <v>344831.7553028001</v>
      </c>
      <c r="R155" s="5">
        <f>IF(ROW()&lt;=2+6,"",INDEX(Daily_Input!$F:$F,ROW()-7))</f>
        <v>378472.27843739983</v>
      </c>
      <c r="S155" s="5">
        <f>IF(ROW()&lt;=2+7,"",INDEX(Daily_Input!$F:$F,ROW()-8))</f>
        <v>432691.32345790009</v>
      </c>
      <c r="T155" s="5">
        <f>IF(ROW()&lt;=2+8,"",INDEX(Daily_Input!$F:$F,ROW()-9))</f>
        <v>489655.21922529989</v>
      </c>
      <c r="U155" s="5">
        <f>IF(ROW()&lt;=2+9,"",INDEX(Daily_Input!$F:$F,ROW()-10))</f>
        <v>611821.21786540013</v>
      </c>
      <c r="V155" s="5">
        <f>IF(ROW()&lt;=2+10,"",INDEX(Daily_Input!$F:$F,ROW()-11))</f>
        <v>897133.89809549996</v>
      </c>
      <c r="W155" s="5">
        <f>IF(ROW()&lt;=2+11,"",INDEX(Daily_Input!$F:$F,ROW()-12))</f>
        <v>965976.87391570001</v>
      </c>
      <c r="X155" s="5">
        <f>IF(ROW()&lt;=2+12,"",INDEX(Daily_Input!$F:$F,ROW()-13))</f>
        <v>490057.93412300007</v>
      </c>
      <c r="Y155" s="5">
        <f>IF(ROW()&lt;=2+13,"",INDEX(Daily_Input!$F:$F,ROW()-14))</f>
        <v>176791.29019999999</v>
      </c>
      <c r="Z155" s="5">
        <f>IF(ROW()&lt;=4,"",SUM(Daily_Input!I155:I157))</f>
        <v>0</v>
      </c>
      <c r="AA155" s="5">
        <f>IF(ROW()&lt;=8,"",SUM(Daily_Input!I155:I161))</f>
        <v>0</v>
      </c>
      <c r="AB155" s="5">
        <f>IF(ROW()&lt;=15,"",SUM(Daily_Input!I155:I168))</f>
        <v>0</v>
      </c>
      <c r="AC155" s="5">
        <f>IF(ROW()&lt;=4,"",AVERAGE(Daily_Input!F155:F157))</f>
        <v>227543.23968176753</v>
      </c>
      <c r="AD155" s="5">
        <f>IF(ROW()&lt;=8,"",AVERAGE(Daily_Input!F155:F161))</f>
        <v>209503.16387531464</v>
      </c>
      <c r="AE155" s="5">
        <f>IF(ROW()&lt;=8,"",MAX(Daily_Input!F155:F161))</f>
        <v>233896.28084530271</v>
      </c>
      <c r="AF155" s="5">
        <f>IF(ROW()&lt;=2+0,"",INDEX(Daily_Input!$G:$G,ROW()-1))</f>
        <v>0</v>
      </c>
      <c r="AG155" s="5">
        <f>IF(ROW()&lt;=2+0,"",INDEX(Daily_Input!$H:$H,ROW()-1))</f>
        <v>243890.5024</v>
      </c>
      <c r="AH155" s="5">
        <f>IF(ROW()&lt;=2+1,"",INDEX(Daily_Input!$G:$G,ROW()-2))</f>
        <v>0</v>
      </c>
      <c r="AI155" s="5">
        <f>IF(ROW()&lt;=2+1,"",INDEX(Daily_Input!$H:$H,ROW()-2))</f>
        <v>254613.15059999999</v>
      </c>
      <c r="AJ155" s="5">
        <f>IF(ROW()&lt;=2+2,"",INDEX(Daily_Input!$G:$G,ROW()-3))</f>
        <v>0</v>
      </c>
      <c r="AK155" s="5">
        <f>IF(ROW()&lt;=2+2,"",INDEX(Daily_Input!$H:$H,ROW()-3))</f>
        <v>271018.3982</v>
      </c>
    </row>
    <row r="156" spans="1:37">
      <c r="A156" s="5">
        <f>Daily_Input!A156</f>
        <v>45993</v>
      </c>
      <c r="B156" s="5">
        <f>Daily_Input!F156</f>
        <v>227983.61859999999</v>
      </c>
      <c r="C156" s="5">
        <f>Daily_Input!D156</f>
        <v>489.67099999999999</v>
      </c>
      <c r="D156" s="5">
        <f>Daily_Input!E156</f>
        <v>1664741.6725647999</v>
      </c>
      <c r="E156" s="5">
        <f>IF(ROW()=2,"",Daily_Input!E156-Daily_Input!E155)</f>
        <v>0</v>
      </c>
      <c r="F156" s="5">
        <f>IFERROR(Daily_Input!E156/Config!$B$4,"")</f>
        <v>1.0241641275156992</v>
      </c>
      <c r="G156" s="5">
        <f>Daily_Input!I156</f>
        <v>0</v>
      </c>
      <c r="H156" s="5">
        <f>IF(A156="","",IF(ROW()=2,G156,Config!$B$5*H155+G156))</f>
        <v>82.622805282315369</v>
      </c>
      <c r="I156" s="5">
        <f t="shared" si="2"/>
        <v>336</v>
      </c>
      <c r="J156" s="5">
        <f>IF(I156="","",SIN(2*PI()*I156/Config!$B$6))</f>
        <v>-0.47873384011578829</v>
      </c>
      <c r="K156" s="5">
        <f>IF(I156="","",COS(2*PI()*I156/Config!$B$6))</f>
        <v>0.87796008470088827</v>
      </c>
      <c r="L156" s="5">
        <f>IF(ROW()&lt;=2+0,"",INDEX(Daily_Input!$F:$F,ROW()-1))</f>
        <v>233896.28084530271</v>
      </c>
      <c r="M156" s="5">
        <f>IF(ROW()&lt;=2+1,"",INDEX(Daily_Input!$F:$F,ROW()-2))</f>
        <v>243890.5024</v>
      </c>
      <c r="N156" s="5">
        <f>IF(ROW()&lt;=2+2,"",INDEX(Daily_Input!$F:$F,ROW()-3))</f>
        <v>251576.49809719989</v>
      </c>
      <c r="O156" s="5">
        <f>IF(ROW()&lt;=2+3,"",INDEX(Daily_Input!$F:$F,ROW()-4))</f>
        <v>271018.3982</v>
      </c>
      <c r="P156" s="5">
        <f>IF(ROW()&lt;=2+4,"",INDEX(Daily_Input!$F:$F,ROW()-5))</f>
        <v>287840.33389740012</v>
      </c>
      <c r="Q156" s="5">
        <f>IF(ROW()&lt;=2+5,"",INDEX(Daily_Input!$F:$F,ROW()-6))</f>
        <v>309590.22952609992</v>
      </c>
      <c r="R156" s="5">
        <f>IF(ROW()&lt;=2+6,"",INDEX(Daily_Input!$F:$F,ROW()-7))</f>
        <v>344831.7553028001</v>
      </c>
      <c r="S156" s="5">
        <f>IF(ROW()&lt;=2+7,"",INDEX(Daily_Input!$F:$F,ROW()-8))</f>
        <v>378472.27843739983</v>
      </c>
      <c r="T156" s="5">
        <f>IF(ROW()&lt;=2+8,"",INDEX(Daily_Input!$F:$F,ROW()-9))</f>
        <v>432691.32345790009</v>
      </c>
      <c r="U156" s="5">
        <f>IF(ROW()&lt;=2+9,"",INDEX(Daily_Input!$F:$F,ROW()-10))</f>
        <v>489655.21922529989</v>
      </c>
      <c r="V156" s="5">
        <f>IF(ROW()&lt;=2+10,"",INDEX(Daily_Input!$F:$F,ROW()-11))</f>
        <v>611821.21786540013</v>
      </c>
      <c r="W156" s="5">
        <f>IF(ROW()&lt;=2+11,"",INDEX(Daily_Input!$F:$F,ROW()-12))</f>
        <v>897133.89809549996</v>
      </c>
      <c r="X156" s="5">
        <f>IF(ROW()&lt;=2+12,"",INDEX(Daily_Input!$F:$F,ROW()-13))</f>
        <v>965976.87391570001</v>
      </c>
      <c r="Y156" s="5">
        <f>IF(ROW()&lt;=2+13,"",INDEX(Daily_Input!$F:$F,ROW()-14))</f>
        <v>490057.93412300007</v>
      </c>
      <c r="Z156" s="5">
        <f>IF(ROW()&lt;=4,"",SUM(Daily_Input!I156:I158))</f>
        <v>0</v>
      </c>
      <c r="AA156" s="5">
        <f>IF(ROW()&lt;=8,"",SUM(Daily_Input!I156:I162))</f>
        <v>0</v>
      </c>
      <c r="AB156" s="5">
        <f>IF(ROW()&lt;=15,"",SUM(Daily_Input!I156:I169))</f>
        <v>0</v>
      </c>
      <c r="AC156" s="5">
        <f>IF(ROW()&lt;=4,"",AVERAGE(Daily_Input!F156:F158))</f>
        <v>219001.31251036667</v>
      </c>
      <c r="AD156" s="5">
        <f>IF(ROW()&lt;=8,"",AVERAGE(Daily_Input!F156:F162))</f>
        <v>201121.44029741429</v>
      </c>
      <c r="AE156" s="5">
        <f>IF(ROW()&lt;=8,"",MAX(Daily_Input!F156:F162))</f>
        <v>227983.61859999999</v>
      </c>
      <c r="AF156" s="5">
        <f>IF(ROW()&lt;=2+0,"",INDEX(Daily_Input!$G:$G,ROW()-1))</f>
        <v>0</v>
      </c>
      <c r="AG156" s="5">
        <f>IF(ROW()&lt;=2+0,"",INDEX(Daily_Input!$H:$H,ROW()-1))</f>
        <v>236252.95740000001</v>
      </c>
      <c r="AH156" s="5">
        <f>IF(ROW()&lt;=2+1,"",INDEX(Daily_Input!$G:$G,ROW()-2))</f>
        <v>0</v>
      </c>
      <c r="AI156" s="5">
        <f>IF(ROW()&lt;=2+1,"",INDEX(Daily_Input!$H:$H,ROW()-2))</f>
        <v>243890.5024</v>
      </c>
      <c r="AJ156" s="5">
        <f>IF(ROW()&lt;=2+2,"",INDEX(Daily_Input!$G:$G,ROW()-3))</f>
        <v>0</v>
      </c>
      <c r="AK156" s="5">
        <f>IF(ROW()&lt;=2+2,"",INDEX(Daily_Input!$H:$H,ROW()-3))</f>
        <v>254613.15059999999</v>
      </c>
    </row>
    <row r="157" spans="1:37">
      <c r="A157" s="5">
        <f>Daily_Input!A157</f>
        <v>45994</v>
      </c>
      <c r="B157" s="5">
        <f>Daily_Input!F157</f>
        <v>220749.81959999999</v>
      </c>
      <c r="C157" s="5">
        <f>Daily_Input!D157</f>
        <v>489.67099999999999</v>
      </c>
      <c r="D157" s="5">
        <f>Daily_Input!E157</f>
        <v>1664741.6725647999</v>
      </c>
      <c r="E157" s="5">
        <f>IF(ROW()=2,"",Daily_Input!E157-Daily_Input!E156)</f>
        <v>0</v>
      </c>
      <c r="F157" s="5">
        <f>IFERROR(Daily_Input!E157/Config!$B$4,"")</f>
        <v>1.0241641275156992</v>
      </c>
      <c r="G157" s="5">
        <f>Daily_Input!I157</f>
        <v>0</v>
      </c>
      <c r="H157" s="5">
        <f>IF(A157="","",IF(ROW()=2,G157,Config!$B$5*H156+G157))</f>
        <v>78.491665018199598</v>
      </c>
      <c r="I157" s="5">
        <f t="shared" si="2"/>
        <v>337</v>
      </c>
      <c r="J157" s="5">
        <f>IF(I157="","",SIN(2*PI()*I157/Config!$B$6))</f>
        <v>-0.46355027090285122</v>
      </c>
      <c r="K157" s="5">
        <f>IF(I157="","",COS(2*PI()*I157/Config!$B$6))</f>
        <v>0.88607062153413785</v>
      </c>
      <c r="L157" s="5">
        <f>IF(ROW()&lt;=2+0,"",INDEX(Daily_Input!$F:$F,ROW()-1))</f>
        <v>227983.61859999999</v>
      </c>
      <c r="M157" s="5">
        <f>IF(ROW()&lt;=2+1,"",INDEX(Daily_Input!$F:$F,ROW()-2))</f>
        <v>233896.28084530271</v>
      </c>
      <c r="N157" s="5">
        <f>IF(ROW()&lt;=2+2,"",INDEX(Daily_Input!$F:$F,ROW()-3))</f>
        <v>243890.5024</v>
      </c>
      <c r="O157" s="5">
        <f>IF(ROW()&lt;=2+3,"",INDEX(Daily_Input!$F:$F,ROW()-4))</f>
        <v>251576.49809719989</v>
      </c>
      <c r="P157" s="5">
        <f>IF(ROW()&lt;=2+4,"",INDEX(Daily_Input!$F:$F,ROW()-5))</f>
        <v>271018.3982</v>
      </c>
      <c r="Q157" s="5">
        <f>IF(ROW()&lt;=2+5,"",INDEX(Daily_Input!$F:$F,ROW()-6))</f>
        <v>287840.33389740012</v>
      </c>
      <c r="R157" s="5">
        <f>IF(ROW()&lt;=2+6,"",INDEX(Daily_Input!$F:$F,ROW()-7))</f>
        <v>309590.22952609992</v>
      </c>
      <c r="S157" s="5">
        <f>IF(ROW()&lt;=2+7,"",INDEX(Daily_Input!$F:$F,ROW()-8))</f>
        <v>344831.7553028001</v>
      </c>
      <c r="T157" s="5">
        <f>IF(ROW()&lt;=2+8,"",INDEX(Daily_Input!$F:$F,ROW()-9))</f>
        <v>378472.27843739983</v>
      </c>
      <c r="U157" s="5">
        <f>IF(ROW()&lt;=2+9,"",INDEX(Daily_Input!$F:$F,ROW()-10))</f>
        <v>432691.32345790009</v>
      </c>
      <c r="V157" s="5">
        <f>IF(ROW()&lt;=2+10,"",INDEX(Daily_Input!$F:$F,ROW()-11))</f>
        <v>489655.21922529989</v>
      </c>
      <c r="W157" s="5">
        <f>IF(ROW()&lt;=2+11,"",INDEX(Daily_Input!$F:$F,ROW()-12))</f>
        <v>611821.21786540013</v>
      </c>
      <c r="X157" s="5">
        <f>IF(ROW()&lt;=2+12,"",INDEX(Daily_Input!$F:$F,ROW()-13))</f>
        <v>897133.89809549996</v>
      </c>
      <c r="Y157" s="5">
        <f>IF(ROW()&lt;=2+13,"",INDEX(Daily_Input!$F:$F,ROW()-14))</f>
        <v>965976.87391570001</v>
      </c>
      <c r="Z157" s="5">
        <f>IF(ROW()&lt;=4,"",SUM(Daily_Input!I157:I159))</f>
        <v>0</v>
      </c>
      <c r="AA157" s="5">
        <f>IF(ROW()&lt;=8,"",SUM(Daily_Input!I157:I163))</f>
        <v>0</v>
      </c>
      <c r="AB157" s="5">
        <f>IF(ROW()&lt;=15,"",SUM(Daily_Input!I157:I170))</f>
        <v>0</v>
      </c>
      <c r="AC157" s="5">
        <f>IF(ROW()&lt;=4,"",AVERAGE(Daily_Input!F157:F159))</f>
        <v>210800.8022103667</v>
      </c>
      <c r="AD157" s="5">
        <f>IF(ROW()&lt;=8,"",AVERAGE(Daily_Input!F157:F163))</f>
        <v>191816.23829741433</v>
      </c>
      <c r="AE157" s="5">
        <f>IF(ROW()&lt;=8,"",MAX(Daily_Input!F157:F163))</f>
        <v>220749.81959999999</v>
      </c>
      <c r="AF157" s="5">
        <f>IF(ROW()&lt;=2+0,"",INDEX(Daily_Input!$G:$G,ROW()-1))</f>
        <v>0</v>
      </c>
      <c r="AG157" s="5">
        <f>IF(ROW()&lt;=2+0,"",INDEX(Daily_Input!$H:$H,ROW()-1))</f>
        <v>227983.61859999999</v>
      </c>
      <c r="AH157" s="5">
        <f>IF(ROW()&lt;=2+1,"",INDEX(Daily_Input!$G:$G,ROW()-2))</f>
        <v>0</v>
      </c>
      <c r="AI157" s="5">
        <f>IF(ROW()&lt;=2+1,"",INDEX(Daily_Input!$H:$H,ROW()-2))</f>
        <v>236252.95740000001</v>
      </c>
      <c r="AJ157" s="5">
        <f>IF(ROW()&lt;=2+2,"",INDEX(Daily_Input!$G:$G,ROW()-3))</f>
        <v>0</v>
      </c>
      <c r="AK157" s="5">
        <f>IF(ROW()&lt;=2+2,"",INDEX(Daily_Input!$H:$H,ROW()-3))</f>
        <v>243890.5024</v>
      </c>
    </row>
    <row r="158" spans="1:37">
      <c r="A158" s="5">
        <f>Daily_Input!A158</f>
        <v>45995</v>
      </c>
      <c r="B158" s="5">
        <f>Daily_Input!F158</f>
        <v>208270.49933110006</v>
      </c>
      <c r="C158" s="5">
        <f>Daily_Input!D158</f>
        <v>489.66399999999999</v>
      </c>
      <c r="D158" s="5">
        <f>Daily_Input!E158</f>
        <v>1661708.0167959</v>
      </c>
      <c r="E158" s="5">
        <f>IF(ROW()=2,"",Daily_Input!E158-Daily_Input!E157)</f>
        <v>-3033.6557688999455</v>
      </c>
      <c r="F158" s="5">
        <f>IFERROR(Daily_Input!E158/Config!$B$4,"")</f>
        <v>1.0222977950600747</v>
      </c>
      <c r="G158" s="5">
        <f>Daily_Input!I158</f>
        <v>0</v>
      </c>
      <c r="H158" s="5">
        <f>IF(A158="","",IF(ROW()=2,G158,Config!$B$5*H157+G158))</f>
        <v>74.567081767289608</v>
      </c>
      <c r="I158" s="5">
        <f t="shared" si="2"/>
        <v>338</v>
      </c>
      <c r="J158" s="5">
        <f>IF(I158="","",SIN(2*PI()*I158/Config!$B$6))</f>
        <v>-0.44822934174041063</v>
      </c>
      <c r="K158" s="5">
        <f>IF(I158="","",COS(2*PI()*I158/Config!$B$6))</f>
        <v>0.89391859651925698</v>
      </c>
      <c r="L158" s="5">
        <f>IF(ROW()&lt;=2+0,"",INDEX(Daily_Input!$F:$F,ROW()-1))</f>
        <v>220749.81959999999</v>
      </c>
      <c r="M158" s="5">
        <f>IF(ROW()&lt;=2+1,"",INDEX(Daily_Input!$F:$F,ROW()-2))</f>
        <v>227983.61859999999</v>
      </c>
      <c r="N158" s="5">
        <f>IF(ROW()&lt;=2+2,"",INDEX(Daily_Input!$F:$F,ROW()-3))</f>
        <v>233896.28084530271</v>
      </c>
      <c r="O158" s="5">
        <f>IF(ROW()&lt;=2+3,"",INDEX(Daily_Input!$F:$F,ROW()-4))</f>
        <v>243890.5024</v>
      </c>
      <c r="P158" s="5">
        <f>IF(ROW()&lt;=2+4,"",INDEX(Daily_Input!$F:$F,ROW()-5))</f>
        <v>251576.49809719989</v>
      </c>
      <c r="Q158" s="5">
        <f>IF(ROW()&lt;=2+5,"",INDEX(Daily_Input!$F:$F,ROW()-6))</f>
        <v>271018.3982</v>
      </c>
      <c r="R158" s="5">
        <f>IF(ROW()&lt;=2+6,"",INDEX(Daily_Input!$F:$F,ROW()-7))</f>
        <v>287840.33389740012</v>
      </c>
      <c r="S158" s="5">
        <f>IF(ROW()&lt;=2+7,"",INDEX(Daily_Input!$F:$F,ROW()-8))</f>
        <v>309590.22952609992</v>
      </c>
      <c r="T158" s="5">
        <f>IF(ROW()&lt;=2+8,"",INDEX(Daily_Input!$F:$F,ROW()-9))</f>
        <v>344831.7553028001</v>
      </c>
      <c r="U158" s="5">
        <f>IF(ROW()&lt;=2+9,"",INDEX(Daily_Input!$F:$F,ROW()-10))</f>
        <v>378472.27843739983</v>
      </c>
      <c r="V158" s="5">
        <f>IF(ROW()&lt;=2+10,"",INDEX(Daily_Input!$F:$F,ROW()-11))</f>
        <v>432691.32345790009</v>
      </c>
      <c r="W158" s="5">
        <f>IF(ROW()&lt;=2+11,"",INDEX(Daily_Input!$F:$F,ROW()-12))</f>
        <v>489655.21922529989</v>
      </c>
      <c r="X158" s="5">
        <f>IF(ROW()&lt;=2+12,"",INDEX(Daily_Input!$F:$F,ROW()-13))</f>
        <v>611821.21786540013</v>
      </c>
      <c r="Y158" s="5">
        <f>IF(ROW()&lt;=2+13,"",INDEX(Daily_Input!$F:$F,ROW()-14))</f>
        <v>897133.89809549996</v>
      </c>
      <c r="Z158" s="5">
        <f>IF(ROW()&lt;=4,"",SUM(Daily_Input!I158:I160))</f>
        <v>0</v>
      </c>
      <c r="AA158" s="5">
        <f>IF(ROW()&lt;=8,"",SUM(Daily_Input!I158:I164))</f>
        <v>0</v>
      </c>
      <c r="AB158" s="5">
        <f>IF(ROW()&lt;=15,"",SUM(Daily_Input!I158:I171))</f>
        <v>0</v>
      </c>
      <c r="AC158" s="5">
        <f>IF(ROW()&lt;=4,"",AVERAGE(Daily_Input!F158:F160))</f>
        <v>201960.37467703337</v>
      </c>
      <c r="AD158" s="5">
        <f>IF(ROW()&lt;=8,"",AVERAGE(Daily_Input!F158:F164))</f>
        <v>182606.6845139286</v>
      </c>
      <c r="AE158" s="5">
        <f>IF(ROW()&lt;=8,"",MAX(Daily_Input!F158:F164))</f>
        <v>208270.49933110006</v>
      </c>
      <c r="AF158" s="5">
        <f>IF(ROW()&lt;=2+0,"",INDEX(Daily_Input!$G:$G,ROW()-1))</f>
        <v>0</v>
      </c>
      <c r="AG158" s="5">
        <f>IF(ROW()&lt;=2+0,"",INDEX(Daily_Input!$H:$H,ROW()-1))</f>
        <v>220749.81959999999</v>
      </c>
      <c r="AH158" s="5">
        <f>IF(ROW()&lt;=2+1,"",INDEX(Daily_Input!$G:$G,ROW()-2))</f>
        <v>0</v>
      </c>
      <c r="AI158" s="5">
        <f>IF(ROW()&lt;=2+1,"",INDEX(Daily_Input!$H:$H,ROW()-2))</f>
        <v>227983.61859999999</v>
      </c>
      <c r="AJ158" s="5">
        <f>IF(ROW()&lt;=2+2,"",INDEX(Daily_Input!$G:$G,ROW()-3))</f>
        <v>0</v>
      </c>
      <c r="AK158" s="5">
        <f>IF(ROW()&lt;=2+2,"",INDEX(Daily_Input!$H:$H,ROW()-3))</f>
        <v>236252.95740000001</v>
      </c>
    </row>
    <row r="159" spans="1:37">
      <c r="A159" s="5">
        <f>Daily_Input!A159</f>
        <v>45996</v>
      </c>
      <c r="B159" s="5">
        <f>Daily_Input!F159</f>
        <v>203382.0877</v>
      </c>
      <c r="C159" s="5">
        <f>Daily_Input!D159</f>
        <v>489.66399999999999</v>
      </c>
      <c r="D159" s="5">
        <f>Daily_Input!E159</f>
        <v>1661708.0167959</v>
      </c>
      <c r="E159" s="5">
        <f>IF(ROW()=2,"",Daily_Input!E159-Daily_Input!E158)</f>
        <v>0</v>
      </c>
      <c r="F159" s="5">
        <f>IFERROR(Daily_Input!E159/Config!$B$4,"")</f>
        <v>1.0222977950600747</v>
      </c>
      <c r="G159" s="5">
        <f>Daily_Input!I159</f>
        <v>0</v>
      </c>
      <c r="H159" s="5">
        <f>IF(A159="","",IF(ROW()=2,G159,Config!$B$5*H158+G159))</f>
        <v>70.838727678925125</v>
      </c>
      <c r="I159" s="5">
        <f t="shared" si="2"/>
        <v>339</v>
      </c>
      <c r="J159" s="5">
        <f>IF(I159="","",SIN(2*PI()*I159/Config!$B$6))</f>
        <v>-0.43277559255043169</v>
      </c>
      <c r="K159" s="5">
        <f>IF(I159="","",COS(2*PI()*I159/Config!$B$6))</f>
        <v>0.90150168413188381</v>
      </c>
      <c r="L159" s="5">
        <f>IF(ROW()&lt;=2+0,"",INDEX(Daily_Input!$F:$F,ROW()-1))</f>
        <v>208270.49933110006</v>
      </c>
      <c r="M159" s="5">
        <f>IF(ROW()&lt;=2+1,"",INDEX(Daily_Input!$F:$F,ROW()-2))</f>
        <v>220749.81959999999</v>
      </c>
      <c r="N159" s="5">
        <f>IF(ROW()&lt;=2+2,"",INDEX(Daily_Input!$F:$F,ROW()-3))</f>
        <v>227983.61859999999</v>
      </c>
      <c r="O159" s="5">
        <f>IF(ROW()&lt;=2+3,"",INDEX(Daily_Input!$F:$F,ROW()-4))</f>
        <v>233896.28084530271</v>
      </c>
      <c r="P159" s="5">
        <f>IF(ROW()&lt;=2+4,"",INDEX(Daily_Input!$F:$F,ROW()-5))</f>
        <v>243890.5024</v>
      </c>
      <c r="Q159" s="5">
        <f>IF(ROW()&lt;=2+5,"",INDEX(Daily_Input!$F:$F,ROW()-6))</f>
        <v>251576.49809719989</v>
      </c>
      <c r="R159" s="5">
        <f>IF(ROW()&lt;=2+6,"",INDEX(Daily_Input!$F:$F,ROW()-7))</f>
        <v>271018.3982</v>
      </c>
      <c r="S159" s="5">
        <f>IF(ROW()&lt;=2+7,"",INDEX(Daily_Input!$F:$F,ROW()-8))</f>
        <v>287840.33389740012</v>
      </c>
      <c r="T159" s="5">
        <f>IF(ROW()&lt;=2+8,"",INDEX(Daily_Input!$F:$F,ROW()-9))</f>
        <v>309590.22952609992</v>
      </c>
      <c r="U159" s="5">
        <f>IF(ROW()&lt;=2+9,"",INDEX(Daily_Input!$F:$F,ROW()-10))</f>
        <v>344831.7553028001</v>
      </c>
      <c r="V159" s="5">
        <f>IF(ROW()&lt;=2+10,"",INDEX(Daily_Input!$F:$F,ROW()-11))</f>
        <v>378472.27843739983</v>
      </c>
      <c r="W159" s="5">
        <f>IF(ROW()&lt;=2+11,"",INDEX(Daily_Input!$F:$F,ROW()-12))</f>
        <v>432691.32345790009</v>
      </c>
      <c r="X159" s="5">
        <f>IF(ROW()&lt;=2+12,"",INDEX(Daily_Input!$F:$F,ROW()-13))</f>
        <v>489655.21922529989</v>
      </c>
      <c r="Y159" s="5">
        <f>IF(ROW()&lt;=2+13,"",INDEX(Daily_Input!$F:$F,ROW()-14))</f>
        <v>611821.21786540013</v>
      </c>
      <c r="Z159" s="5">
        <f>IF(ROW()&lt;=4,"",SUM(Daily_Input!I159:I161))</f>
        <v>0</v>
      </c>
      <c r="AA159" s="5">
        <f>IF(ROW()&lt;=8,"",SUM(Daily_Input!I159:I165))</f>
        <v>0</v>
      </c>
      <c r="AB159" s="5">
        <f>IF(ROW()&lt;=15,"",SUM(Daily_Input!I159:I172))</f>
        <v>0</v>
      </c>
      <c r="AC159" s="5">
        <f>IF(ROW()&lt;=4,"",AVERAGE(Daily_Input!F159:F161))</f>
        <v>191873.97625026666</v>
      </c>
      <c r="AD159" s="5">
        <f>IF(ROW()&lt;=8,"",AVERAGE(Daily_Input!F159:F165))</f>
        <v>173436.30825557141</v>
      </c>
      <c r="AE159" s="5">
        <f>IF(ROW()&lt;=8,"",MAX(Daily_Input!F159:F165))</f>
        <v>203382.0877</v>
      </c>
      <c r="AF159" s="5">
        <f>IF(ROW()&lt;=2+0,"",INDEX(Daily_Input!$G:$G,ROW()-1))</f>
        <v>0</v>
      </c>
      <c r="AG159" s="5">
        <f>IF(ROW()&lt;=2+0,"",INDEX(Daily_Input!$H:$H,ROW()-1))</f>
        <v>211304.1551</v>
      </c>
      <c r="AH159" s="5">
        <f>IF(ROW()&lt;=2+1,"",INDEX(Daily_Input!$G:$G,ROW()-2))</f>
        <v>0</v>
      </c>
      <c r="AI159" s="5">
        <f>IF(ROW()&lt;=2+1,"",INDEX(Daily_Input!$H:$H,ROW()-2))</f>
        <v>220749.81959999999</v>
      </c>
      <c r="AJ159" s="5">
        <f>IF(ROW()&lt;=2+2,"",INDEX(Daily_Input!$G:$G,ROW()-3))</f>
        <v>0</v>
      </c>
      <c r="AK159" s="5">
        <f>IF(ROW()&lt;=2+2,"",INDEX(Daily_Input!$H:$H,ROW()-3))</f>
        <v>227983.61859999999</v>
      </c>
    </row>
    <row r="160" spans="1:37">
      <c r="A160" s="5">
        <f>Daily_Input!A160</f>
        <v>45997</v>
      </c>
      <c r="B160" s="5">
        <f>Daily_Input!F160</f>
        <v>194228.53700000001</v>
      </c>
      <c r="C160" s="5">
        <f>Daily_Input!D160</f>
        <v>489.66399999999999</v>
      </c>
      <c r="D160" s="5">
        <f>Daily_Input!E160</f>
        <v>1661708.0167959</v>
      </c>
      <c r="E160" s="5">
        <f>IF(ROW()=2,"",Daily_Input!E160-Daily_Input!E159)</f>
        <v>0</v>
      </c>
      <c r="F160" s="5">
        <f>IFERROR(Daily_Input!E160/Config!$B$4,"")</f>
        <v>1.0222977950600747</v>
      </c>
      <c r="G160" s="5">
        <f>Daily_Input!I160</f>
        <v>0</v>
      </c>
      <c r="H160" s="5">
        <f>IF(A160="","",IF(ROW()=2,G160,Config!$B$5*H159+G160))</f>
        <v>67.29679129497886</v>
      </c>
      <c r="I160" s="5">
        <f t="shared" si="2"/>
        <v>340</v>
      </c>
      <c r="J160" s="5">
        <f>IF(I160="","",SIN(2*PI()*I160/Config!$B$6))</f>
        <v>-0.41719360261231697</v>
      </c>
      <c r="K160" s="5">
        <f>IF(I160="","",COS(2*PI()*I160/Config!$B$6))</f>
        <v>0.90881763733950283</v>
      </c>
      <c r="L160" s="5">
        <f>IF(ROW()&lt;=2+0,"",INDEX(Daily_Input!$F:$F,ROW()-1))</f>
        <v>203382.0877</v>
      </c>
      <c r="M160" s="5">
        <f>IF(ROW()&lt;=2+1,"",INDEX(Daily_Input!$F:$F,ROW()-2))</f>
        <v>208270.49933110006</v>
      </c>
      <c r="N160" s="5">
        <f>IF(ROW()&lt;=2+2,"",INDEX(Daily_Input!$F:$F,ROW()-3))</f>
        <v>220749.81959999999</v>
      </c>
      <c r="O160" s="5">
        <f>IF(ROW()&lt;=2+3,"",INDEX(Daily_Input!$F:$F,ROW()-4))</f>
        <v>227983.61859999999</v>
      </c>
      <c r="P160" s="5">
        <f>IF(ROW()&lt;=2+4,"",INDEX(Daily_Input!$F:$F,ROW()-5))</f>
        <v>233896.28084530271</v>
      </c>
      <c r="Q160" s="5">
        <f>IF(ROW()&lt;=2+5,"",INDEX(Daily_Input!$F:$F,ROW()-6))</f>
        <v>243890.5024</v>
      </c>
      <c r="R160" s="5">
        <f>IF(ROW()&lt;=2+6,"",INDEX(Daily_Input!$F:$F,ROW()-7))</f>
        <v>251576.49809719989</v>
      </c>
      <c r="S160" s="5">
        <f>IF(ROW()&lt;=2+7,"",INDEX(Daily_Input!$F:$F,ROW()-8))</f>
        <v>271018.3982</v>
      </c>
      <c r="T160" s="5">
        <f>IF(ROW()&lt;=2+8,"",INDEX(Daily_Input!$F:$F,ROW()-9))</f>
        <v>287840.33389740012</v>
      </c>
      <c r="U160" s="5">
        <f>IF(ROW()&lt;=2+9,"",INDEX(Daily_Input!$F:$F,ROW()-10))</f>
        <v>309590.22952609992</v>
      </c>
      <c r="V160" s="5">
        <f>IF(ROW()&lt;=2+10,"",INDEX(Daily_Input!$F:$F,ROW()-11))</f>
        <v>344831.7553028001</v>
      </c>
      <c r="W160" s="5">
        <f>IF(ROW()&lt;=2+11,"",INDEX(Daily_Input!$F:$F,ROW()-12))</f>
        <v>378472.27843739983</v>
      </c>
      <c r="X160" s="5">
        <f>IF(ROW()&lt;=2+12,"",INDEX(Daily_Input!$F:$F,ROW()-13))</f>
        <v>432691.32345790009</v>
      </c>
      <c r="Y160" s="5">
        <f>IF(ROW()&lt;=2+13,"",INDEX(Daily_Input!$F:$F,ROW()-14))</f>
        <v>489655.21922529989</v>
      </c>
      <c r="Z160" s="5">
        <f>IF(ROW()&lt;=4,"",SUM(Daily_Input!I160:I162))</f>
        <v>0</v>
      </c>
      <c r="AA160" s="5">
        <f>IF(ROW()&lt;=8,"",SUM(Daily_Input!I160:I166))</f>
        <v>0</v>
      </c>
      <c r="AB160" s="5">
        <f>IF(ROW()&lt;=15,"",SUM(Daily_Input!I160:I173))</f>
        <v>0</v>
      </c>
      <c r="AC160" s="5">
        <f>IF(ROW()&lt;=4,"",AVERAGE(Daily_Input!F160:F162))</f>
        <v>182488.01895026668</v>
      </c>
      <c r="AD160" s="5">
        <f>IF(ROW()&lt;=8,"",AVERAGE(Daily_Input!F160:F166))</f>
        <v>167318.3800501143</v>
      </c>
      <c r="AE160" s="5">
        <f>IF(ROW()&lt;=8,"",MAX(Daily_Input!F160:F166))</f>
        <v>194228.53700000001</v>
      </c>
      <c r="AF160" s="5">
        <f>IF(ROW()&lt;=2+0,"",INDEX(Daily_Input!$G:$G,ROW()-1))</f>
        <v>0</v>
      </c>
      <c r="AG160" s="5">
        <f>IF(ROW()&lt;=2+0,"",INDEX(Daily_Input!$H:$H,ROW()-1))</f>
        <v>203382.0877</v>
      </c>
      <c r="AH160" s="5">
        <f>IF(ROW()&lt;=2+1,"",INDEX(Daily_Input!$G:$G,ROW()-2))</f>
        <v>0</v>
      </c>
      <c r="AI160" s="5">
        <f>IF(ROW()&lt;=2+1,"",INDEX(Daily_Input!$H:$H,ROW()-2))</f>
        <v>211304.1551</v>
      </c>
      <c r="AJ160" s="5">
        <f>IF(ROW()&lt;=2+2,"",INDEX(Daily_Input!$G:$G,ROW()-3))</f>
        <v>0</v>
      </c>
      <c r="AK160" s="5">
        <f>IF(ROW()&lt;=2+2,"",INDEX(Daily_Input!$H:$H,ROW()-3))</f>
        <v>220749.81959999999</v>
      </c>
    </row>
    <row r="161" spans="1:37">
      <c r="A161" s="5">
        <f>Daily_Input!A161</f>
        <v>45998</v>
      </c>
      <c r="B161" s="5">
        <f>Daily_Input!F161</f>
        <v>178011.30405079998</v>
      </c>
      <c r="C161" s="5">
        <f>Daily_Input!D161</f>
        <v>489.65697999999998</v>
      </c>
      <c r="D161" s="5">
        <f>Daily_Input!E161</f>
        <v>1658675.7961466999</v>
      </c>
      <c r="E161" s="5">
        <f>IF(ROW()=2,"",Daily_Input!E161-Daily_Input!E160)</f>
        <v>-3032.2206492000259</v>
      </c>
      <c r="F161" s="5">
        <f>IFERROR(Daily_Input!E161/Config!$B$4,"")</f>
        <v>1.0204323455030642</v>
      </c>
      <c r="G161" s="5">
        <f>Daily_Input!I161</f>
        <v>0</v>
      </c>
      <c r="H161" s="5">
        <f>IF(A161="","",IF(ROW()=2,G161,Config!$B$5*H160+G161))</f>
        <v>63.931951730229912</v>
      </c>
      <c r="I161" s="5">
        <f t="shared" si="2"/>
        <v>341</v>
      </c>
      <c r="J161" s="5">
        <f>IF(I161="","",SIN(2*PI()*I161/Config!$B$6))</f>
        <v>-0.40148798920597373</v>
      </c>
      <c r="K161" s="5">
        <f>IF(I161="","",COS(2*PI()*I161/Config!$B$6))</f>
        <v>0.91586428826728683</v>
      </c>
      <c r="L161" s="5">
        <f>IF(ROW()&lt;=2+0,"",INDEX(Daily_Input!$F:$F,ROW()-1))</f>
        <v>194228.53700000001</v>
      </c>
      <c r="M161" s="5">
        <f>IF(ROW()&lt;=2+1,"",INDEX(Daily_Input!$F:$F,ROW()-2))</f>
        <v>203382.0877</v>
      </c>
      <c r="N161" s="5">
        <f>IF(ROW()&lt;=2+2,"",INDEX(Daily_Input!$F:$F,ROW()-3))</f>
        <v>208270.49933110006</v>
      </c>
      <c r="O161" s="5">
        <f>IF(ROW()&lt;=2+3,"",INDEX(Daily_Input!$F:$F,ROW()-4))</f>
        <v>220749.81959999999</v>
      </c>
      <c r="P161" s="5">
        <f>IF(ROW()&lt;=2+4,"",INDEX(Daily_Input!$F:$F,ROW()-5))</f>
        <v>227983.61859999999</v>
      </c>
      <c r="Q161" s="5">
        <f>IF(ROW()&lt;=2+5,"",INDEX(Daily_Input!$F:$F,ROW()-6))</f>
        <v>233896.28084530271</v>
      </c>
      <c r="R161" s="5">
        <f>IF(ROW()&lt;=2+6,"",INDEX(Daily_Input!$F:$F,ROW()-7))</f>
        <v>243890.5024</v>
      </c>
      <c r="S161" s="5">
        <f>IF(ROW()&lt;=2+7,"",INDEX(Daily_Input!$F:$F,ROW()-8))</f>
        <v>251576.49809719989</v>
      </c>
      <c r="T161" s="5">
        <f>IF(ROW()&lt;=2+8,"",INDEX(Daily_Input!$F:$F,ROW()-9))</f>
        <v>271018.3982</v>
      </c>
      <c r="U161" s="5">
        <f>IF(ROW()&lt;=2+9,"",INDEX(Daily_Input!$F:$F,ROW()-10))</f>
        <v>287840.33389740012</v>
      </c>
      <c r="V161" s="5">
        <f>IF(ROW()&lt;=2+10,"",INDEX(Daily_Input!$F:$F,ROW()-11))</f>
        <v>309590.22952609992</v>
      </c>
      <c r="W161" s="5">
        <f>IF(ROW()&lt;=2+11,"",INDEX(Daily_Input!$F:$F,ROW()-12))</f>
        <v>344831.7553028001</v>
      </c>
      <c r="X161" s="5">
        <f>IF(ROW()&lt;=2+12,"",INDEX(Daily_Input!$F:$F,ROW()-13))</f>
        <v>378472.27843739983</v>
      </c>
      <c r="Y161" s="5">
        <f>IF(ROW()&lt;=2+13,"",INDEX(Daily_Input!$F:$F,ROW()-14))</f>
        <v>432691.32345790009</v>
      </c>
      <c r="Z161" s="5">
        <f>IF(ROW()&lt;=4,"",SUM(Daily_Input!I161:I163))</f>
        <v>0</v>
      </c>
      <c r="AA161" s="5">
        <f>IF(ROW()&lt;=8,"",SUM(Daily_Input!I161:I167))</f>
        <v>0</v>
      </c>
      <c r="AB161" s="5">
        <f>IF(ROW()&lt;=15,"",SUM(Daily_Input!I161:I174))</f>
        <v>0</v>
      </c>
      <c r="AC161" s="5">
        <f>IF(ROW()&lt;=4,"",AVERAGE(Daily_Input!F161:F163))</f>
        <v>172027.57481693334</v>
      </c>
      <c r="AD161" s="5">
        <f>IF(ROW()&lt;=8,"",AVERAGE(Daily_Input!F161:F167))</f>
        <v>159957.72891271426</v>
      </c>
      <c r="AE161" s="5">
        <f>IF(ROW()&lt;=8,"",MAX(Daily_Input!F161:F167))</f>
        <v>178011.30405079998</v>
      </c>
      <c r="AF161" s="5">
        <f>IF(ROW()&lt;=2+0,"",INDEX(Daily_Input!$G:$G,ROW()-1))</f>
        <v>0</v>
      </c>
      <c r="AG161" s="5">
        <f>IF(ROW()&lt;=2+0,"",INDEX(Daily_Input!$H:$H,ROW()-1))</f>
        <v>194228.53700000001</v>
      </c>
      <c r="AH161" s="5">
        <f>IF(ROW()&lt;=2+1,"",INDEX(Daily_Input!$G:$G,ROW()-2))</f>
        <v>0</v>
      </c>
      <c r="AI161" s="5">
        <f>IF(ROW()&lt;=2+1,"",INDEX(Daily_Input!$H:$H,ROW()-2))</f>
        <v>203382.0877</v>
      </c>
      <c r="AJ161" s="5">
        <f>IF(ROW()&lt;=2+2,"",INDEX(Daily_Input!$G:$G,ROW()-3))</f>
        <v>0</v>
      </c>
      <c r="AK161" s="5">
        <f>IF(ROW()&lt;=2+2,"",INDEX(Daily_Input!$H:$H,ROW()-3))</f>
        <v>211304.1551</v>
      </c>
    </row>
    <row r="162" spans="1:37">
      <c r="A162" s="5">
        <f>Daily_Input!A162</f>
        <v>45999</v>
      </c>
      <c r="B162" s="5">
        <f>Daily_Input!F162</f>
        <v>175224.21580000001</v>
      </c>
      <c r="C162" s="5">
        <f>Daily_Input!D162</f>
        <v>489.65697999999998</v>
      </c>
      <c r="D162" s="5">
        <f>Daily_Input!E162</f>
        <v>1658675.7961466999</v>
      </c>
      <c r="E162" s="5">
        <f>IF(ROW()=2,"",Daily_Input!E162-Daily_Input!E161)</f>
        <v>0</v>
      </c>
      <c r="F162" s="5">
        <f>IFERROR(Daily_Input!E162/Config!$B$4,"")</f>
        <v>1.0204323455030642</v>
      </c>
      <c r="G162" s="5">
        <f>Daily_Input!I162</f>
        <v>0</v>
      </c>
      <c r="H162" s="5">
        <f>IF(A162="","",IF(ROW()=2,G162,Config!$B$5*H161+G162))</f>
        <v>60.735354143718411</v>
      </c>
      <c r="I162" s="5">
        <f t="shared" si="2"/>
        <v>342</v>
      </c>
      <c r="J162" s="5">
        <f>IF(I162="","",SIN(2*PI()*I162/Config!$B$6))</f>
        <v>-0.38566340624360745</v>
      </c>
      <c r="K162" s="5">
        <f>IF(I162="","",COS(2*PI()*I162/Config!$B$6))</f>
        <v>0.92263954884048749</v>
      </c>
      <c r="L162" s="5">
        <f>IF(ROW()&lt;=2+0,"",INDEX(Daily_Input!$F:$F,ROW()-1))</f>
        <v>178011.30405079998</v>
      </c>
      <c r="M162" s="5">
        <f>IF(ROW()&lt;=2+1,"",INDEX(Daily_Input!$F:$F,ROW()-2))</f>
        <v>194228.53700000001</v>
      </c>
      <c r="N162" s="5">
        <f>IF(ROW()&lt;=2+2,"",INDEX(Daily_Input!$F:$F,ROW()-3))</f>
        <v>203382.0877</v>
      </c>
      <c r="O162" s="5">
        <f>IF(ROW()&lt;=2+3,"",INDEX(Daily_Input!$F:$F,ROW()-4))</f>
        <v>208270.49933110006</v>
      </c>
      <c r="P162" s="5">
        <f>IF(ROW()&lt;=2+4,"",INDEX(Daily_Input!$F:$F,ROW()-5))</f>
        <v>220749.81959999999</v>
      </c>
      <c r="Q162" s="5">
        <f>IF(ROW()&lt;=2+5,"",INDEX(Daily_Input!$F:$F,ROW()-6))</f>
        <v>227983.61859999999</v>
      </c>
      <c r="R162" s="5">
        <f>IF(ROW()&lt;=2+6,"",INDEX(Daily_Input!$F:$F,ROW()-7))</f>
        <v>233896.28084530271</v>
      </c>
      <c r="S162" s="5">
        <f>IF(ROW()&lt;=2+7,"",INDEX(Daily_Input!$F:$F,ROW()-8))</f>
        <v>243890.5024</v>
      </c>
      <c r="T162" s="5">
        <f>IF(ROW()&lt;=2+8,"",INDEX(Daily_Input!$F:$F,ROW()-9))</f>
        <v>251576.49809719989</v>
      </c>
      <c r="U162" s="5">
        <f>IF(ROW()&lt;=2+9,"",INDEX(Daily_Input!$F:$F,ROW()-10))</f>
        <v>271018.3982</v>
      </c>
      <c r="V162" s="5">
        <f>IF(ROW()&lt;=2+10,"",INDEX(Daily_Input!$F:$F,ROW()-11))</f>
        <v>287840.33389740012</v>
      </c>
      <c r="W162" s="5">
        <f>IF(ROW()&lt;=2+11,"",INDEX(Daily_Input!$F:$F,ROW()-12))</f>
        <v>309590.22952609992</v>
      </c>
      <c r="X162" s="5">
        <f>IF(ROW()&lt;=2+12,"",INDEX(Daily_Input!$F:$F,ROW()-13))</f>
        <v>344831.7553028001</v>
      </c>
      <c r="Y162" s="5">
        <f>IF(ROW()&lt;=2+13,"",INDEX(Daily_Input!$F:$F,ROW()-14))</f>
        <v>378472.27843739983</v>
      </c>
      <c r="Z162" s="5">
        <f>IF(ROW()&lt;=4,"",SUM(Daily_Input!I162:I164))</f>
        <v>0</v>
      </c>
      <c r="AA162" s="5">
        <f>IF(ROW()&lt;=8,"",SUM(Daily_Input!I162:I168))</f>
        <v>0</v>
      </c>
      <c r="AB162" s="5">
        <f>IF(ROW()&lt;=15,"",SUM(Daily_Input!I162:I175))</f>
        <v>0</v>
      </c>
      <c r="AC162" s="5">
        <f>IF(ROW()&lt;=4,"",AVERAGE(Daily_Input!F162:F164))</f>
        <v>164784.78783853338</v>
      </c>
      <c r="AD162" s="5">
        <f>IF(ROW()&lt;=8,"",AVERAGE(Daily_Input!F162:F168))</f>
        <v>156182.34655937148</v>
      </c>
      <c r="AE162" s="5">
        <f>IF(ROW()&lt;=8,"",MAX(Daily_Input!F162:F168))</f>
        <v>175224.21580000001</v>
      </c>
      <c r="AF162" s="5">
        <f>IF(ROW()&lt;=2+0,"",INDEX(Daily_Input!$G:$G,ROW()-1))</f>
        <v>0</v>
      </c>
      <c r="AG162" s="5">
        <f>IF(ROW()&lt;=2+0,"",INDEX(Daily_Input!$H:$H,ROW()-1))</f>
        <v>181043.52470000001</v>
      </c>
      <c r="AH162" s="5">
        <f>IF(ROW()&lt;=2+1,"",INDEX(Daily_Input!$G:$G,ROW()-2))</f>
        <v>0</v>
      </c>
      <c r="AI162" s="5">
        <f>IF(ROW()&lt;=2+1,"",INDEX(Daily_Input!$H:$H,ROW()-2))</f>
        <v>194228.53700000001</v>
      </c>
      <c r="AJ162" s="5">
        <f>IF(ROW()&lt;=2+2,"",INDEX(Daily_Input!$G:$G,ROW()-3))</f>
        <v>0</v>
      </c>
      <c r="AK162" s="5">
        <f>IF(ROW()&lt;=2+2,"",INDEX(Daily_Input!$H:$H,ROW()-3))</f>
        <v>203382.0877</v>
      </c>
    </row>
    <row r="163" spans="1:37">
      <c r="A163" s="5">
        <f>Daily_Input!A163</f>
        <v>46000</v>
      </c>
      <c r="B163" s="5">
        <f>Daily_Input!F163</f>
        <v>162847.2046</v>
      </c>
      <c r="C163" s="5">
        <f>Daily_Input!D163</f>
        <v>489.65100000000001</v>
      </c>
      <c r="D163" s="5">
        <f>Daily_Input!E163</f>
        <v>1658675.7961466999</v>
      </c>
      <c r="E163" s="5">
        <f>IF(ROW()=2,"",Daily_Input!E163-Daily_Input!E162)</f>
        <v>0</v>
      </c>
      <c r="F163" s="5">
        <f>IFERROR(Daily_Input!E163/Config!$B$4,"")</f>
        <v>1.0204323455030642</v>
      </c>
      <c r="G163" s="5">
        <f>Daily_Input!I163</f>
        <v>0</v>
      </c>
      <c r="H163" s="5">
        <f>IF(A163="","",IF(ROW()=2,G163,Config!$B$5*H162+G163))</f>
        <v>57.698586436532487</v>
      </c>
      <c r="I163" s="5">
        <f t="shared" si="2"/>
        <v>343</v>
      </c>
      <c r="J163" s="5">
        <f>IF(I163="","",SIN(2*PI()*I163/Config!$B$6))</f>
        <v>-0.36972454289067319</v>
      </c>
      <c r="K163" s="5">
        <f>IF(I163="","",COS(2*PI()*I163/Config!$B$6))</f>
        <v>0.9291414114031743</v>
      </c>
      <c r="L163" s="5">
        <f>IF(ROW()&lt;=2+0,"",INDEX(Daily_Input!$F:$F,ROW()-1))</f>
        <v>175224.21580000001</v>
      </c>
      <c r="M163" s="5">
        <f>IF(ROW()&lt;=2+1,"",INDEX(Daily_Input!$F:$F,ROW()-2))</f>
        <v>178011.30405079998</v>
      </c>
      <c r="N163" s="5">
        <f>IF(ROW()&lt;=2+2,"",INDEX(Daily_Input!$F:$F,ROW()-3))</f>
        <v>194228.53700000001</v>
      </c>
      <c r="O163" s="5">
        <f>IF(ROW()&lt;=2+3,"",INDEX(Daily_Input!$F:$F,ROW()-4))</f>
        <v>203382.0877</v>
      </c>
      <c r="P163" s="5">
        <f>IF(ROW()&lt;=2+4,"",INDEX(Daily_Input!$F:$F,ROW()-5))</f>
        <v>208270.49933110006</v>
      </c>
      <c r="Q163" s="5">
        <f>IF(ROW()&lt;=2+5,"",INDEX(Daily_Input!$F:$F,ROW()-6))</f>
        <v>220749.81959999999</v>
      </c>
      <c r="R163" s="5">
        <f>IF(ROW()&lt;=2+6,"",INDEX(Daily_Input!$F:$F,ROW()-7))</f>
        <v>227983.61859999999</v>
      </c>
      <c r="S163" s="5">
        <f>IF(ROW()&lt;=2+7,"",INDEX(Daily_Input!$F:$F,ROW()-8))</f>
        <v>233896.28084530271</v>
      </c>
      <c r="T163" s="5">
        <f>IF(ROW()&lt;=2+8,"",INDEX(Daily_Input!$F:$F,ROW()-9))</f>
        <v>243890.5024</v>
      </c>
      <c r="U163" s="5">
        <f>IF(ROW()&lt;=2+9,"",INDEX(Daily_Input!$F:$F,ROW()-10))</f>
        <v>251576.49809719989</v>
      </c>
      <c r="V163" s="5">
        <f>IF(ROW()&lt;=2+10,"",INDEX(Daily_Input!$F:$F,ROW()-11))</f>
        <v>271018.3982</v>
      </c>
      <c r="W163" s="5">
        <f>IF(ROW()&lt;=2+11,"",INDEX(Daily_Input!$F:$F,ROW()-12))</f>
        <v>287840.33389740012</v>
      </c>
      <c r="X163" s="5">
        <f>IF(ROW()&lt;=2+12,"",INDEX(Daily_Input!$F:$F,ROW()-13))</f>
        <v>309590.22952609992</v>
      </c>
      <c r="Y163" s="5">
        <f>IF(ROW()&lt;=2+13,"",INDEX(Daily_Input!$F:$F,ROW()-14))</f>
        <v>344831.7553028001</v>
      </c>
      <c r="Z163" s="5">
        <f>IF(ROW()&lt;=4,"",SUM(Daily_Input!I163:I165))</f>
        <v>0</v>
      </c>
      <c r="AA163" s="5">
        <f>IF(ROW()&lt;=8,"",SUM(Daily_Input!I163:I169))</f>
        <v>0</v>
      </c>
      <c r="AB163" s="5">
        <f>IF(ROW()&lt;=15,"",SUM(Daily_Input!I163:I176))</f>
        <v>0</v>
      </c>
      <c r="AC163" s="5">
        <f>IF(ROW()&lt;=4,"",AVERAGE(Daily_Input!F163:F165))</f>
        <v>154402.6710794</v>
      </c>
      <c r="AD163" s="5">
        <f>IF(ROW()&lt;=8,"",AVERAGE(Daily_Input!F163:F169))</f>
        <v>152151.9228450857</v>
      </c>
      <c r="AE163" s="5">
        <f>IF(ROW()&lt;=8,"",MAX(Daily_Input!F163:F169))</f>
        <v>162847.2046</v>
      </c>
      <c r="AF163" s="5">
        <f>IF(ROW()&lt;=2+0,"",INDEX(Daily_Input!$G:$G,ROW()-1))</f>
        <v>0</v>
      </c>
      <c r="AG163" s="5">
        <f>IF(ROW()&lt;=2+0,"",INDEX(Daily_Input!$H:$H,ROW()-1))</f>
        <v>175224.21580000001</v>
      </c>
      <c r="AH163" s="5">
        <f>IF(ROW()&lt;=2+1,"",INDEX(Daily_Input!$G:$G,ROW()-2))</f>
        <v>0</v>
      </c>
      <c r="AI163" s="5">
        <f>IF(ROW()&lt;=2+1,"",INDEX(Daily_Input!$H:$H,ROW()-2))</f>
        <v>181043.52470000001</v>
      </c>
      <c r="AJ163" s="5">
        <f>IF(ROW()&lt;=2+2,"",INDEX(Daily_Input!$G:$G,ROW()-3))</f>
        <v>0</v>
      </c>
      <c r="AK163" s="5">
        <f>IF(ROW()&lt;=2+2,"",INDEX(Daily_Input!$H:$H,ROW()-3))</f>
        <v>194228.53700000001</v>
      </c>
    </row>
    <row r="164" spans="1:37">
      <c r="A164" s="5">
        <f>Daily_Input!A164</f>
        <v>46001</v>
      </c>
      <c r="B164" s="5">
        <f>Daily_Input!F164</f>
        <v>156282.94311560006</v>
      </c>
      <c r="C164" s="5">
        <f>Daily_Input!D164</f>
        <v>489.64499999999998</v>
      </c>
      <c r="D164" s="5">
        <f>Daily_Input!E164</f>
        <v>1655645.1614623</v>
      </c>
      <c r="E164" s="5">
        <f>IF(ROW()=2,"",Daily_Input!E164-Daily_Input!E163)</f>
        <v>-3030.6346843999345</v>
      </c>
      <c r="F164" s="5">
        <f>IFERROR(Daily_Input!E164/Config!$B$4,"")</f>
        <v>1.018567871645937</v>
      </c>
      <c r="G164" s="5">
        <f>Daily_Input!I164</f>
        <v>0</v>
      </c>
      <c r="H164" s="5">
        <f>IF(A164="","",IF(ROW()=2,G164,Config!$B$5*H163+G164))</f>
        <v>54.813657114705862</v>
      </c>
      <c r="I164" s="5">
        <f t="shared" si="2"/>
        <v>344</v>
      </c>
      <c r="J164" s="5">
        <f>IF(I164="","",SIN(2*PI()*I164/Config!$B$6))</f>
        <v>-0.35367612217637207</v>
      </c>
      <c r="K164" s="5">
        <f>IF(I164="","",COS(2*PI()*I164/Config!$B$6))</f>
        <v>0.93536794931314804</v>
      </c>
      <c r="L164" s="5">
        <f>IF(ROW()&lt;=2+0,"",INDEX(Daily_Input!$F:$F,ROW()-1))</f>
        <v>162847.2046</v>
      </c>
      <c r="M164" s="5">
        <f>IF(ROW()&lt;=2+1,"",INDEX(Daily_Input!$F:$F,ROW()-2))</f>
        <v>175224.21580000001</v>
      </c>
      <c r="N164" s="5">
        <f>IF(ROW()&lt;=2+2,"",INDEX(Daily_Input!$F:$F,ROW()-3))</f>
        <v>178011.30405079998</v>
      </c>
      <c r="O164" s="5">
        <f>IF(ROW()&lt;=2+3,"",INDEX(Daily_Input!$F:$F,ROW()-4))</f>
        <v>194228.53700000001</v>
      </c>
      <c r="P164" s="5">
        <f>IF(ROW()&lt;=2+4,"",INDEX(Daily_Input!$F:$F,ROW()-5))</f>
        <v>203382.0877</v>
      </c>
      <c r="Q164" s="5">
        <f>IF(ROW()&lt;=2+5,"",INDEX(Daily_Input!$F:$F,ROW()-6))</f>
        <v>208270.49933110006</v>
      </c>
      <c r="R164" s="5">
        <f>IF(ROW()&lt;=2+6,"",INDEX(Daily_Input!$F:$F,ROW()-7))</f>
        <v>220749.81959999999</v>
      </c>
      <c r="S164" s="5">
        <f>IF(ROW()&lt;=2+7,"",INDEX(Daily_Input!$F:$F,ROW()-8))</f>
        <v>227983.61859999999</v>
      </c>
      <c r="T164" s="5">
        <f>IF(ROW()&lt;=2+8,"",INDEX(Daily_Input!$F:$F,ROW()-9))</f>
        <v>233896.28084530271</v>
      </c>
      <c r="U164" s="5">
        <f>IF(ROW()&lt;=2+9,"",INDEX(Daily_Input!$F:$F,ROW()-10))</f>
        <v>243890.5024</v>
      </c>
      <c r="V164" s="5">
        <f>IF(ROW()&lt;=2+10,"",INDEX(Daily_Input!$F:$F,ROW()-11))</f>
        <v>251576.49809719989</v>
      </c>
      <c r="W164" s="5">
        <f>IF(ROW()&lt;=2+11,"",INDEX(Daily_Input!$F:$F,ROW()-12))</f>
        <v>271018.3982</v>
      </c>
      <c r="X164" s="5">
        <f>IF(ROW()&lt;=2+12,"",INDEX(Daily_Input!$F:$F,ROW()-13))</f>
        <v>287840.33389740012</v>
      </c>
      <c r="Y164" s="5">
        <f>IF(ROW()&lt;=2+13,"",INDEX(Daily_Input!$F:$F,ROW()-14))</f>
        <v>309590.22952609992</v>
      </c>
      <c r="Z164" s="5">
        <f>IF(ROW()&lt;=4,"",SUM(Daily_Input!I164:I166))</f>
        <v>0</v>
      </c>
      <c r="AA164" s="5">
        <f>IF(ROW()&lt;=8,"",SUM(Daily_Input!I164:I170))</f>
        <v>0</v>
      </c>
      <c r="AB164" s="5">
        <f>IF(ROW()&lt;=15,"",SUM(Daily_Input!I164:I177))</f>
        <v>0</v>
      </c>
      <c r="AC164" s="5">
        <f>IF(ROW()&lt;=4,"",AVERAGE(Daily_Input!F164:F166))</f>
        <v>153639.13296666666</v>
      </c>
      <c r="AD164" s="5">
        <f>IF(ROW()&lt;=8,"",AVERAGE(Daily_Input!F164:F170))</f>
        <v>147960.46481974283</v>
      </c>
      <c r="AE164" s="5">
        <f>IF(ROW()&lt;=8,"",MAX(Daily_Input!F164:F170))</f>
        <v>160556.59026180004</v>
      </c>
      <c r="AF164" s="5">
        <f>IF(ROW()&lt;=2+0,"",INDEX(Daily_Input!$G:$G,ROW()-1))</f>
        <v>0</v>
      </c>
      <c r="AG164" s="5">
        <f>IF(ROW()&lt;=2+0,"",INDEX(Daily_Input!$H:$H,ROW()-1))</f>
        <v>162847.2046</v>
      </c>
      <c r="AH164" s="5">
        <f>IF(ROW()&lt;=2+1,"",INDEX(Daily_Input!$G:$G,ROW()-2))</f>
        <v>0</v>
      </c>
      <c r="AI164" s="5">
        <f>IF(ROW()&lt;=2+1,"",INDEX(Daily_Input!$H:$H,ROW()-2))</f>
        <v>175224.21580000001</v>
      </c>
      <c r="AJ164" s="5">
        <f>IF(ROW()&lt;=2+2,"",INDEX(Daily_Input!$G:$G,ROW()-3))</f>
        <v>0</v>
      </c>
      <c r="AK164" s="5">
        <f>IF(ROW()&lt;=2+2,"",INDEX(Daily_Input!$H:$H,ROW()-3))</f>
        <v>181043.52470000001</v>
      </c>
    </row>
    <row r="165" spans="1:37">
      <c r="A165" s="5">
        <f>Daily_Input!A165</f>
        <v>46002</v>
      </c>
      <c r="B165" s="5">
        <f>Daily_Input!F165</f>
        <v>144077.8655225999</v>
      </c>
      <c r="C165" s="5">
        <f>Daily_Input!D165</f>
        <v>489.63799999999998</v>
      </c>
      <c r="D165" s="5">
        <f>Daily_Input!E165</f>
        <v>1652616.0060848999</v>
      </c>
      <c r="E165" s="5">
        <f>IF(ROW()=2,"",Daily_Input!E165-Daily_Input!E164)</f>
        <v>-3029.1553774001077</v>
      </c>
      <c r="F165" s="5">
        <f>IFERROR(Daily_Input!E165/Config!$B$4,"")</f>
        <v>1.0167043078718501</v>
      </c>
      <c r="G165" s="5">
        <f>Daily_Input!I165</f>
        <v>0</v>
      </c>
      <c r="H165" s="5">
        <f>IF(A165="","",IF(ROW()=2,G165,Config!$B$5*H164+G165))</f>
        <v>52.072974258970568</v>
      </c>
      <c r="I165" s="5">
        <f t="shared" si="2"/>
        <v>345</v>
      </c>
      <c r="J165" s="5">
        <f>IF(I165="","",SIN(2*PI()*I165/Config!$B$6))</f>
        <v>-0.33752289959411347</v>
      </c>
      <c r="K165" s="5">
        <f>IF(I165="","",COS(2*PI()*I165/Config!$B$6))</f>
        <v>0.94131731751284697</v>
      </c>
      <c r="L165" s="5">
        <f>IF(ROW()&lt;=2+0,"",INDEX(Daily_Input!$F:$F,ROW()-1))</f>
        <v>156282.94311560006</v>
      </c>
      <c r="M165" s="5">
        <f>IF(ROW()&lt;=2+1,"",INDEX(Daily_Input!$F:$F,ROW()-2))</f>
        <v>162847.2046</v>
      </c>
      <c r="N165" s="5">
        <f>IF(ROW()&lt;=2+2,"",INDEX(Daily_Input!$F:$F,ROW()-3))</f>
        <v>175224.21580000001</v>
      </c>
      <c r="O165" s="5">
        <f>IF(ROW()&lt;=2+3,"",INDEX(Daily_Input!$F:$F,ROW()-4))</f>
        <v>178011.30405079998</v>
      </c>
      <c r="P165" s="5">
        <f>IF(ROW()&lt;=2+4,"",INDEX(Daily_Input!$F:$F,ROW()-5))</f>
        <v>194228.53700000001</v>
      </c>
      <c r="Q165" s="5">
        <f>IF(ROW()&lt;=2+5,"",INDEX(Daily_Input!$F:$F,ROW()-6))</f>
        <v>203382.0877</v>
      </c>
      <c r="R165" s="5">
        <f>IF(ROW()&lt;=2+6,"",INDEX(Daily_Input!$F:$F,ROW()-7))</f>
        <v>208270.49933110006</v>
      </c>
      <c r="S165" s="5">
        <f>IF(ROW()&lt;=2+7,"",INDEX(Daily_Input!$F:$F,ROW()-8))</f>
        <v>220749.81959999999</v>
      </c>
      <c r="T165" s="5">
        <f>IF(ROW()&lt;=2+8,"",INDEX(Daily_Input!$F:$F,ROW()-9))</f>
        <v>227983.61859999999</v>
      </c>
      <c r="U165" s="5">
        <f>IF(ROW()&lt;=2+9,"",INDEX(Daily_Input!$F:$F,ROW()-10))</f>
        <v>233896.28084530271</v>
      </c>
      <c r="V165" s="5">
        <f>IF(ROW()&lt;=2+10,"",INDEX(Daily_Input!$F:$F,ROW()-11))</f>
        <v>243890.5024</v>
      </c>
      <c r="W165" s="5">
        <f>IF(ROW()&lt;=2+11,"",INDEX(Daily_Input!$F:$F,ROW()-12))</f>
        <v>251576.49809719989</v>
      </c>
      <c r="X165" s="5">
        <f>IF(ROW()&lt;=2+12,"",INDEX(Daily_Input!$F:$F,ROW()-13))</f>
        <v>271018.3982</v>
      </c>
      <c r="Y165" s="5">
        <f>IF(ROW()&lt;=2+13,"",INDEX(Daily_Input!$F:$F,ROW()-14))</f>
        <v>287840.33389740012</v>
      </c>
      <c r="Z165" s="5">
        <f>IF(ROW()&lt;=4,"",SUM(Daily_Input!I165:I167))</f>
        <v>0</v>
      </c>
      <c r="AA165" s="5">
        <f>IF(ROW()&lt;=8,"",SUM(Daily_Input!I165:I171))</f>
        <v>0</v>
      </c>
      <c r="AB165" s="5">
        <f>IF(ROW()&lt;=15,"",SUM(Daily_Input!I165:I178))</f>
        <v>0</v>
      </c>
      <c r="AC165" s="5">
        <f>IF(ROW()&lt;=4,"",AVERAGE(Daily_Input!F165:F167))</f>
        <v>149112.81160753328</v>
      </c>
      <c r="AD165" s="5">
        <f>IF(ROW()&lt;=8,"",AVERAGE(Daily_Input!F165:F171))</f>
        <v>144911.31876037139</v>
      </c>
      <c r="AE165" s="5">
        <f>IF(ROW()&lt;=8,"",MAX(Daily_Input!F165:F171))</f>
        <v>160556.59026180004</v>
      </c>
      <c r="AF165" s="5">
        <f>IF(ROW()&lt;=2+0,"",INDEX(Daily_Input!$G:$G,ROW()-1))</f>
        <v>0</v>
      </c>
      <c r="AG165" s="5">
        <f>IF(ROW()&lt;=2+0,"",INDEX(Daily_Input!$H:$H,ROW()-1))</f>
        <v>159313.5778</v>
      </c>
      <c r="AH165" s="5">
        <f>IF(ROW()&lt;=2+1,"",INDEX(Daily_Input!$G:$G,ROW()-2))</f>
        <v>0</v>
      </c>
      <c r="AI165" s="5">
        <f>IF(ROW()&lt;=2+1,"",INDEX(Daily_Input!$H:$H,ROW()-2))</f>
        <v>162847.2046</v>
      </c>
      <c r="AJ165" s="5">
        <f>IF(ROW()&lt;=2+2,"",INDEX(Daily_Input!$G:$G,ROW()-3))</f>
        <v>0</v>
      </c>
      <c r="AK165" s="5">
        <f>IF(ROW()&lt;=2+2,"",INDEX(Daily_Input!$H:$H,ROW()-3))</f>
        <v>175224.21580000001</v>
      </c>
    </row>
    <row r="166" spans="1:37">
      <c r="A166" s="5">
        <f>Daily_Input!A166</f>
        <v>46003</v>
      </c>
      <c r="B166" s="5">
        <f>Daily_Input!F166</f>
        <v>160556.59026180004</v>
      </c>
      <c r="C166" s="5">
        <f>Daily_Input!D166</f>
        <v>489.65100000000001</v>
      </c>
      <c r="D166" s="5">
        <f>Daily_Input!E166</f>
        <v>1658675.7961466999</v>
      </c>
      <c r="E166" s="5">
        <f>IF(ROW()=2,"",Daily_Input!E166-Daily_Input!E165)</f>
        <v>6059.7900618000422</v>
      </c>
      <c r="F166" s="5">
        <f>IFERROR(Daily_Input!E166/Config!$B$4,"")</f>
        <v>1.0204323455030642</v>
      </c>
      <c r="G166" s="5">
        <f>Daily_Input!I166</f>
        <v>0</v>
      </c>
      <c r="H166" s="5">
        <f>IF(A166="","",IF(ROW()=2,G166,Config!$B$5*H165+G166))</f>
        <v>49.469325546022034</v>
      </c>
      <c r="I166" s="5">
        <f t="shared" si="2"/>
        <v>346</v>
      </c>
      <c r="J166" s="5">
        <f>IF(I166="","",SIN(2*PI()*I166/Config!$B$6))</f>
        <v>-0.32126966169236515</v>
      </c>
      <c r="K166" s="5">
        <f>IF(I166="","",COS(2*PI()*I166/Config!$B$6))</f>
        <v>0.94698775307607508</v>
      </c>
      <c r="L166" s="5">
        <f>IF(ROW()&lt;=2+0,"",INDEX(Daily_Input!$F:$F,ROW()-1))</f>
        <v>144077.8655225999</v>
      </c>
      <c r="M166" s="5">
        <f>IF(ROW()&lt;=2+1,"",INDEX(Daily_Input!$F:$F,ROW()-2))</f>
        <v>156282.94311560006</v>
      </c>
      <c r="N166" s="5">
        <f>IF(ROW()&lt;=2+2,"",INDEX(Daily_Input!$F:$F,ROW()-3))</f>
        <v>162847.2046</v>
      </c>
      <c r="O166" s="5">
        <f>IF(ROW()&lt;=2+3,"",INDEX(Daily_Input!$F:$F,ROW()-4))</f>
        <v>175224.21580000001</v>
      </c>
      <c r="P166" s="5">
        <f>IF(ROW()&lt;=2+4,"",INDEX(Daily_Input!$F:$F,ROW()-5))</f>
        <v>178011.30405079998</v>
      </c>
      <c r="Q166" s="5">
        <f>IF(ROW()&lt;=2+5,"",INDEX(Daily_Input!$F:$F,ROW()-6))</f>
        <v>194228.53700000001</v>
      </c>
      <c r="R166" s="5">
        <f>IF(ROW()&lt;=2+6,"",INDEX(Daily_Input!$F:$F,ROW()-7))</f>
        <v>203382.0877</v>
      </c>
      <c r="S166" s="5">
        <f>IF(ROW()&lt;=2+7,"",INDEX(Daily_Input!$F:$F,ROW()-8))</f>
        <v>208270.49933110006</v>
      </c>
      <c r="T166" s="5">
        <f>IF(ROW()&lt;=2+8,"",INDEX(Daily_Input!$F:$F,ROW()-9))</f>
        <v>220749.81959999999</v>
      </c>
      <c r="U166" s="5">
        <f>IF(ROW()&lt;=2+9,"",INDEX(Daily_Input!$F:$F,ROW()-10))</f>
        <v>227983.61859999999</v>
      </c>
      <c r="V166" s="5">
        <f>IF(ROW()&lt;=2+10,"",INDEX(Daily_Input!$F:$F,ROW()-11))</f>
        <v>233896.28084530271</v>
      </c>
      <c r="W166" s="5">
        <f>IF(ROW()&lt;=2+11,"",INDEX(Daily_Input!$F:$F,ROW()-12))</f>
        <v>243890.5024</v>
      </c>
      <c r="X166" s="5">
        <f>IF(ROW()&lt;=2+12,"",INDEX(Daily_Input!$F:$F,ROW()-13))</f>
        <v>251576.49809719989</v>
      </c>
      <c r="Y166" s="5">
        <f>IF(ROW()&lt;=2+13,"",INDEX(Daily_Input!$F:$F,ROW()-14))</f>
        <v>271018.3982</v>
      </c>
      <c r="Z166" s="5">
        <f>IF(ROW()&lt;=4,"",SUM(Daily_Input!I166:I168))</f>
        <v>0</v>
      </c>
      <c r="AA166" s="5">
        <f>IF(ROW()&lt;=8,"",SUM(Daily_Input!I166:I172))</f>
        <v>0</v>
      </c>
      <c r="AB166" s="5">
        <f>IF(ROW()&lt;=15,"",SUM(Daily_Input!I166:I179))</f>
        <v>0</v>
      </c>
      <c r="AC166" s="5">
        <f>IF(ROW()&lt;=4,"",AVERAGE(Daily_Input!F166:F168))</f>
        <v>151614.73229246668</v>
      </c>
      <c r="AD166" s="5">
        <f>IF(ROW()&lt;=8,"",AVERAGE(Daily_Input!F166:F172))</f>
        <v>142267.7506142857</v>
      </c>
      <c r="AE166" s="5">
        <f>IF(ROW()&lt;=8,"",MAX(Daily_Input!F166:F172))</f>
        <v>160556.59026180004</v>
      </c>
      <c r="AF166" s="5">
        <f>IF(ROW()&lt;=2+0,"",INDEX(Daily_Input!$G:$G,ROW()-1))</f>
        <v>0</v>
      </c>
      <c r="AG166" s="5">
        <f>IF(ROW()&lt;=2+0,"",INDEX(Daily_Input!$H:$H,ROW()-1))</f>
        <v>147107.0209</v>
      </c>
      <c r="AH166" s="5">
        <f>IF(ROW()&lt;=2+1,"",INDEX(Daily_Input!$G:$G,ROW()-2))</f>
        <v>0</v>
      </c>
      <c r="AI166" s="5">
        <f>IF(ROW()&lt;=2+1,"",INDEX(Daily_Input!$H:$H,ROW()-2))</f>
        <v>159313.5778</v>
      </c>
      <c r="AJ166" s="5">
        <f>IF(ROW()&lt;=2+2,"",INDEX(Daily_Input!$G:$G,ROW()-3))</f>
        <v>0</v>
      </c>
      <c r="AK166" s="5">
        <f>IF(ROW()&lt;=2+2,"",INDEX(Daily_Input!$H:$H,ROW()-3))</f>
        <v>162847.2046</v>
      </c>
    </row>
    <row r="167" spans="1:37">
      <c r="A167" s="5">
        <f>Daily_Input!A167</f>
        <v>46004</v>
      </c>
      <c r="B167" s="5">
        <f>Daily_Input!F167</f>
        <v>142703.97903819996</v>
      </c>
      <c r="C167" s="5">
        <f>Daily_Input!D167</f>
        <v>489.63799999999998</v>
      </c>
      <c r="D167" s="5">
        <f>Daily_Input!E167</f>
        <v>1652616.0060848999</v>
      </c>
      <c r="E167" s="5">
        <f>IF(ROW()=2,"",Daily_Input!E167-Daily_Input!E166)</f>
        <v>-6059.7900618000422</v>
      </c>
      <c r="F167" s="5">
        <f>IFERROR(Daily_Input!E167/Config!$B$4,"")</f>
        <v>1.0167043078718501</v>
      </c>
      <c r="G167" s="5">
        <f>Daily_Input!I167</f>
        <v>0</v>
      </c>
      <c r="H167" s="5">
        <f>IF(A167="","",IF(ROW()=2,G167,Config!$B$5*H166+G167))</f>
        <v>46.995859268720928</v>
      </c>
      <c r="I167" s="5">
        <f t="shared" si="2"/>
        <v>347</v>
      </c>
      <c r="J167" s="5">
        <f>IF(I167="","",SIN(2*PI()*I167/Config!$B$6))</f>
        <v>-0.3049212246562894</v>
      </c>
      <c r="K167" s="5">
        <f>IF(I167="","",COS(2*PI()*I167/Config!$B$6))</f>
        <v>0.95237757573039727</v>
      </c>
      <c r="L167" s="5">
        <f>IF(ROW()&lt;=2+0,"",INDEX(Daily_Input!$F:$F,ROW()-1))</f>
        <v>160556.59026180004</v>
      </c>
      <c r="M167" s="5">
        <f>IF(ROW()&lt;=2+1,"",INDEX(Daily_Input!$F:$F,ROW()-2))</f>
        <v>144077.8655225999</v>
      </c>
      <c r="N167" s="5">
        <f>IF(ROW()&lt;=2+2,"",INDEX(Daily_Input!$F:$F,ROW()-3))</f>
        <v>156282.94311560006</v>
      </c>
      <c r="O167" s="5">
        <f>IF(ROW()&lt;=2+3,"",INDEX(Daily_Input!$F:$F,ROW()-4))</f>
        <v>162847.2046</v>
      </c>
      <c r="P167" s="5">
        <f>IF(ROW()&lt;=2+4,"",INDEX(Daily_Input!$F:$F,ROW()-5))</f>
        <v>175224.21580000001</v>
      </c>
      <c r="Q167" s="5">
        <f>IF(ROW()&lt;=2+5,"",INDEX(Daily_Input!$F:$F,ROW()-6))</f>
        <v>178011.30405079998</v>
      </c>
      <c r="R167" s="5">
        <f>IF(ROW()&lt;=2+6,"",INDEX(Daily_Input!$F:$F,ROW()-7))</f>
        <v>194228.53700000001</v>
      </c>
      <c r="S167" s="5">
        <f>IF(ROW()&lt;=2+7,"",INDEX(Daily_Input!$F:$F,ROW()-8))</f>
        <v>203382.0877</v>
      </c>
      <c r="T167" s="5">
        <f>IF(ROW()&lt;=2+8,"",INDEX(Daily_Input!$F:$F,ROW()-9))</f>
        <v>208270.49933110006</v>
      </c>
      <c r="U167" s="5">
        <f>IF(ROW()&lt;=2+9,"",INDEX(Daily_Input!$F:$F,ROW()-10))</f>
        <v>220749.81959999999</v>
      </c>
      <c r="V167" s="5">
        <f>IF(ROW()&lt;=2+10,"",INDEX(Daily_Input!$F:$F,ROW()-11))</f>
        <v>227983.61859999999</v>
      </c>
      <c r="W167" s="5">
        <f>IF(ROW()&lt;=2+11,"",INDEX(Daily_Input!$F:$F,ROW()-12))</f>
        <v>233896.28084530271</v>
      </c>
      <c r="X167" s="5">
        <f>IF(ROW()&lt;=2+12,"",INDEX(Daily_Input!$F:$F,ROW()-13))</f>
        <v>243890.5024</v>
      </c>
      <c r="Y167" s="5">
        <f>IF(ROW()&lt;=2+13,"",INDEX(Daily_Input!$F:$F,ROW()-14))</f>
        <v>251576.49809719989</v>
      </c>
      <c r="Z167" s="5">
        <f>IF(ROW()&lt;=4,"",SUM(Daily_Input!I167:I169))</f>
        <v>0</v>
      </c>
      <c r="AA167" s="5">
        <f>IF(ROW()&lt;=8,"",SUM(Daily_Input!I167:I173))</f>
        <v>0</v>
      </c>
      <c r="AB167" s="5">
        <f>IF(ROW()&lt;=15,"",SUM(Daily_Input!I167:I180))</f>
        <v>0</v>
      </c>
      <c r="AC167" s="5">
        <f>IF(ROW()&lt;=4,"",AVERAGE(Daily_Input!F167:F169))</f>
        <v>147099.61880520001</v>
      </c>
      <c r="AD167" s="5">
        <f>IF(ROW()&lt;=8,"",AVERAGE(Daily_Input!F167:F173))</f>
        <v>135702.08161328573</v>
      </c>
      <c r="AE167" s="5">
        <f>IF(ROW()&lt;=8,"",MAX(Daily_Input!F167:F173))</f>
        <v>151583.6275774001</v>
      </c>
      <c r="AF167" s="5">
        <f>IF(ROW()&lt;=2+0,"",INDEX(Daily_Input!$G:$G,ROW()-1))</f>
        <v>0</v>
      </c>
      <c r="AG167" s="5">
        <f>IF(ROW()&lt;=2+0,"",INDEX(Daily_Input!$H:$H,ROW()-1))</f>
        <v>154496.8002</v>
      </c>
      <c r="AH167" s="5">
        <f>IF(ROW()&lt;=2+1,"",INDEX(Daily_Input!$G:$G,ROW()-2))</f>
        <v>0</v>
      </c>
      <c r="AI167" s="5">
        <f>IF(ROW()&lt;=2+1,"",INDEX(Daily_Input!$H:$H,ROW()-2))</f>
        <v>147107.0209</v>
      </c>
      <c r="AJ167" s="5">
        <f>IF(ROW()&lt;=2+2,"",INDEX(Daily_Input!$G:$G,ROW()-3))</f>
        <v>0</v>
      </c>
      <c r="AK167" s="5">
        <f>IF(ROW()&lt;=2+2,"",INDEX(Daily_Input!$H:$H,ROW()-3))</f>
        <v>159313.5778</v>
      </c>
    </row>
    <row r="168" spans="1:37">
      <c r="A168" s="5">
        <f>Daily_Input!A168</f>
        <v>46005</v>
      </c>
      <c r="B168" s="5">
        <f>Daily_Input!F168</f>
        <v>151583.6275774001</v>
      </c>
      <c r="C168" s="5">
        <f>Daily_Input!D168</f>
        <v>489.64400000000001</v>
      </c>
      <c r="D168" s="5">
        <f>Daily_Input!E168</f>
        <v>1655645.1614623</v>
      </c>
      <c r="E168" s="5">
        <f>IF(ROW()=2,"",Daily_Input!E168-Daily_Input!E167)</f>
        <v>3029.1553774001077</v>
      </c>
      <c r="F168" s="5">
        <f>IFERROR(Daily_Input!E168/Config!$B$4,"")</f>
        <v>1.018567871645937</v>
      </c>
      <c r="G168" s="5">
        <f>Daily_Input!I168</f>
        <v>0</v>
      </c>
      <c r="H168" s="5">
        <f>IF(A168="","",IF(ROW()=2,G168,Config!$B$5*H167+G168))</f>
        <v>44.646066305284876</v>
      </c>
      <c r="I168" s="5">
        <f t="shared" si="2"/>
        <v>348</v>
      </c>
      <c r="J168" s="5">
        <f>IF(I168="","",SIN(2*PI()*I168/Config!$B$6))</f>
        <v>-0.28848243288060982</v>
      </c>
      <c r="K168" s="5">
        <f>IF(I168="","",COS(2*PI()*I168/Config!$B$6))</f>
        <v>0.95748518835503893</v>
      </c>
      <c r="L168" s="5">
        <f>IF(ROW()&lt;=2+0,"",INDEX(Daily_Input!$F:$F,ROW()-1))</f>
        <v>142703.97903819996</v>
      </c>
      <c r="M168" s="5">
        <f>IF(ROW()&lt;=2+1,"",INDEX(Daily_Input!$F:$F,ROW()-2))</f>
        <v>160556.59026180004</v>
      </c>
      <c r="N168" s="5">
        <f>IF(ROW()&lt;=2+2,"",INDEX(Daily_Input!$F:$F,ROW()-3))</f>
        <v>144077.8655225999</v>
      </c>
      <c r="O168" s="5">
        <f>IF(ROW()&lt;=2+3,"",INDEX(Daily_Input!$F:$F,ROW()-4))</f>
        <v>156282.94311560006</v>
      </c>
      <c r="P168" s="5">
        <f>IF(ROW()&lt;=2+4,"",INDEX(Daily_Input!$F:$F,ROW()-5))</f>
        <v>162847.2046</v>
      </c>
      <c r="Q168" s="5">
        <f>IF(ROW()&lt;=2+5,"",INDEX(Daily_Input!$F:$F,ROW()-6))</f>
        <v>175224.21580000001</v>
      </c>
      <c r="R168" s="5">
        <f>IF(ROW()&lt;=2+6,"",INDEX(Daily_Input!$F:$F,ROW()-7))</f>
        <v>178011.30405079998</v>
      </c>
      <c r="S168" s="5">
        <f>IF(ROW()&lt;=2+7,"",INDEX(Daily_Input!$F:$F,ROW()-8))</f>
        <v>194228.53700000001</v>
      </c>
      <c r="T168" s="5">
        <f>IF(ROW()&lt;=2+8,"",INDEX(Daily_Input!$F:$F,ROW()-9))</f>
        <v>203382.0877</v>
      </c>
      <c r="U168" s="5">
        <f>IF(ROW()&lt;=2+9,"",INDEX(Daily_Input!$F:$F,ROW()-10))</f>
        <v>208270.49933110006</v>
      </c>
      <c r="V168" s="5">
        <f>IF(ROW()&lt;=2+10,"",INDEX(Daily_Input!$F:$F,ROW()-11))</f>
        <v>220749.81959999999</v>
      </c>
      <c r="W168" s="5">
        <f>IF(ROW()&lt;=2+11,"",INDEX(Daily_Input!$F:$F,ROW()-12))</f>
        <v>227983.61859999999</v>
      </c>
      <c r="X168" s="5">
        <f>IF(ROW()&lt;=2+12,"",INDEX(Daily_Input!$F:$F,ROW()-13))</f>
        <v>233896.28084530271</v>
      </c>
      <c r="Y168" s="5">
        <f>IF(ROW()&lt;=2+13,"",INDEX(Daily_Input!$F:$F,ROW()-14))</f>
        <v>243890.5024</v>
      </c>
      <c r="Z168" s="5">
        <f>IF(ROW()&lt;=4,"",SUM(Daily_Input!I168:I170))</f>
        <v>0</v>
      </c>
      <c r="AA168" s="5">
        <f>IF(ROW()&lt;=8,"",SUM(Daily_Input!I168:I174))</f>
        <v>0</v>
      </c>
      <c r="AB168" s="5">
        <f>IF(ROW()&lt;=15,"",SUM(Daily_Input!I168:I181))</f>
        <v>0</v>
      </c>
      <c r="AC168" s="5">
        <f>IF(ROW()&lt;=4,"",AVERAGE(Daily_Input!F168:F170))</f>
        <v>144033.95859999998</v>
      </c>
      <c r="AD168" s="5">
        <f>IF(ROW()&lt;=8,"",AVERAGE(Daily_Input!F168:F174))</f>
        <v>130807.71115068572</v>
      </c>
      <c r="AE168" s="5">
        <f>IF(ROW()&lt;=8,"",MAX(Daily_Input!F168:F174))</f>
        <v>151583.6275774001</v>
      </c>
      <c r="AF168" s="5">
        <f>IF(ROW()&lt;=2+0,"",INDEX(Daily_Input!$G:$G,ROW()-1))</f>
        <v>0</v>
      </c>
      <c r="AG168" s="5">
        <f>IF(ROW()&lt;=2+0,"",INDEX(Daily_Input!$H:$H,ROW()-1))</f>
        <v>148763.7691</v>
      </c>
      <c r="AH168" s="5">
        <f>IF(ROW()&lt;=2+1,"",INDEX(Daily_Input!$G:$G,ROW()-2))</f>
        <v>0</v>
      </c>
      <c r="AI168" s="5">
        <f>IF(ROW()&lt;=2+1,"",INDEX(Daily_Input!$H:$H,ROW()-2))</f>
        <v>154496.8002</v>
      </c>
      <c r="AJ168" s="5">
        <f>IF(ROW()&lt;=2+2,"",INDEX(Daily_Input!$G:$G,ROW()-3))</f>
        <v>0</v>
      </c>
      <c r="AK168" s="5">
        <f>IF(ROW()&lt;=2+2,"",INDEX(Daily_Input!$H:$H,ROW()-3))</f>
        <v>147107.0209</v>
      </c>
    </row>
    <row r="169" spans="1:37">
      <c r="A169" s="5">
        <f>Daily_Input!A169</f>
        <v>46006</v>
      </c>
      <c r="B169" s="5">
        <f>Daily_Input!F169</f>
        <v>147011.24979999999</v>
      </c>
      <c r="C169" s="5">
        <f>Daily_Input!D169</f>
        <v>489.64400000000001</v>
      </c>
      <c r="D169" s="5">
        <f>Daily_Input!E169</f>
        <v>1655645.1614623</v>
      </c>
      <c r="E169" s="5">
        <f>IF(ROW()=2,"",Daily_Input!E169-Daily_Input!E168)</f>
        <v>0</v>
      </c>
      <c r="F169" s="5">
        <f>IFERROR(Daily_Input!E169/Config!$B$4,"")</f>
        <v>1.018567871645937</v>
      </c>
      <c r="G169" s="5">
        <f>Daily_Input!I169</f>
        <v>0</v>
      </c>
      <c r="H169" s="5">
        <f>IF(A169="","",IF(ROW()=2,G169,Config!$B$5*H168+G169))</f>
        <v>42.413762990020629</v>
      </c>
      <c r="I169" s="5">
        <f t="shared" si="2"/>
        <v>349</v>
      </c>
      <c r="J169" s="5">
        <f>IF(I169="","",SIN(2*PI()*I169/Config!$B$6))</f>
        <v>-0.27195815753410524</v>
      </c>
      <c r="K169" s="5">
        <f>IF(I169="","",COS(2*PI()*I169/Config!$B$6))</f>
        <v>0.96230907745414873</v>
      </c>
      <c r="L169" s="5">
        <f>IF(ROW()&lt;=2+0,"",INDEX(Daily_Input!$F:$F,ROW()-1))</f>
        <v>151583.6275774001</v>
      </c>
      <c r="M169" s="5">
        <f>IF(ROW()&lt;=2+1,"",INDEX(Daily_Input!$F:$F,ROW()-2))</f>
        <v>142703.97903819996</v>
      </c>
      <c r="N169" s="5">
        <f>IF(ROW()&lt;=2+2,"",INDEX(Daily_Input!$F:$F,ROW()-3))</f>
        <v>160556.59026180004</v>
      </c>
      <c r="O169" s="5">
        <f>IF(ROW()&lt;=2+3,"",INDEX(Daily_Input!$F:$F,ROW()-4))</f>
        <v>144077.8655225999</v>
      </c>
      <c r="P169" s="5">
        <f>IF(ROW()&lt;=2+4,"",INDEX(Daily_Input!$F:$F,ROW()-5))</f>
        <v>156282.94311560006</v>
      </c>
      <c r="Q169" s="5">
        <f>IF(ROW()&lt;=2+5,"",INDEX(Daily_Input!$F:$F,ROW()-6))</f>
        <v>162847.2046</v>
      </c>
      <c r="R169" s="5">
        <f>IF(ROW()&lt;=2+6,"",INDEX(Daily_Input!$F:$F,ROW()-7))</f>
        <v>175224.21580000001</v>
      </c>
      <c r="S169" s="5">
        <f>IF(ROW()&lt;=2+7,"",INDEX(Daily_Input!$F:$F,ROW()-8))</f>
        <v>178011.30405079998</v>
      </c>
      <c r="T169" s="5">
        <f>IF(ROW()&lt;=2+8,"",INDEX(Daily_Input!$F:$F,ROW()-9))</f>
        <v>194228.53700000001</v>
      </c>
      <c r="U169" s="5">
        <f>IF(ROW()&lt;=2+9,"",INDEX(Daily_Input!$F:$F,ROW()-10))</f>
        <v>203382.0877</v>
      </c>
      <c r="V169" s="5">
        <f>IF(ROW()&lt;=2+10,"",INDEX(Daily_Input!$F:$F,ROW()-11))</f>
        <v>208270.49933110006</v>
      </c>
      <c r="W169" s="5">
        <f>IF(ROW()&lt;=2+11,"",INDEX(Daily_Input!$F:$F,ROW()-12))</f>
        <v>220749.81959999999</v>
      </c>
      <c r="X169" s="5">
        <f>IF(ROW()&lt;=2+12,"",INDEX(Daily_Input!$F:$F,ROW()-13))</f>
        <v>227983.61859999999</v>
      </c>
      <c r="Y169" s="5">
        <f>IF(ROW()&lt;=2+13,"",INDEX(Daily_Input!$F:$F,ROW()-14))</f>
        <v>233896.28084530271</v>
      </c>
      <c r="Z169" s="5">
        <f>IF(ROW()&lt;=4,"",SUM(Daily_Input!I169:I171))</f>
        <v>0</v>
      </c>
      <c r="AA169" s="5">
        <f>IF(ROW()&lt;=8,"",SUM(Daily_Input!I169:I175))</f>
        <v>0</v>
      </c>
      <c r="AB169" s="5">
        <f>IF(ROW()&lt;=15,"",SUM(Daily_Input!I169:I182))</f>
        <v>0</v>
      </c>
      <c r="AC169" s="5">
        <f>IF(ROW()&lt;=4,"",AVERAGE(Daily_Input!F169:F171))</f>
        <v>138485.72297419995</v>
      </c>
      <c r="AD169" s="5">
        <f>IF(ROW()&lt;=8,"",AVERAGE(Daily_Input!F169:F175))</f>
        <v>125046.1049682</v>
      </c>
      <c r="AE169" s="5">
        <f>IF(ROW()&lt;=8,"",MAX(Daily_Input!F169:F175))</f>
        <v>147011.24979999999</v>
      </c>
      <c r="AF169" s="5">
        <f>IF(ROW()&lt;=2+0,"",INDEX(Daily_Input!$G:$G,ROW()-1))</f>
        <v>0</v>
      </c>
      <c r="AG169" s="5">
        <f>IF(ROW()&lt;=2+0,"",INDEX(Daily_Input!$H:$H,ROW()-1))</f>
        <v>148554.47219999999</v>
      </c>
      <c r="AH169" s="5">
        <f>IF(ROW()&lt;=2+1,"",INDEX(Daily_Input!$G:$G,ROW()-2))</f>
        <v>0</v>
      </c>
      <c r="AI169" s="5">
        <f>IF(ROW()&lt;=2+1,"",INDEX(Daily_Input!$H:$H,ROW()-2))</f>
        <v>148763.7691</v>
      </c>
      <c r="AJ169" s="5">
        <f>IF(ROW()&lt;=2+2,"",INDEX(Daily_Input!$G:$G,ROW()-3))</f>
        <v>0</v>
      </c>
      <c r="AK169" s="5">
        <f>IF(ROW()&lt;=2+2,"",INDEX(Daily_Input!$H:$H,ROW()-3))</f>
        <v>154496.8002</v>
      </c>
    </row>
    <row r="170" spans="1:37">
      <c r="A170" s="5">
        <f>Daily_Input!A170</f>
        <v>46007</v>
      </c>
      <c r="B170" s="5">
        <f>Daily_Input!F170</f>
        <v>133506.99842259989</v>
      </c>
      <c r="C170" s="5">
        <f>Daily_Input!D170</f>
        <v>489.63799999999998</v>
      </c>
      <c r="D170" s="5">
        <f>Daily_Input!E170</f>
        <v>1652616.0060848999</v>
      </c>
      <c r="E170" s="5">
        <f>IF(ROW()=2,"",Daily_Input!E170-Daily_Input!E169)</f>
        <v>-3029.1553774001077</v>
      </c>
      <c r="F170" s="5">
        <f>IFERROR(Daily_Input!E170/Config!$B$4,"")</f>
        <v>1.0167043078718501</v>
      </c>
      <c r="G170" s="5">
        <f>Daily_Input!I170</f>
        <v>0</v>
      </c>
      <c r="H170" s="5">
        <f>IF(A170="","",IF(ROW()=2,G170,Config!$B$5*H169+G170))</f>
        <v>40.293074840519594</v>
      </c>
      <c r="I170" s="5">
        <f t="shared" si="2"/>
        <v>350</v>
      </c>
      <c r="J170" s="5">
        <f>IF(I170="","",SIN(2*PI()*I170/Config!$B$6))</f>
        <v>-0.25535329511618809</v>
      </c>
      <c r="K170" s="5">
        <f>IF(I170="","",COS(2*PI()*I170/Config!$B$6))</f>
        <v>0.96684781360527727</v>
      </c>
      <c r="L170" s="5">
        <f>IF(ROW()&lt;=2+0,"",INDEX(Daily_Input!$F:$F,ROW()-1))</f>
        <v>147011.24979999999</v>
      </c>
      <c r="M170" s="5">
        <f>IF(ROW()&lt;=2+1,"",INDEX(Daily_Input!$F:$F,ROW()-2))</f>
        <v>151583.6275774001</v>
      </c>
      <c r="N170" s="5">
        <f>IF(ROW()&lt;=2+2,"",INDEX(Daily_Input!$F:$F,ROW()-3))</f>
        <v>142703.97903819996</v>
      </c>
      <c r="O170" s="5">
        <f>IF(ROW()&lt;=2+3,"",INDEX(Daily_Input!$F:$F,ROW()-4))</f>
        <v>160556.59026180004</v>
      </c>
      <c r="P170" s="5">
        <f>IF(ROW()&lt;=2+4,"",INDEX(Daily_Input!$F:$F,ROW()-5))</f>
        <v>144077.8655225999</v>
      </c>
      <c r="Q170" s="5">
        <f>IF(ROW()&lt;=2+5,"",INDEX(Daily_Input!$F:$F,ROW()-6))</f>
        <v>156282.94311560006</v>
      </c>
      <c r="R170" s="5">
        <f>IF(ROW()&lt;=2+6,"",INDEX(Daily_Input!$F:$F,ROW()-7))</f>
        <v>162847.2046</v>
      </c>
      <c r="S170" s="5">
        <f>IF(ROW()&lt;=2+7,"",INDEX(Daily_Input!$F:$F,ROW()-8))</f>
        <v>175224.21580000001</v>
      </c>
      <c r="T170" s="5">
        <f>IF(ROW()&lt;=2+8,"",INDEX(Daily_Input!$F:$F,ROW()-9))</f>
        <v>178011.30405079998</v>
      </c>
      <c r="U170" s="5">
        <f>IF(ROW()&lt;=2+9,"",INDEX(Daily_Input!$F:$F,ROW()-10))</f>
        <v>194228.53700000001</v>
      </c>
      <c r="V170" s="5">
        <f>IF(ROW()&lt;=2+10,"",INDEX(Daily_Input!$F:$F,ROW()-11))</f>
        <v>203382.0877</v>
      </c>
      <c r="W170" s="5">
        <f>IF(ROW()&lt;=2+11,"",INDEX(Daily_Input!$F:$F,ROW()-12))</f>
        <v>208270.49933110006</v>
      </c>
      <c r="X170" s="5">
        <f>IF(ROW()&lt;=2+12,"",INDEX(Daily_Input!$F:$F,ROW()-13))</f>
        <v>220749.81959999999</v>
      </c>
      <c r="Y170" s="5">
        <f>IF(ROW()&lt;=2+13,"",INDEX(Daily_Input!$F:$F,ROW()-14))</f>
        <v>227983.61859999999</v>
      </c>
      <c r="Z170" s="5">
        <f>IF(ROW()&lt;=4,"",SUM(Daily_Input!I170:I172))</f>
        <v>0</v>
      </c>
      <c r="AA170" s="5">
        <f>IF(ROW()&lt;=8,"",SUM(Daily_Input!I170:I176))</f>
        <v>0</v>
      </c>
      <c r="AB170" s="5">
        <f>IF(ROW()&lt;=15,"",SUM(Daily_Input!I170:I183))</f>
        <v>0</v>
      </c>
      <c r="AC170" s="5">
        <f>IF(ROW()&lt;=4,"",AVERAGE(Daily_Input!F170:F172))</f>
        <v>131339.60254086662</v>
      </c>
      <c r="AD170" s="5">
        <f>IF(ROW()&lt;=8,"",AVERAGE(Daily_Input!F170:F176))</f>
        <v>118925.04982534287</v>
      </c>
      <c r="AE170" s="5">
        <f>IF(ROW()&lt;=8,"",MAX(Daily_Input!F170:F176))</f>
        <v>134938.92069999999</v>
      </c>
      <c r="AF170" s="5">
        <f>IF(ROW()&lt;=2+0,"",INDEX(Daily_Input!$G:$G,ROW()-1))</f>
        <v>0</v>
      </c>
      <c r="AG170" s="5">
        <f>IF(ROW()&lt;=2+0,"",INDEX(Daily_Input!$H:$H,ROW()-1))</f>
        <v>147011.24979999999</v>
      </c>
      <c r="AH170" s="5">
        <f>IF(ROW()&lt;=2+1,"",INDEX(Daily_Input!$G:$G,ROW()-2))</f>
        <v>0</v>
      </c>
      <c r="AI170" s="5">
        <f>IF(ROW()&lt;=2+1,"",INDEX(Daily_Input!$H:$H,ROW()-2))</f>
        <v>148554.47219999999</v>
      </c>
      <c r="AJ170" s="5">
        <f>IF(ROW()&lt;=2+2,"",INDEX(Daily_Input!$G:$G,ROW()-3))</f>
        <v>0</v>
      </c>
      <c r="AK170" s="5">
        <f>IF(ROW()&lt;=2+2,"",INDEX(Daily_Input!$H:$H,ROW()-3))</f>
        <v>148763.7691</v>
      </c>
    </row>
    <row r="171" spans="1:37">
      <c r="A171" s="5">
        <f>Daily_Input!A171</f>
        <v>46008</v>
      </c>
      <c r="B171" s="5">
        <f>Daily_Input!F171</f>
        <v>134938.92069999999</v>
      </c>
      <c r="C171" s="5">
        <f>Daily_Input!D171</f>
        <v>489.63799999999998</v>
      </c>
      <c r="D171" s="5">
        <f>Daily_Input!E171</f>
        <v>1652616.0060848999</v>
      </c>
      <c r="E171" s="5">
        <f>IF(ROW()=2,"",Daily_Input!E171-Daily_Input!E170)</f>
        <v>0</v>
      </c>
      <c r="F171" s="5">
        <f>IFERROR(Daily_Input!E171/Config!$B$4,"")</f>
        <v>1.0167043078718501</v>
      </c>
      <c r="G171" s="5">
        <f>Daily_Input!I171</f>
        <v>0</v>
      </c>
      <c r="H171" s="5">
        <f>IF(A171="","",IF(ROW()=2,G171,Config!$B$5*H170+G171))</f>
        <v>38.27842109849361</v>
      </c>
      <c r="I171" s="5">
        <f t="shared" si="2"/>
        <v>351</v>
      </c>
      <c r="J171" s="5">
        <f>IF(I171="","",SIN(2*PI()*I171/Config!$B$6))</f>
        <v>-0.23867276600594997</v>
      </c>
      <c r="K171" s="5">
        <f>IF(I171="","",COS(2*PI()*I171/Config!$B$6))</f>
        <v>0.97110005188295045</v>
      </c>
      <c r="L171" s="5">
        <f>IF(ROW()&lt;=2+0,"",INDEX(Daily_Input!$F:$F,ROW()-1))</f>
        <v>133506.99842259989</v>
      </c>
      <c r="M171" s="5">
        <f>IF(ROW()&lt;=2+1,"",INDEX(Daily_Input!$F:$F,ROW()-2))</f>
        <v>147011.24979999999</v>
      </c>
      <c r="N171" s="5">
        <f>IF(ROW()&lt;=2+2,"",INDEX(Daily_Input!$F:$F,ROW()-3))</f>
        <v>151583.6275774001</v>
      </c>
      <c r="O171" s="5">
        <f>IF(ROW()&lt;=2+3,"",INDEX(Daily_Input!$F:$F,ROW()-4))</f>
        <v>142703.97903819996</v>
      </c>
      <c r="P171" s="5">
        <f>IF(ROW()&lt;=2+4,"",INDEX(Daily_Input!$F:$F,ROW()-5))</f>
        <v>160556.59026180004</v>
      </c>
      <c r="Q171" s="5">
        <f>IF(ROW()&lt;=2+5,"",INDEX(Daily_Input!$F:$F,ROW()-6))</f>
        <v>144077.8655225999</v>
      </c>
      <c r="R171" s="5">
        <f>IF(ROW()&lt;=2+6,"",INDEX(Daily_Input!$F:$F,ROW()-7))</f>
        <v>156282.94311560006</v>
      </c>
      <c r="S171" s="5">
        <f>IF(ROW()&lt;=2+7,"",INDEX(Daily_Input!$F:$F,ROW()-8))</f>
        <v>162847.2046</v>
      </c>
      <c r="T171" s="5">
        <f>IF(ROW()&lt;=2+8,"",INDEX(Daily_Input!$F:$F,ROW()-9))</f>
        <v>175224.21580000001</v>
      </c>
      <c r="U171" s="5">
        <f>IF(ROW()&lt;=2+9,"",INDEX(Daily_Input!$F:$F,ROW()-10))</f>
        <v>178011.30405079998</v>
      </c>
      <c r="V171" s="5">
        <f>IF(ROW()&lt;=2+10,"",INDEX(Daily_Input!$F:$F,ROW()-11))</f>
        <v>194228.53700000001</v>
      </c>
      <c r="W171" s="5">
        <f>IF(ROW()&lt;=2+11,"",INDEX(Daily_Input!$F:$F,ROW()-12))</f>
        <v>203382.0877</v>
      </c>
      <c r="X171" s="5">
        <f>IF(ROW()&lt;=2+12,"",INDEX(Daily_Input!$F:$F,ROW()-13))</f>
        <v>208270.49933110006</v>
      </c>
      <c r="Y171" s="5">
        <f>IF(ROW()&lt;=2+13,"",INDEX(Daily_Input!$F:$F,ROW()-14))</f>
        <v>220749.81959999999</v>
      </c>
      <c r="Z171" s="5">
        <f>IF(ROW()&lt;=4,"",SUM(Daily_Input!I171:I173))</f>
        <v>0</v>
      </c>
      <c r="AA171" s="5">
        <f>IF(ROW()&lt;=8,"",SUM(Daily_Input!I171:I177))</f>
        <v>0</v>
      </c>
      <c r="AB171" s="5">
        <f>IF(ROW()&lt;=15,"",SUM(Daily_Input!I171:I184))</f>
        <v>0</v>
      </c>
      <c r="AC171" s="5">
        <f>IF(ROW()&lt;=4,"",AVERAGE(Daily_Input!F171:F173))</f>
        <v>125036.23881826668</v>
      </c>
      <c r="AD171" s="5">
        <f>IF(ROW()&lt;=8,"",AVERAGE(Daily_Input!F171:F177))</f>
        <v>113711.67716450003</v>
      </c>
      <c r="AE171" s="5">
        <f>IF(ROW()&lt;=8,"",MAX(Daily_Input!F171:F177))</f>
        <v>134938.92069999999</v>
      </c>
      <c r="AF171" s="5">
        <f>IF(ROW()&lt;=2+0,"",INDEX(Daily_Input!$G:$G,ROW()-1))</f>
        <v>0</v>
      </c>
      <c r="AG171" s="5">
        <f>IF(ROW()&lt;=2+0,"",INDEX(Daily_Input!$H:$H,ROW()-1))</f>
        <v>136536.1538</v>
      </c>
      <c r="AH171" s="5">
        <f>IF(ROW()&lt;=2+1,"",INDEX(Daily_Input!$G:$G,ROW()-2))</f>
        <v>0</v>
      </c>
      <c r="AI171" s="5">
        <f>IF(ROW()&lt;=2+1,"",INDEX(Daily_Input!$H:$H,ROW()-2))</f>
        <v>147011.24979999999</v>
      </c>
      <c r="AJ171" s="5">
        <f>IF(ROW()&lt;=2+2,"",INDEX(Daily_Input!$G:$G,ROW()-3))</f>
        <v>0</v>
      </c>
      <c r="AK171" s="5">
        <f>IF(ROW()&lt;=2+2,"",INDEX(Daily_Input!$H:$H,ROW()-3))</f>
        <v>148554.47219999999</v>
      </c>
    </row>
    <row r="172" spans="1:37">
      <c r="A172" s="5">
        <f>Daily_Input!A172</f>
        <v>46009</v>
      </c>
      <c r="B172" s="5">
        <f>Daily_Input!F172</f>
        <v>125572.8885</v>
      </c>
      <c r="C172" s="5">
        <f>Daily_Input!D172</f>
        <v>489.63099999999997</v>
      </c>
      <c r="D172" s="5">
        <f>Daily_Input!E172</f>
        <v>1652616.0060848999</v>
      </c>
      <c r="E172" s="5">
        <f>IF(ROW()=2,"",Daily_Input!E172-Daily_Input!E171)</f>
        <v>0</v>
      </c>
      <c r="F172" s="5">
        <f>IFERROR(Daily_Input!E172/Config!$B$4,"")</f>
        <v>1.0167043078718501</v>
      </c>
      <c r="G172" s="5">
        <f>Daily_Input!I172</f>
        <v>0</v>
      </c>
      <c r="H172" s="5">
        <f>IF(A172="","",IF(ROW()=2,G172,Config!$B$5*H171+G172))</f>
        <v>36.364500043568924</v>
      </c>
      <c r="I172" s="5">
        <f t="shared" si="2"/>
        <v>352</v>
      </c>
      <c r="J172" s="5">
        <f>IF(I172="","",SIN(2*PI()*I172/Config!$B$6))</f>
        <v>-0.22192151300416674</v>
      </c>
      <c r="K172" s="5">
        <f>IF(I172="","",COS(2*PI()*I172/Config!$B$6))</f>
        <v>0.97506453225719447</v>
      </c>
      <c r="L172" s="5">
        <f>IF(ROW()&lt;=2+0,"",INDEX(Daily_Input!$F:$F,ROW()-1))</f>
        <v>134938.92069999999</v>
      </c>
      <c r="M172" s="5">
        <f>IF(ROW()&lt;=2+1,"",INDEX(Daily_Input!$F:$F,ROW()-2))</f>
        <v>133506.99842259989</v>
      </c>
      <c r="N172" s="5">
        <f>IF(ROW()&lt;=2+2,"",INDEX(Daily_Input!$F:$F,ROW()-3))</f>
        <v>147011.24979999999</v>
      </c>
      <c r="O172" s="5">
        <f>IF(ROW()&lt;=2+3,"",INDEX(Daily_Input!$F:$F,ROW()-4))</f>
        <v>151583.6275774001</v>
      </c>
      <c r="P172" s="5">
        <f>IF(ROW()&lt;=2+4,"",INDEX(Daily_Input!$F:$F,ROW()-5))</f>
        <v>142703.97903819996</v>
      </c>
      <c r="Q172" s="5">
        <f>IF(ROW()&lt;=2+5,"",INDEX(Daily_Input!$F:$F,ROW()-6))</f>
        <v>160556.59026180004</v>
      </c>
      <c r="R172" s="5">
        <f>IF(ROW()&lt;=2+6,"",INDEX(Daily_Input!$F:$F,ROW()-7))</f>
        <v>144077.8655225999</v>
      </c>
      <c r="S172" s="5">
        <f>IF(ROW()&lt;=2+7,"",INDEX(Daily_Input!$F:$F,ROW()-8))</f>
        <v>156282.94311560006</v>
      </c>
      <c r="T172" s="5">
        <f>IF(ROW()&lt;=2+8,"",INDEX(Daily_Input!$F:$F,ROW()-9))</f>
        <v>162847.2046</v>
      </c>
      <c r="U172" s="5">
        <f>IF(ROW()&lt;=2+9,"",INDEX(Daily_Input!$F:$F,ROW()-10))</f>
        <v>175224.21580000001</v>
      </c>
      <c r="V172" s="5">
        <f>IF(ROW()&lt;=2+10,"",INDEX(Daily_Input!$F:$F,ROW()-11))</f>
        <v>178011.30405079998</v>
      </c>
      <c r="W172" s="5">
        <f>IF(ROW()&lt;=2+11,"",INDEX(Daily_Input!$F:$F,ROW()-12))</f>
        <v>194228.53700000001</v>
      </c>
      <c r="X172" s="5">
        <f>IF(ROW()&lt;=2+12,"",INDEX(Daily_Input!$F:$F,ROW()-13))</f>
        <v>203382.0877</v>
      </c>
      <c r="Y172" s="5">
        <f>IF(ROW()&lt;=2+13,"",INDEX(Daily_Input!$F:$F,ROW()-14))</f>
        <v>208270.49933110006</v>
      </c>
      <c r="Z172" s="5">
        <f>IF(ROW()&lt;=4,"",SUM(Daily_Input!I172:I174))</f>
        <v>0</v>
      </c>
      <c r="AA172" s="5">
        <f>IF(ROW()&lt;=8,"",SUM(Daily_Input!I172:I178))</f>
        <v>0</v>
      </c>
      <c r="AB172" s="5">
        <f>IF(ROW()&lt;=15,"",SUM(Daily_Input!I172:I185))</f>
        <v>0</v>
      </c>
      <c r="AC172" s="5">
        <f>IF(ROW()&lt;=4,"",AVERAGE(Daily_Input!F172:F174))</f>
        <v>116204.39385160002</v>
      </c>
      <c r="AD172" s="5">
        <f>IF(ROW()&lt;=8,"",AVERAGE(Daily_Input!F172:F178))</f>
        <v>108250.87030592861</v>
      </c>
      <c r="AE172" s="5">
        <f>IF(ROW()&lt;=8,"",MAX(Daily_Input!F172:F178))</f>
        <v>125572.8885</v>
      </c>
      <c r="AF172" s="5">
        <f>IF(ROW()&lt;=2+0,"",INDEX(Daily_Input!$G:$G,ROW()-1))</f>
        <v>0</v>
      </c>
      <c r="AG172" s="5">
        <f>IF(ROW()&lt;=2+0,"",INDEX(Daily_Input!$H:$H,ROW()-1))</f>
        <v>134938.92069999999</v>
      </c>
      <c r="AH172" s="5">
        <f>IF(ROW()&lt;=2+1,"",INDEX(Daily_Input!$G:$G,ROW()-2))</f>
        <v>0</v>
      </c>
      <c r="AI172" s="5">
        <f>IF(ROW()&lt;=2+1,"",INDEX(Daily_Input!$H:$H,ROW()-2))</f>
        <v>136536.1538</v>
      </c>
      <c r="AJ172" s="5">
        <f>IF(ROW()&lt;=2+2,"",INDEX(Daily_Input!$G:$G,ROW()-3))</f>
        <v>0</v>
      </c>
      <c r="AK172" s="5">
        <f>IF(ROW()&lt;=2+2,"",INDEX(Daily_Input!$H:$H,ROW()-3))</f>
        <v>147011.24979999999</v>
      </c>
    </row>
    <row r="173" spans="1:37">
      <c r="A173" s="5">
        <f>Daily_Input!A173</f>
        <v>46010</v>
      </c>
      <c r="B173" s="5">
        <f>Daily_Input!F173</f>
        <v>114596.90725480005</v>
      </c>
      <c r="C173" s="5">
        <f>Daily_Input!D173</f>
        <v>489.625</v>
      </c>
      <c r="D173" s="5">
        <f>Daily_Input!E173</f>
        <v>1649588.4715396999</v>
      </c>
      <c r="E173" s="5">
        <f>IF(ROW()=2,"",Daily_Input!E173-Daily_Input!E172)</f>
        <v>-3027.5345451999456</v>
      </c>
      <c r="F173" s="5">
        <f>IFERROR(Daily_Input!E173/Config!$B$4,"")</f>
        <v>1.0148417412483863</v>
      </c>
      <c r="G173" s="5">
        <f>Daily_Input!I173</f>
        <v>0</v>
      </c>
      <c r="H173" s="5">
        <f>IF(A173="","",IF(ROW()=2,G173,Config!$B$5*H172+G173))</f>
        <v>34.546275041390473</v>
      </c>
      <c r="I173" s="5">
        <f t="shared" si="2"/>
        <v>353</v>
      </c>
      <c r="J173" s="5">
        <f>IF(I173="","",SIN(2*PI()*I173/Config!$B$6))</f>
        <v>-0.20510449986861926</v>
      </c>
      <c r="K173" s="5">
        <f>IF(I173="","",COS(2*PI()*I173/Config!$B$6))</f>
        <v>0.97874007996691526</v>
      </c>
      <c r="L173" s="5">
        <f>IF(ROW()&lt;=2+0,"",INDEX(Daily_Input!$F:$F,ROW()-1))</f>
        <v>125572.8885</v>
      </c>
      <c r="M173" s="5">
        <f>IF(ROW()&lt;=2+1,"",INDEX(Daily_Input!$F:$F,ROW()-2))</f>
        <v>134938.92069999999</v>
      </c>
      <c r="N173" s="5">
        <f>IF(ROW()&lt;=2+2,"",INDEX(Daily_Input!$F:$F,ROW()-3))</f>
        <v>133506.99842259989</v>
      </c>
      <c r="O173" s="5">
        <f>IF(ROW()&lt;=2+3,"",INDEX(Daily_Input!$F:$F,ROW()-4))</f>
        <v>147011.24979999999</v>
      </c>
      <c r="P173" s="5">
        <f>IF(ROW()&lt;=2+4,"",INDEX(Daily_Input!$F:$F,ROW()-5))</f>
        <v>151583.6275774001</v>
      </c>
      <c r="Q173" s="5">
        <f>IF(ROW()&lt;=2+5,"",INDEX(Daily_Input!$F:$F,ROW()-6))</f>
        <v>142703.97903819996</v>
      </c>
      <c r="R173" s="5">
        <f>IF(ROW()&lt;=2+6,"",INDEX(Daily_Input!$F:$F,ROW()-7))</f>
        <v>160556.59026180004</v>
      </c>
      <c r="S173" s="5">
        <f>IF(ROW()&lt;=2+7,"",INDEX(Daily_Input!$F:$F,ROW()-8))</f>
        <v>144077.8655225999</v>
      </c>
      <c r="T173" s="5">
        <f>IF(ROW()&lt;=2+8,"",INDEX(Daily_Input!$F:$F,ROW()-9))</f>
        <v>156282.94311560006</v>
      </c>
      <c r="U173" s="5">
        <f>IF(ROW()&lt;=2+9,"",INDEX(Daily_Input!$F:$F,ROW()-10))</f>
        <v>162847.2046</v>
      </c>
      <c r="V173" s="5">
        <f>IF(ROW()&lt;=2+10,"",INDEX(Daily_Input!$F:$F,ROW()-11))</f>
        <v>175224.21580000001</v>
      </c>
      <c r="W173" s="5">
        <f>IF(ROW()&lt;=2+11,"",INDEX(Daily_Input!$F:$F,ROW()-12))</f>
        <v>178011.30405079998</v>
      </c>
      <c r="X173" s="5">
        <f>IF(ROW()&lt;=2+12,"",INDEX(Daily_Input!$F:$F,ROW()-13))</f>
        <v>194228.53700000001</v>
      </c>
      <c r="Y173" s="5">
        <f>IF(ROW()&lt;=2+13,"",INDEX(Daily_Input!$F:$F,ROW()-14))</f>
        <v>203382.0877</v>
      </c>
      <c r="Z173" s="5">
        <f>IF(ROW()&lt;=4,"",SUM(Daily_Input!I173:I175))</f>
        <v>0</v>
      </c>
      <c r="AA173" s="5">
        <f>IF(ROW()&lt;=8,"",SUM(Daily_Input!I173:I179))</f>
        <v>0</v>
      </c>
      <c r="AB173" s="5">
        <f>IF(ROW()&lt;=15,"",SUM(Daily_Input!I173:I186))</f>
        <v>0</v>
      </c>
      <c r="AC173" s="5">
        <f>IF(ROW()&lt;=4,"",AVERAGE(Daily_Input!F173:F175))</f>
        <v>111430.89245160001</v>
      </c>
      <c r="AD173" s="5">
        <f>IF(ROW()&lt;=8,"",AVERAGE(Daily_Input!F173:F179))</f>
        <v>104424.06985164287</v>
      </c>
      <c r="AE173" s="5">
        <f>IF(ROW()&lt;=8,"",MAX(Daily_Input!F173:F179))</f>
        <v>114596.90725480005</v>
      </c>
      <c r="AF173" s="5">
        <f>IF(ROW()&lt;=2+0,"",INDEX(Daily_Input!$G:$G,ROW()-1))</f>
        <v>0</v>
      </c>
      <c r="AG173" s="5">
        <f>IF(ROW()&lt;=2+0,"",INDEX(Daily_Input!$H:$H,ROW()-1))</f>
        <v>125572.8885</v>
      </c>
      <c r="AH173" s="5">
        <f>IF(ROW()&lt;=2+1,"",INDEX(Daily_Input!$G:$G,ROW()-2))</f>
        <v>0</v>
      </c>
      <c r="AI173" s="5">
        <f>IF(ROW()&lt;=2+1,"",INDEX(Daily_Input!$H:$H,ROW()-2))</f>
        <v>134938.92069999999</v>
      </c>
      <c r="AJ173" s="5">
        <f>IF(ROW()&lt;=2+2,"",INDEX(Daily_Input!$G:$G,ROW()-3))</f>
        <v>0</v>
      </c>
      <c r="AK173" s="5">
        <f>IF(ROW()&lt;=2+2,"",INDEX(Daily_Input!$H:$H,ROW()-3))</f>
        <v>136536.1538</v>
      </c>
    </row>
    <row r="174" spans="1:37">
      <c r="A174" s="5">
        <f>Daily_Input!A174</f>
        <v>46011</v>
      </c>
      <c r="B174" s="5">
        <f>Daily_Input!F174</f>
        <v>108443.3858</v>
      </c>
      <c r="C174" s="5">
        <f>Daily_Input!D174</f>
        <v>489.625</v>
      </c>
      <c r="D174" s="5">
        <f>Daily_Input!E174</f>
        <v>1649588.4715396999</v>
      </c>
      <c r="E174" s="5">
        <f>IF(ROW()=2,"",Daily_Input!E174-Daily_Input!E173)</f>
        <v>0</v>
      </c>
      <c r="F174" s="5">
        <f>IFERROR(Daily_Input!E174/Config!$B$4,"")</f>
        <v>1.0148417412483863</v>
      </c>
      <c r="G174" s="5">
        <f>Daily_Input!I174</f>
        <v>0</v>
      </c>
      <c r="H174" s="5">
        <f>IF(A174="","",IF(ROW()=2,G174,Config!$B$5*H173+G174))</f>
        <v>32.818961289320946</v>
      </c>
      <c r="I174" s="5">
        <f t="shared" si="2"/>
        <v>354</v>
      </c>
      <c r="J174" s="5">
        <f>IF(I174="","",SIN(2*PI()*I174/Config!$B$6))</f>
        <v>-0.18822670984324391</v>
      </c>
      <c r="K174" s="5">
        <f>IF(I174="","",COS(2*PI()*I174/Config!$B$6))</f>
        <v>0.98212560586800057</v>
      </c>
      <c r="L174" s="5">
        <f>IF(ROW()&lt;=2+0,"",INDEX(Daily_Input!$F:$F,ROW()-1))</f>
        <v>114596.90725480005</v>
      </c>
      <c r="M174" s="5">
        <f>IF(ROW()&lt;=2+1,"",INDEX(Daily_Input!$F:$F,ROW()-2))</f>
        <v>125572.8885</v>
      </c>
      <c r="N174" s="5">
        <f>IF(ROW()&lt;=2+2,"",INDEX(Daily_Input!$F:$F,ROW()-3))</f>
        <v>134938.92069999999</v>
      </c>
      <c r="O174" s="5">
        <f>IF(ROW()&lt;=2+3,"",INDEX(Daily_Input!$F:$F,ROW()-4))</f>
        <v>133506.99842259989</v>
      </c>
      <c r="P174" s="5">
        <f>IF(ROW()&lt;=2+4,"",INDEX(Daily_Input!$F:$F,ROW()-5))</f>
        <v>147011.24979999999</v>
      </c>
      <c r="Q174" s="5">
        <f>IF(ROW()&lt;=2+5,"",INDEX(Daily_Input!$F:$F,ROW()-6))</f>
        <v>151583.6275774001</v>
      </c>
      <c r="R174" s="5">
        <f>IF(ROW()&lt;=2+6,"",INDEX(Daily_Input!$F:$F,ROW()-7))</f>
        <v>142703.97903819996</v>
      </c>
      <c r="S174" s="5">
        <f>IF(ROW()&lt;=2+7,"",INDEX(Daily_Input!$F:$F,ROW()-8))</f>
        <v>160556.59026180004</v>
      </c>
      <c r="T174" s="5">
        <f>IF(ROW()&lt;=2+8,"",INDEX(Daily_Input!$F:$F,ROW()-9))</f>
        <v>144077.8655225999</v>
      </c>
      <c r="U174" s="5">
        <f>IF(ROW()&lt;=2+9,"",INDEX(Daily_Input!$F:$F,ROW()-10))</f>
        <v>156282.94311560006</v>
      </c>
      <c r="V174" s="5">
        <f>IF(ROW()&lt;=2+10,"",INDEX(Daily_Input!$F:$F,ROW()-11))</f>
        <v>162847.2046</v>
      </c>
      <c r="W174" s="5">
        <f>IF(ROW()&lt;=2+11,"",INDEX(Daily_Input!$F:$F,ROW()-12))</f>
        <v>175224.21580000001</v>
      </c>
      <c r="X174" s="5">
        <f>IF(ROW()&lt;=2+12,"",INDEX(Daily_Input!$F:$F,ROW()-13))</f>
        <v>178011.30405079998</v>
      </c>
      <c r="Y174" s="5">
        <f>IF(ROW()&lt;=2+13,"",INDEX(Daily_Input!$F:$F,ROW()-14))</f>
        <v>194228.53700000001</v>
      </c>
      <c r="Z174" s="5">
        <f>IF(ROW()&lt;=4,"",SUM(Daily_Input!I174:I176))</f>
        <v>0</v>
      </c>
      <c r="AA174" s="5">
        <f>IF(ROW()&lt;=8,"",SUM(Daily_Input!I174:I180))</f>
        <v>0</v>
      </c>
      <c r="AB174" s="5">
        <f>IF(ROW()&lt;=15,"",SUM(Daily_Input!I174:I187))</f>
        <v>0</v>
      </c>
      <c r="AC174" s="5">
        <f>IF(ROW()&lt;=4,"",AVERAGE(Daily_Input!F174:F176))</f>
        <v>107953.21130000001</v>
      </c>
      <c r="AD174" s="5">
        <f>IF(ROW()&lt;=8,"",AVERAGE(Daily_Input!F174:F180))</f>
        <v>101966.36153381431</v>
      </c>
      <c r="AE174" s="5">
        <f>IF(ROW()&lt;=8,"",MAX(Daily_Input!F174:F180))</f>
        <v>111252.38430000001</v>
      </c>
      <c r="AF174" s="5">
        <f>IF(ROW()&lt;=2+0,"",INDEX(Daily_Input!$G:$G,ROW()-1))</f>
        <v>0</v>
      </c>
      <c r="AG174" s="5">
        <f>IF(ROW()&lt;=2+0,"",INDEX(Daily_Input!$H:$H,ROW()-1))</f>
        <v>117624.4418</v>
      </c>
      <c r="AH174" s="5">
        <f>IF(ROW()&lt;=2+1,"",INDEX(Daily_Input!$G:$G,ROW()-2))</f>
        <v>0</v>
      </c>
      <c r="AI174" s="5">
        <f>IF(ROW()&lt;=2+1,"",INDEX(Daily_Input!$H:$H,ROW()-2))</f>
        <v>125572.8885</v>
      </c>
      <c r="AJ174" s="5">
        <f>IF(ROW()&lt;=2+2,"",INDEX(Daily_Input!$G:$G,ROW()-3))</f>
        <v>0</v>
      </c>
      <c r="AK174" s="5">
        <f>IF(ROW()&lt;=2+2,"",INDEX(Daily_Input!$H:$H,ROW()-3))</f>
        <v>134938.92069999999</v>
      </c>
    </row>
    <row r="175" spans="1:37">
      <c r="A175" s="5">
        <f>Daily_Input!A175</f>
        <v>46012</v>
      </c>
      <c r="B175" s="5">
        <f>Daily_Input!F175</f>
        <v>111252.38430000001</v>
      </c>
      <c r="C175" s="5">
        <f>Daily_Input!D175</f>
        <v>489.625</v>
      </c>
      <c r="D175" s="5">
        <f>Daily_Input!E175</f>
        <v>1649588.4715396999</v>
      </c>
      <c r="E175" s="5">
        <f>IF(ROW()=2,"",Daily_Input!E175-Daily_Input!E174)</f>
        <v>0</v>
      </c>
      <c r="F175" s="5">
        <f>IFERROR(Daily_Input!E175/Config!$B$4,"")</f>
        <v>1.0148417412483863</v>
      </c>
      <c r="G175" s="5">
        <f>Daily_Input!I175</f>
        <v>0</v>
      </c>
      <c r="H175" s="5">
        <f>IF(A175="","",IF(ROW()=2,G175,Config!$B$5*H174+G175))</f>
        <v>31.178013224854897</v>
      </c>
      <c r="I175" s="5">
        <f t="shared" si="2"/>
        <v>355</v>
      </c>
      <c r="J175" s="5">
        <f>IF(I175="","",SIN(2*PI()*I175/Config!$B$6))</f>
        <v>-0.17129314418147781</v>
      </c>
      <c r="K175" s="5">
        <f>IF(I175="","",COS(2*PI()*I175/Config!$B$6))</f>
        <v>0.98522010675606064</v>
      </c>
      <c r="L175" s="5">
        <f>IF(ROW()&lt;=2+0,"",INDEX(Daily_Input!$F:$F,ROW()-1))</f>
        <v>108443.3858</v>
      </c>
      <c r="M175" s="5">
        <f>IF(ROW()&lt;=2+1,"",INDEX(Daily_Input!$F:$F,ROW()-2))</f>
        <v>114596.90725480005</v>
      </c>
      <c r="N175" s="5">
        <f>IF(ROW()&lt;=2+2,"",INDEX(Daily_Input!$F:$F,ROW()-3))</f>
        <v>125572.8885</v>
      </c>
      <c r="O175" s="5">
        <f>IF(ROW()&lt;=2+3,"",INDEX(Daily_Input!$F:$F,ROW()-4))</f>
        <v>134938.92069999999</v>
      </c>
      <c r="P175" s="5">
        <f>IF(ROW()&lt;=2+4,"",INDEX(Daily_Input!$F:$F,ROW()-5))</f>
        <v>133506.99842259989</v>
      </c>
      <c r="Q175" s="5">
        <f>IF(ROW()&lt;=2+5,"",INDEX(Daily_Input!$F:$F,ROW()-6))</f>
        <v>147011.24979999999</v>
      </c>
      <c r="R175" s="5">
        <f>IF(ROW()&lt;=2+6,"",INDEX(Daily_Input!$F:$F,ROW()-7))</f>
        <v>151583.6275774001</v>
      </c>
      <c r="S175" s="5">
        <f>IF(ROW()&lt;=2+7,"",INDEX(Daily_Input!$F:$F,ROW()-8))</f>
        <v>142703.97903819996</v>
      </c>
      <c r="T175" s="5">
        <f>IF(ROW()&lt;=2+8,"",INDEX(Daily_Input!$F:$F,ROW()-9))</f>
        <v>160556.59026180004</v>
      </c>
      <c r="U175" s="5">
        <f>IF(ROW()&lt;=2+9,"",INDEX(Daily_Input!$F:$F,ROW()-10))</f>
        <v>144077.8655225999</v>
      </c>
      <c r="V175" s="5">
        <f>IF(ROW()&lt;=2+10,"",INDEX(Daily_Input!$F:$F,ROW()-11))</f>
        <v>156282.94311560006</v>
      </c>
      <c r="W175" s="5">
        <f>IF(ROW()&lt;=2+11,"",INDEX(Daily_Input!$F:$F,ROW()-12))</f>
        <v>162847.2046</v>
      </c>
      <c r="X175" s="5">
        <f>IF(ROW()&lt;=2+12,"",INDEX(Daily_Input!$F:$F,ROW()-13))</f>
        <v>175224.21580000001</v>
      </c>
      <c r="Y175" s="5">
        <f>IF(ROW()&lt;=2+13,"",INDEX(Daily_Input!$F:$F,ROW()-14))</f>
        <v>178011.30405079998</v>
      </c>
      <c r="Z175" s="5">
        <f>IF(ROW()&lt;=4,"",SUM(Daily_Input!I175:I177))</f>
        <v>0</v>
      </c>
      <c r="AA175" s="5">
        <f>IF(ROW()&lt;=8,"",SUM(Daily_Input!I175:I181))</f>
        <v>0</v>
      </c>
      <c r="AB175" s="5">
        <f>IF(ROW()&lt;=15,"",SUM(Daily_Input!I175:I188))</f>
        <v>0</v>
      </c>
      <c r="AC175" s="5">
        <f>IF(ROW()&lt;=4,"",AVERAGE(Daily_Input!F175:F177))</f>
        <v>104143.21263223338</v>
      </c>
      <c r="AD175" s="5">
        <f>IF(ROW()&lt;=8,"",AVERAGE(Daily_Input!F175:F181))</f>
        <v>99406.895872385736</v>
      </c>
      <c r="AE175" s="5">
        <f>IF(ROW()&lt;=8,"",MAX(Daily_Input!F175:F181))</f>
        <v>111252.38430000001</v>
      </c>
      <c r="AF175" s="5">
        <f>IF(ROW()&lt;=2+0,"",INDEX(Daily_Input!$G:$G,ROW()-1))</f>
        <v>0</v>
      </c>
      <c r="AG175" s="5">
        <f>IF(ROW()&lt;=2+0,"",INDEX(Daily_Input!$H:$H,ROW()-1))</f>
        <v>108443.3858</v>
      </c>
      <c r="AH175" s="5">
        <f>IF(ROW()&lt;=2+1,"",INDEX(Daily_Input!$G:$G,ROW()-2))</f>
        <v>0</v>
      </c>
      <c r="AI175" s="5">
        <f>IF(ROW()&lt;=2+1,"",INDEX(Daily_Input!$H:$H,ROW()-2))</f>
        <v>117624.4418</v>
      </c>
      <c r="AJ175" s="5">
        <f>IF(ROW()&lt;=2+2,"",INDEX(Daily_Input!$G:$G,ROW()-3))</f>
        <v>0</v>
      </c>
      <c r="AK175" s="5">
        <f>IF(ROW()&lt;=2+2,"",INDEX(Daily_Input!$H:$H,ROW()-3))</f>
        <v>125572.8885</v>
      </c>
    </row>
    <row r="176" spans="1:37">
      <c r="A176" s="5">
        <f>Daily_Input!A176</f>
        <v>46013</v>
      </c>
      <c r="B176" s="5">
        <f>Daily_Input!F176</f>
        <v>104163.86380000001</v>
      </c>
      <c r="C176" s="5">
        <f>Daily_Input!D176</f>
        <v>489.625</v>
      </c>
      <c r="D176" s="5">
        <f>Daily_Input!E176</f>
        <v>1649588.4715396999</v>
      </c>
      <c r="E176" s="5">
        <f>IF(ROW()=2,"",Daily_Input!E176-Daily_Input!E175)</f>
        <v>0</v>
      </c>
      <c r="F176" s="5">
        <f>IFERROR(Daily_Input!E176/Config!$B$4,"")</f>
        <v>1.0148417412483863</v>
      </c>
      <c r="G176" s="5">
        <f>Daily_Input!I176</f>
        <v>0</v>
      </c>
      <c r="H176" s="5">
        <f>IF(A176="","",IF(ROW()=2,G176,Config!$B$5*H175+G176))</f>
        <v>29.619112563612152</v>
      </c>
      <c r="I176" s="5">
        <f t="shared" si="2"/>
        <v>356</v>
      </c>
      <c r="J176" s="5">
        <f>IF(I176="","",SIN(2*PI()*I176/Config!$B$6))</f>
        <v>-0.154308820664281</v>
      </c>
      <c r="K176" s="5">
        <f>IF(I176="","",COS(2*PI()*I176/Config!$B$6))</f>
        <v>0.98802266566369756</v>
      </c>
      <c r="L176" s="5">
        <f>IF(ROW()&lt;=2+0,"",INDEX(Daily_Input!$F:$F,ROW()-1))</f>
        <v>111252.38430000001</v>
      </c>
      <c r="M176" s="5">
        <f>IF(ROW()&lt;=2+1,"",INDEX(Daily_Input!$F:$F,ROW()-2))</f>
        <v>108443.3858</v>
      </c>
      <c r="N176" s="5">
        <f>IF(ROW()&lt;=2+2,"",INDEX(Daily_Input!$F:$F,ROW()-3))</f>
        <v>114596.90725480005</v>
      </c>
      <c r="O176" s="5">
        <f>IF(ROW()&lt;=2+3,"",INDEX(Daily_Input!$F:$F,ROW()-4))</f>
        <v>125572.8885</v>
      </c>
      <c r="P176" s="5">
        <f>IF(ROW()&lt;=2+4,"",INDEX(Daily_Input!$F:$F,ROW()-5))</f>
        <v>134938.92069999999</v>
      </c>
      <c r="Q176" s="5">
        <f>IF(ROW()&lt;=2+5,"",INDEX(Daily_Input!$F:$F,ROW()-6))</f>
        <v>133506.99842259989</v>
      </c>
      <c r="R176" s="5">
        <f>IF(ROW()&lt;=2+6,"",INDEX(Daily_Input!$F:$F,ROW()-7))</f>
        <v>147011.24979999999</v>
      </c>
      <c r="S176" s="5">
        <f>IF(ROW()&lt;=2+7,"",INDEX(Daily_Input!$F:$F,ROW()-8))</f>
        <v>151583.6275774001</v>
      </c>
      <c r="T176" s="5">
        <f>IF(ROW()&lt;=2+8,"",INDEX(Daily_Input!$F:$F,ROW()-9))</f>
        <v>142703.97903819996</v>
      </c>
      <c r="U176" s="5">
        <f>IF(ROW()&lt;=2+9,"",INDEX(Daily_Input!$F:$F,ROW()-10))</f>
        <v>160556.59026180004</v>
      </c>
      <c r="V176" s="5">
        <f>IF(ROW()&lt;=2+10,"",INDEX(Daily_Input!$F:$F,ROW()-11))</f>
        <v>144077.8655225999</v>
      </c>
      <c r="W176" s="5">
        <f>IF(ROW()&lt;=2+11,"",INDEX(Daily_Input!$F:$F,ROW()-12))</f>
        <v>156282.94311560006</v>
      </c>
      <c r="X176" s="5">
        <f>IF(ROW()&lt;=2+12,"",INDEX(Daily_Input!$F:$F,ROW()-13))</f>
        <v>162847.2046</v>
      </c>
      <c r="Y176" s="5">
        <f>IF(ROW()&lt;=2+13,"",INDEX(Daily_Input!$F:$F,ROW()-14))</f>
        <v>175224.21580000001</v>
      </c>
      <c r="Z176" s="5">
        <f>IF(ROW()&lt;=4,"",SUM(Daily_Input!I176:I178))</f>
        <v>0</v>
      </c>
      <c r="AA176" s="5">
        <f>IF(ROW()&lt;=8,"",SUM(Daily_Input!I176:I182))</f>
        <v>0</v>
      </c>
      <c r="AB176" s="5">
        <f>IF(ROW()&lt;=15,"",SUM(Daily_Input!I176:I189))</f>
        <v>0</v>
      </c>
      <c r="AC176" s="5">
        <f>IF(ROW()&lt;=4,"",AVERAGE(Daily_Input!F176:F178))</f>
        <v>99296.842095566695</v>
      </c>
      <c r="AD176" s="5">
        <f>IF(ROW()&lt;=8,"",AVERAGE(Daily_Input!F176:F182))</f>
        <v>95407.73210667145</v>
      </c>
      <c r="AE176" s="5">
        <f>IF(ROW()&lt;=8,"",MAX(Daily_Input!F176:F182))</f>
        <v>104163.86380000001</v>
      </c>
      <c r="AF176" s="5">
        <f>IF(ROW()&lt;=2+0,"",INDEX(Daily_Input!$G:$G,ROW()-1))</f>
        <v>0</v>
      </c>
      <c r="AG176" s="5">
        <f>IF(ROW()&lt;=2+0,"",INDEX(Daily_Input!$H:$H,ROW()-1))</f>
        <v>111252.38430000001</v>
      </c>
      <c r="AH176" s="5">
        <f>IF(ROW()&lt;=2+1,"",INDEX(Daily_Input!$G:$G,ROW()-2))</f>
        <v>0</v>
      </c>
      <c r="AI176" s="5">
        <f>IF(ROW()&lt;=2+1,"",INDEX(Daily_Input!$H:$H,ROW()-2))</f>
        <v>108443.3858</v>
      </c>
      <c r="AJ176" s="5">
        <f>IF(ROW()&lt;=2+2,"",INDEX(Daily_Input!$G:$G,ROW()-3))</f>
        <v>0</v>
      </c>
      <c r="AK176" s="5">
        <f>IF(ROW()&lt;=2+2,"",INDEX(Daily_Input!$H:$H,ROW()-3))</f>
        <v>117624.4418</v>
      </c>
    </row>
    <row r="177" spans="1:37">
      <c r="A177" s="5">
        <f>Daily_Input!A177</f>
        <v>46014</v>
      </c>
      <c r="B177" s="5">
        <f>Daily_Input!F177</f>
        <v>97013.389796700081</v>
      </c>
      <c r="C177" s="5">
        <f>Daily_Input!D177</f>
        <v>489.61799999999999</v>
      </c>
      <c r="D177" s="5">
        <f>Daily_Input!E177</f>
        <v>1646562.4785364</v>
      </c>
      <c r="E177" s="5">
        <f>IF(ROW()=2,"",Daily_Input!E177-Daily_Input!E176)</f>
        <v>-3025.9930032999255</v>
      </c>
      <c r="F177" s="5">
        <f>IFERROR(Daily_Input!E177/Config!$B$4,"")</f>
        <v>1.0129801229954363</v>
      </c>
      <c r="G177" s="5">
        <f>Daily_Input!I177</f>
        <v>0</v>
      </c>
      <c r="H177" s="5">
        <f>IF(A177="","",IF(ROW()=2,G177,Config!$B$5*H176+G177))</f>
        <v>28.138156935431542</v>
      </c>
      <c r="I177" s="5">
        <f t="shared" si="2"/>
        <v>357</v>
      </c>
      <c r="J177" s="5">
        <f>IF(I177="","",SIN(2*PI()*I177/Config!$B$6))</f>
        <v>-0.13727877211326517</v>
      </c>
      <c r="K177" s="5">
        <f>IF(I177="","",COS(2*PI()*I177/Config!$B$6))</f>
        <v>0.99053245213222274</v>
      </c>
      <c r="L177" s="5">
        <f>IF(ROW()&lt;=2+0,"",INDEX(Daily_Input!$F:$F,ROW()-1))</f>
        <v>104163.86380000001</v>
      </c>
      <c r="M177" s="5">
        <f>IF(ROW()&lt;=2+1,"",INDEX(Daily_Input!$F:$F,ROW()-2))</f>
        <v>111252.38430000001</v>
      </c>
      <c r="N177" s="5">
        <f>IF(ROW()&lt;=2+2,"",INDEX(Daily_Input!$F:$F,ROW()-3))</f>
        <v>108443.3858</v>
      </c>
      <c r="O177" s="5">
        <f>IF(ROW()&lt;=2+3,"",INDEX(Daily_Input!$F:$F,ROW()-4))</f>
        <v>114596.90725480005</v>
      </c>
      <c r="P177" s="5">
        <f>IF(ROW()&lt;=2+4,"",INDEX(Daily_Input!$F:$F,ROW()-5))</f>
        <v>125572.8885</v>
      </c>
      <c r="Q177" s="5">
        <f>IF(ROW()&lt;=2+5,"",INDEX(Daily_Input!$F:$F,ROW()-6))</f>
        <v>134938.92069999999</v>
      </c>
      <c r="R177" s="5">
        <f>IF(ROW()&lt;=2+6,"",INDEX(Daily_Input!$F:$F,ROW()-7))</f>
        <v>133506.99842259989</v>
      </c>
      <c r="S177" s="5">
        <f>IF(ROW()&lt;=2+7,"",INDEX(Daily_Input!$F:$F,ROW()-8))</f>
        <v>147011.24979999999</v>
      </c>
      <c r="T177" s="5">
        <f>IF(ROW()&lt;=2+8,"",INDEX(Daily_Input!$F:$F,ROW()-9))</f>
        <v>151583.6275774001</v>
      </c>
      <c r="U177" s="5">
        <f>IF(ROW()&lt;=2+9,"",INDEX(Daily_Input!$F:$F,ROW()-10))</f>
        <v>142703.97903819996</v>
      </c>
      <c r="V177" s="5">
        <f>IF(ROW()&lt;=2+10,"",INDEX(Daily_Input!$F:$F,ROW()-11))</f>
        <v>160556.59026180004</v>
      </c>
      <c r="W177" s="5">
        <f>IF(ROW()&lt;=2+11,"",INDEX(Daily_Input!$F:$F,ROW()-12))</f>
        <v>144077.8655225999</v>
      </c>
      <c r="X177" s="5">
        <f>IF(ROW()&lt;=2+12,"",INDEX(Daily_Input!$F:$F,ROW()-13))</f>
        <v>156282.94311560006</v>
      </c>
      <c r="Y177" s="5">
        <f>IF(ROW()&lt;=2+13,"",INDEX(Daily_Input!$F:$F,ROW()-14))</f>
        <v>162847.2046</v>
      </c>
      <c r="Z177" s="5">
        <f>IF(ROW()&lt;=4,"",SUM(Daily_Input!I177:I179))</f>
        <v>0</v>
      </c>
      <c r="AA177" s="5">
        <f>IF(ROW()&lt;=8,"",SUM(Daily_Input!I177:I183))</f>
        <v>0</v>
      </c>
      <c r="AB177" s="5">
        <f>IF(ROW()&lt;=15,"",SUM(Daily_Input!I177:I190))</f>
        <v>0</v>
      </c>
      <c r="AC177" s="5">
        <f>IF(ROW()&lt;=4,"",AVERAGE(Daily_Input!F177:F179))</f>
        <v>97503.982602233358</v>
      </c>
      <c r="AD177" s="5">
        <f>IF(ROW()&lt;=8,"",AVERAGE(Daily_Input!F177:F183))</f>
        <v>91364.21175814289</v>
      </c>
      <c r="AE177" s="5">
        <f>IF(ROW()&lt;=8,"",MAX(Daily_Input!F177:F183))</f>
        <v>98785.285319999995</v>
      </c>
      <c r="AF177" s="5">
        <f>IF(ROW()&lt;=2+0,"",INDEX(Daily_Input!$G:$G,ROW()-1))</f>
        <v>0</v>
      </c>
      <c r="AG177" s="5">
        <f>IF(ROW()&lt;=2+0,"",INDEX(Daily_Input!$H:$H,ROW()-1))</f>
        <v>104163.86380000001</v>
      </c>
      <c r="AH177" s="5">
        <f>IF(ROW()&lt;=2+1,"",INDEX(Daily_Input!$G:$G,ROW()-2))</f>
        <v>0</v>
      </c>
      <c r="AI177" s="5">
        <f>IF(ROW()&lt;=2+1,"",INDEX(Daily_Input!$H:$H,ROW()-2))</f>
        <v>111252.38430000001</v>
      </c>
      <c r="AJ177" s="5">
        <f>IF(ROW()&lt;=2+2,"",INDEX(Daily_Input!$G:$G,ROW()-3))</f>
        <v>0</v>
      </c>
      <c r="AK177" s="5">
        <f>IF(ROW()&lt;=2+2,"",INDEX(Daily_Input!$H:$H,ROW()-3))</f>
        <v>108443.3858</v>
      </c>
    </row>
    <row r="178" spans="1:37">
      <c r="A178" s="5">
        <f>Daily_Input!A178</f>
        <v>46015</v>
      </c>
      <c r="B178" s="5">
        <f>Daily_Input!F178</f>
        <v>96713.272689999998</v>
      </c>
      <c r="C178" s="5">
        <f>Daily_Input!D178</f>
        <v>489.61799999999999</v>
      </c>
      <c r="D178" s="5">
        <f>Daily_Input!E178</f>
        <v>1646562.4785364</v>
      </c>
      <c r="E178" s="5">
        <f>IF(ROW()=2,"",Daily_Input!E178-Daily_Input!E177)</f>
        <v>0</v>
      </c>
      <c r="F178" s="5">
        <f>IFERROR(Daily_Input!E178/Config!$B$4,"")</f>
        <v>1.0129801229954363</v>
      </c>
      <c r="G178" s="5">
        <f>Daily_Input!I178</f>
        <v>0</v>
      </c>
      <c r="H178" s="5">
        <f>IF(A178="","",IF(ROW()=2,G178,Config!$B$5*H177+G178))</f>
        <v>26.731249088659965</v>
      </c>
      <c r="I178" s="5">
        <f t="shared" si="2"/>
        <v>358</v>
      </c>
      <c r="J178" s="5">
        <f>IF(I178="","",SIN(2*PI()*I178/Config!$B$6))</f>
        <v>-0.12020804489935275</v>
      </c>
      <c r="K178" s="5">
        <f>IF(I178="","",COS(2*PI()*I178/Config!$B$6))</f>
        <v>0.99274872245774015</v>
      </c>
      <c r="L178" s="5">
        <f>IF(ROW()&lt;=2+0,"",INDEX(Daily_Input!$F:$F,ROW()-1))</f>
        <v>97013.389796700081</v>
      </c>
      <c r="M178" s="5">
        <f>IF(ROW()&lt;=2+1,"",INDEX(Daily_Input!$F:$F,ROW()-2))</f>
        <v>104163.86380000001</v>
      </c>
      <c r="N178" s="5">
        <f>IF(ROW()&lt;=2+2,"",INDEX(Daily_Input!$F:$F,ROW()-3))</f>
        <v>111252.38430000001</v>
      </c>
      <c r="O178" s="5">
        <f>IF(ROW()&lt;=2+3,"",INDEX(Daily_Input!$F:$F,ROW()-4))</f>
        <v>108443.3858</v>
      </c>
      <c r="P178" s="5">
        <f>IF(ROW()&lt;=2+4,"",INDEX(Daily_Input!$F:$F,ROW()-5))</f>
        <v>114596.90725480005</v>
      </c>
      <c r="Q178" s="5">
        <f>IF(ROW()&lt;=2+5,"",INDEX(Daily_Input!$F:$F,ROW()-6))</f>
        <v>125572.8885</v>
      </c>
      <c r="R178" s="5">
        <f>IF(ROW()&lt;=2+6,"",INDEX(Daily_Input!$F:$F,ROW()-7))</f>
        <v>134938.92069999999</v>
      </c>
      <c r="S178" s="5">
        <f>IF(ROW()&lt;=2+7,"",INDEX(Daily_Input!$F:$F,ROW()-8))</f>
        <v>133506.99842259989</v>
      </c>
      <c r="T178" s="5">
        <f>IF(ROW()&lt;=2+8,"",INDEX(Daily_Input!$F:$F,ROW()-9))</f>
        <v>147011.24979999999</v>
      </c>
      <c r="U178" s="5">
        <f>IF(ROW()&lt;=2+9,"",INDEX(Daily_Input!$F:$F,ROW()-10))</f>
        <v>151583.6275774001</v>
      </c>
      <c r="V178" s="5">
        <f>IF(ROW()&lt;=2+10,"",INDEX(Daily_Input!$F:$F,ROW()-11))</f>
        <v>142703.97903819996</v>
      </c>
      <c r="W178" s="5">
        <f>IF(ROW()&lt;=2+11,"",INDEX(Daily_Input!$F:$F,ROW()-12))</f>
        <v>160556.59026180004</v>
      </c>
      <c r="X178" s="5">
        <f>IF(ROW()&lt;=2+12,"",INDEX(Daily_Input!$F:$F,ROW()-13))</f>
        <v>144077.8655225999</v>
      </c>
      <c r="Y178" s="5">
        <f>IF(ROW()&lt;=2+13,"",INDEX(Daily_Input!$F:$F,ROW()-14))</f>
        <v>156282.94311560006</v>
      </c>
      <c r="Z178" s="5">
        <f>IF(ROW()&lt;=4,"",SUM(Daily_Input!I178:I180))</f>
        <v>0</v>
      </c>
      <c r="AA178" s="5">
        <f>IF(ROW()&lt;=8,"",SUM(Daily_Input!I178:I184))</f>
        <v>0</v>
      </c>
      <c r="AB178" s="5">
        <f>IF(ROW()&lt;=15,"",SUM(Daily_Input!I178:I191))</f>
        <v>0</v>
      </c>
      <c r="AC178" s="5">
        <f>IF(ROW()&lt;=4,"",AVERAGE(Daily_Input!F178:F180))</f>
        <v>97630.502346666661</v>
      </c>
      <c r="AD178" s="5">
        <f>IF(ROW()&lt;=8,"",AVERAGE(Daily_Input!F178:F184))</f>
        <v>87786.232308614301</v>
      </c>
      <c r="AE178" s="5">
        <f>IF(ROW()&lt;=8,"",MAX(Daily_Input!F178:F184))</f>
        <v>98785.285319999995</v>
      </c>
      <c r="AF178" s="5">
        <f>IF(ROW()&lt;=2+0,"",INDEX(Daily_Input!$G:$G,ROW()-1))</f>
        <v>0</v>
      </c>
      <c r="AG178" s="5">
        <f>IF(ROW()&lt;=2+0,"",INDEX(Daily_Input!$H:$H,ROW()-1))</f>
        <v>100039.38280000001</v>
      </c>
      <c r="AH178" s="5">
        <f>IF(ROW()&lt;=2+1,"",INDEX(Daily_Input!$G:$G,ROW()-2))</f>
        <v>0</v>
      </c>
      <c r="AI178" s="5">
        <f>IF(ROW()&lt;=2+1,"",INDEX(Daily_Input!$H:$H,ROW()-2))</f>
        <v>104163.86380000001</v>
      </c>
      <c r="AJ178" s="5">
        <f>IF(ROW()&lt;=2+2,"",INDEX(Daily_Input!$G:$G,ROW()-3))</f>
        <v>0</v>
      </c>
      <c r="AK178" s="5">
        <f>IF(ROW()&lt;=2+2,"",INDEX(Daily_Input!$H:$H,ROW()-3))</f>
        <v>111252.38430000001</v>
      </c>
    </row>
    <row r="179" spans="1:37">
      <c r="A179" s="5">
        <f>Daily_Input!A179</f>
        <v>46016</v>
      </c>
      <c r="B179" s="5">
        <f>Daily_Input!F179</f>
        <v>98785.285319999995</v>
      </c>
      <c r="C179" s="5">
        <f>Daily_Input!D179</f>
        <v>489.61799999999999</v>
      </c>
      <c r="D179" s="5">
        <f>Daily_Input!E179</f>
        <v>1646562.4785364</v>
      </c>
      <c r="E179" s="5">
        <f>IF(ROW()=2,"",Daily_Input!E179-Daily_Input!E178)</f>
        <v>0</v>
      </c>
      <c r="F179" s="5">
        <f>IFERROR(Daily_Input!E179/Config!$B$4,"")</f>
        <v>1.0129801229954363</v>
      </c>
      <c r="G179" s="5">
        <f>Daily_Input!I179</f>
        <v>0</v>
      </c>
      <c r="H179" s="5">
        <f>IF(A179="","",IF(ROW()=2,G179,Config!$B$5*H178+G179))</f>
        <v>25.394686634226964</v>
      </c>
      <c r="I179" s="5">
        <f t="shared" si="2"/>
        <v>359</v>
      </c>
      <c r="J179" s="5">
        <f>IF(I179="","",SIN(2*PI()*I179/Config!$B$6))</f>
        <v>-0.10310169744743544</v>
      </c>
      <c r="K179" s="5">
        <f>IF(I179="","",COS(2*PI()*I179/Config!$B$6))</f>
        <v>0.99467081991152106</v>
      </c>
      <c r="L179" s="5">
        <f>IF(ROW()&lt;=2+0,"",INDEX(Daily_Input!$F:$F,ROW()-1))</f>
        <v>96713.272689999998</v>
      </c>
      <c r="M179" s="5">
        <f>IF(ROW()&lt;=2+1,"",INDEX(Daily_Input!$F:$F,ROW()-2))</f>
        <v>97013.389796700081</v>
      </c>
      <c r="N179" s="5">
        <f>IF(ROW()&lt;=2+2,"",INDEX(Daily_Input!$F:$F,ROW()-3))</f>
        <v>104163.86380000001</v>
      </c>
      <c r="O179" s="5">
        <f>IF(ROW()&lt;=2+3,"",INDEX(Daily_Input!$F:$F,ROW()-4))</f>
        <v>111252.38430000001</v>
      </c>
      <c r="P179" s="5">
        <f>IF(ROW()&lt;=2+4,"",INDEX(Daily_Input!$F:$F,ROW()-5))</f>
        <v>108443.3858</v>
      </c>
      <c r="Q179" s="5">
        <f>IF(ROW()&lt;=2+5,"",INDEX(Daily_Input!$F:$F,ROW()-6))</f>
        <v>114596.90725480005</v>
      </c>
      <c r="R179" s="5">
        <f>IF(ROW()&lt;=2+6,"",INDEX(Daily_Input!$F:$F,ROW()-7))</f>
        <v>125572.8885</v>
      </c>
      <c r="S179" s="5">
        <f>IF(ROW()&lt;=2+7,"",INDEX(Daily_Input!$F:$F,ROW()-8))</f>
        <v>134938.92069999999</v>
      </c>
      <c r="T179" s="5">
        <f>IF(ROW()&lt;=2+8,"",INDEX(Daily_Input!$F:$F,ROW()-9))</f>
        <v>133506.99842259989</v>
      </c>
      <c r="U179" s="5">
        <f>IF(ROW()&lt;=2+9,"",INDEX(Daily_Input!$F:$F,ROW()-10))</f>
        <v>147011.24979999999</v>
      </c>
      <c r="V179" s="5">
        <f>IF(ROW()&lt;=2+10,"",INDEX(Daily_Input!$F:$F,ROW()-11))</f>
        <v>151583.6275774001</v>
      </c>
      <c r="W179" s="5">
        <f>IF(ROW()&lt;=2+11,"",INDEX(Daily_Input!$F:$F,ROW()-12))</f>
        <v>142703.97903819996</v>
      </c>
      <c r="X179" s="5">
        <f>IF(ROW()&lt;=2+12,"",INDEX(Daily_Input!$F:$F,ROW()-13))</f>
        <v>160556.59026180004</v>
      </c>
      <c r="Y179" s="5">
        <f>IF(ROW()&lt;=2+13,"",INDEX(Daily_Input!$F:$F,ROW()-14))</f>
        <v>144077.8655225999</v>
      </c>
      <c r="Z179" s="5">
        <f>IF(ROW()&lt;=4,"",SUM(Daily_Input!I179:I181))</f>
        <v>0</v>
      </c>
      <c r="AA179" s="5">
        <f>IF(ROW()&lt;=8,"",SUM(Daily_Input!I179:I185))</f>
        <v>0</v>
      </c>
      <c r="AB179" s="5">
        <f>IF(ROW()&lt;=15,"",SUM(Daily_Input!I179:I192))</f>
        <v>0</v>
      </c>
      <c r="AC179" s="5">
        <f>IF(ROW()&lt;=4,"",AVERAGE(Daily_Input!F179:F181))</f>
        <v>95568.453506666658</v>
      </c>
      <c r="AD179" s="5">
        <f>IF(ROW()&lt;=8,"",AVERAGE(Daily_Input!F179:F185))</f>
        <v>83776.566930042885</v>
      </c>
      <c r="AE179" s="5">
        <f>IF(ROW()&lt;=8,"",MAX(Daily_Input!F179:F185))</f>
        <v>98785.285319999995</v>
      </c>
      <c r="AF179" s="5">
        <f>IF(ROW()&lt;=2+0,"",INDEX(Daily_Input!$G:$G,ROW()-1))</f>
        <v>0</v>
      </c>
      <c r="AG179" s="5">
        <f>IF(ROW()&lt;=2+0,"",INDEX(Daily_Input!$H:$H,ROW()-1))</f>
        <v>96713.272689999998</v>
      </c>
      <c r="AH179" s="5">
        <f>IF(ROW()&lt;=2+1,"",INDEX(Daily_Input!$G:$G,ROW()-2))</f>
        <v>0</v>
      </c>
      <c r="AI179" s="5">
        <f>IF(ROW()&lt;=2+1,"",INDEX(Daily_Input!$H:$H,ROW()-2))</f>
        <v>100039.38280000001</v>
      </c>
      <c r="AJ179" s="5">
        <f>IF(ROW()&lt;=2+2,"",INDEX(Daily_Input!$G:$G,ROW()-3))</f>
        <v>0</v>
      </c>
      <c r="AK179" s="5">
        <f>IF(ROW()&lt;=2+2,"",INDEX(Daily_Input!$H:$H,ROW()-3))</f>
        <v>104163.86380000001</v>
      </c>
    </row>
    <row r="180" spans="1:37">
      <c r="A180" s="5">
        <f>Daily_Input!A180</f>
        <v>46017</v>
      </c>
      <c r="B180" s="5">
        <f>Daily_Input!F180</f>
        <v>97392.949030000003</v>
      </c>
      <c r="C180" s="5">
        <f>Daily_Input!D180</f>
        <v>489.61900000000003</v>
      </c>
      <c r="D180" s="5">
        <f>Daily_Input!E180</f>
        <v>1646562.4785364</v>
      </c>
      <c r="E180" s="5">
        <f>IF(ROW()=2,"",Daily_Input!E180-Daily_Input!E179)</f>
        <v>0</v>
      </c>
      <c r="F180" s="5">
        <f>IFERROR(Daily_Input!E180/Config!$B$4,"")</f>
        <v>1.0129801229954363</v>
      </c>
      <c r="G180" s="5">
        <f>Daily_Input!I180</f>
        <v>0</v>
      </c>
      <c r="H180" s="5">
        <f>IF(A180="","",IF(ROW()=2,G180,Config!$B$5*H179+G180))</f>
        <v>24.124952302515617</v>
      </c>
      <c r="I180" s="5">
        <f t="shared" si="2"/>
        <v>360</v>
      </c>
      <c r="J180" s="5">
        <f>IF(I180="","",SIN(2*PI()*I180/Config!$B$6))</f>
        <v>-8.5964798737446696E-2</v>
      </c>
      <c r="K180" s="5">
        <f>IF(I180="","",COS(2*PI()*I180/Config!$B$6))</f>
        <v>0.99629817493460771</v>
      </c>
      <c r="L180" s="5">
        <f>IF(ROW()&lt;=2+0,"",INDEX(Daily_Input!$F:$F,ROW()-1))</f>
        <v>98785.285319999995</v>
      </c>
      <c r="M180" s="5">
        <f>IF(ROW()&lt;=2+1,"",INDEX(Daily_Input!$F:$F,ROW()-2))</f>
        <v>96713.272689999998</v>
      </c>
      <c r="N180" s="5">
        <f>IF(ROW()&lt;=2+2,"",INDEX(Daily_Input!$F:$F,ROW()-3))</f>
        <v>97013.389796700081</v>
      </c>
      <c r="O180" s="5">
        <f>IF(ROW()&lt;=2+3,"",INDEX(Daily_Input!$F:$F,ROW()-4))</f>
        <v>104163.86380000001</v>
      </c>
      <c r="P180" s="5">
        <f>IF(ROW()&lt;=2+4,"",INDEX(Daily_Input!$F:$F,ROW()-5))</f>
        <v>111252.38430000001</v>
      </c>
      <c r="Q180" s="5">
        <f>IF(ROW()&lt;=2+5,"",INDEX(Daily_Input!$F:$F,ROW()-6))</f>
        <v>108443.3858</v>
      </c>
      <c r="R180" s="5">
        <f>IF(ROW()&lt;=2+6,"",INDEX(Daily_Input!$F:$F,ROW()-7))</f>
        <v>114596.90725480005</v>
      </c>
      <c r="S180" s="5">
        <f>IF(ROW()&lt;=2+7,"",INDEX(Daily_Input!$F:$F,ROW()-8))</f>
        <v>125572.8885</v>
      </c>
      <c r="T180" s="5">
        <f>IF(ROW()&lt;=2+8,"",INDEX(Daily_Input!$F:$F,ROW()-9))</f>
        <v>134938.92069999999</v>
      </c>
      <c r="U180" s="5">
        <f>IF(ROW()&lt;=2+9,"",INDEX(Daily_Input!$F:$F,ROW()-10))</f>
        <v>133506.99842259989</v>
      </c>
      <c r="V180" s="5">
        <f>IF(ROW()&lt;=2+10,"",INDEX(Daily_Input!$F:$F,ROW()-11))</f>
        <v>147011.24979999999</v>
      </c>
      <c r="W180" s="5">
        <f>IF(ROW()&lt;=2+11,"",INDEX(Daily_Input!$F:$F,ROW()-12))</f>
        <v>151583.6275774001</v>
      </c>
      <c r="X180" s="5">
        <f>IF(ROW()&lt;=2+12,"",INDEX(Daily_Input!$F:$F,ROW()-13))</f>
        <v>142703.97903819996</v>
      </c>
      <c r="Y180" s="5">
        <f>IF(ROW()&lt;=2+13,"",INDEX(Daily_Input!$F:$F,ROW()-14))</f>
        <v>160556.59026180004</v>
      </c>
      <c r="Z180" s="5">
        <f>IF(ROW()&lt;=4,"",SUM(Daily_Input!I180:I182))</f>
        <v>0</v>
      </c>
      <c r="AA180" s="5">
        <f>IF(ROW()&lt;=8,"",SUM(Daily_Input!I180:I186))</f>
        <v>0</v>
      </c>
      <c r="AB180" s="5">
        <f>IF(ROW()&lt;=15,"",SUM(Daily_Input!I180:I193))</f>
        <v>0</v>
      </c>
      <c r="AC180" s="5">
        <f>IF(ROW()&lt;=4,"",AVERAGE(Daily_Input!F180:F182))</f>
        <v>90392.771046666676</v>
      </c>
      <c r="AD180" s="5">
        <f>IF(ROW()&lt;=8,"",AVERAGE(Daily_Input!F180:F186))</f>
        <v>80821.085145199104</v>
      </c>
      <c r="AE180" s="5">
        <f>IF(ROW()&lt;=8,"",MAX(Daily_Input!F180:F186))</f>
        <v>97392.949030000003</v>
      </c>
      <c r="AF180" s="5">
        <f>IF(ROW()&lt;=2+0,"",INDEX(Daily_Input!$G:$G,ROW()-1))</f>
        <v>0</v>
      </c>
      <c r="AG180" s="5">
        <f>IF(ROW()&lt;=2+0,"",INDEX(Daily_Input!$H:$H,ROW()-1))</f>
        <v>98785.285319999995</v>
      </c>
      <c r="AH180" s="5">
        <f>IF(ROW()&lt;=2+1,"",INDEX(Daily_Input!$G:$G,ROW()-2))</f>
        <v>0</v>
      </c>
      <c r="AI180" s="5">
        <f>IF(ROW()&lt;=2+1,"",INDEX(Daily_Input!$H:$H,ROW()-2))</f>
        <v>96713.272689999998</v>
      </c>
      <c r="AJ180" s="5">
        <f>IF(ROW()&lt;=2+2,"",INDEX(Daily_Input!$G:$G,ROW()-3))</f>
        <v>0</v>
      </c>
      <c r="AK180" s="5">
        <f>IF(ROW()&lt;=2+2,"",INDEX(Daily_Input!$H:$H,ROW()-3))</f>
        <v>100039.38280000001</v>
      </c>
    </row>
    <row r="181" spans="1:37">
      <c r="A181" s="5">
        <f>Daily_Input!A181</f>
        <v>46018</v>
      </c>
      <c r="B181" s="5">
        <f>Daily_Input!F181</f>
        <v>90527.126170000003</v>
      </c>
      <c r="C181" s="5">
        <f>Daily_Input!D181</f>
        <v>489.61799999999999</v>
      </c>
      <c r="D181" s="5">
        <f>Daily_Input!E181</f>
        <v>1646562.4785364</v>
      </c>
      <c r="E181" s="5">
        <f>IF(ROW()=2,"",Daily_Input!E181-Daily_Input!E180)</f>
        <v>0</v>
      </c>
      <c r="F181" s="5">
        <f>IFERROR(Daily_Input!E181/Config!$B$4,"")</f>
        <v>1.0129801229954363</v>
      </c>
      <c r="G181" s="5">
        <f>Daily_Input!I181</f>
        <v>0</v>
      </c>
      <c r="H181" s="5">
        <f>IF(A181="","",IF(ROW()=2,G181,Config!$B$5*H180+G181))</f>
        <v>22.918704687389834</v>
      </c>
      <c r="I181" s="5">
        <f t="shared" si="2"/>
        <v>361</v>
      </c>
      <c r="J181" s="5">
        <f>IF(I181="","",SIN(2*PI()*I181/Config!$B$6))</f>
        <v>-6.880242680232064E-2</v>
      </c>
      <c r="K181" s="5">
        <f>IF(I181="","",COS(2*PI()*I181/Config!$B$6))</f>
        <v>0.9976303053065857</v>
      </c>
      <c r="L181" s="5">
        <f>IF(ROW()&lt;=2+0,"",INDEX(Daily_Input!$F:$F,ROW()-1))</f>
        <v>97392.949030000003</v>
      </c>
      <c r="M181" s="5">
        <f>IF(ROW()&lt;=2+1,"",INDEX(Daily_Input!$F:$F,ROW()-2))</f>
        <v>98785.285319999995</v>
      </c>
      <c r="N181" s="5">
        <f>IF(ROW()&lt;=2+2,"",INDEX(Daily_Input!$F:$F,ROW()-3))</f>
        <v>96713.272689999998</v>
      </c>
      <c r="O181" s="5">
        <f>IF(ROW()&lt;=2+3,"",INDEX(Daily_Input!$F:$F,ROW()-4))</f>
        <v>97013.389796700081</v>
      </c>
      <c r="P181" s="5">
        <f>IF(ROW()&lt;=2+4,"",INDEX(Daily_Input!$F:$F,ROW()-5))</f>
        <v>104163.86380000001</v>
      </c>
      <c r="Q181" s="5">
        <f>IF(ROW()&lt;=2+5,"",INDEX(Daily_Input!$F:$F,ROW()-6))</f>
        <v>111252.38430000001</v>
      </c>
      <c r="R181" s="5">
        <f>IF(ROW()&lt;=2+6,"",INDEX(Daily_Input!$F:$F,ROW()-7))</f>
        <v>108443.3858</v>
      </c>
      <c r="S181" s="5">
        <f>IF(ROW()&lt;=2+7,"",INDEX(Daily_Input!$F:$F,ROW()-8))</f>
        <v>114596.90725480005</v>
      </c>
      <c r="T181" s="5">
        <f>IF(ROW()&lt;=2+8,"",INDEX(Daily_Input!$F:$F,ROW()-9))</f>
        <v>125572.8885</v>
      </c>
      <c r="U181" s="5">
        <f>IF(ROW()&lt;=2+9,"",INDEX(Daily_Input!$F:$F,ROW()-10))</f>
        <v>134938.92069999999</v>
      </c>
      <c r="V181" s="5">
        <f>IF(ROW()&lt;=2+10,"",INDEX(Daily_Input!$F:$F,ROW()-11))</f>
        <v>133506.99842259989</v>
      </c>
      <c r="W181" s="5">
        <f>IF(ROW()&lt;=2+11,"",INDEX(Daily_Input!$F:$F,ROW()-12))</f>
        <v>147011.24979999999</v>
      </c>
      <c r="X181" s="5">
        <f>IF(ROW()&lt;=2+12,"",INDEX(Daily_Input!$F:$F,ROW()-13))</f>
        <v>151583.6275774001</v>
      </c>
      <c r="Y181" s="5">
        <f>IF(ROW()&lt;=2+13,"",INDEX(Daily_Input!$F:$F,ROW()-14))</f>
        <v>142703.97903819996</v>
      </c>
      <c r="Z181" s="5">
        <f>IF(ROW()&lt;=4,"",SUM(Daily_Input!I181:I183))</f>
        <v>0</v>
      </c>
      <c r="AA181" s="5">
        <f>IF(ROW()&lt;=8,"",SUM(Daily_Input!I181:I187))</f>
        <v>0</v>
      </c>
      <c r="AB181" s="5">
        <f>IF(ROW()&lt;=15,"",SUM(Daily_Input!I181:I194))</f>
        <v>0</v>
      </c>
      <c r="AC181" s="5">
        <f>IF(ROW()&lt;=4,"",AVERAGE(Daily_Input!F181:F183))</f>
        <v>83214.86182343337</v>
      </c>
      <c r="AD181" s="5">
        <f>IF(ROW()&lt;=8,"",AVERAGE(Daily_Input!F181:F187))</f>
        <v>76851.507266345041</v>
      </c>
      <c r="AE181" s="5">
        <f>IF(ROW()&lt;=8,"",MAX(Daily_Input!F181:F187))</f>
        <v>90527.126170000003</v>
      </c>
      <c r="AF181" s="5">
        <f>IF(ROW()&lt;=2+0,"",INDEX(Daily_Input!$G:$G,ROW()-1))</f>
        <v>0</v>
      </c>
      <c r="AG181" s="5">
        <f>IF(ROW()&lt;=2+0,"",INDEX(Daily_Input!$H:$H,ROW()-1))</f>
        <v>97392.949030000003</v>
      </c>
      <c r="AH181" s="5">
        <f>IF(ROW()&lt;=2+1,"",INDEX(Daily_Input!$G:$G,ROW()-2))</f>
        <v>0</v>
      </c>
      <c r="AI181" s="5">
        <f>IF(ROW()&lt;=2+1,"",INDEX(Daily_Input!$H:$H,ROW()-2))</f>
        <v>98785.285319999995</v>
      </c>
      <c r="AJ181" s="5">
        <f>IF(ROW()&lt;=2+2,"",INDEX(Daily_Input!$G:$G,ROW()-3))</f>
        <v>0</v>
      </c>
      <c r="AK181" s="5">
        <f>IF(ROW()&lt;=2+2,"",INDEX(Daily_Input!$H:$H,ROW()-3))</f>
        <v>96713.272689999998</v>
      </c>
    </row>
    <row r="182" spans="1:37">
      <c r="A182" s="5">
        <f>Daily_Input!A182</f>
        <v>46019</v>
      </c>
      <c r="B182" s="5">
        <f>Daily_Input!F182</f>
        <v>83258.237940000006</v>
      </c>
      <c r="C182" s="5">
        <f>Daily_Input!D182</f>
        <v>489.61200000000002</v>
      </c>
      <c r="D182" s="5">
        <f>Daily_Input!E182</f>
        <v>1646562.4785364</v>
      </c>
      <c r="E182" s="5">
        <f>IF(ROW()=2,"",Daily_Input!E182-Daily_Input!E181)</f>
        <v>0</v>
      </c>
      <c r="F182" s="5">
        <f>IFERROR(Daily_Input!E182/Config!$B$4,"")</f>
        <v>1.0129801229954363</v>
      </c>
      <c r="G182" s="5">
        <f>Daily_Input!I182</f>
        <v>0</v>
      </c>
      <c r="H182" s="5">
        <f>IF(A182="","",IF(ROW()=2,G182,Config!$B$5*H181+G182))</f>
        <v>21.772769453020342</v>
      </c>
      <c r="I182" s="5">
        <f t="shared" si="2"/>
        <v>362</v>
      </c>
      <c r="J182" s="5">
        <f>IF(I182="","",SIN(2*PI()*I182/Config!$B$6))</f>
        <v>-5.161966722325418E-2</v>
      </c>
      <c r="K182" s="5">
        <f>IF(I182="","",COS(2*PI()*I182/Config!$B$6))</f>
        <v>0.99866681628847587</v>
      </c>
      <c r="L182" s="5">
        <f>IF(ROW()&lt;=2+0,"",INDEX(Daily_Input!$F:$F,ROW()-1))</f>
        <v>90527.126170000003</v>
      </c>
      <c r="M182" s="5">
        <f>IF(ROW()&lt;=2+1,"",INDEX(Daily_Input!$F:$F,ROW()-2))</f>
        <v>97392.949030000003</v>
      </c>
      <c r="N182" s="5">
        <f>IF(ROW()&lt;=2+2,"",INDEX(Daily_Input!$F:$F,ROW()-3))</f>
        <v>98785.285319999995</v>
      </c>
      <c r="O182" s="5">
        <f>IF(ROW()&lt;=2+3,"",INDEX(Daily_Input!$F:$F,ROW()-4))</f>
        <v>96713.272689999998</v>
      </c>
      <c r="P182" s="5">
        <f>IF(ROW()&lt;=2+4,"",INDEX(Daily_Input!$F:$F,ROW()-5))</f>
        <v>97013.389796700081</v>
      </c>
      <c r="Q182" s="5">
        <f>IF(ROW()&lt;=2+5,"",INDEX(Daily_Input!$F:$F,ROW()-6))</f>
        <v>104163.86380000001</v>
      </c>
      <c r="R182" s="5">
        <f>IF(ROW()&lt;=2+6,"",INDEX(Daily_Input!$F:$F,ROW()-7))</f>
        <v>111252.38430000001</v>
      </c>
      <c r="S182" s="5">
        <f>IF(ROW()&lt;=2+7,"",INDEX(Daily_Input!$F:$F,ROW()-8))</f>
        <v>108443.3858</v>
      </c>
      <c r="T182" s="5">
        <f>IF(ROW()&lt;=2+8,"",INDEX(Daily_Input!$F:$F,ROW()-9))</f>
        <v>114596.90725480005</v>
      </c>
      <c r="U182" s="5">
        <f>IF(ROW()&lt;=2+9,"",INDEX(Daily_Input!$F:$F,ROW()-10))</f>
        <v>125572.8885</v>
      </c>
      <c r="V182" s="5">
        <f>IF(ROW()&lt;=2+10,"",INDEX(Daily_Input!$F:$F,ROW()-11))</f>
        <v>134938.92069999999</v>
      </c>
      <c r="W182" s="5">
        <f>IF(ROW()&lt;=2+11,"",INDEX(Daily_Input!$F:$F,ROW()-12))</f>
        <v>133506.99842259989</v>
      </c>
      <c r="X182" s="5">
        <f>IF(ROW()&lt;=2+12,"",INDEX(Daily_Input!$F:$F,ROW()-13))</f>
        <v>147011.24979999999</v>
      </c>
      <c r="Y182" s="5">
        <f>IF(ROW()&lt;=2+13,"",INDEX(Daily_Input!$F:$F,ROW()-14))</f>
        <v>151583.6275774001</v>
      </c>
      <c r="Z182" s="5">
        <f>IF(ROW()&lt;=4,"",SUM(Daily_Input!I182:I184))</f>
        <v>0</v>
      </c>
      <c r="AA182" s="5">
        <f>IF(ROW()&lt;=8,"",SUM(Daily_Input!I182:I188))</f>
        <v>0</v>
      </c>
      <c r="AB182" s="5">
        <f>IF(ROW()&lt;=15,"",SUM(Daily_Input!I182:I195))</f>
        <v>0</v>
      </c>
      <c r="AC182" s="5">
        <f>IF(ROW()&lt;=4,"",AVERAGE(Daily_Input!F182:F184))</f>
        <v>77028.330983433363</v>
      </c>
      <c r="AD182" s="5">
        <f>IF(ROW()&lt;=8,"",AVERAGE(Daily_Input!F182:F188))</f>
        <v>73772.635688576716</v>
      </c>
      <c r="AE182" s="5">
        <f>IF(ROW()&lt;=8,"",MAX(Daily_Input!F182:F188))</f>
        <v>83258.237940000006</v>
      </c>
      <c r="AF182" s="5">
        <f>IF(ROW()&lt;=2+0,"",INDEX(Daily_Input!$G:$G,ROW()-1))</f>
        <v>0</v>
      </c>
      <c r="AG182" s="5">
        <f>IF(ROW()&lt;=2+0,"",INDEX(Daily_Input!$H:$H,ROW()-1))</f>
        <v>90527.126170000003</v>
      </c>
      <c r="AH182" s="5">
        <f>IF(ROW()&lt;=2+1,"",INDEX(Daily_Input!$G:$G,ROW()-2))</f>
        <v>0</v>
      </c>
      <c r="AI182" s="5">
        <f>IF(ROW()&lt;=2+1,"",INDEX(Daily_Input!$H:$H,ROW()-2))</f>
        <v>97392.949030000003</v>
      </c>
      <c r="AJ182" s="5">
        <f>IF(ROW()&lt;=2+2,"",INDEX(Daily_Input!$G:$G,ROW()-3))</f>
        <v>0</v>
      </c>
      <c r="AK182" s="5">
        <f>IF(ROW()&lt;=2+2,"",INDEX(Daily_Input!$H:$H,ROW()-3))</f>
        <v>98785.285319999995</v>
      </c>
    </row>
    <row r="183" spans="1:37">
      <c r="A183" s="5">
        <f>Daily_Input!A183</f>
        <v>46020</v>
      </c>
      <c r="B183" s="5">
        <f>Daily_Input!F183</f>
        <v>75859.2213603001</v>
      </c>
      <c r="C183" s="5">
        <f>Daily_Input!D183</f>
        <v>489.60599999999999</v>
      </c>
      <c r="D183" s="5">
        <f>Daily_Input!E183</f>
        <v>1643538.2164867001</v>
      </c>
      <c r="E183" s="5">
        <f>IF(ROW()=2,"",Daily_Input!E183-Daily_Input!E182)</f>
        <v>-3024.2620496999007</v>
      </c>
      <c r="F183" s="5">
        <f>IFERROR(Daily_Input!E183/Config!$B$4,"")</f>
        <v>1.0111195696407902</v>
      </c>
      <c r="G183" s="5">
        <f>Daily_Input!I183</f>
        <v>0</v>
      </c>
      <c r="H183" s="5">
        <f>IF(A183="","",IF(ROW()=2,G183,Config!$B$5*H182+G183))</f>
        <v>20.684130980369325</v>
      </c>
      <c r="I183" s="5">
        <f t="shared" si="2"/>
        <v>363</v>
      </c>
      <c r="J183" s="5">
        <f>IF(I183="","",SIN(2*PI()*I183/Config!$B$6))</f>
        <v>-3.4421611622745804E-2</v>
      </c>
      <c r="K183" s="5">
        <f>IF(I183="","",COS(2*PI()*I183/Config!$B$6))</f>
        <v>0.9994074007397048</v>
      </c>
      <c r="L183" s="5">
        <f>IF(ROW()&lt;=2+0,"",INDEX(Daily_Input!$F:$F,ROW()-1))</f>
        <v>83258.237940000006</v>
      </c>
      <c r="M183" s="5">
        <f>IF(ROW()&lt;=2+1,"",INDEX(Daily_Input!$F:$F,ROW()-2))</f>
        <v>90527.126170000003</v>
      </c>
      <c r="N183" s="5">
        <f>IF(ROW()&lt;=2+2,"",INDEX(Daily_Input!$F:$F,ROW()-3))</f>
        <v>97392.949030000003</v>
      </c>
      <c r="O183" s="5">
        <f>IF(ROW()&lt;=2+3,"",INDEX(Daily_Input!$F:$F,ROW()-4))</f>
        <v>98785.285319999995</v>
      </c>
      <c r="P183" s="5">
        <f>IF(ROW()&lt;=2+4,"",INDEX(Daily_Input!$F:$F,ROW()-5))</f>
        <v>96713.272689999998</v>
      </c>
      <c r="Q183" s="5">
        <f>IF(ROW()&lt;=2+5,"",INDEX(Daily_Input!$F:$F,ROW()-6))</f>
        <v>97013.389796700081</v>
      </c>
      <c r="R183" s="5">
        <f>IF(ROW()&lt;=2+6,"",INDEX(Daily_Input!$F:$F,ROW()-7))</f>
        <v>104163.86380000001</v>
      </c>
      <c r="S183" s="5">
        <f>IF(ROW()&lt;=2+7,"",INDEX(Daily_Input!$F:$F,ROW()-8))</f>
        <v>111252.38430000001</v>
      </c>
      <c r="T183" s="5">
        <f>IF(ROW()&lt;=2+8,"",INDEX(Daily_Input!$F:$F,ROW()-9))</f>
        <v>108443.3858</v>
      </c>
      <c r="U183" s="5">
        <f>IF(ROW()&lt;=2+9,"",INDEX(Daily_Input!$F:$F,ROW()-10))</f>
        <v>114596.90725480005</v>
      </c>
      <c r="V183" s="5">
        <f>IF(ROW()&lt;=2+10,"",INDEX(Daily_Input!$F:$F,ROW()-11))</f>
        <v>125572.8885</v>
      </c>
      <c r="W183" s="5">
        <f>IF(ROW()&lt;=2+11,"",INDEX(Daily_Input!$F:$F,ROW()-12))</f>
        <v>134938.92069999999</v>
      </c>
      <c r="X183" s="5">
        <f>IF(ROW()&lt;=2+12,"",INDEX(Daily_Input!$F:$F,ROW()-13))</f>
        <v>133506.99842259989</v>
      </c>
      <c r="Y183" s="5">
        <f>IF(ROW()&lt;=2+13,"",INDEX(Daily_Input!$F:$F,ROW()-14))</f>
        <v>147011.24979999999</v>
      </c>
      <c r="Z183" s="5">
        <f>IF(ROW()&lt;=4,"",SUM(Daily_Input!I183:I185))</f>
        <v>0</v>
      </c>
      <c r="AA183" s="5">
        <f>IF(ROW()&lt;=8,"",SUM(Daily_Input!I183:I189))</f>
        <v>0</v>
      </c>
      <c r="AB183" s="5">
        <f>IF(ROW()&lt;=15,"",SUM(Daily_Input!I183:I196))</f>
        <v>0</v>
      </c>
      <c r="AC183" s="5">
        <f>IF(ROW()&lt;=4,"",AVERAGE(Daily_Input!F183:F185))</f>
        <v>72157.456683433367</v>
      </c>
      <c r="AD183" s="5">
        <f>IF(ROW()&lt;=8,"",AVERAGE(Daily_Input!F183:F189))</f>
        <v>71429.722352236946</v>
      </c>
      <c r="AE183" s="5">
        <f>IF(ROW()&lt;=8,"",MAX(Daily_Input!F183:F189))</f>
        <v>78096.91282609367</v>
      </c>
      <c r="AF183" s="5">
        <f>IF(ROW()&lt;=2+0,"",INDEX(Daily_Input!$G:$G,ROW()-1))</f>
        <v>0</v>
      </c>
      <c r="AG183" s="5">
        <f>IF(ROW()&lt;=2+0,"",INDEX(Daily_Input!$H:$H,ROW()-1))</f>
        <v>83258.237940000006</v>
      </c>
      <c r="AH183" s="5">
        <f>IF(ROW()&lt;=2+1,"",INDEX(Daily_Input!$G:$G,ROW()-2))</f>
        <v>0</v>
      </c>
      <c r="AI183" s="5">
        <f>IF(ROW()&lt;=2+1,"",INDEX(Daily_Input!$H:$H,ROW()-2))</f>
        <v>90527.126170000003</v>
      </c>
      <c r="AJ183" s="5">
        <f>IF(ROW()&lt;=2+2,"",INDEX(Daily_Input!$G:$G,ROW()-3))</f>
        <v>0</v>
      </c>
      <c r="AK183" s="5">
        <f>IF(ROW()&lt;=2+2,"",INDEX(Daily_Input!$H:$H,ROW()-3))</f>
        <v>97392.949030000003</v>
      </c>
    </row>
    <row r="184" spans="1:37">
      <c r="A184" s="5">
        <f>Daily_Input!A184</f>
        <v>46021</v>
      </c>
      <c r="B184" s="5">
        <f>Daily_Input!F184</f>
        <v>71967.533649999998</v>
      </c>
      <c r="C184" s="5">
        <f>Daily_Input!D184</f>
        <v>489.60599999999999</v>
      </c>
      <c r="D184" s="5">
        <f>Daily_Input!E184</f>
        <v>1643538.2164867001</v>
      </c>
      <c r="E184" s="5">
        <f>IF(ROW()=2,"",Daily_Input!E184-Daily_Input!E183)</f>
        <v>0</v>
      </c>
      <c r="F184" s="5">
        <f>IFERROR(Daily_Input!E184/Config!$B$4,"")</f>
        <v>1.0111195696407902</v>
      </c>
      <c r="G184" s="5">
        <f>Daily_Input!I184</f>
        <v>0</v>
      </c>
      <c r="H184" s="5">
        <f>IF(A184="","",IF(ROW()=2,G184,Config!$B$5*H183+G184))</f>
        <v>19.649924431350858</v>
      </c>
      <c r="I184" s="5">
        <f t="shared" si="2"/>
        <v>364</v>
      </c>
      <c r="J184" s="5">
        <f>IF(I184="","",SIN(2*PI()*I184/Config!$B$6))</f>
        <v>-1.7213356155835281E-2</v>
      </c>
      <c r="K184" s="5">
        <f>IF(I184="","",COS(2*PI()*I184/Config!$B$6))</f>
        <v>0.99985183920911624</v>
      </c>
      <c r="L184" s="5">
        <f>IF(ROW()&lt;=2+0,"",INDEX(Daily_Input!$F:$F,ROW()-1))</f>
        <v>75859.2213603001</v>
      </c>
      <c r="M184" s="5">
        <f>IF(ROW()&lt;=2+1,"",INDEX(Daily_Input!$F:$F,ROW()-2))</f>
        <v>83258.237940000006</v>
      </c>
      <c r="N184" s="5">
        <f>IF(ROW()&lt;=2+2,"",INDEX(Daily_Input!$F:$F,ROW()-3))</f>
        <v>90527.126170000003</v>
      </c>
      <c r="O184" s="5">
        <f>IF(ROW()&lt;=2+3,"",INDEX(Daily_Input!$F:$F,ROW()-4))</f>
        <v>97392.949030000003</v>
      </c>
      <c r="P184" s="5">
        <f>IF(ROW()&lt;=2+4,"",INDEX(Daily_Input!$F:$F,ROW()-5))</f>
        <v>98785.285319999995</v>
      </c>
      <c r="Q184" s="5">
        <f>IF(ROW()&lt;=2+5,"",INDEX(Daily_Input!$F:$F,ROW()-6))</f>
        <v>96713.272689999998</v>
      </c>
      <c r="R184" s="5">
        <f>IF(ROW()&lt;=2+6,"",INDEX(Daily_Input!$F:$F,ROW()-7))</f>
        <v>97013.389796700081</v>
      </c>
      <c r="S184" s="5">
        <f>IF(ROW()&lt;=2+7,"",INDEX(Daily_Input!$F:$F,ROW()-8))</f>
        <v>104163.86380000001</v>
      </c>
      <c r="T184" s="5">
        <f>IF(ROW()&lt;=2+8,"",INDEX(Daily_Input!$F:$F,ROW()-9))</f>
        <v>111252.38430000001</v>
      </c>
      <c r="U184" s="5">
        <f>IF(ROW()&lt;=2+9,"",INDEX(Daily_Input!$F:$F,ROW()-10))</f>
        <v>108443.3858</v>
      </c>
      <c r="V184" s="5">
        <f>IF(ROW()&lt;=2+10,"",INDEX(Daily_Input!$F:$F,ROW()-11))</f>
        <v>114596.90725480005</v>
      </c>
      <c r="W184" s="5">
        <f>IF(ROW()&lt;=2+11,"",INDEX(Daily_Input!$F:$F,ROW()-12))</f>
        <v>125572.8885</v>
      </c>
      <c r="X184" s="5">
        <f>IF(ROW()&lt;=2+12,"",INDEX(Daily_Input!$F:$F,ROW()-13))</f>
        <v>134938.92069999999</v>
      </c>
      <c r="Y184" s="5">
        <f>IF(ROW()&lt;=2+13,"",INDEX(Daily_Input!$F:$F,ROW()-14))</f>
        <v>133506.99842259989</v>
      </c>
      <c r="Z184" s="5">
        <f>IF(ROW()&lt;=4,"",SUM(Daily_Input!I184:I186))</f>
        <v>0</v>
      </c>
      <c r="AA184" s="5">
        <f>IF(ROW()&lt;=8,"",SUM(Daily_Input!I184:I190))</f>
        <v>0</v>
      </c>
      <c r="AB184" s="5">
        <f>IF(ROW()&lt;=15,"",SUM(Daily_Input!I184:I197))</f>
        <v>0</v>
      </c>
      <c r="AC184" s="5">
        <f>IF(ROW()&lt;=4,"",AVERAGE(Daily_Input!F184:F186))</f>
        <v>72903.353838697891</v>
      </c>
      <c r="AD184" s="5">
        <f>IF(ROW()&lt;=8,"",AVERAGE(Daily_Input!F184:F190))</f>
        <v>68502.064174425759</v>
      </c>
      <c r="AE184" s="5">
        <f>IF(ROW()&lt;=8,"",MAX(Daily_Input!F184:F190))</f>
        <v>78096.91282609367</v>
      </c>
      <c r="AF184" s="5">
        <f>IF(ROW()&lt;=2+0,"",INDEX(Daily_Input!$G:$G,ROW()-1))</f>
        <v>0</v>
      </c>
      <c r="AG184" s="5">
        <f>IF(ROW()&lt;=2+0,"",INDEX(Daily_Input!$H:$H,ROW()-1))</f>
        <v>78883.483410000001</v>
      </c>
      <c r="AH184" s="5">
        <f>IF(ROW()&lt;=2+1,"",INDEX(Daily_Input!$G:$G,ROW()-2))</f>
        <v>0</v>
      </c>
      <c r="AI184" s="5">
        <f>IF(ROW()&lt;=2+1,"",INDEX(Daily_Input!$H:$H,ROW()-2))</f>
        <v>83258.237940000006</v>
      </c>
      <c r="AJ184" s="5">
        <f>IF(ROW()&lt;=2+2,"",INDEX(Daily_Input!$G:$G,ROW()-3))</f>
        <v>0</v>
      </c>
      <c r="AK184" s="5">
        <f>IF(ROW()&lt;=2+2,"",INDEX(Daily_Input!$H:$H,ROW()-3))</f>
        <v>90527.126170000003</v>
      </c>
    </row>
    <row r="185" spans="1:37">
      <c r="A185" s="5">
        <f>Daily_Input!A185</f>
        <v>46022</v>
      </c>
      <c r="B185" s="5">
        <f>Daily_Input!F185</f>
        <v>68645.615040000004</v>
      </c>
      <c r="C185" s="5">
        <f>Daily_Input!D185</f>
        <v>489.60599999999999</v>
      </c>
      <c r="D185" s="5">
        <f>Daily_Input!E185</f>
        <v>1643538.2164867001</v>
      </c>
      <c r="E185" s="5">
        <f>IF(ROW()=2,"",Daily_Input!E185-Daily_Input!E184)</f>
        <v>0</v>
      </c>
      <c r="F185" s="5">
        <f>IFERROR(Daily_Input!E185/Config!$B$4,"")</f>
        <v>1.0111195696407902</v>
      </c>
      <c r="G185" s="5">
        <f>Daily_Input!I185</f>
        <v>0</v>
      </c>
      <c r="H185" s="5">
        <f>IF(A185="","",IF(ROW()=2,G185,Config!$B$5*H184+G185))</f>
        <v>18.667428209783314</v>
      </c>
      <c r="I185" s="5">
        <f t="shared" si="2"/>
        <v>365</v>
      </c>
      <c r="J185" s="5">
        <f>IF(I185="","",SIN(2*PI()*I185/Config!$B$6))</f>
        <v>6.4314872871840123E-16</v>
      </c>
      <c r="K185" s="5">
        <f>IF(I185="","",COS(2*PI()*I185/Config!$B$6))</f>
        <v>1</v>
      </c>
      <c r="L185" s="5">
        <f>IF(ROW()&lt;=2+0,"",INDEX(Daily_Input!$F:$F,ROW()-1))</f>
        <v>71967.533649999998</v>
      </c>
      <c r="M185" s="5">
        <f>IF(ROW()&lt;=2+1,"",INDEX(Daily_Input!$F:$F,ROW()-2))</f>
        <v>75859.2213603001</v>
      </c>
      <c r="N185" s="5">
        <f>IF(ROW()&lt;=2+2,"",INDEX(Daily_Input!$F:$F,ROW()-3))</f>
        <v>83258.237940000006</v>
      </c>
      <c r="O185" s="5">
        <f>IF(ROW()&lt;=2+3,"",INDEX(Daily_Input!$F:$F,ROW()-4))</f>
        <v>90527.126170000003</v>
      </c>
      <c r="P185" s="5">
        <f>IF(ROW()&lt;=2+4,"",INDEX(Daily_Input!$F:$F,ROW()-5))</f>
        <v>97392.949030000003</v>
      </c>
      <c r="Q185" s="5">
        <f>IF(ROW()&lt;=2+5,"",INDEX(Daily_Input!$F:$F,ROW()-6))</f>
        <v>98785.285319999995</v>
      </c>
      <c r="R185" s="5">
        <f>IF(ROW()&lt;=2+6,"",INDEX(Daily_Input!$F:$F,ROW()-7))</f>
        <v>96713.272689999998</v>
      </c>
      <c r="S185" s="5">
        <f>IF(ROW()&lt;=2+7,"",INDEX(Daily_Input!$F:$F,ROW()-8))</f>
        <v>97013.389796700081</v>
      </c>
      <c r="T185" s="5">
        <f>IF(ROW()&lt;=2+8,"",INDEX(Daily_Input!$F:$F,ROW()-9))</f>
        <v>104163.86380000001</v>
      </c>
      <c r="U185" s="5">
        <f>IF(ROW()&lt;=2+9,"",INDEX(Daily_Input!$F:$F,ROW()-10))</f>
        <v>111252.38430000001</v>
      </c>
      <c r="V185" s="5">
        <f>IF(ROW()&lt;=2+10,"",INDEX(Daily_Input!$F:$F,ROW()-11))</f>
        <v>108443.3858</v>
      </c>
      <c r="W185" s="5">
        <f>IF(ROW()&lt;=2+11,"",INDEX(Daily_Input!$F:$F,ROW()-12))</f>
        <v>114596.90725480005</v>
      </c>
      <c r="X185" s="5">
        <f>IF(ROW()&lt;=2+12,"",INDEX(Daily_Input!$F:$F,ROW()-13))</f>
        <v>125572.8885</v>
      </c>
      <c r="Y185" s="5">
        <f>IF(ROW()&lt;=2+13,"",INDEX(Daily_Input!$F:$F,ROW()-14))</f>
        <v>134938.92069999999</v>
      </c>
      <c r="Z185" s="5">
        <f>IF(ROW()&lt;=4,"",SUM(Daily_Input!I185:I187))</f>
        <v>0</v>
      </c>
      <c r="AA185" s="5">
        <f>IF(ROW()&lt;=8,"",SUM(Daily_Input!I185:I191))</f>
        <v>0</v>
      </c>
      <c r="AB185" s="5">
        <f>IF(ROW()&lt;=15,"",SUM(Daily_Input!I185:I198))</f>
        <v>0</v>
      </c>
      <c r="AC185" s="5">
        <f>IF(ROW()&lt;=4,"",AVERAGE(Daily_Input!F185:F187))</f>
        <v>72116.143914705055</v>
      </c>
      <c r="AD185" s="5">
        <f>IF(ROW()&lt;=8,"",AVERAGE(Daily_Input!F185:F191))</f>
        <v>65029.606887764334</v>
      </c>
      <c r="AE185" s="5">
        <f>IF(ROW()&lt;=8,"",MAX(Daily_Input!F185:F191))</f>
        <v>78096.91282609367</v>
      </c>
      <c r="AF185" s="5">
        <f>IF(ROW()&lt;=2+0,"",INDEX(Daily_Input!$G:$G,ROW()-1))</f>
        <v>0</v>
      </c>
      <c r="AG185" s="5">
        <f>IF(ROW()&lt;=2+0,"",INDEX(Daily_Input!$H:$H,ROW()-1))</f>
        <v>71967.533649999998</v>
      </c>
      <c r="AH185" s="5">
        <f>IF(ROW()&lt;=2+1,"",INDEX(Daily_Input!$G:$G,ROW()-2))</f>
        <v>0</v>
      </c>
      <c r="AI185" s="5">
        <f>IF(ROW()&lt;=2+1,"",INDEX(Daily_Input!$H:$H,ROW()-2))</f>
        <v>78883.483410000001</v>
      </c>
      <c r="AJ185" s="5">
        <f>IF(ROW()&lt;=2+2,"",INDEX(Daily_Input!$G:$G,ROW()-3))</f>
        <v>0</v>
      </c>
      <c r="AK185" s="5">
        <f>IF(ROW()&lt;=2+2,"",INDEX(Daily_Input!$H:$H,ROW()-3))</f>
        <v>83258.237940000006</v>
      </c>
    </row>
    <row r="186" spans="1:37">
      <c r="A186" s="5">
        <f>Daily_Input!A186</f>
        <v>46023</v>
      </c>
      <c r="B186" s="5">
        <f>Daily_Input!F186</f>
        <v>78096.91282609367</v>
      </c>
      <c r="C186" s="5">
        <f>Daily_Input!D186</f>
        <v>489.60599999999999</v>
      </c>
      <c r="D186" s="5">
        <f>Daily_Input!E186</f>
        <v>1643538.2164867001</v>
      </c>
      <c r="E186" s="5">
        <f>IF(ROW()=2,"",Daily_Input!E186-Daily_Input!E185)</f>
        <v>0</v>
      </c>
      <c r="F186" s="5">
        <f>IFERROR(Daily_Input!E186/Config!$B$4,"")</f>
        <v>1.0111195696407902</v>
      </c>
      <c r="G186" s="5">
        <f>Daily_Input!I186</f>
        <v>0</v>
      </c>
      <c r="H186" s="5">
        <f>IF(A186="","",IF(ROW()=2,G186,Config!$B$5*H185+G186))</f>
        <v>17.734056799294148</v>
      </c>
      <c r="I186" s="5">
        <f t="shared" si="2"/>
        <v>1</v>
      </c>
      <c r="J186" s="5">
        <f>IF(I186="","",SIN(2*PI()*I186/Config!$B$6))</f>
        <v>1.7213356155834685E-2</v>
      </c>
      <c r="K186" s="5">
        <f>IF(I186="","",COS(2*PI()*I186/Config!$B$6))</f>
        <v>0.99985183920911624</v>
      </c>
      <c r="L186" s="5">
        <f>IF(ROW()&lt;=2+0,"",INDEX(Daily_Input!$F:$F,ROW()-1))</f>
        <v>68645.615040000004</v>
      </c>
      <c r="M186" s="5">
        <f>IF(ROW()&lt;=2+1,"",INDEX(Daily_Input!$F:$F,ROW()-2))</f>
        <v>71967.533649999998</v>
      </c>
      <c r="N186" s="5">
        <f>IF(ROW()&lt;=2+2,"",INDEX(Daily_Input!$F:$F,ROW()-3))</f>
        <v>75859.2213603001</v>
      </c>
      <c r="O186" s="5">
        <f>IF(ROW()&lt;=2+3,"",INDEX(Daily_Input!$F:$F,ROW()-4))</f>
        <v>83258.237940000006</v>
      </c>
      <c r="P186" s="5">
        <f>IF(ROW()&lt;=2+4,"",INDEX(Daily_Input!$F:$F,ROW()-5))</f>
        <v>90527.126170000003</v>
      </c>
      <c r="Q186" s="5">
        <f>IF(ROW()&lt;=2+5,"",INDEX(Daily_Input!$F:$F,ROW()-6))</f>
        <v>97392.949030000003</v>
      </c>
      <c r="R186" s="5">
        <f>IF(ROW()&lt;=2+6,"",INDEX(Daily_Input!$F:$F,ROW()-7))</f>
        <v>98785.285319999995</v>
      </c>
      <c r="S186" s="5">
        <f>IF(ROW()&lt;=2+7,"",INDEX(Daily_Input!$F:$F,ROW()-8))</f>
        <v>96713.272689999998</v>
      </c>
      <c r="T186" s="5">
        <f>IF(ROW()&lt;=2+8,"",INDEX(Daily_Input!$F:$F,ROW()-9))</f>
        <v>97013.389796700081</v>
      </c>
      <c r="U186" s="5">
        <f>IF(ROW()&lt;=2+9,"",INDEX(Daily_Input!$F:$F,ROW()-10))</f>
        <v>104163.86380000001</v>
      </c>
      <c r="V186" s="5">
        <f>IF(ROW()&lt;=2+10,"",INDEX(Daily_Input!$F:$F,ROW()-11))</f>
        <v>111252.38430000001</v>
      </c>
      <c r="W186" s="5">
        <f>IF(ROW()&lt;=2+11,"",INDEX(Daily_Input!$F:$F,ROW()-12))</f>
        <v>108443.3858</v>
      </c>
      <c r="X186" s="5">
        <f>IF(ROW()&lt;=2+12,"",INDEX(Daily_Input!$F:$F,ROW()-13))</f>
        <v>114596.90725480005</v>
      </c>
      <c r="Y186" s="5">
        <f>IF(ROW()&lt;=2+13,"",INDEX(Daily_Input!$F:$F,ROW()-14))</f>
        <v>125572.8885</v>
      </c>
      <c r="Z186" s="5">
        <f>IF(ROW()&lt;=4,"",SUM(Daily_Input!I186:I188))</f>
        <v>0</v>
      </c>
      <c r="AA186" s="5">
        <f>IF(ROW()&lt;=8,"",SUM(Daily_Input!I186:I192))</f>
        <v>0</v>
      </c>
      <c r="AB186" s="5">
        <f>IF(ROW()&lt;=15,"",SUM(Daily_Input!I186:I199))</f>
        <v>0</v>
      </c>
      <c r="AC186" s="5">
        <f>IF(ROW()&lt;=4,"",AVERAGE(Daily_Input!F186:F188))</f>
        <v>72225.94727657894</v>
      </c>
      <c r="AD186" s="5">
        <f>IF(ROW()&lt;=8,"",AVERAGE(Daily_Input!F186:F192))</f>
        <v>58346.400772656176</v>
      </c>
      <c r="AE186" s="5">
        <f>IF(ROW()&lt;=8,"",MAX(Daily_Input!F186:F192))</f>
        <v>78096.91282609367</v>
      </c>
      <c r="AF186" s="5">
        <f>IF(ROW()&lt;=2+0,"",INDEX(Daily_Input!$G:$G,ROW()-1))</f>
        <v>0</v>
      </c>
      <c r="AG186" s="5">
        <f>IF(ROW()&lt;=2+0,"",INDEX(Daily_Input!$H:$H,ROW()-1))</f>
        <v>68645.615040000004</v>
      </c>
      <c r="AH186" s="5">
        <f>IF(ROW()&lt;=2+1,"",INDEX(Daily_Input!$G:$G,ROW()-2))</f>
        <v>0</v>
      </c>
      <c r="AI186" s="5">
        <f>IF(ROW()&lt;=2+1,"",INDEX(Daily_Input!$H:$H,ROW()-2))</f>
        <v>71967.533649999998</v>
      </c>
      <c r="AJ186" s="5">
        <f>IF(ROW()&lt;=2+2,"",INDEX(Daily_Input!$G:$G,ROW()-3))</f>
        <v>0</v>
      </c>
      <c r="AK186" s="5">
        <f>IF(ROW()&lt;=2+2,"",INDEX(Daily_Input!$H:$H,ROW()-3))</f>
        <v>78883.483410000001</v>
      </c>
    </row>
    <row r="187" spans="1:37">
      <c r="A187" s="5">
        <f>Daily_Input!A187</f>
        <v>46024</v>
      </c>
      <c r="B187" s="5">
        <f>Daily_Input!F187</f>
        <v>69605.903878021491</v>
      </c>
      <c r="C187" s="5">
        <f>Daily_Input!D187</f>
        <v>489.59899999999999</v>
      </c>
      <c r="D187" s="5">
        <f>Daily_Input!E187</f>
        <v>1640521.8742390999</v>
      </c>
      <c r="E187" s="5">
        <f>IF(ROW()=2,"",Daily_Input!E187-Daily_Input!E186)</f>
        <v>-3016.3422476002015</v>
      </c>
      <c r="F187" s="5">
        <f>IFERROR(Daily_Input!E187/Config!$B$4,"")</f>
        <v>1.0092638886199967</v>
      </c>
      <c r="G187" s="5">
        <f>Daily_Input!I187</f>
        <v>0</v>
      </c>
      <c r="H187" s="5">
        <f>IF(A187="","",IF(ROW()=2,G187,Config!$B$5*H186+G187))</f>
        <v>16.847353959329439</v>
      </c>
      <c r="I187" s="5">
        <f t="shared" si="2"/>
        <v>2</v>
      </c>
      <c r="J187" s="5">
        <f>IF(I187="","",SIN(2*PI()*I187/Config!$B$6))</f>
        <v>3.4421611622745742E-2</v>
      </c>
      <c r="K187" s="5">
        <f>IF(I187="","",COS(2*PI()*I187/Config!$B$6))</f>
        <v>0.9994074007397048</v>
      </c>
      <c r="L187" s="5">
        <f>IF(ROW()&lt;=2+0,"",INDEX(Daily_Input!$F:$F,ROW()-1))</f>
        <v>78096.91282609367</v>
      </c>
      <c r="M187" s="5">
        <f>IF(ROW()&lt;=2+1,"",INDEX(Daily_Input!$F:$F,ROW()-2))</f>
        <v>68645.615040000004</v>
      </c>
      <c r="N187" s="5">
        <f>IF(ROW()&lt;=2+2,"",INDEX(Daily_Input!$F:$F,ROW()-3))</f>
        <v>71967.533649999998</v>
      </c>
      <c r="O187" s="5">
        <f>IF(ROW()&lt;=2+3,"",INDEX(Daily_Input!$F:$F,ROW()-4))</f>
        <v>75859.2213603001</v>
      </c>
      <c r="P187" s="5">
        <f>IF(ROW()&lt;=2+4,"",INDEX(Daily_Input!$F:$F,ROW()-5))</f>
        <v>83258.237940000006</v>
      </c>
      <c r="Q187" s="5">
        <f>IF(ROW()&lt;=2+5,"",INDEX(Daily_Input!$F:$F,ROW()-6))</f>
        <v>90527.126170000003</v>
      </c>
      <c r="R187" s="5">
        <f>IF(ROW()&lt;=2+6,"",INDEX(Daily_Input!$F:$F,ROW()-7))</f>
        <v>97392.949030000003</v>
      </c>
      <c r="S187" s="5">
        <f>IF(ROW()&lt;=2+7,"",INDEX(Daily_Input!$F:$F,ROW()-8))</f>
        <v>98785.285319999995</v>
      </c>
      <c r="T187" s="5">
        <f>IF(ROW()&lt;=2+8,"",INDEX(Daily_Input!$F:$F,ROW()-9))</f>
        <v>96713.272689999998</v>
      </c>
      <c r="U187" s="5">
        <f>IF(ROW()&lt;=2+9,"",INDEX(Daily_Input!$F:$F,ROW()-10))</f>
        <v>97013.389796700081</v>
      </c>
      <c r="V187" s="5">
        <f>IF(ROW()&lt;=2+10,"",INDEX(Daily_Input!$F:$F,ROW()-11))</f>
        <v>104163.86380000001</v>
      </c>
      <c r="W187" s="5">
        <f>IF(ROW()&lt;=2+11,"",INDEX(Daily_Input!$F:$F,ROW()-12))</f>
        <v>111252.38430000001</v>
      </c>
      <c r="X187" s="5">
        <f>IF(ROW()&lt;=2+12,"",INDEX(Daily_Input!$F:$F,ROW()-13))</f>
        <v>108443.3858</v>
      </c>
      <c r="Y187" s="5">
        <f>IF(ROW()&lt;=2+13,"",INDEX(Daily_Input!$F:$F,ROW()-14))</f>
        <v>114596.90725480005</v>
      </c>
      <c r="Z187" s="5">
        <f>IF(ROW()&lt;=4,"",SUM(Daily_Input!I187:I189))</f>
        <v>0</v>
      </c>
      <c r="AA187" s="5">
        <f>IF(ROW()&lt;=8,"",SUM(Daily_Input!I187:I193))</f>
        <v>0</v>
      </c>
      <c r="AB187" s="5">
        <f>IF(ROW()&lt;=15,"",SUM(Daily_Input!I187:I200))</f>
        <v>0</v>
      </c>
      <c r="AC187" s="5">
        <f>IF(ROW()&lt;=4,"",AVERAGE(Daily_Input!F187:F189))</f>
        <v>68479.591196421607</v>
      </c>
      <c r="AD187" s="5">
        <f>IF(ROW()&lt;=8,"",AVERAGE(Daily_Input!F187:F193))</f>
        <v>47189.69894035707</v>
      </c>
      <c r="AE187" s="5">
        <f>IF(ROW()&lt;=8,"",MAX(Daily_Input!F187:F193))</f>
        <v>69605.903878021491</v>
      </c>
      <c r="AF187" s="5">
        <f>IF(ROW()&lt;=2+0,"",INDEX(Daily_Input!$G:$G,ROW()-1))</f>
        <v>0</v>
      </c>
      <c r="AG187" s="5">
        <f>IF(ROW()&lt;=2+0,"",INDEX(Daily_Input!$H:$H,ROW()-1))</f>
        <v>77422.241410000002</v>
      </c>
      <c r="AH187" s="5">
        <f>IF(ROW()&lt;=2+1,"",INDEX(Daily_Input!$G:$G,ROW()-2))</f>
        <v>0</v>
      </c>
      <c r="AI187" s="5">
        <f>IF(ROW()&lt;=2+1,"",INDEX(Daily_Input!$H:$H,ROW()-2))</f>
        <v>68645.615040000004</v>
      </c>
      <c r="AJ187" s="5">
        <f>IF(ROW()&lt;=2+2,"",INDEX(Daily_Input!$G:$G,ROW()-3))</f>
        <v>0</v>
      </c>
      <c r="AK187" s="5">
        <f>IF(ROW()&lt;=2+2,"",INDEX(Daily_Input!$H:$H,ROW()-3))</f>
        <v>71967.533649999998</v>
      </c>
    </row>
    <row r="188" spans="1:37">
      <c r="A188" s="5">
        <f>Daily_Input!A188</f>
        <v>46025</v>
      </c>
      <c r="B188" s="5">
        <f>Daily_Input!F188</f>
        <v>68975.025125621687</v>
      </c>
      <c r="C188" s="5">
        <f>Daily_Input!D188</f>
        <v>489.59899999999999</v>
      </c>
      <c r="D188" s="5">
        <f>Daily_Input!E188</f>
        <v>1640521.8742390999</v>
      </c>
      <c r="E188" s="5">
        <f>IF(ROW()=2,"",Daily_Input!E188-Daily_Input!E187)</f>
        <v>0</v>
      </c>
      <c r="F188" s="5">
        <f>IFERROR(Daily_Input!E188/Config!$B$4,"")</f>
        <v>1.0092638886199967</v>
      </c>
      <c r="G188" s="5">
        <f>Daily_Input!I188</f>
        <v>0</v>
      </c>
      <c r="H188" s="5">
        <f>IF(A188="","",IF(ROW()=2,G188,Config!$B$5*H187+G188))</f>
        <v>16.004986261362966</v>
      </c>
      <c r="I188" s="5">
        <f t="shared" si="2"/>
        <v>3</v>
      </c>
      <c r="J188" s="5">
        <f>IF(I188="","",SIN(2*PI()*I188/Config!$B$6))</f>
        <v>5.1619667223253764E-2</v>
      </c>
      <c r="K188" s="5">
        <f>IF(I188="","",COS(2*PI()*I188/Config!$B$6))</f>
        <v>0.99866681628847598</v>
      </c>
      <c r="L188" s="5">
        <f>IF(ROW()&lt;=2+0,"",INDEX(Daily_Input!$F:$F,ROW()-1))</f>
        <v>69605.903878021491</v>
      </c>
      <c r="M188" s="5">
        <f>IF(ROW()&lt;=2+1,"",INDEX(Daily_Input!$F:$F,ROW()-2))</f>
        <v>78096.91282609367</v>
      </c>
      <c r="N188" s="5">
        <f>IF(ROW()&lt;=2+2,"",INDEX(Daily_Input!$F:$F,ROW()-3))</f>
        <v>68645.615040000004</v>
      </c>
      <c r="O188" s="5">
        <f>IF(ROW()&lt;=2+3,"",INDEX(Daily_Input!$F:$F,ROW()-4))</f>
        <v>71967.533649999998</v>
      </c>
      <c r="P188" s="5">
        <f>IF(ROW()&lt;=2+4,"",INDEX(Daily_Input!$F:$F,ROW()-5))</f>
        <v>75859.2213603001</v>
      </c>
      <c r="Q188" s="5">
        <f>IF(ROW()&lt;=2+5,"",INDEX(Daily_Input!$F:$F,ROW()-6))</f>
        <v>83258.237940000006</v>
      </c>
      <c r="R188" s="5">
        <f>IF(ROW()&lt;=2+6,"",INDEX(Daily_Input!$F:$F,ROW()-7))</f>
        <v>90527.126170000003</v>
      </c>
      <c r="S188" s="5">
        <f>IF(ROW()&lt;=2+7,"",INDEX(Daily_Input!$F:$F,ROW()-8))</f>
        <v>97392.949030000003</v>
      </c>
      <c r="T188" s="5">
        <f>IF(ROW()&lt;=2+8,"",INDEX(Daily_Input!$F:$F,ROW()-9))</f>
        <v>98785.285319999995</v>
      </c>
      <c r="U188" s="5">
        <f>IF(ROW()&lt;=2+9,"",INDEX(Daily_Input!$F:$F,ROW()-10))</f>
        <v>96713.272689999998</v>
      </c>
      <c r="V188" s="5">
        <f>IF(ROW()&lt;=2+10,"",INDEX(Daily_Input!$F:$F,ROW()-11))</f>
        <v>97013.389796700081</v>
      </c>
      <c r="W188" s="5">
        <f>IF(ROW()&lt;=2+11,"",INDEX(Daily_Input!$F:$F,ROW()-12))</f>
        <v>104163.86380000001</v>
      </c>
      <c r="X188" s="5">
        <f>IF(ROW()&lt;=2+12,"",INDEX(Daily_Input!$F:$F,ROW()-13))</f>
        <v>111252.38430000001</v>
      </c>
      <c r="Y188" s="5">
        <f>IF(ROW()&lt;=2+13,"",INDEX(Daily_Input!$F:$F,ROW()-14))</f>
        <v>108443.3858</v>
      </c>
      <c r="Z188" s="5">
        <f>IF(ROW()&lt;=4,"",SUM(Daily_Input!I188:I190))</f>
        <v>0</v>
      </c>
      <c r="AA188" s="5">
        <f>IF(ROW()&lt;=8,"",SUM(Daily_Input!I188:I194))</f>
        <v>0</v>
      </c>
      <c r="AB188" s="5">
        <f>IF(ROW()&lt;=15,"",SUM(Daily_Input!I188:I201))</f>
        <v>0</v>
      </c>
      <c r="AC188" s="5">
        <f>IF(ROW()&lt;=4,"",AVERAGE(Daily_Input!F188:F190))</f>
        <v>63732.827942288357</v>
      </c>
      <c r="AD188" s="5">
        <f>IF(ROW()&lt;=8,"",AVERAGE(Daily_Input!F188:F194))</f>
        <v>37716.847358060266</v>
      </c>
      <c r="AE188" s="5">
        <f>IF(ROW()&lt;=8,"",MAX(Daily_Input!F188:F194))</f>
        <v>68975.025125621687</v>
      </c>
      <c r="AF188" s="5">
        <f>IF(ROW()&lt;=2+0,"",INDEX(Daily_Input!$G:$G,ROW()-1))</f>
        <v>0</v>
      </c>
      <c r="AG188" s="5">
        <f>IF(ROW()&lt;=2+0,"",INDEX(Daily_Input!$H:$H,ROW()-1))</f>
        <v>71947.999150000003</v>
      </c>
      <c r="AH188" s="5">
        <f>IF(ROW()&lt;=2+1,"",INDEX(Daily_Input!$G:$G,ROW()-2))</f>
        <v>0</v>
      </c>
      <c r="AI188" s="5">
        <f>IF(ROW()&lt;=2+1,"",INDEX(Daily_Input!$H:$H,ROW()-2))</f>
        <v>77422.241410000002</v>
      </c>
      <c r="AJ188" s="5">
        <f>IF(ROW()&lt;=2+2,"",INDEX(Daily_Input!$G:$G,ROW()-3))</f>
        <v>0</v>
      </c>
      <c r="AK188" s="5">
        <f>IF(ROW()&lt;=2+2,"",INDEX(Daily_Input!$H:$H,ROW()-3))</f>
        <v>68645.615040000004</v>
      </c>
    </row>
    <row r="189" spans="1:37">
      <c r="A189" s="5">
        <f>Daily_Input!A189</f>
        <v>46026</v>
      </c>
      <c r="B189" s="5">
        <f>Daily_Input!F189</f>
        <v>66857.844585621686</v>
      </c>
      <c r="C189" s="5">
        <f>Daily_Input!D189</f>
        <v>489.59899999999999</v>
      </c>
      <c r="D189" s="5">
        <f>Daily_Input!E189</f>
        <v>1640521.8742390999</v>
      </c>
      <c r="E189" s="5">
        <f>IF(ROW()=2,"",Daily_Input!E189-Daily_Input!E188)</f>
        <v>0</v>
      </c>
      <c r="F189" s="5">
        <f>IFERROR(Daily_Input!E189/Config!$B$4,"")</f>
        <v>1.0092638886199967</v>
      </c>
      <c r="G189" s="5">
        <f>Daily_Input!I189</f>
        <v>0</v>
      </c>
      <c r="H189" s="5">
        <f>IF(A189="","",IF(ROW()=2,G189,Config!$B$5*H188+G189))</f>
        <v>15.204736948294817</v>
      </c>
      <c r="I189" s="5">
        <f t="shared" si="2"/>
        <v>4</v>
      </c>
      <c r="J189" s="5">
        <f>IF(I189="","",SIN(2*PI()*I189/Config!$B$6))</f>
        <v>6.8802426802319863E-2</v>
      </c>
      <c r="K189" s="5">
        <f>IF(I189="","",COS(2*PI()*I189/Config!$B$6))</f>
        <v>0.9976303053065857</v>
      </c>
      <c r="L189" s="5">
        <f>IF(ROW()&lt;=2+0,"",INDEX(Daily_Input!$F:$F,ROW()-1))</f>
        <v>68975.025125621687</v>
      </c>
      <c r="M189" s="5">
        <f>IF(ROW()&lt;=2+1,"",INDEX(Daily_Input!$F:$F,ROW()-2))</f>
        <v>69605.903878021491</v>
      </c>
      <c r="N189" s="5">
        <f>IF(ROW()&lt;=2+2,"",INDEX(Daily_Input!$F:$F,ROW()-3))</f>
        <v>78096.91282609367</v>
      </c>
      <c r="O189" s="5">
        <f>IF(ROW()&lt;=2+3,"",INDEX(Daily_Input!$F:$F,ROW()-4))</f>
        <v>68645.615040000004</v>
      </c>
      <c r="P189" s="5">
        <f>IF(ROW()&lt;=2+4,"",INDEX(Daily_Input!$F:$F,ROW()-5))</f>
        <v>71967.533649999998</v>
      </c>
      <c r="Q189" s="5">
        <f>IF(ROW()&lt;=2+5,"",INDEX(Daily_Input!$F:$F,ROW()-6))</f>
        <v>75859.2213603001</v>
      </c>
      <c r="R189" s="5">
        <f>IF(ROW()&lt;=2+6,"",INDEX(Daily_Input!$F:$F,ROW()-7))</f>
        <v>83258.237940000006</v>
      </c>
      <c r="S189" s="5">
        <f>IF(ROW()&lt;=2+7,"",INDEX(Daily_Input!$F:$F,ROW()-8))</f>
        <v>90527.126170000003</v>
      </c>
      <c r="T189" s="5">
        <f>IF(ROW()&lt;=2+8,"",INDEX(Daily_Input!$F:$F,ROW()-9))</f>
        <v>97392.949030000003</v>
      </c>
      <c r="U189" s="5">
        <f>IF(ROW()&lt;=2+9,"",INDEX(Daily_Input!$F:$F,ROW()-10))</f>
        <v>98785.285319999995</v>
      </c>
      <c r="V189" s="5">
        <f>IF(ROW()&lt;=2+10,"",INDEX(Daily_Input!$F:$F,ROW()-11))</f>
        <v>96713.272689999998</v>
      </c>
      <c r="W189" s="5">
        <f>IF(ROW()&lt;=2+11,"",INDEX(Daily_Input!$F:$F,ROW()-12))</f>
        <v>97013.389796700081</v>
      </c>
      <c r="X189" s="5">
        <f>IF(ROW()&lt;=2+12,"",INDEX(Daily_Input!$F:$F,ROW()-13))</f>
        <v>104163.86380000001</v>
      </c>
      <c r="Y189" s="5">
        <f>IF(ROW()&lt;=2+13,"",INDEX(Daily_Input!$F:$F,ROW()-14))</f>
        <v>111252.38430000001</v>
      </c>
      <c r="Z189" s="5">
        <f>IF(ROW()&lt;=4,"",SUM(Daily_Input!I189:I191))</f>
        <v>0</v>
      </c>
      <c r="AA189" s="5">
        <f>IF(ROW()&lt;=8,"",SUM(Daily_Input!I189:I195))</f>
        <v>0</v>
      </c>
      <c r="AB189" s="5">
        <f>IF(ROW()&lt;=15,"",SUM(Daily_Input!I189:I202))</f>
        <v>0</v>
      </c>
      <c r="AC189" s="5">
        <f>IF(ROW()&lt;=4,"",AVERAGE(Daily_Input!F189:F191))</f>
        <v>56627.930448204505</v>
      </c>
      <c r="AD189" s="5">
        <f>IF(ROW()&lt;=8,"",AVERAGE(Daily_Input!F189:F195))</f>
        <v>29217.235686508375</v>
      </c>
      <c r="AE189" s="5">
        <f>IF(ROW()&lt;=8,"",MAX(Daily_Input!F189:F195))</f>
        <v>66857.844585621686</v>
      </c>
      <c r="AF189" s="5">
        <f>IF(ROW()&lt;=2+0,"",INDEX(Daily_Input!$G:$G,ROW()-1))</f>
        <v>0</v>
      </c>
      <c r="AG189" s="5">
        <f>IF(ROW()&lt;=2+0,"",INDEX(Daily_Input!$H:$H,ROW()-1))</f>
        <v>68300.778149999998</v>
      </c>
      <c r="AH189" s="5">
        <f>IF(ROW()&lt;=2+1,"",INDEX(Daily_Input!$G:$G,ROW()-2))</f>
        <v>0</v>
      </c>
      <c r="AI189" s="5">
        <f>IF(ROW()&lt;=2+1,"",INDEX(Daily_Input!$H:$H,ROW()-2))</f>
        <v>71947.999150000003</v>
      </c>
      <c r="AJ189" s="5">
        <f>IF(ROW()&lt;=2+2,"",INDEX(Daily_Input!$G:$G,ROW()-3))</f>
        <v>0</v>
      </c>
      <c r="AK189" s="5">
        <f>IF(ROW()&lt;=2+2,"",INDEX(Daily_Input!$H:$H,ROW()-3))</f>
        <v>77422.241410000002</v>
      </c>
    </row>
    <row r="190" spans="1:37">
      <c r="A190" s="5">
        <f>Daily_Input!A190</f>
        <v>46027</v>
      </c>
      <c r="B190" s="5">
        <f>Daily_Input!F190</f>
        <v>55365.614115621691</v>
      </c>
      <c r="C190" s="5">
        <f>Daily_Input!D190</f>
        <v>489.59300000000002</v>
      </c>
      <c r="D190" s="5">
        <f>Daily_Input!E190</f>
        <v>1640521.8742390999</v>
      </c>
      <c r="E190" s="5">
        <f>IF(ROW()=2,"",Daily_Input!E190-Daily_Input!E189)</f>
        <v>0</v>
      </c>
      <c r="F190" s="5">
        <f>IFERROR(Daily_Input!E190/Config!$B$4,"")</f>
        <v>1.0092638886199967</v>
      </c>
      <c r="G190" s="5">
        <f>Daily_Input!I190</f>
        <v>0</v>
      </c>
      <c r="H190" s="5">
        <f>IF(A190="","",IF(ROW()=2,G190,Config!$B$5*H189+G190))</f>
        <v>14.444500100880076</v>
      </c>
      <c r="I190" s="5">
        <f t="shared" si="2"/>
        <v>5</v>
      </c>
      <c r="J190" s="5">
        <f>IF(I190="","",SIN(2*PI()*I190/Config!$B$6))</f>
        <v>8.5964798737446474E-2</v>
      </c>
      <c r="K190" s="5">
        <f>IF(I190="","",COS(2*PI()*I190/Config!$B$6))</f>
        <v>0.99629817493460782</v>
      </c>
      <c r="L190" s="5">
        <f>IF(ROW()&lt;=2+0,"",INDEX(Daily_Input!$F:$F,ROW()-1))</f>
        <v>66857.844585621686</v>
      </c>
      <c r="M190" s="5">
        <f>IF(ROW()&lt;=2+1,"",INDEX(Daily_Input!$F:$F,ROW()-2))</f>
        <v>68975.025125621687</v>
      </c>
      <c r="N190" s="5">
        <f>IF(ROW()&lt;=2+2,"",INDEX(Daily_Input!$F:$F,ROW()-3))</f>
        <v>69605.903878021491</v>
      </c>
      <c r="O190" s="5">
        <f>IF(ROW()&lt;=2+3,"",INDEX(Daily_Input!$F:$F,ROW()-4))</f>
        <v>78096.91282609367</v>
      </c>
      <c r="P190" s="5">
        <f>IF(ROW()&lt;=2+4,"",INDEX(Daily_Input!$F:$F,ROW()-5))</f>
        <v>68645.615040000004</v>
      </c>
      <c r="Q190" s="5">
        <f>IF(ROW()&lt;=2+5,"",INDEX(Daily_Input!$F:$F,ROW()-6))</f>
        <v>71967.533649999998</v>
      </c>
      <c r="R190" s="5">
        <f>IF(ROW()&lt;=2+6,"",INDEX(Daily_Input!$F:$F,ROW()-7))</f>
        <v>75859.2213603001</v>
      </c>
      <c r="S190" s="5">
        <f>IF(ROW()&lt;=2+7,"",INDEX(Daily_Input!$F:$F,ROW()-8))</f>
        <v>83258.237940000006</v>
      </c>
      <c r="T190" s="5">
        <f>IF(ROW()&lt;=2+8,"",INDEX(Daily_Input!$F:$F,ROW()-9))</f>
        <v>90527.126170000003</v>
      </c>
      <c r="U190" s="5">
        <f>IF(ROW()&lt;=2+9,"",INDEX(Daily_Input!$F:$F,ROW()-10))</f>
        <v>97392.949030000003</v>
      </c>
      <c r="V190" s="5">
        <f>IF(ROW()&lt;=2+10,"",INDEX(Daily_Input!$F:$F,ROW()-11))</f>
        <v>98785.285319999995</v>
      </c>
      <c r="W190" s="5">
        <f>IF(ROW()&lt;=2+11,"",INDEX(Daily_Input!$F:$F,ROW()-12))</f>
        <v>96713.272689999998</v>
      </c>
      <c r="X190" s="5">
        <f>IF(ROW()&lt;=2+12,"",INDEX(Daily_Input!$F:$F,ROW()-13))</f>
        <v>97013.389796700081</v>
      </c>
      <c r="Y190" s="5">
        <f>IF(ROW()&lt;=2+13,"",INDEX(Daily_Input!$F:$F,ROW()-14))</f>
        <v>104163.86380000001</v>
      </c>
      <c r="Z190" s="5">
        <f>IF(ROW()&lt;=4,"",SUM(Daily_Input!I190:I192))</f>
        <v>0</v>
      </c>
      <c r="AA190" s="5">
        <f>IF(ROW()&lt;=8,"",SUM(Daily_Input!I190:I196))</f>
        <v>0</v>
      </c>
      <c r="AB190" s="5">
        <f>IF(ROW()&lt;=15,"",SUM(Daily_Input!I190:I203))</f>
        <v>0</v>
      </c>
      <c r="AC190" s="5">
        <f>IF(ROW()&lt;=4,"",AVERAGE(Daily_Input!F190:F192))</f>
        <v>41629.706331078218</v>
      </c>
      <c r="AD190" s="5">
        <f>IF(ROW()&lt;=8,"",AVERAGE(Daily_Input!F190:F196))</f>
        <v>21047.649868456479</v>
      </c>
      <c r="AE190" s="5">
        <f>IF(ROW()&lt;=8,"",MAX(Daily_Input!F190:F196))</f>
        <v>55365.614115621691</v>
      </c>
      <c r="AF190" s="5">
        <f>IF(ROW()&lt;=2+0,"",INDEX(Daily_Input!$G:$G,ROW()-1))</f>
        <v>0</v>
      </c>
      <c r="AG190" s="5">
        <f>IF(ROW()&lt;=2+0,"",INDEX(Daily_Input!$H:$H,ROW()-1))</f>
        <v>66183.597609999997</v>
      </c>
      <c r="AH190" s="5">
        <f>IF(ROW()&lt;=2+1,"",INDEX(Daily_Input!$G:$G,ROW()-2))</f>
        <v>0</v>
      </c>
      <c r="AI190" s="5">
        <f>IF(ROW()&lt;=2+1,"",INDEX(Daily_Input!$H:$H,ROW()-2))</f>
        <v>68300.778149999998</v>
      </c>
      <c r="AJ190" s="5">
        <f>IF(ROW()&lt;=2+2,"",INDEX(Daily_Input!$G:$G,ROW()-3))</f>
        <v>0</v>
      </c>
      <c r="AK190" s="5">
        <f>IF(ROW()&lt;=2+2,"",INDEX(Daily_Input!$H:$H,ROW()-3))</f>
        <v>71947.999150000003</v>
      </c>
    </row>
    <row r="191" spans="1:37">
      <c r="A191" s="5">
        <f>Daily_Input!A191</f>
        <v>46028</v>
      </c>
      <c r="B191" s="5">
        <f>Daily_Input!F191</f>
        <v>47660.33264337013</v>
      </c>
      <c r="C191" s="5">
        <f>Daily_Input!D191</f>
        <v>489.58699999999999</v>
      </c>
      <c r="D191" s="5">
        <f>Daily_Input!E191</f>
        <v>1637507.2197397</v>
      </c>
      <c r="E191" s="5">
        <f>IF(ROW()=2,"",Daily_Input!E191-Daily_Input!E190)</f>
        <v>-3014.6544993999414</v>
      </c>
      <c r="F191" s="5">
        <f>IFERROR(Daily_Input!E191/Config!$B$4,"")</f>
        <v>1.0074092459171549</v>
      </c>
      <c r="G191" s="5">
        <f>Daily_Input!I191</f>
        <v>0</v>
      </c>
      <c r="H191" s="5">
        <f>IF(A191="","",IF(ROW()=2,G191,Config!$B$5*H190+G191))</f>
        <v>13.722275095836071</v>
      </c>
      <c r="I191" s="5">
        <f t="shared" si="2"/>
        <v>6</v>
      </c>
      <c r="J191" s="5">
        <f>IF(I191="","",SIN(2*PI()*I191/Config!$B$6))</f>
        <v>0.10310169744743485</v>
      </c>
      <c r="K191" s="5">
        <f>IF(I191="","",COS(2*PI()*I191/Config!$B$6))</f>
        <v>0.99467081991152106</v>
      </c>
      <c r="L191" s="5">
        <f>IF(ROW()&lt;=2+0,"",INDEX(Daily_Input!$F:$F,ROW()-1))</f>
        <v>55365.614115621691</v>
      </c>
      <c r="M191" s="5">
        <f>IF(ROW()&lt;=2+1,"",INDEX(Daily_Input!$F:$F,ROW()-2))</f>
        <v>66857.844585621686</v>
      </c>
      <c r="N191" s="5">
        <f>IF(ROW()&lt;=2+2,"",INDEX(Daily_Input!$F:$F,ROW()-3))</f>
        <v>68975.025125621687</v>
      </c>
      <c r="O191" s="5">
        <f>IF(ROW()&lt;=2+3,"",INDEX(Daily_Input!$F:$F,ROW()-4))</f>
        <v>69605.903878021491</v>
      </c>
      <c r="P191" s="5">
        <f>IF(ROW()&lt;=2+4,"",INDEX(Daily_Input!$F:$F,ROW()-5))</f>
        <v>78096.91282609367</v>
      </c>
      <c r="Q191" s="5">
        <f>IF(ROW()&lt;=2+5,"",INDEX(Daily_Input!$F:$F,ROW()-6))</f>
        <v>68645.615040000004</v>
      </c>
      <c r="R191" s="5">
        <f>IF(ROW()&lt;=2+6,"",INDEX(Daily_Input!$F:$F,ROW()-7))</f>
        <v>71967.533649999998</v>
      </c>
      <c r="S191" s="5">
        <f>IF(ROW()&lt;=2+7,"",INDEX(Daily_Input!$F:$F,ROW()-8))</f>
        <v>75859.2213603001</v>
      </c>
      <c r="T191" s="5">
        <f>IF(ROW()&lt;=2+8,"",INDEX(Daily_Input!$F:$F,ROW()-9))</f>
        <v>83258.237940000006</v>
      </c>
      <c r="U191" s="5">
        <f>IF(ROW()&lt;=2+9,"",INDEX(Daily_Input!$F:$F,ROW()-10))</f>
        <v>90527.126170000003</v>
      </c>
      <c r="V191" s="5">
        <f>IF(ROW()&lt;=2+10,"",INDEX(Daily_Input!$F:$F,ROW()-11))</f>
        <v>97392.949030000003</v>
      </c>
      <c r="W191" s="5">
        <f>IF(ROW()&lt;=2+11,"",INDEX(Daily_Input!$F:$F,ROW()-12))</f>
        <v>98785.285319999995</v>
      </c>
      <c r="X191" s="5">
        <f>IF(ROW()&lt;=2+12,"",INDEX(Daily_Input!$F:$F,ROW()-13))</f>
        <v>96713.272689999998</v>
      </c>
      <c r="Y191" s="5">
        <f>IF(ROW()&lt;=2+13,"",INDEX(Daily_Input!$F:$F,ROW()-14))</f>
        <v>97013.389796700081</v>
      </c>
      <c r="Z191" s="5">
        <f>IF(ROW()&lt;=4,"",SUM(Daily_Input!I191:I193))</f>
        <v>0</v>
      </c>
      <c r="AA191" s="5">
        <f>IF(ROW()&lt;=8,"",SUM(Daily_Input!I191:I197))</f>
        <v>0</v>
      </c>
      <c r="AB191" s="5">
        <f>IF(ROW()&lt;=15,"",SUM(Daily_Input!I191:I204))</f>
        <v>0</v>
      </c>
      <c r="AC191" s="5">
        <f>IF(ROW()&lt;=4,"",AVERAGE(Daily_Input!F191:F193))</f>
        <v>23174.501625870984</v>
      </c>
      <c r="AD191" s="5">
        <f>IF(ROW()&lt;=8,"",AVERAGE(Daily_Input!F191:F197))</f>
        <v>15480.852432235568</v>
      </c>
      <c r="AE191" s="5">
        <f>IF(ROW()&lt;=8,"",MAX(Daily_Input!F191:F197))</f>
        <v>47660.33264337013</v>
      </c>
      <c r="AF191" s="5">
        <f>IF(ROW()&lt;=2+0,"",INDEX(Daily_Input!$G:$G,ROW()-1))</f>
        <v>0</v>
      </c>
      <c r="AG191" s="5">
        <f>IF(ROW()&lt;=2+0,"",INDEX(Daily_Input!$H:$H,ROW()-1))</f>
        <v>54691.367140000002</v>
      </c>
      <c r="AH191" s="5">
        <f>IF(ROW()&lt;=2+1,"",INDEX(Daily_Input!$G:$G,ROW()-2))</f>
        <v>0</v>
      </c>
      <c r="AI191" s="5">
        <f>IF(ROW()&lt;=2+1,"",INDEX(Daily_Input!$H:$H,ROW()-2))</f>
        <v>66183.597609999997</v>
      </c>
      <c r="AJ191" s="5">
        <f>IF(ROW()&lt;=2+2,"",INDEX(Daily_Input!$G:$G,ROW()-3))</f>
        <v>0</v>
      </c>
      <c r="AK191" s="5">
        <f>IF(ROW()&lt;=2+2,"",INDEX(Daily_Input!$H:$H,ROW()-3))</f>
        <v>68300.778149999998</v>
      </c>
    </row>
    <row r="192" spans="1:37">
      <c r="A192" s="5">
        <f>Daily_Input!A192</f>
        <v>46029</v>
      </c>
      <c r="B192" s="5">
        <f>Daily_Input!F192</f>
        <v>21863.172234242826</v>
      </c>
      <c r="C192" s="5">
        <f>Daily_Input!D192</f>
        <v>489.57499999999999</v>
      </c>
      <c r="D192" s="5">
        <f>Daily_Input!E192</f>
        <v>1634494.0165122999</v>
      </c>
      <c r="E192" s="5">
        <f>IF(ROW()=2,"",Daily_Input!E192-Daily_Input!E191)</f>
        <v>-3013.2032274000812</v>
      </c>
      <c r="F192" s="5">
        <f>IFERROR(Daily_Input!E192/Config!$B$4,"")</f>
        <v>1.0055554960499677</v>
      </c>
      <c r="G192" s="5">
        <f>Daily_Input!I192</f>
        <v>0</v>
      </c>
      <c r="H192" s="5">
        <f>IF(A192="","",IF(ROW()=2,G192,Config!$B$5*H191+G192))</f>
        <v>13.036161341044266</v>
      </c>
      <c r="I192" s="5">
        <f t="shared" si="2"/>
        <v>7</v>
      </c>
      <c r="J192" s="5">
        <f>IF(I192="","",SIN(2*PI()*I192/Config!$B$6))</f>
        <v>0.1202080448993527</v>
      </c>
      <c r="K192" s="5">
        <f>IF(I192="","",COS(2*PI()*I192/Config!$B$6))</f>
        <v>0.99274872245774015</v>
      </c>
      <c r="L192" s="5">
        <f>IF(ROW()&lt;=2+0,"",INDEX(Daily_Input!$F:$F,ROW()-1))</f>
        <v>47660.33264337013</v>
      </c>
      <c r="M192" s="5">
        <f>IF(ROW()&lt;=2+1,"",INDEX(Daily_Input!$F:$F,ROW()-2))</f>
        <v>55365.614115621691</v>
      </c>
      <c r="N192" s="5">
        <f>IF(ROW()&lt;=2+2,"",INDEX(Daily_Input!$F:$F,ROW()-3))</f>
        <v>66857.844585621686</v>
      </c>
      <c r="O192" s="5">
        <f>IF(ROW()&lt;=2+3,"",INDEX(Daily_Input!$F:$F,ROW()-4))</f>
        <v>68975.025125621687</v>
      </c>
      <c r="P192" s="5">
        <f>IF(ROW()&lt;=2+4,"",INDEX(Daily_Input!$F:$F,ROW()-5))</f>
        <v>69605.903878021491</v>
      </c>
      <c r="Q192" s="5">
        <f>IF(ROW()&lt;=2+5,"",INDEX(Daily_Input!$F:$F,ROW()-6))</f>
        <v>78096.91282609367</v>
      </c>
      <c r="R192" s="5">
        <f>IF(ROW()&lt;=2+6,"",INDEX(Daily_Input!$F:$F,ROW()-7))</f>
        <v>68645.615040000004</v>
      </c>
      <c r="S192" s="5">
        <f>IF(ROW()&lt;=2+7,"",INDEX(Daily_Input!$F:$F,ROW()-8))</f>
        <v>71967.533649999998</v>
      </c>
      <c r="T192" s="5">
        <f>IF(ROW()&lt;=2+8,"",INDEX(Daily_Input!$F:$F,ROW()-9))</f>
        <v>75859.2213603001</v>
      </c>
      <c r="U192" s="5">
        <f>IF(ROW()&lt;=2+9,"",INDEX(Daily_Input!$F:$F,ROW()-10))</f>
        <v>83258.237940000006</v>
      </c>
      <c r="V192" s="5">
        <f>IF(ROW()&lt;=2+10,"",INDEX(Daily_Input!$F:$F,ROW()-11))</f>
        <v>90527.126170000003</v>
      </c>
      <c r="W192" s="5">
        <f>IF(ROW()&lt;=2+11,"",INDEX(Daily_Input!$F:$F,ROW()-12))</f>
        <v>97392.949030000003</v>
      </c>
      <c r="X192" s="5">
        <f>IF(ROW()&lt;=2+12,"",INDEX(Daily_Input!$F:$F,ROW()-13))</f>
        <v>98785.285319999995</v>
      </c>
      <c r="Y192" s="5">
        <f>IF(ROW()&lt;=2+13,"",INDEX(Daily_Input!$F:$F,ROW()-14))</f>
        <v>96713.272689999998</v>
      </c>
      <c r="Z192" s="5">
        <f>IF(ROW()&lt;=4,"",SUM(Daily_Input!I192:I194))</f>
        <v>0</v>
      </c>
      <c r="AA192" s="5">
        <f>IF(ROW()&lt;=8,"",SUM(Daily_Input!I192:I198))</f>
        <v>0</v>
      </c>
      <c r="AB192" s="5">
        <f>IF(ROW()&lt;=15,"",SUM(Daily_Input!I192:I205))</f>
        <v>0</v>
      </c>
      <c r="AC192" s="5">
        <f>IF(ROW()&lt;=4,"",AVERAGE(Daily_Input!F192:F194))</f>
        <v>8386.371678728894</v>
      </c>
      <c r="AD192" s="5">
        <f>IF(ROW()&lt;=8,"",AVERAGE(Daily_Input!F192:F198))</f>
        <v>10853.394552007734</v>
      </c>
      <c r="AE192" s="5">
        <f>IF(ROW()&lt;=8,"",MAX(Daily_Input!F192:F198))</f>
        <v>21863.172234242826</v>
      </c>
      <c r="AF192" s="5">
        <f>IF(ROW()&lt;=2+0,"",INDEX(Daily_Input!$G:$G,ROW()-1))</f>
        <v>3018.6</v>
      </c>
      <c r="AG192" s="5">
        <f>IF(ROW()&lt;=2+0,"",INDEX(Daily_Input!$H:$H,ROW()-1))</f>
        <v>46982.487789999999</v>
      </c>
      <c r="AH192" s="5">
        <f>IF(ROW()&lt;=2+1,"",INDEX(Daily_Input!$G:$G,ROW()-2))</f>
        <v>0</v>
      </c>
      <c r="AI192" s="5">
        <f>IF(ROW()&lt;=2+1,"",INDEX(Daily_Input!$H:$H,ROW()-2))</f>
        <v>54691.367140000002</v>
      </c>
      <c r="AJ192" s="5">
        <f>IF(ROW()&lt;=2+2,"",INDEX(Daily_Input!$G:$G,ROW()-3))</f>
        <v>0</v>
      </c>
      <c r="AK192" s="5">
        <f>IF(ROW()&lt;=2+2,"",INDEX(Daily_Input!$H:$H,ROW()-3))</f>
        <v>66183.597609999997</v>
      </c>
    </row>
    <row r="193" spans="1:37">
      <c r="A193" s="5">
        <f>Daily_Input!A193</f>
        <v>46030</v>
      </c>
      <c r="B193" s="5">
        <f>Daily_Input!F193</f>
        <v>0</v>
      </c>
      <c r="C193" s="5">
        <f>Daily_Input!D193</f>
        <v>489.54199999999997</v>
      </c>
      <c r="D193" s="5">
        <f>Daily_Input!E193</f>
        <v>1625463.7590197001</v>
      </c>
      <c r="E193" s="5">
        <f>IF(ROW()=2,"",Daily_Input!E193-Daily_Input!E192)</f>
        <v>-9030.257492599776</v>
      </c>
      <c r="F193" s="5">
        <f>IFERROR(Daily_Input!E193/Config!$B$4,"")</f>
        <v>1</v>
      </c>
      <c r="G193" s="5">
        <f>Daily_Input!I193</f>
        <v>0</v>
      </c>
      <c r="H193" s="5">
        <f>IF(A193="","",IF(ROW()=2,G193,Config!$B$5*H192+G193))</f>
        <v>12.384353273992053</v>
      </c>
      <c r="I193" s="5">
        <f t="shared" si="2"/>
        <v>8</v>
      </c>
      <c r="J193" s="5">
        <f>IF(I193="","",SIN(2*PI()*I193/Config!$B$6))</f>
        <v>0.13727877211326478</v>
      </c>
      <c r="K193" s="5">
        <f>IF(I193="","",COS(2*PI()*I193/Config!$B$6))</f>
        <v>0.99053245213222285</v>
      </c>
      <c r="L193" s="5">
        <f>IF(ROW()&lt;=2+0,"",INDEX(Daily_Input!$F:$F,ROW()-1))</f>
        <v>21863.172234242826</v>
      </c>
      <c r="M193" s="5">
        <f>IF(ROW()&lt;=2+1,"",INDEX(Daily_Input!$F:$F,ROW()-2))</f>
        <v>47660.33264337013</v>
      </c>
      <c r="N193" s="5">
        <f>IF(ROW()&lt;=2+2,"",INDEX(Daily_Input!$F:$F,ROW()-3))</f>
        <v>55365.614115621691</v>
      </c>
      <c r="O193" s="5">
        <f>IF(ROW()&lt;=2+3,"",INDEX(Daily_Input!$F:$F,ROW()-4))</f>
        <v>66857.844585621686</v>
      </c>
      <c r="P193" s="5">
        <f>IF(ROW()&lt;=2+4,"",INDEX(Daily_Input!$F:$F,ROW()-5))</f>
        <v>68975.025125621687</v>
      </c>
      <c r="Q193" s="5">
        <f>IF(ROW()&lt;=2+5,"",INDEX(Daily_Input!$F:$F,ROW()-6))</f>
        <v>69605.903878021491</v>
      </c>
      <c r="R193" s="5">
        <f>IF(ROW()&lt;=2+6,"",INDEX(Daily_Input!$F:$F,ROW()-7))</f>
        <v>78096.91282609367</v>
      </c>
      <c r="S193" s="5">
        <f>IF(ROW()&lt;=2+7,"",INDEX(Daily_Input!$F:$F,ROW()-8))</f>
        <v>68645.615040000004</v>
      </c>
      <c r="T193" s="5">
        <f>IF(ROW()&lt;=2+8,"",INDEX(Daily_Input!$F:$F,ROW()-9))</f>
        <v>71967.533649999998</v>
      </c>
      <c r="U193" s="5">
        <f>IF(ROW()&lt;=2+9,"",INDEX(Daily_Input!$F:$F,ROW()-10))</f>
        <v>75859.2213603001</v>
      </c>
      <c r="V193" s="5">
        <f>IF(ROW()&lt;=2+10,"",INDEX(Daily_Input!$F:$F,ROW()-11))</f>
        <v>83258.237940000006</v>
      </c>
      <c r="W193" s="5">
        <f>IF(ROW()&lt;=2+11,"",INDEX(Daily_Input!$F:$F,ROW()-12))</f>
        <v>90527.126170000003</v>
      </c>
      <c r="X193" s="5">
        <f>IF(ROW()&lt;=2+12,"",INDEX(Daily_Input!$F:$F,ROW()-13))</f>
        <v>97392.949030000003</v>
      </c>
      <c r="Y193" s="5">
        <f>IF(ROW()&lt;=2+13,"",INDEX(Daily_Input!$F:$F,ROW()-14))</f>
        <v>98785.285319999995</v>
      </c>
      <c r="Z193" s="5">
        <f>IF(ROW()&lt;=4,"",SUM(Daily_Input!I193:I195))</f>
        <v>0</v>
      </c>
      <c r="AA193" s="5">
        <f>IF(ROW()&lt;=8,"",SUM(Daily_Input!I193:I199))</f>
        <v>0</v>
      </c>
      <c r="AB193" s="5">
        <f>IF(ROW()&lt;=15,"",SUM(Daily_Input!I193:I206))</f>
        <v>0</v>
      </c>
      <c r="AC193" s="5">
        <f>IF(ROW()&lt;=4,"",AVERAGE(Daily_Input!F193:F195))</f>
        <v>4257.8954089007611</v>
      </c>
      <c r="AD193" s="5">
        <f>IF(ROW()&lt;=8,"",AVERAGE(Daily_Input!F193:F199))</f>
        <v>10433.862385940945</v>
      </c>
      <c r="AE193" s="5">
        <f>IF(ROW()&lt;=8,"",MAX(Daily_Input!F193:F199))</f>
        <v>18926.447071775299</v>
      </c>
      <c r="AF193" s="5">
        <f>IF(ROW()&lt;=2+0,"",INDEX(Daily_Input!$G:$G,ROW()-1))</f>
        <v>5572.7999999999993</v>
      </c>
      <c r="AG193" s="5">
        <f>IF(ROW()&lt;=2+0,"",INDEX(Daily_Input!$H:$H,ROW()-1))</f>
        <v>18630.02349</v>
      </c>
      <c r="AH193" s="5">
        <f>IF(ROW()&lt;=2+1,"",INDEX(Daily_Input!$G:$G,ROW()-2))</f>
        <v>3018.6</v>
      </c>
      <c r="AI193" s="5">
        <f>IF(ROW()&lt;=2+1,"",INDEX(Daily_Input!$H:$H,ROW()-2))</f>
        <v>46982.487789999999</v>
      </c>
      <c r="AJ193" s="5">
        <f>IF(ROW()&lt;=2+2,"",INDEX(Daily_Input!$G:$G,ROW()-3))</f>
        <v>0</v>
      </c>
      <c r="AK193" s="5">
        <f>IF(ROW()&lt;=2+2,"",INDEX(Daily_Input!$H:$H,ROW()-3))</f>
        <v>54691.367140000002</v>
      </c>
    </row>
    <row r="194" spans="1:37">
      <c r="A194" s="5">
        <f>Daily_Input!A194</f>
        <v>46031</v>
      </c>
      <c r="B194" s="5">
        <f>Daily_Input!F194</f>
        <v>3295.9428019438556</v>
      </c>
      <c r="C194" s="5">
        <f>Daily_Input!D194</f>
        <v>489.54300000000001</v>
      </c>
      <c r="D194" s="5">
        <f>Daily_Input!E194</f>
        <v>1625463.7590197001</v>
      </c>
      <c r="E194" s="5">
        <f>IF(ROW()=2,"",Daily_Input!E194-Daily_Input!E193)</f>
        <v>0</v>
      </c>
      <c r="F194" s="5">
        <f>IFERROR(Daily_Input!E194/Config!$B$4,"")</f>
        <v>1</v>
      </c>
      <c r="G194" s="5">
        <f>Daily_Input!I194</f>
        <v>0</v>
      </c>
      <c r="H194" s="5">
        <f>IF(A194="","",IF(ROW()=2,G194,Config!$B$5*H193+G194))</f>
        <v>11.76513561029245</v>
      </c>
      <c r="I194" s="5">
        <f t="shared" si="2"/>
        <v>9</v>
      </c>
      <c r="J194" s="5">
        <f>IF(I194="","",SIN(2*PI()*I194/Config!$B$6))</f>
        <v>0.15430882066428117</v>
      </c>
      <c r="K194" s="5">
        <f>IF(I194="","",COS(2*PI()*I194/Config!$B$6))</f>
        <v>0.98802266566369756</v>
      </c>
      <c r="L194" s="5">
        <f>IF(ROW()&lt;=2+0,"",INDEX(Daily_Input!$F:$F,ROW()-1))</f>
        <v>0</v>
      </c>
      <c r="M194" s="5">
        <f>IF(ROW()&lt;=2+1,"",INDEX(Daily_Input!$F:$F,ROW()-2))</f>
        <v>21863.172234242826</v>
      </c>
      <c r="N194" s="5">
        <f>IF(ROW()&lt;=2+2,"",INDEX(Daily_Input!$F:$F,ROW()-3))</f>
        <v>47660.33264337013</v>
      </c>
      <c r="O194" s="5">
        <f>IF(ROW()&lt;=2+3,"",INDEX(Daily_Input!$F:$F,ROW()-4))</f>
        <v>55365.614115621691</v>
      </c>
      <c r="P194" s="5">
        <f>IF(ROW()&lt;=2+4,"",INDEX(Daily_Input!$F:$F,ROW()-5))</f>
        <v>66857.844585621686</v>
      </c>
      <c r="Q194" s="5">
        <f>IF(ROW()&lt;=2+5,"",INDEX(Daily_Input!$F:$F,ROW()-6))</f>
        <v>68975.025125621687</v>
      </c>
      <c r="R194" s="5">
        <f>IF(ROW()&lt;=2+6,"",INDEX(Daily_Input!$F:$F,ROW()-7))</f>
        <v>69605.903878021491</v>
      </c>
      <c r="S194" s="5">
        <f>IF(ROW()&lt;=2+7,"",INDEX(Daily_Input!$F:$F,ROW()-8))</f>
        <v>78096.91282609367</v>
      </c>
      <c r="T194" s="5">
        <f>IF(ROW()&lt;=2+8,"",INDEX(Daily_Input!$F:$F,ROW()-9))</f>
        <v>68645.615040000004</v>
      </c>
      <c r="U194" s="5">
        <f>IF(ROW()&lt;=2+9,"",INDEX(Daily_Input!$F:$F,ROW()-10))</f>
        <v>71967.533649999998</v>
      </c>
      <c r="V194" s="5">
        <f>IF(ROW()&lt;=2+10,"",INDEX(Daily_Input!$F:$F,ROW()-11))</f>
        <v>75859.2213603001</v>
      </c>
      <c r="W194" s="5">
        <f>IF(ROW()&lt;=2+11,"",INDEX(Daily_Input!$F:$F,ROW()-12))</f>
        <v>83258.237940000006</v>
      </c>
      <c r="X194" s="5">
        <f>IF(ROW()&lt;=2+12,"",INDEX(Daily_Input!$F:$F,ROW()-13))</f>
        <v>90527.126170000003</v>
      </c>
      <c r="Y194" s="5">
        <f>IF(ROW()&lt;=2+13,"",INDEX(Daily_Input!$F:$F,ROW()-14))</f>
        <v>97392.949030000003</v>
      </c>
      <c r="Z194" s="5">
        <f>IF(ROW()&lt;=4,"",SUM(Daily_Input!I194:I196))</f>
        <v>0</v>
      </c>
      <c r="AA194" s="5">
        <f>IF(ROW()&lt;=8,"",SUM(Daily_Input!I194:I200))</f>
        <v>0</v>
      </c>
      <c r="AB194" s="5">
        <f>IF(ROW()&lt;=15,"",SUM(Daily_Input!I194:I207))</f>
        <v>0</v>
      </c>
      <c r="AC194" s="5">
        <f>IF(ROW()&lt;=4,"",AVERAGE(Daily_Input!F194:F196))</f>
        <v>7481.4766953202479</v>
      </c>
      <c r="AD194" s="5">
        <f>IF(ROW()&lt;=8,"",AVERAGE(Daily_Input!F194:F200))</f>
        <v>13494.525323337419</v>
      </c>
      <c r="AE194" s="5">
        <f>IF(ROW()&lt;=8,"",MAX(Daily_Input!F194:F200))</f>
        <v>21424.640561775297</v>
      </c>
      <c r="AF194" s="5">
        <f>IF(ROW()&lt;=2+0,"",INDEX(Daily_Input!$G:$G,ROW()-1))</f>
        <v>2554.1999999999998</v>
      </c>
      <c r="AG194" s="5">
        <f>IF(ROW()&lt;=2+0,"",INDEX(Daily_Input!$H:$H,ROW()-1))</f>
        <v>333.7706771</v>
      </c>
      <c r="AH194" s="5">
        <f>IF(ROW()&lt;=2+1,"",INDEX(Daily_Input!$G:$G,ROW()-2))</f>
        <v>5572.7999999999993</v>
      </c>
      <c r="AI194" s="5">
        <f>IF(ROW()&lt;=2+1,"",INDEX(Daily_Input!$H:$H,ROW()-2))</f>
        <v>18630.02349</v>
      </c>
      <c r="AJ194" s="5">
        <f>IF(ROW()&lt;=2+2,"",INDEX(Daily_Input!$G:$G,ROW()-3))</f>
        <v>3018.6</v>
      </c>
      <c r="AK194" s="5">
        <f>IF(ROW()&lt;=2+2,"",INDEX(Daily_Input!$H:$H,ROW()-3))</f>
        <v>46982.487789999999</v>
      </c>
    </row>
    <row r="195" spans="1:37">
      <c r="A195" s="5">
        <f>Daily_Input!A195</f>
        <v>46032</v>
      </c>
      <c r="B195" s="5">
        <f>Daily_Input!F195</f>
        <v>9477.7434247584279</v>
      </c>
      <c r="C195" s="5">
        <f>Daily_Input!D195</f>
        <v>489.55599999999998</v>
      </c>
      <c r="D195" s="5">
        <f>Daily_Input!E195</f>
        <v>1628472.3057532001</v>
      </c>
      <c r="E195" s="5">
        <f>IF(ROW()=2,"",Daily_Input!E195-Daily_Input!E194)</f>
        <v>3008.5467334999703</v>
      </c>
      <c r="F195" s="5">
        <f>IFERROR(Daily_Input!E195/Config!$B$4,"")</f>
        <v>1.0018508851500414</v>
      </c>
      <c r="G195" s="5">
        <f>Daily_Input!I195</f>
        <v>0</v>
      </c>
      <c r="H195" s="5">
        <f>IF(A195="","",IF(ROW()=2,G195,Config!$B$5*H194+G195))</f>
        <v>11.176878829777827</v>
      </c>
      <c r="I195" s="5">
        <f t="shared" ref="I195:I216" si="3">IF(A195="","",A195-DATE(YEAR(A195),1,0))</f>
        <v>10</v>
      </c>
      <c r="J195" s="5">
        <f>IF(I195="","",SIN(2*PI()*I195/Config!$B$6))</f>
        <v>0.17129314418147759</v>
      </c>
      <c r="K195" s="5">
        <f>IF(I195="","",COS(2*PI()*I195/Config!$B$6))</f>
        <v>0.98522010675606064</v>
      </c>
      <c r="L195" s="5">
        <f>IF(ROW()&lt;=2+0,"",INDEX(Daily_Input!$F:$F,ROW()-1))</f>
        <v>3295.9428019438556</v>
      </c>
      <c r="M195" s="5">
        <f>IF(ROW()&lt;=2+1,"",INDEX(Daily_Input!$F:$F,ROW()-2))</f>
        <v>0</v>
      </c>
      <c r="N195" s="5">
        <f>IF(ROW()&lt;=2+2,"",INDEX(Daily_Input!$F:$F,ROW()-3))</f>
        <v>21863.172234242826</v>
      </c>
      <c r="O195" s="5">
        <f>IF(ROW()&lt;=2+3,"",INDEX(Daily_Input!$F:$F,ROW()-4))</f>
        <v>47660.33264337013</v>
      </c>
      <c r="P195" s="5">
        <f>IF(ROW()&lt;=2+4,"",INDEX(Daily_Input!$F:$F,ROW()-5))</f>
        <v>55365.614115621691</v>
      </c>
      <c r="Q195" s="5">
        <f>IF(ROW()&lt;=2+5,"",INDEX(Daily_Input!$F:$F,ROW()-6))</f>
        <v>66857.844585621686</v>
      </c>
      <c r="R195" s="5">
        <f>IF(ROW()&lt;=2+6,"",INDEX(Daily_Input!$F:$F,ROW()-7))</f>
        <v>68975.025125621687</v>
      </c>
      <c r="S195" s="5">
        <f>IF(ROW()&lt;=2+7,"",INDEX(Daily_Input!$F:$F,ROW()-8))</f>
        <v>69605.903878021491</v>
      </c>
      <c r="T195" s="5">
        <f>IF(ROW()&lt;=2+8,"",INDEX(Daily_Input!$F:$F,ROW()-9))</f>
        <v>78096.91282609367</v>
      </c>
      <c r="U195" s="5">
        <f>IF(ROW()&lt;=2+9,"",INDEX(Daily_Input!$F:$F,ROW()-10))</f>
        <v>68645.615040000004</v>
      </c>
      <c r="V195" s="5">
        <f>IF(ROW()&lt;=2+10,"",INDEX(Daily_Input!$F:$F,ROW()-11))</f>
        <v>71967.533649999998</v>
      </c>
      <c r="W195" s="5">
        <f>IF(ROW()&lt;=2+11,"",INDEX(Daily_Input!$F:$F,ROW()-12))</f>
        <v>75859.2213603001</v>
      </c>
      <c r="X195" s="5">
        <f>IF(ROW()&lt;=2+12,"",INDEX(Daily_Input!$F:$F,ROW()-13))</f>
        <v>83258.237940000006</v>
      </c>
      <c r="Y195" s="5">
        <f>IF(ROW()&lt;=2+13,"",INDEX(Daily_Input!$F:$F,ROW()-14))</f>
        <v>90527.126170000003</v>
      </c>
      <c r="Z195" s="5">
        <f>IF(ROW()&lt;=4,"",SUM(Daily_Input!I195:I197))</f>
        <v>0</v>
      </c>
      <c r="AA195" s="5">
        <f>IF(ROW()&lt;=8,"",SUM(Daily_Input!I195:I201))</f>
        <v>0</v>
      </c>
      <c r="AB195" s="5">
        <f>IF(ROW()&lt;=15,"",SUM(Daily_Input!I195:I208))</f>
        <v>0</v>
      </c>
      <c r="AC195" s="5">
        <f>IF(ROW()&lt;=4,"",AVERAGE(Daily_Input!F195:F197))</f>
        <v>11848.83978203072</v>
      </c>
      <c r="AD195" s="5">
        <f>IF(ROW()&lt;=8,"",AVERAGE(Daily_Input!F195:F201))</f>
        <v>16155.098439027623</v>
      </c>
      <c r="AE195" s="5">
        <f>IF(ROW()&lt;=8,"",MAX(Daily_Input!F195:F201))</f>
        <v>21919.954611775298</v>
      </c>
      <c r="AF195" s="5">
        <f>IF(ROW()&lt;=2+0,"",INDEX(Daily_Input!$G:$G,ROW()-1))</f>
        <v>0</v>
      </c>
      <c r="AG195" s="5">
        <f>IF(ROW()&lt;=2+0,"",INDEX(Daily_Input!$H:$H,ROW()-1))</f>
        <v>2623.4287260000001</v>
      </c>
      <c r="AH195" s="5">
        <f>IF(ROW()&lt;=2+1,"",INDEX(Daily_Input!$G:$G,ROW()-2))</f>
        <v>2554.1999999999998</v>
      </c>
      <c r="AI195" s="5">
        <f>IF(ROW()&lt;=2+1,"",INDEX(Daily_Input!$H:$H,ROW()-2))</f>
        <v>333.7706771</v>
      </c>
      <c r="AJ195" s="5">
        <f>IF(ROW()&lt;=2+2,"",INDEX(Daily_Input!$G:$G,ROW()-3))</f>
        <v>5572.7999999999993</v>
      </c>
      <c r="AK195" s="5">
        <f>IF(ROW()&lt;=2+2,"",INDEX(Daily_Input!$H:$H,ROW()-3))</f>
        <v>18630.02349</v>
      </c>
    </row>
    <row r="196" spans="1:37">
      <c r="A196" s="5">
        <f>Daily_Input!A196</f>
        <v>46033</v>
      </c>
      <c r="B196" s="5">
        <f>Daily_Input!F196</f>
        <v>9670.7438592584585</v>
      </c>
      <c r="C196" s="5">
        <f>Daily_Input!D196</f>
        <v>489.55500000000001</v>
      </c>
      <c r="D196" s="5">
        <f>Daily_Input!E196</f>
        <v>1628472.3057532001</v>
      </c>
      <c r="E196" s="5">
        <f>IF(ROW()=2,"",Daily_Input!E196-Daily_Input!E195)</f>
        <v>0</v>
      </c>
      <c r="F196" s="5">
        <f>IFERROR(Daily_Input!E196/Config!$B$4,"")</f>
        <v>1.0018508851500414</v>
      </c>
      <c r="G196" s="5">
        <f>Daily_Input!I196</f>
        <v>0</v>
      </c>
      <c r="H196" s="5">
        <f>IF(A196="","",IF(ROW()=2,G196,Config!$B$5*H195+G196))</f>
        <v>10.618034888288935</v>
      </c>
      <c r="I196" s="5">
        <f t="shared" si="3"/>
        <v>11</v>
      </c>
      <c r="J196" s="5">
        <f>IF(I196="","",SIN(2*PI()*I196/Config!$B$6))</f>
        <v>0.18822670984324419</v>
      </c>
      <c r="K196" s="5">
        <f>IF(I196="","",COS(2*PI()*I196/Config!$B$6))</f>
        <v>0.98212560586800057</v>
      </c>
      <c r="L196" s="5">
        <f>IF(ROW()&lt;=2+0,"",INDEX(Daily_Input!$F:$F,ROW()-1))</f>
        <v>9477.7434247584279</v>
      </c>
      <c r="M196" s="5">
        <f>IF(ROW()&lt;=2+1,"",INDEX(Daily_Input!$F:$F,ROW()-2))</f>
        <v>3295.9428019438556</v>
      </c>
      <c r="N196" s="5">
        <f>IF(ROW()&lt;=2+2,"",INDEX(Daily_Input!$F:$F,ROW()-3))</f>
        <v>0</v>
      </c>
      <c r="O196" s="5">
        <f>IF(ROW()&lt;=2+3,"",INDEX(Daily_Input!$F:$F,ROW()-4))</f>
        <v>21863.172234242826</v>
      </c>
      <c r="P196" s="5">
        <f>IF(ROW()&lt;=2+4,"",INDEX(Daily_Input!$F:$F,ROW()-5))</f>
        <v>47660.33264337013</v>
      </c>
      <c r="Q196" s="5">
        <f>IF(ROW()&lt;=2+5,"",INDEX(Daily_Input!$F:$F,ROW()-6))</f>
        <v>55365.614115621691</v>
      </c>
      <c r="R196" s="5">
        <f>IF(ROW()&lt;=2+6,"",INDEX(Daily_Input!$F:$F,ROW()-7))</f>
        <v>66857.844585621686</v>
      </c>
      <c r="S196" s="5">
        <f>IF(ROW()&lt;=2+7,"",INDEX(Daily_Input!$F:$F,ROW()-8))</f>
        <v>68975.025125621687</v>
      </c>
      <c r="T196" s="5">
        <f>IF(ROW()&lt;=2+8,"",INDEX(Daily_Input!$F:$F,ROW()-9))</f>
        <v>69605.903878021491</v>
      </c>
      <c r="U196" s="5">
        <f>IF(ROW()&lt;=2+9,"",INDEX(Daily_Input!$F:$F,ROW()-10))</f>
        <v>78096.91282609367</v>
      </c>
      <c r="V196" s="5">
        <f>IF(ROW()&lt;=2+10,"",INDEX(Daily_Input!$F:$F,ROW()-11))</f>
        <v>68645.615040000004</v>
      </c>
      <c r="W196" s="5">
        <f>IF(ROW()&lt;=2+11,"",INDEX(Daily_Input!$F:$F,ROW()-12))</f>
        <v>71967.533649999998</v>
      </c>
      <c r="X196" s="5">
        <f>IF(ROW()&lt;=2+12,"",INDEX(Daily_Input!$F:$F,ROW()-13))</f>
        <v>75859.2213603001</v>
      </c>
      <c r="Y196" s="5">
        <f>IF(ROW()&lt;=2+13,"",INDEX(Daily_Input!$F:$F,ROW()-14))</f>
        <v>83258.237940000006</v>
      </c>
      <c r="Z196" s="5">
        <f>IF(ROW()&lt;=4,"",SUM(Daily_Input!I196:I198))</f>
        <v>0</v>
      </c>
      <c r="AA196" s="5">
        <f>IF(ROW()&lt;=8,"",SUM(Daily_Input!I196:I202))</f>
        <v>0</v>
      </c>
      <c r="AB196" s="5">
        <f>IF(ROW()&lt;=15,"",SUM(Daily_Input!I196:I209))</f>
        <v>0</v>
      </c>
      <c r="AC196" s="5">
        <f>IF(ROW()&lt;=4,"",AVERAGE(Daily_Input!F196:F198))</f>
        <v>13778.967801036344</v>
      </c>
      <c r="AD196" s="5">
        <f>IF(ROW()&lt;=8,"",AVERAGE(Daily_Input!F196:F202))</f>
        <v>17767.619225744314</v>
      </c>
      <c r="AE196" s="5">
        <f>IF(ROW()&lt;=8,"",MAX(Daily_Input!F196:F202))</f>
        <v>21919.954611775298</v>
      </c>
      <c r="AF196" s="5">
        <f>IF(ROW()&lt;=2+0,"",INDEX(Daily_Input!$G:$G,ROW()-1))</f>
        <v>0</v>
      </c>
      <c r="AG196" s="5">
        <f>IF(ROW()&lt;=2+0,"",INDEX(Daily_Input!$H:$H,ROW()-1))</f>
        <v>5796.3379560000003</v>
      </c>
      <c r="AH196" s="5">
        <f>IF(ROW()&lt;=2+1,"",INDEX(Daily_Input!$G:$G,ROW()-2))</f>
        <v>0</v>
      </c>
      <c r="AI196" s="5">
        <f>IF(ROW()&lt;=2+1,"",INDEX(Daily_Input!$H:$H,ROW()-2))</f>
        <v>2623.4287260000001</v>
      </c>
      <c r="AJ196" s="5">
        <f>IF(ROW()&lt;=2+2,"",INDEX(Daily_Input!$G:$G,ROW()-3))</f>
        <v>2554.1999999999998</v>
      </c>
      <c r="AK196" s="5">
        <f>IF(ROW()&lt;=2+2,"",INDEX(Daily_Input!$H:$H,ROW()-3))</f>
        <v>333.7706771</v>
      </c>
    </row>
    <row r="197" spans="1:37">
      <c r="A197" s="5">
        <f>Daily_Input!A197</f>
        <v>46034</v>
      </c>
      <c r="B197" s="5">
        <f>Daily_Input!F197</f>
        <v>16398.032062075275</v>
      </c>
      <c r="C197" s="5">
        <f>Daily_Input!D197</f>
        <v>489.56099999999998</v>
      </c>
      <c r="D197" s="5">
        <f>Daily_Input!E197</f>
        <v>1631482.3951735001</v>
      </c>
      <c r="E197" s="5">
        <f>IF(ROW()=2,"",Daily_Input!E197-Daily_Input!E196)</f>
        <v>3010.0894202999771</v>
      </c>
      <c r="F197" s="5">
        <f>IFERROR(Daily_Input!E197/Config!$B$4,"")</f>
        <v>1.0037027193749493</v>
      </c>
      <c r="G197" s="5">
        <f>Daily_Input!I197</f>
        <v>0</v>
      </c>
      <c r="H197" s="5">
        <f>IF(A197="","",IF(ROW()=2,G197,Config!$B$5*H196+G197))</f>
        <v>10.087133143874489</v>
      </c>
      <c r="I197" s="5">
        <f t="shared" si="3"/>
        <v>12</v>
      </c>
      <c r="J197" s="5">
        <f>IF(I197="","",SIN(2*PI()*I197/Config!$B$6))</f>
        <v>0.2051044998686192</v>
      </c>
      <c r="K197" s="5">
        <f>IF(I197="","",COS(2*PI()*I197/Config!$B$6))</f>
        <v>0.97874007996691526</v>
      </c>
      <c r="L197" s="5">
        <f>IF(ROW()&lt;=2+0,"",INDEX(Daily_Input!$F:$F,ROW()-1))</f>
        <v>9670.7438592584585</v>
      </c>
      <c r="M197" s="5">
        <f>IF(ROW()&lt;=2+1,"",INDEX(Daily_Input!$F:$F,ROW()-2))</f>
        <v>9477.7434247584279</v>
      </c>
      <c r="N197" s="5">
        <f>IF(ROW()&lt;=2+2,"",INDEX(Daily_Input!$F:$F,ROW()-3))</f>
        <v>3295.9428019438556</v>
      </c>
      <c r="O197" s="5">
        <f>IF(ROW()&lt;=2+3,"",INDEX(Daily_Input!$F:$F,ROW()-4))</f>
        <v>0</v>
      </c>
      <c r="P197" s="5">
        <f>IF(ROW()&lt;=2+4,"",INDEX(Daily_Input!$F:$F,ROW()-5))</f>
        <v>21863.172234242826</v>
      </c>
      <c r="Q197" s="5">
        <f>IF(ROW()&lt;=2+5,"",INDEX(Daily_Input!$F:$F,ROW()-6))</f>
        <v>47660.33264337013</v>
      </c>
      <c r="R197" s="5">
        <f>IF(ROW()&lt;=2+6,"",INDEX(Daily_Input!$F:$F,ROW()-7))</f>
        <v>55365.614115621691</v>
      </c>
      <c r="S197" s="5">
        <f>IF(ROW()&lt;=2+7,"",INDEX(Daily_Input!$F:$F,ROW()-8))</f>
        <v>66857.844585621686</v>
      </c>
      <c r="T197" s="5">
        <f>IF(ROW()&lt;=2+8,"",INDEX(Daily_Input!$F:$F,ROW()-9))</f>
        <v>68975.025125621687</v>
      </c>
      <c r="U197" s="5">
        <f>IF(ROW()&lt;=2+9,"",INDEX(Daily_Input!$F:$F,ROW()-10))</f>
        <v>69605.903878021491</v>
      </c>
      <c r="V197" s="5">
        <f>IF(ROW()&lt;=2+10,"",INDEX(Daily_Input!$F:$F,ROW()-11))</f>
        <v>78096.91282609367</v>
      </c>
      <c r="W197" s="5">
        <f>IF(ROW()&lt;=2+11,"",INDEX(Daily_Input!$F:$F,ROW()-12))</f>
        <v>68645.615040000004</v>
      </c>
      <c r="X197" s="5">
        <f>IF(ROW()&lt;=2+12,"",INDEX(Daily_Input!$F:$F,ROW()-13))</f>
        <v>71967.533649999998</v>
      </c>
      <c r="Y197" s="5">
        <f>IF(ROW()&lt;=2+13,"",INDEX(Daily_Input!$F:$F,ROW()-14))</f>
        <v>75859.2213603001</v>
      </c>
      <c r="Z197" s="5">
        <f>IF(ROW()&lt;=4,"",SUM(Daily_Input!I197:I199))</f>
        <v>0</v>
      </c>
      <c r="AA197" s="5">
        <f>IF(ROW()&lt;=8,"",SUM(Daily_Input!I197:I203))</f>
        <v>0</v>
      </c>
      <c r="AB197" s="5">
        <f>IF(ROW()&lt;=15,"",SUM(Daily_Input!I197:I210))</f>
        <v>0</v>
      </c>
      <c r="AC197" s="5">
        <f>IF(ROW()&lt;=4,"",AVERAGE(Daily_Input!F197:F199))</f>
        <v>16864.202205208625</v>
      </c>
      <c r="AD197" s="5">
        <f>IF(ROW()&lt;=8,"",AVERAGE(Daily_Input!F197:F203))</f>
        <v>18902.869541818152</v>
      </c>
      <c r="AE197" s="5">
        <f>IF(ROW()&lt;=8,"",MAX(Daily_Input!F197:F203))</f>
        <v>21919.954611775298</v>
      </c>
      <c r="AF197" s="5">
        <f>IF(ROW()&lt;=2+0,"",INDEX(Daily_Input!$G:$G,ROW()-1))</f>
        <v>0</v>
      </c>
      <c r="AG197" s="5">
        <f>IF(ROW()&lt;=2+0,"",INDEX(Daily_Input!$H:$H,ROW()-1))</f>
        <v>8997.8851240000004</v>
      </c>
      <c r="AH197" s="5">
        <f>IF(ROW()&lt;=2+1,"",INDEX(Daily_Input!$G:$G,ROW()-2))</f>
        <v>0</v>
      </c>
      <c r="AI197" s="5">
        <f>IF(ROW()&lt;=2+1,"",INDEX(Daily_Input!$H:$H,ROW()-2))</f>
        <v>5796.3379560000003</v>
      </c>
      <c r="AJ197" s="5">
        <f>IF(ROW()&lt;=2+2,"",INDEX(Daily_Input!$G:$G,ROW()-3))</f>
        <v>0</v>
      </c>
      <c r="AK197" s="5">
        <f>IF(ROW()&lt;=2+2,"",INDEX(Daily_Input!$H:$H,ROW()-3))</f>
        <v>2623.4287260000001</v>
      </c>
    </row>
    <row r="198" spans="1:37">
      <c r="A198" s="5">
        <f>Daily_Input!A198</f>
        <v>46035</v>
      </c>
      <c r="B198" s="5">
        <f>Daily_Input!F198</f>
        <v>15268.1274817753</v>
      </c>
      <c r="C198" s="5">
        <f>Daily_Input!D198</f>
        <v>489.56099999999998</v>
      </c>
      <c r="D198" s="5">
        <f>Daily_Input!E198</f>
        <v>1631482.3951735001</v>
      </c>
      <c r="E198" s="5">
        <f>IF(ROW()=2,"",Daily_Input!E198-Daily_Input!E197)</f>
        <v>0</v>
      </c>
      <c r="F198" s="5">
        <f>IFERROR(Daily_Input!E198/Config!$B$4,"")</f>
        <v>1.0037027193749493</v>
      </c>
      <c r="G198" s="5">
        <f>Daily_Input!I198</f>
        <v>0</v>
      </c>
      <c r="H198" s="5">
        <f>IF(A198="","",IF(ROW()=2,G198,Config!$B$5*H197+G198))</f>
        <v>9.5827764866807641</v>
      </c>
      <c r="I198" s="5">
        <f t="shared" si="3"/>
        <v>13</v>
      </c>
      <c r="J198" s="5">
        <f>IF(I198="","",SIN(2*PI()*I198/Config!$B$6))</f>
        <v>0.22192151300416549</v>
      </c>
      <c r="K198" s="5">
        <f>IF(I198="","",COS(2*PI()*I198/Config!$B$6))</f>
        <v>0.9750645322571948</v>
      </c>
      <c r="L198" s="5">
        <f>IF(ROW()&lt;=2+0,"",INDEX(Daily_Input!$F:$F,ROW()-1))</f>
        <v>16398.032062075275</v>
      </c>
      <c r="M198" s="5">
        <f>IF(ROW()&lt;=2+1,"",INDEX(Daily_Input!$F:$F,ROW()-2))</f>
        <v>9670.7438592584585</v>
      </c>
      <c r="N198" s="5">
        <f>IF(ROW()&lt;=2+2,"",INDEX(Daily_Input!$F:$F,ROW()-3))</f>
        <v>9477.7434247584279</v>
      </c>
      <c r="O198" s="5">
        <f>IF(ROW()&lt;=2+3,"",INDEX(Daily_Input!$F:$F,ROW()-4))</f>
        <v>3295.9428019438556</v>
      </c>
      <c r="P198" s="5">
        <f>IF(ROW()&lt;=2+4,"",INDEX(Daily_Input!$F:$F,ROW()-5))</f>
        <v>0</v>
      </c>
      <c r="Q198" s="5">
        <f>IF(ROW()&lt;=2+5,"",INDEX(Daily_Input!$F:$F,ROW()-6))</f>
        <v>21863.172234242826</v>
      </c>
      <c r="R198" s="5">
        <f>IF(ROW()&lt;=2+6,"",INDEX(Daily_Input!$F:$F,ROW()-7))</f>
        <v>47660.33264337013</v>
      </c>
      <c r="S198" s="5">
        <f>IF(ROW()&lt;=2+7,"",INDEX(Daily_Input!$F:$F,ROW()-8))</f>
        <v>55365.614115621691</v>
      </c>
      <c r="T198" s="5">
        <f>IF(ROW()&lt;=2+8,"",INDEX(Daily_Input!$F:$F,ROW()-9))</f>
        <v>66857.844585621686</v>
      </c>
      <c r="U198" s="5">
        <f>IF(ROW()&lt;=2+9,"",INDEX(Daily_Input!$F:$F,ROW()-10))</f>
        <v>68975.025125621687</v>
      </c>
      <c r="V198" s="5">
        <f>IF(ROW()&lt;=2+10,"",INDEX(Daily_Input!$F:$F,ROW()-11))</f>
        <v>69605.903878021491</v>
      </c>
      <c r="W198" s="5">
        <f>IF(ROW()&lt;=2+11,"",INDEX(Daily_Input!$F:$F,ROW()-12))</f>
        <v>78096.91282609367</v>
      </c>
      <c r="X198" s="5">
        <f>IF(ROW()&lt;=2+12,"",INDEX(Daily_Input!$F:$F,ROW()-13))</f>
        <v>68645.615040000004</v>
      </c>
      <c r="Y198" s="5">
        <f>IF(ROW()&lt;=2+13,"",INDEX(Daily_Input!$F:$F,ROW()-14))</f>
        <v>71967.533649999998</v>
      </c>
      <c r="Z198" s="5">
        <f>IF(ROW()&lt;=4,"",SUM(Daily_Input!I198:I200))</f>
        <v>0</v>
      </c>
      <c r="AA198" s="5">
        <f>IF(ROW()&lt;=8,"",SUM(Daily_Input!I198:I204))</f>
        <v>0</v>
      </c>
      <c r="AB198" s="5">
        <f>IF(ROW()&lt;=15,"",SUM(Daily_Input!I198:I211))</f>
        <v>0</v>
      </c>
      <c r="AC198" s="5">
        <f>IF(ROW()&lt;=4,"",AVERAGE(Daily_Input!F198:F200))</f>
        <v>18539.7383717753</v>
      </c>
      <c r="AD198" s="5">
        <f>IF(ROW()&lt;=8,"",AVERAGE(Daily_Input!F198:F204))</f>
        <v>19039.20221606101</v>
      </c>
      <c r="AE198" s="5">
        <f>IF(ROW()&lt;=8,"",MAX(Daily_Input!F198:F204))</f>
        <v>21919.954611775298</v>
      </c>
      <c r="AF198" s="5">
        <f>IF(ROW()&lt;=2+0,"",INDEX(Daily_Input!$G:$G,ROW()-1))</f>
        <v>0</v>
      </c>
      <c r="AG198" s="5">
        <f>IF(ROW()&lt;=2+0,"",INDEX(Daily_Input!$H:$H,ROW()-1))</f>
        <v>12714.737880000001</v>
      </c>
      <c r="AH198" s="5">
        <f>IF(ROW()&lt;=2+1,"",INDEX(Daily_Input!$G:$G,ROW()-2))</f>
        <v>0</v>
      </c>
      <c r="AI198" s="5">
        <f>IF(ROW()&lt;=2+1,"",INDEX(Daily_Input!$H:$H,ROW()-2))</f>
        <v>8997.8851240000004</v>
      </c>
      <c r="AJ198" s="5">
        <f>IF(ROW()&lt;=2+2,"",INDEX(Daily_Input!$G:$G,ROW()-3))</f>
        <v>0</v>
      </c>
      <c r="AK198" s="5">
        <f>IF(ROW()&lt;=2+2,"",INDEX(Daily_Input!$H:$H,ROW()-3))</f>
        <v>5796.3379560000003</v>
      </c>
    </row>
    <row r="199" spans="1:37">
      <c r="A199" s="5">
        <f>Daily_Input!A199</f>
        <v>46036</v>
      </c>
      <c r="B199" s="5">
        <f>Daily_Input!F199</f>
        <v>18926.447071775299</v>
      </c>
      <c r="C199" s="5">
        <f>Daily_Input!D199</f>
        <v>489.56799999999998</v>
      </c>
      <c r="D199" s="5">
        <f>Daily_Input!E199</f>
        <v>1631482.3951735001</v>
      </c>
      <c r="E199" s="5">
        <f>IF(ROW()=2,"",Daily_Input!E199-Daily_Input!E198)</f>
        <v>0</v>
      </c>
      <c r="F199" s="5">
        <f>IFERROR(Daily_Input!E199/Config!$B$4,"")</f>
        <v>1.0037027193749493</v>
      </c>
      <c r="G199" s="5">
        <f>Daily_Input!I199</f>
        <v>0</v>
      </c>
      <c r="H199" s="5">
        <f>IF(A199="","",IF(ROW()=2,G199,Config!$B$5*H198+G199))</f>
        <v>9.1036376623467259</v>
      </c>
      <c r="I199" s="5">
        <f t="shared" si="3"/>
        <v>14</v>
      </c>
      <c r="J199" s="5">
        <f>IF(I199="","",SIN(2*PI()*I199/Config!$B$6))</f>
        <v>0.23867276600595011</v>
      </c>
      <c r="K199" s="5">
        <f>IF(I199="","",COS(2*PI()*I199/Config!$B$6))</f>
        <v>0.97110005188295045</v>
      </c>
      <c r="L199" s="5">
        <f>IF(ROW()&lt;=2+0,"",INDEX(Daily_Input!$F:$F,ROW()-1))</f>
        <v>15268.1274817753</v>
      </c>
      <c r="M199" s="5">
        <f>IF(ROW()&lt;=2+1,"",INDEX(Daily_Input!$F:$F,ROW()-2))</f>
        <v>16398.032062075275</v>
      </c>
      <c r="N199" s="5">
        <f>IF(ROW()&lt;=2+2,"",INDEX(Daily_Input!$F:$F,ROW()-3))</f>
        <v>9670.7438592584585</v>
      </c>
      <c r="O199" s="5">
        <f>IF(ROW()&lt;=2+3,"",INDEX(Daily_Input!$F:$F,ROW()-4))</f>
        <v>9477.7434247584279</v>
      </c>
      <c r="P199" s="5">
        <f>IF(ROW()&lt;=2+4,"",INDEX(Daily_Input!$F:$F,ROW()-5))</f>
        <v>3295.9428019438556</v>
      </c>
      <c r="Q199" s="5">
        <f>IF(ROW()&lt;=2+5,"",INDEX(Daily_Input!$F:$F,ROW()-6))</f>
        <v>0</v>
      </c>
      <c r="R199" s="5">
        <f>IF(ROW()&lt;=2+6,"",INDEX(Daily_Input!$F:$F,ROW()-7))</f>
        <v>21863.172234242826</v>
      </c>
      <c r="S199" s="5">
        <f>IF(ROW()&lt;=2+7,"",INDEX(Daily_Input!$F:$F,ROW()-8))</f>
        <v>47660.33264337013</v>
      </c>
      <c r="T199" s="5">
        <f>IF(ROW()&lt;=2+8,"",INDEX(Daily_Input!$F:$F,ROW()-9))</f>
        <v>55365.614115621691</v>
      </c>
      <c r="U199" s="5">
        <f>IF(ROW()&lt;=2+9,"",INDEX(Daily_Input!$F:$F,ROW()-10))</f>
        <v>66857.844585621686</v>
      </c>
      <c r="V199" s="5">
        <f>IF(ROW()&lt;=2+10,"",INDEX(Daily_Input!$F:$F,ROW()-11))</f>
        <v>68975.025125621687</v>
      </c>
      <c r="W199" s="5">
        <f>IF(ROW()&lt;=2+11,"",INDEX(Daily_Input!$F:$F,ROW()-12))</f>
        <v>69605.903878021491</v>
      </c>
      <c r="X199" s="5">
        <f>IF(ROW()&lt;=2+12,"",INDEX(Daily_Input!$F:$F,ROW()-13))</f>
        <v>78096.91282609367</v>
      </c>
      <c r="Y199" s="5">
        <f>IF(ROW()&lt;=2+13,"",INDEX(Daily_Input!$F:$F,ROW()-14))</f>
        <v>68645.615040000004</v>
      </c>
      <c r="Z199" s="5">
        <f>IF(ROW()&lt;=4,"",SUM(Daily_Input!I199:I201))</f>
        <v>0</v>
      </c>
      <c r="AA199" s="5">
        <f>IF(ROW()&lt;=8,"",SUM(Daily_Input!I199:I205))</f>
        <v>0</v>
      </c>
      <c r="AB199" s="5">
        <f>IF(ROW()&lt;=15,"",SUM(Daily_Input!I199:I212))</f>
        <v>0</v>
      </c>
      <c r="AC199" s="5">
        <f>IF(ROW()&lt;=4,"",AVERAGE(Daily_Input!F199:F201))</f>
        <v>20757.014081775298</v>
      </c>
      <c r="AD199" s="5">
        <f>IF(ROW()&lt;=8,"",AVERAGE(Daily_Input!F199:F205))</f>
        <v>19357.784858918156</v>
      </c>
      <c r="AE199" s="5">
        <f>IF(ROW()&lt;=8,"",MAX(Daily_Input!F199:F205))</f>
        <v>21919.954611775298</v>
      </c>
      <c r="AF199" s="5">
        <f>IF(ROW()&lt;=2+0,"",INDEX(Daily_Input!$G:$G,ROW()-1))</f>
        <v>0</v>
      </c>
      <c r="AG199" s="5">
        <f>IF(ROW()&lt;=2+0,"",INDEX(Daily_Input!$H:$H,ROW()-1))</f>
        <v>14594.92272</v>
      </c>
      <c r="AH199" s="5">
        <f>IF(ROW()&lt;=2+1,"",INDEX(Daily_Input!$G:$G,ROW()-2))</f>
        <v>0</v>
      </c>
      <c r="AI199" s="5">
        <f>IF(ROW()&lt;=2+1,"",INDEX(Daily_Input!$H:$H,ROW()-2))</f>
        <v>12714.737880000001</v>
      </c>
      <c r="AJ199" s="5">
        <f>IF(ROW()&lt;=2+2,"",INDEX(Daily_Input!$G:$G,ROW()-3))</f>
        <v>0</v>
      </c>
      <c r="AK199" s="5">
        <f>IF(ROW()&lt;=2+2,"",INDEX(Daily_Input!$H:$H,ROW()-3))</f>
        <v>8997.8851240000004</v>
      </c>
    </row>
    <row r="200" spans="1:37">
      <c r="A200" s="5">
        <f>Daily_Input!A200</f>
        <v>46037</v>
      </c>
      <c r="B200" s="5">
        <f>Daily_Input!F200</f>
        <v>21424.640561775297</v>
      </c>
      <c r="C200" s="5">
        <f>Daily_Input!D200</f>
        <v>489.56799999999998</v>
      </c>
      <c r="D200" s="5">
        <f>Daily_Input!E200</f>
        <v>1631482.3951735001</v>
      </c>
      <c r="E200" s="5">
        <f>IF(ROW()=2,"",Daily_Input!E200-Daily_Input!E199)</f>
        <v>0</v>
      </c>
      <c r="F200" s="5">
        <f>IFERROR(Daily_Input!E200/Config!$B$4,"")</f>
        <v>1.0037027193749493</v>
      </c>
      <c r="G200" s="5">
        <f>Daily_Input!I200</f>
        <v>0</v>
      </c>
      <c r="H200" s="5">
        <f>IF(A200="","",IF(ROW()=2,G200,Config!$B$5*H199+G200))</f>
        <v>8.6484557792293888</v>
      </c>
      <c r="I200" s="5">
        <f t="shared" si="3"/>
        <v>15</v>
      </c>
      <c r="J200" s="5">
        <f>IF(I200="","",SIN(2*PI()*I200/Config!$B$6))</f>
        <v>0.25535329511618698</v>
      </c>
      <c r="K200" s="5">
        <f>IF(I200="","",COS(2*PI()*I200/Config!$B$6))</f>
        <v>0.9668478136052775</v>
      </c>
      <c r="L200" s="5">
        <f>IF(ROW()&lt;=2+0,"",INDEX(Daily_Input!$F:$F,ROW()-1))</f>
        <v>18926.447071775299</v>
      </c>
      <c r="M200" s="5">
        <f>IF(ROW()&lt;=2+1,"",INDEX(Daily_Input!$F:$F,ROW()-2))</f>
        <v>15268.1274817753</v>
      </c>
      <c r="N200" s="5">
        <f>IF(ROW()&lt;=2+2,"",INDEX(Daily_Input!$F:$F,ROW()-3))</f>
        <v>16398.032062075275</v>
      </c>
      <c r="O200" s="5">
        <f>IF(ROW()&lt;=2+3,"",INDEX(Daily_Input!$F:$F,ROW()-4))</f>
        <v>9670.7438592584585</v>
      </c>
      <c r="P200" s="5">
        <f>IF(ROW()&lt;=2+4,"",INDEX(Daily_Input!$F:$F,ROW()-5))</f>
        <v>9477.7434247584279</v>
      </c>
      <c r="Q200" s="5">
        <f>IF(ROW()&lt;=2+5,"",INDEX(Daily_Input!$F:$F,ROW()-6))</f>
        <v>3295.9428019438556</v>
      </c>
      <c r="R200" s="5">
        <f>IF(ROW()&lt;=2+6,"",INDEX(Daily_Input!$F:$F,ROW()-7))</f>
        <v>0</v>
      </c>
      <c r="S200" s="5">
        <f>IF(ROW()&lt;=2+7,"",INDEX(Daily_Input!$F:$F,ROW()-8))</f>
        <v>21863.172234242826</v>
      </c>
      <c r="T200" s="5">
        <f>IF(ROW()&lt;=2+8,"",INDEX(Daily_Input!$F:$F,ROW()-9))</f>
        <v>47660.33264337013</v>
      </c>
      <c r="U200" s="5">
        <f>IF(ROW()&lt;=2+9,"",INDEX(Daily_Input!$F:$F,ROW()-10))</f>
        <v>55365.614115621691</v>
      </c>
      <c r="V200" s="5">
        <f>IF(ROW()&lt;=2+10,"",INDEX(Daily_Input!$F:$F,ROW()-11))</f>
        <v>66857.844585621686</v>
      </c>
      <c r="W200" s="5">
        <f>IF(ROW()&lt;=2+11,"",INDEX(Daily_Input!$F:$F,ROW()-12))</f>
        <v>68975.025125621687</v>
      </c>
      <c r="X200" s="5">
        <f>IF(ROW()&lt;=2+12,"",INDEX(Daily_Input!$F:$F,ROW()-13))</f>
        <v>69605.903878021491</v>
      </c>
      <c r="Y200" s="5">
        <f>IF(ROW()&lt;=2+13,"",INDEX(Daily_Input!$F:$F,ROW()-14))</f>
        <v>78096.91282609367</v>
      </c>
      <c r="Z200" s="5">
        <f>IF(ROW()&lt;=4,"",SUM(Daily_Input!I200:I202))</f>
        <v>0</v>
      </c>
      <c r="AA200" s="5">
        <f>IF(ROW()&lt;=8,"",SUM(Daily_Input!I200:I206))</f>
        <v>0</v>
      </c>
      <c r="AB200" s="5">
        <f>IF(ROW()&lt;=15,"",SUM(Daily_Input!I200:I213))</f>
        <v>0</v>
      </c>
      <c r="AC200" s="5">
        <f>IF(ROW()&lt;=4,"",AVERAGE(Daily_Input!F200:F202))</f>
        <v>21369.994701775297</v>
      </c>
      <c r="AD200" s="5">
        <f>IF(ROW()&lt;=8,"",AVERAGE(Daily_Input!F200:F206))</f>
        <v>18643.535753203869</v>
      </c>
      <c r="AE200" s="5">
        <f>IF(ROW()&lt;=8,"",MAX(Daily_Input!F200:F206))</f>
        <v>21919.954611775298</v>
      </c>
      <c r="AF200" s="5">
        <f>IF(ROW()&lt;=2+0,"",INDEX(Daily_Input!$G:$G,ROW()-1))</f>
        <v>0</v>
      </c>
      <c r="AG200" s="5">
        <f>IF(ROW()&lt;=2+0,"",INDEX(Daily_Input!$H:$H,ROW()-1))</f>
        <v>18253.242310000001</v>
      </c>
      <c r="AH200" s="5">
        <f>IF(ROW()&lt;=2+1,"",INDEX(Daily_Input!$G:$G,ROW()-2))</f>
        <v>0</v>
      </c>
      <c r="AI200" s="5">
        <f>IF(ROW()&lt;=2+1,"",INDEX(Daily_Input!$H:$H,ROW()-2))</f>
        <v>14594.92272</v>
      </c>
      <c r="AJ200" s="5">
        <f>IF(ROW()&lt;=2+2,"",INDEX(Daily_Input!$G:$G,ROW()-3))</f>
        <v>0</v>
      </c>
      <c r="AK200" s="5">
        <f>IF(ROW()&lt;=2+2,"",INDEX(Daily_Input!$H:$H,ROW()-3))</f>
        <v>12714.737880000001</v>
      </c>
    </row>
    <row r="201" spans="1:37">
      <c r="A201" s="5">
        <f>Daily_Input!A201</f>
        <v>46038</v>
      </c>
      <c r="B201" s="5">
        <f>Daily_Input!F201</f>
        <v>21919.954611775298</v>
      </c>
      <c r="C201" s="5">
        <f>Daily_Input!D201</f>
        <v>489.56799999999998</v>
      </c>
      <c r="D201" s="5">
        <f>Daily_Input!E201</f>
        <v>1631482.3951735001</v>
      </c>
      <c r="E201" s="5">
        <f>IF(ROW()=2,"",Daily_Input!E201-Daily_Input!E200)</f>
        <v>0</v>
      </c>
      <c r="F201" s="5">
        <f>IFERROR(Daily_Input!E201/Config!$B$4,"")</f>
        <v>1.0037027193749493</v>
      </c>
      <c r="G201" s="5">
        <f>Daily_Input!I201</f>
        <v>0</v>
      </c>
      <c r="H201" s="5">
        <f>IF(A201="","",IF(ROW()=2,G201,Config!$B$5*H200+G201))</f>
        <v>8.2160329902679194</v>
      </c>
      <c r="I201" s="5">
        <f t="shared" si="3"/>
        <v>16</v>
      </c>
      <c r="J201" s="5">
        <f>IF(I201="","",SIN(2*PI()*I201/Config!$B$6))</f>
        <v>0.27195815753410552</v>
      </c>
      <c r="K201" s="5">
        <f>IF(I201="","",COS(2*PI()*I201/Config!$B$6))</f>
        <v>0.96230907745414862</v>
      </c>
      <c r="L201" s="5">
        <f>IF(ROW()&lt;=2+0,"",INDEX(Daily_Input!$F:$F,ROW()-1))</f>
        <v>21424.640561775297</v>
      </c>
      <c r="M201" s="5">
        <f>IF(ROW()&lt;=2+1,"",INDEX(Daily_Input!$F:$F,ROW()-2))</f>
        <v>18926.447071775299</v>
      </c>
      <c r="N201" s="5">
        <f>IF(ROW()&lt;=2+2,"",INDEX(Daily_Input!$F:$F,ROW()-3))</f>
        <v>15268.1274817753</v>
      </c>
      <c r="O201" s="5">
        <f>IF(ROW()&lt;=2+3,"",INDEX(Daily_Input!$F:$F,ROW()-4))</f>
        <v>16398.032062075275</v>
      </c>
      <c r="P201" s="5">
        <f>IF(ROW()&lt;=2+4,"",INDEX(Daily_Input!$F:$F,ROW()-5))</f>
        <v>9670.7438592584585</v>
      </c>
      <c r="Q201" s="5">
        <f>IF(ROW()&lt;=2+5,"",INDEX(Daily_Input!$F:$F,ROW()-6))</f>
        <v>9477.7434247584279</v>
      </c>
      <c r="R201" s="5">
        <f>IF(ROW()&lt;=2+6,"",INDEX(Daily_Input!$F:$F,ROW()-7))</f>
        <v>3295.9428019438556</v>
      </c>
      <c r="S201" s="5">
        <f>IF(ROW()&lt;=2+7,"",INDEX(Daily_Input!$F:$F,ROW()-8))</f>
        <v>0</v>
      </c>
      <c r="T201" s="5">
        <f>IF(ROW()&lt;=2+8,"",INDEX(Daily_Input!$F:$F,ROW()-9))</f>
        <v>21863.172234242826</v>
      </c>
      <c r="U201" s="5">
        <f>IF(ROW()&lt;=2+9,"",INDEX(Daily_Input!$F:$F,ROW()-10))</f>
        <v>47660.33264337013</v>
      </c>
      <c r="V201" s="5">
        <f>IF(ROW()&lt;=2+10,"",INDEX(Daily_Input!$F:$F,ROW()-11))</f>
        <v>55365.614115621691</v>
      </c>
      <c r="W201" s="5">
        <f>IF(ROW()&lt;=2+11,"",INDEX(Daily_Input!$F:$F,ROW()-12))</f>
        <v>66857.844585621686</v>
      </c>
      <c r="X201" s="5">
        <f>IF(ROW()&lt;=2+12,"",INDEX(Daily_Input!$F:$F,ROW()-13))</f>
        <v>68975.025125621687</v>
      </c>
      <c r="Y201" s="5">
        <f>IF(ROW()&lt;=2+13,"",INDEX(Daily_Input!$F:$F,ROW()-14))</f>
        <v>69605.903878021491</v>
      </c>
      <c r="Z201" s="5">
        <f>IF(ROW()&lt;=4,"",SUM(Daily_Input!I201:I203))</f>
        <v>0</v>
      </c>
      <c r="AA201" s="5">
        <f>IF(ROW()&lt;=8,"",SUM(Daily_Input!I201:I207))</f>
        <v>0</v>
      </c>
      <c r="AB201" s="5">
        <f>IF(ROW()&lt;=15,"",SUM(Daily_Input!I201:I214))</f>
        <v>0</v>
      </c>
      <c r="AC201" s="5">
        <f>IF(ROW()&lt;=4,"",AVERAGE(Daily_Input!F201:F203))</f>
        <v>20100.946538441964</v>
      </c>
      <c r="AD201" s="5">
        <f>IF(ROW()&lt;=8,"",AVERAGE(Daily_Input!F201:F207))</f>
        <v>17342.735166061011</v>
      </c>
      <c r="AE201" s="5">
        <f>IF(ROW()&lt;=8,"",MAX(Daily_Input!F201:F207))</f>
        <v>21919.954611775298</v>
      </c>
      <c r="AF201" s="5">
        <f>IF(ROW()&lt;=2+0,"",INDEX(Daily_Input!$G:$G,ROW()-1))</f>
        <v>0</v>
      </c>
      <c r="AG201" s="5">
        <f>IF(ROW()&lt;=2+0,"",INDEX(Daily_Input!$H:$H,ROW()-1))</f>
        <v>20751.435799999999</v>
      </c>
      <c r="AH201" s="5">
        <f>IF(ROW()&lt;=2+1,"",INDEX(Daily_Input!$G:$G,ROW()-2))</f>
        <v>0</v>
      </c>
      <c r="AI201" s="5">
        <f>IF(ROW()&lt;=2+1,"",INDEX(Daily_Input!$H:$H,ROW()-2))</f>
        <v>18253.242310000001</v>
      </c>
      <c r="AJ201" s="5">
        <f>IF(ROW()&lt;=2+2,"",INDEX(Daily_Input!$G:$G,ROW()-3))</f>
        <v>0</v>
      </c>
      <c r="AK201" s="5">
        <f>IF(ROW()&lt;=2+2,"",INDEX(Daily_Input!$H:$H,ROW()-3))</f>
        <v>14594.92272</v>
      </c>
    </row>
    <row r="202" spans="1:37">
      <c r="A202" s="5">
        <f>Daily_Input!A202</f>
        <v>46039</v>
      </c>
      <c r="B202" s="5">
        <f>Daily_Input!F202</f>
        <v>20765.388931775298</v>
      </c>
      <c r="C202" s="5">
        <f>Daily_Input!D202</f>
        <v>489.56799999999998</v>
      </c>
      <c r="D202" s="5">
        <f>Daily_Input!E202</f>
        <v>1631482.3951735001</v>
      </c>
      <c r="E202" s="5">
        <f>IF(ROW()=2,"",Daily_Input!E202-Daily_Input!E201)</f>
        <v>0</v>
      </c>
      <c r="F202" s="5">
        <f>IFERROR(Daily_Input!E202/Config!$B$4,"")</f>
        <v>1.0037027193749493</v>
      </c>
      <c r="G202" s="5">
        <f>Daily_Input!I202</f>
        <v>0</v>
      </c>
      <c r="H202" s="5">
        <f>IF(A202="","",IF(ROW()=2,G202,Config!$B$5*H201+G202))</f>
        <v>7.8052313407545233</v>
      </c>
      <c r="I202" s="5">
        <f t="shared" si="3"/>
        <v>17</v>
      </c>
      <c r="J202" s="5">
        <f>IF(I202="","",SIN(2*PI()*I202/Config!$B$6))</f>
        <v>0.28848243288060899</v>
      </c>
      <c r="K202" s="5">
        <f>IF(I202="","",COS(2*PI()*I202/Config!$B$6))</f>
        <v>0.95748518835503926</v>
      </c>
      <c r="L202" s="5">
        <f>IF(ROW()&lt;=2+0,"",INDEX(Daily_Input!$F:$F,ROW()-1))</f>
        <v>21919.954611775298</v>
      </c>
      <c r="M202" s="5">
        <f>IF(ROW()&lt;=2+1,"",INDEX(Daily_Input!$F:$F,ROW()-2))</f>
        <v>21424.640561775297</v>
      </c>
      <c r="N202" s="5">
        <f>IF(ROW()&lt;=2+2,"",INDEX(Daily_Input!$F:$F,ROW()-3))</f>
        <v>18926.447071775299</v>
      </c>
      <c r="O202" s="5">
        <f>IF(ROW()&lt;=2+3,"",INDEX(Daily_Input!$F:$F,ROW()-4))</f>
        <v>15268.1274817753</v>
      </c>
      <c r="P202" s="5">
        <f>IF(ROW()&lt;=2+4,"",INDEX(Daily_Input!$F:$F,ROW()-5))</f>
        <v>16398.032062075275</v>
      </c>
      <c r="Q202" s="5">
        <f>IF(ROW()&lt;=2+5,"",INDEX(Daily_Input!$F:$F,ROW()-6))</f>
        <v>9670.7438592584585</v>
      </c>
      <c r="R202" s="5">
        <f>IF(ROW()&lt;=2+6,"",INDEX(Daily_Input!$F:$F,ROW()-7))</f>
        <v>9477.7434247584279</v>
      </c>
      <c r="S202" s="5">
        <f>IF(ROW()&lt;=2+7,"",INDEX(Daily_Input!$F:$F,ROW()-8))</f>
        <v>3295.9428019438556</v>
      </c>
      <c r="T202" s="5">
        <f>IF(ROW()&lt;=2+8,"",INDEX(Daily_Input!$F:$F,ROW()-9))</f>
        <v>0</v>
      </c>
      <c r="U202" s="5">
        <f>IF(ROW()&lt;=2+9,"",INDEX(Daily_Input!$F:$F,ROW()-10))</f>
        <v>21863.172234242826</v>
      </c>
      <c r="V202" s="5">
        <f>IF(ROW()&lt;=2+10,"",INDEX(Daily_Input!$F:$F,ROW()-11))</f>
        <v>47660.33264337013</v>
      </c>
      <c r="W202" s="5">
        <f>IF(ROW()&lt;=2+11,"",INDEX(Daily_Input!$F:$F,ROW()-12))</f>
        <v>55365.614115621691</v>
      </c>
      <c r="X202" s="5">
        <f>IF(ROW()&lt;=2+12,"",INDEX(Daily_Input!$F:$F,ROW()-13))</f>
        <v>66857.844585621686</v>
      </c>
      <c r="Y202" s="5">
        <f>IF(ROW()&lt;=2+13,"",INDEX(Daily_Input!$F:$F,ROW()-14))</f>
        <v>68975.025125621687</v>
      </c>
      <c r="Z202" s="5">
        <f>IF(ROW()&lt;=4,"",SUM(Daily_Input!I202:I204))</f>
        <v>0</v>
      </c>
      <c r="AA202" s="5">
        <f>IF(ROW()&lt;=8,"",SUM(Daily_Input!I202:I208))</f>
        <v>0</v>
      </c>
      <c r="AB202" s="5">
        <f>IF(ROW()&lt;=15,"",SUM(Daily_Input!I202:I215))</f>
        <v>0</v>
      </c>
      <c r="AC202" s="5">
        <f>IF(ROW()&lt;=4,"",AVERAGE(Daily_Input!F202:F204))</f>
        <v>18578.415261775299</v>
      </c>
      <c r="AD202" s="5">
        <f>IF(ROW()&lt;=8,"",AVERAGE(Daily_Input!F202:F208))</f>
        <v>16203.842128918155</v>
      </c>
      <c r="AE202" s="5">
        <f>IF(ROW()&lt;=8,"",MAX(Daily_Input!F202:F208))</f>
        <v>20765.388931775298</v>
      </c>
      <c r="AF202" s="5">
        <f>IF(ROW()&lt;=2+0,"",INDEX(Daily_Input!$G:$G,ROW()-1))</f>
        <v>0</v>
      </c>
      <c r="AG202" s="5">
        <f>IF(ROW()&lt;=2+0,"",INDEX(Daily_Input!$H:$H,ROW()-1))</f>
        <v>21246.74985</v>
      </c>
      <c r="AH202" s="5">
        <f>IF(ROW()&lt;=2+1,"",INDEX(Daily_Input!$G:$G,ROW()-2))</f>
        <v>0</v>
      </c>
      <c r="AI202" s="5">
        <f>IF(ROW()&lt;=2+1,"",INDEX(Daily_Input!$H:$H,ROW()-2))</f>
        <v>20751.435799999999</v>
      </c>
      <c r="AJ202" s="5">
        <f>IF(ROW()&lt;=2+2,"",INDEX(Daily_Input!$G:$G,ROW()-3))</f>
        <v>0</v>
      </c>
      <c r="AK202" s="5">
        <f>IF(ROW()&lt;=2+2,"",INDEX(Daily_Input!$H:$H,ROW()-3))</f>
        <v>18253.242310000001</v>
      </c>
    </row>
    <row r="203" spans="1:37">
      <c r="A203" s="5">
        <f>Daily_Input!A203</f>
        <v>46040</v>
      </c>
      <c r="B203" s="5">
        <f>Daily_Input!F203</f>
        <v>17617.496071775298</v>
      </c>
      <c r="C203" s="5">
        <f>Daily_Input!D203</f>
        <v>489.56799999999998</v>
      </c>
      <c r="D203" s="5">
        <f>Daily_Input!E203</f>
        <v>1631482.3951735001</v>
      </c>
      <c r="E203" s="5">
        <f>IF(ROW()=2,"",Daily_Input!E203-Daily_Input!E202)</f>
        <v>0</v>
      </c>
      <c r="F203" s="5">
        <f>IFERROR(Daily_Input!E203/Config!$B$4,"")</f>
        <v>1.0037027193749493</v>
      </c>
      <c r="G203" s="5">
        <f>Daily_Input!I203</f>
        <v>0</v>
      </c>
      <c r="H203" s="5">
        <f>IF(A203="","",IF(ROW()=2,G203,Config!$B$5*H202+G203))</f>
        <v>7.4149697737167966</v>
      </c>
      <c r="I203" s="5">
        <f t="shared" si="3"/>
        <v>18</v>
      </c>
      <c r="J203" s="5">
        <f>IF(I203="","",SIN(2*PI()*I203/Config!$B$6))</f>
        <v>0.30492122465628907</v>
      </c>
      <c r="K203" s="5">
        <f>IF(I203="","",COS(2*PI()*I203/Config!$B$6))</f>
        <v>0.95237757573039739</v>
      </c>
      <c r="L203" s="5">
        <f>IF(ROW()&lt;=2+0,"",INDEX(Daily_Input!$F:$F,ROW()-1))</f>
        <v>20765.388931775298</v>
      </c>
      <c r="M203" s="5">
        <f>IF(ROW()&lt;=2+1,"",INDEX(Daily_Input!$F:$F,ROW()-2))</f>
        <v>21919.954611775298</v>
      </c>
      <c r="N203" s="5">
        <f>IF(ROW()&lt;=2+2,"",INDEX(Daily_Input!$F:$F,ROW()-3))</f>
        <v>21424.640561775297</v>
      </c>
      <c r="O203" s="5">
        <f>IF(ROW()&lt;=2+3,"",INDEX(Daily_Input!$F:$F,ROW()-4))</f>
        <v>18926.447071775299</v>
      </c>
      <c r="P203" s="5">
        <f>IF(ROW()&lt;=2+4,"",INDEX(Daily_Input!$F:$F,ROW()-5))</f>
        <v>15268.1274817753</v>
      </c>
      <c r="Q203" s="5">
        <f>IF(ROW()&lt;=2+5,"",INDEX(Daily_Input!$F:$F,ROW()-6))</f>
        <v>16398.032062075275</v>
      </c>
      <c r="R203" s="5">
        <f>IF(ROW()&lt;=2+6,"",INDEX(Daily_Input!$F:$F,ROW()-7))</f>
        <v>9670.7438592584585</v>
      </c>
      <c r="S203" s="5">
        <f>IF(ROW()&lt;=2+7,"",INDEX(Daily_Input!$F:$F,ROW()-8))</f>
        <v>9477.7434247584279</v>
      </c>
      <c r="T203" s="5">
        <f>IF(ROW()&lt;=2+8,"",INDEX(Daily_Input!$F:$F,ROW()-9))</f>
        <v>3295.9428019438556</v>
      </c>
      <c r="U203" s="5">
        <f>IF(ROW()&lt;=2+9,"",INDEX(Daily_Input!$F:$F,ROW()-10))</f>
        <v>0</v>
      </c>
      <c r="V203" s="5">
        <f>IF(ROW()&lt;=2+10,"",INDEX(Daily_Input!$F:$F,ROW()-11))</f>
        <v>21863.172234242826</v>
      </c>
      <c r="W203" s="5">
        <f>IF(ROW()&lt;=2+11,"",INDEX(Daily_Input!$F:$F,ROW()-12))</f>
        <v>47660.33264337013</v>
      </c>
      <c r="X203" s="5">
        <f>IF(ROW()&lt;=2+12,"",INDEX(Daily_Input!$F:$F,ROW()-13))</f>
        <v>55365.614115621691</v>
      </c>
      <c r="Y203" s="5">
        <f>IF(ROW()&lt;=2+13,"",INDEX(Daily_Input!$F:$F,ROW()-14))</f>
        <v>66857.844585621686</v>
      </c>
      <c r="Z203" s="5">
        <f>IF(ROW()&lt;=4,"",SUM(Daily_Input!I203:I205))</f>
        <v>0</v>
      </c>
      <c r="AA203" s="5">
        <f>IF(ROW()&lt;=8,"",SUM(Daily_Input!I203:I209))</f>
        <v>0</v>
      </c>
      <c r="AB203" s="5">
        <f>IF(ROW()&lt;=15,"",SUM(Daily_Input!I203:I216))</f>
        <v>0</v>
      </c>
      <c r="AC203" s="5">
        <f>IF(ROW()&lt;=4,"",AVERAGE(Daily_Input!F203:F205))</f>
        <v>17489.354278441962</v>
      </c>
      <c r="AD203" s="5">
        <f>IF(ROW()&lt;=8,"",AVERAGE(Daily_Input!F203:F209))</f>
        <v>15360.766267489584</v>
      </c>
      <c r="AE203" s="5">
        <f>IF(ROW()&lt;=8,"",MAX(Daily_Input!F203:F209))</f>
        <v>17617.496071775298</v>
      </c>
      <c r="AF203" s="5">
        <f>IF(ROW()&lt;=2+0,"",INDEX(Daily_Input!$G:$G,ROW()-1))</f>
        <v>0</v>
      </c>
      <c r="AG203" s="5">
        <f>IF(ROW()&lt;=2+0,"",INDEX(Daily_Input!$H:$H,ROW()-1))</f>
        <v>20092.18417</v>
      </c>
      <c r="AH203" s="5">
        <f>IF(ROW()&lt;=2+1,"",INDEX(Daily_Input!$G:$G,ROW()-2))</f>
        <v>0</v>
      </c>
      <c r="AI203" s="5">
        <f>IF(ROW()&lt;=2+1,"",INDEX(Daily_Input!$H:$H,ROW()-2))</f>
        <v>21246.74985</v>
      </c>
      <c r="AJ203" s="5">
        <f>IF(ROW()&lt;=2+2,"",INDEX(Daily_Input!$G:$G,ROW()-3))</f>
        <v>0</v>
      </c>
      <c r="AK203" s="5">
        <f>IF(ROW()&lt;=2+2,"",INDEX(Daily_Input!$H:$H,ROW()-3))</f>
        <v>20751.435799999999</v>
      </c>
    </row>
    <row r="204" spans="1:37">
      <c r="A204" s="5">
        <f>Daily_Input!A204</f>
        <v>46041</v>
      </c>
      <c r="B204" s="5">
        <f>Daily_Input!F204</f>
        <v>17352.360781775296</v>
      </c>
      <c r="C204" s="5">
        <f>Daily_Input!D204</f>
        <v>489.56799999999998</v>
      </c>
      <c r="D204" s="5">
        <f>Daily_Input!E204</f>
        <v>1631482.3951735001</v>
      </c>
      <c r="E204" s="5">
        <f>IF(ROW()=2,"",Daily_Input!E204-Daily_Input!E203)</f>
        <v>0</v>
      </c>
      <c r="F204" s="5">
        <f>IFERROR(Daily_Input!E204/Config!$B$4,"")</f>
        <v>1.0037027193749493</v>
      </c>
      <c r="G204" s="5">
        <f>Daily_Input!I204</f>
        <v>0</v>
      </c>
      <c r="H204" s="5">
        <f>IF(A204="","",IF(ROW()=2,G204,Config!$B$5*H203+G204))</f>
        <v>7.0442212850309565</v>
      </c>
      <c r="I204" s="5">
        <f t="shared" si="3"/>
        <v>19</v>
      </c>
      <c r="J204" s="5">
        <f>IF(I204="","",SIN(2*PI()*I204/Config!$B$6))</f>
        <v>0.32126966169236443</v>
      </c>
      <c r="K204" s="5">
        <f>IF(I204="","",COS(2*PI()*I204/Config!$B$6))</f>
        <v>0.9469877530760753</v>
      </c>
      <c r="L204" s="5">
        <f>IF(ROW()&lt;=2+0,"",INDEX(Daily_Input!$F:$F,ROW()-1))</f>
        <v>17617.496071775298</v>
      </c>
      <c r="M204" s="5">
        <f>IF(ROW()&lt;=2+1,"",INDEX(Daily_Input!$F:$F,ROW()-2))</f>
        <v>20765.388931775298</v>
      </c>
      <c r="N204" s="5">
        <f>IF(ROW()&lt;=2+2,"",INDEX(Daily_Input!$F:$F,ROW()-3))</f>
        <v>21919.954611775298</v>
      </c>
      <c r="O204" s="5">
        <f>IF(ROW()&lt;=2+3,"",INDEX(Daily_Input!$F:$F,ROW()-4))</f>
        <v>21424.640561775297</v>
      </c>
      <c r="P204" s="5">
        <f>IF(ROW()&lt;=2+4,"",INDEX(Daily_Input!$F:$F,ROW()-5))</f>
        <v>18926.447071775299</v>
      </c>
      <c r="Q204" s="5">
        <f>IF(ROW()&lt;=2+5,"",INDEX(Daily_Input!$F:$F,ROW()-6))</f>
        <v>15268.1274817753</v>
      </c>
      <c r="R204" s="5">
        <f>IF(ROW()&lt;=2+6,"",INDEX(Daily_Input!$F:$F,ROW()-7))</f>
        <v>16398.032062075275</v>
      </c>
      <c r="S204" s="5">
        <f>IF(ROW()&lt;=2+7,"",INDEX(Daily_Input!$F:$F,ROW()-8))</f>
        <v>9670.7438592584585</v>
      </c>
      <c r="T204" s="5">
        <f>IF(ROW()&lt;=2+8,"",INDEX(Daily_Input!$F:$F,ROW()-9))</f>
        <v>9477.7434247584279</v>
      </c>
      <c r="U204" s="5">
        <f>IF(ROW()&lt;=2+9,"",INDEX(Daily_Input!$F:$F,ROW()-10))</f>
        <v>3295.9428019438556</v>
      </c>
      <c r="V204" s="5">
        <f>IF(ROW()&lt;=2+10,"",INDEX(Daily_Input!$F:$F,ROW()-11))</f>
        <v>0</v>
      </c>
      <c r="W204" s="5">
        <f>IF(ROW()&lt;=2+11,"",INDEX(Daily_Input!$F:$F,ROW()-12))</f>
        <v>21863.172234242826</v>
      </c>
      <c r="X204" s="5">
        <f>IF(ROW()&lt;=2+12,"",INDEX(Daily_Input!$F:$F,ROW()-13))</f>
        <v>47660.33264337013</v>
      </c>
      <c r="Y204" s="5">
        <f>IF(ROW()&lt;=2+13,"",INDEX(Daily_Input!$F:$F,ROW()-14))</f>
        <v>55365.614115621691</v>
      </c>
      <c r="Z204" s="5">
        <f>IF(ROW()&lt;=4,"",SUM(Daily_Input!I204:I206))</f>
        <v>0</v>
      </c>
      <c r="AA204" s="5">
        <f>IF(ROW()&lt;=8,"",SUM(Daily_Input!I204:I210))</f>
        <v>0</v>
      </c>
      <c r="AB204" s="5">
        <f>IF(ROW()&lt;=15,"",SUM(Daily_Input!I204:I217))</f>
        <v>0</v>
      </c>
      <c r="AC204" s="5">
        <f>IF(ROW()&lt;=4,"",AVERAGE(Daily_Input!F204:F206))</f>
        <v>16259.090031775298</v>
      </c>
      <c r="AD204" s="5">
        <f>IF(ROW()&lt;=8,"",AVERAGE(Daily_Input!F204:F210))</f>
        <v>15377.599488918155</v>
      </c>
      <c r="AE204" s="5">
        <f>IF(ROW()&lt;=8,"",MAX(Daily_Input!F204:F210))</f>
        <v>17735.328621775298</v>
      </c>
      <c r="AF204" s="5">
        <f>IF(ROW()&lt;=2+0,"",INDEX(Daily_Input!$G:$G,ROW()-1))</f>
        <v>0</v>
      </c>
      <c r="AG204" s="5">
        <f>IF(ROW()&lt;=2+0,"",INDEX(Daily_Input!$H:$H,ROW()-1))</f>
        <v>16944.291310000001</v>
      </c>
      <c r="AH204" s="5">
        <f>IF(ROW()&lt;=2+1,"",INDEX(Daily_Input!$G:$G,ROW()-2))</f>
        <v>0</v>
      </c>
      <c r="AI204" s="5">
        <f>IF(ROW()&lt;=2+1,"",INDEX(Daily_Input!$H:$H,ROW()-2))</f>
        <v>20092.18417</v>
      </c>
      <c r="AJ204" s="5">
        <f>IF(ROW()&lt;=2+2,"",INDEX(Daily_Input!$G:$G,ROW()-3))</f>
        <v>0</v>
      </c>
      <c r="AK204" s="5">
        <f>IF(ROW()&lt;=2+2,"",INDEX(Daily_Input!$H:$H,ROW()-3))</f>
        <v>21246.74985</v>
      </c>
    </row>
    <row r="205" spans="1:37">
      <c r="A205" s="5">
        <f>Daily_Input!A205</f>
        <v>46042</v>
      </c>
      <c r="B205" s="5">
        <f>Daily_Input!F205</f>
        <v>17498.205981775296</v>
      </c>
      <c r="C205" s="5">
        <f>Daily_Input!D205</f>
        <v>489.56799999999998</v>
      </c>
      <c r="D205" s="5">
        <f>Daily_Input!E205</f>
        <v>1631482.3951735001</v>
      </c>
      <c r="E205" s="5">
        <f>IF(ROW()=2,"",Daily_Input!E205-Daily_Input!E204)</f>
        <v>0</v>
      </c>
      <c r="F205" s="5">
        <f>IFERROR(Daily_Input!E205/Config!$B$4,"")</f>
        <v>1.0037027193749493</v>
      </c>
      <c r="G205" s="5">
        <f>Daily_Input!I205</f>
        <v>0</v>
      </c>
      <c r="H205" s="5">
        <f>IF(A205="","",IF(ROW()=2,G205,Config!$B$5*H204+G205))</f>
        <v>6.6920102207794079</v>
      </c>
      <c r="I205" s="5">
        <f t="shared" si="3"/>
        <v>20</v>
      </c>
      <c r="J205" s="5">
        <f>IF(I205="","",SIN(2*PI()*I205/Config!$B$6))</f>
        <v>0.3375228995941133</v>
      </c>
      <c r="K205" s="5">
        <f>IF(I205="","",COS(2*PI()*I205/Config!$B$6))</f>
        <v>0.94131731751284708</v>
      </c>
      <c r="L205" s="5">
        <f>IF(ROW()&lt;=2+0,"",INDEX(Daily_Input!$F:$F,ROW()-1))</f>
        <v>17352.360781775296</v>
      </c>
      <c r="M205" s="5">
        <f>IF(ROW()&lt;=2+1,"",INDEX(Daily_Input!$F:$F,ROW()-2))</f>
        <v>17617.496071775298</v>
      </c>
      <c r="N205" s="5">
        <f>IF(ROW()&lt;=2+2,"",INDEX(Daily_Input!$F:$F,ROW()-3))</f>
        <v>20765.388931775298</v>
      </c>
      <c r="O205" s="5">
        <f>IF(ROW()&lt;=2+3,"",INDEX(Daily_Input!$F:$F,ROW()-4))</f>
        <v>21919.954611775298</v>
      </c>
      <c r="P205" s="5">
        <f>IF(ROW()&lt;=2+4,"",INDEX(Daily_Input!$F:$F,ROW()-5))</f>
        <v>21424.640561775297</v>
      </c>
      <c r="Q205" s="5">
        <f>IF(ROW()&lt;=2+5,"",INDEX(Daily_Input!$F:$F,ROW()-6))</f>
        <v>18926.447071775299</v>
      </c>
      <c r="R205" s="5">
        <f>IF(ROW()&lt;=2+6,"",INDEX(Daily_Input!$F:$F,ROW()-7))</f>
        <v>15268.1274817753</v>
      </c>
      <c r="S205" s="5">
        <f>IF(ROW()&lt;=2+7,"",INDEX(Daily_Input!$F:$F,ROW()-8))</f>
        <v>16398.032062075275</v>
      </c>
      <c r="T205" s="5">
        <f>IF(ROW()&lt;=2+8,"",INDEX(Daily_Input!$F:$F,ROW()-9))</f>
        <v>9670.7438592584585</v>
      </c>
      <c r="U205" s="5">
        <f>IF(ROW()&lt;=2+9,"",INDEX(Daily_Input!$F:$F,ROW()-10))</f>
        <v>9477.7434247584279</v>
      </c>
      <c r="V205" s="5">
        <f>IF(ROW()&lt;=2+10,"",INDEX(Daily_Input!$F:$F,ROW()-11))</f>
        <v>3295.9428019438556</v>
      </c>
      <c r="W205" s="5">
        <f>IF(ROW()&lt;=2+11,"",INDEX(Daily_Input!$F:$F,ROW()-12))</f>
        <v>0</v>
      </c>
      <c r="X205" s="5">
        <f>IF(ROW()&lt;=2+12,"",INDEX(Daily_Input!$F:$F,ROW()-13))</f>
        <v>21863.172234242826</v>
      </c>
      <c r="Y205" s="5">
        <f>IF(ROW()&lt;=2+13,"",INDEX(Daily_Input!$F:$F,ROW()-14))</f>
        <v>47660.33264337013</v>
      </c>
      <c r="Z205" s="5">
        <f>IF(ROW()&lt;=4,"",SUM(Daily_Input!I205:I207))</f>
        <v>0</v>
      </c>
      <c r="AA205" s="5">
        <f>IF(ROW()&lt;=8,"",SUM(Daily_Input!I205:I211))</f>
        <v>0</v>
      </c>
      <c r="AB205" s="5">
        <f>IF(ROW()&lt;=15,"",SUM(Daily_Input!I205:I218))</f>
        <v>0</v>
      </c>
      <c r="AC205" s="5">
        <f>IF(ROW()&lt;=4,"",AVERAGE(Daily_Input!F205:F207))</f>
        <v>14581.315255108633</v>
      </c>
      <c r="AD205" s="5">
        <f>IF(ROW()&lt;=8,"",AVERAGE(Daily_Input!F205:F211))</f>
        <v>15677.391894632441</v>
      </c>
      <c r="AE205" s="5">
        <f>IF(ROW()&lt;=8,"",MAX(Daily_Input!F205:F211))</f>
        <v>19450.907621775299</v>
      </c>
      <c r="AF205" s="5">
        <f>IF(ROW()&lt;=2+0,"",INDEX(Daily_Input!$G:$G,ROW()-1))</f>
        <v>0</v>
      </c>
      <c r="AG205" s="5">
        <f>IF(ROW()&lt;=2+0,"",INDEX(Daily_Input!$H:$H,ROW()-1))</f>
        <v>16679.156019999999</v>
      </c>
      <c r="AH205" s="5">
        <f>IF(ROW()&lt;=2+1,"",INDEX(Daily_Input!$G:$G,ROW()-2))</f>
        <v>0</v>
      </c>
      <c r="AI205" s="5">
        <f>IF(ROW()&lt;=2+1,"",INDEX(Daily_Input!$H:$H,ROW()-2))</f>
        <v>16944.291310000001</v>
      </c>
      <c r="AJ205" s="5">
        <f>IF(ROW()&lt;=2+2,"",INDEX(Daily_Input!$G:$G,ROW()-3))</f>
        <v>0</v>
      </c>
      <c r="AK205" s="5">
        <f>IF(ROW()&lt;=2+2,"",INDEX(Daily_Input!$H:$H,ROW()-3))</f>
        <v>20092.18417</v>
      </c>
    </row>
    <row r="206" spans="1:37">
      <c r="A206" s="5">
        <f>Daily_Input!A206</f>
        <v>46043</v>
      </c>
      <c r="B206" s="5">
        <f>Daily_Input!F206</f>
        <v>13926.703331775299</v>
      </c>
      <c r="C206" s="5">
        <f>Daily_Input!D206</f>
        <v>489.56799999999998</v>
      </c>
      <c r="D206" s="5">
        <f>Daily_Input!E206</f>
        <v>1631482.3951735001</v>
      </c>
      <c r="E206" s="5">
        <f>IF(ROW()=2,"",Daily_Input!E206-Daily_Input!E205)</f>
        <v>0</v>
      </c>
      <c r="F206" s="5">
        <f>IFERROR(Daily_Input!E206/Config!$B$4,"")</f>
        <v>1.0037027193749493</v>
      </c>
      <c r="G206" s="5">
        <f>Daily_Input!I206</f>
        <v>0</v>
      </c>
      <c r="H206" s="5">
        <f>IF(A206="","",IF(ROW()=2,G206,Config!$B$5*H205+G206))</f>
        <v>6.3574097097404376</v>
      </c>
      <c r="I206" s="5">
        <f t="shared" si="3"/>
        <v>21</v>
      </c>
      <c r="J206" s="5">
        <f>IF(I206="","",SIN(2*PI()*I206/Config!$B$6))</f>
        <v>0.35367612217637162</v>
      </c>
      <c r="K206" s="5">
        <f>IF(I206="","",COS(2*PI()*I206/Config!$B$6))</f>
        <v>0.93536794931314826</v>
      </c>
      <c r="L206" s="5">
        <f>IF(ROW()&lt;=2+0,"",INDEX(Daily_Input!$F:$F,ROW()-1))</f>
        <v>17498.205981775296</v>
      </c>
      <c r="M206" s="5">
        <f>IF(ROW()&lt;=2+1,"",INDEX(Daily_Input!$F:$F,ROW()-2))</f>
        <v>17352.360781775296</v>
      </c>
      <c r="N206" s="5">
        <f>IF(ROW()&lt;=2+2,"",INDEX(Daily_Input!$F:$F,ROW()-3))</f>
        <v>17617.496071775298</v>
      </c>
      <c r="O206" s="5">
        <f>IF(ROW()&lt;=2+3,"",INDEX(Daily_Input!$F:$F,ROW()-4))</f>
        <v>20765.388931775298</v>
      </c>
      <c r="P206" s="5">
        <f>IF(ROW()&lt;=2+4,"",INDEX(Daily_Input!$F:$F,ROW()-5))</f>
        <v>21919.954611775298</v>
      </c>
      <c r="Q206" s="5">
        <f>IF(ROW()&lt;=2+5,"",INDEX(Daily_Input!$F:$F,ROW()-6))</f>
        <v>21424.640561775297</v>
      </c>
      <c r="R206" s="5">
        <f>IF(ROW()&lt;=2+6,"",INDEX(Daily_Input!$F:$F,ROW()-7))</f>
        <v>18926.447071775299</v>
      </c>
      <c r="S206" s="5">
        <f>IF(ROW()&lt;=2+7,"",INDEX(Daily_Input!$F:$F,ROW()-8))</f>
        <v>15268.1274817753</v>
      </c>
      <c r="T206" s="5">
        <f>IF(ROW()&lt;=2+8,"",INDEX(Daily_Input!$F:$F,ROW()-9))</f>
        <v>16398.032062075275</v>
      </c>
      <c r="U206" s="5">
        <f>IF(ROW()&lt;=2+9,"",INDEX(Daily_Input!$F:$F,ROW()-10))</f>
        <v>9670.7438592584585</v>
      </c>
      <c r="V206" s="5">
        <f>IF(ROW()&lt;=2+10,"",INDEX(Daily_Input!$F:$F,ROW()-11))</f>
        <v>9477.7434247584279</v>
      </c>
      <c r="W206" s="5">
        <f>IF(ROW()&lt;=2+11,"",INDEX(Daily_Input!$F:$F,ROW()-12))</f>
        <v>3295.9428019438556</v>
      </c>
      <c r="X206" s="5">
        <f>IF(ROW()&lt;=2+12,"",INDEX(Daily_Input!$F:$F,ROW()-13))</f>
        <v>0</v>
      </c>
      <c r="Y206" s="5">
        <f>IF(ROW()&lt;=2+13,"",INDEX(Daily_Input!$F:$F,ROW()-14))</f>
        <v>21863.172234242826</v>
      </c>
      <c r="Z206" s="5">
        <f>IF(ROW()&lt;=4,"",SUM(Daily_Input!I206:I208))</f>
        <v>0</v>
      </c>
      <c r="AA206" s="5">
        <f>IF(ROW()&lt;=8,"",SUM(Daily_Input!I206:I212))</f>
        <v>0</v>
      </c>
      <c r="AB206" s="5">
        <f>IF(ROW()&lt;=15,"",SUM(Daily_Input!I206:I219))</f>
        <v>0</v>
      </c>
      <c r="AC206" s="5">
        <f>IF(ROW()&lt;=4,"",AVERAGE(Daily_Input!F206:F208))</f>
        <v>13397.814378441966</v>
      </c>
      <c r="AD206" s="5">
        <f>IF(ROW()&lt;=8,"",AVERAGE(Daily_Input!F206:F212))</f>
        <v>16618.697974442075</v>
      </c>
      <c r="AE206" s="5">
        <f>IF(ROW()&lt;=8,"",MAX(Daily_Input!F206:F212))</f>
        <v>24087.348540442737</v>
      </c>
      <c r="AF206" s="5">
        <f>IF(ROW()&lt;=2+0,"",INDEX(Daily_Input!$G:$G,ROW()-1))</f>
        <v>0</v>
      </c>
      <c r="AG206" s="5">
        <f>IF(ROW()&lt;=2+0,"",INDEX(Daily_Input!$H:$H,ROW()-1))</f>
        <v>16825.001219999998</v>
      </c>
      <c r="AH206" s="5">
        <f>IF(ROW()&lt;=2+1,"",INDEX(Daily_Input!$G:$G,ROW()-2))</f>
        <v>0</v>
      </c>
      <c r="AI206" s="5">
        <f>IF(ROW()&lt;=2+1,"",INDEX(Daily_Input!$H:$H,ROW()-2))</f>
        <v>16679.156019999999</v>
      </c>
      <c r="AJ206" s="5">
        <f>IF(ROW()&lt;=2+2,"",INDEX(Daily_Input!$G:$G,ROW()-3))</f>
        <v>0</v>
      </c>
      <c r="AK206" s="5">
        <f>IF(ROW()&lt;=2+2,"",INDEX(Daily_Input!$H:$H,ROW()-3))</f>
        <v>16944.291310000001</v>
      </c>
    </row>
    <row r="207" spans="1:37">
      <c r="A207" s="5">
        <f>Daily_Input!A207</f>
        <v>46044</v>
      </c>
      <c r="B207" s="5">
        <f>Daily_Input!F207</f>
        <v>12319.036451775301</v>
      </c>
      <c r="C207" s="5">
        <f>Daily_Input!D207</f>
        <v>489.56099999999998</v>
      </c>
      <c r="D207" s="5">
        <f>Daily_Input!E207</f>
        <v>1631482.3951735001</v>
      </c>
      <c r="E207" s="5">
        <f>IF(ROW()=2,"",Daily_Input!E207-Daily_Input!E206)</f>
        <v>0</v>
      </c>
      <c r="F207" s="5">
        <f>IFERROR(Daily_Input!E207/Config!$B$4,"")</f>
        <v>1.0037027193749493</v>
      </c>
      <c r="G207" s="5">
        <f>Daily_Input!I207</f>
        <v>0</v>
      </c>
      <c r="H207" s="5">
        <f>IF(A207="","",IF(ROW()=2,G207,Config!$B$5*H206+G207))</f>
        <v>6.0395392242534154</v>
      </c>
      <c r="I207" s="5">
        <f t="shared" si="3"/>
        <v>22</v>
      </c>
      <c r="J207" s="5">
        <f>IF(I207="","",SIN(2*PI()*I207/Config!$B$6))</f>
        <v>0.36972454289067308</v>
      </c>
      <c r="K207" s="5">
        <f>IF(I207="","",COS(2*PI()*I207/Config!$B$6))</f>
        <v>0.9291414114031743</v>
      </c>
      <c r="L207" s="5">
        <f>IF(ROW()&lt;=2+0,"",INDEX(Daily_Input!$F:$F,ROW()-1))</f>
        <v>13926.703331775299</v>
      </c>
      <c r="M207" s="5">
        <f>IF(ROW()&lt;=2+1,"",INDEX(Daily_Input!$F:$F,ROW()-2))</f>
        <v>17498.205981775296</v>
      </c>
      <c r="N207" s="5">
        <f>IF(ROW()&lt;=2+2,"",INDEX(Daily_Input!$F:$F,ROW()-3))</f>
        <v>17352.360781775296</v>
      </c>
      <c r="O207" s="5">
        <f>IF(ROW()&lt;=2+3,"",INDEX(Daily_Input!$F:$F,ROW()-4))</f>
        <v>17617.496071775298</v>
      </c>
      <c r="P207" s="5">
        <f>IF(ROW()&lt;=2+4,"",INDEX(Daily_Input!$F:$F,ROW()-5))</f>
        <v>20765.388931775298</v>
      </c>
      <c r="Q207" s="5">
        <f>IF(ROW()&lt;=2+5,"",INDEX(Daily_Input!$F:$F,ROW()-6))</f>
        <v>21919.954611775298</v>
      </c>
      <c r="R207" s="5">
        <f>IF(ROW()&lt;=2+6,"",INDEX(Daily_Input!$F:$F,ROW()-7))</f>
        <v>21424.640561775297</v>
      </c>
      <c r="S207" s="5">
        <f>IF(ROW()&lt;=2+7,"",INDEX(Daily_Input!$F:$F,ROW()-8))</f>
        <v>18926.447071775299</v>
      </c>
      <c r="T207" s="5">
        <f>IF(ROW()&lt;=2+8,"",INDEX(Daily_Input!$F:$F,ROW()-9))</f>
        <v>15268.1274817753</v>
      </c>
      <c r="U207" s="5">
        <f>IF(ROW()&lt;=2+9,"",INDEX(Daily_Input!$F:$F,ROW()-10))</f>
        <v>16398.032062075275</v>
      </c>
      <c r="V207" s="5">
        <f>IF(ROW()&lt;=2+10,"",INDEX(Daily_Input!$F:$F,ROW()-11))</f>
        <v>9670.7438592584585</v>
      </c>
      <c r="W207" s="5">
        <f>IF(ROW()&lt;=2+11,"",INDEX(Daily_Input!$F:$F,ROW()-12))</f>
        <v>9477.7434247584279</v>
      </c>
      <c r="X207" s="5">
        <f>IF(ROW()&lt;=2+12,"",INDEX(Daily_Input!$F:$F,ROW()-13))</f>
        <v>3295.9428019438556</v>
      </c>
      <c r="Y207" s="5">
        <f>IF(ROW()&lt;=2+13,"",INDEX(Daily_Input!$F:$F,ROW()-14))</f>
        <v>0</v>
      </c>
      <c r="Z207" s="5">
        <f>IF(ROW()&lt;=4,"",SUM(Daily_Input!I207:I209))</f>
        <v>0</v>
      </c>
      <c r="AA207" s="5">
        <f>IF(ROW()&lt;=8,"",SUM(Daily_Input!I207:I213))</f>
        <v>0</v>
      </c>
      <c r="AB207" s="5">
        <f>IF(ROW()&lt;=15,"",SUM(Daily_Input!I207:I220))</f>
        <v>0</v>
      </c>
      <c r="AC207" s="5">
        <f>IF(ROW()&lt;=4,"",AVERAGE(Daily_Input!F207:F209))</f>
        <v>13710.199235108632</v>
      </c>
      <c r="AD207" s="5">
        <f>IF(ROW()&lt;=8,"",AVERAGE(Daily_Input!F207:F213))</f>
        <v>17227.564784613529</v>
      </c>
      <c r="AE207" s="5">
        <f>IF(ROW()&lt;=8,"",MAX(Daily_Input!F207:F213))</f>
        <v>24087.348540442737</v>
      </c>
      <c r="AF207" s="5">
        <f>IF(ROW()&lt;=2+0,"",INDEX(Daily_Input!$G:$G,ROW()-1))</f>
        <v>0</v>
      </c>
      <c r="AG207" s="5">
        <f>IF(ROW()&lt;=2+0,"",INDEX(Daily_Input!$H:$H,ROW()-1))</f>
        <v>13253.49857</v>
      </c>
      <c r="AH207" s="5">
        <f>IF(ROW()&lt;=2+1,"",INDEX(Daily_Input!$G:$G,ROW()-2))</f>
        <v>0</v>
      </c>
      <c r="AI207" s="5">
        <f>IF(ROW()&lt;=2+1,"",INDEX(Daily_Input!$H:$H,ROW()-2))</f>
        <v>16825.001219999998</v>
      </c>
      <c r="AJ207" s="5">
        <f>IF(ROW()&lt;=2+2,"",INDEX(Daily_Input!$G:$G,ROW()-3))</f>
        <v>0</v>
      </c>
      <c r="AK207" s="5">
        <f>IF(ROW()&lt;=2+2,"",INDEX(Daily_Input!$H:$H,ROW()-3))</f>
        <v>16679.156019999999</v>
      </c>
    </row>
    <row r="208" spans="1:37">
      <c r="A208" s="5">
        <f>Daily_Input!A208</f>
        <v>46045</v>
      </c>
      <c r="B208" s="5">
        <f>Daily_Input!F208</f>
        <v>13947.703351775299</v>
      </c>
      <c r="C208" s="5">
        <f>Daily_Input!D208</f>
        <v>489.56</v>
      </c>
      <c r="D208" s="5">
        <f>Daily_Input!E208</f>
        <v>1631482.3951735001</v>
      </c>
      <c r="E208" s="5">
        <f>IF(ROW()=2,"",Daily_Input!E208-Daily_Input!E207)</f>
        <v>0</v>
      </c>
      <c r="F208" s="5">
        <f>IFERROR(Daily_Input!E208/Config!$B$4,"")</f>
        <v>1.0037027193749493</v>
      </c>
      <c r="G208" s="5">
        <f>Daily_Input!I208</f>
        <v>0</v>
      </c>
      <c r="H208" s="5">
        <f>IF(A208="","",IF(ROW()=2,G208,Config!$B$5*H207+G208))</f>
        <v>5.7375622630407443</v>
      </c>
      <c r="I208" s="5">
        <f t="shared" si="3"/>
        <v>23</v>
      </c>
      <c r="J208" s="5">
        <f>IF(I208="","",SIN(2*PI()*I208/Config!$B$6))</f>
        <v>0.38566340624360707</v>
      </c>
      <c r="K208" s="5">
        <f>IF(I208="","",COS(2*PI()*I208/Config!$B$6))</f>
        <v>0.9226395488404876</v>
      </c>
      <c r="L208" s="5">
        <f>IF(ROW()&lt;=2+0,"",INDEX(Daily_Input!$F:$F,ROW()-1))</f>
        <v>12319.036451775301</v>
      </c>
      <c r="M208" s="5">
        <f>IF(ROW()&lt;=2+1,"",INDEX(Daily_Input!$F:$F,ROW()-2))</f>
        <v>13926.703331775299</v>
      </c>
      <c r="N208" s="5">
        <f>IF(ROW()&lt;=2+2,"",INDEX(Daily_Input!$F:$F,ROW()-3))</f>
        <v>17498.205981775296</v>
      </c>
      <c r="O208" s="5">
        <f>IF(ROW()&lt;=2+3,"",INDEX(Daily_Input!$F:$F,ROW()-4))</f>
        <v>17352.360781775296</v>
      </c>
      <c r="P208" s="5">
        <f>IF(ROW()&lt;=2+4,"",INDEX(Daily_Input!$F:$F,ROW()-5))</f>
        <v>17617.496071775298</v>
      </c>
      <c r="Q208" s="5">
        <f>IF(ROW()&lt;=2+5,"",INDEX(Daily_Input!$F:$F,ROW()-6))</f>
        <v>20765.388931775298</v>
      </c>
      <c r="R208" s="5">
        <f>IF(ROW()&lt;=2+6,"",INDEX(Daily_Input!$F:$F,ROW()-7))</f>
        <v>21919.954611775298</v>
      </c>
      <c r="S208" s="5">
        <f>IF(ROW()&lt;=2+7,"",INDEX(Daily_Input!$F:$F,ROW()-8))</f>
        <v>21424.640561775297</v>
      </c>
      <c r="T208" s="5">
        <f>IF(ROW()&lt;=2+8,"",INDEX(Daily_Input!$F:$F,ROW()-9))</f>
        <v>18926.447071775299</v>
      </c>
      <c r="U208" s="5">
        <f>IF(ROW()&lt;=2+9,"",INDEX(Daily_Input!$F:$F,ROW()-10))</f>
        <v>15268.1274817753</v>
      </c>
      <c r="V208" s="5">
        <f>IF(ROW()&lt;=2+10,"",INDEX(Daily_Input!$F:$F,ROW()-11))</f>
        <v>16398.032062075275</v>
      </c>
      <c r="W208" s="5">
        <f>IF(ROW()&lt;=2+11,"",INDEX(Daily_Input!$F:$F,ROW()-12))</f>
        <v>9670.7438592584585</v>
      </c>
      <c r="X208" s="5">
        <f>IF(ROW()&lt;=2+12,"",INDEX(Daily_Input!$F:$F,ROW()-13))</f>
        <v>9477.7434247584279</v>
      </c>
      <c r="Y208" s="5">
        <f>IF(ROW()&lt;=2+13,"",INDEX(Daily_Input!$F:$F,ROW()-14))</f>
        <v>3295.9428019438556</v>
      </c>
      <c r="Z208" s="5">
        <f>IF(ROW()&lt;=4,"",SUM(Daily_Input!I208:I210))</f>
        <v>0</v>
      </c>
      <c r="AA208" s="5">
        <f>IF(ROW()&lt;=8,"",SUM(Daily_Input!I208:I214))</f>
        <v>0</v>
      </c>
      <c r="AB208" s="5">
        <f>IF(ROW()&lt;=15,"",SUM(Daily_Input!I208:I221))</f>
        <v>0</v>
      </c>
      <c r="AC208" s="5">
        <f>IF(ROW()&lt;=4,"",AVERAGE(Daily_Input!F208:F210))</f>
        <v>15515.629958441967</v>
      </c>
      <c r="AD208" s="5">
        <f>IF(ROW()&lt;=8,"",AVERAGE(Daily_Input!F208:F214))</f>
        <v>19147.460531566019</v>
      </c>
      <c r="AE208" s="5">
        <f>IF(ROW()&lt;=8,"",MAX(Daily_Input!F208:F214))</f>
        <v>25758.306680442736</v>
      </c>
      <c r="AF208" s="5">
        <f>IF(ROW()&lt;=2+0,"",INDEX(Daily_Input!$G:$G,ROW()-1))</f>
        <v>0</v>
      </c>
      <c r="AG208" s="5">
        <f>IF(ROW()&lt;=2+0,"",INDEX(Daily_Input!$H:$H,ROW()-1))</f>
        <v>11645.831690000001</v>
      </c>
      <c r="AH208" s="5">
        <f>IF(ROW()&lt;=2+1,"",INDEX(Daily_Input!$G:$G,ROW()-2))</f>
        <v>0</v>
      </c>
      <c r="AI208" s="5">
        <f>IF(ROW()&lt;=2+1,"",INDEX(Daily_Input!$H:$H,ROW()-2))</f>
        <v>13253.49857</v>
      </c>
      <c r="AJ208" s="5">
        <f>IF(ROW()&lt;=2+2,"",INDEX(Daily_Input!$G:$G,ROW()-3))</f>
        <v>0</v>
      </c>
      <c r="AK208" s="5">
        <f>IF(ROW()&lt;=2+2,"",INDEX(Daily_Input!$H:$H,ROW()-3))</f>
        <v>16825.001219999998</v>
      </c>
    </row>
    <row r="209" spans="1:37">
      <c r="A209" s="5">
        <f>Daily_Input!A209</f>
        <v>46046</v>
      </c>
      <c r="B209" s="5">
        <f>Daily_Input!F209</f>
        <v>14863.8579017753</v>
      </c>
      <c r="C209" s="5">
        <f>Daily_Input!D209</f>
        <v>489.56700000000001</v>
      </c>
      <c r="D209" s="5">
        <f>Daily_Input!E209</f>
        <v>1631482.3951735001</v>
      </c>
      <c r="E209" s="5">
        <f>IF(ROW()=2,"",Daily_Input!E209-Daily_Input!E208)</f>
        <v>0</v>
      </c>
      <c r="F209" s="5">
        <f>IFERROR(Daily_Input!E209/Config!$B$4,"")</f>
        <v>1.0037027193749493</v>
      </c>
      <c r="G209" s="5">
        <f>Daily_Input!I209</f>
        <v>0</v>
      </c>
      <c r="H209" s="5">
        <f>IF(A209="","",IF(ROW()=2,G209,Config!$B$5*H208+G209))</f>
        <v>5.4506841498887066</v>
      </c>
      <c r="I209" s="5">
        <f t="shared" si="3"/>
        <v>24</v>
      </c>
      <c r="J209" s="5">
        <f>IF(I209="","",SIN(2*PI()*I209/Config!$B$6))</f>
        <v>0.40148798920597301</v>
      </c>
      <c r="K209" s="5">
        <f>IF(I209="","",COS(2*PI()*I209/Config!$B$6))</f>
        <v>0.91586428826728716</v>
      </c>
      <c r="L209" s="5">
        <f>IF(ROW()&lt;=2+0,"",INDEX(Daily_Input!$F:$F,ROW()-1))</f>
        <v>13947.703351775299</v>
      </c>
      <c r="M209" s="5">
        <f>IF(ROW()&lt;=2+1,"",INDEX(Daily_Input!$F:$F,ROW()-2))</f>
        <v>12319.036451775301</v>
      </c>
      <c r="N209" s="5">
        <f>IF(ROW()&lt;=2+2,"",INDEX(Daily_Input!$F:$F,ROW()-3))</f>
        <v>13926.703331775299</v>
      </c>
      <c r="O209" s="5">
        <f>IF(ROW()&lt;=2+3,"",INDEX(Daily_Input!$F:$F,ROW()-4))</f>
        <v>17498.205981775296</v>
      </c>
      <c r="P209" s="5">
        <f>IF(ROW()&lt;=2+4,"",INDEX(Daily_Input!$F:$F,ROW()-5))</f>
        <v>17352.360781775296</v>
      </c>
      <c r="Q209" s="5">
        <f>IF(ROW()&lt;=2+5,"",INDEX(Daily_Input!$F:$F,ROW()-6))</f>
        <v>17617.496071775298</v>
      </c>
      <c r="R209" s="5">
        <f>IF(ROW()&lt;=2+6,"",INDEX(Daily_Input!$F:$F,ROW()-7))</f>
        <v>20765.388931775298</v>
      </c>
      <c r="S209" s="5">
        <f>IF(ROW()&lt;=2+7,"",INDEX(Daily_Input!$F:$F,ROW()-8))</f>
        <v>21919.954611775298</v>
      </c>
      <c r="T209" s="5">
        <f>IF(ROW()&lt;=2+8,"",INDEX(Daily_Input!$F:$F,ROW()-9))</f>
        <v>21424.640561775297</v>
      </c>
      <c r="U209" s="5">
        <f>IF(ROW()&lt;=2+9,"",INDEX(Daily_Input!$F:$F,ROW()-10))</f>
        <v>18926.447071775299</v>
      </c>
      <c r="V209" s="5">
        <f>IF(ROW()&lt;=2+10,"",INDEX(Daily_Input!$F:$F,ROW()-11))</f>
        <v>15268.1274817753</v>
      </c>
      <c r="W209" s="5">
        <f>IF(ROW()&lt;=2+11,"",INDEX(Daily_Input!$F:$F,ROW()-12))</f>
        <v>16398.032062075275</v>
      </c>
      <c r="X209" s="5">
        <f>IF(ROW()&lt;=2+12,"",INDEX(Daily_Input!$F:$F,ROW()-13))</f>
        <v>9670.7438592584585</v>
      </c>
      <c r="Y209" s="5">
        <f>IF(ROW()&lt;=2+13,"",INDEX(Daily_Input!$F:$F,ROW()-14))</f>
        <v>9477.7434247584279</v>
      </c>
      <c r="Z209" s="5">
        <f>IF(ROW()&lt;=4,"",SUM(Daily_Input!I209:I211))</f>
        <v>0</v>
      </c>
      <c r="AA209" s="5">
        <f>IF(ROW()&lt;=8,"",SUM(Daily_Input!I209:I215))</f>
        <v>0</v>
      </c>
      <c r="AB209" s="5">
        <f>IF(ROW()&lt;=15,"",SUM(Daily_Input!I209:I222))</f>
        <v>0</v>
      </c>
      <c r="AC209" s="5">
        <f>IF(ROW()&lt;=4,"",AVERAGE(Daily_Input!F209:F211))</f>
        <v>17350.031381775301</v>
      </c>
      <c r="AD209" s="5">
        <f>IF(ROW()&lt;=8,"",AVERAGE(Daily_Input!F209:F215))</f>
        <v>19635.202400308899</v>
      </c>
      <c r="AE209" s="5">
        <f>IF(ROW()&lt;=8,"",MAX(Daily_Input!F209:F215))</f>
        <v>25758.306680442736</v>
      </c>
      <c r="AF209" s="5">
        <f>IF(ROW()&lt;=2+0,"",INDEX(Daily_Input!$G:$G,ROW()-1))</f>
        <v>0</v>
      </c>
      <c r="AG209" s="5">
        <f>IF(ROW()&lt;=2+0,"",INDEX(Daily_Input!$H:$H,ROW()-1))</f>
        <v>13274.498589999999</v>
      </c>
      <c r="AH209" s="5">
        <f>IF(ROW()&lt;=2+1,"",INDEX(Daily_Input!$G:$G,ROW()-2))</f>
        <v>0</v>
      </c>
      <c r="AI209" s="5">
        <f>IF(ROW()&lt;=2+1,"",INDEX(Daily_Input!$H:$H,ROW()-2))</f>
        <v>11645.831690000001</v>
      </c>
      <c r="AJ209" s="5">
        <f>IF(ROW()&lt;=2+2,"",INDEX(Daily_Input!$G:$G,ROW()-3))</f>
        <v>0</v>
      </c>
      <c r="AK209" s="5">
        <f>IF(ROW()&lt;=2+2,"",INDEX(Daily_Input!$H:$H,ROW()-3))</f>
        <v>13253.49857</v>
      </c>
    </row>
    <row r="210" spans="1:37">
      <c r="A210" s="5">
        <f>Daily_Input!A210</f>
        <v>46047</v>
      </c>
      <c r="B210" s="5">
        <f>Daily_Input!F210</f>
        <v>17735.328621775298</v>
      </c>
      <c r="C210" s="5">
        <f>Daily_Input!D210</f>
        <v>489.56700000000001</v>
      </c>
      <c r="D210" s="5">
        <f>Daily_Input!E210</f>
        <v>1631482.3951735001</v>
      </c>
      <c r="E210" s="5">
        <f>IF(ROW()=2,"",Daily_Input!E210-Daily_Input!E209)</f>
        <v>0</v>
      </c>
      <c r="F210" s="5">
        <f>IFERROR(Daily_Input!E210/Config!$B$4,"")</f>
        <v>1.0037027193749493</v>
      </c>
      <c r="G210" s="5">
        <f>Daily_Input!I210</f>
        <v>0</v>
      </c>
      <c r="H210" s="5">
        <f>IF(A210="","",IF(ROW()=2,G210,Config!$B$5*H209+G210))</f>
        <v>5.1781499423942714</v>
      </c>
      <c r="I210" s="5">
        <f t="shared" si="3"/>
        <v>25</v>
      </c>
      <c r="J210" s="5">
        <f>IF(I210="","",SIN(2*PI()*I210/Config!$B$6))</f>
        <v>0.41719360261231681</v>
      </c>
      <c r="K210" s="5">
        <f>IF(I210="","",COS(2*PI()*I210/Config!$B$6))</f>
        <v>0.90881763733950294</v>
      </c>
      <c r="L210" s="5">
        <f>IF(ROW()&lt;=2+0,"",INDEX(Daily_Input!$F:$F,ROW()-1))</f>
        <v>14863.8579017753</v>
      </c>
      <c r="M210" s="5">
        <f>IF(ROW()&lt;=2+1,"",INDEX(Daily_Input!$F:$F,ROW()-2))</f>
        <v>13947.703351775299</v>
      </c>
      <c r="N210" s="5">
        <f>IF(ROW()&lt;=2+2,"",INDEX(Daily_Input!$F:$F,ROW()-3))</f>
        <v>12319.036451775301</v>
      </c>
      <c r="O210" s="5">
        <f>IF(ROW()&lt;=2+3,"",INDEX(Daily_Input!$F:$F,ROW()-4))</f>
        <v>13926.703331775299</v>
      </c>
      <c r="P210" s="5">
        <f>IF(ROW()&lt;=2+4,"",INDEX(Daily_Input!$F:$F,ROW()-5))</f>
        <v>17498.205981775296</v>
      </c>
      <c r="Q210" s="5">
        <f>IF(ROW()&lt;=2+5,"",INDEX(Daily_Input!$F:$F,ROW()-6))</f>
        <v>17352.360781775296</v>
      </c>
      <c r="R210" s="5">
        <f>IF(ROW()&lt;=2+6,"",INDEX(Daily_Input!$F:$F,ROW()-7))</f>
        <v>17617.496071775298</v>
      </c>
      <c r="S210" s="5">
        <f>IF(ROW()&lt;=2+7,"",INDEX(Daily_Input!$F:$F,ROW()-8))</f>
        <v>20765.388931775298</v>
      </c>
      <c r="T210" s="5">
        <f>IF(ROW()&lt;=2+8,"",INDEX(Daily_Input!$F:$F,ROW()-9))</f>
        <v>21919.954611775298</v>
      </c>
      <c r="U210" s="5">
        <f>IF(ROW()&lt;=2+9,"",INDEX(Daily_Input!$F:$F,ROW()-10))</f>
        <v>21424.640561775297</v>
      </c>
      <c r="V210" s="5">
        <f>IF(ROW()&lt;=2+10,"",INDEX(Daily_Input!$F:$F,ROW()-11))</f>
        <v>18926.447071775299</v>
      </c>
      <c r="W210" s="5">
        <f>IF(ROW()&lt;=2+11,"",INDEX(Daily_Input!$F:$F,ROW()-12))</f>
        <v>15268.1274817753</v>
      </c>
      <c r="X210" s="5">
        <f>IF(ROW()&lt;=2+12,"",INDEX(Daily_Input!$F:$F,ROW()-13))</f>
        <v>16398.032062075275</v>
      </c>
      <c r="Y210" s="5">
        <f>IF(ROW()&lt;=2+13,"",INDEX(Daily_Input!$F:$F,ROW()-14))</f>
        <v>9670.7438592584585</v>
      </c>
      <c r="Z210" s="5">
        <f>IF(ROW()&lt;=4,"",SUM(Daily_Input!I210:I212))</f>
        <v>0</v>
      </c>
      <c r="AA210" s="5">
        <f>IF(ROW()&lt;=8,"",SUM(Daily_Input!I210:I216))</f>
        <v>0</v>
      </c>
      <c r="AB210" s="5">
        <f>IF(ROW()&lt;=15,"",SUM(Daily_Input!I210:I223))</f>
        <v>0</v>
      </c>
      <c r="AC210" s="5">
        <f>IF(ROW()&lt;=4,"",AVERAGE(Daily_Input!F210:F212))</f>
        <v>20424.52826133111</v>
      </c>
      <c r="AD210" s="5">
        <f>IF(ROW()&lt;=8,"",AVERAGE(Daily_Input!F210:F216))</f>
        <v>20369.427190308899</v>
      </c>
      <c r="AE210" s="5">
        <f>IF(ROW()&lt;=8,"",MAX(Daily_Input!F210:F216))</f>
        <v>25758.306680442736</v>
      </c>
      <c r="AF210" s="5">
        <f>IF(ROW()&lt;=2+0,"",INDEX(Daily_Input!$G:$G,ROW()-1))</f>
        <v>0</v>
      </c>
      <c r="AG210" s="5">
        <f>IF(ROW()&lt;=2+0,"",INDEX(Daily_Input!$H:$H,ROW()-1))</f>
        <v>14190.65314</v>
      </c>
      <c r="AH210" s="5">
        <f>IF(ROW()&lt;=2+1,"",INDEX(Daily_Input!$G:$G,ROW()-2))</f>
        <v>0</v>
      </c>
      <c r="AI210" s="5">
        <f>IF(ROW()&lt;=2+1,"",INDEX(Daily_Input!$H:$H,ROW()-2))</f>
        <v>13274.498589999999</v>
      </c>
      <c r="AJ210" s="5">
        <f>IF(ROW()&lt;=2+2,"",INDEX(Daily_Input!$G:$G,ROW()-3))</f>
        <v>0</v>
      </c>
      <c r="AK210" s="5">
        <f>IF(ROW()&lt;=2+2,"",INDEX(Daily_Input!$H:$H,ROW()-3))</f>
        <v>11645.831690000001</v>
      </c>
    </row>
    <row r="211" spans="1:37">
      <c r="A211" s="5">
        <f>Daily_Input!A211</f>
        <v>46048</v>
      </c>
      <c r="B211" s="5">
        <f>Daily_Input!F211</f>
        <v>19450.907621775299</v>
      </c>
      <c r="C211" s="5">
        <f>Daily_Input!D211</f>
        <v>489.56700000000001</v>
      </c>
      <c r="D211" s="5">
        <f>Daily_Input!E211</f>
        <v>1631482.3951735001</v>
      </c>
      <c r="E211" s="5">
        <f>IF(ROW()=2,"",Daily_Input!E211-Daily_Input!E210)</f>
        <v>0</v>
      </c>
      <c r="F211" s="5">
        <f>IFERROR(Daily_Input!E211/Config!$B$4,"")</f>
        <v>1.0037027193749493</v>
      </c>
      <c r="G211" s="5">
        <f>Daily_Input!I211</f>
        <v>0</v>
      </c>
      <c r="H211" s="5">
        <f>IF(A211="","",IF(ROW()=2,G211,Config!$B$5*H210+G211))</f>
        <v>4.9192424452745573</v>
      </c>
      <c r="I211" s="5">
        <f t="shared" si="3"/>
        <v>26</v>
      </c>
      <c r="J211" s="5">
        <f>IF(I211="","",SIN(2*PI()*I211/Config!$B$6))</f>
        <v>0.43277559255043119</v>
      </c>
      <c r="K211" s="5">
        <f>IF(I211="","",COS(2*PI()*I211/Config!$B$6))</f>
        <v>0.90150168413188403</v>
      </c>
      <c r="L211" s="5">
        <f>IF(ROW()&lt;=2+0,"",INDEX(Daily_Input!$F:$F,ROW()-1))</f>
        <v>17735.328621775298</v>
      </c>
      <c r="M211" s="5">
        <f>IF(ROW()&lt;=2+1,"",INDEX(Daily_Input!$F:$F,ROW()-2))</f>
        <v>14863.8579017753</v>
      </c>
      <c r="N211" s="5">
        <f>IF(ROW()&lt;=2+2,"",INDEX(Daily_Input!$F:$F,ROW()-3))</f>
        <v>13947.703351775299</v>
      </c>
      <c r="O211" s="5">
        <f>IF(ROW()&lt;=2+3,"",INDEX(Daily_Input!$F:$F,ROW()-4))</f>
        <v>12319.036451775301</v>
      </c>
      <c r="P211" s="5">
        <f>IF(ROW()&lt;=2+4,"",INDEX(Daily_Input!$F:$F,ROW()-5))</f>
        <v>13926.703331775299</v>
      </c>
      <c r="Q211" s="5">
        <f>IF(ROW()&lt;=2+5,"",INDEX(Daily_Input!$F:$F,ROW()-6))</f>
        <v>17498.205981775296</v>
      </c>
      <c r="R211" s="5">
        <f>IF(ROW()&lt;=2+6,"",INDEX(Daily_Input!$F:$F,ROW()-7))</f>
        <v>17352.360781775296</v>
      </c>
      <c r="S211" s="5">
        <f>IF(ROW()&lt;=2+7,"",INDEX(Daily_Input!$F:$F,ROW()-8))</f>
        <v>17617.496071775298</v>
      </c>
      <c r="T211" s="5">
        <f>IF(ROW()&lt;=2+8,"",INDEX(Daily_Input!$F:$F,ROW()-9))</f>
        <v>20765.388931775298</v>
      </c>
      <c r="U211" s="5">
        <f>IF(ROW()&lt;=2+9,"",INDEX(Daily_Input!$F:$F,ROW()-10))</f>
        <v>21919.954611775298</v>
      </c>
      <c r="V211" s="5">
        <f>IF(ROW()&lt;=2+10,"",INDEX(Daily_Input!$F:$F,ROW()-11))</f>
        <v>21424.640561775297</v>
      </c>
      <c r="W211" s="5">
        <f>IF(ROW()&lt;=2+11,"",INDEX(Daily_Input!$F:$F,ROW()-12))</f>
        <v>18926.447071775299</v>
      </c>
      <c r="X211" s="5">
        <f>IF(ROW()&lt;=2+12,"",INDEX(Daily_Input!$F:$F,ROW()-13))</f>
        <v>15268.1274817753</v>
      </c>
      <c r="Y211" s="5">
        <f>IF(ROW()&lt;=2+13,"",INDEX(Daily_Input!$F:$F,ROW()-14))</f>
        <v>16398.032062075275</v>
      </c>
      <c r="Z211" s="5">
        <f>IF(ROW()&lt;=4,"",SUM(Daily_Input!I211:I213))</f>
        <v>0</v>
      </c>
      <c r="AA211" s="5">
        <f>IF(ROW()&lt;=8,"",SUM(Daily_Input!I211:I217))</f>
        <v>0</v>
      </c>
      <c r="AB211" s="5">
        <f>IF(ROW()&lt;=15,"",SUM(Daily_Input!I211:I224))</f>
        <v>0</v>
      </c>
      <c r="AC211" s="5">
        <f>IF(ROW()&lt;=4,"",AVERAGE(Daily_Input!F211:F213))</f>
        <v>20575.675721731168</v>
      </c>
      <c r="AD211" s="5">
        <f>IF(ROW()&lt;=8,"",AVERAGE(Daily_Input!F211:F217))</f>
        <v>20808.443618397836</v>
      </c>
      <c r="AE211" s="5">
        <f>IF(ROW()&lt;=8,"",MAX(Daily_Input!F211:F217))</f>
        <v>25758.306680442736</v>
      </c>
      <c r="AF211" s="5">
        <f>IF(ROW()&lt;=2+0,"",INDEX(Daily_Input!$G:$G,ROW()-1))</f>
        <v>0</v>
      </c>
      <c r="AG211" s="5">
        <f>IF(ROW()&lt;=2+0,"",INDEX(Daily_Input!$H:$H,ROW()-1))</f>
        <v>17062.12386</v>
      </c>
      <c r="AH211" s="5">
        <f>IF(ROW()&lt;=2+1,"",INDEX(Daily_Input!$G:$G,ROW()-2))</f>
        <v>0</v>
      </c>
      <c r="AI211" s="5">
        <f>IF(ROW()&lt;=2+1,"",INDEX(Daily_Input!$H:$H,ROW()-2))</f>
        <v>14190.65314</v>
      </c>
      <c r="AJ211" s="5">
        <f>IF(ROW()&lt;=2+2,"",INDEX(Daily_Input!$G:$G,ROW()-3))</f>
        <v>0</v>
      </c>
      <c r="AK211" s="5">
        <f>IF(ROW()&lt;=2+2,"",INDEX(Daily_Input!$H:$H,ROW()-3))</f>
        <v>13274.498589999999</v>
      </c>
    </row>
    <row r="212" spans="1:37">
      <c r="A212" s="5">
        <f>Daily_Input!A212</f>
        <v>46049</v>
      </c>
      <c r="B212" s="5">
        <f>Daily_Input!F212</f>
        <v>24087.348540442737</v>
      </c>
      <c r="C212" s="5">
        <f>Daily_Input!D212</f>
        <v>489.57299999999998</v>
      </c>
      <c r="D212" s="5">
        <f>Daily_Input!E212</f>
        <v>1634494.0165122999</v>
      </c>
      <c r="E212" s="5">
        <f>IF(ROW()=2,"",Daily_Input!E212-Daily_Input!E211)</f>
        <v>3011.6213387998287</v>
      </c>
      <c r="F212" s="5">
        <f>IFERROR(Daily_Input!E212/Config!$B$4,"")</f>
        <v>1.0055554960499677</v>
      </c>
      <c r="G212" s="5">
        <f>Daily_Input!I212</f>
        <v>0</v>
      </c>
      <c r="H212" s="5">
        <f>IF(A212="","",IF(ROW()=2,G212,Config!$B$5*H211+G212))</f>
        <v>4.6732803230108289</v>
      </c>
      <c r="I212" s="5">
        <f t="shared" si="3"/>
        <v>27</v>
      </c>
      <c r="J212" s="5">
        <f>IF(I212="","",SIN(2*PI()*I212/Config!$B$6))</f>
        <v>0.44822934174041063</v>
      </c>
      <c r="K212" s="5">
        <f>IF(I212="","",COS(2*PI()*I212/Config!$B$6))</f>
        <v>0.89391859651925698</v>
      </c>
      <c r="L212" s="5">
        <f>IF(ROW()&lt;=2+0,"",INDEX(Daily_Input!$F:$F,ROW()-1))</f>
        <v>19450.907621775299</v>
      </c>
      <c r="M212" s="5">
        <f>IF(ROW()&lt;=2+1,"",INDEX(Daily_Input!$F:$F,ROW()-2))</f>
        <v>17735.328621775298</v>
      </c>
      <c r="N212" s="5">
        <f>IF(ROW()&lt;=2+2,"",INDEX(Daily_Input!$F:$F,ROW()-3))</f>
        <v>14863.8579017753</v>
      </c>
      <c r="O212" s="5">
        <f>IF(ROW()&lt;=2+3,"",INDEX(Daily_Input!$F:$F,ROW()-4))</f>
        <v>13947.703351775299</v>
      </c>
      <c r="P212" s="5">
        <f>IF(ROW()&lt;=2+4,"",INDEX(Daily_Input!$F:$F,ROW()-5))</f>
        <v>12319.036451775301</v>
      </c>
      <c r="Q212" s="5">
        <f>IF(ROW()&lt;=2+5,"",INDEX(Daily_Input!$F:$F,ROW()-6))</f>
        <v>13926.703331775299</v>
      </c>
      <c r="R212" s="5">
        <f>IF(ROW()&lt;=2+6,"",INDEX(Daily_Input!$F:$F,ROW()-7))</f>
        <v>17498.205981775296</v>
      </c>
      <c r="S212" s="5">
        <f>IF(ROW()&lt;=2+7,"",INDEX(Daily_Input!$F:$F,ROW()-8))</f>
        <v>17352.360781775296</v>
      </c>
      <c r="T212" s="5">
        <f>IF(ROW()&lt;=2+8,"",INDEX(Daily_Input!$F:$F,ROW()-9))</f>
        <v>17617.496071775298</v>
      </c>
      <c r="U212" s="5">
        <f>IF(ROW()&lt;=2+9,"",INDEX(Daily_Input!$F:$F,ROW()-10))</f>
        <v>20765.388931775298</v>
      </c>
      <c r="V212" s="5">
        <f>IF(ROW()&lt;=2+10,"",INDEX(Daily_Input!$F:$F,ROW()-11))</f>
        <v>21919.954611775298</v>
      </c>
      <c r="W212" s="5">
        <f>IF(ROW()&lt;=2+11,"",INDEX(Daily_Input!$F:$F,ROW()-12))</f>
        <v>21424.640561775297</v>
      </c>
      <c r="X212" s="5">
        <f>IF(ROW()&lt;=2+12,"",INDEX(Daily_Input!$F:$F,ROW()-13))</f>
        <v>18926.447071775299</v>
      </c>
      <c r="Y212" s="5">
        <f>IF(ROW()&lt;=2+13,"",INDEX(Daily_Input!$F:$F,ROW()-14))</f>
        <v>15268.1274817753</v>
      </c>
      <c r="Z212" s="5">
        <f>IF(ROW()&lt;=4,"",SUM(Daily_Input!I212:I214))</f>
        <v>0</v>
      </c>
      <c r="AA212" s="5">
        <f>IF(ROW()&lt;=8,"",SUM(Daily_Input!I212:I218))</f>
        <v>0</v>
      </c>
      <c r="AB212" s="5">
        <f>IF(ROW()&lt;=15,"",SUM(Daily_Input!I212:I225))</f>
        <v>0</v>
      </c>
      <c r="AC212" s="5">
        <f>IF(ROW()&lt;=4,"",AVERAGE(Daily_Input!F212:F214))</f>
        <v>22678.142074620311</v>
      </c>
      <c r="AD212" s="5">
        <f>IF(ROW()&lt;=8,"",AVERAGE(Daily_Input!F212:F218))</f>
        <v>21079.95081772234</v>
      </c>
      <c r="AE212" s="5">
        <f>IF(ROW()&lt;=8,"",MAX(Daily_Input!F212:F218))</f>
        <v>25758.306680442736</v>
      </c>
      <c r="AF212" s="5">
        <f>IF(ROW()&lt;=2+0,"",INDEX(Daily_Input!$G:$G,ROW()-1))</f>
        <v>0</v>
      </c>
      <c r="AG212" s="5">
        <f>IF(ROW()&lt;=2+0,"",INDEX(Daily_Input!$H:$H,ROW()-1))</f>
        <v>18777.702860000001</v>
      </c>
      <c r="AH212" s="5">
        <f>IF(ROW()&lt;=2+1,"",INDEX(Daily_Input!$G:$G,ROW()-2))</f>
        <v>0</v>
      </c>
      <c r="AI212" s="5">
        <f>IF(ROW()&lt;=2+1,"",INDEX(Daily_Input!$H:$H,ROW()-2))</f>
        <v>17062.12386</v>
      </c>
      <c r="AJ212" s="5">
        <f>IF(ROW()&lt;=2+2,"",INDEX(Daily_Input!$G:$G,ROW()-3))</f>
        <v>0</v>
      </c>
      <c r="AK212" s="5">
        <f>IF(ROW()&lt;=2+2,"",INDEX(Daily_Input!$H:$H,ROW()-3))</f>
        <v>14190.65314</v>
      </c>
    </row>
    <row r="213" spans="1:37">
      <c r="A213" s="5">
        <f>Daily_Input!A213</f>
        <v>46050</v>
      </c>
      <c r="B213" s="5">
        <f>Daily_Input!F213</f>
        <v>18188.771002975471</v>
      </c>
      <c r="C213" s="5">
        <f>Daily_Input!D213</f>
        <v>489.56700000000001</v>
      </c>
      <c r="D213" s="5">
        <f>Daily_Input!E213</f>
        <v>1631482.3951735001</v>
      </c>
      <c r="E213" s="5">
        <f>IF(ROW()=2,"",Daily_Input!E213-Daily_Input!E212)</f>
        <v>-3011.6213387998287</v>
      </c>
      <c r="F213" s="5">
        <f>IFERROR(Daily_Input!E213/Config!$B$4,"")</f>
        <v>1.0037027193749493</v>
      </c>
      <c r="G213" s="5">
        <f>Daily_Input!I213</f>
        <v>0</v>
      </c>
      <c r="H213" s="5">
        <f>IF(A213="","",IF(ROW()=2,G213,Config!$B$5*H212+G213))</f>
        <v>4.4396163068602874</v>
      </c>
      <c r="I213" s="5">
        <f t="shared" si="3"/>
        <v>28</v>
      </c>
      <c r="J213" s="5">
        <f>IF(I213="","",SIN(2*PI()*I213/Config!$B$6))</f>
        <v>0.46355027090285089</v>
      </c>
      <c r="K213" s="5">
        <f>IF(I213="","",COS(2*PI()*I213/Config!$B$6))</f>
        <v>0.88607062153413796</v>
      </c>
      <c r="L213" s="5">
        <f>IF(ROW()&lt;=2+0,"",INDEX(Daily_Input!$F:$F,ROW()-1))</f>
        <v>24087.348540442737</v>
      </c>
      <c r="M213" s="5">
        <f>IF(ROW()&lt;=2+1,"",INDEX(Daily_Input!$F:$F,ROW()-2))</f>
        <v>19450.907621775299</v>
      </c>
      <c r="N213" s="5">
        <f>IF(ROW()&lt;=2+2,"",INDEX(Daily_Input!$F:$F,ROW()-3))</f>
        <v>17735.328621775298</v>
      </c>
      <c r="O213" s="5">
        <f>IF(ROW()&lt;=2+3,"",INDEX(Daily_Input!$F:$F,ROW()-4))</f>
        <v>14863.8579017753</v>
      </c>
      <c r="P213" s="5">
        <f>IF(ROW()&lt;=2+4,"",INDEX(Daily_Input!$F:$F,ROW()-5))</f>
        <v>13947.703351775299</v>
      </c>
      <c r="Q213" s="5">
        <f>IF(ROW()&lt;=2+5,"",INDEX(Daily_Input!$F:$F,ROW()-6))</f>
        <v>12319.036451775301</v>
      </c>
      <c r="R213" s="5">
        <f>IF(ROW()&lt;=2+6,"",INDEX(Daily_Input!$F:$F,ROW()-7))</f>
        <v>13926.703331775299</v>
      </c>
      <c r="S213" s="5">
        <f>IF(ROW()&lt;=2+7,"",INDEX(Daily_Input!$F:$F,ROW()-8))</f>
        <v>17498.205981775296</v>
      </c>
      <c r="T213" s="5">
        <f>IF(ROW()&lt;=2+8,"",INDEX(Daily_Input!$F:$F,ROW()-9))</f>
        <v>17352.360781775296</v>
      </c>
      <c r="U213" s="5">
        <f>IF(ROW()&lt;=2+9,"",INDEX(Daily_Input!$F:$F,ROW()-10))</f>
        <v>17617.496071775298</v>
      </c>
      <c r="V213" s="5">
        <f>IF(ROW()&lt;=2+10,"",INDEX(Daily_Input!$F:$F,ROW()-11))</f>
        <v>20765.388931775298</v>
      </c>
      <c r="W213" s="5">
        <f>IF(ROW()&lt;=2+11,"",INDEX(Daily_Input!$F:$F,ROW()-12))</f>
        <v>21919.954611775298</v>
      </c>
      <c r="X213" s="5">
        <f>IF(ROW()&lt;=2+12,"",INDEX(Daily_Input!$F:$F,ROW()-13))</f>
        <v>21424.640561775297</v>
      </c>
      <c r="Y213" s="5">
        <f>IF(ROW()&lt;=2+13,"",INDEX(Daily_Input!$F:$F,ROW()-14))</f>
        <v>18926.447071775299</v>
      </c>
      <c r="Z213" s="5">
        <f>IF(ROW()&lt;=4,"",SUM(Daily_Input!I213:I215))</f>
        <v>0</v>
      </c>
      <c r="AA213" s="5">
        <f>IF(ROW()&lt;=8,"",SUM(Daily_Input!I213:I219))</f>
        <v>0</v>
      </c>
      <c r="AB213" s="5">
        <f>IF(ROW()&lt;=15,"",SUM(Daily_Input!I213:I226))</f>
        <v>0</v>
      </c>
      <c r="AC213" s="5">
        <f>IF(ROW()&lt;=4,"",AVERAGE(Daily_Input!F213:F215))</f>
        <v>20436.324705464558</v>
      </c>
      <c r="AD213" s="5">
        <f>IF(ROW()&lt;=8,"",AVERAGE(Daily_Input!F213:F219))</f>
        <v>20328.101387042243</v>
      </c>
      <c r="AE213" s="5">
        <f>IF(ROW()&lt;=8,"",MAX(Daily_Input!F213:F219))</f>
        <v>25758.306680442736</v>
      </c>
      <c r="AF213" s="5">
        <f>IF(ROW()&lt;=2+0,"",INDEX(Daily_Input!$G:$G,ROW()-1))</f>
        <v>0</v>
      </c>
      <c r="AG213" s="5">
        <f>IF(ROW()&lt;=2+0,"",INDEX(Daily_Input!$H:$H,ROW()-1))</f>
        <v>20402.175230000001</v>
      </c>
      <c r="AH213" s="5">
        <f>IF(ROW()&lt;=2+1,"",INDEX(Daily_Input!$G:$G,ROW()-2))</f>
        <v>0</v>
      </c>
      <c r="AI213" s="5">
        <f>IF(ROW()&lt;=2+1,"",INDEX(Daily_Input!$H:$H,ROW()-2))</f>
        <v>18777.702860000001</v>
      </c>
      <c r="AJ213" s="5">
        <f>IF(ROW()&lt;=2+2,"",INDEX(Daily_Input!$G:$G,ROW()-3))</f>
        <v>0</v>
      </c>
      <c r="AK213" s="5">
        <f>IF(ROW()&lt;=2+2,"",INDEX(Daily_Input!$H:$H,ROW()-3))</f>
        <v>17062.12386</v>
      </c>
    </row>
    <row r="214" spans="1:37">
      <c r="A214" s="5">
        <f>Daily_Input!A214</f>
        <v>46051</v>
      </c>
      <c r="B214" s="5">
        <f>Daily_Input!F214</f>
        <v>25758.306680442736</v>
      </c>
      <c r="C214" s="5">
        <f>Daily_Input!D214</f>
        <v>489.57299999999998</v>
      </c>
      <c r="D214" s="5">
        <f>Daily_Input!E214</f>
        <v>1634494.0165122999</v>
      </c>
      <c r="E214" s="5">
        <f>IF(ROW()=2,"",Daily_Input!E214-Daily_Input!E213)</f>
        <v>3011.6213387998287</v>
      </c>
      <c r="F214" s="5">
        <f>IFERROR(Daily_Input!E214/Config!$B$4,"")</f>
        <v>1.0055554960499677</v>
      </c>
      <c r="G214" s="5">
        <f>Daily_Input!I214</f>
        <v>0</v>
      </c>
      <c r="H214" s="5">
        <f>IF(A214="","",IF(ROW()=2,G214,Config!$B$5*H213+G214))</f>
        <v>4.2176354915172727</v>
      </c>
      <c r="I214" s="5">
        <f t="shared" si="3"/>
        <v>29</v>
      </c>
      <c r="J214" s="5">
        <f>IF(I214="","",SIN(2*PI()*I214/Config!$B$6))</f>
        <v>0.47873384011578846</v>
      </c>
      <c r="K214" s="5">
        <f>IF(I214="","",COS(2*PI()*I214/Config!$B$6))</f>
        <v>0.87796008470088815</v>
      </c>
      <c r="L214" s="5">
        <f>IF(ROW()&lt;=2+0,"",INDEX(Daily_Input!$F:$F,ROW()-1))</f>
        <v>18188.771002975471</v>
      </c>
      <c r="M214" s="5">
        <f>IF(ROW()&lt;=2+1,"",INDEX(Daily_Input!$F:$F,ROW()-2))</f>
        <v>24087.348540442737</v>
      </c>
      <c r="N214" s="5">
        <f>IF(ROW()&lt;=2+2,"",INDEX(Daily_Input!$F:$F,ROW()-3))</f>
        <v>19450.907621775299</v>
      </c>
      <c r="O214" s="5">
        <f>IF(ROW()&lt;=2+3,"",INDEX(Daily_Input!$F:$F,ROW()-4))</f>
        <v>17735.328621775298</v>
      </c>
      <c r="P214" s="5">
        <f>IF(ROW()&lt;=2+4,"",INDEX(Daily_Input!$F:$F,ROW()-5))</f>
        <v>14863.8579017753</v>
      </c>
      <c r="Q214" s="5">
        <f>IF(ROW()&lt;=2+5,"",INDEX(Daily_Input!$F:$F,ROW()-6))</f>
        <v>13947.703351775299</v>
      </c>
      <c r="R214" s="5">
        <f>IF(ROW()&lt;=2+6,"",INDEX(Daily_Input!$F:$F,ROW()-7))</f>
        <v>12319.036451775301</v>
      </c>
      <c r="S214" s="5">
        <f>IF(ROW()&lt;=2+7,"",INDEX(Daily_Input!$F:$F,ROW()-8))</f>
        <v>13926.703331775299</v>
      </c>
      <c r="T214" s="5">
        <f>IF(ROW()&lt;=2+8,"",INDEX(Daily_Input!$F:$F,ROW()-9))</f>
        <v>17498.205981775296</v>
      </c>
      <c r="U214" s="5">
        <f>IF(ROW()&lt;=2+9,"",INDEX(Daily_Input!$F:$F,ROW()-10))</f>
        <v>17352.360781775296</v>
      </c>
      <c r="V214" s="5">
        <f>IF(ROW()&lt;=2+10,"",INDEX(Daily_Input!$F:$F,ROW()-11))</f>
        <v>17617.496071775298</v>
      </c>
      <c r="W214" s="5">
        <f>IF(ROW()&lt;=2+11,"",INDEX(Daily_Input!$F:$F,ROW()-12))</f>
        <v>20765.388931775298</v>
      </c>
      <c r="X214" s="5">
        <f>IF(ROW()&lt;=2+12,"",INDEX(Daily_Input!$F:$F,ROW()-13))</f>
        <v>21919.954611775298</v>
      </c>
      <c r="Y214" s="5">
        <f>IF(ROW()&lt;=2+13,"",INDEX(Daily_Input!$F:$F,ROW()-14))</f>
        <v>21424.640561775297</v>
      </c>
      <c r="Z214" s="5">
        <f>IF(ROW()&lt;=4,"",SUM(Daily_Input!I214:I216))</f>
        <v>0</v>
      </c>
      <c r="AA214" s="5">
        <f>IF(ROW()&lt;=8,"",SUM(Daily_Input!I214:I220))</f>
        <v>0</v>
      </c>
      <c r="AB214" s="5">
        <f>IF(ROW()&lt;=15,"",SUM(Daily_Input!I214:I227))</f>
        <v>0</v>
      </c>
      <c r="AC214" s="5">
        <f>IF(ROW()&lt;=4,"",AVERAGE(Daily_Input!F214:F216))</f>
        <v>21041.2115150645</v>
      </c>
      <c r="AD214" s="5">
        <f>IF(ROW()&lt;=8,"",AVERAGE(Daily_Input!F214:F220))</f>
        <v>21041.2115150645</v>
      </c>
      <c r="AE214" s="5">
        <f>IF(ROW()&lt;=8,"",MAX(Daily_Input!F214:F220))</f>
        <v>25758.306680442736</v>
      </c>
      <c r="AF214" s="5">
        <f>IF(ROW()&lt;=2+0,"",INDEX(Daily_Input!$G:$G,ROW()-1))</f>
        <v>0</v>
      </c>
      <c r="AG214" s="5">
        <f>IF(ROW()&lt;=2+0,"",INDEX(Daily_Input!$H:$H,ROW()-1))</f>
        <v>20527.187580000002</v>
      </c>
      <c r="AH214" s="5">
        <f>IF(ROW()&lt;=2+1,"",INDEX(Daily_Input!$G:$G,ROW()-2))</f>
        <v>0</v>
      </c>
      <c r="AI214" s="5">
        <f>IF(ROW()&lt;=2+1,"",INDEX(Daily_Input!$H:$H,ROW()-2))</f>
        <v>20402.175230000001</v>
      </c>
      <c r="AJ214" s="5">
        <f>IF(ROW()&lt;=2+2,"",INDEX(Daily_Input!$G:$G,ROW()-3))</f>
        <v>0</v>
      </c>
      <c r="AK214" s="5">
        <f>IF(ROW()&lt;=2+2,"",INDEX(Daily_Input!$H:$H,ROW()-3))</f>
        <v>18777.702860000001</v>
      </c>
    </row>
    <row r="215" spans="1:37">
      <c r="A215" s="5">
        <f>Daily_Input!A215</f>
        <v>46052</v>
      </c>
      <c r="B215" s="5">
        <f>Daily_Input!F215</f>
        <v>17361.896432975471</v>
      </c>
      <c r="C215" s="5">
        <f>Daily_Input!D215</f>
        <v>489.56700000000001</v>
      </c>
      <c r="D215" s="5">
        <f>Daily_Input!E215</f>
        <v>1631482.3951735001</v>
      </c>
      <c r="E215" s="5">
        <f>IF(ROW()=2,"",Daily_Input!E215-Daily_Input!E214)</f>
        <v>-3011.6213387998287</v>
      </c>
      <c r="F215" s="5">
        <f>IFERROR(Daily_Input!E215/Config!$B$4,"")</f>
        <v>1.0037027193749493</v>
      </c>
      <c r="G215" s="5">
        <f>Daily_Input!I215</f>
        <v>0</v>
      </c>
      <c r="H215" s="5">
        <f>IF(A215="","",IF(ROW()=2,G215,Config!$B$5*H214+G215))</f>
        <v>4.0067537169414091</v>
      </c>
      <c r="I215" s="5">
        <f t="shared" si="3"/>
        <v>30</v>
      </c>
      <c r="J215" s="5">
        <f>IF(I215="","",SIN(2*PI()*I215/Config!$B$6))</f>
        <v>0.49377555015997721</v>
      </c>
      <c r="K215" s="5">
        <f>IF(I215="","",COS(2*PI()*I215/Config!$B$6))</f>
        <v>0.86958938934661101</v>
      </c>
      <c r="L215" s="5">
        <f>IF(ROW()&lt;=2+0,"",INDEX(Daily_Input!$F:$F,ROW()-1))</f>
        <v>25758.306680442736</v>
      </c>
      <c r="M215" s="5">
        <f>IF(ROW()&lt;=2+1,"",INDEX(Daily_Input!$F:$F,ROW()-2))</f>
        <v>18188.771002975471</v>
      </c>
      <c r="N215" s="5">
        <f>IF(ROW()&lt;=2+2,"",INDEX(Daily_Input!$F:$F,ROW()-3))</f>
        <v>24087.348540442737</v>
      </c>
      <c r="O215" s="5">
        <f>IF(ROW()&lt;=2+3,"",INDEX(Daily_Input!$F:$F,ROW()-4))</f>
        <v>19450.907621775299</v>
      </c>
      <c r="P215" s="5">
        <f>IF(ROW()&lt;=2+4,"",INDEX(Daily_Input!$F:$F,ROW()-5))</f>
        <v>17735.328621775298</v>
      </c>
      <c r="Q215" s="5">
        <f>IF(ROW()&lt;=2+5,"",INDEX(Daily_Input!$F:$F,ROW()-6))</f>
        <v>14863.8579017753</v>
      </c>
      <c r="R215" s="5">
        <f>IF(ROW()&lt;=2+6,"",INDEX(Daily_Input!$F:$F,ROW()-7))</f>
        <v>13947.703351775299</v>
      </c>
      <c r="S215" s="5">
        <f>IF(ROW()&lt;=2+7,"",INDEX(Daily_Input!$F:$F,ROW()-8))</f>
        <v>12319.036451775301</v>
      </c>
      <c r="T215" s="5">
        <f>IF(ROW()&lt;=2+8,"",INDEX(Daily_Input!$F:$F,ROW()-9))</f>
        <v>13926.703331775299</v>
      </c>
      <c r="U215" s="5">
        <f>IF(ROW()&lt;=2+9,"",INDEX(Daily_Input!$F:$F,ROW()-10))</f>
        <v>17498.205981775296</v>
      </c>
      <c r="V215" s="5">
        <f>IF(ROW()&lt;=2+10,"",INDEX(Daily_Input!$F:$F,ROW()-11))</f>
        <v>17352.360781775296</v>
      </c>
      <c r="W215" s="5">
        <f>IF(ROW()&lt;=2+11,"",INDEX(Daily_Input!$F:$F,ROW()-12))</f>
        <v>17617.496071775298</v>
      </c>
      <c r="X215" s="5">
        <f>IF(ROW()&lt;=2+12,"",INDEX(Daily_Input!$F:$F,ROW()-13))</f>
        <v>20765.388931775298</v>
      </c>
      <c r="Y215" s="5">
        <f>IF(ROW()&lt;=2+13,"",INDEX(Daily_Input!$F:$F,ROW()-14))</f>
        <v>21919.954611775298</v>
      </c>
      <c r="Z215" s="5">
        <f>IF(ROW()&lt;=4,"",SUM(Daily_Input!I215:I217))</f>
        <v>0</v>
      </c>
      <c r="AA215" s="5">
        <f>IF(ROW()&lt;=8,"",SUM(Daily_Input!I215:I221))</f>
        <v>0</v>
      </c>
      <c r="AB215" s="5">
        <f>IF(ROW()&lt;=15,"",SUM(Daily_Input!I215:I228))</f>
        <v>0</v>
      </c>
      <c r="AC215" s="5">
        <f>IF(ROW()&lt;=4,"",AVERAGE(Daily_Input!F215:F217))</f>
        <v>18682.663932375384</v>
      </c>
      <c r="AD215" s="5">
        <f>IF(ROW()&lt;=8,"",AVERAGE(Daily_Input!F215:F221))</f>
        <v>18682.663932375384</v>
      </c>
      <c r="AE215" s="5">
        <f>IF(ROW()&lt;=8,"",MAX(Daily_Input!F215:F221))</f>
        <v>20003.431431775298</v>
      </c>
      <c r="AF215" s="5">
        <f>IF(ROW()&lt;=2+0,"",INDEX(Daily_Input!$G:$G,ROW()-1))</f>
        <v>0</v>
      </c>
      <c r="AG215" s="5">
        <f>IF(ROW()&lt;=2+0,"",INDEX(Daily_Input!$H:$H,ROW()-1))</f>
        <v>22073.13337</v>
      </c>
      <c r="AH215" s="5">
        <f>IF(ROW()&lt;=2+1,"",INDEX(Daily_Input!$G:$G,ROW()-2))</f>
        <v>0</v>
      </c>
      <c r="AI215" s="5">
        <f>IF(ROW()&lt;=2+1,"",INDEX(Daily_Input!$H:$H,ROW()-2))</f>
        <v>20527.187580000002</v>
      </c>
      <c r="AJ215" s="5">
        <f>IF(ROW()&lt;=2+2,"",INDEX(Daily_Input!$G:$G,ROW()-3))</f>
        <v>0</v>
      </c>
      <c r="AK215" s="5">
        <f>IF(ROW()&lt;=2+2,"",INDEX(Daily_Input!$H:$H,ROW()-3))</f>
        <v>20402.175230000001</v>
      </c>
    </row>
    <row r="216" spans="1:37">
      <c r="A216" s="5">
        <f>Daily_Input!A216</f>
        <v>46053</v>
      </c>
      <c r="B216" s="5">
        <f>Daily_Input!F216</f>
        <v>20003.431431775298</v>
      </c>
      <c r="C216" s="5">
        <f>Daily_Input!D216</f>
        <v>489.56700000000001</v>
      </c>
      <c r="D216" s="5">
        <f>Daily_Input!E216</f>
        <v>1631482.3951735001</v>
      </c>
      <c r="E216" s="5">
        <f>IF(ROW()=2,"",Daily_Input!E216-Daily_Input!E215)</f>
        <v>0</v>
      </c>
      <c r="F216" s="5">
        <f>IFERROR(Daily_Input!E216/Config!$B$4,"")</f>
        <v>1.0037027193749493</v>
      </c>
      <c r="G216" s="5">
        <f>Daily_Input!I216</f>
        <v>0</v>
      </c>
      <c r="H216" s="5">
        <f>IF(A216="","",IF(ROW()=2,G216,Config!$B$5*H215+G216))</f>
        <v>3.8064160310943387</v>
      </c>
      <c r="I216" s="5">
        <f t="shared" si="3"/>
        <v>31</v>
      </c>
      <c r="J216" s="5">
        <f>IF(I216="","",SIN(2*PI()*I216/Config!$B$6))</f>
        <v>0.50867094385210443</v>
      </c>
      <c r="K216" s="5">
        <f>IF(I216="","",COS(2*PI()*I216/Config!$B$6))</f>
        <v>0.86096101588899432</v>
      </c>
      <c r="L216" s="5">
        <f>IF(ROW()&lt;=2+0,"",INDEX(Daily_Input!$F:$F,ROW()-1))</f>
        <v>17361.896432975471</v>
      </c>
      <c r="M216" s="5">
        <f>IF(ROW()&lt;=2+1,"",INDEX(Daily_Input!$F:$F,ROW()-2))</f>
        <v>25758.306680442736</v>
      </c>
      <c r="N216" s="5">
        <f>IF(ROW()&lt;=2+2,"",INDEX(Daily_Input!$F:$F,ROW()-3))</f>
        <v>18188.771002975471</v>
      </c>
      <c r="O216" s="5">
        <f>IF(ROW()&lt;=2+3,"",INDEX(Daily_Input!$F:$F,ROW()-4))</f>
        <v>24087.348540442737</v>
      </c>
      <c r="P216" s="5">
        <f>IF(ROW()&lt;=2+4,"",INDEX(Daily_Input!$F:$F,ROW()-5))</f>
        <v>19450.907621775299</v>
      </c>
      <c r="Q216" s="5">
        <f>IF(ROW()&lt;=2+5,"",INDEX(Daily_Input!$F:$F,ROW()-6))</f>
        <v>17735.328621775298</v>
      </c>
      <c r="R216" s="5">
        <f>IF(ROW()&lt;=2+6,"",INDEX(Daily_Input!$F:$F,ROW()-7))</f>
        <v>14863.8579017753</v>
      </c>
      <c r="S216" s="5">
        <f>IF(ROW()&lt;=2+7,"",INDEX(Daily_Input!$F:$F,ROW()-8))</f>
        <v>13947.703351775299</v>
      </c>
      <c r="T216" s="5">
        <f>IF(ROW()&lt;=2+8,"",INDEX(Daily_Input!$F:$F,ROW()-9))</f>
        <v>12319.036451775301</v>
      </c>
      <c r="U216" s="5">
        <f>IF(ROW()&lt;=2+9,"",INDEX(Daily_Input!$F:$F,ROW()-10))</f>
        <v>13926.703331775299</v>
      </c>
      <c r="V216" s="5">
        <f>IF(ROW()&lt;=2+10,"",INDEX(Daily_Input!$F:$F,ROW()-11))</f>
        <v>17498.205981775296</v>
      </c>
      <c r="W216" s="5">
        <f>IF(ROW()&lt;=2+11,"",INDEX(Daily_Input!$F:$F,ROW()-12))</f>
        <v>17352.360781775296</v>
      </c>
      <c r="X216" s="5">
        <f>IF(ROW()&lt;=2+12,"",INDEX(Daily_Input!$F:$F,ROW()-13))</f>
        <v>17617.496071775298</v>
      </c>
      <c r="Y216" s="5">
        <f>IF(ROW()&lt;=2+13,"",INDEX(Daily_Input!$F:$F,ROW()-14))</f>
        <v>20765.388931775298</v>
      </c>
      <c r="Z216" s="5">
        <f>IF(ROW()&lt;=4,"",SUM(Daily_Input!I216:I218))</f>
        <v>0</v>
      </c>
      <c r="AA216" s="5">
        <f>IF(ROW()&lt;=8,"",SUM(Daily_Input!I216:I222))</f>
        <v>0</v>
      </c>
      <c r="AB216" s="5">
        <f>IF(ROW()&lt;=15,"",SUM(Daily_Input!I216:I229))</f>
        <v>0</v>
      </c>
      <c r="AC216" s="5">
        <f>IF(ROW()&lt;=4,"",AVERAGE(Daily_Input!F216:F218))</f>
        <v>20003.431431775298</v>
      </c>
      <c r="AD216" s="5">
        <f>IF(ROW()&lt;=8,"",AVERAGE(Daily_Input!F216:F222))</f>
        <v>20003.431431775298</v>
      </c>
      <c r="AE216" s="5">
        <f>IF(ROW()&lt;=8,"",MAX(Daily_Input!F216:F222))</f>
        <v>20003.431431775298</v>
      </c>
      <c r="AF216" s="5">
        <f>IF(ROW()&lt;=2+0,"",INDEX(Daily_Input!$G:$G,ROW()-1))</f>
        <v>0</v>
      </c>
      <c r="AG216" s="5">
        <f>IF(ROW()&lt;=2+0,"",INDEX(Daily_Input!$H:$H,ROW()-1))</f>
        <v>19700.313010000002</v>
      </c>
      <c r="AH216" s="5">
        <f>IF(ROW()&lt;=2+1,"",INDEX(Daily_Input!$G:$G,ROW()-2))</f>
        <v>0</v>
      </c>
      <c r="AI216" s="5">
        <f>IF(ROW()&lt;=2+1,"",INDEX(Daily_Input!$H:$H,ROW()-2))</f>
        <v>22073.13337</v>
      </c>
      <c r="AJ216" s="5">
        <f>IF(ROW()&lt;=2+2,"",INDEX(Daily_Input!$G:$G,ROW()-3))</f>
        <v>0</v>
      </c>
      <c r="AK216" s="5">
        <f>IF(ROW()&lt;=2+2,"",INDEX(Daily_Input!$H:$H,ROW()-3))</f>
        <v>20527.187580000002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selection activeCell="B2" sqref="B2"/>
    </sheetView>
  </sheetViews>
  <sheetFormatPr defaultRowHeight="14.4"/>
  <cols>
    <col min="1" max="1" width="14" customWidth="1"/>
    <col min="2" max="2" width="28" customWidth="1"/>
    <col min="3" max="3" width="14" customWidth="1"/>
    <col min="4" max="4" width="12" customWidth="1"/>
    <col min="5" max="5" width="14" customWidth="1"/>
    <col min="6" max="6" width="70" customWidth="1"/>
  </cols>
  <sheetData>
    <row r="1" spans="1:6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</row>
    <row r="2" spans="1:6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</row>
    <row r="3" spans="1:6">
      <c r="A3" t="s">
        <v>115</v>
      </c>
      <c r="B3" t="s">
        <v>121</v>
      </c>
      <c r="C3" t="s">
        <v>117</v>
      </c>
      <c r="D3" t="s">
        <v>122</v>
      </c>
      <c r="E3" t="s">
        <v>119</v>
      </c>
      <c r="F3" t="s">
        <v>123</v>
      </c>
    </row>
    <row r="4" spans="1:6">
      <c r="A4" t="s">
        <v>124</v>
      </c>
      <c r="B4" t="s">
        <v>125</v>
      </c>
      <c r="C4" t="s">
        <v>126</v>
      </c>
      <c r="D4" t="s">
        <v>118</v>
      </c>
      <c r="E4" t="s">
        <v>127</v>
      </c>
      <c r="F4" t="s">
        <v>128</v>
      </c>
    </row>
    <row r="5" spans="1:6">
      <c r="A5" t="s">
        <v>124</v>
      </c>
      <c r="B5" t="s">
        <v>129</v>
      </c>
      <c r="C5" t="s">
        <v>126</v>
      </c>
      <c r="D5" t="s">
        <v>122</v>
      </c>
      <c r="E5" t="s">
        <v>127</v>
      </c>
      <c r="F5" t="s">
        <v>130</v>
      </c>
    </row>
    <row r="6" spans="1:6">
      <c r="A6" t="s">
        <v>124</v>
      </c>
      <c r="B6" t="s">
        <v>131</v>
      </c>
      <c r="C6" t="s">
        <v>132</v>
      </c>
      <c r="D6" t="s">
        <v>133</v>
      </c>
      <c r="E6" t="s">
        <v>127</v>
      </c>
      <c r="F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Daily_Input</vt:lpstr>
      <vt:lpstr>Training_Ready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MONTREE PINKAEO</cp:lastModifiedBy>
  <dcterms:modified xsi:type="dcterms:W3CDTF">2026-02-03T07:01:55Z</dcterms:modified>
</cp:coreProperties>
</file>