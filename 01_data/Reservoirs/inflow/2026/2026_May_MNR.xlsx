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บัญชีน้ำ" sheetId="1" state="visible" r:id="rId3"/>
    <sheet name="Area_Terrain" sheetId="2" state="visible" r:id="rId4"/>
    <sheet name="Rating Curve 1 CM" sheetId="3" state="visible" r:id="rId5"/>
    <sheet name="อัตราการไหล ท่อฝั่งspillway" sheetId="4" state="visible" r:id="rId6"/>
    <sheet name="อัตราการไหลท่อฝั่งทางเข้าอ่าง" sheetId="5" state="visible" r:id="rId7"/>
    <sheet name="ตารางปล่อยน้ำ" sheetId="6" state="visible" r:id="rId8"/>
    <sheet name="น้ำล้นสปิลเวย์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<sst xmlns="http://schemas.openxmlformats.org/spreadsheetml/2006/main" count="121" uniqueCount="81">
  <si>
    <t xml:space="preserve">Daily water data table</t>
  </si>
  <si>
    <t xml:space="preserve">Reservoir : Mae Na Rua</t>
  </si>
  <si>
    <t xml:space="preserve">Month</t>
  </si>
  <si>
    <t xml:space="preserve">May</t>
  </si>
  <si>
    <t xml:space="preserve">Year</t>
  </si>
  <si>
    <t xml:space="preserve">At 07.00 AM.</t>
  </si>
  <si>
    <t xml:space="preserve">I=ΔS-R+O+Spill+E</t>
  </si>
  <si>
    <t xml:space="preserve">O</t>
  </si>
  <si>
    <t xml:space="preserve">Spill</t>
  </si>
  <si>
    <t xml:space="preserve">R</t>
  </si>
  <si>
    <t xml:space="preserve">E</t>
  </si>
  <si>
    <t xml:space="preserve">Infiltration</t>
  </si>
  <si>
    <t xml:space="preserve">ΔS</t>
  </si>
  <si>
    <t xml:space="preserve">Date</t>
  </si>
  <si>
    <t xml:space="preserve">Water Level (MSL)</t>
  </si>
  <si>
    <t xml:space="preserve">Water Volume (M3)</t>
  </si>
  <si>
    <t xml:space="preserve">Inflow (M3)</t>
  </si>
  <si>
    <t xml:space="preserve">Water discharged through the outlet work.
(M3)</t>
  </si>
  <si>
    <t xml:space="preserve">Water overflowing the spillway. (M3)</t>
  </si>
  <si>
    <t xml:space="preserve">Cumulative rainfall over the past 24 hours. (mm.)</t>
  </si>
  <si>
    <t xml:space="preserve">Water runoff from rainwater that falls directly into the reservoir (M3)</t>
  </si>
  <si>
    <t xml:space="preserve">Evaporation (M3)</t>
  </si>
  <si>
    <t xml:space="preserve">ΔS (M3)</t>
  </si>
  <si>
    <t xml:space="preserve">จากสถานีโทรมาตรวัดระดับน้ำ
https://partners.thaiwater.net:3007/teleChart/th/VLGE12/25</t>
  </si>
  <si>
    <t xml:space="preserve">Plane_Height(MSL)</t>
  </si>
  <si>
    <t xml:space="preserve">Area_Water (M2)</t>
  </si>
  <si>
    <t xml:space="preserve">Area_Terrain (M2)</t>
  </si>
  <si>
    <t xml:space="preserve">Volume (M3)</t>
  </si>
  <si>
    <t xml:space="preserve">MSL_Height</t>
  </si>
  <si>
    <t xml:space="preserve"> Z_Factor</t>
  </si>
  <si>
    <t xml:space="preserve">พื้นที่ผิวน้ำ</t>
  </si>
  <si>
    <t xml:space="preserve">ความจุ(ลูกบาศก์เมตร)</t>
  </si>
  <si>
    <t xml:space="preserve">Spill way</t>
  </si>
  <si>
    <t xml:space="preserve">Flow rate measuring experiment</t>
  </si>
  <si>
    <t xml:space="preserve">อ่างเก็บน้ำแม่นาเรือ</t>
  </si>
  <si>
    <t xml:space="preserve">1. ท่อน้ำออก ฝั่งสปิลเวย์ ปล่อยลงคลองส่งน้ำคอนกรีต</t>
  </si>
  <si>
    <t xml:space="preserve">ท่อ HDPE 355 mm. (outer surface) 26.1 mm thickness PN125</t>
  </si>
  <si>
    <t xml:space="preserve">ระยะห่างหัววัด 411 mm.</t>
  </si>
  <si>
    <t xml:space="preserve">จำนวนรอบที่เปิดวาล์ว</t>
  </si>
  <si>
    <t xml:space="preserve">รอบที่ 1</t>
  </si>
  <si>
    <t xml:space="preserve">รอบที่ 2</t>
  </si>
  <si>
    <t xml:space="preserve">รอบที่ 3</t>
  </si>
  <si>
    <t xml:space="preserve">Avg</t>
  </si>
  <si>
    <t xml:space="preserve">V (m/s)</t>
  </si>
  <si>
    <t xml:space="preserve">Q (M3/h)</t>
  </si>
  <si>
    <t xml:space="preserve">Q (M3/min)</t>
  </si>
  <si>
    <t xml:space="preserve">ระดับระบายหน้าฝน</t>
  </si>
  <si>
    <t xml:space="preserve">1. ท่อน้ำออก ฝั่งทางเข้าอ่าง</t>
  </si>
  <si>
    <t xml:space="preserve">ระยะห่างหัววัด 411.4 mm.</t>
  </si>
  <si>
    <t xml:space="preserve">ครั้งที่</t>
  </si>
  <si>
    <t xml:space="preserve">วันที่ปล่อยน้ำ</t>
  </si>
  <si>
    <t xml:space="preserve">เวลาเริ่มปล่อยน้ำ</t>
  </si>
  <si>
    <r>
      <rPr>
        <b val="true"/>
        <sz val="16"/>
        <color theme="1"/>
        <rFont val="Aptos Narrow"/>
        <family val="2"/>
        <charset val="222"/>
      </rPr>
      <t xml:space="preserve">จำนวนรอบที่เปิดวาล์ว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รอบ</t>
    </r>
    <r>
      <rPr>
        <b val="true"/>
        <sz val="16"/>
        <color theme="1"/>
        <rFont val="Angsana New"/>
        <family val="1"/>
        <charset val="1"/>
      </rPr>
      <t xml:space="preserve">)</t>
    </r>
  </si>
  <si>
    <t xml:space="preserve">วันที่ปิดน้ำ</t>
  </si>
  <si>
    <t xml:space="preserve">เวลาที่ปิดน้ำ</t>
  </si>
  <si>
    <r>
      <rPr>
        <b val="true"/>
        <sz val="16"/>
        <color theme="1"/>
        <rFont val="Aptos Narrow"/>
        <family val="2"/>
        <charset val="222"/>
      </rPr>
      <t xml:space="preserve">คิดเป็นปริมาณน้ำ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ลบ</t>
    </r>
    <r>
      <rPr>
        <b val="true"/>
        <sz val="16"/>
        <color theme="1"/>
        <rFont val="Angsana New"/>
        <family val="1"/>
        <charset val="1"/>
      </rPr>
      <t xml:space="preserve">.</t>
    </r>
    <r>
      <rPr>
        <b val="true"/>
        <sz val="16"/>
        <color theme="1"/>
        <rFont val="Aptos Narrow"/>
        <family val="2"/>
        <charset val="222"/>
      </rPr>
      <t xml:space="preserve">ม</t>
    </r>
    <r>
      <rPr>
        <b val="true"/>
        <sz val="16"/>
        <color theme="1"/>
        <rFont val="Angsana New"/>
        <family val="1"/>
        <charset val="1"/>
      </rPr>
      <t xml:space="preserve">.)</t>
    </r>
  </si>
  <si>
    <t xml:space="preserve">ฝั่งท่อน้ำออก</t>
  </si>
  <si>
    <t xml:space="preserve">วัตถุประสงค์การปล่อยน้ำ</t>
  </si>
  <si>
    <r>
      <rPr>
        <b val="true"/>
        <sz val="16"/>
        <color theme="1"/>
        <rFont val="Aptos Narrow"/>
        <family val="2"/>
        <charset val="222"/>
      </rPr>
      <t xml:space="preserve">กรณีจ่ายน้ำเพื่อการเกษตร พื้นที่ขอใช้น้ำ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ปลูกอะไรบ้าง รวมกี่ไร่</t>
    </r>
    <r>
      <rPr>
        <b val="true"/>
        <sz val="16"/>
        <color theme="1"/>
        <rFont val="Angsana New"/>
        <family val="1"/>
        <charset val="1"/>
      </rPr>
      <t xml:space="preserve">)</t>
    </r>
  </si>
  <si>
    <t xml:space="preserve">26 มิ.ย 68</t>
  </si>
  <si>
    <t xml:space="preserve">14 ต.ค 68</t>
  </si>
  <si>
    <t xml:space="preserve">สปิลเวย์</t>
  </si>
  <si>
    <t xml:space="preserve">ระบายน้ำเพื่อรองรับน้ำฝน</t>
  </si>
  <si>
    <t xml:space="preserve">ทางเข้าอ่าง</t>
  </si>
  <si>
    <t xml:space="preserve">18 ต.ค 68</t>
  </si>
  <si>
    <t xml:space="preserve">6 พ.ย 69</t>
  </si>
  <si>
    <t xml:space="preserve">เพื่อการเกษตร</t>
  </si>
  <si>
    <t xml:space="preserve">7 พ.ย 69</t>
  </si>
  <si>
    <t xml:space="preserve">6 ม.ค 69</t>
  </si>
  <si>
    <t xml:space="preserve">8 ม.ค 69</t>
  </si>
  <si>
    <t xml:space="preserve">date</t>
  </si>
  <si>
    <t xml:space="preserve">time</t>
  </si>
  <si>
    <t xml:space="preserve">rainfall</t>
  </si>
  <si>
    <t xml:space="preserve">water_level</t>
  </si>
  <si>
    <t xml:space="preserve">water_level (ADJ)</t>
  </si>
  <si>
    <t xml:space="preserve">Spillway_level</t>
  </si>
  <si>
    <t xml:space="preserve">H (M.)</t>
  </si>
  <si>
    <t xml:space="preserve">C</t>
  </si>
  <si>
    <t xml:space="preserve">Q (m3/s)</t>
  </si>
  <si>
    <t xml:space="preserve">Q (m3/m)</t>
  </si>
  <si>
    <t xml:space="preserve">Q (m3/h)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</si>
</sst>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.00000000000"/>
    <numFmt numFmtId="167" formatCode="0.000"/>
    <numFmt numFmtId="168" formatCode="0.00"/>
    <numFmt numFmtId="169" formatCode="#,##0"/>
    <numFmt numFmtId="170" formatCode="_(* #,##0.00_);_(* \(#,##0.00\);_(* \-??_);_(@_)"/>
    <numFmt numFmtId="171" formatCode="h:mm;@"/>
    <numFmt numFmtId="172" formatCode="m/d/yyyy"/>
  </numFmts>
  <fonts count="43">
    <font>
      <sz val="11"/>
      <color theme="1"/>
      <name val="Aptos Narrow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7030A0"/>
      <name val="Aptos Narrow"/>
      <family val="2"/>
      <charset val="222"/>
    </font>
    <font>
      <sz val="11"/>
      <color rgb="FF7030A0"/>
      <name val="Aptos Narrow"/>
      <family val="2"/>
      <charset val="1"/>
    </font>
    <font>
      <sz val="11"/>
      <color rgb="FFFF0000"/>
      <name val="Aptos Narrow"/>
      <family val="2"/>
      <charset val="222"/>
    </font>
    <font>
      <sz val="11"/>
      <name val="Aptos Narrow"/>
      <family val="2"/>
      <charset val="222"/>
    </font>
    <font>
      <u val="single"/>
      <sz val="11"/>
      <color theme="10"/>
      <name val="Aptos Narrow"/>
      <family val="2"/>
      <charset val="222"/>
    </font>
    <font>
      <b val="true"/>
      <sz val="18"/>
      <name val="TH SarabunPSK"/>
      <family val="2"/>
      <charset val="1"/>
    </font>
    <font>
      <sz val="18"/>
      <name val="TH SarabunPSK"/>
      <family val="2"/>
      <charset val="222"/>
    </font>
    <font>
      <b val="true"/>
      <sz val="18"/>
      <color rgb="FFFF0000"/>
      <name val="TH SarabunPSK"/>
      <family val="2"/>
      <charset val="1"/>
    </font>
    <font>
      <sz val="18"/>
      <color theme="1"/>
      <name val="TH SarabunPSK"/>
      <family val="2"/>
      <charset val="1"/>
    </font>
    <font>
      <b val="true"/>
      <sz val="18"/>
      <color rgb="FFC00000"/>
      <name val="TH SarabunPSK"/>
      <family val="2"/>
      <charset val="1"/>
    </font>
    <font>
      <b val="true"/>
      <sz val="14"/>
      <color rgb="FFFF0000"/>
      <name val="Aptos Narrow"/>
      <family val="2"/>
      <charset val="1"/>
    </font>
    <font>
      <b val="true"/>
      <sz val="14"/>
      <color rgb="FF0070C0"/>
      <name val="Aptos Narrow"/>
      <family val="2"/>
      <charset val="1"/>
    </font>
    <font>
      <b val="true"/>
      <sz val="28"/>
      <color rgb="FF000000"/>
      <name val="TH SarabunPSK"/>
      <family val="2"/>
    </font>
    <font>
      <b val="true"/>
      <sz val="14"/>
      <color rgb="FF156082"/>
      <name val="TH SarabunPSK"/>
      <family val="2"/>
    </font>
    <font>
      <b val="true"/>
      <sz val="18"/>
      <color rgb="FFE97132"/>
      <name val="TH SarabunPSK"/>
      <family val="2"/>
    </font>
    <font>
      <b val="true"/>
      <sz val="14"/>
      <color rgb="FF000000"/>
      <name val="TH SarabunPSK"/>
      <family val="2"/>
    </font>
    <font>
      <b val="true"/>
      <sz val="18"/>
      <color rgb="FF000000"/>
      <name val="TH SarabunPSK"/>
      <family val="2"/>
    </font>
    <font>
      <b val="true"/>
      <sz val="14"/>
      <color rgb="FFE97132"/>
      <name val="TH SarabunPSK"/>
      <family val="2"/>
    </font>
    <font>
      <b val="true"/>
      <sz val="18"/>
      <color rgb="FF156082"/>
      <name val="TH SarabunPSK"/>
      <family val="2"/>
    </font>
    <font>
      <sz val="11"/>
      <color theme="3" tint="0.4999"/>
      <name val="Aptos Narrow"/>
      <family val="2"/>
      <charset val="1"/>
    </font>
    <font>
      <b val="true"/>
      <sz val="14"/>
      <color rgb="FF0E2841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0"/>
      <color rgb="FF0E2841"/>
      <name val="Aptos Narrow"/>
      <family val="2"/>
    </font>
    <font>
      <sz val="10"/>
      <color rgb="FF0E2841"/>
      <name val="Aptos Narrow"/>
      <family val="2"/>
    </font>
    <font>
      <b val="true"/>
      <vertAlign val="superscript"/>
      <sz val="10.5"/>
      <color rgb="FF0E2841"/>
      <name val="Aptos Narrow"/>
      <family val="2"/>
    </font>
    <font>
      <sz val="14"/>
      <color rgb="FF595959"/>
      <name val="Aptos Narrow"/>
      <family val="2"/>
    </font>
    <font>
      <sz val="9"/>
      <color rgb="FF0E2841"/>
      <name val="Aptos Narrow"/>
      <family val="2"/>
    </font>
    <font>
      <b val="true"/>
      <sz val="9"/>
      <color rgb="FF0E2841"/>
      <name val="Aptos Narrow"/>
      <family val="2"/>
    </font>
    <font>
      <b val="true"/>
      <vertAlign val="superscript"/>
      <sz val="10"/>
      <color rgb="FF0E2841"/>
      <name val="Aptos Narrow"/>
      <family val="2"/>
    </font>
    <font>
      <sz val="14"/>
      <color rgb="FF3A3A3A"/>
      <name val="Aptos Narrow"/>
      <family val="2"/>
    </font>
    <font>
      <b val="true"/>
      <sz val="16"/>
      <color theme="1"/>
      <name val="Aptos Narrow"/>
      <family val="2"/>
      <charset val="222"/>
    </font>
    <font>
      <b val="true"/>
      <sz val="16"/>
      <color theme="1"/>
      <name val="Angsana New"/>
      <family val="1"/>
      <charset val="1"/>
    </font>
    <font>
      <sz val="11"/>
      <name val="Aptos Narrow"/>
      <family val="2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"/>
        <bgColor rgb="FFDCEAF7"/>
      </patternFill>
    </fill>
    <fill>
      <patternFill patternType="solid">
        <fgColor rgb="FFFF0000"/>
        <bgColor rgb="FFC00000"/>
      </patternFill>
    </fill>
    <fill>
      <patternFill patternType="solid">
        <fgColor theme="5" tint="0.7999"/>
        <bgColor rgb="FFF2F2F2"/>
      </patternFill>
    </fill>
    <fill>
      <patternFill patternType="solid">
        <fgColor theme="3" tint="0.8999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*unknown*" xfId="20" builtinId="8"/>
  </cellStyles>
  <dxfs count="3"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FF0000"/>
      </font>
      <fill>
        <patternFill>
          <bgColor theme="5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156082"/>
      <rgbColor rgb="FFBFBFBF"/>
      <rgbColor rgb="FF8B8B8B"/>
      <rgbColor rgb="FF71AAE0"/>
      <rgbColor rgb="FF7030A0"/>
      <rgbColor rgb="FFF2F2F2"/>
      <rgbColor rgb="FFCAEEFB"/>
      <rgbColor rgb="FF660066"/>
      <rgbColor rgb="FFFF8080"/>
      <rgbColor rgb="FF0070C0"/>
      <rgbColor rgb="FFCADFF4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DCEAF7"/>
      <rgbColor rgb="FFC6EFCE"/>
      <rgbColor rgb="FFFFFF99"/>
      <rgbColor rgb="FFD9D9D9"/>
      <rgbColor rgb="FFF2AA84"/>
      <rgbColor rgb="FFCC99FF"/>
      <rgbColor rgb="FFFBE3D6"/>
      <rgbColor rgb="FF3366FF"/>
      <rgbColor rgb="FF33CCCC"/>
      <rgbColor rgb="FF99CC00"/>
      <rgbColor rgb="FFFFCC00"/>
      <rgbColor rgb="FFFF9900"/>
      <rgbColor rgb="FFE97132"/>
      <rgbColor rgb="FF467886"/>
      <rgbColor rgb="FF969696"/>
      <rgbColor rgb="FF0E2841"/>
      <rgbColor rgb="FF4E95D9"/>
      <rgbColor rgb="FF003300"/>
      <rgbColor rgb="FF404040"/>
      <rgbColor rgb="FF993300"/>
      <rgbColor rgb="FF993366"/>
      <rgbColor rgb="FF59595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Rating Curve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  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"HuayMaeNaRuea" </a:t>
            </a:r>
          </a:p>
        </c:rich>
      </c:tx>
      <c:layout>
        <c:manualLayout>
          <c:xMode val="edge"/>
          <c:yMode val="edge"/>
          <c:x val="0.347701963004908"/>
          <c:y val="0.014280154477142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84220460551151"/>
          <c:y val="0.151483399694638"/>
          <c:w val="0.882502831257078"/>
          <c:h val="0.7274496302727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156082"/>
            </a:solidFill>
            <a:ln cap="rnd"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771"/>
                <c:pt idx="0">
                  <c:v>1924831.9028941</c:v>
                </c:pt>
                <c:pt idx="1">
                  <c:v>1921577.3328207</c:v>
                </c:pt>
                <c:pt idx="2">
                  <c:v>1918325.2594952</c:v>
                </c:pt>
                <c:pt idx="3">
                  <c:v>1915075.8372717</c:v>
                </c:pt>
                <c:pt idx="4">
                  <c:v>1911828.9223907</c:v>
                </c:pt>
                <c:pt idx="5">
                  <c:v>1908584.6045796</c:v>
                </c:pt>
                <c:pt idx="6">
                  <c:v>1905342.9537075</c:v>
                </c:pt>
                <c:pt idx="7">
                  <c:v>1902103.8861224</c:v>
                </c:pt>
                <c:pt idx="8">
                  <c:v>1898867.3732508</c:v>
                </c:pt>
                <c:pt idx="9">
                  <c:v>1895633.4937093</c:v>
                </c:pt>
                <c:pt idx="10">
                  <c:v>1892402.5259835</c:v>
                </c:pt>
                <c:pt idx="11">
                  <c:v>1889188.8624722</c:v>
                </c:pt>
                <c:pt idx="12">
                  <c:v>1885978.3210373</c:v>
                </c:pt>
                <c:pt idx="13">
                  <c:v>1882770.2680796</c:v>
                </c:pt>
                <c:pt idx="14">
                  <c:v>1879564.5511619</c:v>
                </c:pt>
                <c:pt idx="15">
                  <c:v>1876361.0360788</c:v>
                </c:pt>
                <c:pt idx="16">
                  <c:v>1873159.8403142</c:v>
                </c:pt>
                <c:pt idx="17">
                  <c:v>1869960.8721248</c:v>
                </c:pt>
                <c:pt idx="18">
                  <c:v>1866764.1746504</c:v>
                </c:pt>
                <c:pt idx="19">
                  <c:v>1863569.6882728</c:v>
                </c:pt>
                <c:pt idx="20">
                  <c:v>1860377.4493782</c:v>
                </c:pt>
                <c:pt idx="21">
                  <c:v>1857187.4190746</c:v>
                </c:pt>
                <c:pt idx="22">
                  <c:v>1853999.5281457</c:v>
                </c:pt>
                <c:pt idx="23">
                  <c:v>1850813.8687482</c:v>
                </c:pt>
                <c:pt idx="24">
                  <c:v>1847630.4164267</c:v>
                </c:pt>
                <c:pt idx="25">
                  <c:v>1844449.1267047</c:v>
                </c:pt>
                <c:pt idx="26">
                  <c:v>1841270.1013651</c:v>
                </c:pt>
                <c:pt idx="27">
                  <c:v>1838093.2536219</c:v>
                </c:pt>
                <c:pt idx="28">
                  <c:v>1834918.6568182</c:v>
                </c:pt>
                <c:pt idx="29">
                  <c:v>1831746.3314545</c:v>
                </c:pt>
                <c:pt idx="30">
                  <c:v>1828576.609132</c:v>
                </c:pt>
                <c:pt idx="31">
                  <c:v>1825425.3189813</c:v>
                </c:pt>
                <c:pt idx="32">
                  <c:v>1822276.6650484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1809704.1751996</c:v>
                </c:pt>
                <c:pt idx="37">
                  <c:v>1806566.4209613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1797165.7765731</c:v>
                </c:pt>
                <c:pt idx="41">
                  <c:v>1794036.4193345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1784660.6460546</c:v>
                </c:pt>
                <c:pt idx="45">
                  <c:v>1781539.4187106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</c:v>
                </c:pt>
                <c:pt idx="49">
                  <c:v>1769074.3531835</c:v>
                </c:pt>
                <c:pt idx="50">
                  <c:v>1765963.4900542</c:v>
                </c:pt>
                <c:pt idx="51">
                  <c:v>1762865.1589163</c:v>
                </c:pt>
                <c:pt idx="52">
                  <c:v>1759768.7362509</c:v>
                </c:pt>
                <c:pt idx="53">
                  <c:v>1756674.0791536</c:v>
                </c:pt>
                <c:pt idx="54">
                  <c:v>1753581.1481606</c:v>
                </c:pt>
                <c:pt idx="55">
                  <c:v>1750489.8990714</c:v>
                </c:pt>
                <c:pt idx="56">
                  <c:v>1747400.294549</c:v>
                </c:pt>
                <c:pt idx="57">
                  <c:v>1744312.3770924</c:v>
                </c:pt>
                <c:pt idx="58">
                  <c:v>1741226.0555606</c:v>
                </c:pt>
                <c:pt idx="59">
                  <c:v>1738141.5165157</c:v>
                </c:pt>
                <c:pt idx="60">
                  <c:v>1735058.5729155</c:v>
                </c:pt>
                <c:pt idx="61">
                  <c:v>1731977.261997</c:v>
                </c:pt>
                <c:pt idx="62">
                  <c:v>1728897.6614809</c:v>
                </c:pt>
                <c:pt idx="63">
                  <c:v>1725819.6938243</c:v>
                </c:pt>
                <c:pt idx="64">
                  <c:v>1722743.3880805</c:v>
                </c:pt>
                <c:pt idx="65">
                  <c:v>1719668.7023854</c:v>
                </c:pt>
                <c:pt idx="66">
                  <c:v>1716595.6600502</c:v>
                </c:pt>
                <c:pt idx="67">
                  <c:v>1713524.2337389</c:v>
                </c:pt>
                <c:pt idx="68">
                  <c:v>1710454.4363393</c:v>
                </c:pt>
                <c:pt idx="69">
                  <c:v>1707386.3914463</c:v>
                </c:pt>
                <c:pt idx="70">
                  <c:v>1704320.2680112</c:v>
                </c:pt>
                <c:pt idx="71">
                  <c:v>1701265.9872819</c:v>
                </c:pt>
                <c:pt idx="72">
                  <c:v>1698213.642694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</c:v>
                </c:pt>
                <c:pt idx="76">
                  <c:v>1686020.0677445</c:v>
                </c:pt>
                <c:pt idx="77">
                  <c:v>1682975.6527669</c:v>
                </c:pt>
                <c:pt idx="78">
                  <c:v>1679932.8392697</c:v>
                </c:pt>
                <c:pt idx="79">
                  <c:v>1676891.4600323</c:v>
                </c:pt>
                <c:pt idx="80">
                  <c:v>1673851.7406958</c:v>
                </c:pt>
                <c:pt idx="81">
                  <c:v>1670813.4823932</c:v>
                </c:pt>
                <c:pt idx="82">
                  <c:v>1667776.8298904</c:v>
                </c:pt>
                <c:pt idx="83">
                  <c:v>1664741.6725648</c:v>
                </c:pt>
                <c:pt idx="84">
                  <c:v>1661708.0167959</c:v>
                </c:pt>
                <c:pt idx="85">
                  <c:v>1658675.7961467</c:v>
                </c:pt>
                <c:pt idx="86">
                  <c:v>1655645.1614623</c:v>
                </c:pt>
                <c:pt idx="87">
                  <c:v>1652616.0060849</c:v>
                </c:pt>
                <c:pt idx="88">
                  <c:v>1649588.4715397</c:v>
                </c:pt>
                <c:pt idx="89">
                  <c:v>1646562.4785364</c:v>
                </c:pt>
                <c:pt idx="90">
                  <c:v>1643538.2164867</c:v>
                </c:pt>
                <c:pt idx="91">
                  <c:v>1640521.8742391</c:v>
                </c:pt>
                <c:pt idx="92">
                  <c:v>1637507.2197397</c:v>
                </c:pt>
                <c:pt idx="93">
                  <c:v>1634494.0165123</c:v>
                </c:pt>
                <c:pt idx="94">
                  <c:v>1631482.3951735</c:v>
                </c:pt>
                <c:pt idx="95">
                  <c:v>1628472.3057532</c:v>
                </c:pt>
                <c:pt idx="96">
                  <c:v>1625463.7590197</c:v>
                </c:pt>
                <c:pt idx="97">
                  <c:v>1622456.7729032</c:v>
                </c:pt>
                <c:pt idx="98">
                  <c:v>1619451.3170382</c:v>
                </c:pt>
                <c:pt idx="99">
                  <c:v>1616447.3000027</c:v>
                </c:pt>
                <c:pt idx="100">
                  <c:v>1613444.9319478</c:v>
                </c:pt>
                <c:pt idx="101">
                  <c:v>1610444.0173448</c:v>
                </c:pt>
                <c:pt idx="102">
                  <c:v>1607444.5930314</c:v>
                </c:pt>
                <c:pt idx="103">
                  <c:v>1604446.718559</c:v>
                </c:pt>
                <c:pt idx="104">
                  <c:v>1601450.3446648</c:v>
                </c:pt>
                <c:pt idx="105">
                  <c:v>1598455.4724356</c:v>
                </c:pt>
                <c:pt idx="106">
                  <c:v>1595462.0162961</c:v>
                </c:pt>
                <c:pt idx="107">
                  <c:v>1592470.1267521</c:v>
                </c:pt>
                <c:pt idx="108">
                  <c:v>1589479.7778056</c:v>
                </c:pt>
                <c:pt idx="109">
                  <c:v>1586490.9615755</c:v>
                </c:pt>
                <c:pt idx="110">
                  <c:v>1583503.9153768</c:v>
                </c:pt>
                <c:pt idx="111">
                  <c:v>1580534.3602253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</c:v>
                </c:pt>
                <c:pt idx="115">
                  <c:v>1568674.6777429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1559797.5867666</c:v>
                </c:pt>
                <c:pt idx="119">
                  <c:v>1556841.798732</c:v>
                </c:pt>
                <c:pt idx="120">
                  <c:v>1553887.6114458</c:v>
                </c:pt>
                <c:pt idx="121">
                  <c:v>1550934.9520858</c:v>
                </c:pt>
                <c:pt idx="122">
                  <c:v>1547983.8767252</c:v>
                </c:pt>
                <c:pt idx="123">
                  <c:v>1545034.3582924</c:v>
                </c:pt>
                <c:pt idx="124">
                  <c:v>1542086.3609643</c:v>
                </c:pt>
                <c:pt idx="125">
                  <c:v>1539139.8888638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1527368.2205112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</c:v>
                </c:pt>
                <c:pt idx="133">
                  <c:v>1515629.6565953</c:v>
                </c:pt>
                <c:pt idx="134">
                  <c:v>1512698.4514312</c:v>
                </c:pt>
                <c:pt idx="135">
                  <c:v>1509768.1303155</c:v>
                </c:pt>
                <c:pt idx="136">
                  <c:v>1506838.6950446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</c:v>
                </c:pt>
                <c:pt idx="141">
                  <c:v>1492204.696838</c:v>
                </c:pt>
                <c:pt idx="142">
                  <c:v>1489280.5058131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1480512.9900536</c:v>
                </c:pt>
                <c:pt idx="146">
                  <c:v>1477592.1420387</c:v>
                </c:pt>
                <c:pt idx="147">
                  <c:v>1474672.1813453</c:v>
                </c:pt>
                <c:pt idx="148">
                  <c:v>1471753.0165594</c:v>
                </c:pt>
                <c:pt idx="149">
                  <c:v>1468834.6627917</c:v>
                </c:pt>
                <c:pt idx="150">
                  <c:v>1465917.183056</c:v>
                </c:pt>
                <c:pt idx="151">
                  <c:v>1463000.4388212</c:v>
                </c:pt>
                <c:pt idx="152">
                  <c:v>1460084.4867828</c:v>
                </c:pt>
                <c:pt idx="153">
                  <c:v>1457169.3844267</c:v>
                </c:pt>
                <c:pt idx="154">
                  <c:v>1454255.069173</c:v>
                </c:pt>
                <c:pt idx="155">
                  <c:v>1451341.5620411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1442605.7158012</c:v>
                </c:pt>
                <c:pt idx="159">
                  <c:v>1439695.2819464</c:v>
                </c:pt>
                <c:pt idx="160">
                  <c:v>1436785.673304</c:v>
                </c:pt>
                <c:pt idx="161">
                  <c:v>1433876.8830075</c:v>
                </c:pt>
                <c:pt idx="162">
                  <c:v>1430968.8174983</c:v>
                </c:pt>
                <c:pt idx="163">
                  <c:v>1428061.5598544</c:v>
                </c:pt>
                <c:pt idx="164">
                  <c:v>1425155.0669105</c:v>
                </c:pt>
                <c:pt idx="165">
                  <c:v>1422249.3957137</c:v>
                </c:pt>
                <c:pt idx="166">
                  <c:v>1419344.4679611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1410634.2644526</c:v>
                </c:pt>
                <c:pt idx="170">
                  <c:v>1407732.4119656</c:v>
                </c:pt>
                <c:pt idx="171">
                  <c:v>1404831.3032069</c:v>
                </c:pt>
                <c:pt idx="172">
                  <c:v>1401930.957596</c:v>
                </c:pt>
                <c:pt idx="173">
                  <c:v>1399031.4112872</c:v>
                </c:pt>
                <c:pt idx="174">
                  <c:v>1396132.6544669</c:v>
                </c:pt>
                <c:pt idx="175">
                  <c:v>1393234.6316031</c:v>
                </c:pt>
                <c:pt idx="176">
                  <c:v>1390337.3398593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</c:v>
                </c:pt>
                <c:pt idx="180">
                  <c:v>1378755.8348425</c:v>
                </c:pt>
                <c:pt idx="181">
                  <c:v>1375862.3110327</c:v>
                </c:pt>
                <c:pt idx="182">
                  <c:v>1372969.6331738</c:v>
                </c:pt>
                <c:pt idx="183">
                  <c:v>1370077.6250882</c:v>
                </c:pt>
                <c:pt idx="184">
                  <c:v>1367186.3441058</c:v>
                </c:pt>
                <c:pt idx="185">
                  <c:v>1364295.8432313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1355628.7252792</c:v>
                </c:pt>
                <c:pt idx="189">
                  <c:v>1352741.2664207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1341198.5610089</c:v>
                </c:pt>
                <c:pt idx="194">
                  <c:v>1338314.7585372</c:v>
                </c:pt>
                <c:pt idx="195">
                  <c:v>1335431.6181384</c:v>
                </c:pt>
                <c:pt idx="196">
                  <c:v>1332549.2248697</c:v>
                </c:pt>
                <c:pt idx="197">
                  <c:v>1329667.5174676</c:v>
                </c:pt>
                <c:pt idx="198">
                  <c:v>1326786.6239291</c:v>
                </c:pt>
                <c:pt idx="199">
                  <c:v>1323906.4862618</c:v>
                </c:pt>
                <c:pt idx="200">
                  <c:v>1321027.0312113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1312393.2419617</c:v>
                </c:pt>
                <c:pt idx="204">
                  <c:v>1309516.809464</c:v>
                </c:pt>
                <c:pt idx="205">
                  <c:v>1306641.1109467</c:v>
                </c:pt>
                <c:pt idx="206">
                  <c:v>1303766.0916421</c:v>
                </c:pt>
                <c:pt idx="207">
                  <c:v>1300891.8656056</c:v>
                </c:pt>
                <c:pt idx="208">
                  <c:v>1298018.3973408</c:v>
                </c:pt>
                <c:pt idx="209">
                  <c:v>1295145.6276492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</c:v>
                </c:pt>
                <c:pt idx="213">
                  <c:v>1283661.8768048</c:v>
                </c:pt>
                <c:pt idx="214">
                  <c:v>1280792.7929993</c:v>
                </c:pt>
                <c:pt idx="215">
                  <c:v>1277924.4814024</c:v>
                </c:pt>
                <c:pt idx="216">
                  <c:v>1275056.8270583</c:v>
                </c:pt>
                <c:pt idx="217">
                  <c:v>1272189.9929577</c:v>
                </c:pt>
                <c:pt idx="218">
                  <c:v>1269323.884438</c:v>
                </c:pt>
                <c:pt idx="219">
                  <c:v>1266458.5017737</c:v>
                </c:pt>
                <c:pt idx="220">
                  <c:v>1263593.7947883</c:v>
                </c:pt>
                <c:pt idx="221">
                  <c:v>1260729.8334769</c:v>
                </c:pt>
                <c:pt idx="222">
                  <c:v>1257866.6622628</c:v>
                </c:pt>
                <c:pt idx="223">
                  <c:v>1255004.1894374</c:v>
                </c:pt>
                <c:pt idx="224">
                  <c:v>1252142.4398658</c:v>
                </c:pt>
                <c:pt idx="225">
                  <c:v>1249281.492802</c:v>
                </c:pt>
                <c:pt idx="226">
                  <c:v>1246421.226797</c:v>
                </c:pt>
                <c:pt idx="227">
                  <c:v>1243561.7561632</c:v>
                </c:pt>
                <c:pt idx="228">
                  <c:v>1240702.9354506</c:v>
                </c:pt>
                <c:pt idx="229">
                  <c:v>1237844.9247253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1229275.2022775</c:v>
                </c:pt>
                <c:pt idx="233">
                  <c:v>1226420.1259185</c:v>
                </c:pt>
                <c:pt idx="234">
                  <c:v>1223565.809459</c:v>
                </c:pt>
                <c:pt idx="235">
                  <c:v>1220712.271714</c:v>
                </c:pt>
                <c:pt idx="236">
                  <c:v>1217859.4908138</c:v>
                </c:pt>
                <c:pt idx="237">
                  <c:v>1215007.4152285</c:v>
                </c:pt>
                <c:pt idx="238">
                  <c:v>1212156.1084126</c:v>
                </c:pt>
                <c:pt idx="239">
                  <c:v>1209305.6026243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1183685.132906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</c:v>
                </c:pt>
                <c:pt idx="252">
                  <c:v>1172319.1797687</c:v>
                </c:pt>
                <c:pt idx="253">
                  <c:v>1169479.8090294</c:v>
                </c:pt>
                <c:pt idx="254">
                  <c:v>1166641.2531513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</c:v>
                </c:pt>
                <c:pt idx="258">
                  <c:v>1155295.1114673</c:v>
                </c:pt>
                <c:pt idx="259">
                  <c:v>1152460.5816635</c:v>
                </c:pt>
                <c:pt idx="260">
                  <c:v>1149626.9079951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</c:v>
                </c:pt>
                <c:pt idx="264">
                  <c:v>1138300.1160035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</c:v>
                </c:pt>
                <c:pt idx="269">
                  <c:v>1124159.8143987</c:v>
                </c:pt>
                <c:pt idx="270">
                  <c:v>1121334.199381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</c:v>
                </c:pt>
                <c:pt idx="274">
                  <c:v>1110041.7677566</c:v>
                </c:pt>
                <c:pt idx="275">
                  <c:v>1107220.9348009</c:v>
                </c:pt>
                <c:pt idx="276">
                  <c:v>1104401.0212795</c:v>
                </c:pt>
                <c:pt idx="277">
                  <c:v>1101582.0139151</c:v>
                </c:pt>
                <c:pt idx="278">
                  <c:v>1098763.9447391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</c:v>
                </c:pt>
                <c:pt idx="285">
                  <c:v>1079063.4864381</c:v>
                </c:pt>
                <c:pt idx="286">
                  <c:v>1076252.9647556</c:v>
                </c:pt>
                <c:pt idx="287">
                  <c:v>1073443.3936257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1056634.2593323</c:v>
                </c:pt>
                <c:pt idx="294">
                  <c:v>1053841.3136343</c:v>
                </c:pt>
                <c:pt idx="295">
                  <c:v>1051049.7049368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</c:v>
                </c:pt>
                <c:pt idx="315">
                  <c:v>995537.93043843</c:v>
                </c:pt>
                <c:pt idx="316">
                  <c:v>992783.46364254</c:v>
                </c:pt>
                <c:pt idx="317">
                  <c:v>990030.41098395</c:v>
                </c:pt>
                <c:pt idx="318">
                  <c:v>987278.81160298</c:v>
                </c:pt>
                <c:pt idx="319">
                  <c:v>984528.64064141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976287.01795623</c:v>
                </c:pt>
                <c:pt idx="323">
                  <c:v>973542.66549922</c:v>
                </c:pt>
                <c:pt idx="324">
                  <c:v>970799.8486679</c:v>
                </c:pt>
                <c:pt idx="325">
                  <c:v>968058.46794052</c:v>
                </c:pt>
                <c:pt idx="326">
                  <c:v>965318.56176371</c:v>
                </c:pt>
                <c:pt idx="327">
                  <c:v>962580.14218574</c:v>
                </c:pt>
                <c:pt idx="328">
                  <c:v>959843.24844639</c:v>
                </c:pt>
                <c:pt idx="329">
                  <c:v>957107.79212069</c:v>
                </c:pt>
                <c:pt idx="330">
                  <c:v>954373.90773148</c:v>
                </c:pt>
                <c:pt idx="331">
                  <c:v>951655.81414724</c:v>
                </c:pt>
                <c:pt idx="332">
                  <c:v>948939.93859206</c:v>
                </c:pt>
                <c:pt idx="333">
                  <c:v>946226.07491476</c:v>
                </c:pt>
                <c:pt idx="334">
                  <c:v>943514.21561053</c:v>
                </c:pt>
                <c:pt idx="335">
                  <c:v>940804.38090345</c:v>
                </c:pt>
                <c:pt idx="336">
                  <c:v>938096.51455791</c:v>
                </c:pt>
                <c:pt idx="337">
                  <c:v>935390.72050379</c:v>
                </c:pt>
                <c:pt idx="338">
                  <c:v>932686.89157834</c:v>
                </c:pt>
                <c:pt idx="339">
                  <c:v>929985.04019506</c:v>
                </c:pt>
                <c:pt idx="340">
                  <c:v>927285.07149148</c:v>
                </c:pt>
                <c:pt idx="341">
                  <c:v>924587.10879676</c:v>
                </c:pt>
                <c:pt idx="342">
                  <c:v>921891.01762103</c:v>
                </c:pt>
                <c:pt idx="343">
                  <c:v>919196.88616115</c:v>
                </c:pt>
                <c:pt idx="344">
                  <c:v>916504.65728223</c:v>
                </c:pt>
                <c:pt idx="345">
                  <c:v>913814.34130715</c:v>
                </c:pt>
                <c:pt idx="346">
                  <c:v>911125.87046714</c:v>
                </c:pt>
                <c:pt idx="347">
                  <c:v>908439.30039108</c:v>
                </c:pt>
                <c:pt idx="348">
                  <c:v>905754.59546765</c:v>
                </c:pt>
                <c:pt idx="349">
                  <c:v>903071.78236258</c:v>
                </c:pt>
                <c:pt idx="350">
                  <c:v>900390.9766715</c:v>
                </c:pt>
                <c:pt idx="351">
                  <c:v>897718.6036185</c:v>
                </c:pt>
                <c:pt idx="352">
                  <c:v>895048.04594863</c:v>
                </c:pt>
                <c:pt idx="353">
                  <c:v>892379.22847541</c:v>
                </c:pt>
                <c:pt idx="354">
                  <c:v>889712.14752159</c:v>
                </c:pt>
                <c:pt idx="355">
                  <c:v>887046.77323273</c:v>
                </c:pt>
                <c:pt idx="356">
                  <c:v>884383.10755638</c:v>
                </c:pt>
                <c:pt idx="357">
                  <c:v>881721.1736362</c:v>
                </c:pt>
                <c:pt idx="358">
                  <c:v>879060.91797229</c:v>
                </c:pt>
                <c:pt idx="359">
                  <c:v>876402.38435774</c:v>
                </c:pt>
                <c:pt idx="360">
                  <c:v>873745.59532466</c:v>
                </c:pt>
                <c:pt idx="361">
                  <c:v>871090.49050938</c:v>
                </c:pt>
                <c:pt idx="362">
                  <c:v>868437.10212092</c:v>
                </c:pt>
                <c:pt idx="363">
                  <c:v>865785.38850851</c:v>
                </c:pt>
                <c:pt idx="364">
                  <c:v>863135.32918414</c:v>
                </c:pt>
                <c:pt idx="365">
                  <c:v>860487.01823152</c:v>
                </c:pt>
                <c:pt idx="366">
                  <c:v>857840.37834621</c:v>
                </c:pt>
                <c:pt idx="367">
                  <c:v>855195.45260601</c:v>
                </c:pt>
                <c:pt idx="368">
                  <c:v>852552.23013765</c:v>
                </c:pt>
                <c:pt idx="369">
                  <c:v>849910.73510215</c:v>
                </c:pt>
                <c:pt idx="370">
                  <c:v>847271.0521603</c:v>
                </c:pt>
                <c:pt idx="371">
                  <c:v>844646.05426416</c:v>
                </c:pt>
                <c:pt idx="372">
                  <c:v>842023.42216308</c:v>
                </c:pt>
                <c:pt idx="373">
                  <c:v>839403.05039799</c:v>
                </c:pt>
                <c:pt idx="374">
                  <c:v>836784.99192509</c:v>
                </c:pt>
                <c:pt idx="375">
                  <c:v>834169.1049412</c:v>
                </c:pt>
                <c:pt idx="376">
                  <c:v>831555.53507823</c:v>
                </c:pt>
                <c:pt idx="377">
                  <c:v>828944.16471042</c:v>
                </c:pt>
                <c:pt idx="378">
                  <c:v>826335.01553592</c:v>
                </c:pt>
                <c:pt idx="379">
                  <c:v>823728.09494992</c:v>
                </c:pt>
                <c:pt idx="380">
                  <c:v>821123.34717568</c:v>
                </c:pt>
                <c:pt idx="381">
                  <c:v>818520.85954454</c:v>
                </c:pt>
                <c:pt idx="382">
                  <c:v>815920.54359207</c:v>
                </c:pt>
                <c:pt idx="383">
                  <c:v>813322.45432851</c:v>
                </c:pt>
                <c:pt idx="384">
                  <c:v>810726.55816898</c:v>
                </c:pt>
                <c:pt idx="385">
                  <c:v>808132.85400056</c:v>
                </c:pt>
                <c:pt idx="386">
                  <c:v>805541.36556398</c:v>
                </c:pt>
                <c:pt idx="387">
                  <c:v>802952.11316337</c:v>
                </c:pt>
                <c:pt idx="388">
                  <c:v>800365.02059</c:v>
                </c:pt>
                <c:pt idx="389">
                  <c:v>797780.1086937</c:v>
                </c:pt>
                <c:pt idx="390">
                  <c:v>795197.49619098</c:v>
                </c:pt>
                <c:pt idx="391">
                  <c:v>792627.42075466</c:v>
                </c:pt>
                <c:pt idx="392">
                  <c:v>790059.6211747</c:v>
                </c:pt>
                <c:pt idx="393">
                  <c:v>787494.06257898</c:v>
                </c:pt>
                <c:pt idx="394">
                  <c:v>784930.6946329</c:v>
                </c:pt>
                <c:pt idx="395">
                  <c:v>782369.53307265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774699.10024471</c:v>
                </c:pt>
                <c:pt idx="399">
                  <c:v>772146.6123424</c:v>
                </c:pt>
                <c:pt idx="400">
                  <c:v>769596.26982689</c:v>
                </c:pt>
                <c:pt idx="401">
                  <c:v>767048.0527355</c:v>
                </c:pt>
                <c:pt idx="402">
                  <c:v>764501.99466274</c:v>
                </c:pt>
                <c:pt idx="403">
                  <c:v>761958.04983004</c:v>
                </c:pt>
                <c:pt idx="404">
                  <c:v>759416.22289912</c:v>
                </c:pt>
                <c:pt idx="405">
                  <c:v>756876.40803824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</c:v>
                </c:pt>
                <c:pt idx="409">
                  <c:v>746737.95237664</c:v>
                </c:pt>
                <c:pt idx="410">
                  <c:v>744208.47818415</c:v>
                </c:pt>
                <c:pt idx="411">
                  <c:v>741682.01512288</c:v>
                </c:pt>
                <c:pt idx="412">
                  <c:v>739157.6979021</c:v>
                </c:pt>
                <c:pt idx="413">
                  <c:v>736635.3446941</c:v>
                </c:pt>
                <c:pt idx="414">
                  <c:v>734114.89858175</c:v>
                </c:pt>
                <c:pt idx="415">
                  <c:v>731596.37028961</c:v>
                </c:pt>
                <c:pt idx="416">
                  <c:v>729079.72318745</c:v>
                </c:pt>
                <c:pt idx="417">
                  <c:v>726564.98341258</c:v>
                </c:pt>
                <c:pt idx="418">
                  <c:v>724052.16407542</c:v>
                </c:pt>
                <c:pt idx="419">
                  <c:v>721541.13575303</c:v>
                </c:pt>
                <c:pt idx="420">
                  <c:v>719032.01745234</c:v>
                </c:pt>
                <c:pt idx="421">
                  <c:v>716524.68904774</c:v>
                </c:pt>
                <c:pt idx="422">
                  <c:v>714019.2318499</c:v>
                </c:pt>
                <c:pt idx="423">
                  <c:v>711515.55094921</c:v>
                </c:pt>
                <c:pt idx="424">
                  <c:v>709013.72221976</c:v>
                </c:pt>
                <c:pt idx="425">
                  <c:v>706513.69908466</c:v>
                </c:pt>
                <c:pt idx="426">
                  <c:v>704015.45686072</c:v>
                </c:pt>
                <c:pt idx="427">
                  <c:v>701519.0818164</c:v>
                </c:pt>
                <c:pt idx="428">
                  <c:v>699024.47091863</c:v>
                </c:pt>
                <c:pt idx="429">
                  <c:v>696531.65373669</c:v>
                </c:pt>
                <c:pt idx="430">
                  <c:v>694040.59809821</c:v>
                </c:pt>
                <c:pt idx="431">
                  <c:v>691553.38387681</c:v>
                </c:pt>
                <c:pt idx="432">
                  <c:v>689067.98781264</c:v>
                </c:pt>
                <c:pt idx="433">
                  <c:v>686584.36995865</c:v>
                </c:pt>
                <c:pt idx="434">
                  <c:v>684102.43294888</c:v>
                </c:pt>
                <c:pt idx="435">
                  <c:v>681622.26330569</c:v>
                </c:pt>
                <c:pt idx="436">
                  <c:v>679143.79528626</c:v>
                </c:pt>
                <c:pt idx="437">
                  <c:v>676667.12680616</c:v>
                </c:pt>
                <c:pt idx="438">
                  <c:v>674192.14268094</c:v>
                </c:pt>
                <c:pt idx="439">
                  <c:v>671718.95050206</c:v>
                </c:pt>
                <c:pt idx="440">
                  <c:v>669247.52662453</c:v>
                </c:pt>
                <c:pt idx="441">
                  <c:v>666777.84369166</c:v>
                </c:pt>
                <c:pt idx="442">
                  <c:v>664309.982665</c:v>
                </c:pt>
                <c:pt idx="443">
                  <c:v>661843.89445887</c:v>
                </c:pt>
                <c:pt idx="444">
                  <c:v>659379.57581343</c:v>
                </c:pt>
                <c:pt idx="445">
                  <c:v>656917.11407151</c:v>
                </c:pt>
                <c:pt idx="446">
                  <c:v>654456.40571155</c:v>
                </c:pt>
                <c:pt idx="447">
                  <c:v>651997.59137569</c:v>
                </c:pt>
                <c:pt idx="448">
                  <c:v>649540.57578211</c:v>
                </c:pt>
                <c:pt idx="449">
                  <c:v>647085.42898622</c:v>
                </c:pt>
                <c:pt idx="450">
                  <c:v>644632.24726218</c:v>
                </c:pt>
                <c:pt idx="451">
                  <c:v>642185.36183873</c:v>
                </c:pt>
                <c:pt idx="452">
                  <c:v>639740.84069225</c:v>
                </c:pt>
                <c:pt idx="453">
                  <c:v>637298.46797694</c:v>
                </c:pt>
                <c:pt idx="454">
                  <c:v>634858.2124726</c:v>
                </c:pt>
                <c:pt idx="455">
                  <c:v>632420.08159173</c:v>
                </c:pt>
                <c:pt idx="456">
                  <c:v>629984.11643704</c:v>
                </c:pt>
                <c:pt idx="457">
                  <c:v>627550.29107825</c:v>
                </c:pt>
                <c:pt idx="458">
                  <c:v>625118.5994414</c:v>
                </c:pt>
                <c:pt idx="459">
                  <c:v>622689.04586271</c:v>
                </c:pt>
                <c:pt idx="460">
                  <c:v>620261.7181485</c:v>
                </c:pt>
                <c:pt idx="461">
                  <c:v>617836.57865819</c:v>
                </c:pt>
                <c:pt idx="462">
                  <c:v>615413.63317362</c:v>
                </c:pt>
                <c:pt idx="463">
                  <c:v>612992.82838558</c:v>
                </c:pt>
                <c:pt idx="464">
                  <c:v>610574.23994314</c:v>
                </c:pt>
                <c:pt idx="465">
                  <c:v>608157.84332402</c:v>
                </c:pt>
                <c:pt idx="466">
                  <c:v>605743.64491948</c:v>
                </c:pt>
                <c:pt idx="467">
                  <c:v>603331.63394874</c:v>
                </c:pt>
                <c:pt idx="468">
                  <c:v>600921.89997215</c:v>
                </c:pt>
                <c:pt idx="469">
                  <c:v>598514.45365004</c:v>
                </c:pt>
                <c:pt idx="470">
                  <c:v>596109.34431774</c:v>
                </c:pt>
                <c:pt idx="471">
                  <c:v>593708.63922297</c:v>
                </c:pt>
                <c:pt idx="472">
                  <c:v>591310.86118288</c:v>
                </c:pt>
                <c:pt idx="473">
                  <c:v>588915.83827856</c:v>
                </c:pt>
                <c:pt idx="474">
                  <c:v>586523.49831838</c:v>
                </c:pt>
                <c:pt idx="475">
                  <c:v>584133.84536879</c:v>
                </c:pt>
                <c:pt idx="476">
                  <c:v>581746.90886284</c:v>
                </c:pt>
                <c:pt idx="477">
                  <c:v>579362.64141189</c:v>
                </c:pt>
                <c:pt idx="478">
                  <c:v>576981.01853661</c:v>
                </c:pt>
                <c:pt idx="479">
                  <c:v>574602.12255296</c:v>
                </c:pt>
                <c:pt idx="480">
                  <c:v>572225.83531794</c:v>
                </c:pt>
                <c:pt idx="481">
                  <c:v>569852.21688478</c:v>
                </c:pt>
                <c:pt idx="482">
                  <c:v>567481.26887632</c:v>
                </c:pt>
                <c:pt idx="483">
                  <c:v>565112.95472373</c:v>
                </c:pt>
                <c:pt idx="484">
                  <c:v>562747.24290904</c:v>
                </c:pt>
                <c:pt idx="485">
                  <c:v>560384.12602931</c:v>
                </c:pt>
                <c:pt idx="486">
                  <c:v>558023.66807031</c:v>
                </c:pt>
                <c:pt idx="487">
                  <c:v>555665.84166577</c:v>
                </c:pt>
                <c:pt idx="488">
                  <c:v>553310.67915202</c:v>
                </c:pt>
                <c:pt idx="489">
                  <c:v>550958.13400095</c:v>
                </c:pt>
                <c:pt idx="490">
                  <c:v>548608.26030213</c:v>
                </c:pt>
                <c:pt idx="491">
                  <c:v>546263.60196602</c:v>
                </c:pt>
                <c:pt idx="492">
                  <c:v>543921.58001476</c:v>
                </c:pt>
                <c:pt idx="493">
                  <c:v>541582.06636398</c:v>
                </c:pt>
                <c:pt idx="494">
                  <c:v>539245.01924321</c:v>
                </c:pt>
                <c:pt idx="495">
                  <c:v>536910.4087834</c:v>
                </c:pt>
                <c:pt idx="496">
                  <c:v>534578.30043045</c:v>
                </c:pt>
                <c:pt idx="497">
                  <c:v>532248.65128016</c:v>
                </c:pt>
                <c:pt idx="498">
                  <c:v>529921.50199371</c:v>
                </c:pt>
                <c:pt idx="499">
                  <c:v>527596.81052447</c:v>
                </c:pt>
                <c:pt idx="500">
                  <c:v>525274.65430577</c:v>
                </c:pt>
                <c:pt idx="501">
                  <c:v>522954.96025451</c:v>
                </c:pt>
                <c:pt idx="502">
                  <c:v>520637.78312152</c:v>
                </c:pt>
                <c:pt idx="503">
                  <c:v>518323.07116749</c:v>
                </c:pt>
                <c:pt idx="504">
                  <c:v>516010.89440764</c:v>
                </c:pt>
                <c:pt idx="505">
                  <c:v>513701.1102428</c:v>
                </c:pt>
                <c:pt idx="506">
                  <c:v>511393.84960728</c:v>
                </c:pt>
                <c:pt idx="507">
                  <c:v>509089.07338109</c:v>
                </c:pt>
                <c:pt idx="508">
                  <c:v>506786.78438218</c:v>
                </c:pt>
                <c:pt idx="509">
                  <c:v>504486.99928752</c:v>
                </c:pt>
                <c:pt idx="510">
                  <c:v>502189.70251737</c:v>
                </c:pt>
                <c:pt idx="511">
                  <c:v>499898.34232579</c:v>
                </c:pt>
                <c:pt idx="512">
                  <c:v>497609.18775973</c:v>
                </c:pt>
                <c:pt idx="513">
                  <c:v>495322.06876214</c:v>
                </c:pt>
                <c:pt idx="514">
                  <c:v>493036.94658382</c:v>
                </c:pt>
                <c:pt idx="515">
                  <c:v>490753.81267123</c:v>
                </c:pt>
                <c:pt idx="516">
                  <c:v>488472.67137672</c:v>
                </c:pt>
                <c:pt idx="517">
                  <c:v>486193.50394971</c:v>
                </c:pt>
                <c:pt idx="518">
                  <c:v>483916.35583707</c:v>
                </c:pt>
                <c:pt idx="519">
                  <c:v>481641.20210285</c:v>
                </c:pt>
                <c:pt idx="520">
                  <c:v>479368.03249481</c:v>
                </c:pt>
                <c:pt idx="521">
                  <c:v>477096.88728049</c:v>
                </c:pt>
                <c:pt idx="522">
                  <c:v>474827.78744056</c:v>
                </c:pt>
                <c:pt idx="523">
                  <c:v>472560.67654238</c:v>
                </c:pt>
                <c:pt idx="524">
                  <c:v>470295.56102986</c:v>
                </c:pt>
                <c:pt idx="525">
                  <c:v>468032.54760374</c:v>
                </c:pt>
                <c:pt idx="526">
                  <c:v>465771.53774539</c:v>
                </c:pt>
                <c:pt idx="527">
                  <c:v>463512.67333323</c:v>
                </c:pt>
                <c:pt idx="528">
                  <c:v>461255.83638095</c:v>
                </c:pt>
                <c:pt idx="529">
                  <c:v>459001.06916881</c:v>
                </c:pt>
                <c:pt idx="530">
                  <c:v>456748.44411292</c:v>
                </c:pt>
                <c:pt idx="531">
                  <c:v>454501.38017447</c:v>
                </c:pt>
                <c:pt idx="532">
                  <c:v>452256.63055377</c:v>
                </c:pt>
                <c:pt idx="533">
                  <c:v>450014.03986638</c:v>
                </c:pt>
                <c:pt idx="534">
                  <c:v>447773.56914598</c:v>
                </c:pt>
                <c:pt idx="535">
                  <c:v>445535.19833431</c:v>
                </c:pt>
                <c:pt idx="536">
                  <c:v>443298.9098543</c:v>
                </c:pt>
                <c:pt idx="537">
                  <c:v>441064.66733452</c:v>
                </c:pt>
                <c:pt idx="538">
                  <c:v>438832.48246699</c:v>
                </c:pt>
                <c:pt idx="539">
                  <c:v>436602.41774721</c:v>
                </c:pt>
                <c:pt idx="540">
                  <c:v>434374.43155751</c:v>
                </c:pt>
                <c:pt idx="541">
                  <c:v>432148.48107412</c:v>
                </c:pt>
                <c:pt idx="542">
                  <c:v>429924.62779897</c:v>
                </c:pt>
                <c:pt idx="543">
                  <c:v>427702.81621675</c:v>
                </c:pt>
                <c:pt idx="544">
                  <c:v>425483.09000467</c:v>
                </c:pt>
                <c:pt idx="545">
                  <c:v>423265.39893313</c:v>
                </c:pt>
                <c:pt idx="546">
                  <c:v>421049.75704754</c:v>
                </c:pt>
                <c:pt idx="547">
                  <c:v>418836.15231521</c:v>
                </c:pt>
                <c:pt idx="548">
                  <c:v>416624.686717</c:v>
                </c:pt>
                <c:pt idx="549">
                  <c:v>414415.26010676</c:v>
                </c:pt>
                <c:pt idx="550">
                  <c:v>412208.02685457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405608.91232763</c:v>
                </c:pt>
                <c:pt idx="554">
                  <c:v>403413.70691493</c:v>
                </c:pt>
                <c:pt idx="555">
                  <c:v>401220.69661011</c:v>
                </c:pt>
                <c:pt idx="556">
                  <c:v>399029.85524967</c:v>
                </c:pt>
                <c:pt idx="557">
                  <c:v>396841.17374306</c:v>
                </c:pt>
                <c:pt idx="558">
                  <c:v>394654.67500802</c:v>
                </c:pt>
                <c:pt idx="559">
                  <c:v>392470.27949274</c:v>
                </c:pt>
                <c:pt idx="560">
                  <c:v>390288.00182663</c:v>
                </c:pt>
                <c:pt idx="561">
                  <c:v>388107.80293746</c:v>
                </c:pt>
                <c:pt idx="562">
                  <c:v>385929.73679378</c:v>
                </c:pt>
                <c:pt idx="563">
                  <c:v>383753.78914817</c:v>
                </c:pt>
                <c:pt idx="564">
                  <c:v>381579.89566318</c:v>
                </c:pt>
                <c:pt idx="565">
                  <c:v>379408.12633109</c:v>
                </c:pt>
                <c:pt idx="566">
                  <c:v>377238.43371582</c:v>
                </c:pt>
                <c:pt idx="567">
                  <c:v>375070.8409113</c:v>
                </c:pt>
                <c:pt idx="568">
                  <c:v>372905.31290225</c:v>
                </c:pt>
                <c:pt idx="569">
                  <c:v>370741.87834759</c:v>
                </c:pt>
                <c:pt idx="570">
                  <c:v>368580.60581832</c:v>
                </c:pt>
                <c:pt idx="571">
                  <c:v>366424.12524031</c:v>
                </c:pt>
                <c:pt idx="572">
                  <c:v>364270.44385778</c:v>
                </c:pt>
                <c:pt idx="573">
                  <c:v>362119.38084549</c:v>
                </c:pt>
                <c:pt idx="574">
                  <c:v>359970.89538057</c:v>
                </c:pt>
                <c:pt idx="575">
                  <c:v>357825.02183811</c:v>
                </c:pt>
                <c:pt idx="576">
                  <c:v>355681.69250841</c:v>
                </c:pt>
                <c:pt idx="577">
                  <c:v>353540.97719091</c:v>
                </c:pt>
                <c:pt idx="578">
                  <c:v>351402.86999171</c:v>
                </c:pt>
                <c:pt idx="579">
                  <c:v>349267.38350873</c:v>
                </c:pt>
                <c:pt idx="580">
                  <c:v>347134.4554063</c:v>
                </c:pt>
                <c:pt idx="581">
                  <c:v>345004.17960521</c:v>
                </c:pt>
                <c:pt idx="582">
                  <c:v>342876.50871814</c:v>
                </c:pt>
                <c:pt idx="583">
                  <c:v>340751.46455478</c:v>
                </c:pt>
                <c:pt idx="584">
                  <c:v>338629.02949371</c:v>
                </c:pt>
                <c:pt idx="585">
                  <c:v>336509.21255175</c:v>
                </c:pt>
                <c:pt idx="586">
                  <c:v>334392.01495115</c:v>
                </c:pt>
                <c:pt idx="587">
                  <c:v>332277.4775759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</c:v>
                </c:pt>
                <c:pt idx="591">
                  <c:v>323849.4152425</c:v>
                </c:pt>
                <c:pt idx="592">
                  <c:v>321751.6904048</c:v>
                </c:pt>
                <c:pt idx="593">
                  <c:v>319656.62466281</c:v>
                </c:pt>
                <c:pt idx="594">
                  <c:v>317564.15200354</c:v>
                </c:pt>
                <c:pt idx="595">
                  <c:v>315474.31178432</c:v>
                </c:pt>
                <c:pt idx="596">
                  <c:v>313387.07787119</c:v>
                </c:pt>
                <c:pt idx="597">
                  <c:v>311302.44037402</c:v>
                </c:pt>
                <c:pt idx="598">
                  <c:v>309220.39910664</c:v>
                </c:pt>
                <c:pt idx="599">
                  <c:v>307140.97182321</c:v>
                </c:pt>
                <c:pt idx="600">
                  <c:v>305064.12543676</c:v>
                </c:pt>
                <c:pt idx="601">
                  <c:v>302989.91112946</c:v>
                </c:pt>
                <c:pt idx="602">
                  <c:v>300918.31800506</c:v>
                </c:pt>
                <c:pt idx="603">
                  <c:v>298849.3125573</c:v>
                </c:pt>
                <c:pt idx="604">
                  <c:v>296782.90877462</c:v>
                </c:pt>
                <c:pt idx="605">
                  <c:v>294719.12529127</c:v>
                </c:pt>
                <c:pt idx="606">
                  <c:v>292657.92873301</c:v>
                </c:pt>
                <c:pt idx="607">
                  <c:v>290599.42968546</c:v>
                </c:pt>
                <c:pt idx="608">
                  <c:v>288543.54009997</c:v>
                </c:pt>
                <c:pt idx="609">
                  <c:v>286490.30408109</c:v>
                </c:pt>
                <c:pt idx="610">
                  <c:v>284439.77734765</c:v>
                </c:pt>
                <c:pt idx="611">
                  <c:v>282397.1920436</c:v>
                </c:pt>
                <c:pt idx="612">
                  <c:v>280357.7164147</c:v>
                </c:pt>
                <c:pt idx="613">
                  <c:v>278321.10440568</c:v>
                </c:pt>
                <c:pt idx="614">
                  <c:v>276287.21983604</c:v>
                </c:pt>
                <c:pt idx="615">
                  <c:v>274256.10523172</c:v>
                </c:pt>
                <c:pt idx="616">
                  <c:v>272227.73302023</c:v>
                </c:pt>
                <c:pt idx="617">
                  <c:v>270202.03890748</c:v>
                </c:pt>
                <c:pt idx="618">
                  <c:v>268179.08902629</c:v>
                </c:pt>
                <c:pt idx="619">
                  <c:v>266158.84924827</c:v>
                </c:pt>
                <c:pt idx="620">
                  <c:v>264141.27930168</c:v>
                </c:pt>
                <c:pt idx="621">
                  <c:v>262126.42692881</c:v>
                </c:pt>
                <c:pt idx="622">
                  <c:v>260114.29027808</c:v>
                </c:pt>
                <c:pt idx="623">
                  <c:v>258104.8751813</c:v>
                </c:pt>
                <c:pt idx="624">
                  <c:v>256098.17218892</c:v>
                </c:pt>
                <c:pt idx="625">
                  <c:v>254094.15598559</c:v>
                </c:pt>
                <c:pt idx="626">
                  <c:v>252092.85617721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244114.82575775</c:v>
                </c:pt>
                <c:pt idx="631">
                  <c:v>242133.02107857</c:v>
                </c:pt>
                <c:pt idx="632">
                  <c:v>240154.30307498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232268.2327644</c:v>
                </c:pt>
                <c:pt idx="637">
                  <c:v>230303.7555997</c:v>
                </c:pt>
                <c:pt idx="638">
                  <c:v>228342.1304749</c:v>
                </c:pt>
                <c:pt idx="639">
                  <c:v>226383.32931356</c:v>
                </c:pt>
                <c:pt idx="640">
                  <c:v>224427.2628695</c:v>
                </c:pt>
                <c:pt idx="641">
                  <c:v>222474.02278578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214688.94886093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208879.31916368</c:v>
                </c:pt>
                <c:pt idx="649">
                  <c:v>206948.39856754</c:v>
                </c:pt>
                <c:pt idx="650">
                  <c:v>205020.44436534</c:v>
                </c:pt>
                <c:pt idx="651">
                  <c:v>203102.96058936</c:v>
                </c:pt>
                <c:pt idx="652">
                  <c:v>201188.86802811</c:v>
                </c:pt>
                <c:pt idx="653">
                  <c:v>199277.89764115</c:v>
                </c:pt>
                <c:pt idx="654">
                  <c:v>197370.06730501</c:v>
                </c:pt>
                <c:pt idx="655">
                  <c:v>195465.32259672</c:v>
                </c:pt>
                <c:pt idx="656">
                  <c:v>193563.68643349</c:v>
                </c:pt>
                <c:pt idx="657">
                  <c:v>191665.13334727</c:v>
                </c:pt>
                <c:pt idx="658">
                  <c:v>189769.65674708</c:v>
                </c:pt>
                <c:pt idx="659">
                  <c:v>187877.27830699</c:v>
                </c:pt>
                <c:pt idx="660">
                  <c:v>185987.9194781</c:v>
                </c:pt>
                <c:pt idx="661">
                  <c:v>184101.6297648</c:v>
                </c:pt>
                <c:pt idx="662">
                  <c:v>182218.39287652</c:v>
                </c:pt>
                <c:pt idx="663">
                  <c:v>180338.21396114</c:v>
                </c:pt>
                <c:pt idx="664">
                  <c:v>178461.11727266</c:v>
                </c:pt>
                <c:pt idx="665">
                  <c:v>176587.00816302</c:v>
                </c:pt>
                <c:pt idx="666">
                  <c:v>174715.94992405</c:v>
                </c:pt>
                <c:pt idx="667">
                  <c:v>172847.94079662</c:v>
                </c:pt>
                <c:pt idx="668">
                  <c:v>170982.95259077</c:v>
                </c:pt>
                <c:pt idx="669">
                  <c:v>169121.09049036</c:v>
                </c:pt>
                <c:pt idx="670">
                  <c:v>167262.33677105</c:v>
                </c:pt>
                <c:pt idx="671">
                  <c:v>165411.92129295</c:v>
                </c:pt>
                <c:pt idx="672">
                  <c:v>163564.27252727</c:v>
                </c:pt>
                <c:pt idx="673">
                  <c:v>161719.264604</c:v>
                </c:pt>
                <c:pt idx="674">
                  <c:v>159876.83493534</c:v>
                </c:pt>
                <c:pt idx="675">
                  <c:v>158037.00929427</c:v>
                </c:pt>
                <c:pt idx="676">
                  <c:v>156199.72836917</c:v>
                </c:pt>
                <c:pt idx="677">
                  <c:v>154365.05633538</c:v>
                </c:pt>
                <c:pt idx="678">
                  <c:v>152532.96537325</c:v>
                </c:pt>
                <c:pt idx="679">
                  <c:v>150703.43939148</c:v>
                </c:pt>
                <c:pt idx="680">
                  <c:v>148876.54151987</c:v>
                </c:pt>
                <c:pt idx="681">
                  <c:v>147052.27579789</c:v>
                </c:pt>
                <c:pt idx="682">
                  <c:v>145230.57542257</c:v>
                </c:pt>
                <c:pt idx="683">
                  <c:v>143411.48174659</c:v>
                </c:pt>
                <c:pt idx="684">
                  <c:v>141595.00337156</c:v>
                </c:pt>
                <c:pt idx="685">
                  <c:v>139781.14224532</c:v>
                </c:pt>
                <c:pt idx="686">
                  <c:v>137969.88366112</c:v>
                </c:pt>
                <c:pt idx="687">
                  <c:v>136161.27007846</c:v>
                </c:pt>
                <c:pt idx="688">
                  <c:v>134355.32941431</c:v>
                </c:pt>
                <c:pt idx="689">
                  <c:v>132552.07370525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127179.8881473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113017.24002551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106009.29063517</c:v>
                </c:pt>
                <c:pt idx="705">
                  <c:v>104264.84586526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99049.643659461</c:v>
                </c:pt>
                <c:pt idx="709">
                  <c:v>97317.277208278</c:v>
                </c:pt>
                <c:pt idx="710">
                  <c:v>95587.988295643</c:v>
                </c:pt>
                <c:pt idx="711">
                  <c:v>93864.650928904</c:v>
                </c:pt>
                <c:pt idx="712">
                  <c:v>92144.769237495</c:v>
                </c:pt>
                <c:pt idx="713">
                  <c:v>90428.166466789</c:v>
                </c:pt>
                <c:pt idx="714">
                  <c:v>88714.874189317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</c:v>
                </c:pt>
                <c:pt idx="718">
                  <c:v>81894.858801321</c:v>
                </c:pt>
                <c:pt idx="719">
                  <c:v>80198.227592552</c:v>
                </c:pt>
                <c:pt idx="720">
                  <c:v>78504.924611612</c:v>
                </c:pt>
                <c:pt idx="721">
                  <c:v>76815.022970147</c:v>
                </c:pt>
                <c:pt idx="722">
                  <c:v>75128.480697893</c:v>
                </c:pt>
                <c:pt idx="723">
                  <c:v>73445.354178417</c:v>
                </c:pt>
                <c:pt idx="724">
                  <c:v>71765.641741632</c:v>
                </c:pt>
                <c:pt idx="725">
                  <c:v>70089.345479061</c:v>
                </c:pt>
                <c:pt idx="726">
                  <c:v>68416.495953002</c:v>
                </c:pt>
                <c:pt idx="727">
                  <c:v>66747.09626254</c:v>
                </c:pt>
                <c:pt idx="728">
                  <c:v>65081.177162468</c:v>
                </c:pt>
                <c:pt idx="729">
                  <c:v>63418.785881194</c:v>
                </c:pt>
                <c:pt idx="730">
                  <c:v>61760.105640019</c:v>
                </c:pt>
                <c:pt idx="731">
                  <c:v>60122.506559973</c:v>
                </c:pt>
                <c:pt idx="732">
                  <c:v>58489.54884956</c:v>
                </c:pt>
                <c:pt idx="733">
                  <c:v>56860.633533794</c:v>
                </c:pt>
                <c:pt idx="734">
                  <c:v>55235.717418694</c:v>
                </c:pt>
                <c:pt idx="735">
                  <c:v>53614.770257969</c:v>
                </c:pt>
                <c:pt idx="736">
                  <c:v>51997.77929626</c:v>
                </c:pt>
                <c:pt idx="737">
                  <c:v>50384.799140459</c:v>
                </c:pt>
                <c:pt idx="738">
                  <c:v>48775.796271223</c:v>
                </c:pt>
                <c:pt idx="739">
                  <c:v>47170.825356436</c:v>
                </c:pt>
                <c:pt idx="740">
                  <c:v>45569.814380394</c:v>
                </c:pt>
                <c:pt idx="741">
                  <c:v>43972.826938709</c:v>
                </c:pt>
                <c:pt idx="742">
                  <c:v>42379.873653974</c:v>
                </c:pt>
                <c:pt idx="743">
                  <c:v>40790.988700917</c:v>
                </c:pt>
                <c:pt idx="744">
                  <c:v>39206.139236834</c:v>
                </c:pt>
                <c:pt idx="745">
                  <c:v>37625.359249397</c:v>
                </c:pt>
                <c:pt idx="746">
                  <c:v>36048.653842106</c:v>
                </c:pt>
                <c:pt idx="747">
                  <c:v>34476.067833447</c:v>
                </c:pt>
                <c:pt idx="748">
                  <c:v>32907.660446047</c:v>
                </c:pt>
                <c:pt idx="749">
                  <c:v>31343.481590881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26716.501689708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22152.63645218</c:v>
                </c:pt>
                <c:pt idx="756">
                  <c:v>20641.16095124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</c:v>
                </c:pt>
                <c:pt idx="762">
                  <c:v>11675.396949868</c:v>
                </c:pt>
                <c:pt idx="763">
                  <c:v>10198.297931283</c:v>
                </c:pt>
                <c:pt idx="764">
                  <c:v>8726.0884104043</c:v>
                </c:pt>
                <c:pt idx="765">
                  <c:v>7258.825649643</c:v>
                </c:pt>
                <c:pt idx="766">
                  <c:v>5796.4922306333</c:v>
                </c:pt>
                <c:pt idx="767">
                  <c:v>4339.1395932971</c:v>
                </c:pt>
                <c:pt idx="768">
                  <c:v>2886.8076653166</c:v>
                </c:pt>
                <c:pt idx="769">
                  <c:v>1439.6211008901</c:v>
                </c:pt>
                <c:pt idx="770">
                  <c:v>0.40316732228767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13483053"/>
        <c:axId val="98614972"/>
      </c:scatterChart>
      <c:scatterChart>
        <c:scatterStyle val="line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771"/>
                <c:pt idx="0">
                  <c:v>325588.17431892</c:v>
                </c:pt>
                <c:pt idx="1">
                  <c:v>325329.53681148</c:v>
                </c:pt>
                <c:pt idx="2">
                  <c:v>325070.96122755</c:v>
                </c:pt>
                <c:pt idx="3">
                  <c:v>324812.56339069</c:v>
                </c:pt>
                <c:pt idx="4">
                  <c:v>324554.23746429</c:v>
                </c:pt>
                <c:pt idx="5">
                  <c:v>324296.19840635</c:v>
                </c:pt>
                <c:pt idx="6">
                  <c:v>324038.37448733</c:v>
                </c:pt>
                <c:pt idx="7">
                  <c:v>323780.31346259</c:v>
                </c:pt>
                <c:pt idx="8">
                  <c:v>323520.96327169</c:v>
                </c:pt>
                <c:pt idx="9">
                  <c:v>323254.7703268</c:v>
                </c:pt>
                <c:pt idx="10">
                  <c:v>322850.90351689</c:v>
                </c:pt>
                <c:pt idx="11">
                  <c:v>321169.48549544</c:v>
                </c:pt>
                <c:pt idx="12">
                  <c:v>320922.74637299</c:v>
                </c:pt>
                <c:pt idx="13">
                  <c:v>320688.93035423</c:v>
                </c:pt>
                <c:pt idx="14">
                  <c:v>320459.38467626</c:v>
                </c:pt>
                <c:pt idx="15">
                  <c:v>320232.25391716</c:v>
                </c:pt>
                <c:pt idx="16">
                  <c:v>320006.80870923</c:v>
                </c:pt>
                <c:pt idx="17">
                  <c:v>319782.64968488</c:v>
                </c:pt>
                <c:pt idx="18">
                  <c:v>319559.53947886</c:v>
                </c:pt>
                <c:pt idx="19">
                  <c:v>319337.45160133</c:v>
                </c:pt>
                <c:pt idx="20">
                  <c:v>319116.11146962</c:v>
                </c:pt>
                <c:pt idx="21">
                  <c:v>318895.49862694</c:v>
                </c:pt>
                <c:pt idx="22">
                  <c:v>318675.51763238</c:v>
                </c:pt>
                <c:pt idx="23">
                  <c:v>318456.17851872</c:v>
                </c:pt>
                <c:pt idx="24">
                  <c:v>318237.20207662</c:v>
                </c:pt>
                <c:pt idx="25">
                  <c:v>318018.6504534</c:v>
                </c:pt>
                <c:pt idx="26">
                  <c:v>317800.0747113</c:v>
                </c:pt>
                <c:pt idx="27">
                  <c:v>317580.14673741</c:v>
                </c:pt>
                <c:pt idx="28">
                  <c:v>317355.79962895</c:v>
                </c:pt>
                <c:pt idx="29">
                  <c:v>317117.27117671</c:v>
                </c:pt>
                <c:pt idx="30">
                  <c:v>315321.84388147</c:v>
                </c:pt>
                <c:pt idx="31">
                  <c:v>314985.29095638</c:v>
                </c:pt>
                <c:pt idx="32">
                  <c:v>314754.80334878</c:v>
                </c:pt>
                <c:pt idx="33">
                  <c:v>314531.71502733</c:v>
                </c:pt>
                <c:pt idx="34">
                  <c:v>314312.10060566</c:v>
                </c:pt>
                <c:pt idx="35">
                  <c:v>314095.25944715</c:v>
                </c:pt>
                <c:pt idx="36">
                  <c:v>313880.61339122</c:v>
                </c:pt>
                <c:pt idx="37">
                  <c:v>313668.01564878</c:v>
                </c:pt>
                <c:pt idx="38">
                  <c:v>313457.41778584</c:v>
                </c:pt>
                <c:pt idx="39">
                  <c:v>313248.70322901</c:v>
                </c:pt>
                <c:pt idx="40">
                  <c:v>313041.85312043</c:v>
                </c:pt>
                <c:pt idx="41">
                  <c:v>312836.80828555</c:v>
                </c:pt>
                <c:pt idx="42">
                  <c:v>312633.50058752</c:v>
                </c:pt>
                <c:pt idx="43">
                  <c:v>312431.91614936</c:v>
                </c:pt>
                <c:pt idx="44">
                  <c:v>312232.01997991</c:v>
                </c:pt>
                <c:pt idx="45">
                  <c:v>312033.48620614</c:v>
                </c:pt>
                <c:pt idx="46">
                  <c:v>311835.9486428</c:v>
                </c:pt>
                <c:pt idx="47">
                  <c:v>311638.60947078</c:v>
                </c:pt>
                <c:pt idx="48">
                  <c:v>311439.00234003</c:v>
                </c:pt>
                <c:pt idx="49">
                  <c:v>311228.82997705</c:v>
                </c:pt>
                <c:pt idx="50">
                  <c:v>310873.1032863</c:v>
                </c:pt>
                <c:pt idx="51">
                  <c:v>309723.08514616</c:v>
                </c:pt>
                <c:pt idx="52">
                  <c:v>309549.18200853</c:v>
                </c:pt>
                <c:pt idx="53">
                  <c:v>309379.56946447</c:v>
                </c:pt>
                <c:pt idx="54">
                  <c:v>309211.1697816</c:v>
                </c:pt>
                <c:pt idx="55">
                  <c:v>309043.52449501</c:v>
                </c:pt>
                <c:pt idx="56">
                  <c:v>308876.43339088</c:v>
                </c:pt>
                <c:pt idx="57">
                  <c:v>308709.80517185</c:v>
                </c:pt>
                <c:pt idx="58">
                  <c:v>308543.73717881</c:v>
                </c:pt>
                <c:pt idx="59">
                  <c:v>308378.16819031</c:v>
                </c:pt>
                <c:pt idx="60">
                  <c:v>308212.99207225</c:v>
                </c:pt>
                <c:pt idx="61">
                  <c:v>308048.30701076</c:v>
                </c:pt>
                <c:pt idx="62">
                  <c:v>307884.01495713</c:v>
                </c:pt>
                <c:pt idx="63">
                  <c:v>307720.13189097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</c:v>
                </c:pt>
                <c:pt idx="67">
                  <c:v>307064.80832526</c:v>
                </c:pt>
                <c:pt idx="68">
                  <c:v>306897.98371016</c:v>
                </c:pt>
                <c:pt idx="69">
                  <c:v>306724.20454713</c:v>
                </c:pt>
                <c:pt idx="70">
                  <c:v>306471.52273581</c:v>
                </c:pt>
                <c:pt idx="71">
                  <c:v>305320.35851222</c:v>
                </c:pt>
                <c:pt idx="72">
                  <c:v>305156.85341689</c:v>
                </c:pt>
                <c:pt idx="73">
                  <c:v>304996.58932228</c:v>
                </c:pt>
                <c:pt idx="74">
                  <c:v>304837.65297778</c:v>
                </c:pt>
                <c:pt idx="75">
                  <c:v>304679.54193437</c:v>
                </c:pt>
                <c:pt idx="76">
                  <c:v>304522.16932415</c:v>
                </c:pt>
                <c:pt idx="77">
                  <c:v>304365.68827534</c:v>
                </c:pt>
                <c:pt idx="78">
                  <c:v>304209.99183712</c:v>
                </c:pt>
                <c:pt idx="79">
                  <c:v>304055.10530309</c:v>
                </c:pt>
                <c:pt idx="80">
                  <c:v>303901.08838573</c:v>
                </c:pt>
                <c:pt idx="81">
                  <c:v>303747.8078052</c:v>
                </c:pt>
                <c:pt idx="82">
                  <c:v>303595.38937186</c:v>
                </c:pt>
                <c:pt idx="83">
                  <c:v>303443.85399182</c:v>
                </c:pt>
                <c:pt idx="84">
                  <c:v>303293.11472787</c:v>
                </c:pt>
                <c:pt idx="85">
                  <c:v>303142.78687538</c:v>
                </c:pt>
                <c:pt idx="86">
                  <c:v>302992.5428894</c:v>
                </c:pt>
                <c:pt idx="87">
                  <c:v>302841.51787646</c:v>
                </c:pt>
                <c:pt idx="88">
                  <c:v>302687.782283</c:v>
                </c:pt>
                <c:pt idx="89">
                  <c:v>302526.71820379</c:v>
                </c:pt>
                <c:pt idx="90">
                  <c:v>301739.89109272</c:v>
                </c:pt>
                <c:pt idx="91">
                  <c:v>301550.28196717</c:v>
                </c:pt>
                <c:pt idx="92">
                  <c:v>301394.81108971</c:v>
                </c:pt>
                <c:pt idx="93">
                  <c:v>301239.44832112</c:v>
                </c:pt>
                <c:pt idx="94">
                  <c:v>301084.16214667</c:v>
                </c:pt>
                <c:pt idx="95">
                  <c:v>300929.40521413</c:v>
                </c:pt>
                <c:pt idx="96">
                  <c:v>300775.25974925</c:v>
                </c:pt>
                <c:pt idx="97">
                  <c:v>300621.71354971</c:v>
                </c:pt>
                <c:pt idx="98">
                  <c:v>300468.72284037</c:v>
                </c:pt>
                <c:pt idx="99">
                  <c:v>300316.29618762</c:v>
                </c:pt>
                <c:pt idx="100">
                  <c:v>300164.52862608</c:v>
                </c:pt>
                <c:pt idx="101">
                  <c:v>300013.27591264</c:v>
                </c:pt>
                <c:pt idx="102">
                  <c:v>299862.58622433</c:v>
                </c:pt>
                <c:pt idx="103">
                  <c:v>299712.50264577</c:v>
                </c:pt>
                <c:pt idx="104">
                  <c:v>299562.93609427</c:v>
                </c:pt>
                <c:pt idx="105">
                  <c:v>299413.77408838</c:v>
                </c:pt>
                <c:pt idx="106">
                  <c:v>299264.86806599</c:v>
                </c:pt>
                <c:pt idx="107">
                  <c:v>299115.74350962</c:v>
                </c:pt>
                <c:pt idx="108">
                  <c:v>298964.85865004</c:v>
                </c:pt>
                <c:pt idx="109">
                  <c:v>298806.56880161</c:v>
                </c:pt>
                <c:pt idx="110">
                  <c:v>298551.84888222</c:v>
                </c:pt>
                <c:pt idx="111">
                  <c:v>296838.12705051</c:v>
                </c:pt>
                <c:pt idx="112">
                  <c:v>296660.45488627</c:v>
                </c:pt>
                <c:pt idx="113">
                  <c:v>296487.22539002</c:v>
                </c:pt>
                <c:pt idx="114">
                  <c:v>296316.63673656</c:v>
                </c:pt>
                <c:pt idx="115">
                  <c:v>296148.24972432</c:v>
                </c:pt>
                <c:pt idx="116">
                  <c:v>295981.95013476</c:v>
                </c:pt>
                <c:pt idx="117">
                  <c:v>295817.76531035</c:v>
                </c:pt>
                <c:pt idx="118">
                  <c:v>295655.50279618</c:v>
                </c:pt>
                <c:pt idx="119">
                  <c:v>295495.20580661</c:v>
                </c:pt>
                <c:pt idx="120">
                  <c:v>295336.9574098</c:v>
                </c:pt>
                <c:pt idx="121">
                  <c:v>295180.7245822</c:v>
                </c:pt>
                <c:pt idx="122">
                  <c:v>295026.38830911</c:v>
                </c:pt>
                <c:pt idx="123">
                  <c:v>294874.00895345</c:v>
                </c:pt>
                <c:pt idx="124">
                  <c:v>294723.85654548</c:v>
                </c:pt>
                <c:pt idx="125">
                  <c:v>294575.62108547</c:v>
                </c:pt>
                <c:pt idx="126">
                  <c:v>294429.47474265</c:v>
                </c:pt>
                <c:pt idx="127">
                  <c:v>294285.58589725</c:v>
                </c:pt>
                <c:pt idx="128">
                  <c:v>294144.15364712</c:v>
                </c:pt>
                <c:pt idx="129">
                  <c:v>294005.70773941</c:v>
                </c:pt>
                <c:pt idx="130">
                  <c:v>293447.44491384</c:v>
                </c:pt>
                <c:pt idx="131">
                  <c:v>293343.90033394</c:v>
                </c:pt>
                <c:pt idx="132">
                  <c:v>293251.32336933</c:v>
                </c:pt>
                <c:pt idx="133">
                  <c:v>293160.71954251</c:v>
                </c:pt>
                <c:pt idx="134">
                  <c:v>293071.14192562</c:v>
                </c:pt>
                <c:pt idx="135">
                  <c:v>292982.29930869</c:v>
                </c:pt>
                <c:pt idx="136">
                  <c:v>292894.00726849</c:v>
                </c:pt>
                <c:pt idx="137">
                  <c:v>292806.26614796</c:v>
                </c:pt>
                <c:pt idx="138">
                  <c:v>292719.10653711</c:v>
                </c:pt>
                <c:pt idx="139">
                  <c:v>292632.50123871</c:v>
                </c:pt>
                <c:pt idx="140">
                  <c:v>292546.4304882</c:v>
                </c:pt>
                <c:pt idx="141">
                  <c:v>292460.80522782</c:v>
                </c:pt>
                <c:pt idx="142">
                  <c:v>292375.64253937</c:v>
                </c:pt>
                <c:pt idx="143">
                  <c:v>292291.02279983</c:v>
                </c:pt>
                <c:pt idx="144">
                  <c:v>292206.87485341</c:v>
                </c:pt>
                <c:pt idx="145">
                  <c:v>292123.19478133</c:v>
                </c:pt>
                <c:pt idx="146">
                  <c:v>292039.94859637</c:v>
                </c:pt>
                <c:pt idx="147">
                  <c:v>291957.11114446</c:v>
                </c:pt>
                <c:pt idx="148">
                  <c:v>291874.74683421</c:v>
                </c:pt>
                <c:pt idx="149">
                  <c:v>291792.88645025</c:v>
                </c:pt>
                <c:pt idx="150">
                  <c:v>291711.39380187</c:v>
                </c:pt>
                <c:pt idx="151">
                  <c:v>291629.97569635</c:v>
                </c:pt>
                <c:pt idx="152">
                  <c:v>291549.89354212</c:v>
                </c:pt>
                <c:pt idx="153">
                  <c:v>291470.2555432</c:v>
                </c:pt>
                <c:pt idx="154">
                  <c:v>291390.88598792</c:v>
                </c:pt>
                <c:pt idx="155">
                  <c:v>291311.6870993</c:v>
                </c:pt>
                <c:pt idx="156">
                  <c:v>291232.68019669</c:v>
                </c:pt>
                <c:pt idx="157">
                  <c:v>291153.86466753</c:v>
                </c:pt>
                <c:pt idx="158">
                  <c:v>291075.24987627</c:v>
                </c:pt>
                <c:pt idx="159">
                  <c:v>290996.79863944</c:v>
                </c:pt>
                <c:pt idx="160">
                  <c:v>290918.55314856</c:v>
                </c:pt>
                <c:pt idx="161">
                  <c:v>290840.48570156</c:v>
                </c:pt>
                <c:pt idx="162">
                  <c:v>290762.57673596</c:v>
                </c:pt>
                <c:pt idx="163">
                  <c:v>290684.87634716</c:v>
                </c:pt>
                <c:pt idx="164">
                  <c:v>290607.31934</c:v>
                </c:pt>
                <c:pt idx="165">
                  <c:v>290529.93706361</c:v>
                </c:pt>
                <c:pt idx="166">
                  <c:v>290452.7388562</c:v>
                </c:pt>
                <c:pt idx="167">
                  <c:v>290375.70003922</c:v>
                </c:pt>
                <c:pt idx="168">
                  <c:v>290298.82125685</c:v>
                </c:pt>
                <c:pt idx="169">
                  <c:v>290222.06524005</c:v>
                </c:pt>
                <c:pt idx="170">
                  <c:v>290145.45393881</c:v>
                </c:pt>
                <c:pt idx="171">
                  <c:v>290069.0159094</c:v>
                </c:pt>
                <c:pt idx="172">
                  <c:v>289992.86630174</c:v>
                </c:pt>
                <c:pt idx="173">
                  <c:v>289916.86606616</c:v>
                </c:pt>
                <c:pt idx="174">
                  <c:v>289840.96597849</c:v>
                </c:pt>
                <c:pt idx="175">
                  <c:v>289765.19390197</c:v>
                </c:pt>
                <c:pt idx="176">
                  <c:v>289689.54640971</c:v>
                </c:pt>
                <c:pt idx="177">
                  <c:v>289614.00595039</c:v>
                </c:pt>
                <c:pt idx="178">
                  <c:v>289538.5927502</c:v>
                </c:pt>
                <c:pt idx="179">
                  <c:v>289463.3326396</c:v>
                </c:pt>
                <c:pt idx="180">
                  <c:v>289388.16373181</c:v>
                </c:pt>
                <c:pt idx="181">
                  <c:v>289313.10567084</c:v>
                </c:pt>
                <c:pt idx="182">
                  <c:v>289238.15997566</c:v>
                </c:pt>
                <c:pt idx="183">
                  <c:v>289163.29959511</c:v>
                </c:pt>
                <c:pt idx="184">
                  <c:v>289088.54970741</c:v>
                </c:pt>
                <c:pt idx="185">
                  <c:v>289013.89596013</c:v>
                </c:pt>
                <c:pt idx="186">
                  <c:v>288939.37116718</c:v>
                </c:pt>
                <c:pt idx="187">
                  <c:v>288864.96946686</c:v>
                </c:pt>
                <c:pt idx="188">
                  <c:v>288790.65623378</c:v>
                </c:pt>
                <c:pt idx="189">
                  <c:v>288716.49204944</c:v>
                </c:pt>
                <c:pt idx="190">
                  <c:v>288642.4211695</c:v>
                </c:pt>
                <c:pt idx="191">
                  <c:v>288568.41107267</c:v>
                </c:pt>
                <c:pt idx="192">
                  <c:v>288494.53020499</c:v>
                </c:pt>
                <c:pt idx="193">
                  <c:v>288420.71944385</c:v>
                </c:pt>
                <c:pt idx="194">
                  <c:v>288346.94793099</c:v>
                </c:pt>
                <c:pt idx="195">
                  <c:v>288273.22328119</c:v>
                </c:pt>
                <c:pt idx="196">
                  <c:v>288199.48631077</c:v>
                </c:pt>
                <c:pt idx="197">
                  <c:v>288125.72253006</c:v>
                </c:pt>
                <c:pt idx="198">
                  <c:v>288051.94501232</c:v>
                </c:pt>
                <c:pt idx="199">
                  <c:v>287978.23913128</c:v>
                </c:pt>
                <c:pt idx="200">
                  <c:v>287904.55626254</c:v>
                </c:pt>
                <c:pt idx="201">
                  <c:v>287830.86405806</c:v>
                </c:pt>
                <c:pt idx="202">
                  <c:v>287757.17404858</c:v>
                </c:pt>
                <c:pt idx="203">
                  <c:v>287683.45844586</c:v>
                </c:pt>
                <c:pt idx="204">
                  <c:v>287609.7106869</c:v>
                </c:pt>
                <c:pt idx="205">
                  <c:v>287535.99554177</c:v>
                </c:pt>
                <c:pt idx="206">
                  <c:v>287462.26540637</c:v>
                </c:pt>
                <c:pt idx="207">
                  <c:v>287388.57911332</c:v>
                </c:pt>
                <c:pt idx="208">
                  <c:v>287314.93462473</c:v>
                </c:pt>
                <c:pt idx="209">
                  <c:v>287241.32668643</c:v>
                </c:pt>
                <c:pt idx="210">
                  <c:v>287167.67560693</c:v>
                </c:pt>
                <c:pt idx="211">
                  <c:v>287093.57679141</c:v>
                </c:pt>
                <c:pt idx="212">
                  <c:v>287020.05793831</c:v>
                </c:pt>
                <c:pt idx="213">
                  <c:v>286946.62747896</c:v>
                </c:pt>
                <c:pt idx="214">
                  <c:v>286873.17889566</c:v>
                </c:pt>
                <c:pt idx="215">
                  <c:v>286799.69033225</c:v>
                </c:pt>
                <c:pt idx="216">
                  <c:v>286726.19515601</c:v>
                </c:pt>
                <c:pt idx="217">
                  <c:v>286652.69483421</c:v>
                </c:pt>
                <c:pt idx="218">
                  <c:v>286579.22636461</c:v>
                </c:pt>
                <c:pt idx="219">
                  <c:v>286505.73053673</c:v>
                </c:pt>
                <c:pt idx="220">
                  <c:v>286432.19649884</c:v>
                </c:pt>
                <c:pt idx="221">
                  <c:v>286358.65906681</c:v>
                </c:pt>
                <c:pt idx="222">
                  <c:v>286285.10943089</c:v>
                </c:pt>
                <c:pt idx="223">
                  <c:v>286211.53946767</c:v>
                </c:pt>
                <c:pt idx="224">
                  <c:v>286137.91690328</c:v>
                </c:pt>
                <c:pt idx="225">
                  <c:v>286064.28357239</c:v>
                </c:pt>
                <c:pt idx="226">
                  <c:v>285990.62279611</c:v>
                </c:pt>
                <c:pt idx="227">
                  <c:v>285916.94988703</c:v>
                </c:pt>
                <c:pt idx="228">
                  <c:v>285843.24276401</c:v>
                </c:pt>
                <c:pt idx="229">
                  <c:v>285769.3985177</c:v>
                </c:pt>
                <c:pt idx="230">
                  <c:v>285695.12168083</c:v>
                </c:pt>
                <c:pt idx="231">
                  <c:v>285620.51532037</c:v>
                </c:pt>
                <c:pt idx="232">
                  <c:v>285545.98593812</c:v>
                </c:pt>
                <c:pt idx="233">
                  <c:v>285471.22160124</c:v>
                </c:pt>
                <c:pt idx="234">
                  <c:v>285396.33741178</c:v>
                </c:pt>
                <c:pt idx="235">
                  <c:v>285321.30360704</c:v>
                </c:pt>
                <c:pt idx="236">
                  <c:v>285246.06360085</c:v>
                </c:pt>
                <c:pt idx="237">
                  <c:v>285170.67810988</c:v>
                </c:pt>
                <c:pt idx="238">
                  <c:v>285095.12718348</c:v>
                </c:pt>
                <c:pt idx="239">
                  <c:v>285019.42912216</c:v>
                </c:pt>
                <c:pt idx="240">
                  <c:v>284943.58593494</c:v>
                </c:pt>
                <c:pt idx="241">
                  <c:v>284867.56256565</c:v>
                </c:pt>
                <c:pt idx="242">
                  <c:v>284791.35073667</c:v>
                </c:pt>
                <c:pt idx="243">
                  <c:v>284714.95540404</c:v>
                </c:pt>
                <c:pt idx="244">
                  <c:v>284638.35864121</c:v>
                </c:pt>
                <c:pt idx="245">
                  <c:v>284561.50293566</c:v>
                </c:pt>
                <c:pt idx="246">
                  <c:v>284484.4042323</c:v>
                </c:pt>
                <c:pt idx="247">
                  <c:v>284406.99369313</c:v>
                </c:pt>
                <c:pt idx="248">
                  <c:v>284329.14208786</c:v>
                </c:pt>
                <c:pt idx="249">
                  <c:v>284250.51517619</c:v>
                </c:pt>
                <c:pt idx="250">
                  <c:v>284166.87304389</c:v>
                </c:pt>
                <c:pt idx="251">
                  <c:v>284054.6801257</c:v>
                </c:pt>
                <c:pt idx="252">
                  <c:v>283974.51429756</c:v>
                </c:pt>
                <c:pt idx="253">
                  <c:v>283894.57149218</c:v>
                </c:pt>
                <c:pt idx="254">
                  <c:v>283814.62714279</c:v>
                </c:pt>
                <c:pt idx="255">
                  <c:v>283734.64744922</c:v>
                </c:pt>
                <c:pt idx="256">
                  <c:v>283654.60187453</c:v>
                </c:pt>
                <c:pt idx="257">
                  <c:v>283574.52701316</c:v>
                </c:pt>
                <c:pt idx="258">
                  <c:v>283494.43609172</c:v>
                </c:pt>
                <c:pt idx="259">
                  <c:v>283414.34544935</c:v>
                </c:pt>
                <c:pt idx="260">
                  <c:v>283334.1830403</c:v>
                </c:pt>
                <c:pt idx="261">
                  <c:v>283254.03528894</c:v>
                </c:pt>
                <c:pt idx="262">
                  <c:v>283173.84580159</c:v>
                </c:pt>
                <c:pt idx="263">
                  <c:v>283093.57159222</c:v>
                </c:pt>
                <c:pt idx="264">
                  <c:v>283013.20280717</c:v>
                </c:pt>
                <c:pt idx="265">
                  <c:v>282932.67745358</c:v>
                </c:pt>
                <c:pt idx="266">
                  <c:v>282851.99464939</c:v>
                </c:pt>
                <c:pt idx="267">
                  <c:v>282771.03951031</c:v>
                </c:pt>
                <c:pt idx="268">
                  <c:v>282689.62293736</c:v>
                </c:pt>
                <c:pt idx="269">
                  <c:v>282607.34170933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282312.43422356</c:v>
                </c:pt>
                <c:pt idx="273">
                  <c:v>282223.3713968</c:v>
                </c:pt>
                <c:pt idx="274">
                  <c:v>282133.34050083</c:v>
                </c:pt>
                <c:pt idx="275">
                  <c:v>282042.57772351</c:v>
                </c:pt>
                <c:pt idx="276">
                  <c:v>281951.14972117</c:v>
                </c:pt>
                <c:pt idx="277">
                  <c:v>281859.10135078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</c:v>
                </c:pt>
                <c:pt idx="281">
                  <c:v>281485.85159922</c:v>
                </c:pt>
                <c:pt idx="282">
                  <c:v>281391.36635134</c:v>
                </c:pt>
                <c:pt idx="283">
                  <c:v>281296.32054062</c:v>
                </c:pt>
                <c:pt idx="284">
                  <c:v>281200.72972792</c:v>
                </c:pt>
                <c:pt idx="285">
                  <c:v>281104.51781934</c:v>
                </c:pt>
                <c:pt idx="286">
                  <c:v>281007.58030819</c:v>
                </c:pt>
                <c:pt idx="287">
                  <c:v>280909.76975069</c:v>
                </c:pt>
                <c:pt idx="288">
                  <c:v>280810.71985378</c:v>
                </c:pt>
                <c:pt idx="289">
                  <c:v>280709.17996118</c:v>
                </c:pt>
                <c:pt idx="290">
                  <c:v>279760.95917864</c:v>
                </c:pt>
                <c:pt idx="291">
                  <c:v>279614.16580546</c:v>
                </c:pt>
                <c:pt idx="292">
                  <c:v>279485.83714121</c:v>
                </c:pt>
                <c:pt idx="293">
                  <c:v>279356.4800034</c:v>
                </c:pt>
                <c:pt idx="294">
                  <c:v>279226.67102256</c:v>
                </c:pt>
                <c:pt idx="295">
                  <c:v>279096.46292443</c:v>
                </c:pt>
                <c:pt idx="296">
                  <c:v>278965.98531828</c:v>
                </c:pt>
                <c:pt idx="297">
                  <c:v>278835.39465849</c:v>
                </c:pt>
                <c:pt idx="298">
                  <c:v>278704.81586996</c:v>
                </c:pt>
                <c:pt idx="299">
                  <c:v>278574.12994979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</c:v>
                </c:pt>
                <c:pt idx="303">
                  <c:v>278051.59269556</c:v>
                </c:pt>
                <c:pt idx="304">
                  <c:v>277920.96010966</c:v>
                </c:pt>
                <c:pt idx="305">
                  <c:v>277790.3582655</c:v>
                </c:pt>
                <c:pt idx="306">
                  <c:v>277659.72440098</c:v>
                </c:pt>
                <c:pt idx="307">
                  <c:v>277529.22389894</c:v>
                </c:pt>
                <c:pt idx="308">
                  <c:v>277398.57322384</c:v>
                </c:pt>
                <c:pt idx="309">
                  <c:v>277267.51090091</c:v>
                </c:pt>
                <c:pt idx="310">
                  <c:v>277106.85961849</c:v>
                </c:pt>
                <c:pt idx="311">
                  <c:v>276104.89766015</c:v>
                </c:pt>
                <c:pt idx="312">
                  <c:v>275958.7892158</c:v>
                </c:pt>
                <c:pt idx="313">
                  <c:v>275813.39049884</c:v>
                </c:pt>
                <c:pt idx="314">
                  <c:v>275668.24539297</c:v>
                </c:pt>
                <c:pt idx="315">
                  <c:v>275523.10973532</c:v>
                </c:pt>
                <c:pt idx="316">
                  <c:v>275377.98206539</c:v>
                </c:pt>
                <c:pt idx="317">
                  <c:v>275232.66297358</c:v>
                </c:pt>
                <c:pt idx="318">
                  <c:v>275087.26310555</c:v>
                </c:pt>
                <c:pt idx="319">
                  <c:v>274941.65044128</c:v>
                </c:pt>
                <c:pt idx="320">
                  <c:v>274795.83012423</c:v>
                </c:pt>
                <c:pt idx="321">
                  <c:v>274649.71551731</c:v>
                </c:pt>
                <c:pt idx="322">
                  <c:v>274503.35404098</c:v>
                </c:pt>
                <c:pt idx="323">
                  <c:v>274356.84620828</c:v>
                </c:pt>
                <c:pt idx="324">
                  <c:v>274210.02044893</c:v>
                </c:pt>
                <c:pt idx="325">
                  <c:v>274062.92883172</c:v>
                </c:pt>
                <c:pt idx="326">
                  <c:v>273915.59687427</c:v>
                </c:pt>
                <c:pt idx="327">
                  <c:v>273768.03313752</c:v>
                </c:pt>
                <c:pt idx="328">
                  <c:v>273620.1396312</c:v>
                </c:pt>
                <c:pt idx="329">
                  <c:v>273470.45455468</c:v>
                </c:pt>
                <c:pt idx="330">
                  <c:v>271970.17036899</c:v>
                </c:pt>
                <c:pt idx="331">
                  <c:v>271692.98934716</c:v>
                </c:pt>
                <c:pt idx="332">
                  <c:v>271486.87758122</c:v>
                </c:pt>
                <c:pt idx="333">
                  <c:v>271283.64942207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270682.16900669</c:v>
                </c:pt>
                <c:pt idx="337">
                  <c:v>270484.25732869</c:v>
                </c:pt>
                <c:pt idx="338">
                  <c:v>270287.59769775</c:v>
                </c:pt>
                <c:pt idx="339">
                  <c:v>270091.92713214</c:v>
                </c:pt>
                <c:pt idx="340">
                  <c:v>269897.46938866</c:v>
                </c:pt>
                <c:pt idx="341">
                  <c:v>269704.08782737</c:v>
                </c:pt>
                <c:pt idx="342">
                  <c:v>269511.66807211</c:v>
                </c:pt>
                <c:pt idx="343">
                  <c:v>269320.36368048</c:v>
                </c:pt>
                <c:pt idx="344">
                  <c:v>269130.12130224</c:v>
                </c:pt>
                <c:pt idx="345">
                  <c:v>268940.72566556</c:v>
                </c:pt>
                <c:pt idx="346">
                  <c:v>268752.20744281</c:v>
                </c:pt>
                <c:pt idx="347">
                  <c:v>268564.6632228</c:v>
                </c:pt>
                <c:pt idx="348">
                  <c:v>268377.83261466</c:v>
                </c:pt>
                <c:pt idx="349">
                  <c:v>268190.54757346</c:v>
                </c:pt>
                <c:pt idx="350">
                  <c:v>267959.67151671</c:v>
                </c:pt>
                <c:pt idx="351">
                  <c:v>267141.52996505</c:v>
                </c:pt>
                <c:pt idx="352">
                  <c:v>266968.54587426</c:v>
                </c:pt>
                <c:pt idx="353">
                  <c:v>266796.09797928</c:v>
                </c:pt>
                <c:pt idx="354">
                  <c:v>266623.91563981</c:v>
                </c:pt>
                <c:pt idx="355">
                  <c:v>266452.12722467</c:v>
                </c:pt>
                <c:pt idx="356">
                  <c:v>266280.68099659</c:v>
                </c:pt>
                <c:pt idx="357">
                  <c:v>266109.50179748</c:v>
                </c:pt>
                <c:pt idx="358">
                  <c:v>265938.68802191</c:v>
                </c:pt>
                <c:pt idx="359">
                  <c:v>265768.13908225</c:v>
                </c:pt>
                <c:pt idx="360">
                  <c:v>265597.97833431</c:v>
                </c:pt>
                <c:pt idx="361">
                  <c:v>265428.1331326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264920.00249074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264412.00989616</c:v>
                </c:pt>
                <c:pt idx="368">
                  <c:v>264241.70353126</c:v>
                </c:pt>
                <c:pt idx="369">
                  <c:v>264069.05354991</c:v>
                </c:pt>
                <c:pt idx="370">
                  <c:v>263852.67314818</c:v>
                </c:pt>
                <c:pt idx="371">
                  <c:v>262374.69386006</c:v>
                </c:pt>
                <c:pt idx="372">
                  <c:v>262148.2356789</c:v>
                </c:pt>
                <c:pt idx="373">
                  <c:v>261923.03962272</c:v>
                </c:pt>
                <c:pt idx="374">
                  <c:v>261698.40773946</c:v>
                </c:pt>
                <c:pt idx="375">
                  <c:v>261474.39971706</c:v>
                </c:pt>
                <c:pt idx="376">
                  <c:v>261250.72651419</c:v>
                </c:pt>
                <c:pt idx="377">
                  <c:v>261027.75558205</c:v>
                </c:pt>
                <c:pt idx="378">
                  <c:v>260805.33920236</c:v>
                </c:pt>
                <c:pt idx="379">
                  <c:v>260583.3801362</c:v>
                </c:pt>
                <c:pt idx="380">
                  <c:v>260361.94112856</c:v>
                </c:pt>
                <c:pt idx="381">
                  <c:v>260141.150357</c:v>
                </c:pt>
                <c:pt idx="382">
                  <c:v>259920.89981381</c:v>
                </c:pt>
                <c:pt idx="383">
                  <c:v>259701.12133168</c:v>
                </c:pt>
                <c:pt idx="384">
                  <c:v>259481.77877576</c:v>
                </c:pt>
                <c:pt idx="385">
                  <c:v>259262.7266873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258605.14912512</c:v>
                </c:pt>
                <c:pt idx="389">
                  <c:v>258383.14172444</c:v>
                </c:pt>
                <c:pt idx="390">
                  <c:v>257143.57241111</c:v>
                </c:pt>
                <c:pt idx="391">
                  <c:v>256890.80062493</c:v>
                </c:pt>
                <c:pt idx="392">
                  <c:v>256668.16558399</c:v>
                </c:pt>
                <c:pt idx="393">
                  <c:v>256446.88898611</c:v>
                </c:pt>
                <c:pt idx="394">
                  <c:v>256226.57670875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</c:v>
                </c:pt>
                <c:pt idx="398">
                  <c:v>255356.20106312</c:v>
                </c:pt>
                <c:pt idx="399">
                  <c:v>255141.49917524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254293.36072176</c:v>
                </c:pt>
                <c:pt idx="404">
                  <c:v>254083.89984524</c:v>
                </c:pt>
                <c:pt idx="405">
                  <c:v>253875.30607792</c:v>
                </c:pt>
                <c:pt idx="406">
                  <c:v>253667.80679831</c:v>
                </c:pt>
                <c:pt idx="407">
                  <c:v>253461.40748361</c:v>
                </c:pt>
                <c:pt idx="408">
                  <c:v>253256.28220568</c:v>
                </c:pt>
                <c:pt idx="409">
                  <c:v>253051.51174177</c:v>
                </c:pt>
                <c:pt idx="410">
                  <c:v>252827.09202107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252139.8785685</c:v>
                </c:pt>
                <c:pt idx="414">
                  <c:v>251947.69559413</c:v>
                </c:pt>
                <c:pt idx="415">
                  <c:v>251757.33257041</c:v>
                </c:pt>
                <c:pt idx="416">
                  <c:v>251568.38102798</c:v>
                </c:pt>
                <c:pt idx="417">
                  <c:v>251380.558824</c:v>
                </c:pt>
                <c:pt idx="418">
                  <c:v>251193.76176894</c:v>
                </c:pt>
                <c:pt idx="419">
                  <c:v>251007.95847075</c:v>
                </c:pt>
                <c:pt idx="420">
                  <c:v>250823.11440229</c:v>
                </c:pt>
                <c:pt idx="421">
                  <c:v>250639.20964591</c:v>
                </c:pt>
                <c:pt idx="422">
                  <c:v>250456.15052084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249911.87483619</c:v>
                </c:pt>
                <c:pt idx="426">
                  <c:v>249731.98725898</c:v>
                </c:pt>
                <c:pt idx="427">
                  <c:v>249552.75311059</c:v>
                </c:pt>
                <c:pt idx="428">
                  <c:v>249373.92572071</c:v>
                </c:pt>
                <c:pt idx="429">
                  <c:v>249194.3735278</c:v>
                </c:pt>
                <c:pt idx="430">
                  <c:v>248819.33457637</c:v>
                </c:pt>
                <c:pt idx="431">
                  <c:v>248626.09527103</c:v>
                </c:pt>
                <c:pt idx="432">
                  <c:v>248451.48401623</c:v>
                </c:pt>
                <c:pt idx="433">
                  <c:v>248278.22638817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247757.93148071</c:v>
                </c:pt>
                <c:pt idx="437">
                  <c:v>247583.51459634</c:v>
                </c:pt>
                <c:pt idx="438">
                  <c:v>247408.42497399</c:v>
                </c:pt>
                <c:pt idx="439">
                  <c:v>247232.65178321</c:v>
                </c:pt>
                <c:pt idx="440">
                  <c:v>247056.15062224</c:v>
                </c:pt>
                <c:pt idx="441">
                  <c:v>246878.91468178</c:v>
                </c:pt>
                <c:pt idx="442">
                  <c:v>246700.92683453</c:v>
                </c:pt>
                <c:pt idx="443">
                  <c:v>246522.12280924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245796.37592725</c:v>
                </c:pt>
                <c:pt idx="448">
                  <c:v>245611.53608919</c:v>
                </c:pt>
                <c:pt idx="449">
                  <c:v>245423.12431121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244344.87274</c:v>
                </c:pt>
                <c:pt idx="453">
                  <c:v>244131.79786616</c:v>
                </c:pt>
                <c:pt idx="454">
                  <c:v>243918.73698894</c:v>
                </c:pt>
                <c:pt idx="455">
                  <c:v>243705.17899574</c:v>
                </c:pt>
                <c:pt idx="456">
                  <c:v>243491.12530917</c:v>
                </c:pt>
                <c:pt idx="457">
                  <c:v>243276.40864582</c:v>
                </c:pt>
                <c:pt idx="458">
                  <c:v>243061.11779672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</c:v>
                </c:pt>
                <c:pt idx="462">
                  <c:v>242192.59010038</c:v>
                </c:pt>
                <c:pt idx="463">
                  <c:v>241973.40988087</c:v>
                </c:pt>
                <c:pt idx="464">
                  <c:v>241753.36095255</c:v>
                </c:pt>
                <c:pt idx="465">
                  <c:v>241532.40253847</c:v>
                </c:pt>
                <c:pt idx="466">
                  <c:v>241310.23295944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240633.91118665</c:v>
                </c:pt>
                <c:pt idx="470">
                  <c:v>240376.42169635</c:v>
                </c:pt>
                <c:pt idx="471">
                  <c:v>239915.96701046</c:v>
                </c:pt>
                <c:pt idx="472">
                  <c:v>239641.38513405</c:v>
                </c:pt>
                <c:pt idx="473">
                  <c:v>239369.51849835</c:v>
                </c:pt>
                <c:pt idx="474">
                  <c:v>239099.16827718</c:v>
                </c:pt>
                <c:pt idx="475">
                  <c:v>238829.92729148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238027.56630016</c:v>
                </c:pt>
                <c:pt idx="479">
                  <c:v>237761.58071574</c:v>
                </c:pt>
                <c:pt idx="480">
                  <c:v>237496.41257638</c:v>
                </c:pt>
                <c:pt idx="481">
                  <c:v>237231.9074617</c:v>
                </c:pt>
                <c:pt idx="482">
                  <c:v>236968.00744953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</c:v>
                </c:pt>
                <c:pt idx="487">
                  <c:v>235655.38246576</c:v>
                </c:pt>
                <c:pt idx="488">
                  <c:v>235392.05050932</c:v>
                </c:pt>
                <c:pt idx="489">
                  <c:v>235125.90800407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234076.99697448</c:v>
                </c:pt>
                <c:pt idx="493">
                  <c:v>233828.93910394</c:v>
                </c:pt>
                <c:pt idx="494">
                  <c:v>233581.19541904</c:v>
                </c:pt>
                <c:pt idx="495">
                  <c:v>233333.45777044</c:v>
                </c:pt>
                <c:pt idx="496">
                  <c:v>233085.62996829</c:v>
                </c:pt>
                <c:pt idx="497">
                  <c:v>232837.77615263</c:v>
                </c:pt>
                <c:pt idx="498">
                  <c:v>232589.94316538</c:v>
                </c:pt>
                <c:pt idx="499">
                  <c:v>232342.04349217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</c:v>
                </c:pt>
                <c:pt idx="506">
                  <c:v>230602.83493095</c:v>
                </c:pt>
                <c:pt idx="507">
                  <c:v>230353.60552863</c:v>
                </c:pt>
                <c:pt idx="508">
                  <c:v>230103.87316708</c:v>
                </c:pt>
                <c:pt idx="509">
                  <c:v>229852.20902304</c:v>
                </c:pt>
                <c:pt idx="510">
                  <c:v>229350.63865823</c:v>
                </c:pt>
                <c:pt idx="511">
                  <c:v>229014.36321902</c:v>
                </c:pt>
                <c:pt idx="512">
                  <c:v>228811.51231647</c:v>
                </c:pt>
                <c:pt idx="513">
                  <c:v>228611.78698947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228015.88212611</c:v>
                </c:pt>
                <c:pt idx="517">
                  <c:v>227816.80629184</c:v>
                </c:pt>
                <c:pt idx="518">
                  <c:v>227617.24406864</c:v>
                </c:pt>
                <c:pt idx="519">
                  <c:v>227417.19304665</c:v>
                </c:pt>
                <c:pt idx="520">
                  <c:v>227216.61728817</c:v>
                </c:pt>
                <c:pt idx="521">
                  <c:v>227015.22529758</c:v>
                </c:pt>
                <c:pt idx="522">
                  <c:v>226813.11176946</c:v>
                </c:pt>
                <c:pt idx="523">
                  <c:v>226610.2665212</c:v>
                </c:pt>
                <c:pt idx="524">
                  <c:v>226406.71524113</c:v>
                </c:pt>
                <c:pt idx="525">
                  <c:v>226202.39906767</c:v>
                </c:pt>
                <c:pt idx="526">
                  <c:v>225997.10709647</c:v>
                </c:pt>
                <c:pt idx="527">
                  <c:v>225790.77073519</c:v>
                </c:pt>
                <c:pt idx="528">
                  <c:v>225582.9221647</c:v>
                </c:pt>
                <c:pt idx="529">
                  <c:v>225371.73517391</c:v>
                </c:pt>
                <c:pt idx="530">
                  <c:v>224833.87420865</c:v>
                </c:pt>
                <c:pt idx="531">
                  <c:v>224582.82464671</c:v>
                </c:pt>
                <c:pt idx="532">
                  <c:v>224366.38714811</c:v>
                </c:pt>
                <c:pt idx="533">
                  <c:v>224154.35958559</c:v>
                </c:pt>
                <c:pt idx="534">
                  <c:v>223944.09890286</c:v>
                </c:pt>
                <c:pt idx="535">
                  <c:v>223735.15156835</c:v>
                </c:pt>
                <c:pt idx="536">
                  <c:v>223526.97003664</c:v>
                </c:pt>
                <c:pt idx="537">
                  <c:v>223319.30960189</c:v>
                </c:pt>
                <c:pt idx="538">
                  <c:v>223112.03223641</c:v>
                </c:pt>
                <c:pt idx="539">
                  <c:v>222905.05461182</c:v>
                </c:pt>
                <c:pt idx="540">
                  <c:v>222698.39422785</c:v>
                </c:pt>
                <c:pt idx="541">
                  <c:v>222492.01500928</c:v>
                </c:pt>
                <c:pt idx="542">
                  <c:v>222285.72445219</c:v>
                </c:pt>
                <c:pt idx="543">
                  <c:v>222079.61974658</c:v>
                </c:pt>
                <c:pt idx="544">
                  <c:v>221873.61677756</c:v>
                </c:pt>
                <c:pt idx="545">
                  <c:v>221667.6592716</c:v>
                </c:pt>
                <c:pt idx="546">
                  <c:v>221461.69237907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</c:v>
                </c:pt>
                <c:pt idx="558">
                  <c:v>218548.74086749</c:v>
                </c:pt>
                <c:pt idx="559">
                  <c:v>218335.63539627</c:v>
                </c:pt>
                <c:pt idx="560">
                  <c:v>218123.70747447</c:v>
                </c:pt>
                <c:pt idx="561">
                  <c:v>217912.70155846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217284.60440428</c:v>
                </c:pt>
                <c:pt idx="565">
                  <c:v>217076.53488571</c:v>
                </c:pt>
                <c:pt idx="566">
                  <c:v>216869.08641979</c:v>
                </c:pt>
                <c:pt idx="567">
                  <c:v>216661.77375846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</c:v>
                </c:pt>
                <c:pt idx="571">
                  <c:v>215499.75496814</c:v>
                </c:pt>
                <c:pt idx="572">
                  <c:v>215238.24718377</c:v>
                </c:pt>
                <c:pt idx="573">
                  <c:v>214978.94443694</c:v>
                </c:pt>
                <c:pt idx="574">
                  <c:v>214720.10216252</c:v>
                </c:pt>
                <c:pt idx="575">
                  <c:v>214461.12977484</c:v>
                </c:pt>
                <c:pt idx="576">
                  <c:v>214201.86222807</c:v>
                </c:pt>
                <c:pt idx="577">
                  <c:v>213942.30910686</c:v>
                </c:pt>
                <c:pt idx="578">
                  <c:v>213682.51451478</c:v>
                </c:pt>
                <c:pt idx="579">
                  <c:v>213422.4174249</c:v>
                </c:pt>
                <c:pt idx="580">
                  <c:v>213161.97080817</c:v>
                </c:pt>
                <c:pt idx="581">
                  <c:v>212901.18733815</c:v>
                </c:pt>
                <c:pt idx="582">
                  <c:v>212639.8839724</c:v>
                </c:pt>
                <c:pt idx="583">
                  <c:v>212378.27835419</c:v>
                </c:pt>
                <c:pt idx="584">
                  <c:v>212116.13510105</c:v>
                </c:pt>
                <c:pt idx="585">
                  <c:v>211853.34009149</c:v>
                </c:pt>
                <c:pt idx="586">
                  <c:v>211589.68934559</c:v>
                </c:pt>
                <c:pt idx="587">
                  <c:v>211325.00902479</c:v>
                </c:pt>
                <c:pt idx="588">
                  <c:v>211058.27770945</c:v>
                </c:pt>
                <c:pt idx="589">
                  <c:v>210786.34594015</c:v>
                </c:pt>
                <c:pt idx="590">
                  <c:v>210219.79659842</c:v>
                </c:pt>
                <c:pt idx="591">
                  <c:v>209900.90001909</c:v>
                </c:pt>
                <c:pt idx="592">
                  <c:v>209637.95722413</c:v>
                </c:pt>
                <c:pt idx="593">
                  <c:v>209377.37102582</c:v>
                </c:pt>
                <c:pt idx="594">
                  <c:v>209117.27407094</c:v>
                </c:pt>
                <c:pt idx="595">
                  <c:v>208857.29257161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</c:v>
                </c:pt>
                <c:pt idx="599">
                  <c:v>207816.39314664</c:v>
                </c:pt>
                <c:pt idx="600">
                  <c:v>207555.64880843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206510.03633429</c:v>
                </c:pt>
                <c:pt idx="605">
                  <c:v>206247.76426296</c:v>
                </c:pt>
                <c:pt idx="606">
                  <c:v>205985.20622411</c:v>
                </c:pt>
                <c:pt idx="607">
                  <c:v>205722.3037373</c:v>
                </c:pt>
                <c:pt idx="608">
                  <c:v>205458.60890345</c:v>
                </c:pt>
                <c:pt idx="609">
                  <c:v>205192.48130815</c:v>
                </c:pt>
                <c:pt idx="610">
                  <c:v>204876.89958622</c:v>
                </c:pt>
                <c:pt idx="611">
                  <c:v>204085.85206172</c:v>
                </c:pt>
                <c:pt idx="612">
                  <c:v>203803.6715711</c:v>
                </c:pt>
                <c:pt idx="613">
                  <c:v>203526.5744915</c:v>
                </c:pt>
                <c:pt idx="614">
                  <c:v>203251.75548345</c:v>
                </c:pt>
                <c:pt idx="615">
                  <c:v>202978.31304503</c:v>
                </c:pt>
                <c:pt idx="616">
                  <c:v>202705.75574365</c:v>
                </c:pt>
                <c:pt idx="617">
                  <c:v>202433.72542353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201620.10651681</c:v>
                </c:pt>
                <c:pt idx="621">
                  <c:v>201349.42243904</c:v>
                </c:pt>
                <c:pt idx="622">
                  <c:v>201078.90245787</c:v>
                </c:pt>
                <c:pt idx="623">
                  <c:v>200808.51692363</c:v>
                </c:pt>
                <c:pt idx="624">
                  <c:v>200538.23845028</c:v>
                </c:pt>
                <c:pt idx="625">
                  <c:v>200267.99212326</c:v>
                </c:pt>
                <c:pt idx="626">
                  <c:v>199997.6017508</c:v>
                </c:pt>
                <c:pt idx="627">
                  <c:v>199726.75458073</c:v>
                </c:pt>
                <c:pt idx="628">
                  <c:v>199454.80276429</c:v>
                </c:pt>
                <c:pt idx="629">
                  <c:v>199178.85965791</c:v>
                </c:pt>
                <c:pt idx="630">
                  <c:v>198365.68029505</c:v>
                </c:pt>
                <c:pt idx="631">
                  <c:v>198015.09692095</c:v>
                </c:pt>
                <c:pt idx="632">
                  <c:v>197723.06612591</c:v>
                </c:pt>
                <c:pt idx="633">
                  <c:v>197436.66309624</c:v>
                </c:pt>
                <c:pt idx="634">
                  <c:v>197152.43986479</c:v>
                </c:pt>
                <c:pt idx="635">
                  <c:v>196869.48172786</c:v>
                </c:pt>
                <c:pt idx="636">
                  <c:v>196587.49429505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</c:v>
                </c:pt>
                <c:pt idx="640">
                  <c:v>195466.09552616</c:v>
                </c:pt>
                <c:pt idx="641">
                  <c:v>195187.0223012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</c:v>
                </c:pt>
                <c:pt idx="648">
                  <c:v>193238.86354812</c:v>
                </c:pt>
                <c:pt idx="649">
                  <c:v>192953.02924026</c:v>
                </c:pt>
                <c:pt idx="650">
                  <c:v>192137.16797095</c:v>
                </c:pt>
                <c:pt idx="651">
                  <c:v>191573.45535387</c:v>
                </c:pt>
                <c:pt idx="652">
                  <c:v>191254.39789953</c:v>
                </c:pt>
                <c:pt idx="653">
                  <c:v>190941.4864237</c:v>
                </c:pt>
                <c:pt idx="654">
                  <c:v>190630.51904064</c:v>
                </c:pt>
                <c:pt idx="655">
                  <c:v>190320.62265539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</c:v>
                </c:pt>
                <c:pt idx="660">
                  <c:v>188783.12101907</c:v>
                </c:pt>
                <c:pt idx="661">
                  <c:v>188477.77534064</c:v>
                </c:pt>
                <c:pt idx="662">
                  <c:v>188173.01433332</c:v>
                </c:pt>
                <c:pt idx="663">
                  <c:v>187868.99017833</c:v>
                </c:pt>
                <c:pt idx="664">
                  <c:v>187565.39255292</c:v>
                </c:pt>
                <c:pt idx="665">
                  <c:v>187262.15068118</c:v>
                </c:pt>
                <c:pt idx="666">
                  <c:v>186959.0263932</c:v>
                </c:pt>
                <c:pt idx="667">
                  <c:v>186655.36359357</c:v>
                </c:pt>
                <c:pt idx="668">
                  <c:v>186350.40540306</c:v>
                </c:pt>
                <c:pt idx="669">
                  <c:v>186041.19340799</c:v>
                </c:pt>
                <c:pt idx="670">
                  <c:v>185686.96353669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</c:v>
                </c:pt>
                <c:pt idx="674">
                  <c:v>184115.73578168</c:v>
                </c:pt>
                <c:pt idx="675">
                  <c:v>183857.22388016</c:v>
                </c:pt>
                <c:pt idx="676">
                  <c:v>183598.6102532</c:v>
                </c:pt>
                <c:pt idx="677">
                  <c:v>183339.85556829</c:v>
                </c:pt>
                <c:pt idx="678">
                  <c:v>183080.80796276</c:v>
                </c:pt>
                <c:pt idx="679">
                  <c:v>182821.70881808</c:v>
                </c:pt>
                <c:pt idx="680">
                  <c:v>182562.31954053</c:v>
                </c:pt>
                <c:pt idx="681">
                  <c:v>182302.85537634</c:v>
                </c:pt>
                <c:pt idx="682">
                  <c:v>182042.99019886</c:v>
                </c:pt>
                <c:pt idx="683">
                  <c:v>181783.02110174</c:v>
                </c:pt>
                <c:pt idx="684">
                  <c:v>181522.58644402</c:v>
                </c:pt>
                <c:pt idx="685">
                  <c:v>181261.55882106</c:v>
                </c:pt>
                <c:pt idx="686">
                  <c:v>180999.44713449</c:v>
                </c:pt>
                <c:pt idx="687">
                  <c:v>180735.63294442</c:v>
                </c:pt>
                <c:pt idx="688">
                  <c:v>180468.97608219</c:v>
                </c:pt>
                <c:pt idx="689">
                  <c:v>180196.29639974</c:v>
                </c:pt>
                <c:pt idx="690">
                  <c:v>178958.74918083</c:v>
                </c:pt>
                <c:pt idx="691">
                  <c:v>178581.51849106</c:v>
                </c:pt>
                <c:pt idx="692">
                  <c:v>178265.75621674</c:v>
                </c:pt>
                <c:pt idx="693">
                  <c:v>177955.21415705</c:v>
                </c:pt>
                <c:pt idx="694">
                  <c:v>177646.38640529</c:v>
                </c:pt>
                <c:pt idx="695">
                  <c:v>177338.48483494</c:v>
                </c:pt>
                <c:pt idx="696">
                  <c:v>177031.18413328</c:v>
                </c:pt>
                <c:pt idx="697">
                  <c:v>176724.67907337</c:v>
                </c:pt>
                <c:pt idx="698">
                  <c:v>176418.6484899</c:v>
                </c:pt>
                <c:pt idx="699">
                  <c:v>176113.2277424</c:v>
                </c:pt>
                <c:pt idx="700">
                  <c:v>175808.51801011</c:v>
                </c:pt>
                <c:pt idx="701">
                  <c:v>175504.22272092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</c:v>
                </c:pt>
                <c:pt idx="705">
                  <c:v>174293.29044076</c:v>
                </c:pt>
                <c:pt idx="706">
                  <c:v>173991.95658389</c:v>
                </c:pt>
                <c:pt idx="707">
                  <c:v>173690.97056094</c:v>
                </c:pt>
                <c:pt idx="708">
                  <c:v>173390.19647019</c:v>
                </c:pt>
                <c:pt idx="709">
                  <c:v>173088.36680559</c:v>
                </c:pt>
                <c:pt idx="710">
                  <c:v>172756.23645088</c:v>
                </c:pt>
                <c:pt idx="711">
                  <c:v>172155.01596824</c:v>
                </c:pt>
                <c:pt idx="712">
                  <c:v>171824.04887307</c:v>
                </c:pt>
                <c:pt idx="713">
                  <c:v>171494.37035711</c:v>
                </c:pt>
                <c:pt idx="714">
                  <c:v>171164.26233588</c:v>
                </c:pt>
                <c:pt idx="715">
                  <c:v>170833.1375088</c:v>
                </c:pt>
                <c:pt idx="716">
                  <c:v>170500.96768747</c:v>
                </c:pt>
                <c:pt idx="717">
                  <c:v>170167.77539056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167801.6080936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</c:v>
                </c:pt>
                <c:pt idx="728">
                  <c:v>166419.52305072</c:v>
                </c:pt>
                <c:pt idx="729">
                  <c:v>166063.78949623</c:v>
                </c:pt>
                <c:pt idx="730">
                  <c:v>164873.5584528</c:v>
                </c:pt>
                <c:pt idx="731">
                  <c:v>163500.71315745</c:v>
                </c:pt>
                <c:pt idx="732">
                  <c:v>163091.6730949</c:v>
                </c:pt>
                <c:pt idx="733">
                  <c:v>162691.00339083</c:v>
                </c:pt>
                <c:pt idx="734">
                  <c:v>162293.07407509</c:v>
                </c:pt>
                <c:pt idx="735">
                  <c:v>161895.73873994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159498.95343064</c:v>
                </c:pt>
                <c:pt idx="742">
                  <c:v>159096.30734438</c:v>
                </c:pt>
                <c:pt idx="743">
                  <c:v>158692.64806284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</c:v>
                </c:pt>
                <c:pt idx="747">
                  <c:v>157061.48082302</c:v>
                </c:pt>
                <c:pt idx="748">
                  <c:v>156643.13262253</c:v>
                </c:pt>
                <c:pt idx="749">
                  <c:v>156215.89019026</c:v>
                </c:pt>
                <c:pt idx="750">
                  <c:v>155639.0693307</c:v>
                </c:pt>
                <c:pt idx="751">
                  <c:v>153357.26827039</c:v>
                </c:pt>
                <c:pt idx="752">
                  <c:v>152865.04862556</c:v>
                </c:pt>
                <c:pt idx="753">
                  <c:v>152374.66505586</c:v>
                </c:pt>
                <c:pt idx="754">
                  <c:v>151884.12071457</c:v>
                </c:pt>
                <c:pt idx="755">
                  <c:v>151393.39098953</c:v>
                </c:pt>
                <c:pt idx="756">
                  <c:v>150902.57750783</c:v>
                </c:pt>
                <c:pt idx="757">
                  <c:v>150411.73067431</c:v>
                </c:pt>
                <c:pt idx="758">
                  <c:v>149920.93094319</c:v>
                </c:pt>
                <c:pt idx="759">
                  <c:v>149430.14112716</c:v>
                </c:pt>
                <c:pt idx="760">
                  <c:v>148939.30940216</c:v>
                </c:pt>
                <c:pt idx="761">
                  <c:v>148448.54708126</c:v>
                </c:pt>
                <c:pt idx="762">
                  <c:v>147957.77266236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146484.77128435</c:v>
                </c:pt>
                <c:pt idx="766">
                  <c:v>145992.50570377</c:v>
                </c:pt>
                <c:pt idx="767">
                  <c:v>145497.98098436</c:v>
                </c:pt>
                <c:pt idx="768">
                  <c:v>144996.9182422</c:v>
                </c:pt>
                <c:pt idx="769">
                  <c:v>144474.08244617</c:v>
                </c:pt>
                <c:pt idx="770">
                  <c:v>33140.978649364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45899637"/>
        <c:axId val="93638587"/>
      </c:scatterChart>
      <c:valAx>
        <c:axId val="13483053"/>
        <c:scaling>
          <c:orientation val="minMax"/>
          <c:max val="1930000"/>
          <c:min val="0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2"/>
                    </a:solidFill>
                    <a:uFillTx/>
                    <a:latin typeface="TH SarabunPSK"/>
                  </a:rPr>
                  <a:t>พื้นที่ (ตารางเมตร)</a:t>
                </a:r>
              </a:p>
            </c:rich>
          </c:tx>
          <c:layout>
            <c:manualLayout>
              <c:xMode val="edge"/>
              <c:yMode val="edge"/>
              <c:x val="0.447432993582484"/>
              <c:y val="0.934826213214382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high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chemeClr val="accent1"/>
                </a:solidFill>
                <a:uFillTx/>
                <a:latin typeface="TH SarabunPSK"/>
              </a:defRPr>
            </a:pPr>
          </a:p>
        </c:txPr>
        <c:crossAx val="98614972"/>
        <c:crosses val="autoZero"/>
        <c:crossBetween val="midCat"/>
        <c:majorUnit val="220000"/>
        <c:minorUnit val="55000"/>
      </c:valAx>
      <c:valAx>
        <c:axId val="98614972"/>
        <c:scaling>
          <c:orientation val="minMax"/>
          <c:max val="490.7"/>
          <c:min val="482.8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TH SarabunPSK"/>
                  </a:rPr>
                  <a:t>ความสูง (เมตร รทก.)</a:t>
                </a:r>
              </a:p>
            </c:rich>
          </c:tx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13483053"/>
        <c:crossesAt val="0"/>
        <c:crossBetween val="midCat"/>
        <c:majorUnit val="0.5"/>
      </c:valAx>
      <c:valAx>
        <c:axId val="45899637"/>
        <c:scaling>
          <c:orientation val="maxMin"/>
          <c:max val="330000"/>
          <c:min val="35000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1"/>
                    </a:solidFill>
                    <a:uFillTx/>
                    <a:latin typeface="TH SarabunPSK"/>
                  </a:rPr>
                  <a:t>ปริมาตร (ลูกบาศก์เมตร)</a:t>
                </a:r>
              </a:p>
            </c:rich>
          </c:tx>
          <c:layout>
            <c:manualLayout>
              <c:xMode val="edge"/>
              <c:yMode val="edge"/>
              <c:x val="0.441015477538694"/>
              <c:y val="0.0693949645241445"/>
            </c:manualLayout>
          </c:layout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#,##0" sourceLinked="0"/>
        <c:majorTickMark val="none"/>
        <c:minorTickMark val="none"/>
        <c:tickLblPos val="low"/>
        <c:spPr>
          <a:ln w="12600">
            <a:solidFill>
              <a:schemeClr val="accent1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accent2"/>
                </a:solidFill>
                <a:uFillTx/>
                <a:latin typeface="TH SarabunPSK"/>
              </a:defRPr>
            </a:pPr>
          </a:p>
        </c:txPr>
        <c:crossAx val="93638587"/>
        <c:crossesAt val="0.5"/>
        <c:crossBetween val="midCat"/>
      </c:valAx>
      <c:valAx>
        <c:axId val="93638587"/>
        <c:scaling>
          <c:orientation val="minMax"/>
          <c:max val="490.7"/>
          <c:min val="482.8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45899637"/>
        <c:crosses val="autoZero"/>
        <c:crossBetween val="midCat"/>
        <c:majorUnit val="0.5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spillway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393.6</c:v>
                </c:pt>
                <c:pt idx="6">
                  <c:v>433.733333333333</c:v>
                </c:pt>
                <c:pt idx="7">
                  <c:v>459.4</c:v>
                </c:pt>
                <c:pt idx="8">
                  <c:v>470.4</c:v>
                </c:pt>
                <c:pt idx="9">
                  <c:v>477.8</c:v>
                </c:pt>
                <c:pt idx="10">
                  <c:v>488.666666666667</c:v>
                </c:pt>
                <c:pt idx="11">
                  <c:v>500.533333333333</c:v>
                </c:pt>
              </c:numCache>
            </c:numRef>
          </c:yVal>
          <c:smooth val="0"/>
        </c:ser>
        <c:axId val="552889"/>
        <c:axId val="17074959"/>
      </c:scatterChart>
      <c:valAx>
        <c:axId val="552889"/>
        <c:scaling>
          <c:orientation val="minMax"/>
          <c:max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17074959"/>
        <c:crosses val="autoZero"/>
        <c:crossBetween val="midCat"/>
        <c:majorUnit val="1"/>
      </c:valAx>
      <c:valAx>
        <c:axId val="1707495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5288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614659"/>
        <c:axId val="84023906"/>
      </c:lineChart>
      <c:catAx>
        <c:axId val="746146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4023906"/>
        <c:crosses val="autoZero"/>
        <c:auto val="1"/>
        <c:lblAlgn val="ctr"/>
        <c:lblOffset val="100"/>
        <c:noMultiLvlLbl val="0"/>
      </c:catAx>
      <c:valAx>
        <c:axId val="8402390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46146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entrance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936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2"/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</c:v>
                </c:pt>
                <c:pt idx="3">
                  <c:v>147.4</c:v>
                </c:pt>
                <c:pt idx="4">
                  <c:v>204.6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283</c:v>
                </c:pt>
              </c:numCache>
            </c:numRef>
          </c:yVal>
          <c:smooth val="0"/>
        </c:ser>
        <c:axId val="91335315"/>
        <c:axId val="89283793"/>
      </c:scatterChart>
      <c:valAx>
        <c:axId val="91335315"/>
        <c:scaling>
          <c:orientation val="minMax"/>
          <c:max val="11"/>
          <c:min val="0"/>
        </c:scaling>
        <c:delete val="0"/>
        <c:axPos val="b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2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89283793"/>
        <c:crosses val="autoZero"/>
        <c:crossBetween val="midCat"/>
        <c:majorUnit val="1"/>
      </c:valAx>
      <c:valAx>
        <c:axId val="89283793"/>
        <c:scaling>
          <c:orientation val="minMax"/>
        </c:scaling>
        <c:delete val="0"/>
        <c:axPos val="l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(</a:t>
                </a:r>
                <a:r>
                  <a:rPr lang="en-US" sz="900" b="0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M</a:t>
                </a:r>
                <a:r>
                  <a:rPr lang="en-US" sz="1000" b="1" u="none" strike="noStrike" baseline="30000">
                    <a:solidFill>
                      <a:schemeClr val="tx2"/>
                    </a:solidFill>
                    <a:uFillTx/>
                    <a:latin typeface="Aptos Narrow"/>
                  </a:rPr>
                  <a:t>3</a:t>
                </a: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chemeClr val="dk2">
                <a:lumMod val="40000"/>
                <a:lumOff val="60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9133531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2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3A3A3A"/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70.2</c:v>
                </c:pt>
                <c:pt idx="3">
                  <c:v>147.6</c:v>
                </c:pt>
                <c:pt idx="4">
                  <c:v>199.8</c:v>
                </c:pt>
                <c:pt idx="5">
                  <c:v>232.2</c:v>
                </c:pt>
                <c:pt idx="6">
                  <c:v>252.6</c:v>
                </c:pt>
                <c:pt idx="7">
                  <c:v>272.4</c:v>
                </c:pt>
                <c:pt idx="8">
                  <c:v>276.6</c:v>
                </c:pt>
                <c:pt idx="9">
                  <c:v>273.6</c:v>
                </c:pt>
                <c:pt idx="10">
                  <c:v>275.4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</c:v>
                </c:pt>
                <c:pt idx="4">
                  <c:v>214.2</c:v>
                </c:pt>
                <c:pt idx="5">
                  <c:v>227.4</c:v>
                </c:pt>
                <c:pt idx="6">
                  <c:v>249</c:v>
                </c:pt>
                <c:pt idx="7">
                  <c:v>276.6</c:v>
                </c:pt>
                <c:pt idx="8">
                  <c:v>279.6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</c:v>
                </c:pt>
                <c:pt idx="3">
                  <c:v>145.8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278.4</c:v>
                </c:pt>
                <c:pt idx="8">
                  <c:v>284.4</c:v>
                </c:pt>
                <c:pt idx="9">
                  <c:v>291</c:v>
                </c:pt>
                <c:pt idx="10">
                  <c:v>291.6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489519"/>
        <c:axId val="63040684"/>
      </c:lineChart>
      <c:catAx>
        <c:axId val="60489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3040684"/>
        <c:crosses val="autoZero"/>
        <c:auto val="1"/>
        <c:lblAlgn val="ctr"/>
        <c:lblOffset val="100"/>
        <c:noMultiLvlLbl val="0"/>
      </c:catAx>
      <c:valAx>
        <c:axId val="6304068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04895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</c:ser>
        <c:gapWidth val="150"/>
        <c:overlap val="0"/>
        <c:axId val="27609532"/>
        <c:axId val="54585097"/>
      </c:barChart>
      <c:lineChart>
        <c:grouping val="standard"/>
        <c:varyColors val="0"/>
        <c:ser>
          <c:idx val="1"/>
          <c:order val="1"/>
          <c:tx>
            <c:strRef>
              <c:f>label 1</c:f>
              <c:strCache>
                <c:ptCount val="1"/>
                <c:pt idx="0">
                  <c:v>water_level (ADJ)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757"/>
                <c:pt idx="0">
                  <c:v>489.33102</c:v>
                </c:pt>
                <c:pt idx="1">
                  <c:v>489.324</c:v>
                </c:pt>
                <c:pt idx="2">
                  <c:v>489.324</c:v>
                </c:pt>
                <c:pt idx="3">
                  <c:v>489.33102</c:v>
                </c:pt>
                <c:pt idx="4">
                  <c:v>489.324</c:v>
                </c:pt>
                <c:pt idx="5">
                  <c:v>489.33102</c:v>
                </c:pt>
                <c:pt idx="6">
                  <c:v>489.325</c:v>
                </c:pt>
                <c:pt idx="7">
                  <c:v>489.325</c:v>
                </c:pt>
                <c:pt idx="8">
                  <c:v>489.324</c:v>
                </c:pt>
                <c:pt idx="9">
                  <c:v>489.33102</c:v>
                </c:pt>
                <c:pt idx="10">
                  <c:v>489.33102</c:v>
                </c:pt>
                <c:pt idx="11">
                  <c:v>489.33102</c:v>
                </c:pt>
                <c:pt idx="12">
                  <c:v>489.33102</c:v>
                </c:pt>
                <c:pt idx="13">
                  <c:v>489.33102</c:v>
                </c:pt>
                <c:pt idx="14">
                  <c:v>489.332</c:v>
                </c:pt>
                <c:pt idx="15">
                  <c:v>489.337</c:v>
                </c:pt>
                <c:pt idx="16">
                  <c:v>489.337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</c:v>
                </c:pt>
                <c:pt idx="59">
                  <c:v>489.35602</c:v>
                </c:pt>
                <c:pt idx="60">
                  <c:v>489.35702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</c:v>
                </c:pt>
                <c:pt idx="90">
                  <c:v>489.362</c:v>
                </c:pt>
                <c:pt idx="91">
                  <c:v>489.362</c:v>
                </c:pt>
                <c:pt idx="92">
                  <c:v>489.362</c:v>
                </c:pt>
                <c:pt idx="93">
                  <c:v>489.362</c:v>
                </c:pt>
                <c:pt idx="94">
                  <c:v>489.362</c:v>
                </c:pt>
                <c:pt idx="95">
                  <c:v>489.362</c:v>
                </c:pt>
                <c:pt idx="96">
                  <c:v>489.362</c:v>
                </c:pt>
                <c:pt idx="97">
                  <c:v>489.356</c:v>
                </c:pt>
                <c:pt idx="98">
                  <c:v>489.363</c:v>
                </c:pt>
                <c:pt idx="99">
                  <c:v>489.356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</c:v>
                </c:pt>
                <c:pt idx="107">
                  <c:v>489.357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</c:v>
                </c:pt>
                <c:pt idx="111">
                  <c:v>489.362</c:v>
                </c:pt>
                <c:pt idx="112">
                  <c:v>489.362</c:v>
                </c:pt>
                <c:pt idx="113">
                  <c:v>489.362</c:v>
                </c:pt>
                <c:pt idx="114">
                  <c:v>489.362</c:v>
                </c:pt>
                <c:pt idx="115">
                  <c:v>489.362</c:v>
                </c:pt>
                <c:pt idx="116">
                  <c:v>489.362</c:v>
                </c:pt>
                <c:pt idx="117">
                  <c:v>489.362</c:v>
                </c:pt>
                <c:pt idx="118">
                  <c:v>489.362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</c:v>
                </c:pt>
                <c:pt idx="124">
                  <c:v>489.362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</c:v>
                </c:pt>
                <c:pt idx="129">
                  <c:v>489.363</c:v>
                </c:pt>
                <c:pt idx="130">
                  <c:v>489.365</c:v>
                </c:pt>
                <c:pt idx="131">
                  <c:v>489.369</c:v>
                </c:pt>
                <c:pt idx="132">
                  <c:v>489.369</c:v>
                </c:pt>
                <c:pt idx="133">
                  <c:v>489.369</c:v>
                </c:pt>
                <c:pt idx="134">
                  <c:v>489.363</c:v>
                </c:pt>
                <c:pt idx="135">
                  <c:v>489.362</c:v>
                </c:pt>
                <c:pt idx="136">
                  <c:v>489.363</c:v>
                </c:pt>
                <c:pt idx="137">
                  <c:v>489.369</c:v>
                </c:pt>
                <c:pt idx="138">
                  <c:v>489.369</c:v>
                </c:pt>
                <c:pt idx="139">
                  <c:v>489.369</c:v>
                </c:pt>
                <c:pt idx="140">
                  <c:v>489.369</c:v>
                </c:pt>
                <c:pt idx="141">
                  <c:v>489.369</c:v>
                </c:pt>
                <c:pt idx="142">
                  <c:v>489.369</c:v>
                </c:pt>
                <c:pt idx="143">
                  <c:v>489.369</c:v>
                </c:pt>
                <c:pt idx="144">
                  <c:v>489.369</c:v>
                </c:pt>
                <c:pt idx="145">
                  <c:v>489.369</c:v>
                </c:pt>
                <c:pt idx="146">
                  <c:v>489.369</c:v>
                </c:pt>
                <c:pt idx="147">
                  <c:v>489.369</c:v>
                </c:pt>
                <c:pt idx="148">
                  <c:v>489.369</c:v>
                </c:pt>
                <c:pt idx="149">
                  <c:v>489.369</c:v>
                </c:pt>
                <c:pt idx="150">
                  <c:v>489.369</c:v>
                </c:pt>
                <c:pt idx="151">
                  <c:v>489.369</c:v>
                </c:pt>
                <c:pt idx="152">
                  <c:v>489.369</c:v>
                </c:pt>
                <c:pt idx="153">
                  <c:v>489.369</c:v>
                </c:pt>
                <c:pt idx="154">
                  <c:v>489.369</c:v>
                </c:pt>
                <c:pt idx="155">
                  <c:v>489.369</c:v>
                </c:pt>
                <c:pt idx="156">
                  <c:v>489.369</c:v>
                </c:pt>
                <c:pt idx="157">
                  <c:v>489.369</c:v>
                </c:pt>
                <c:pt idx="158">
                  <c:v>489.369</c:v>
                </c:pt>
                <c:pt idx="159">
                  <c:v>489.369</c:v>
                </c:pt>
                <c:pt idx="160">
                  <c:v>489.369</c:v>
                </c:pt>
                <c:pt idx="161">
                  <c:v>489.369</c:v>
                </c:pt>
                <c:pt idx="162">
                  <c:v>489.369</c:v>
                </c:pt>
                <c:pt idx="163">
                  <c:v>489.369</c:v>
                </c:pt>
                <c:pt idx="164">
                  <c:v>489.369</c:v>
                </c:pt>
                <c:pt idx="165">
                  <c:v>489.369</c:v>
                </c:pt>
                <c:pt idx="166">
                  <c:v>489.369</c:v>
                </c:pt>
                <c:pt idx="167">
                  <c:v>489.369</c:v>
                </c:pt>
                <c:pt idx="168">
                  <c:v>489.362</c:v>
                </c:pt>
                <c:pt idx="169">
                  <c:v>489.383</c:v>
                </c:pt>
                <c:pt idx="170">
                  <c:v>489.396</c:v>
                </c:pt>
                <c:pt idx="171">
                  <c:v>489.396</c:v>
                </c:pt>
                <c:pt idx="172">
                  <c:v>489.397</c:v>
                </c:pt>
                <c:pt idx="173">
                  <c:v>489.397</c:v>
                </c:pt>
                <c:pt idx="174">
                  <c:v>489.402</c:v>
                </c:pt>
                <c:pt idx="175">
                  <c:v>489.402</c:v>
                </c:pt>
                <c:pt idx="176">
                  <c:v>489.402</c:v>
                </c:pt>
                <c:pt idx="177">
                  <c:v>489.402</c:v>
                </c:pt>
                <c:pt idx="178">
                  <c:v>489.40298</c:v>
                </c:pt>
                <c:pt idx="179">
                  <c:v>489.402</c:v>
                </c:pt>
                <c:pt idx="180">
                  <c:v>489.40298</c:v>
                </c:pt>
                <c:pt idx="181">
                  <c:v>489.402</c:v>
                </c:pt>
                <c:pt idx="182">
                  <c:v>489.402</c:v>
                </c:pt>
                <c:pt idx="183">
                  <c:v>489.402</c:v>
                </c:pt>
                <c:pt idx="184">
                  <c:v>489.396</c:v>
                </c:pt>
                <c:pt idx="185">
                  <c:v>489.401</c:v>
                </c:pt>
                <c:pt idx="186">
                  <c:v>489.401</c:v>
                </c:pt>
                <c:pt idx="187">
                  <c:v>489.401</c:v>
                </c:pt>
                <c:pt idx="188">
                  <c:v>489.401</c:v>
                </c:pt>
                <c:pt idx="189">
                  <c:v>489.401</c:v>
                </c:pt>
                <c:pt idx="190">
                  <c:v>489.401</c:v>
                </c:pt>
                <c:pt idx="191">
                  <c:v>489.402</c:v>
                </c:pt>
                <c:pt idx="192">
                  <c:v>489.401</c:v>
                </c:pt>
                <c:pt idx="193">
                  <c:v>489.402</c:v>
                </c:pt>
                <c:pt idx="194">
                  <c:v>489.402</c:v>
                </c:pt>
                <c:pt idx="195">
                  <c:v>489.402</c:v>
                </c:pt>
                <c:pt idx="196">
                  <c:v>489.402</c:v>
                </c:pt>
                <c:pt idx="197">
                  <c:v>489.402</c:v>
                </c:pt>
                <c:pt idx="198">
                  <c:v>489.402</c:v>
                </c:pt>
                <c:pt idx="199">
                  <c:v>489.402</c:v>
                </c:pt>
                <c:pt idx="200">
                  <c:v>489.402</c:v>
                </c:pt>
                <c:pt idx="201">
                  <c:v>489.397</c:v>
                </c:pt>
                <c:pt idx="202">
                  <c:v>489.402</c:v>
                </c:pt>
                <c:pt idx="203">
                  <c:v>489.402</c:v>
                </c:pt>
                <c:pt idx="204">
                  <c:v>489.402</c:v>
                </c:pt>
                <c:pt idx="205">
                  <c:v>489.402</c:v>
                </c:pt>
                <c:pt idx="206">
                  <c:v>489.401</c:v>
                </c:pt>
                <c:pt idx="207">
                  <c:v>489.401</c:v>
                </c:pt>
                <c:pt idx="208">
                  <c:v>489.395</c:v>
                </c:pt>
                <c:pt idx="209">
                  <c:v>489.396</c:v>
                </c:pt>
                <c:pt idx="210">
                  <c:v>489.401</c:v>
                </c:pt>
                <c:pt idx="211">
                  <c:v>489.401</c:v>
                </c:pt>
                <c:pt idx="212">
                  <c:v>489.395</c:v>
                </c:pt>
                <c:pt idx="213">
                  <c:v>489.401</c:v>
                </c:pt>
                <c:pt idx="214">
                  <c:v>489.395</c:v>
                </c:pt>
                <c:pt idx="215">
                  <c:v>489.402</c:v>
                </c:pt>
                <c:pt idx="216">
                  <c:v>489.402</c:v>
                </c:pt>
                <c:pt idx="217">
                  <c:v>489.408</c:v>
                </c:pt>
                <c:pt idx="218">
                  <c:v>489.409</c:v>
                </c:pt>
                <c:pt idx="219">
                  <c:v>489.409</c:v>
                </c:pt>
                <c:pt idx="220">
                  <c:v>489.409</c:v>
                </c:pt>
                <c:pt idx="221">
                  <c:v>489.415</c:v>
                </c:pt>
                <c:pt idx="222">
                  <c:v>489.415</c:v>
                </c:pt>
                <c:pt idx="223">
                  <c:v>489.41598</c:v>
                </c:pt>
                <c:pt idx="224">
                  <c:v>489.422</c:v>
                </c:pt>
                <c:pt idx="225">
                  <c:v>489.415</c:v>
                </c:pt>
                <c:pt idx="226">
                  <c:v>489.422</c:v>
                </c:pt>
                <c:pt idx="227">
                  <c:v>489.415</c:v>
                </c:pt>
                <c:pt idx="228">
                  <c:v>489.422</c:v>
                </c:pt>
                <c:pt idx="229">
                  <c:v>489.422</c:v>
                </c:pt>
                <c:pt idx="230">
                  <c:v>489.422</c:v>
                </c:pt>
                <c:pt idx="231">
                  <c:v>489.422</c:v>
                </c:pt>
                <c:pt idx="232">
                  <c:v>489.422</c:v>
                </c:pt>
                <c:pt idx="233">
                  <c:v>489.421</c:v>
                </c:pt>
                <c:pt idx="234">
                  <c:v>489.421</c:v>
                </c:pt>
                <c:pt idx="235">
                  <c:v>489.421</c:v>
                </c:pt>
                <c:pt idx="236">
                  <c:v>489.421</c:v>
                </c:pt>
                <c:pt idx="237">
                  <c:v>489.421</c:v>
                </c:pt>
                <c:pt idx="238">
                  <c:v>489.421</c:v>
                </c:pt>
                <c:pt idx="239">
                  <c:v>489.421</c:v>
                </c:pt>
                <c:pt idx="240">
                  <c:v>489.421</c:v>
                </c:pt>
                <c:pt idx="241">
                  <c:v>489.421</c:v>
                </c:pt>
                <c:pt idx="242">
                  <c:v>489.415</c:v>
                </c:pt>
                <c:pt idx="243">
                  <c:v>489.421</c:v>
                </c:pt>
                <c:pt idx="244">
                  <c:v>489.421</c:v>
                </c:pt>
                <c:pt idx="245">
                  <c:v>489.422</c:v>
                </c:pt>
                <c:pt idx="246">
                  <c:v>489.422</c:v>
                </c:pt>
                <c:pt idx="247">
                  <c:v>489.421</c:v>
                </c:pt>
                <c:pt idx="248">
                  <c:v>489.422</c:v>
                </c:pt>
                <c:pt idx="249">
                  <c:v>489.422</c:v>
                </c:pt>
                <c:pt idx="250">
                  <c:v>489.422</c:v>
                </c:pt>
                <c:pt idx="251">
                  <c:v>489.422</c:v>
                </c:pt>
                <c:pt idx="252">
                  <c:v>489.422</c:v>
                </c:pt>
                <c:pt idx="253">
                  <c:v>489.422</c:v>
                </c:pt>
                <c:pt idx="254">
                  <c:v>489.422</c:v>
                </c:pt>
                <c:pt idx="255">
                  <c:v>489.421</c:v>
                </c:pt>
                <c:pt idx="256">
                  <c:v>489.421</c:v>
                </c:pt>
                <c:pt idx="257">
                  <c:v>489.422</c:v>
                </c:pt>
                <c:pt idx="258">
                  <c:v>489.415</c:v>
                </c:pt>
                <c:pt idx="259">
                  <c:v>489.421</c:v>
                </c:pt>
                <c:pt idx="260">
                  <c:v>489.421</c:v>
                </c:pt>
                <c:pt idx="261">
                  <c:v>489.421</c:v>
                </c:pt>
                <c:pt idx="262">
                  <c:v>489.421</c:v>
                </c:pt>
                <c:pt idx="263">
                  <c:v>489.421</c:v>
                </c:pt>
                <c:pt idx="264">
                  <c:v>489.422</c:v>
                </c:pt>
                <c:pt idx="265">
                  <c:v>489.422</c:v>
                </c:pt>
                <c:pt idx="266">
                  <c:v>489.422</c:v>
                </c:pt>
                <c:pt idx="267">
                  <c:v>489.415</c:v>
                </c:pt>
                <c:pt idx="268">
                  <c:v>489.422</c:v>
                </c:pt>
                <c:pt idx="269">
                  <c:v>489.415</c:v>
                </c:pt>
                <c:pt idx="270">
                  <c:v>489.422</c:v>
                </c:pt>
                <c:pt idx="271">
                  <c:v>489.422</c:v>
                </c:pt>
                <c:pt idx="272">
                  <c:v>489.415</c:v>
                </c:pt>
                <c:pt idx="273">
                  <c:v>489.415</c:v>
                </c:pt>
                <c:pt idx="274">
                  <c:v>489.415</c:v>
                </c:pt>
                <c:pt idx="275">
                  <c:v>489.422</c:v>
                </c:pt>
                <c:pt idx="276">
                  <c:v>489.422</c:v>
                </c:pt>
                <c:pt idx="277">
                  <c:v>489.422</c:v>
                </c:pt>
                <c:pt idx="278">
                  <c:v>489.415</c:v>
                </c:pt>
                <c:pt idx="279">
                  <c:v>489.415</c:v>
                </c:pt>
                <c:pt idx="280">
                  <c:v>489.415</c:v>
                </c:pt>
                <c:pt idx="281">
                  <c:v>489.421</c:v>
                </c:pt>
                <c:pt idx="282">
                  <c:v>489.421</c:v>
                </c:pt>
                <c:pt idx="283">
                  <c:v>489.415</c:v>
                </c:pt>
                <c:pt idx="284">
                  <c:v>489.415</c:v>
                </c:pt>
                <c:pt idx="285">
                  <c:v>489.415</c:v>
                </c:pt>
                <c:pt idx="286">
                  <c:v>489.421</c:v>
                </c:pt>
                <c:pt idx="287">
                  <c:v>489.421</c:v>
                </c:pt>
                <c:pt idx="288">
                  <c:v>489.415</c:v>
                </c:pt>
                <c:pt idx="289">
                  <c:v>489.421</c:v>
                </c:pt>
                <c:pt idx="290">
                  <c:v>489.415</c:v>
                </c:pt>
                <c:pt idx="291">
                  <c:v>489.422</c:v>
                </c:pt>
                <c:pt idx="292">
                  <c:v>489.415</c:v>
                </c:pt>
                <c:pt idx="293">
                  <c:v>489.422</c:v>
                </c:pt>
                <c:pt idx="294">
                  <c:v>489.415</c:v>
                </c:pt>
                <c:pt idx="295">
                  <c:v>489.415</c:v>
                </c:pt>
                <c:pt idx="296">
                  <c:v>489.415</c:v>
                </c:pt>
                <c:pt idx="297">
                  <c:v>489.415</c:v>
                </c:pt>
                <c:pt idx="298">
                  <c:v>489.415</c:v>
                </c:pt>
                <c:pt idx="299">
                  <c:v>489.415</c:v>
                </c:pt>
                <c:pt idx="300">
                  <c:v>489.415</c:v>
                </c:pt>
                <c:pt idx="301">
                  <c:v>489.415</c:v>
                </c:pt>
                <c:pt idx="302">
                  <c:v>489.415</c:v>
                </c:pt>
                <c:pt idx="303">
                  <c:v>489.421</c:v>
                </c:pt>
                <c:pt idx="304">
                  <c:v>489.415</c:v>
                </c:pt>
                <c:pt idx="305">
                  <c:v>489.415</c:v>
                </c:pt>
                <c:pt idx="306">
                  <c:v>489.415</c:v>
                </c:pt>
                <c:pt idx="307">
                  <c:v>489.415</c:v>
                </c:pt>
                <c:pt idx="308">
                  <c:v>489.415</c:v>
                </c:pt>
                <c:pt idx="309">
                  <c:v>489.415</c:v>
                </c:pt>
                <c:pt idx="310">
                  <c:v>489.415</c:v>
                </c:pt>
                <c:pt idx="311">
                  <c:v>489.415</c:v>
                </c:pt>
                <c:pt idx="312">
                  <c:v>489.408</c:v>
                </c:pt>
                <c:pt idx="313">
                  <c:v>489.408</c:v>
                </c:pt>
                <c:pt idx="314">
                  <c:v>489.408</c:v>
                </c:pt>
                <c:pt idx="315">
                  <c:v>489.409</c:v>
                </c:pt>
                <c:pt idx="316">
                  <c:v>489.415</c:v>
                </c:pt>
                <c:pt idx="317">
                  <c:v>489.415</c:v>
                </c:pt>
                <c:pt idx="318">
                  <c:v>489.409</c:v>
                </c:pt>
                <c:pt idx="319">
                  <c:v>489.409</c:v>
                </c:pt>
                <c:pt idx="320">
                  <c:v>489.409</c:v>
                </c:pt>
                <c:pt idx="321">
                  <c:v>489.409</c:v>
                </c:pt>
                <c:pt idx="322">
                  <c:v>489.409</c:v>
                </c:pt>
                <c:pt idx="323">
                  <c:v>489.402</c:v>
                </c:pt>
                <c:pt idx="324">
                  <c:v>489.409</c:v>
                </c:pt>
                <c:pt idx="325">
                  <c:v>489.409</c:v>
                </c:pt>
                <c:pt idx="326">
                  <c:v>489.402</c:v>
                </c:pt>
                <c:pt idx="327">
                  <c:v>489.402</c:v>
                </c:pt>
                <c:pt idx="328">
                  <c:v>489.402</c:v>
                </c:pt>
                <c:pt idx="329">
                  <c:v>489.402</c:v>
                </c:pt>
                <c:pt idx="330">
                  <c:v>489.401</c:v>
                </c:pt>
                <c:pt idx="331">
                  <c:v>489.401</c:v>
                </c:pt>
                <c:pt idx="332">
                  <c:v>489.396</c:v>
                </c:pt>
                <c:pt idx="333">
                  <c:v>489.396</c:v>
                </c:pt>
                <c:pt idx="334">
                  <c:v>489.401</c:v>
                </c:pt>
                <c:pt idx="335">
                  <c:v>489.396</c:v>
                </c:pt>
                <c:pt idx="336">
                  <c:v>489.396</c:v>
                </c:pt>
                <c:pt idx="337">
                  <c:v>489.396</c:v>
                </c:pt>
                <c:pt idx="338">
                  <c:v>489.396</c:v>
                </c:pt>
                <c:pt idx="339">
                  <c:v>489.392</c:v>
                </c:pt>
                <c:pt idx="340">
                  <c:v>489.389</c:v>
                </c:pt>
                <c:pt idx="341">
                  <c:v>489.389</c:v>
                </c:pt>
                <c:pt idx="342">
                  <c:v>489.389</c:v>
                </c:pt>
                <c:pt idx="343">
                  <c:v>489.389</c:v>
                </c:pt>
                <c:pt idx="344">
                  <c:v>489.389</c:v>
                </c:pt>
                <c:pt idx="345">
                  <c:v>489.389</c:v>
                </c:pt>
                <c:pt idx="346">
                  <c:v>489.389</c:v>
                </c:pt>
                <c:pt idx="347">
                  <c:v>489.389</c:v>
                </c:pt>
                <c:pt idx="348">
                  <c:v>489.389</c:v>
                </c:pt>
                <c:pt idx="349">
                  <c:v>489.389</c:v>
                </c:pt>
                <c:pt idx="350">
                  <c:v>489.383</c:v>
                </c:pt>
                <c:pt idx="351">
                  <c:v>489.382</c:v>
                </c:pt>
                <c:pt idx="352">
                  <c:v>489.382</c:v>
                </c:pt>
                <c:pt idx="353">
                  <c:v>489.382</c:v>
                </c:pt>
                <c:pt idx="354">
                  <c:v>489.382</c:v>
                </c:pt>
                <c:pt idx="355">
                  <c:v>489.382</c:v>
                </c:pt>
                <c:pt idx="356">
                  <c:v>489.382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</c:v>
                </c:pt>
                <c:pt idx="367">
                  <c:v>489.375</c:v>
                </c:pt>
                <c:pt idx="368">
                  <c:v>489.376</c:v>
                </c:pt>
                <c:pt idx="369">
                  <c:v>489.375</c:v>
                </c:pt>
                <c:pt idx="370">
                  <c:v>489.376</c:v>
                </c:pt>
                <c:pt idx="371">
                  <c:v>489.376</c:v>
                </c:pt>
                <c:pt idx="372">
                  <c:v>489.369</c:v>
                </c:pt>
                <c:pt idx="373">
                  <c:v>489.376</c:v>
                </c:pt>
                <c:pt idx="374">
                  <c:v>489.389</c:v>
                </c:pt>
                <c:pt idx="375">
                  <c:v>489.389</c:v>
                </c:pt>
                <c:pt idx="376">
                  <c:v>489.396</c:v>
                </c:pt>
                <c:pt idx="377">
                  <c:v>489.396</c:v>
                </c:pt>
                <c:pt idx="378">
                  <c:v>489.401</c:v>
                </c:pt>
                <c:pt idx="379">
                  <c:v>489.402</c:v>
                </c:pt>
                <c:pt idx="380">
                  <c:v>489.401</c:v>
                </c:pt>
                <c:pt idx="381">
                  <c:v>489.409</c:v>
                </c:pt>
                <c:pt idx="382">
                  <c:v>489.415</c:v>
                </c:pt>
                <c:pt idx="383">
                  <c:v>489.415</c:v>
                </c:pt>
                <c:pt idx="384">
                  <c:v>489.415</c:v>
                </c:pt>
                <c:pt idx="385">
                  <c:v>489.415</c:v>
                </c:pt>
                <c:pt idx="386">
                  <c:v>489.422</c:v>
                </c:pt>
                <c:pt idx="387">
                  <c:v>489.422</c:v>
                </c:pt>
                <c:pt idx="388">
                  <c:v>489.422</c:v>
                </c:pt>
                <c:pt idx="389">
                  <c:v>489.421</c:v>
                </c:pt>
                <c:pt idx="390">
                  <c:v>489.422</c:v>
                </c:pt>
                <c:pt idx="391">
                  <c:v>489.428</c:v>
                </c:pt>
                <c:pt idx="392">
                  <c:v>489.434</c:v>
                </c:pt>
                <c:pt idx="393">
                  <c:v>489.42898</c:v>
                </c:pt>
                <c:pt idx="394">
                  <c:v>489.434</c:v>
                </c:pt>
                <c:pt idx="395">
                  <c:v>489.434</c:v>
                </c:pt>
                <c:pt idx="396">
                  <c:v>489.434</c:v>
                </c:pt>
                <c:pt idx="397">
                  <c:v>489.434</c:v>
                </c:pt>
                <c:pt idx="398">
                  <c:v>489.434</c:v>
                </c:pt>
                <c:pt idx="399">
                  <c:v>489.43298</c:v>
                </c:pt>
                <c:pt idx="400">
                  <c:v>489.43298</c:v>
                </c:pt>
                <c:pt idx="401">
                  <c:v>489.43298</c:v>
                </c:pt>
                <c:pt idx="402">
                  <c:v>489.43298</c:v>
                </c:pt>
                <c:pt idx="403">
                  <c:v>489.43298</c:v>
                </c:pt>
                <c:pt idx="404">
                  <c:v>489.43298</c:v>
                </c:pt>
                <c:pt idx="405">
                  <c:v>489.43298</c:v>
                </c:pt>
                <c:pt idx="406">
                  <c:v>489.43298</c:v>
                </c:pt>
                <c:pt idx="407">
                  <c:v>489.43298</c:v>
                </c:pt>
                <c:pt idx="408">
                  <c:v>489.43298</c:v>
                </c:pt>
                <c:pt idx="409">
                  <c:v>489.43298</c:v>
                </c:pt>
                <c:pt idx="410">
                  <c:v>489.43298</c:v>
                </c:pt>
                <c:pt idx="411">
                  <c:v>489.42898</c:v>
                </c:pt>
                <c:pt idx="412">
                  <c:v>489.43298</c:v>
                </c:pt>
                <c:pt idx="413">
                  <c:v>489.428</c:v>
                </c:pt>
                <c:pt idx="414">
                  <c:v>489.428</c:v>
                </c:pt>
                <c:pt idx="415">
                  <c:v>489.428</c:v>
                </c:pt>
                <c:pt idx="416">
                  <c:v>489.428</c:v>
                </c:pt>
                <c:pt idx="417">
                  <c:v>489.428</c:v>
                </c:pt>
                <c:pt idx="418">
                  <c:v>489.428</c:v>
                </c:pt>
                <c:pt idx="419">
                  <c:v>489.428</c:v>
                </c:pt>
                <c:pt idx="420">
                  <c:v>489.42898</c:v>
                </c:pt>
                <c:pt idx="421">
                  <c:v>489.428</c:v>
                </c:pt>
                <c:pt idx="422">
                  <c:v>489.427</c:v>
                </c:pt>
                <c:pt idx="423">
                  <c:v>489.428</c:v>
                </c:pt>
                <c:pt idx="424">
                  <c:v>489.427</c:v>
                </c:pt>
                <c:pt idx="425">
                  <c:v>489.427</c:v>
                </c:pt>
                <c:pt idx="426">
                  <c:v>489.428</c:v>
                </c:pt>
                <c:pt idx="427">
                  <c:v>489.427</c:v>
                </c:pt>
                <c:pt idx="428">
                  <c:v>489.427</c:v>
                </c:pt>
                <c:pt idx="429">
                  <c:v>489.427</c:v>
                </c:pt>
                <c:pt idx="430">
                  <c:v>489.428</c:v>
                </c:pt>
                <c:pt idx="431">
                  <c:v>489.421</c:v>
                </c:pt>
                <c:pt idx="432">
                  <c:v>489.421</c:v>
                </c:pt>
                <c:pt idx="433">
                  <c:v>489.422</c:v>
                </c:pt>
                <c:pt idx="434">
                  <c:v>489.422</c:v>
                </c:pt>
                <c:pt idx="435">
                  <c:v>489.422</c:v>
                </c:pt>
                <c:pt idx="436">
                  <c:v>489.422</c:v>
                </c:pt>
                <c:pt idx="437">
                  <c:v>489.422</c:v>
                </c:pt>
                <c:pt idx="438">
                  <c:v>489.422</c:v>
                </c:pt>
                <c:pt idx="439">
                  <c:v>489.422</c:v>
                </c:pt>
                <c:pt idx="440">
                  <c:v>489.422</c:v>
                </c:pt>
                <c:pt idx="441">
                  <c:v>489.422</c:v>
                </c:pt>
                <c:pt idx="442">
                  <c:v>489.422</c:v>
                </c:pt>
                <c:pt idx="443">
                  <c:v>489.415</c:v>
                </c:pt>
                <c:pt idx="444">
                  <c:v>489.415</c:v>
                </c:pt>
                <c:pt idx="445">
                  <c:v>489.415</c:v>
                </c:pt>
                <c:pt idx="446">
                  <c:v>489.415</c:v>
                </c:pt>
                <c:pt idx="447">
                  <c:v>489.415</c:v>
                </c:pt>
                <c:pt idx="448">
                  <c:v>489.415</c:v>
                </c:pt>
                <c:pt idx="449">
                  <c:v>489.415</c:v>
                </c:pt>
                <c:pt idx="450">
                  <c:v>489.415</c:v>
                </c:pt>
                <c:pt idx="451">
                  <c:v>489.415</c:v>
                </c:pt>
                <c:pt idx="452">
                  <c:v>489.415</c:v>
                </c:pt>
                <c:pt idx="453">
                  <c:v>489.408</c:v>
                </c:pt>
                <c:pt idx="454">
                  <c:v>489.402</c:v>
                </c:pt>
                <c:pt idx="455">
                  <c:v>489.409</c:v>
                </c:pt>
                <c:pt idx="456">
                  <c:v>489.409</c:v>
                </c:pt>
                <c:pt idx="457">
                  <c:v>489.409</c:v>
                </c:pt>
                <c:pt idx="458">
                  <c:v>489.408</c:v>
                </c:pt>
                <c:pt idx="459">
                  <c:v>489.409</c:v>
                </c:pt>
                <c:pt idx="460">
                  <c:v>489.447</c:v>
                </c:pt>
                <c:pt idx="461">
                  <c:v>489.48498</c:v>
                </c:pt>
                <c:pt idx="462">
                  <c:v>489.595</c:v>
                </c:pt>
                <c:pt idx="463">
                  <c:v>489.66598</c:v>
                </c:pt>
                <c:pt idx="464">
                  <c:v>489.691</c:v>
                </c:pt>
                <c:pt idx="465">
                  <c:v>489.698</c:v>
                </c:pt>
                <c:pt idx="466">
                  <c:v>489.705</c:v>
                </c:pt>
                <c:pt idx="467">
                  <c:v>489.705</c:v>
                </c:pt>
                <c:pt idx="468">
                  <c:v>489.705</c:v>
                </c:pt>
                <c:pt idx="469">
                  <c:v>489.698</c:v>
                </c:pt>
                <c:pt idx="470">
                  <c:v>489.698</c:v>
                </c:pt>
                <c:pt idx="471">
                  <c:v>489.691</c:v>
                </c:pt>
                <c:pt idx="472">
                  <c:v>489.691</c:v>
                </c:pt>
                <c:pt idx="473">
                  <c:v>489.687</c:v>
                </c:pt>
                <c:pt idx="474">
                  <c:v>489.684</c:v>
                </c:pt>
                <c:pt idx="475">
                  <c:v>489.678</c:v>
                </c:pt>
                <c:pt idx="476">
                  <c:v>489.671</c:v>
                </c:pt>
                <c:pt idx="477">
                  <c:v>489.665</c:v>
                </c:pt>
                <c:pt idx="478">
                  <c:v>489.665</c:v>
                </c:pt>
                <c:pt idx="479">
                  <c:v>489.658</c:v>
                </c:pt>
                <c:pt idx="480">
                  <c:v>489.652</c:v>
                </c:pt>
                <c:pt idx="481">
                  <c:v>489.646</c:v>
                </c:pt>
                <c:pt idx="482">
                  <c:v>489.646</c:v>
                </c:pt>
                <c:pt idx="483">
                  <c:v>489.646</c:v>
                </c:pt>
                <c:pt idx="484">
                  <c:v>489.639</c:v>
                </c:pt>
                <c:pt idx="485">
                  <c:v>489.634</c:v>
                </c:pt>
                <c:pt idx="486">
                  <c:v>489.628</c:v>
                </c:pt>
                <c:pt idx="487">
                  <c:v>489.628</c:v>
                </c:pt>
                <c:pt idx="488">
                  <c:v>489.621</c:v>
                </c:pt>
                <c:pt idx="489">
                  <c:v>489.621</c:v>
                </c:pt>
                <c:pt idx="490">
                  <c:v>489.614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</c:v>
                </c:pt>
                <c:pt idx="495">
                  <c:v>489.602</c:v>
                </c:pt>
                <c:pt idx="496">
                  <c:v>489.595</c:v>
                </c:pt>
                <c:pt idx="497">
                  <c:v>489.595</c:v>
                </c:pt>
                <c:pt idx="498">
                  <c:v>489.595</c:v>
                </c:pt>
                <c:pt idx="499">
                  <c:v>489.588</c:v>
                </c:pt>
                <c:pt idx="500">
                  <c:v>489.588</c:v>
                </c:pt>
                <c:pt idx="501">
                  <c:v>489.581</c:v>
                </c:pt>
                <c:pt idx="502">
                  <c:v>489.581</c:v>
                </c:pt>
                <c:pt idx="503">
                  <c:v>489.575</c:v>
                </c:pt>
                <c:pt idx="504">
                  <c:v>489.575</c:v>
                </c:pt>
                <c:pt idx="505">
                  <c:v>489.575</c:v>
                </c:pt>
                <c:pt idx="506">
                  <c:v>489.568</c:v>
                </c:pt>
                <c:pt idx="507">
                  <c:v>489.562</c:v>
                </c:pt>
                <c:pt idx="508">
                  <c:v>489.562</c:v>
                </c:pt>
                <c:pt idx="509">
                  <c:v>489.556</c:v>
                </c:pt>
                <c:pt idx="510">
                  <c:v>489.556</c:v>
                </c:pt>
                <c:pt idx="511">
                  <c:v>489.556</c:v>
                </c:pt>
                <c:pt idx="512">
                  <c:v>489.556</c:v>
                </c:pt>
                <c:pt idx="513">
                  <c:v>489.556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</c:v>
                </c:pt>
                <c:pt idx="517">
                  <c:v>489.543</c:v>
                </c:pt>
                <c:pt idx="518">
                  <c:v>489.536</c:v>
                </c:pt>
                <c:pt idx="519">
                  <c:v>489.537</c:v>
                </c:pt>
                <c:pt idx="520">
                  <c:v>489.537</c:v>
                </c:pt>
                <c:pt idx="521">
                  <c:v>489.536</c:v>
                </c:pt>
                <c:pt idx="522">
                  <c:v>489.53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</c:v>
                </c:pt>
                <c:pt idx="527">
                  <c:v>489.525</c:v>
                </c:pt>
                <c:pt idx="528">
                  <c:v>489.518</c:v>
                </c:pt>
                <c:pt idx="529">
                  <c:v>489.511</c:v>
                </c:pt>
                <c:pt idx="530">
                  <c:v>489.511</c:v>
                </c:pt>
                <c:pt idx="531">
                  <c:v>489.511</c:v>
                </c:pt>
                <c:pt idx="532">
                  <c:v>489.511</c:v>
                </c:pt>
                <c:pt idx="533">
                  <c:v>489.505</c:v>
                </c:pt>
                <c:pt idx="534">
                  <c:v>489.505</c:v>
                </c:pt>
                <c:pt idx="535">
                  <c:v>489.505</c:v>
                </c:pt>
                <c:pt idx="536">
                  <c:v>489.505</c:v>
                </c:pt>
                <c:pt idx="537">
                  <c:v>489.499</c:v>
                </c:pt>
                <c:pt idx="538">
                  <c:v>489.499</c:v>
                </c:pt>
                <c:pt idx="539">
                  <c:v>489.499</c:v>
                </c:pt>
                <c:pt idx="540">
                  <c:v>489.492</c:v>
                </c:pt>
                <c:pt idx="541">
                  <c:v>489.493</c:v>
                </c:pt>
                <c:pt idx="542">
                  <c:v>489.492</c:v>
                </c:pt>
                <c:pt idx="543">
                  <c:v>489.48498</c:v>
                </c:pt>
                <c:pt idx="544">
                  <c:v>489.48498</c:v>
                </c:pt>
                <c:pt idx="545">
                  <c:v>489.484</c:v>
                </c:pt>
                <c:pt idx="546">
                  <c:v>489.48498</c:v>
                </c:pt>
                <c:pt idx="547">
                  <c:v>489.48498</c:v>
                </c:pt>
                <c:pt idx="548">
                  <c:v>489.48498</c:v>
                </c:pt>
                <c:pt idx="549">
                  <c:v>489.48498</c:v>
                </c:pt>
                <c:pt idx="550">
                  <c:v>489.48498</c:v>
                </c:pt>
                <c:pt idx="551">
                  <c:v>489.478</c:v>
                </c:pt>
                <c:pt idx="552">
                  <c:v>489.479</c:v>
                </c:pt>
                <c:pt idx="553">
                  <c:v>489.47198</c:v>
                </c:pt>
                <c:pt idx="554">
                  <c:v>489.47198</c:v>
                </c:pt>
                <c:pt idx="555">
                  <c:v>489.47198</c:v>
                </c:pt>
                <c:pt idx="556">
                  <c:v>489.465</c:v>
                </c:pt>
                <c:pt idx="557">
                  <c:v>489.465</c:v>
                </c:pt>
                <c:pt idx="558">
                  <c:v>489.465</c:v>
                </c:pt>
                <c:pt idx="559">
                  <c:v>489.465</c:v>
                </c:pt>
                <c:pt idx="560">
                  <c:v>489.465</c:v>
                </c:pt>
                <c:pt idx="561">
                  <c:v>489.465</c:v>
                </c:pt>
                <c:pt idx="562">
                  <c:v>489.46</c:v>
                </c:pt>
                <c:pt idx="563">
                  <c:v>489.46</c:v>
                </c:pt>
                <c:pt idx="564">
                  <c:v>489.453</c:v>
                </c:pt>
                <c:pt idx="565">
                  <c:v>489.453</c:v>
                </c:pt>
                <c:pt idx="566">
                  <c:v>489.453</c:v>
                </c:pt>
                <c:pt idx="567">
                  <c:v>489.46</c:v>
                </c:pt>
                <c:pt idx="568">
                  <c:v>489.466</c:v>
                </c:pt>
                <c:pt idx="569">
                  <c:v>489.465</c:v>
                </c:pt>
                <c:pt idx="570">
                  <c:v>489.47198</c:v>
                </c:pt>
                <c:pt idx="571">
                  <c:v>489.471</c:v>
                </c:pt>
                <c:pt idx="572">
                  <c:v>489.47198</c:v>
                </c:pt>
                <c:pt idx="573">
                  <c:v>489.471</c:v>
                </c:pt>
                <c:pt idx="574">
                  <c:v>489.47198</c:v>
                </c:pt>
                <c:pt idx="575">
                  <c:v>489.47198</c:v>
                </c:pt>
                <c:pt idx="576">
                  <c:v>489.47198</c:v>
                </c:pt>
                <c:pt idx="577">
                  <c:v>489.465</c:v>
                </c:pt>
                <c:pt idx="578">
                  <c:v>489.465</c:v>
                </c:pt>
                <c:pt idx="579">
                  <c:v>489.46</c:v>
                </c:pt>
                <c:pt idx="580">
                  <c:v>489.46</c:v>
                </c:pt>
                <c:pt idx="581">
                  <c:v>489.45898</c:v>
                </c:pt>
                <c:pt idx="582">
                  <c:v>489.46</c:v>
                </c:pt>
                <c:pt idx="583">
                  <c:v>489.46</c:v>
                </c:pt>
                <c:pt idx="584">
                  <c:v>489.46</c:v>
                </c:pt>
                <c:pt idx="585">
                  <c:v>489.46</c:v>
                </c:pt>
                <c:pt idx="586">
                  <c:v>489.46</c:v>
                </c:pt>
                <c:pt idx="587">
                  <c:v>489.453</c:v>
                </c:pt>
                <c:pt idx="588">
                  <c:v>489.453</c:v>
                </c:pt>
                <c:pt idx="589">
                  <c:v>489.453</c:v>
                </c:pt>
                <c:pt idx="590">
                  <c:v>489.453</c:v>
                </c:pt>
                <c:pt idx="591">
                  <c:v>489.453</c:v>
                </c:pt>
                <c:pt idx="592">
                  <c:v>489.452</c:v>
                </c:pt>
                <c:pt idx="593">
                  <c:v>489.452</c:v>
                </c:pt>
                <c:pt idx="594">
                  <c:v>489.452</c:v>
                </c:pt>
                <c:pt idx="595">
                  <c:v>489.452</c:v>
                </c:pt>
                <c:pt idx="596">
                  <c:v>489.452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</c:v>
                </c:pt>
                <c:pt idx="603">
                  <c:v>489.447</c:v>
                </c:pt>
                <c:pt idx="604">
                  <c:v>489.44</c:v>
                </c:pt>
                <c:pt idx="605">
                  <c:v>489.44</c:v>
                </c:pt>
                <c:pt idx="606">
                  <c:v>489.44</c:v>
                </c:pt>
                <c:pt idx="607">
                  <c:v>489.43298</c:v>
                </c:pt>
                <c:pt idx="608">
                  <c:v>489.44</c:v>
                </c:pt>
                <c:pt idx="609">
                  <c:v>489.434</c:v>
                </c:pt>
                <c:pt idx="610">
                  <c:v>489.434</c:v>
                </c:pt>
                <c:pt idx="611">
                  <c:v>489.43298</c:v>
                </c:pt>
                <c:pt idx="612">
                  <c:v>489.434</c:v>
                </c:pt>
                <c:pt idx="613">
                  <c:v>489.434</c:v>
                </c:pt>
                <c:pt idx="614">
                  <c:v>489.428</c:v>
                </c:pt>
                <c:pt idx="615">
                  <c:v>489.428</c:v>
                </c:pt>
                <c:pt idx="616">
                  <c:v>489.428</c:v>
                </c:pt>
                <c:pt idx="617">
                  <c:v>489.428</c:v>
                </c:pt>
                <c:pt idx="618">
                  <c:v>489.428</c:v>
                </c:pt>
                <c:pt idx="619">
                  <c:v>489.428</c:v>
                </c:pt>
                <c:pt idx="620">
                  <c:v>489.43298</c:v>
                </c:pt>
                <c:pt idx="621">
                  <c:v>489.434</c:v>
                </c:pt>
                <c:pt idx="622">
                  <c:v>489.434</c:v>
                </c:pt>
                <c:pt idx="623">
                  <c:v>489.434</c:v>
                </c:pt>
                <c:pt idx="624">
                  <c:v>489.44</c:v>
                </c:pt>
                <c:pt idx="625">
                  <c:v>489.44</c:v>
                </c:pt>
                <c:pt idx="626">
                  <c:v>489.434</c:v>
                </c:pt>
                <c:pt idx="627">
                  <c:v>489.441</c:v>
                </c:pt>
                <c:pt idx="628">
                  <c:v>489.441</c:v>
                </c:pt>
                <c:pt idx="629">
                  <c:v>489.441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</c:v>
                </c:pt>
                <c:pt idx="634">
                  <c:v>489.479</c:v>
                </c:pt>
                <c:pt idx="635">
                  <c:v>489.505</c:v>
                </c:pt>
                <c:pt idx="636">
                  <c:v>489.557</c:v>
                </c:pt>
                <c:pt idx="637">
                  <c:v>489.646</c:v>
                </c:pt>
                <c:pt idx="638">
                  <c:v>489.725</c:v>
                </c:pt>
                <c:pt idx="639">
                  <c:v>489.82098</c:v>
                </c:pt>
                <c:pt idx="640">
                  <c:v>489.913</c:v>
                </c:pt>
                <c:pt idx="641">
                  <c:v>489.971</c:v>
                </c:pt>
                <c:pt idx="642">
                  <c:v>490.003</c:v>
                </c:pt>
                <c:pt idx="643">
                  <c:v>490.017</c:v>
                </c:pt>
                <c:pt idx="644">
                  <c:v>490.01</c:v>
                </c:pt>
                <c:pt idx="645">
                  <c:v>490.003</c:v>
                </c:pt>
                <c:pt idx="646">
                  <c:v>489.996</c:v>
                </c:pt>
                <c:pt idx="647">
                  <c:v>489.977</c:v>
                </c:pt>
                <c:pt idx="648">
                  <c:v>489.964</c:v>
                </c:pt>
                <c:pt idx="649">
                  <c:v>489.952</c:v>
                </c:pt>
                <c:pt idx="650">
                  <c:v>489.93298</c:v>
                </c:pt>
                <c:pt idx="651">
                  <c:v>489.913</c:v>
                </c:pt>
                <c:pt idx="652">
                  <c:v>489.899</c:v>
                </c:pt>
                <c:pt idx="653">
                  <c:v>489.886</c:v>
                </c:pt>
                <c:pt idx="654">
                  <c:v>489.867</c:v>
                </c:pt>
                <c:pt idx="655">
                  <c:v>489.854</c:v>
                </c:pt>
                <c:pt idx="656">
                  <c:v>489.841</c:v>
                </c:pt>
                <c:pt idx="657">
                  <c:v>489.835</c:v>
                </c:pt>
                <c:pt idx="658">
                  <c:v>489.82098</c:v>
                </c:pt>
                <c:pt idx="659">
                  <c:v>489.809</c:v>
                </c:pt>
                <c:pt idx="660">
                  <c:v>489.802</c:v>
                </c:pt>
                <c:pt idx="661">
                  <c:v>489.788</c:v>
                </c:pt>
                <c:pt idx="662">
                  <c:v>489.781</c:v>
                </c:pt>
                <c:pt idx="663">
                  <c:v>489.768</c:v>
                </c:pt>
                <c:pt idx="664">
                  <c:v>489.762</c:v>
                </c:pt>
                <c:pt idx="665">
                  <c:v>489.755</c:v>
                </c:pt>
                <c:pt idx="666">
                  <c:v>489.742</c:v>
                </c:pt>
                <c:pt idx="667">
                  <c:v>489.736</c:v>
                </c:pt>
                <c:pt idx="668">
                  <c:v>489.73</c:v>
                </c:pt>
                <c:pt idx="669">
                  <c:v>489.725</c:v>
                </c:pt>
                <c:pt idx="670">
                  <c:v>489.724</c:v>
                </c:pt>
                <c:pt idx="671">
                  <c:v>489.717</c:v>
                </c:pt>
                <c:pt idx="672">
                  <c:v>489.717</c:v>
                </c:pt>
                <c:pt idx="673">
                  <c:v>489.711</c:v>
                </c:pt>
                <c:pt idx="674">
                  <c:v>489.704</c:v>
                </c:pt>
                <c:pt idx="675">
                  <c:v>489.698</c:v>
                </c:pt>
                <c:pt idx="676">
                  <c:v>489.698</c:v>
                </c:pt>
                <c:pt idx="677">
                  <c:v>489.691</c:v>
                </c:pt>
                <c:pt idx="678">
                  <c:v>489.684</c:v>
                </c:pt>
                <c:pt idx="679">
                  <c:v>489.684</c:v>
                </c:pt>
                <c:pt idx="680">
                  <c:v>489.678</c:v>
                </c:pt>
                <c:pt idx="681">
                  <c:v>489.671</c:v>
                </c:pt>
                <c:pt idx="682">
                  <c:v>489.671</c:v>
                </c:pt>
                <c:pt idx="683">
                  <c:v>489.671</c:v>
                </c:pt>
                <c:pt idx="684">
                  <c:v>489.66598</c:v>
                </c:pt>
                <c:pt idx="685">
                  <c:v>489.66598</c:v>
                </c:pt>
                <c:pt idx="686">
                  <c:v>489.66598</c:v>
                </c:pt>
                <c:pt idx="687">
                  <c:v>489.665</c:v>
                </c:pt>
                <c:pt idx="688">
                  <c:v>489.658</c:v>
                </c:pt>
                <c:pt idx="689">
                  <c:v>489.658</c:v>
                </c:pt>
                <c:pt idx="690">
                  <c:v>489.652</c:v>
                </c:pt>
                <c:pt idx="691">
                  <c:v>489.652</c:v>
                </c:pt>
                <c:pt idx="692">
                  <c:v>489.645</c:v>
                </c:pt>
                <c:pt idx="693">
                  <c:v>489.639</c:v>
                </c:pt>
                <c:pt idx="694">
                  <c:v>489.639</c:v>
                </c:pt>
                <c:pt idx="695">
                  <c:v>489.639</c:v>
                </c:pt>
                <c:pt idx="696">
                  <c:v>489.639</c:v>
                </c:pt>
                <c:pt idx="697">
                  <c:v>489.633</c:v>
                </c:pt>
                <c:pt idx="698">
                  <c:v>489.633</c:v>
                </c:pt>
                <c:pt idx="699">
                  <c:v>489.634</c:v>
                </c:pt>
                <c:pt idx="700">
                  <c:v>489.62698</c:v>
                </c:pt>
                <c:pt idx="701">
                  <c:v>489.634</c:v>
                </c:pt>
                <c:pt idx="702">
                  <c:v>489.62698</c:v>
                </c:pt>
                <c:pt idx="703">
                  <c:v>489.628</c:v>
                </c:pt>
                <c:pt idx="704">
                  <c:v>489.628</c:v>
                </c:pt>
                <c:pt idx="705">
                  <c:v>489.628</c:v>
                </c:pt>
                <c:pt idx="706">
                  <c:v>489.621</c:v>
                </c:pt>
                <c:pt idx="707">
                  <c:v>489.621</c:v>
                </c:pt>
                <c:pt idx="708">
                  <c:v>489.621</c:v>
                </c:pt>
                <c:pt idx="709">
                  <c:v>489.614</c:v>
                </c:pt>
                <c:pt idx="710">
                  <c:v>489.621</c:v>
                </c:pt>
                <c:pt idx="711">
                  <c:v>489.614</c:v>
                </c:pt>
                <c:pt idx="712">
                  <c:v>489.614</c:v>
                </c:pt>
                <c:pt idx="713">
                  <c:v>489.614</c:v>
                </c:pt>
                <c:pt idx="714">
                  <c:v>489.607</c:v>
                </c:pt>
                <c:pt idx="715">
                  <c:v>489.607</c:v>
                </c:pt>
                <c:pt idx="716">
                  <c:v>489.601</c:v>
                </c:pt>
                <c:pt idx="717">
                  <c:v>489.607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</c:v>
                </c:pt>
                <c:pt idx="722">
                  <c:v>489.594</c:v>
                </c:pt>
                <c:pt idx="723">
                  <c:v>489.594</c:v>
                </c:pt>
                <c:pt idx="724">
                  <c:v>489.588</c:v>
                </c:pt>
                <c:pt idx="725">
                  <c:v>489.588</c:v>
                </c:pt>
                <c:pt idx="726">
                  <c:v>489.588</c:v>
                </c:pt>
                <c:pt idx="727">
                  <c:v>489.588</c:v>
                </c:pt>
                <c:pt idx="728">
                  <c:v>489.588</c:v>
                </c:pt>
                <c:pt idx="729">
                  <c:v>489.581</c:v>
                </c:pt>
                <c:pt idx="730">
                  <c:v>489.581</c:v>
                </c:pt>
                <c:pt idx="731">
                  <c:v>489.581</c:v>
                </c:pt>
                <c:pt idx="732">
                  <c:v>489.581</c:v>
                </c:pt>
                <c:pt idx="733">
                  <c:v>489.575</c:v>
                </c:pt>
                <c:pt idx="734">
                  <c:v>489.581</c:v>
                </c:pt>
                <c:pt idx="735">
                  <c:v>489.581</c:v>
                </c:pt>
                <c:pt idx="736">
                  <c:v>489.575</c:v>
                </c:pt>
                <c:pt idx="737">
                  <c:v>489.574</c:v>
                </c:pt>
                <c:pt idx="738">
                  <c:v>489.575</c:v>
                </c:pt>
                <c:pt idx="739">
                  <c:v>489.568</c:v>
                </c:pt>
                <c:pt idx="740">
                  <c:v>489.568</c:v>
                </c:pt>
                <c:pt idx="741">
                  <c:v>489.568</c:v>
                </c:pt>
                <c:pt idx="742">
                  <c:v>489.595</c:v>
                </c:pt>
                <c:pt idx="743">
                  <c:v>489.652</c:v>
                </c:pt>
                <c:pt idx="744">
                  <c:v>489.717</c:v>
                </c:pt>
                <c:pt idx="745">
                  <c:v>489.743</c:v>
                </c:pt>
                <c:pt idx="746">
                  <c:v>489.762</c:v>
                </c:pt>
                <c:pt idx="747">
                  <c:v>489.766</c:v>
                </c:pt>
                <c:pt idx="748">
                  <c:v>489.775</c:v>
                </c:pt>
                <c:pt idx="749">
                  <c:v>489.769</c:v>
                </c:pt>
                <c:pt idx="750">
                  <c:v>489.768</c:v>
                </c:pt>
                <c:pt idx="751">
                  <c:v>489.769</c:v>
                </c:pt>
                <c:pt idx="752">
                  <c:v>489.768</c:v>
                </c:pt>
                <c:pt idx="753">
                  <c:v>489.768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</c:v>
                </c:pt>
                <c:pt idx="758">
                  <c:v>489.75</c:v>
                </c:pt>
                <c:pt idx="759">
                  <c:v>489.749</c:v>
                </c:pt>
                <c:pt idx="760">
                  <c:v>489.743</c:v>
                </c:pt>
                <c:pt idx="761">
                  <c:v>489.736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</c:v>
                </c:pt>
                <c:pt idx="765">
                  <c:v>489.724</c:v>
                </c:pt>
                <c:pt idx="766">
                  <c:v>489.716</c:v>
                </c:pt>
                <c:pt idx="767">
                  <c:v>489.711</c:v>
                </c:pt>
                <c:pt idx="768">
                  <c:v>489.711</c:v>
                </c:pt>
                <c:pt idx="769">
                  <c:v>489.704</c:v>
                </c:pt>
                <c:pt idx="770">
                  <c:v>489.705</c:v>
                </c:pt>
                <c:pt idx="771">
                  <c:v>489.704</c:v>
                </c:pt>
                <c:pt idx="772">
                  <c:v>489.698</c:v>
                </c:pt>
                <c:pt idx="773">
                  <c:v>489.691</c:v>
                </c:pt>
                <c:pt idx="774">
                  <c:v>489.691</c:v>
                </c:pt>
                <c:pt idx="775">
                  <c:v>489.684</c:v>
                </c:pt>
                <c:pt idx="776">
                  <c:v>489.684</c:v>
                </c:pt>
                <c:pt idx="777">
                  <c:v>489.678</c:v>
                </c:pt>
                <c:pt idx="778">
                  <c:v>489.677</c:v>
                </c:pt>
                <c:pt idx="779">
                  <c:v>489.671</c:v>
                </c:pt>
                <c:pt idx="780">
                  <c:v>489.671</c:v>
                </c:pt>
                <c:pt idx="781">
                  <c:v>489.665</c:v>
                </c:pt>
                <c:pt idx="782">
                  <c:v>489.665</c:v>
                </c:pt>
                <c:pt idx="783">
                  <c:v>489.658</c:v>
                </c:pt>
                <c:pt idx="784">
                  <c:v>489.658</c:v>
                </c:pt>
                <c:pt idx="785">
                  <c:v>489.658</c:v>
                </c:pt>
                <c:pt idx="786">
                  <c:v>489.652</c:v>
                </c:pt>
                <c:pt idx="787">
                  <c:v>489.652</c:v>
                </c:pt>
                <c:pt idx="788">
                  <c:v>489.646</c:v>
                </c:pt>
                <c:pt idx="789">
                  <c:v>489.645</c:v>
                </c:pt>
                <c:pt idx="790">
                  <c:v>489.646</c:v>
                </c:pt>
                <c:pt idx="791">
                  <c:v>489.646</c:v>
                </c:pt>
                <c:pt idx="792">
                  <c:v>489.652</c:v>
                </c:pt>
                <c:pt idx="793">
                  <c:v>489.678</c:v>
                </c:pt>
                <c:pt idx="794">
                  <c:v>489.691</c:v>
                </c:pt>
                <c:pt idx="795">
                  <c:v>489.712</c:v>
                </c:pt>
                <c:pt idx="796">
                  <c:v>489.711</c:v>
                </c:pt>
                <c:pt idx="797">
                  <c:v>489.717</c:v>
                </c:pt>
                <c:pt idx="798">
                  <c:v>489.718</c:v>
                </c:pt>
                <c:pt idx="799">
                  <c:v>489.725</c:v>
                </c:pt>
                <c:pt idx="800">
                  <c:v>489.717</c:v>
                </c:pt>
                <c:pt idx="801">
                  <c:v>489.717</c:v>
                </c:pt>
                <c:pt idx="802">
                  <c:v>489.717</c:v>
                </c:pt>
                <c:pt idx="803">
                  <c:v>489.717</c:v>
                </c:pt>
                <c:pt idx="804">
                  <c:v>489.712</c:v>
                </c:pt>
                <c:pt idx="805">
                  <c:v>489.705</c:v>
                </c:pt>
                <c:pt idx="806">
                  <c:v>489.711</c:v>
                </c:pt>
                <c:pt idx="807">
                  <c:v>489.711</c:v>
                </c:pt>
                <c:pt idx="808">
                  <c:v>489.704</c:v>
                </c:pt>
                <c:pt idx="809">
                  <c:v>489.704</c:v>
                </c:pt>
                <c:pt idx="810">
                  <c:v>489.704</c:v>
                </c:pt>
                <c:pt idx="811">
                  <c:v>489.69</c:v>
                </c:pt>
                <c:pt idx="812">
                  <c:v>489.684</c:v>
                </c:pt>
                <c:pt idx="813">
                  <c:v>489.684</c:v>
                </c:pt>
                <c:pt idx="814">
                  <c:v>489.684</c:v>
                </c:pt>
                <c:pt idx="815">
                  <c:v>489.677</c:v>
                </c:pt>
                <c:pt idx="816">
                  <c:v>489.671</c:v>
                </c:pt>
                <c:pt idx="817">
                  <c:v>489.671</c:v>
                </c:pt>
                <c:pt idx="818">
                  <c:v>489.665</c:v>
                </c:pt>
                <c:pt idx="819">
                  <c:v>489.658</c:v>
                </c:pt>
                <c:pt idx="820">
                  <c:v>489.658</c:v>
                </c:pt>
                <c:pt idx="821">
                  <c:v>489.659</c:v>
                </c:pt>
                <c:pt idx="822">
                  <c:v>489.652</c:v>
                </c:pt>
                <c:pt idx="823">
                  <c:v>489.652</c:v>
                </c:pt>
                <c:pt idx="824">
                  <c:v>489.646</c:v>
                </c:pt>
                <c:pt idx="825">
                  <c:v>489.646</c:v>
                </c:pt>
                <c:pt idx="826">
                  <c:v>489.63998</c:v>
                </c:pt>
                <c:pt idx="827">
                  <c:v>489.639</c:v>
                </c:pt>
                <c:pt idx="828">
                  <c:v>489.639</c:v>
                </c:pt>
                <c:pt idx="829">
                  <c:v>489.634</c:v>
                </c:pt>
                <c:pt idx="830">
                  <c:v>489.633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</c:v>
                </c:pt>
                <c:pt idx="834">
                  <c:v>489.621</c:v>
                </c:pt>
                <c:pt idx="835">
                  <c:v>489.621</c:v>
                </c:pt>
                <c:pt idx="836">
                  <c:v>489.614</c:v>
                </c:pt>
                <c:pt idx="837">
                  <c:v>489.614</c:v>
                </c:pt>
                <c:pt idx="838">
                  <c:v>489.614</c:v>
                </c:pt>
                <c:pt idx="839">
                  <c:v>489.607</c:v>
                </c:pt>
                <c:pt idx="840">
                  <c:v>489.607</c:v>
                </c:pt>
                <c:pt idx="841">
                  <c:v>489.607</c:v>
                </c:pt>
                <c:pt idx="842">
                  <c:v>489.602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</c:v>
                </c:pt>
                <c:pt idx="846">
                  <c:v>489.594</c:v>
                </c:pt>
                <c:pt idx="847">
                  <c:v>489.594</c:v>
                </c:pt>
                <c:pt idx="848">
                  <c:v>489.588</c:v>
                </c:pt>
                <c:pt idx="849">
                  <c:v>489.588</c:v>
                </c:pt>
                <c:pt idx="850">
                  <c:v>489.588</c:v>
                </c:pt>
                <c:pt idx="851">
                  <c:v>489.588</c:v>
                </c:pt>
                <c:pt idx="852">
                  <c:v>489.581</c:v>
                </c:pt>
                <c:pt idx="853">
                  <c:v>489.581</c:v>
                </c:pt>
                <c:pt idx="854">
                  <c:v>489.581</c:v>
                </c:pt>
                <c:pt idx="855">
                  <c:v>489.581</c:v>
                </c:pt>
                <c:pt idx="856">
                  <c:v>489.581</c:v>
                </c:pt>
                <c:pt idx="857">
                  <c:v>489.575</c:v>
                </c:pt>
                <c:pt idx="858">
                  <c:v>489.574</c:v>
                </c:pt>
                <c:pt idx="859">
                  <c:v>489.575</c:v>
                </c:pt>
                <c:pt idx="860">
                  <c:v>489.568</c:v>
                </c:pt>
                <c:pt idx="861">
                  <c:v>489.568</c:v>
                </c:pt>
                <c:pt idx="862">
                  <c:v>489.567</c:v>
                </c:pt>
                <c:pt idx="863">
                  <c:v>489.568</c:v>
                </c:pt>
                <c:pt idx="864">
                  <c:v>489.567</c:v>
                </c:pt>
                <c:pt idx="865">
                  <c:v>489.561</c:v>
                </c:pt>
                <c:pt idx="866">
                  <c:v>489.562</c:v>
                </c:pt>
                <c:pt idx="867">
                  <c:v>489.561</c:v>
                </c:pt>
                <c:pt idx="868">
                  <c:v>489.556</c:v>
                </c:pt>
                <c:pt idx="869">
                  <c:v>489.556</c:v>
                </c:pt>
                <c:pt idx="870">
                  <c:v>489.556</c:v>
                </c:pt>
                <c:pt idx="871">
                  <c:v>489.556</c:v>
                </c:pt>
                <c:pt idx="872">
                  <c:v>489.555</c:v>
                </c:pt>
                <c:pt idx="873">
                  <c:v>489.556</c:v>
                </c:pt>
                <c:pt idx="874">
                  <c:v>489.549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</c:v>
                </c:pt>
                <c:pt idx="878">
                  <c:v>489.55</c:v>
                </c:pt>
                <c:pt idx="879">
                  <c:v>489.543</c:v>
                </c:pt>
                <c:pt idx="880">
                  <c:v>489.543</c:v>
                </c:pt>
                <c:pt idx="881">
                  <c:v>489.543</c:v>
                </c:pt>
                <c:pt idx="882">
                  <c:v>489.536</c:v>
                </c:pt>
                <c:pt idx="883">
                  <c:v>489.537</c:v>
                </c:pt>
                <c:pt idx="884">
                  <c:v>489.536</c:v>
                </c:pt>
                <c:pt idx="885">
                  <c:v>489.53</c:v>
                </c:pt>
                <c:pt idx="886">
                  <c:v>489.53</c:v>
                </c:pt>
                <c:pt idx="887">
                  <c:v>489.53</c:v>
                </c:pt>
                <c:pt idx="888">
                  <c:v>489.525</c:v>
                </c:pt>
                <c:pt idx="889">
                  <c:v>489.53</c:v>
                </c:pt>
                <c:pt idx="890">
                  <c:v>489.525</c:v>
                </c:pt>
                <c:pt idx="891">
                  <c:v>489.524</c:v>
                </c:pt>
                <c:pt idx="892">
                  <c:v>489.518</c:v>
                </c:pt>
                <c:pt idx="893">
                  <c:v>489.518</c:v>
                </c:pt>
                <c:pt idx="894">
                  <c:v>489.519</c:v>
                </c:pt>
                <c:pt idx="895">
                  <c:v>489.518</c:v>
                </c:pt>
                <c:pt idx="896">
                  <c:v>489.511</c:v>
                </c:pt>
                <c:pt idx="897">
                  <c:v>489.511</c:v>
                </c:pt>
                <c:pt idx="898">
                  <c:v>489.511</c:v>
                </c:pt>
                <c:pt idx="899">
                  <c:v>489.511</c:v>
                </c:pt>
                <c:pt idx="900">
                  <c:v>489.511</c:v>
                </c:pt>
                <c:pt idx="901">
                  <c:v>489.505</c:v>
                </c:pt>
                <c:pt idx="902">
                  <c:v>489.505</c:v>
                </c:pt>
                <c:pt idx="903">
                  <c:v>489.505</c:v>
                </c:pt>
                <c:pt idx="904">
                  <c:v>489.505</c:v>
                </c:pt>
                <c:pt idx="905">
                  <c:v>489.49798</c:v>
                </c:pt>
                <c:pt idx="906">
                  <c:v>489.49798</c:v>
                </c:pt>
                <c:pt idx="907">
                  <c:v>489.49798</c:v>
                </c:pt>
                <c:pt idx="908">
                  <c:v>489.49798</c:v>
                </c:pt>
                <c:pt idx="909">
                  <c:v>489.49798</c:v>
                </c:pt>
                <c:pt idx="910">
                  <c:v>489.492</c:v>
                </c:pt>
                <c:pt idx="911">
                  <c:v>489.492</c:v>
                </c:pt>
                <c:pt idx="912">
                  <c:v>489.492</c:v>
                </c:pt>
                <c:pt idx="913">
                  <c:v>489.48498</c:v>
                </c:pt>
                <c:pt idx="914">
                  <c:v>489.48498</c:v>
                </c:pt>
                <c:pt idx="915">
                  <c:v>489.48498</c:v>
                </c:pt>
                <c:pt idx="916">
                  <c:v>489.486</c:v>
                </c:pt>
                <c:pt idx="917">
                  <c:v>489.48498</c:v>
                </c:pt>
                <c:pt idx="918">
                  <c:v>489.479</c:v>
                </c:pt>
                <c:pt idx="919">
                  <c:v>489.479</c:v>
                </c:pt>
                <c:pt idx="920">
                  <c:v>489.479</c:v>
                </c:pt>
                <c:pt idx="921">
                  <c:v>489.479</c:v>
                </c:pt>
                <c:pt idx="922">
                  <c:v>489.47198</c:v>
                </c:pt>
                <c:pt idx="923">
                  <c:v>489.47198</c:v>
                </c:pt>
                <c:pt idx="924">
                  <c:v>489.47198</c:v>
                </c:pt>
                <c:pt idx="925">
                  <c:v>489.465</c:v>
                </c:pt>
                <c:pt idx="926">
                  <c:v>489.47198</c:v>
                </c:pt>
                <c:pt idx="927">
                  <c:v>489.465</c:v>
                </c:pt>
                <c:pt idx="928">
                  <c:v>489.45898</c:v>
                </c:pt>
                <c:pt idx="929">
                  <c:v>489.465</c:v>
                </c:pt>
                <c:pt idx="930">
                  <c:v>489.45898</c:v>
                </c:pt>
                <c:pt idx="931">
                  <c:v>489.45898</c:v>
                </c:pt>
                <c:pt idx="932">
                  <c:v>489.46</c:v>
                </c:pt>
                <c:pt idx="933">
                  <c:v>489.45898</c:v>
                </c:pt>
                <c:pt idx="934">
                  <c:v>489.45898</c:v>
                </c:pt>
                <c:pt idx="935">
                  <c:v>489.452</c:v>
                </c:pt>
                <c:pt idx="936">
                  <c:v>489.452</c:v>
                </c:pt>
                <c:pt idx="937">
                  <c:v>489.452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</c:v>
                </c:pt>
                <c:pt idx="941">
                  <c:v>489.441</c:v>
                </c:pt>
                <c:pt idx="942">
                  <c:v>489.441</c:v>
                </c:pt>
                <c:pt idx="943">
                  <c:v>489.441</c:v>
                </c:pt>
                <c:pt idx="944">
                  <c:v>489.441</c:v>
                </c:pt>
                <c:pt idx="945">
                  <c:v>489.434</c:v>
                </c:pt>
                <c:pt idx="946">
                  <c:v>489.434</c:v>
                </c:pt>
                <c:pt idx="947">
                  <c:v>489.43298</c:v>
                </c:pt>
                <c:pt idx="948">
                  <c:v>489.428</c:v>
                </c:pt>
                <c:pt idx="949">
                  <c:v>489.428</c:v>
                </c:pt>
                <c:pt idx="950">
                  <c:v>489.422</c:v>
                </c:pt>
                <c:pt idx="951">
                  <c:v>489.421</c:v>
                </c:pt>
                <c:pt idx="952">
                  <c:v>489.421</c:v>
                </c:pt>
                <c:pt idx="953">
                  <c:v>489.421</c:v>
                </c:pt>
                <c:pt idx="954">
                  <c:v>489.421</c:v>
                </c:pt>
                <c:pt idx="955">
                  <c:v>489.421</c:v>
                </c:pt>
                <c:pt idx="956">
                  <c:v>489.421</c:v>
                </c:pt>
                <c:pt idx="957">
                  <c:v>489.415</c:v>
                </c:pt>
                <c:pt idx="958">
                  <c:v>489.415</c:v>
                </c:pt>
                <c:pt idx="959">
                  <c:v>489.415</c:v>
                </c:pt>
                <c:pt idx="960">
                  <c:v>489.415</c:v>
                </c:pt>
                <c:pt idx="961">
                  <c:v>489.408</c:v>
                </c:pt>
                <c:pt idx="962">
                  <c:v>489.408</c:v>
                </c:pt>
                <c:pt idx="963">
                  <c:v>489.409</c:v>
                </c:pt>
                <c:pt idx="964">
                  <c:v>489.409</c:v>
                </c:pt>
                <c:pt idx="965">
                  <c:v>489.402</c:v>
                </c:pt>
                <c:pt idx="966">
                  <c:v>489.402</c:v>
                </c:pt>
                <c:pt idx="967">
                  <c:v>489.402</c:v>
                </c:pt>
                <c:pt idx="968">
                  <c:v>489.402</c:v>
                </c:pt>
                <c:pt idx="969">
                  <c:v>489.402</c:v>
                </c:pt>
                <c:pt idx="970">
                  <c:v>489.396</c:v>
                </c:pt>
                <c:pt idx="971">
                  <c:v>489.396</c:v>
                </c:pt>
                <c:pt idx="972">
                  <c:v>489.396</c:v>
                </c:pt>
                <c:pt idx="973">
                  <c:v>489.396</c:v>
                </c:pt>
                <c:pt idx="974">
                  <c:v>489.388</c:v>
                </c:pt>
                <c:pt idx="975">
                  <c:v>489.389</c:v>
                </c:pt>
                <c:pt idx="976">
                  <c:v>489.388</c:v>
                </c:pt>
                <c:pt idx="977">
                  <c:v>489.388</c:v>
                </c:pt>
                <c:pt idx="978">
                  <c:v>489.388</c:v>
                </c:pt>
                <c:pt idx="979">
                  <c:v>489.388</c:v>
                </c:pt>
                <c:pt idx="980">
                  <c:v>489.382</c:v>
                </c:pt>
                <c:pt idx="981">
                  <c:v>489.382</c:v>
                </c:pt>
                <c:pt idx="982">
                  <c:v>489.382</c:v>
                </c:pt>
                <c:pt idx="983">
                  <c:v>489.382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</c:v>
                </c:pt>
                <c:pt idx="987">
                  <c:v>489.375</c:v>
                </c:pt>
                <c:pt idx="988">
                  <c:v>489.376</c:v>
                </c:pt>
                <c:pt idx="989">
                  <c:v>489.369</c:v>
                </c:pt>
                <c:pt idx="990">
                  <c:v>489.369</c:v>
                </c:pt>
                <c:pt idx="991">
                  <c:v>489.369</c:v>
                </c:pt>
                <c:pt idx="992">
                  <c:v>489.369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</c:v>
                </c:pt>
                <c:pt idx="996">
                  <c:v>489.362</c:v>
                </c:pt>
                <c:pt idx="997">
                  <c:v>489.362</c:v>
                </c:pt>
                <c:pt idx="998">
                  <c:v>489.356</c:v>
                </c:pt>
                <c:pt idx="999">
                  <c:v>489.356</c:v>
                </c:pt>
                <c:pt idx="1000">
                  <c:v>489.356</c:v>
                </c:pt>
                <c:pt idx="1001">
                  <c:v>489.356</c:v>
                </c:pt>
                <c:pt idx="1002">
                  <c:v>489.356</c:v>
                </c:pt>
                <c:pt idx="1003">
                  <c:v>489.356</c:v>
                </c:pt>
                <c:pt idx="1004">
                  <c:v>489.349</c:v>
                </c:pt>
                <c:pt idx="1005">
                  <c:v>489.349</c:v>
                </c:pt>
                <c:pt idx="1006">
                  <c:v>489.343</c:v>
                </c:pt>
                <c:pt idx="1007">
                  <c:v>489.343</c:v>
                </c:pt>
                <c:pt idx="1008">
                  <c:v>489.343</c:v>
                </c:pt>
                <c:pt idx="1009">
                  <c:v>489.343</c:v>
                </c:pt>
                <c:pt idx="1010">
                  <c:v>489.344</c:v>
                </c:pt>
                <c:pt idx="1011">
                  <c:v>489.337</c:v>
                </c:pt>
                <c:pt idx="1012">
                  <c:v>489.337</c:v>
                </c:pt>
                <c:pt idx="1013">
                  <c:v>489.337</c:v>
                </c:pt>
                <c:pt idx="1014">
                  <c:v>489.337</c:v>
                </c:pt>
                <c:pt idx="1015">
                  <c:v>489.337</c:v>
                </c:pt>
                <c:pt idx="1016">
                  <c:v>489.337</c:v>
                </c:pt>
                <c:pt idx="1017">
                  <c:v>489.331</c:v>
                </c:pt>
                <c:pt idx="1018">
                  <c:v>489.331</c:v>
                </c:pt>
                <c:pt idx="1019">
                  <c:v>489.332</c:v>
                </c:pt>
                <c:pt idx="1020">
                  <c:v>489.331</c:v>
                </c:pt>
                <c:pt idx="1021">
                  <c:v>489.331</c:v>
                </c:pt>
                <c:pt idx="1022">
                  <c:v>489.331</c:v>
                </c:pt>
                <c:pt idx="1023">
                  <c:v>489.324</c:v>
                </c:pt>
                <c:pt idx="1024">
                  <c:v>489.324</c:v>
                </c:pt>
                <c:pt idx="1025">
                  <c:v>489.324</c:v>
                </c:pt>
                <c:pt idx="1026">
                  <c:v>489.319</c:v>
                </c:pt>
                <c:pt idx="1027">
                  <c:v>489.318</c:v>
                </c:pt>
                <c:pt idx="1028">
                  <c:v>489.318</c:v>
                </c:pt>
                <c:pt idx="1029">
                  <c:v>489.318</c:v>
                </c:pt>
                <c:pt idx="1030">
                  <c:v>489.318</c:v>
                </c:pt>
                <c:pt idx="1031">
                  <c:v>489.318</c:v>
                </c:pt>
                <c:pt idx="1032">
                  <c:v>489.319</c:v>
                </c:pt>
                <c:pt idx="1033">
                  <c:v>489.312</c:v>
                </c:pt>
                <c:pt idx="1034">
                  <c:v>489.312</c:v>
                </c:pt>
                <c:pt idx="1035">
                  <c:v>489.312</c:v>
                </c:pt>
                <c:pt idx="1036">
                  <c:v>489.312</c:v>
                </c:pt>
                <c:pt idx="1037">
                  <c:v>489.305</c:v>
                </c:pt>
                <c:pt idx="1038">
                  <c:v>489.305</c:v>
                </c:pt>
                <c:pt idx="1039">
                  <c:v>489.305</c:v>
                </c:pt>
                <c:pt idx="1040">
                  <c:v>489.305</c:v>
                </c:pt>
                <c:pt idx="1041">
                  <c:v>489.305</c:v>
                </c:pt>
                <c:pt idx="1042">
                  <c:v>489.299</c:v>
                </c:pt>
                <c:pt idx="1043">
                  <c:v>489.305</c:v>
                </c:pt>
                <c:pt idx="1044">
                  <c:v>489.299</c:v>
                </c:pt>
                <c:pt idx="1045">
                  <c:v>489.299</c:v>
                </c:pt>
                <c:pt idx="1046">
                  <c:v>489.299</c:v>
                </c:pt>
                <c:pt idx="1047">
                  <c:v>489.292</c:v>
                </c:pt>
                <c:pt idx="1048">
                  <c:v>489.292</c:v>
                </c:pt>
                <c:pt idx="1049">
                  <c:v>489.292</c:v>
                </c:pt>
                <c:pt idx="1050">
                  <c:v>489.292</c:v>
                </c:pt>
                <c:pt idx="1051">
                  <c:v>489.292</c:v>
                </c:pt>
                <c:pt idx="1052">
                  <c:v>489.292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</c:v>
                </c:pt>
                <c:pt idx="1059">
                  <c:v>489.279</c:v>
                </c:pt>
                <c:pt idx="1060">
                  <c:v>489.279</c:v>
                </c:pt>
                <c:pt idx="1061">
                  <c:v>489.279</c:v>
                </c:pt>
                <c:pt idx="1062">
                  <c:v>489.27798</c:v>
                </c:pt>
                <c:pt idx="1063">
                  <c:v>489.273</c:v>
                </c:pt>
                <c:pt idx="1064">
                  <c:v>489.273</c:v>
                </c:pt>
                <c:pt idx="1065">
                  <c:v>489.266</c:v>
                </c:pt>
                <c:pt idx="1066">
                  <c:v>489.273</c:v>
                </c:pt>
                <c:pt idx="1067">
                  <c:v>489.266</c:v>
                </c:pt>
                <c:pt idx="1068">
                  <c:v>489.266</c:v>
                </c:pt>
                <c:pt idx="1069">
                  <c:v>489.26</c:v>
                </c:pt>
                <c:pt idx="1070">
                  <c:v>489.26498</c:v>
                </c:pt>
                <c:pt idx="1071">
                  <c:v>489.259</c:v>
                </c:pt>
                <c:pt idx="1072">
                  <c:v>489.259</c:v>
                </c:pt>
                <c:pt idx="1073">
                  <c:v>489.26</c:v>
                </c:pt>
                <c:pt idx="1074">
                  <c:v>489.253</c:v>
                </c:pt>
                <c:pt idx="1075">
                  <c:v>489.253</c:v>
                </c:pt>
                <c:pt idx="1076">
                  <c:v>489.253</c:v>
                </c:pt>
                <c:pt idx="1077">
                  <c:v>489.253</c:v>
                </c:pt>
                <c:pt idx="1078">
                  <c:v>489.246</c:v>
                </c:pt>
                <c:pt idx="1079">
                  <c:v>489.246</c:v>
                </c:pt>
                <c:pt idx="1080">
                  <c:v>489.247</c:v>
                </c:pt>
                <c:pt idx="1081">
                  <c:v>489.247</c:v>
                </c:pt>
                <c:pt idx="1082">
                  <c:v>489.247</c:v>
                </c:pt>
                <c:pt idx="1083">
                  <c:v>489.241</c:v>
                </c:pt>
                <c:pt idx="1084">
                  <c:v>489.241</c:v>
                </c:pt>
                <c:pt idx="1085">
                  <c:v>489.241</c:v>
                </c:pt>
                <c:pt idx="1086">
                  <c:v>489.23498</c:v>
                </c:pt>
                <c:pt idx="1087">
                  <c:v>489.23498</c:v>
                </c:pt>
                <c:pt idx="1088">
                  <c:v>489.23498</c:v>
                </c:pt>
                <c:pt idx="1089">
                  <c:v>489.23498</c:v>
                </c:pt>
                <c:pt idx="1090">
                  <c:v>489.228</c:v>
                </c:pt>
                <c:pt idx="1091">
                  <c:v>489.228</c:v>
                </c:pt>
                <c:pt idx="1092">
                  <c:v>489.228</c:v>
                </c:pt>
                <c:pt idx="1093">
                  <c:v>489.22198</c:v>
                </c:pt>
                <c:pt idx="1094">
                  <c:v>489.22198</c:v>
                </c:pt>
                <c:pt idx="1095">
                  <c:v>489.228</c:v>
                </c:pt>
                <c:pt idx="1096">
                  <c:v>489.22198</c:v>
                </c:pt>
                <c:pt idx="1097">
                  <c:v>489.22198</c:v>
                </c:pt>
                <c:pt idx="1098">
                  <c:v>489.223</c:v>
                </c:pt>
                <c:pt idx="1099">
                  <c:v>489.22198</c:v>
                </c:pt>
                <c:pt idx="1100">
                  <c:v>489.22198</c:v>
                </c:pt>
                <c:pt idx="1101">
                  <c:v>489.22198</c:v>
                </c:pt>
                <c:pt idx="1102">
                  <c:v>489.22198</c:v>
                </c:pt>
                <c:pt idx="1103">
                  <c:v>489.22198</c:v>
                </c:pt>
                <c:pt idx="1104">
                  <c:v>489.22198</c:v>
                </c:pt>
                <c:pt idx="1105">
                  <c:v>489.22198</c:v>
                </c:pt>
                <c:pt idx="1106">
                  <c:v>489.223</c:v>
                </c:pt>
                <c:pt idx="1107">
                  <c:v>489.223</c:v>
                </c:pt>
                <c:pt idx="1108">
                  <c:v>489.22198</c:v>
                </c:pt>
                <c:pt idx="1109">
                  <c:v>489.223</c:v>
                </c:pt>
                <c:pt idx="1110">
                  <c:v>489.223</c:v>
                </c:pt>
                <c:pt idx="1111">
                  <c:v>489.223</c:v>
                </c:pt>
                <c:pt idx="1112">
                  <c:v>489.223</c:v>
                </c:pt>
                <c:pt idx="1113">
                  <c:v>489.216</c:v>
                </c:pt>
                <c:pt idx="1114">
                  <c:v>489.221</c:v>
                </c:pt>
                <c:pt idx="1115">
                  <c:v>489.217</c:v>
                </c:pt>
                <c:pt idx="1116">
                  <c:v>489.216</c:v>
                </c:pt>
                <c:pt idx="1117">
                  <c:v>489.216</c:v>
                </c:pt>
                <c:pt idx="1118">
                  <c:v>489.216</c:v>
                </c:pt>
                <c:pt idx="1119">
                  <c:v>489.216</c:v>
                </c:pt>
                <c:pt idx="1120">
                  <c:v>489.216</c:v>
                </c:pt>
                <c:pt idx="1121">
                  <c:v>489.228</c:v>
                </c:pt>
                <c:pt idx="1122">
                  <c:v>489.246</c:v>
                </c:pt>
                <c:pt idx="1123">
                  <c:v>489.26</c:v>
                </c:pt>
                <c:pt idx="1124">
                  <c:v>489.286</c:v>
                </c:pt>
                <c:pt idx="1125">
                  <c:v>489.299</c:v>
                </c:pt>
                <c:pt idx="1126">
                  <c:v>489.305</c:v>
                </c:pt>
                <c:pt idx="1127">
                  <c:v>489.312</c:v>
                </c:pt>
                <c:pt idx="1128">
                  <c:v>489.312</c:v>
                </c:pt>
                <c:pt idx="1129">
                  <c:v>489.319</c:v>
                </c:pt>
                <c:pt idx="1130">
                  <c:v>489.319</c:v>
                </c:pt>
                <c:pt idx="1131">
                  <c:v>489.325</c:v>
                </c:pt>
                <c:pt idx="1132">
                  <c:v>489.325</c:v>
                </c:pt>
                <c:pt idx="1133">
                  <c:v>489.325</c:v>
                </c:pt>
                <c:pt idx="1134">
                  <c:v>489.331</c:v>
                </c:pt>
                <c:pt idx="1135">
                  <c:v>489.331</c:v>
                </c:pt>
                <c:pt idx="1136">
                  <c:v>489.331</c:v>
                </c:pt>
                <c:pt idx="1137">
                  <c:v>489.337</c:v>
                </c:pt>
                <c:pt idx="1138">
                  <c:v>489.337</c:v>
                </c:pt>
                <c:pt idx="1139">
                  <c:v>489.337</c:v>
                </c:pt>
                <c:pt idx="1140">
                  <c:v>489.337</c:v>
                </c:pt>
                <c:pt idx="1141">
                  <c:v>489.344</c:v>
                </c:pt>
                <c:pt idx="1142">
                  <c:v>489.337</c:v>
                </c:pt>
                <c:pt idx="1143">
                  <c:v>489.343</c:v>
                </c:pt>
                <c:pt idx="1144">
                  <c:v>489.344</c:v>
                </c:pt>
                <c:pt idx="1145">
                  <c:v>489.35</c:v>
                </c:pt>
                <c:pt idx="1146">
                  <c:v>489.349</c:v>
                </c:pt>
                <c:pt idx="1147">
                  <c:v>489.362</c:v>
                </c:pt>
                <c:pt idx="1148">
                  <c:v>489.396</c:v>
                </c:pt>
                <c:pt idx="1149">
                  <c:v>489.415</c:v>
                </c:pt>
                <c:pt idx="1150">
                  <c:v>489.421</c:v>
                </c:pt>
                <c:pt idx="1151">
                  <c:v>489.428</c:v>
                </c:pt>
                <c:pt idx="1152">
                  <c:v>489.428</c:v>
                </c:pt>
                <c:pt idx="1153">
                  <c:v>489.434</c:v>
                </c:pt>
                <c:pt idx="1154">
                  <c:v>489.434</c:v>
                </c:pt>
                <c:pt idx="1155">
                  <c:v>489.434</c:v>
                </c:pt>
                <c:pt idx="1156">
                  <c:v>489.434</c:v>
                </c:pt>
                <c:pt idx="1157">
                  <c:v>489.441</c:v>
                </c:pt>
                <c:pt idx="1158">
                  <c:v>489.441</c:v>
                </c:pt>
                <c:pt idx="1159">
                  <c:v>489.441</c:v>
                </c:pt>
                <c:pt idx="1160">
                  <c:v>489.44</c:v>
                </c:pt>
                <c:pt idx="1161">
                  <c:v>489.447</c:v>
                </c:pt>
                <c:pt idx="1162">
                  <c:v>489.441</c:v>
                </c:pt>
                <c:pt idx="1163">
                  <c:v>489.44</c:v>
                </c:pt>
                <c:pt idx="1164">
                  <c:v>489.447</c:v>
                </c:pt>
                <c:pt idx="1165">
                  <c:v>489.441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</c:v>
                </c:pt>
                <c:pt idx="1169">
                  <c:v>489.44</c:v>
                </c:pt>
                <c:pt idx="1170">
                  <c:v>489.44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</c:v>
                </c:pt>
                <c:pt idx="1174">
                  <c:v>489.44</c:v>
                </c:pt>
                <c:pt idx="1175">
                  <c:v>489.43298</c:v>
                </c:pt>
                <c:pt idx="1176">
                  <c:v>489.441</c:v>
                </c:pt>
                <c:pt idx="1177">
                  <c:v>489.43298</c:v>
                </c:pt>
                <c:pt idx="1178">
                  <c:v>489.434</c:v>
                </c:pt>
                <c:pt idx="1179">
                  <c:v>489.434</c:v>
                </c:pt>
                <c:pt idx="1180">
                  <c:v>489.434</c:v>
                </c:pt>
                <c:pt idx="1181">
                  <c:v>489.428</c:v>
                </c:pt>
                <c:pt idx="1182">
                  <c:v>489.428</c:v>
                </c:pt>
                <c:pt idx="1183">
                  <c:v>489.428</c:v>
                </c:pt>
                <c:pt idx="1184">
                  <c:v>489.428</c:v>
                </c:pt>
                <c:pt idx="1185">
                  <c:v>489.42898</c:v>
                </c:pt>
                <c:pt idx="1186">
                  <c:v>489.422</c:v>
                </c:pt>
                <c:pt idx="1187">
                  <c:v>489.422</c:v>
                </c:pt>
                <c:pt idx="1188">
                  <c:v>489.422</c:v>
                </c:pt>
                <c:pt idx="1189">
                  <c:v>489.422</c:v>
                </c:pt>
                <c:pt idx="1190">
                  <c:v>489.415</c:v>
                </c:pt>
                <c:pt idx="1191">
                  <c:v>489.415</c:v>
                </c:pt>
                <c:pt idx="1192">
                  <c:v>489.415</c:v>
                </c:pt>
                <c:pt idx="1193">
                  <c:v>489.415</c:v>
                </c:pt>
                <c:pt idx="1194">
                  <c:v>489.415</c:v>
                </c:pt>
                <c:pt idx="1195">
                  <c:v>489.421</c:v>
                </c:pt>
                <c:pt idx="1196">
                  <c:v>489.486</c:v>
                </c:pt>
                <c:pt idx="1197">
                  <c:v>489.518</c:v>
                </c:pt>
                <c:pt idx="1198">
                  <c:v>489.53</c:v>
                </c:pt>
                <c:pt idx="1199">
                  <c:v>489.537</c:v>
                </c:pt>
                <c:pt idx="1200">
                  <c:v>489.537</c:v>
                </c:pt>
                <c:pt idx="1201">
                  <c:v>489.537</c:v>
                </c:pt>
                <c:pt idx="1202">
                  <c:v>489.537</c:v>
                </c:pt>
                <c:pt idx="1203">
                  <c:v>489.538</c:v>
                </c:pt>
                <c:pt idx="1204">
                  <c:v>489.537</c:v>
                </c:pt>
                <c:pt idx="1205">
                  <c:v>489.538</c:v>
                </c:pt>
                <c:pt idx="1206">
                  <c:v>489.538</c:v>
                </c:pt>
                <c:pt idx="1207">
                  <c:v>489.538</c:v>
                </c:pt>
                <c:pt idx="1208">
                  <c:v>489.537</c:v>
                </c:pt>
                <c:pt idx="1209">
                  <c:v>489.537</c:v>
                </c:pt>
                <c:pt idx="1210">
                  <c:v>489.538</c:v>
                </c:pt>
                <c:pt idx="1211">
                  <c:v>489.538</c:v>
                </c:pt>
                <c:pt idx="1212">
                  <c:v>489.537</c:v>
                </c:pt>
                <c:pt idx="1213">
                  <c:v>489.531</c:v>
                </c:pt>
                <c:pt idx="1214">
                  <c:v>489.53</c:v>
                </c:pt>
                <c:pt idx="1215">
                  <c:v>489.53</c:v>
                </c:pt>
                <c:pt idx="1216">
                  <c:v>489.53</c:v>
                </c:pt>
                <c:pt idx="1217">
                  <c:v>489.53</c:v>
                </c:pt>
                <c:pt idx="1218">
                  <c:v>489.53</c:v>
                </c:pt>
                <c:pt idx="1219">
                  <c:v>489.628</c:v>
                </c:pt>
                <c:pt idx="1220">
                  <c:v>489.743</c:v>
                </c:pt>
                <c:pt idx="1221">
                  <c:v>489.775</c:v>
                </c:pt>
                <c:pt idx="1222">
                  <c:v>489.788</c:v>
                </c:pt>
                <c:pt idx="1223">
                  <c:v>489.781</c:v>
                </c:pt>
                <c:pt idx="1224">
                  <c:v>489.788</c:v>
                </c:pt>
                <c:pt idx="1225">
                  <c:v>489.781</c:v>
                </c:pt>
                <c:pt idx="1226">
                  <c:v>489.775</c:v>
                </c:pt>
                <c:pt idx="1227">
                  <c:v>489.781</c:v>
                </c:pt>
                <c:pt idx="1228">
                  <c:v>489.776</c:v>
                </c:pt>
                <c:pt idx="1229">
                  <c:v>489.775</c:v>
                </c:pt>
                <c:pt idx="1230">
                  <c:v>489.769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</c:v>
                </c:pt>
                <c:pt idx="1234">
                  <c:v>489.737</c:v>
                </c:pt>
                <c:pt idx="1235">
                  <c:v>489.731</c:v>
                </c:pt>
                <c:pt idx="1236">
                  <c:v>489.725</c:v>
                </c:pt>
                <c:pt idx="1237">
                  <c:v>489.717</c:v>
                </c:pt>
                <c:pt idx="1238">
                  <c:v>489.711</c:v>
                </c:pt>
                <c:pt idx="1239">
                  <c:v>489.704</c:v>
                </c:pt>
                <c:pt idx="1240">
                  <c:v>489.698</c:v>
                </c:pt>
                <c:pt idx="1241">
                  <c:v>489.712</c:v>
                </c:pt>
                <c:pt idx="1242">
                  <c:v>489.73</c:v>
                </c:pt>
                <c:pt idx="1243">
                  <c:v>489.736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</c:v>
                </c:pt>
                <c:pt idx="1250">
                  <c:v>489.725</c:v>
                </c:pt>
                <c:pt idx="1251">
                  <c:v>489.717</c:v>
                </c:pt>
                <c:pt idx="1252">
                  <c:v>489.712</c:v>
                </c:pt>
                <c:pt idx="1253">
                  <c:v>489.711</c:v>
                </c:pt>
                <c:pt idx="1254">
                  <c:v>489.705</c:v>
                </c:pt>
                <c:pt idx="1255">
                  <c:v>489.698</c:v>
                </c:pt>
                <c:pt idx="1256">
                  <c:v>489.698</c:v>
                </c:pt>
                <c:pt idx="1257">
                  <c:v>489.691</c:v>
                </c:pt>
                <c:pt idx="1258">
                  <c:v>489.684</c:v>
                </c:pt>
                <c:pt idx="1259">
                  <c:v>489.684</c:v>
                </c:pt>
                <c:pt idx="1260">
                  <c:v>489.678</c:v>
                </c:pt>
                <c:pt idx="1261">
                  <c:v>489.671</c:v>
                </c:pt>
                <c:pt idx="1262">
                  <c:v>489.665</c:v>
                </c:pt>
                <c:pt idx="1263">
                  <c:v>489.664</c:v>
                </c:pt>
                <c:pt idx="1264">
                  <c:v>489.665</c:v>
                </c:pt>
                <c:pt idx="1265">
                  <c:v>489.658</c:v>
                </c:pt>
                <c:pt idx="1266">
                  <c:v>489.652</c:v>
                </c:pt>
                <c:pt idx="1267">
                  <c:v>489.652</c:v>
                </c:pt>
                <c:pt idx="1268">
                  <c:v>489.652</c:v>
                </c:pt>
                <c:pt idx="1269">
                  <c:v>489.646</c:v>
                </c:pt>
                <c:pt idx="1270">
                  <c:v>489.646</c:v>
                </c:pt>
                <c:pt idx="1271">
                  <c:v>489.639</c:v>
                </c:pt>
                <c:pt idx="1272">
                  <c:v>489.634</c:v>
                </c:pt>
                <c:pt idx="1273">
                  <c:v>489.634</c:v>
                </c:pt>
                <c:pt idx="1274">
                  <c:v>489.634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</c:v>
                </c:pt>
                <c:pt idx="1278">
                  <c:v>489.621</c:v>
                </c:pt>
                <c:pt idx="1279">
                  <c:v>489.614</c:v>
                </c:pt>
                <c:pt idx="1280">
                  <c:v>489.614</c:v>
                </c:pt>
                <c:pt idx="1281">
                  <c:v>489.608</c:v>
                </c:pt>
                <c:pt idx="1282">
                  <c:v>489.607</c:v>
                </c:pt>
                <c:pt idx="1283">
                  <c:v>489.608</c:v>
                </c:pt>
                <c:pt idx="1284">
                  <c:v>489.602</c:v>
                </c:pt>
                <c:pt idx="1285">
                  <c:v>489.594</c:v>
                </c:pt>
                <c:pt idx="1286">
                  <c:v>489.594</c:v>
                </c:pt>
                <c:pt idx="1287">
                  <c:v>489.594</c:v>
                </c:pt>
                <c:pt idx="1288">
                  <c:v>489.594</c:v>
                </c:pt>
                <c:pt idx="1289">
                  <c:v>489.588</c:v>
                </c:pt>
                <c:pt idx="1290">
                  <c:v>489.588</c:v>
                </c:pt>
                <c:pt idx="1291">
                  <c:v>489.588</c:v>
                </c:pt>
                <c:pt idx="1292">
                  <c:v>489.581</c:v>
                </c:pt>
                <c:pt idx="1293">
                  <c:v>489.581</c:v>
                </c:pt>
                <c:pt idx="1294">
                  <c:v>489.581</c:v>
                </c:pt>
                <c:pt idx="1295">
                  <c:v>489.581</c:v>
                </c:pt>
                <c:pt idx="1296">
                  <c:v>489.575</c:v>
                </c:pt>
                <c:pt idx="1297">
                  <c:v>489.568</c:v>
                </c:pt>
                <c:pt idx="1298">
                  <c:v>489.569</c:v>
                </c:pt>
                <c:pt idx="1299">
                  <c:v>489.569</c:v>
                </c:pt>
                <c:pt idx="1300">
                  <c:v>489.562</c:v>
                </c:pt>
                <c:pt idx="1301">
                  <c:v>489.562</c:v>
                </c:pt>
                <c:pt idx="1302">
                  <c:v>489.562</c:v>
                </c:pt>
                <c:pt idx="1303">
                  <c:v>489.556</c:v>
                </c:pt>
                <c:pt idx="1304">
                  <c:v>489.556</c:v>
                </c:pt>
                <c:pt idx="1305">
                  <c:v>489.556</c:v>
                </c:pt>
                <c:pt idx="1306">
                  <c:v>489.556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</c:v>
                </c:pt>
                <c:pt idx="1311">
                  <c:v>489.543</c:v>
                </c:pt>
                <c:pt idx="1312">
                  <c:v>489.543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</c:v>
                </c:pt>
                <c:pt idx="1317">
                  <c:v>489.53</c:v>
                </c:pt>
                <c:pt idx="1318">
                  <c:v>489.53</c:v>
                </c:pt>
                <c:pt idx="1319">
                  <c:v>489.53</c:v>
                </c:pt>
                <c:pt idx="1320">
                  <c:v>489.525</c:v>
                </c:pt>
                <c:pt idx="1321">
                  <c:v>489.525</c:v>
                </c:pt>
                <c:pt idx="1322">
                  <c:v>489.525</c:v>
                </c:pt>
                <c:pt idx="1323">
                  <c:v>489.525</c:v>
                </c:pt>
                <c:pt idx="1324">
                  <c:v>489.519</c:v>
                </c:pt>
                <c:pt idx="1325">
                  <c:v>489.519</c:v>
                </c:pt>
                <c:pt idx="1326">
                  <c:v>489.519</c:v>
                </c:pt>
                <c:pt idx="1327">
                  <c:v>489.511</c:v>
                </c:pt>
                <c:pt idx="1328">
                  <c:v>489.511</c:v>
                </c:pt>
                <c:pt idx="1329">
                  <c:v>489.511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</c:v>
                </c:pt>
                <c:pt idx="1333">
                  <c:v>489.511</c:v>
                </c:pt>
                <c:pt idx="1334">
                  <c:v>489.505</c:v>
                </c:pt>
                <c:pt idx="1335">
                  <c:v>489.505</c:v>
                </c:pt>
                <c:pt idx="1336">
                  <c:v>489.505</c:v>
                </c:pt>
                <c:pt idx="1337">
                  <c:v>489.505</c:v>
                </c:pt>
                <c:pt idx="1338">
                  <c:v>489.505</c:v>
                </c:pt>
                <c:pt idx="1339">
                  <c:v>489.49798</c:v>
                </c:pt>
                <c:pt idx="1340">
                  <c:v>489.49798</c:v>
                </c:pt>
                <c:pt idx="1341">
                  <c:v>489.49798</c:v>
                </c:pt>
                <c:pt idx="1342">
                  <c:v>489.49798</c:v>
                </c:pt>
                <c:pt idx="1343">
                  <c:v>489.492</c:v>
                </c:pt>
                <c:pt idx="1344">
                  <c:v>489.493</c:v>
                </c:pt>
                <c:pt idx="1345">
                  <c:v>489.493</c:v>
                </c:pt>
                <c:pt idx="1346">
                  <c:v>489.493</c:v>
                </c:pt>
                <c:pt idx="1347">
                  <c:v>489.486</c:v>
                </c:pt>
                <c:pt idx="1348">
                  <c:v>489.486</c:v>
                </c:pt>
                <c:pt idx="1349">
                  <c:v>489.486</c:v>
                </c:pt>
                <c:pt idx="1350">
                  <c:v>489.486</c:v>
                </c:pt>
                <c:pt idx="1351">
                  <c:v>489.479</c:v>
                </c:pt>
                <c:pt idx="1352">
                  <c:v>489.479</c:v>
                </c:pt>
                <c:pt idx="1353">
                  <c:v>489.479</c:v>
                </c:pt>
                <c:pt idx="1354">
                  <c:v>489.479</c:v>
                </c:pt>
                <c:pt idx="1355">
                  <c:v>489.493</c:v>
                </c:pt>
                <c:pt idx="1356">
                  <c:v>489.499</c:v>
                </c:pt>
                <c:pt idx="1357">
                  <c:v>489.506</c:v>
                </c:pt>
                <c:pt idx="1358">
                  <c:v>489.506</c:v>
                </c:pt>
                <c:pt idx="1359">
                  <c:v>489.506</c:v>
                </c:pt>
                <c:pt idx="1360">
                  <c:v>489.505</c:v>
                </c:pt>
                <c:pt idx="1361">
                  <c:v>489.506</c:v>
                </c:pt>
                <c:pt idx="1362">
                  <c:v>489.505</c:v>
                </c:pt>
                <c:pt idx="1363">
                  <c:v>489.499</c:v>
                </c:pt>
                <c:pt idx="1364">
                  <c:v>489.505</c:v>
                </c:pt>
                <c:pt idx="1365">
                  <c:v>489.505</c:v>
                </c:pt>
                <c:pt idx="1366">
                  <c:v>489.492</c:v>
                </c:pt>
                <c:pt idx="1367">
                  <c:v>489.493</c:v>
                </c:pt>
                <c:pt idx="1368">
                  <c:v>489.486</c:v>
                </c:pt>
                <c:pt idx="1369">
                  <c:v>489.493</c:v>
                </c:pt>
                <c:pt idx="1370">
                  <c:v>489.486</c:v>
                </c:pt>
                <c:pt idx="1371">
                  <c:v>489.486</c:v>
                </c:pt>
                <c:pt idx="1372">
                  <c:v>489.48498</c:v>
                </c:pt>
                <c:pt idx="1373">
                  <c:v>489.486</c:v>
                </c:pt>
                <c:pt idx="1374">
                  <c:v>489.48498</c:v>
                </c:pt>
                <c:pt idx="1375">
                  <c:v>489.486</c:v>
                </c:pt>
                <c:pt idx="1376">
                  <c:v>489.486</c:v>
                </c:pt>
                <c:pt idx="1377">
                  <c:v>489.48498</c:v>
                </c:pt>
                <c:pt idx="1378">
                  <c:v>489.479</c:v>
                </c:pt>
                <c:pt idx="1379">
                  <c:v>489.486</c:v>
                </c:pt>
                <c:pt idx="1380">
                  <c:v>489.479</c:v>
                </c:pt>
                <c:pt idx="1381">
                  <c:v>489.479</c:v>
                </c:pt>
                <c:pt idx="1382">
                  <c:v>489.479</c:v>
                </c:pt>
                <c:pt idx="1383">
                  <c:v>489.479</c:v>
                </c:pt>
                <c:pt idx="1384">
                  <c:v>489.47198</c:v>
                </c:pt>
                <c:pt idx="1385">
                  <c:v>489.479</c:v>
                </c:pt>
                <c:pt idx="1386">
                  <c:v>489.48498</c:v>
                </c:pt>
                <c:pt idx="1387">
                  <c:v>489.493</c:v>
                </c:pt>
                <c:pt idx="1388">
                  <c:v>489.49798</c:v>
                </c:pt>
                <c:pt idx="1389">
                  <c:v>489.49798</c:v>
                </c:pt>
                <c:pt idx="1390">
                  <c:v>489.499</c:v>
                </c:pt>
                <c:pt idx="1391">
                  <c:v>489.492</c:v>
                </c:pt>
                <c:pt idx="1392">
                  <c:v>489.511</c:v>
                </c:pt>
                <c:pt idx="1393">
                  <c:v>489.531</c:v>
                </c:pt>
                <c:pt idx="1394">
                  <c:v>489.543</c:v>
                </c:pt>
                <c:pt idx="1395">
                  <c:v>489.543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</c:v>
                </c:pt>
                <c:pt idx="1400">
                  <c:v>489.556</c:v>
                </c:pt>
                <c:pt idx="1401">
                  <c:v>489.55</c:v>
                </c:pt>
                <c:pt idx="1402">
                  <c:v>489.556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</c:v>
                </c:pt>
                <c:pt idx="1407">
                  <c:v>489.562</c:v>
                </c:pt>
                <c:pt idx="1408">
                  <c:v>489.561</c:v>
                </c:pt>
                <c:pt idx="1409">
                  <c:v>489.556</c:v>
                </c:pt>
                <c:pt idx="1410">
                  <c:v>489.561</c:v>
                </c:pt>
                <c:pt idx="1411">
                  <c:v>489.556</c:v>
                </c:pt>
                <c:pt idx="1412">
                  <c:v>489.556</c:v>
                </c:pt>
                <c:pt idx="1413">
                  <c:v>489.543</c:v>
                </c:pt>
                <c:pt idx="1414">
                  <c:v>489.543</c:v>
                </c:pt>
                <c:pt idx="1415">
                  <c:v>489.543</c:v>
                </c:pt>
                <c:pt idx="1416">
                  <c:v>489.543</c:v>
                </c:pt>
                <c:pt idx="1417">
                  <c:v>489.543</c:v>
                </c:pt>
                <c:pt idx="1418">
                  <c:v>489.543</c:v>
                </c:pt>
                <c:pt idx="1419">
                  <c:v>489.537</c:v>
                </c:pt>
                <c:pt idx="1420">
                  <c:v>489.543</c:v>
                </c:pt>
                <c:pt idx="1421">
                  <c:v>489.537</c:v>
                </c:pt>
                <c:pt idx="1422">
                  <c:v>489.531</c:v>
                </c:pt>
                <c:pt idx="1423">
                  <c:v>489.537</c:v>
                </c:pt>
                <c:pt idx="1424">
                  <c:v>489.538</c:v>
                </c:pt>
                <c:pt idx="1425">
                  <c:v>489.537</c:v>
                </c:pt>
                <c:pt idx="1426">
                  <c:v>489.531</c:v>
                </c:pt>
                <c:pt idx="1427">
                  <c:v>489.531</c:v>
                </c:pt>
                <c:pt idx="1428">
                  <c:v>489.531</c:v>
                </c:pt>
                <c:pt idx="1429">
                  <c:v>489.531</c:v>
                </c:pt>
                <c:pt idx="1430">
                  <c:v>489.53</c:v>
                </c:pt>
                <c:pt idx="1431">
                  <c:v>489.537</c:v>
                </c:pt>
                <c:pt idx="1432">
                  <c:v>489.53</c:v>
                </c:pt>
                <c:pt idx="1433">
                  <c:v>489.536</c:v>
                </c:pt>
                <c:pt idx="1434">
                  <c:v>489.525</c:v>
                </c:pt>
                <c:pt idx="1435">
                  <c:v>489.499</c:v>
                </c:pt>
                <c:pt idx="1436">
                  <c:v>489.49798</c:v>
                </c:pt>
                <c:pt idx="1437">
                  <c:v>489.49798</c:v>
                </c:pt>
                <c:pt idx="1438">
                  <c:v>489.49798</c:v>
                </c:pt>
                <c:pt idx="1439">
                  <c:v>489.49798</c:v>
                </c:pt>
                <c:pt idx="1440">
                  <c:v>489.493</c:v>
                </c:pt>
                <c:pt idx="1441">
                  <c:v>489.492</c:v>
                </c:pt>
                <c:pt idx="1442">
                  <c:v>489.492</c:v>
                </c:pt>
                <c:pt idx="1443">
                  <c:v>489.492</c:v>
                </c:pt>
                <c:pt idx="1444">
                  <c:v>489.48498</c:v>
                </c:pt>
                <c:pt idx="1445">
                  <c:v>489.48498</c:v>
                </c:pt>
                <c:pt idx="1446">
                  <c:v>489.486</c:v>
                </c:pt>
                <c:pt idx="1447">
                  <c:v>489.48498</c:v>
                </c:pt>
                <c:pt idx="1448">
                  <c:v>489.479</c:v>
                </c:pt>
                <c:pt idx="1449">
                  <c:v>489.479</c:v>
                </c:pt>
                <c:pt idx="1450">
                  <c:v>489.48498</c:v>
                </c:pt>
                <c:pt idx="1451">
                  <c:v>489.479</c:v>
                </c:pt>
                <c:pt idx="1452">
                  <c:v>489.493</c:v>
                </c:pt>
                <c:pt idx="1453">
                  <c:v>489.493</c:v>
                </c:pt>
                <c:pt idx="1454">
                  <c:v>489.493</c:v>
                </c:pt>
                <c:pt idx="1455">
                  <c:v>489.492</c:v>
                </c:pt>
                <c:pt idx="1456">
                  <c:v>489.492</c:v>
                </c:pt>
                <c:pt idx="1457">
                  <c:v>489.492</c:v>
                </c:pt>
                <c:pt idx="1458">
                  <c:v>489.505</c:v>
                </c:pt>
                <c:pt idx="1459">
                  <c:v>489.511</c:v>
                </c:pt>
                <c:pt idx="1460">
                  <c:v>489.525</c:v>
                </c:pt>
                <c:pt idx="1461">
                  <c:v>489.53</c:v>
                </c:pt>
                <c:pt idx="1462">
                  <c:v>489.537</c:v>
                </c:pt>
                <c:pt idx="1463">
                  <c:v>489.543</c:v>
                </c:pt>
                <c:pt idx="1464">
                  <c:v>489.556</c:v>
                </c:pt>
                <c:pt idx="1465">
                  <c:v>489.569</c:v>
                </c:pt>
                <c:pt idx="1466">
                  <c:v>489.575</c:v>
                </c:pt>
                <c:pt idx="1467">
                  <c:v>489.589</c:v>
                </c:pt>
                <c:pt idx="1468">
                  <c:v>489.615</c:v>
                </c:pt>
                <c:pt idx="1469">
                  <c:v>489.63998</c:v>
                </c:pt>
                <c:pt idx="1470">
                  <c:v>489.659</c:v>
                </c:pt>
                <c:pt idx="1471">
                  <c:v>489.671</c:v>
                </c:pt>
                <c:pt idx="1472">
                  <c:v>489.691</c:v>
                </c:pt>
                <c:pt idx="1473">
                  <c:v>489.698</c:v>
                </c:pt>
                <c:pt idx="1474">
                  <c:v>489.712</c:v>
                </c:pt>
                <c:pt idx="1475">
                  <c:v>489.712</c:v>
                </c:pt>
                <c:pt idx="1476">
                  <c:v>489.717</c:v>
                </c:pt>
                <c:pt idx="1477">
                  <c:v>489.718</c:v>
                </c:pt>
                <c:pt idx="1478">
                  <c:v>489.725</c:v>
                </c:pt>
                <c:pt idx="1479">
                  <c:v>489.717</c:v>
                </c:pt>
                <c:pt idx="1480">
                  <c:v>489.717</c:v>
                </c:pt>
                <c:pt idx="1481">
                  <c:v>489.717</c:v>
                </c:pt>
                <c:pt idx="1482">
                  <c:v>489.717</c:v>
                </c:pt>
                <c:pt idx="1483">
                  <c:v>489.717</c:v>
                </c:pt>
                <c:pt idx="1484">
                  <c:v>489.711</c:v>
                </c:pt>
                <c:pt idx="1485">
                  <c:v>489.704</c:v>
                </c:pt>
                <c:pt idx="1486">
                  <c:v>489.717</c:v>
                </c:pt>
                <c:pt idx="1487">
                  <c:v>489.725</c:v>
                </c:pt>
                <c:pt idx="1488">
                  <c:v>489.73</c:v>
                </c:pt>
                <c:pt idx="1489">
                  <c:v>489.725</c:v>
                </c:pt>
                <c:pt idx="1490">
                  <c:v>489.725</c:v>
                </c:pt>
                <c:pt idx="1491">
                  <c:v>489.717</c:v>
                </c:pt>
                <c:pt idx="1492">
                  <c:v>489.712</c:v>
                </c:pt>
                <c:pt idx="1493">
                  <c:v>489.705</c:v>
                </c:pt>
                <c:pt idx="1494">
                  <c:v>489.705</c:v>
                </c:pt>
                <c:pt idx="1495">
                  <c:v>489.705</c:v>
                </c:pt>
                <c:pt idx="1496">
                  <c:v>489.698</c:v>
                </c:pt>
                <c:pt idx="1497">
                  <c:v>489.698</c:v>
                </c:pt>
                <c:pt idx="1498">
                  <c:v>489.691</c:v>
                </c:pt>
                <c:pt idx="1499">
                  <c:v>489.684</c:v>
                </c:pt>
                <c:pt idx="1500">
                  <c:v>489.684</c:v>
                </c:pt>
                <c:pt idx="1501">
                  <c:v>489.678</c:v>
                </c:pt>
                <c:pt idx="1502">
                  <c:v>489.677</c:v>
                </c:pt>
                <c:pt idx="1503">
                  <c:v>489.671</c:v>
                </c:pt>
                <c:pt idx="1504">
                  <c:v>489.671</c:v>
                </c:pt>
                <c:pt idx="1505">
                  <c:v>489.665</c:v>
                </c:pt>
                <c:pt idx="1506">
                  <c:v>489.665</c:v>
                </c:pt>
                <c:pt idx="1507">
                  <c:v>489.665</c:v>
                </c:pt>
                <c:pt idx="1508">
                  <c:v>489.658</c:v>
                </c:pt>
                <c:pt idx="1509">
                  <c:v>489.652</c:v>
                </c:pt>
                <c:pt idx="1510">
                  <c:v>489.652</c:v>
                </c:pt>
                <c:pt idx="1511">
                  <c:v>489.646</c:v>
                </c:pt>
                <c:pt idx="1512">
                  <c:v>489.63998</c:v>
                </c:pt>
                <c:pt idx="1513">
                  <c:v>489.63998</c:v>
                </c:pt>
                <c:pt idx="1514">
                  <c:v>489.639</c:v>
                </c:pt>
                <c:pt idx="1515">
                  <c:v>489.634</c:v>
                </c:pt>
                <c:pt idx="1516">
                  <c:v>489.634</c:v>
                </c:pt>
                <c:pt idx="1517">
                  <c:v>489.634</c:v>
                </c:pt>
                <c:pt idx="1518">
                  <c:v>489.628</c:v>
                </c:pt>
                <c:pt idx="1519">
                  <c:v>489.628</c:v>
                </c:pt>
                <c:pt idx="1520">
                  <c:v>489.621</c:v>
                </c:pt>
                <c:pt idx="1521">
                  <c:v>489.621</c:v>
                </c:pt>
                <c:pt idx="1522">
                  <c:v>489.621</c:v>
                </c:pt>
                <c:pt idx="1523">
                  <c:v>489.615</c:v>
                </c:pt>
                <c:pt idx="1524">
                  <c:v>489.615</c:v>
                </c:pt>
                <c:pt idx="1525">
                  <c:v>489.607</c:v>
                </c:pt>
                <c:pt idx="1526">
                  <c:v>489.607</c:v>
                </c:pt>
                <c:pt idx="1527">
                  <c:v>489.607</c:v>
                </c:pt>
                <c:pt idx="1528">
                  <c:v>489.607</c:v>
                </c:pt>
                <c:pt idx="1529">
                  <c:v>489.601</c:v>
                </c:pt>
                <c:pt idx="1530">
                  <c:v>489.602</c:v>
                </c:pt>
                <c:pt idx="1531">
                  <c:v>489.601</c:v>
                </c:pt>
                <c:pt idx="1532">
                  <c:v>489.594</c:v>
                </c:pt>
                <c:pt idx="1533">
                  <c:v>489.594</c:v>
                </c:pt>
                <c:pt idx="1534">
                  <c:v>489.594</c:v>
                </c:pt>
                <c:pt idx="1535">
                  <c:v>489.588</c:v>
                </c:pt>
                <c:pt idx="1536">
                  <c:v>489.588</c:v>
                </c:pt>
                <c:pt idx="1537">
                  <c:v>489.581</c:v>
                </c:pt>
                <c:pt idx="1538">
                  <c:v>489.581</c:v>
                </c:pt>
                <c:pt idx="1539">
                  <c:v>489.581</c:v>
                </c:pt>
                <c:pt idx="1540">
                  <c:v>489.575</c:v>
                </c:pt>
                <c:pt idx="1541">
                  <c:v>489.575</c:v>
                </c:pt>
                <c:pt idx="1542">
                  <c:v>489.575</c:v>
                </c:pt>
                <c:pt idx="1543">
                  <c:v>489.575</c:v>
                </c:pt>
                <c:pt idx="1544">
                  <c:v>489.569</c:v>
                </c:pt>
                <c:pt idx="1545">
                  <c:v>489.568</c:v>
                </c:pt>
                <c:pt idx="1546">
                  <c:v>489.566</c:v>
                </c:pt>
                <c:pt idx="1547">
                  <c:v>489.562</c:v>
                </c:pt>
                <c:pt idx="1548">
                  <c:v>489.562</c:v>
                </c:pt>
                <c:pt idx="1549">
                  <c:v>489.562</c:v>
                </c:pt>
                <c:pt idx="1550">
                  <c:v>489.561</c:v>
                </c:pt>
                <c:pt idx="1551">
                  <c:v>489.561</c:v>
                </c:pt>
                <c:pt idx="1552">
                  <c:v>489.555</c:v>
                </c:pt>
                <c:pt idx="1553">
                  <c:v>489.562</c:v>
                </c:pt>
                <c:pt idx="1554">
                  <c:v>489.561</c:v>
                </c:pt>
                <c:pt idx="1555">
                  <c:v>489.556</c:v>
                </c:pt>
                <c:pt idx="1556">
                  <c:v>489.556</c:v>
                </c:pt>
                <c:pt idx="1557">
                  <c:v>489.561</c:v>
                </c:pt>
                <c:pt idx="1558">
                  <c:v>489.562</c:v>
                </c:pt>
                <c:pt idx="1559">
                  <c:v>489.562</c:v>
                </c:pt>
                <c:pt idx="1560">
                  <c:v>489.568</c:v>
                </c:pt>
                <c:pt idx="1561">
                  <c:v>489.562</c:v>
                </c:pt>
                <c:pt idx="1562">
                  <c:v>489.562</c:v>
                </c:pt>
                <c:pt idx="1563">
                  <c:v>489.562</c:v>
                </c:pt>
                <c:pt idx="1564">
                  <c:v>489.562</c:v>
                </c:pt>
                <c:pt idx="1565">
                  <c:v>489.562</c:v>
                </c:pt>
                <c:pt idx="1566">
                  <c:v>489.557</c:v>
                </c:pt>
                <c:pt idx="1567">
                  <c:v>489.557</c:v>
                </c:pt>
                <c:pt idx="1568">
                  <c:v>489.556</c:v>
                </c:pt>
                <c:pt idx="1569">
                  <c:v>489.557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</c:v>
                </c:pt>
                <c:pt idx="1575">
                  <c:v>489.549</c:v>
                </c:pt>
                <c:pt idx="1576">
                  <c:v>489.543</c:v>
                </c:pt>
                <c:pt idx="1577">
                  <c:v>489.543</c:v>
                </c:pt>
                <c:pt idx="1578">
                  <c:v>489.543</c:v>
                </c:pt>
                <c:pt idx="1579">
                  <c:v>489.543</c:v>
                </c:pt>
                <c:pt idx="1580">
                  <c:v>489.543</c:v>
                </c:pt>
                <c:pt idx="1581">
                  <c:v>489.543</c:v>
                </c:pt>
                <c:pt idx="1582">
                  <c:v>489.543</c:v>
                </c:pt>
                <c:pt idx="1583">
                  <c:v>489.543</c:v>
                </c:pt>
                <c:pt idx="1584">
                  <c:v>489.537</c:v>
                </c:pt>
                <c:pt idx="1585">
                  <c:v>489.542</c:v>
                </c:pt>
                <c:pt idx="1586">
                  <c:v>489.537</c:v>
                </c:pt>
                <c:pt idx="1587">
                  <c:v>489.537</c:v>
                </c:pt>
                <c:pt idx="1588">
                  <c:v>489.537</c:v>
                </c:pt>
                <c:pt idx="1589">
                  <c:v>489.537</c:v>
                </c:pt>
                <c:pt idx="1590">
                  <c:v>489.531</c:v>
                </c:pt>
                <c:pt idx="1591">
                  <c:v>489.531</c:v>
                </c:pt>
                <c:pt idx="1592">
                  <c:v>489.531</c:v>
                </c:pt>
                <c:pt idx="1593">
                  <c:v>489.531</c:v>
                </c:pt>
                <c:pt idx="1594">
                  <c:v>489.531</c:v>
                </c:pt>
                <c:pt idx="1595">
                  <c:v>489.53</c:v>
                </c:pt>
                <c:pt idx="1596">
                  <c:v>489.525</c:v>
                </c:pt>
                <c:pt idx="1597">
                  <c:v>489.525</c:v>
                </c:pt>
                <c:pt idx="1598">
                  <c:v>489.525</c:v>
                </c:pt>
                <c:pt idx="1599">
                  <c:v>489.525</c:v>
                </c:pt>
                <c:pt idx="1600">
                  <c:v>489.525</c:v>
                </c:pt>
                <c:pt idx="1601">
                  <c:v>489.525</c:v>
                </c:pt>
                <c:pt idx="1602">
                  <c:v>489.525</c:v>
                </c:pt>
                <c:pt idx="1603">
                  <c:v>489.525</c:v>
                </c:pt>
                <c:pt idx="1604">
                  <c:v>489.525</c:v>
                </c:pt>
                <c:pt idx="1605">
                  <c:v>489.518</c:v>
                </c:pt>
                <c:pt idx="1606">
                  <c:v>489.518</c:v>
                </c:pt>
                <c:pt idx="1607">
                  <c:v>489.518</c:v>
                </c:pt>
                <c:pt idx="1608">
                  <c:v>489.518</c:v>
                </c:pt>
                <c:pt idx="1609">
                  <c:v>489.518</c:v>
                </c:pt>
                <c:pt idx="1610">
                  <c:v>489.511</c:v>
                </c:pt>
                <c:pt idx="1611">
                  <c:v>489.511</c:v>
                </c:pt>
                <c:pt idx="1612">
                  <c:v>489.511</c:v>
                </c:pt>
                <c:pt idx="1613">
                  <c:v>489.511</c:v>
                </c:pt>
                <c:pt idx="1614">
                  <c:v>489.506</c:v>
                </c:pt>
                <c:pt idx="1615">
                  <c:v>489.512</c:v>
                </c:pt>
                <c:pt idx="1616">
                  <c:v>489.506</c:v>
                </c:pt>
                <c:pt idx="1617">
                  <c:v>489.506</c:v>
                </c:pt>
                <c:pt idx="1618">
                  <c:v>489.506</c:v>
                </c:pt>
                <c:pt idx="1619">
                  <c:v>489.506</c:v>
                </c:pt>
                <c:pt idx="1620">
                  <c:v>489.506</c:v>
                </c:pt>
                <c:pt idx="1621">
                  <c:v>489.506</c:v>
                </c:pt>
                <c:pt idx="1622">
                  <c:v>489.505</c:v>
                </c:pt>
                <c:pt idx="1623">
                  <c:v>489.505</c:v>
                </c:pt>
                <c:pt idx="1624">
                  <c:v>489.49798</c:v>
                </c:pt>
                <c:pt idx="1625">
                  <c:v>489.49798</c:v>
                </c:pt>
                <c:pt idx="1626">
                  <c:v>489.49798</c:v>
                </c:pt>
                <c:pt idx="1627">
                  <c:v>489.49798</c:v>
                </c:pt>
                <c:pt idx="1628">
                  <c:v>489.49798</c:v>
                </c:pt>
                <c:pt idx="1629">
                  <c:v>489.505</c:v>
                </c:pt>
                <c:pt idx="1630">
                  <c:v>489.505</c:v>
                </c:pt>
                <c:pt idx="1631">
                  <c:v>489.511</c:v>
                </c:pt>
                <c:pt idx="1632">
                  <c:v>489.511</c:v>
                </c:pt>
                <c:pt idx="1633">
                  <c:v>489.511</c:v>
                </c:pt>
                <c:pt idx="1634">
                  <c:v>489.511</c:v>
                </c:pt>
                <c:pt idx="1635">
                  <c:v>489.511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</c:v>
                </c:pt>
                <c:pt idx="1640">
                  <c:v>489.512</c:v>
                </c:pt>
                <c:pt idx="1641">
                  <c:v>489.506</c:v>
                </c:pt>
                <c:pt idx="1642">
                  <c:v>489.506</c:v>
                </c:pt>
                <c:pt idx="1643">
                  <c:v>489.506</c:v>
                </c:pt>
                <c:pt idx="1644">
                  <c:v>489.506</c:v>
                </c:pt>
                <c:pt idx="1645">
                  <c:v>489.505</c:v>
                </c:pt>
                <c:pt idx="1646">
                  <c:v>489.505</c:v>
                </c:pt>
                <c:pt idx="1647">
                  <c:v>489.511</c:v>
                </c:pt>
                <c:pt idx="1648">
                  <c:v>489.504</c:v>
                </c:pt>
                <c:pt idx="1649">
                  <c:v>489.511</c:v>
                </c:pt>
                <c:pt idx="1650">
                  <c:v>489.504</c:v>
                </c:pt>
                <c:pt idx="1651">
                  <c:v>489.505</c:v>
                </c:pt>
                <c:pt idx="1652">
                  <c:v>489.504</c:v>
                </c:pt>
                <c:pt idx="1653">
                  <c:v>489.49798</c:v>
                </c:pt>
                <c:pt idx="1654">
                  <c:v>489.49798</c:v>
                </c:pt>
                <c:pt idx="1655">
                  <c:v>489.49798</c:v>
                </c:pt>
                <c:pt idx="1656">
                  <c:v>489.492</c:v>
                </c:pt>
                <c:pt idx="1657">
                  <c:v>489.492</c:v>
                </c:pt>
                <c:pt idx="1658">
                  <c:v>489.492</c:v>
                </c:pt>
                <c:pt idx="1659">
                  <c:v>489.492</c:v>
                </c:pt>
                <c:pt idx="1660">
                  <c:v>489.492</c:v>
                </c:pt>
                <c:pt idx="1661">
                  <c:v>489.493</c:v>
                </c:pt>
                <c:pt idx="1662">
                  <c:v>489.493</c:v>
                </c:pt>
                <c:pt idx="1663">
                  <c:v>489.48498</c:v>
                </c:pt>
                <c:pt idx="1664">
                  <c:v>489.48498</c:v>
                </c:pt>
                <c:pt idx="1665">
                  <c:v>489.48498</c:v>
                </c:pt>
                <c:pt idx="1666">
                  <c:v>489.48498</c:v>
                </c:pt>
                <c:pt idx="1667">
                  <c:v>489.486</c:v>
                </c:pt>
                <c:pt idx="1668">
                  <c:v>489.48498</c:v>
                </c:pt>
                <c:pt idx="1669">
                  <c:v>489.48498</c:v>
                </c:pt>
                <c:pt idx="1670">
                  <c:v>489.484</c:v>
                </c:pt>
                <c:pt idx="1671">
                  <c:v>489.48498</c:v>
                </c:pt>
                <c:pt idx="1672">
                  <c:v>489.479</c:v>
                </c:pt>
                <c:pt idx="1673">
                  <c:v>489.48498</c:v>
                </c:pt>
                <c:pt idx="1674">
                  <c:v>489.478</c:v>
                </c:pt>
                <c:pt idx="1675">
                  <c:v>489.479</c:v>
                </c:pt>
                <c:pt idx="1676">
                  <c:v>489.478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</c:v>
                </c:pt>
                <c:pt idx="1680">
                  <c:v>489.465</c:v>
                </c:pt>
                <c:pt idx="1681">
                  <c:v>489.465</c:v>
                </c:pt>
                <c:pt idx="1682">
                  <c:v>489.465</c:v>
                </c:pt>
                <c:pt idx="1683">
                  <c:v>489.465</c:v>
                </c:pt>
                <c:pt idx="1684">
                  <c:v>489.46</c:v>
                </c:pt>
                <c:pt idx="1685">
                  <c:v>489.465</c:v>
                </c:pt>
                <c:pt idx="1686">
                  <c:v>489.46</c:v>
                </c:pt>
                <c:pt idx="1687">
                  <c:v>489.465</c:v>
                </c:pt>
                <c:pt idx="1688">
                  <c:v>489.46</c:v>
                </c:pt>
                <c:pt idx="1689">
                  <c:v>489.46</c:v>
                </c:pt>
                <c:pt idx="1690">
                  <c:v>489.46</c:v>
                </c:pt>
                <c:pt idx="1691">
                  <c:v>489.46</c:v>
                </c:pt>
                <c:pt idx="1692">
                  <c:v>489.453</c:v>
                </c:pt>
                <c:pt idx="1693">
                  <c:v>489.452</c:v>
                </c:pt>
                <c:pt idx="1694">
                  <c:v>489.452</c:v>
                </c:pt>
                <c:pt idx="1695">
                  <c:v>489.452</c:v>
                </c:pt>
                <c:pt idx="1696">
                  <c:v>489.45898</c:v>
                </c:pt>
                <c:pt idx="1697">
                  <c:v>489.452</c:v>
                </c:pt>
                <c:pt idx="1698">
                  <c:v>489.452</c:v>
                </c:pt>
                <c:pt idx="1699">
                  <c:v>489.452</c:v>
                </c:pt>
                <c:pt idx="1700">
                  <c:v>489.452</c:v>
                </c:pt>
                <c:pt idx="1701">
                  <c:v>489.447</c:v>
                </c:pt>
                <c:pt idx="1702">
                  <c:v>489.44598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</c:v>
                </c:pt>
                <c:pt idx="1706">
                  <c:v>489.44</c:v>
                </c:pt>
                <c:pt idx="1707">
                  <c:v>489.44</c:v>
                </c:pt>
                <c:pt idx="1708">
                  <c:v>489.44</c:v>
                </c:pt>
                <c:pt idx="1709">
                  <c:v>489.44</c:v>
                </c:pt>
                <c:pt idx="1710">
                  <c:v>489.434</c:v>
                </c:pt>
                <c:pt idx="1711">
                  <c:v>489.434</c:v>
                </c:pt>
                <c:pt idx="1712">
                  <c:v>489.434</c:v>
                </c:pt>
                <c:pt idx="1713">
                  <c:v>489.434</c:v>
                </c:pt>
                <c:pt idx="1714">
                  <c:v>489.434</c:v>
                </c:pt>
                <c:pt idx="1715">
                  <c:v>489.434</c:v>
                </c:pt>
                <c:pt idx="1716">
                  <c:v>489.434</c:v>
                </c:pt>
                <c:pt idx="1717">
                  <c:v>489.434</c:v>
                </c:pt>
                <c:pt idx="1718">
                  <c:v>489.434</c:v>
                </c:pt>
                <c:pt idx="1719">
                  <c:v>489.43298</c:v>
                </c:pt>
                <c:pt idx="1720">
                  <c:v>489.43298</c:v>
                </c:pt>
                <c:pt idx="1721">
                  <c:v>489.43298</c:v>
                </c:pt>
                <c:pt idx="1722">
                  <c:v>489.43298</c:v>
                </c:pt>
                <c:pt idx="1723">
                  <c:v>489.428</c:v>
                </c:pt>
                <c:pt idx="1724">
                  <c:v>489.421</c:v>
                </c:pt>
                <c:pt idx="1725">
                  <c:v>489.421</c:v>
                </c:pt>
                <c:pt idx="1726">
                  <c:v>489.421</c:v>
                </c:pt>
                <c:pt idx="1727">
                  <c:v>489.421</c:v>
                </c:pt>
                <c:pt idx="1728">
                  <c:v>489.422</c:v>
                </c:pt>
                <c:pt idx="1729">
                  <c:v>489.415</c:v>
                </c:pt>
                <c:pt idx="1730">
                  <c:v>489.415</c:v>
                </c:pt>
                <c:pt idx="1731">
                  <c:v>489.415</c:v>
                </c:pt>
                <c:pt idx="1732">
                  <c:v>489.415</c:v>
                </c:pt>
                <c:pt idx="1733">
                  <c:v>489.41598</c:v>
                </c:pt>
                <c:pt idx="1734">
                  <c:v>489.409</c:v>
                </c:pt>
                <c:pt idx="1735">
                  <c:v>489.415</c:v>
                </c:pt>
                <c:pt idx="1736">
                  <c:v>489.409</c:v>
                </c:pt>
                <c:pt idx="1737">
                  <c:v>489.409</c:v>
                </c:pt>
                <c:pt idx="1738">
                  <c:v>489.409</c:v>
                </c:pt>
                <c:pt idx="1739">
                  <c:v>489.409</c:v>
                </c:pt>
                <c:pt idx="1740">
                  <c:v>489.409</c:v>
                </c:pt>
                <c:pt idx="1741">
                  <c:v>489.409</c:v>
                </c:pt>
                <c:pt idx="1742">
                  <c:v>489.409</c:v>
                </c:pt>
                <c:pt idx="1743">
                  <c:v>489.415</c:v>
                </c:pt>
                <c:pt idx="1744">
                  <c:v>489.415</c:v>
                </c:pt>
                <c:pt idx="1745">
                  <c:v>489.415</c:v>
                </c:pt>
                <c:pt idx="1746">
                  <c:v>489.415</c:v>
                </c:pt>
                <c:pt idx="1747">
                  <c:v>489.415</c:v>
                </c:pt>
                <c:pt idx="1748">
                  <c:v>489.408</c:v>
                </c:pt>
                <c:pt idx="1749">
                  <c:v>489.408</c:v>
                </c:pt>
                <c:pt idx="1750">
                  <c:v>489.401</c:v>
                </c:pt>
                <c:pt idx="1751">
                  <c:v>489.402</c:v>
                </c:pt>
                <c:pt idx="1752">
                  <c:v>489.402</c:v>
                </c:pt>
                <c:pt idx="1753">
                  <c:v>489.402</c:v>
                </c:pt>
                <c:pt idx="1754">
                  <c:v>489.396</c:v>
                </c:pt>
                <c:pt idx="1755">
                  <c:v>489.396</c:v>
                </c:pt>
                <c:pt idx="1756">
                  <c:v>489.396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Volume (M3)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757"/>
                <c:pt idx="0">
                  <c:v>1607444.5930314</c:v>
                </c:pt>
                <c:pt idx="1">
                  <c:v>1604446.718559</c:v>
                </c:pt>
                <c:pt idx="2">
                  <c:v>1604446.718559</c:v>
                </c:pt>
                <c:pt idx="3">
                  <c:v>1607444.5930314</c:v>
                </c:pt>
                <c:pt idx="4">
                  <c:v>1604446.718559</c:v>
                </c:pt>
                <c:pt idx="5">
                  <c:v>1607444.5930314</c:v>
                </c:pt>
                <c:pt idx="6">
                  <c:v>1607444.5930314</c:v>
                </c:pt>
                <c:pt idx="7">
                  <c:v>1607444.5930314</c:v>
                </c:pt>
                <c:pt idx="8">
                  <c:v>1604446.718559</c:v>
                </c:pt>
                <c:pt idx="9">
                  <c:v>1607444.5930314</c:v>
                </c:pt>
                <c:pt idx="10">
                  <c:v>1607444.5930314</c:v>
                </c:pt>
                <c:pt idx="11">
                  <c:v>1607444.5930314</c:v>
                </c:pt>
                <c:pt idx="12">
                  <c:v>1607444.5930314</c:v>
                </c:pt>
                <c:pt idx="13">
                  <c:v>1607444.5930314</c:v>
                </c:pt>
                <c:pt idx="14">
                  <c:v>1607444.5930314</c:v>
                </c:pt>
                <c:pt idx="15">
                  <c:v>1610444.0173448</c:v>
                </c:pt>
                <c:pt idx="16">
                  <c:v>1610444.0173448</c:v>
                </c:pt>
                <c:pt idx="17">
                  <c:v>1610444.0173448</c:v>
                </c:pt>
                <c:pt idx="18">
                  <c:v>1610444.0173448</c:v>
                </c:pt>
                <c:pt idx="19">
                  <c:v>1610444.0173448</c:v>
                </c:pt>
                <c:pt idx="20">
                  <c:v>1613444.9319478</c:v>
                </c:pt>
                <c:pt idx="21">
                  <c:v>1610444.0173448</c:v>
                </c:pt>
                <c:pt idx="22">
                  <c:v>1613444.9319478</c:v>
                </c:pt>
                <c:pt idx="23">
                  <c:v>1613444.9319478</c:v>
                </c:pt>
                <c:pt idx="24">
                  <c:v>1613444.9319478</c:v>
                </c:pt>
                <c:pt idx="25">
                  <c:v>1613444.9319478</c:v>
                </c:pt>
                <c:pt idx="26">
                  <c:v>1613444.9319478</c:v>
                </c:pt>
                <c:pt idx="27">
                  <c:v>1613444.9319478</c:v>
                </c:pt>
                <c:pt idx="28">
                  <c:v>1613444.9319478</c:v>
                </c:pt>
                <c:pt idx="29">
                  <c:v>1613444.9319478</c:v>
                </c:pt>
                <c:pt idx="30">
                  <c:v>1613444.9319478</c:v>
                </c:pt>
                <c:pt idx="31">
                  <c:v>1613444.9319478</c:v>
                </c:pt>
                <c:pt idx="32">
                  <c:v>1613444.9319478</c:v>
                </c:pt>
                <c:pt idx="33">
                  <c:v>1613444.9319478</c:v>
                </c:pt>
                <c:pt idx="34">
                  <c:v>1613444.9319478</c:v>
                </c:pt>
                <c:pt idx="35">
                  <c:v>1616447.3000027</c:v>
                </c:pt>
                <c:pt idx="36">
                  <c:v>1613444.9319478</c:v>
                </c:pt>
                <c:pt idx="37">
                  <c:v>1613444.9319478</c:v>
                </c:pt>
                <c:pt idx="38">
                  <c:v>1613444.9319478</c:v>
                </c:pt>
                <c:pt idx="39">
                  <c:v>1613444.9319478</c:v>
                </c:pt>
                <c:pt idx="40">
                  <c:v>1613444.9319478</c:v>
                </c:pt>
                <c:pt idx="41">
                  <c:v>1613444.9319478</c:v>
                </c:pt>
                <c:pt idx="42">
                  <c:v>1613444.9319478</c:v>
                </c:pt>
                <c:pt idx="43">
                  <c:v>1613444.9319478</c:v>
                </c:pt>
                <c:pt idx="44">
                  <c:v>1616447.3000027</c:v>
                </c:pt>
                <c:pt idx="45">
                  <c:v>1613444.9319478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</c:v>
                </c:pt>
                <c:pt idx="129">
                  <c:v>1616447.3000027</c:v>
                </c:pt>
                <c:pt idx="130">
                  <c:v>1619451.3170382</c:v>
                </c:pt>
                <c:pt idx="131">
                  <c:v>1619451.3170382</c:v>
                </c:pt>
                <c:pt idx="132">
                  <c:v>1619451.3170382</c:v>
                </c:pt>
                <c:pt idx="133">
                  <c:v>1619451.3170382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</c:v>
                </c:pt>
                <c:pt idx="138">
                  <c:v>1619451.3170382</c:v>
                </c:pt>
                <c:pt idx="139">
                  <c:v>1619451.3170382</c:v>
                </c:pt>
                <c:pt idx="140">
                  <c:v>1619451.3170382</c:v>
                </c:pt>
                <c:pt idx="141">
                  <c:v>1619451.3170382</c:v>
                </c:pt>
                <c:pt idx="142">
                  <c:v>1619451.3170382</c:v>
                </c:pt>
                <c:pt idx="143">
                  <c:v>1619451.3170382</c:v>
                </c:pt>
                <c:pt idx="144">
                  <c:v>1619451.3170382</c:v>
                </c:pt>
                <c:pt idx="145">
                  <c:v>1619451.3170382</c:v>
                </c:pt>
                <c:pt idx="146">
                  <c:v>1619451.3170382</c:v>
                </c:pt>
                <c:pt idx="147">
                  <c:v>1619451.3170382</c:v>
                </c:pt>
                <c:pt idx="148">
                  <c:v>1619451.3170382</c:v>
                </c:pt>
                <c:pt idx="149">
                  <c:v>1619451.3170382</c:v>
                </c:pt>
                <c:pt idx="150">
                  <c:v>1619451.3170382</c:v>
                </c:pt>
                <c:pt idx="151">
                  <c:v>1619451.3170382</c:v>
                </c:pt>
                <c:pt idx="152">
                  <c:v>1619451.3170382</c:v>
                </c:pt>
                <c:pt idx="153">
                  <c:v>1619451.3170382</c:v>
                </c:pt>
                <c:pt idx="154">
                  <c:v>1619451.3170382</c:v>
                </c:pt>
                <c:pt idx="155">
                  <c:v>1619451.3170382</c:v>
                </c:pt>
                <c:pt idx="156">
                  <c:v>1619451.3170382</c:v>
                </c:pt>
                <c:pt idx="157">
                  <c:v>1619451.3170382</c:v>
                </c:pt>
                <c:pt idx="158">
                  <c:v>1619451.3170382</c:v>
                </c:pt>
                <c:pt idx="159">
                  <c:v>1619451.3170382</c:v>
                </c:pt>
                <c:pt idx="160">
                  <c:v>1619451.3170382</c:v>
                </c:pt>
                <c:pt idx="161">
                  <c:v>1619451.3170382</c:v>
                </c:pt>
                <c:pt idx="162">
                  <c:v>1619451.3170382</c:v>
                </c:pt>
                <c:pt idx="163">
                  <c:v>1619451.3170382</c:v>
                </c:pt>
                <c:pt idx="164">
                  <c:v>1619451.3170382</c:v>
                </c:pt>
                <c:pt idx="165">
                  <c:v>1619451.3170382</c:v>
                </c:pt>
                <c:pt idx="166">
                  <c:v>1619451.3170382</c:v>
                </c:pt>
                <c:pt idx="167">
                  <c:v>1619451.3170382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</c:v>
                </c:pt>
                <c:pt idx="171">
                  <c:v>1628472.3057532</c:v>
                </c:pt>
                <c:pt idx="172">
                  <c:v>1628472.3057532</c:v>
                </c:pt>
                <c:pt idx="173">
                  <c:v>1628472.3057532</c:v>
                </c:pt>
                <c:pt idx="174">
                  <c:v>1628472.3057532</c:v>
                </c:pt>
                <c:pt idx="175">
                  <c:v>1628472.3057532</c:v>
                </c:pt>
                <c:pt idx="176">
                  <c:v>1628472.3057532</c:v>
                </c:pt>
                <c:pt idx="177">
                  <c:v>1628472.3057532</c:v>
                </c:pt>
                <c:pt idx="178">
                  <c:v>1628472.3057532</c:v>
                </c:pt>
                <c:pt idx="179">
                  <c:v>1628472.3057532</c:v>
                </c:pt>
                <c:pt idx="180">
                  <c:v>1628472.3057532</c:v>
                </c:pt>
                <c:pt idx="181">
                  <c:v>1628472.3057532</c:v>
                </c:pt>
                <c:pt idx="182">
                  <c:v>1628472.3057532</c:v>
                </c:pt>
                <c:pt idx="183">
                  <c:v>1628472.3057532</c:v>
                </c:pt>
                <c:pt idx="184">
                  <c:v>1628472.3057532</c:v>
                </c:pt>
                <c:pt idx="185">
                  <c:v>1628472.3057532</c:v>
                </c:pt>
                <c:pt idx="186">
                  <c:v>1628472.3057532</c:v>
                </c:pt>
                <c:pt idx="187">
                  <c:v>1628472.3057532</c:v>
                </c:pt>
                <c:pt idx="188">
                  <c:v>1628472.3057532</c:v>
                </c:pt>
                <c:pt idx="189">
                  <c:v>1628472.3057532</c:v>
                </c:pt>
                <c:pt idx="190">
                  <c:v>1628472.3057532</c:v>
                </c:pt>
                <c:pt idx="191">
                  <c:v>1628472.3057532</c:v>
                </c:pt>
                <c:pt idx="192">
                  <c:v>1628472.3057532</c:v>
                </c:pt>
                <c:pt idx="193">
                  <c:v>1628472.3057532</c:v>
                </c:pt>
                <c:pt idx="194">
                  <c:v>1628472.3057532</c:v>
                </c:pt>
                <c:pt idx="195">
                  <c:v>1628472.3057532</c:v>
                </c:pt>
                <c:pt idx="196">
                  <c:v>1628472.3057532</c:v>
                </c:pt>
                <c:pt idx="197">
                  <c:v>1628472.3057532</c:v>
                </c:pt>
                <c:pt idx="198">
                  <c:v>1628472.3057532</c:v>
                </c:pt>
                <c:pt idx="199">
                  <c:v>1628472.3057532</c:v>
                </c:pt>
                <c:pt idx="200">
                  <c:v>1628472.3057532</c:v>
                </c:pt>
                <c:pt idx="201">
                  <c:v>1628472.3057532</c:v>
                </c:pt>
                <c:pt idx="202">
                  <c:v>1628472.3057532</c:v>
                </c:pt>
                <c:pt idx="203">
                  <c:v>1628472.3057532</c:v>
                </c:pt>
                <c:pt idx="204">
                  <c:v>1628472.3057532</c:v>
                </c:pt>
                <c:pt idx="205">
                  <c:v>1628472.3057532</c:v>
                </c:pt>
                <c:pt idx="206">
                  <c:v>1628472.3057532</c:v>
                </c:pt>
                <c:pt idx="207">
                  <c:v>1628472.3057532</c:v>
                </c:pt>
                <c:pt idx="208">
                  <c:v>1628472.3057532</c:v>
                </c:pt>
                <c:pt idx="209">
                  <c:v>1628472.3057532</c:v>
                </c:pt>
                <c:pt idx="210">
                  <c:v>1628472.3057532</c:v>
                </c:pt>
                <c:pt idx="211">
                  <c:v>1628472.3057532</c:v>
                </c:pt>
                <c:pt idx="212">
                  <c:v>1628472.3057532</c:v>
                </c:pt>
                <c:pt idx="213">
                  <c:v>1628472.3057532</c:v>
                </c:pt>
                <c:pt idx="214">
                  <c:v>1628472.3057532</c:v>
                </c:pt>
                <c:pt idx="215">
                  <c:v>1628472.3057532</c:v>
                </c:pt>
                <c:pt idx="216">
                  <c:v>1628472.3057532</c:v>
                </c:pt>
                <c:pt idx="217">
                  <c:v>1631482.3951735</c:v>
                </c:pt>
                <c:pt idx="218">
                  <c:v>1631482.3951735</c:v>
                </c:pt>
                <c:pt idx="219">
                  <c:v>1631482.3951735</c:v>
                </c:pt>
                <c:pt idx="220">
                  <c:v>1631482.3951735</c:v>
                </c:pt>
                <c:pt idx="221">
                  <c:v>1634494.0165123</c:v>
                </c:pt>
                <c:pt idx="222">
                  <c:v>1634494.0165123</c:v>
                </c:pt>
                <c:pt idx="223">
                  <c:v>1634494.0165123</c:v>
                </c:pt>
                <c:pt idx="224">
                  <c:v>1634494.0165123</c:v>
                </c:pt>
                <c:pt idx="225">
                  <c:v>1634494.0165123</c:v>
                </c:pt>
                <c:pt idx="226">
                  <c:v>1634494.0165123</c:v>
                </c:pt>
                <c:pt idx="227">
                  <c:v>1634494.0165123</c:v>
                </c:pt>
                <c:pt idx="228">
                  <c:v>1634494.0165123</c:v>
                </c:pt>
                <c:pt idx="229">
                  <c:v>1634494.0165123</c:v>
                </c:pt>
                <c:pt idx="230">
                  <c:v>1634494.0165123</c:v>
                </c:pt>
                <c:pt idx="231">
                  <c:v>1634494.0165123</c:v>
                </c:pt>
                <c:pt idx="232">
                  <c:v>1634494.0165123</c:v>
                </c:pt>
                <c:pt idx="233">
                  <c:v>1634494.0165123</c:v>
                </c:pt>
                <c:pt idx="234">
                  <c:v>1634494.0165123</c:v>
                </c:pt>
                <c:pt idx="235">
                  <c:v>1634494.0165123</c:v>
                </c:pt>
                <c:pt idx="236">
                  <c:v>1634494.0165123</c:v>
                </c:pt>
                <c:pt idx="237">
                  <c:v>1634494.0165123</c:v>
                </c:pt>
                <c:pt idx="238">
                  <c:v>1634494.0165123</c:v>
                </c:pt>
                <c:pt idx="239">
                  <c:v>1634494.0165123</c:v>
                </c:pt>
                <c:pt idx="240">
                  <c:v>1634494.0165123</c:v>
                </c:pt>
                <c:pt idx="241">
                  <c:v>1634494.0165123</c:v>
                </c:pt>
                <c:pt idx="242">
                  <c:v>1634494.0165123</c:v>
                </c:pt>
                <c:pt idx="243">
                  <c:v>1634494.0165123</c:v>
                </c:pt>
                <c:pt idx="244">
                  <c:v>1634494.0165123</c:v>
                </c:pt>
                <c:pt idx="245">
                  <c:v>1634494.0165123</c:v>
                </c:pt>
                <c:pt idx="246">
                  <c:v>1634494.0165123</c:v>
                </c:pt>
                <c:pt idx="247">
                  <c:v>1634494.0165123</c:v>
                </c:pt>
                <c:pt idx="248">
                  <c:v>1634494.0165123</c:v>
                </c:pt>
                <c:pt idx="249">
                  <c:v>1634494.0165123</c:v>
                </c:pt>
                <c:pt idx="250">
                  <c:v>1634494.0165123</c:v>
                </c:pt>
                <c:pt idx="251">
                  <c:v>1634494.0165123</c:v>
                </c:pt>
                <c:pt idx="252">
                  <c:v>1634494.0165123</c:v>
                </c:pt>
                <c:pt idx="253">
                  <c:v>1634494.0165123</c:v>
                </c:pt>
                <c:pt idx="254">
                  <c:v>1634494.0165123</c:v>
                </c:pt>
                <c:pt idx="255">
                  <c:v>1634494.0165123</c:v>
                </c:pt>
                <c:pt idx="256">
                  <c:v>1634494.0165123</c:v>
                </c:pt>
                <c:pt idx="257">
                  <c:v>1634494.0165123</c:v>
                </c:pt>
                <c:pt idx="258">
                  <c:v>1634494.0165123</c:v>
                </c:pt>
                <c:pt idx="259">
                  <c:v>1634494.0165123</c:v>
                </c:pt>
                <c:pt idx="260">
                  <c:v>1634494.0165123</c:v>
                </c:pt>
                <c:pt idx="261">
                  <c:v>1634494.0165123</c:v>
                </c:pt>
                <c:pt idx="262">
                  <c:v>1634494.0165123</c:v>
                </c:pt>
                <c:pt idx="263">
                  <c:v>1634494.0165123</c:v>
                </c:pt>
                <c:pt idx="264">
                  <c:v>1634494.0165123</c:v>
                </c:pt>
                <c:pt idx="265">
                  <c:v>1634494.0165123</c:v>
                </c:pt>
                <c:pt idx="266">
                  <c:v>1634494.0165123</c:v>
                </c:pt>
                <c:pt idx="267">
                  <c:v>1634494.0165123</c:v>
                </c:pt>
                <c:pt idx="268">
                  <c:v>1634494.0165123</c:v>
                </c:pt>
                <c:pt idx="269">
                  <c:v>1634494.0165123</c:v>
                </c:pt>
                <c:pt idx="270">
                  <c:v>1634494.0165123</c:v>
                </c:pt>
                <c:pt idx="271">
                  <c:v>1634494.0165123</c:v>
                </c:pt>
                <c:pt idx="272">
                  <c:v>1634494.0165123</c:v>
                </c:pt>
                <c:pt idx="273">
                  <c:v>1634494.0165123</c:v>
                </c:pt>
                <c:pt idx="274">
                  <c:v>1634494.0165123</c:v>
                </c:pt>
                <c:pt idx="275">
                  <c:v>1634494.0165123</c:v>
                </c:pt>
                <c:pt idx="276">
                  <c:v>1634494.0165123</c:v>
                </c:pt>
                <c:pt idx="277">
                  <c:v>1634494.0165123</c:v>
                </c:pt>
                <c:pt idx="278">
                  <c:v>1634494.0165123</c:v>
                </c:pt>
                <c:pt idx="279">
                  <c:v>1634494.0165123</c:v>
                </c:pt>
                <c:pt idx="280">
                  <c:v>1634494.0165123</c:v>
                </c:pt>
                <c:pt idx="281">
                  <c:v>1634494.0165123</c:v>
                </c:pt>
                <c:pt idx="282">
                  <c:v>1634494.0165123</c:v>
                </c:pt>
                <c:pt idx="283">
                  <c:v>1634494.0165123</c:v>
                </c:pt>
                <c:pt idx="284">
                  <c:v>1634494.0165123</c:v>
                </c:pt>
                <c:pt idx="285">
                  <c:v>1634494.0165123</c:v>
                </c:pt>
                <c:pt idx="286">
                  <c:v>1634494.0165123</c:v>
                </c:pt>
                <c:pt idx="287">
                  <c:v>1634494.0165123</c:v>
                </c:pt>
                <c:pt idx="288">
                  <c:v>1634494.0165123</c:v>
                </c:pt>
                <c:pt idx="289">
                  <c:v>1634494.0165123</c:v>
                </c:pt>
                <c:pt idx="290">
                  <c:v>1634494.0165123</c:v>
                </c:pt>
                <c:pt idx="291">
                  <c:v>1634494.0165123</c:v>
                </c:pt>
                <c:pt idx="292">
                  <c:v>1634494.0165123</c:v>
                </c:pt>
                <c:pt idx="293">
                  <c:v>1634494.0165123</c:v>
                </c:pt>
                <c:pt idx="294">
                  <c:v>1634494.0165123</c:v>
                </c:pt>
                <c:pt idx="295">
                  <c:v>1634494.0165123</c:v>
                </c:pt>
                <c:pt idx="296">
                  <c:v>1634494.0165123</c:v>
                </c:pt>
                <c:pt idx="297">
                  <c:v>1634494.0165123</c:v>
                </c:pt>
                <c:pt idx="298">
                  <c:v>1634494.0165123</c:v>
                </c:pt>
                <c:pt idx="299">
                  <c:v>1634494.0165123</c:v>
                </c:pt>
                <c:pt idx="300">
                  <c:v>1634494.0165123</c:v>
                </c:pt>
                <c:pt idx="301">
                  <c:v>1634494.0165123</c:v>
                </c:pt>
                <c:pt idx="302">
                  <c:v>1634494.0165123</c:v>
                </c:pt>
                <c:pt idx="303">
                  <c:v>1634494.0165123</c:v>
                </c:pt>
                <c:pt idx="304">
                  <c:v>1634494.0165123</c:v>
                </c:pt>
                <c:pt idx="305">
                  <c:v>1634494.0165123</c:v>
                </c:pt>
                <c:pt idx="306">
                  <c:v>1634494.0165123</c:v>
                </c:pt>
                <c:pt idx="307">
                  <c:v>1634494.0165123</c:v>
                </c:pt>
                <c:pt idx="308">
                  <c:v>1634494.0165123</c:v>
                </c:pt>
                <c:pt idx="309">
                  <c:v>1634494.0165123</c:v>
                </c:pt>
                <c:pt idx="310">
                  <c:v>1634494.0165123</c:v>
                </c:pt>
                <c:pt idx="311">
                  <c:v>1634494.0165123</c:v>
                </c:pt>
                <c:pt idx="312">
                  <c:v>1631482.3951735</c:v>
                </c:pt>
                <c:pt idx="313">
                  <c:v>1631482.3951735</c:v>
                </c:pt>
                <c:pt idx="314">
                  <c:v>1631482.3951735</c:v>
                </c:pt>
                <c:pt idx="315">
                  <c:v>1631482.3951735</c:v>
                </c:pt>
                <c:pt idx="316">
                  <c:v>1634494.0165123</c:v>
                </c:pt>
                <c:pt idx="317">
                  <c:v>1634494.0165123</c:v>
                </c:pt>
                <c:pt idx="318">
                  <c:v>1631482.3951735</c:v>
                </c:pt>
                <c:pt idx="319">
                  <c:v>1631482.3951735</c:v>
                </c:pt>
                <c:pt idx="320">
                  <c:v>1631482.3951735</c:v>
                </c:pt>
                <c:pt idx="321">
                  <c:v>1631482.3951735</c:v>
                </c:pt>
                <c:pt idx="322">
                  <c:v>1631482.3951735</c:v>
                </c:pt>
                <c:pt idx="323">
                  <c:v>1628472.3057532</c:v>
                </c:pt>
                <c:pt idx="324">
                  <c:v>1631482.3951735</c:v>
                </c:pt>
                <c:pt idx="325">
                  <c:v>1631482.3951735</c:v>
                </c:pt>
                <c:pt idx="326">
                  <c:v>1628472.3057532</c:v>
                </c:pt>
                <c:pt idx="327">
                  <c:v>1628472.3057532</c:v>
                </c:pt>
                <c:pt idx="328">
                  <c:v>1628472.3057532</c:v>
                </c:pt>
                <c:pt idx="329">
                  <c:v>1628472.3057532</c:v>
                </c:pt>
                <c:pt idx="330">
                  <c:v>1628472.3057532</c:v>
                </c:pt>
                <c:pt idx="331">
                  <c:v>1628472.3057532</c:v>
                </c:pt>
                <c:pt idx="332">
                  <c:v>1628472.3057532</c:v>
                </c:pt>
                <c:pt idx="333">
                  <c:v>1628472.3057532</c:v>
                </c:pt>
                <c:pt idx="334">
                  <c:v>1628472.3057532</c:v>
                </c:pt>
                <c:pt idx="335">
                  <c:v>1628472.3057532</c:v>
                </c:pt>
                <c:pt idx="336">
                  <c:v>1628472.3057532</c:v>
                </c:pt>
                <c:pt idx="337">
                  <c:v>1628472.3057532</c:v>
                </c:pt>
                <c:pt idx="338">
                  <c:v>1628472.3057532</c:v>
                </c:pt>
                <c:pt idx="339">
                  <c:v>1625463.7590197</c:v>
                </c:pt>
                <c:pt idx="340">
                  <c:v>1625463.7590197</c:v>
                </c:pt>
                <c:pt idx="341">
                  <c:v>1625463.7590197</c:v>
                </c:pt>
                <c:pt idx="342">
                  <c:v>1625463.7590197</c:v>
                </c:pt>
                <c:pt idx="343">
                  <c:v>1625463.7590197</c:v>
                </c:pt>
                <c:pt idx="344">
                  <c:v>1625463.7590197</c:v>
                </c:pt>
                <c:pt idx="345">
                  <c:v>1625463.7590197</c:v>
                </c:pt>
                <c:pt idx="346">
                  <c:v>1625463.7590197</c:v>
                </c:pt>
                <c:pt idx="347">
                  <c:v>1625463.7590197</c:v>
                </c:pt>
                <c:pt idx="348">
                  <c:v>1625463.7590197</c:v>
                </c:pt>
                <c:pt idx="349">
                  <c:v>1625463.7590197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</c:v>
                </c:pt>
                <c:pt idx="373">
                  <c:v>1622456.7729032</c:v>
                </c:pt>
                <c:pt idx="374">
                  <c:v>1625463.7590197</c:v>
                </c:pt>
                <c:pt idx="375">
                  <c:v>1625463.7590197</c:v>
                </c:pt>
                <c:pt idx="376">
                  <c:v>1628472.3057532</c:v>
                </c:pt>
                <c:pt idx="377">
                  <c:v>1628472.3057532</c:v>
                </c:pt>
                <c:pt idx="378">
                  <c:v>1628472.3057532</c:v>
                </c:pt>
                <c:pt idx="379">
                  <c:v>1628472.3057532</c:v>
                </c:pt>
                <c:pt idx="380">
                  <c:v>1628472.3057532</c:v>
                </c:pt>
                <c:pt idx="381">
                  <c:v>1631482.3951735</c:v>
                </c:pt>
                <c:pt idx="382">
                  <c:v>1634494.0165123</c:v>
                </c:pt>
                <c:pt idx="383">
                  <c:v>1634494.0165123</c:v>
                </c:pt>
                <c:pt idx="384">
                  <c:v>1634494.0165123</c:v>
                </c:pt>
                <c:pt idx="385">
                  <c:v>1634494.0165123</c:v>
                </c:pt>
                <c:pt idx="386">
                  <c:v>1634494.0165123</c:v>
                </c:pt>
                <c:pt idx="387">
                  <c:v>1634494.0165123</c:v>
                </c:pt>
                <c:pt idx="388">
                  <c:v>1634494.0165123</c:v>
                </c:pt>
                <c:pt idx="389">
                  <c:v>1634494.0165123</c:v>
                </c:pt>
                <c:pt idx="390">
                  <c:v>1634494.0165123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1634494.0165123</c:v>
                </c:pt>
                <c:pt idx="432">
                  <c:v>1634494.0165123</c:v>
                </c:pt>
                <c:pt idx="433">
                  <c:v>1634494.0165123</c:v>
                </c:pt>
                <c:pt idx="434">
                  <c:v>1634494.0165123</c:v>
                </c:pt>
                <c:pt idx="435">
                  <c:v>1634494.0165123</c:v>
                </c:pt>
                <c:pt idx="436">
                  <c:v>1634494.0165123</c:v>
                </c:pt>
                <c:pt idx="437">
                  <c:v>1634494.0165123</c:v>
                </c:pt>
                <c:pt idx="438">
                  <c:v>1634494.0165123</c:v>
                </c:pt>
                <c:pt idx="439">
                  <c:v>1634494.0165123</c:v>
                </c:pt>
                <c:pt idx="440">
                  <c:v>1634494.0165123</c:v>
                </c:pt>
                <c:pt idx="441">
                  <c:v>1634494.0165123</c:v>
                </c:pt>
                <c:pt idx="442">
                  <c:v>1634494.0165123</c:v>
                </c:pt>
                <c:pt idx="443">
                  <c:v>1634494.0165123</c:v>
                </c:pt>
                <c:pt idx="444">
                  <c:v>1634494.0165123</c:v>
                </c:pt>
                <c:pt idx="445">
                  <c:v>1634494.0165123</c:v>
                </c:pt>
                <c:pt idx="446">
                  <c:v>1634494.0165123</c:v>
                </c:pt>
                <c:pt idx="447">
                  <c:v>1634494.0165123</c:v>
                </c:pt>
                <c:pt idx="448">
                  <c:v>1634494.0165123</c:v>
                </c:pt>
                <c:pt idx="449">
                  <c:v>1634494.0165123</c:v>
                </c:pt>
                <c:pt idx="450">
                  <c:v>1634494.0165123</c:v>
                </c:pt>
                <c:pt idx="451">
                  <c:v>1634494.0165123</c:v>
                </c:pt>
                <c:pt idx="452">
                  <c:v>1634494.0165123</c:v>
                </c:pt>
                <c:pt idx="453">
                  <c:v>1631482.3951735</c:v>
                </c:pt>
                <c:pt idx="454">
                  <c:v>1628472.3057532</c:v>
                </c:pt>
                <c:pt idx="455">
                  <c:v>1631482.3951735</c:v>
                </c:pt>
                <c:pt idx="456">
                  <c:v>1631482.3951735</c:v>
                </c:pt>
                <c:pt idx="457">
                  <c:v>1631482.3951735</c:v>
                </c:pt>
                <c:pt idx="458">
                  <c:v>1631482.3951735</c:v>
                </c:pt>
                <c:pt idx="459">
                  <c:v>1631482.3951735</c:v>
                </c:pt>
                <c:pt idx="460">
                  <c:v>1643538.2164867</c:v>
                </c:pt>
                <c:pt idx="461">
                  <c:v>1652616.0060849</c:v>
                </c:pt>
                <c:pt idx="462">
                  <c:v>1689066.0691295</c:v>
                </c:pt>
                <c:pt idx="463">
                  <c:v>1710454.4363393</c:v>
                </c:pt>
                <c:pt idx="464">
                  <c:v>1716595.6600502</c:v>
                </c:pt>
                <c:pt idx="465">
                  <c:v>1719668.7023854</c:v>
                </c:pt>
                <c:pt idx="466">
                  <c:v>1722743.3880805</c:v>
                </c:pt>
                <c:pt idx="467">
                  <c:v>1722743.3880805</c:v>
                </c:pt>
                <c:pt idx="468">
                  <c:v>1722743.3880805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</c:v>
                </c:pt>
                <c:pt idx="472">
                  <c:v>1716595.6600502</c:v>
                </c:pt>
                <c:pt idx="473">
                  <c:v>1716595.6600502</c:v>
                </c:pt>
                <c:pt idx="474">
                  <c:v>1713524.2337389</c:v>
                </c:pt>
                <c:pt idx="475">
                  <c:v>1713524.2337389</c:v>
                </c:pt>
                <c:pt idx="476">
                  <c:v>1710454.4363393</c:v>
                </c:pt>
                <c:pt idx="477">
                  <c:v>1710454.4363393</c:v>
                </c:pt>
                <c:pt idx="478">
                  <c:v>1710454.4363393</c:v>
                </c:pt>
                <c:pt idx="479">
                  <c:v>1707386.3914463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1701265.9872819</c:v>
                </c:pt>
                <c:pt idx="485">
                  <c:v>1698213.642694</c:v>
                </c:pt>
                <c:pt idx="486">
                  <c:v>1698213.642694</c:v>
                </c:pt>
                <c:pt idx="487">
                  <c:v>1698213.642694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</c:v>
                </c:pt>
                <c:pt idx="495">
                  <c:v>1689066.0691295</c:v>
                </c:pt>
                <c:pt idx="496">
                  <c:v>1689066.0691295</c:v>
                </c:pt>
                <c:pt idx="497">
                  <c:v>1689066.0691295</c:v>
                </c:pt>
                <c:pt idx="498">
                  <c:v>1689066.0691295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1682975.6527669</c:v>
                </c:pt>
                <c:pt idx="502">
                  <c:v>1682975.6527669</c:v>
                </c:pt>
                <c:pt idx="503">
                  <c:v>1682975.6527669</c:v>
                </c:pt>
                <c:pt idx="504">
                  <c:v>1682975.6527669</c:v>
                </c:pt>
                <c:pt idx="505">
                  <c:v>1682975.6527669</c:v>
                </c:pt>
                <c:pt idx="506">
                  <c:v>1679932.8392697</c:v>
                </c:pt>
                <c:pt idx="507">
                  <c:v>1676891.4600323</c:v>
                </c:pt>
                <c:pt idx="508">
                  <c:v>1676891.4600323</c:v>
                </c:pt>
                <c:pt idx="509">
                  <c:v>1676891.4600323</c:v>
                </c:pt>
                <c:pt idx="510">
                  <c:v>1676891.4600323</c:v>
                </c:pt>
                <c:pt idx="511">
                  <c:v>1676891.4600323</c:v>
                </c:pt>
                <c:pt idx="512">
                  <c:v>1676891.4600323</c:v>
                </c:pt>
                <c:pt idx="513">
                  <c:v>1676891.4600323</c:v>
                </c:pt>
                <c:pt idx="514">
                  <c:v>1673851.7406958</c:v>
                </c:pt>
                <c:pt idx="515">
                  <c:v>1673851.7406958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1667776.8298904</c:v>
                </c:pt>
                <c:pt idx="523">
                  <c:v>1664741.6725648</c:v>
                </c:pt>
                <c:pt idx="524">
                  <c:v>1664741.6725648</c:v>
                </c:pt>
                <c:pt idx="525">
                  <c:v>1664741.6725648</c:v>
                </c:pt>
                <c:pt idx="526">
                  <c:v>1664741.6725648</c:v>
                </c:pt>
                <c:pt idx="527">
                  <c:v>1667776.8298904</c:v>
                </c:pt>
                <c:pt idx="528">
                  <c:v>1664741.6725648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1658675.7961467</c:v>
                </c:pt>
                <c:pt idx="538">
                  <c:v>1658675.7961467</c:v>
                </c:pt>
                <c:pt idx="539">
                  <c:v>1658675.7961467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1652616.0060849</c:v>
                </c:pt>
                <c:pt idx="544">
                  <c:v>1652616.0060849</c:v>
                </c:pt>
                <c:pt idx="545">
                  <c:v>1652616.0060849</c:v>
                </c:pt>
                <c:pt idx="546">
                  <c:v>1652616.0060849</c:v>
                </c:pt>
                <c:pt idx="547">
                  <c:v>1652616.0060849</c:v>
                </c:pt>
                <c:pt idx="548">
                  <c:v>1652616.0060849</c:v>
                </c:pt>
                <c:pt idx="549">
                  <c:v>1652616.0060849</c:v>
                </c:pt>
                <c:pt idx="550">
                  <c:v>1652616.0060849</c:v>
                </c:pt>
                <c:pt idx="551">
                  <c:v>1652616.0060849</c:v>
                </c:pt>
                <c:pt idx="552">
                  <c:v>1652616.0060849</c:v>
                </c:pt>
                <c:pt idx="553">
                  <c:v>1649588.4715397</c:v>
                </c:pt>
                <c:pt idx="554">
                  <c:v>1649588.4715397</c:v>
                </c:pt>
                <c:pt idx="555">
                  <c:v>1649588.4715397</c:v>
                </c:pt>
                <c:pt idx="556">
                  <c:v>1649588.4715397</c:v>
                </c:pt>
                <c:pt idx="557">
                  <c:v>1649588.4715397</c:v>
                </c:pt>
                <c:pt idx="558">
                  <c:v>1649588.4715397</c:v>
                </c:pt>
                <c:pt idx="559">
                  <c:v>1649588.4715397</c:v>
                </c:pt>
                <c:pt idx="560">
                  <c:v>1649588.4715397</c:v>
                </c:pt>
                <c:pt idx="561">
                  <c:v>1649588.4715397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</c:v>
                </c:pt>
                <c:pt idx="565">
                  <c:v>1643538.2164867</c:v>
                </c:pt>
                <c:pt idx="566">
                  <c:v>1643538.2164867</c:v>
                </c:pt>
                <c:pt idx="567">
                  <c:v>1646562.4785364</c:v>
                </c:pt>
                <c:pt idx="568">
                  <c:v>1649588.4715397</c:v>
                </c:pt>
                <c:pt idx="569">
                  <c:v>1649588.4715397</c:v>
                </c:pt>
                <c:pt idx="570">
                  <c:v>1649588.4715397</c:v>
                </c:pt>
                <c:pt idx="571">
                  <c:v>1649588.4715397</c:v>
                </c:pt>
                <c:pt idx="572">
                  <c:v>1649588.4715397</c:v>
                </c:pt>
                <c:pt idx="573">
                  <c:v>1649588.4715397</c:v>
                </c:pt>
                <c:pt idx="574">
                  <c:v>1649588.4715397</c:v>
                </c:pt>
                <c:pt idx="575">
                  <c:v>1649588.4715397</c:v>
                </c:pt>
                <c:pt idx="576">
                  <c:v>1649588.4715397</c:v>
                </c:pt>
                <c:pt idx="577">
                  <c:v>1649588.4715397</c:v>
                </c:pt>
                <c:pt idx="578">
                  <c:v>1649588.4715397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</c:v>
                </c:pt>
                <c:pt idx="588">
                  <c:v>1643538.2164867</c:v>
                </c:pt>
                <c:pt idx="589">
                  <c:v>1643538.2164867</c:v>
                </c:pt>
                <c:pt idx="590">
                  <c:v>1643538.2164867</c:v>
                </c:pt>
                <c:pt idx="591">
                  <c:v>1643538.2164867</c:v>
                </c:pt>
                <c:pt idx="592">
                  <c:v>1643538.2164867</c:v>
                </c:pt>
                <c:pt idx="593">
                  <c:v>1643538.2164867</c:v>
                </c:pt>
                <c:pt idx="594">
                  <c:v>1643538.2164867</c:v>
                </c:pt>
                <c:pt idx="595">
                  <c:v>1643538.2164867</c:v>
                </c:pt>
                <c:pt idx="596">
                  <c:v>1643538.2164867</c:v>
                </c:pt>
                <c:pt idx="597">
                  <c:v>1643538.2164867</c:v>
                </c:pt>
                <c:pt idx="598">
                  <c:v>1643538.2164867</c:v>
                </c:pt>
                <c:pt idx="599">
                  <c:v>1643538.2164867</c:v>
                </c:pt>
                <c:pt idx="600">
                  <c:v>1643538.2164867</c:v>
                </c:pt>
                <c:pt idx="601">
                  <c:v>1643538.2164867</c:v>
                </c:pt>
                <c:pt idx="602">
                  <c:v>1640521.8742391</c:v>
                </c:pt>
                <c:pt idx="603">
                  <c:v>1643538.2164867</c:v>
                </c:pt>
                <c:pt idx="604">
                  <c:v>1640521.8742391</c:v>
                </c:pt>
                <c:pt idx="605">
                  <c:v>1640521.8742391</c:v>
                </c:pt>
                <c:pt idx="606">
                  <c:v>1640521.8742391</c:v>
                </c:pt>
                <c:pt idx="607">
                  <c:v>1637507.2197397</c:v>
                </c:pt>
                <c:pt idx="608">
                  <c:v>1640521.8742391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1640521.8742391</c:v>
                </c:pt>
                <c:pt idx="625">
                  <c:v>1640521.8742391</c:v>
                </c:pt>
                <c:pt idx="626">
                  <c:v>1637507.2197397</c:v>
                </c:pt>
                <c:pt idx="627">
                  <c:v>1640521.8742391</c:v>
                </c:pt>
                <c:pt idx="628">
                  <c:v>1640521.8742391</c:v>
                </c:pt>
                <c:pt idx="629">
                  <c:v>1640521.8742391</c:v>
                </c:pt>
                <c:pt idx="630">
                  <c:v>1643538.2164867</c:v>
                </c:pt>
                <c:pt idx="631">
                  <c:v>1643538.2164867</c:v>
                </c:pt>
                <c:pt idx="632">
                  <c:v>1643538.2164867</c:v>
                </c:pt>
                <c:pt idx="633">
                  <c:v>1646562.4785364</c:v>
                </c:pt>
                <c:pt idx="634">
                  <c:v>1652616.0060849</c:v>
                </c:pt>
                <c:pt idx="635">
                  <c:v>1661708.0167959</c:v>
                </c:pt>
                <c:pt idx="636">
                  <c:v>1676891.4600323</c:v>
                </c:pt>
                <c:pt idx="637">
                  <c:v>1704320.2680112</c:v>
                </c:pt>
                <c:pt idx="638">
                  <c:v>1728897.6614809</c:v>
                </c:pt>
                <c:pt idx="639">
                  <c:v>1756674.0791536</c:v>
                </c:pt>
                <c:pt idx="640">
                  <c:v>1784660.6460546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1806566.4209613</c:v>
                </c:pt>
                <c:pt idx="648">
                  <c:v>1800297.2455334</c:v>
                </c:pt>
                <c:pt idx="649">
                  <c:v>1797165.7765731</c:v>
                </c:pt>
                <c:pt idx="650">
                  <c:v>1790909.120043</c:v>
                </c:pt>
                <c:pt idx="651">
                  <c:v>1784660.6460546</c:v>
                </c:pt>
                <c:pt idx="652">
                  <c:v>1781539.4187106</c:v>
                </c:pt>
                <c:pt idx="653">
                  <c:v>1778420.1250922</c:v>
                </c:pt>
                <c:pt idx="654">
                  <c:v>1772187.5765013</c:v>
                </c:pt>
                <c:pt idx="655">
                  <c:v>1765963.4900542</c:v>
                </c:pt>
                <c:pt idx="656">
                  <c:v>1762865.1589163</c:v>
                </c:pt>
                <c:pt idx="657">
                  <c:v>1762865.1589163</c:v>
                </c:pt>
                <c:pt idx="658">
                  <c:v>1756674.0791536</c:v>
                </c:pt>
                <c:pt idx="659">
                  <c:v>1753581.1481606</c:v>
                </c:pt>
                <c:pt idx="660">
                  <c:v>1750489.8990714</c:v>
                </c:pt>
                <c:pt idx="661">
                  <c:v>1747400.294549</c:v>
                </c:pt>
                <c:pt idx="662">
                  <c:v>1744312.3770924</c:v>
                </c:pt>
                <c:pt idx="663">
                  <c:v>1741226.0555606</c:v>
                </c:pt>
                <c:pt idx="664">
                  <c:v>1738141.5165157</c:v>
                </c:pt>
                <c:pt idx="665">
                  <c:v>1738141.5165157</c:v>
                </c:pt>
                <c:pt idx="666">
                  <c:v>1731977.261997</c:v>
                </c:pt>
                <c:pt idx="667">
                  <c:v>1731977.261997</c:v>
                </c:pt>
                <c:pt idx="668">
                  <c:v>1728897.6614809</c:v>
                </c:pt>
                <c:pt idx="669">
                  <c:v>1728897.6614809</c:v>
                </c:pt>
                <c:pt idx="670">
                  <c:v>1725819.6938243</c:v>
                </c:pt>
                <c:pt idx="671">
                  <c:v>1725819.6938243</c:v>
                </c:pt>
                <c:pt idx="672">
                  <c:v>1725819.6938243</c:v>
                </c:pt>
                <c:pt idx="673">
                  <c:v>1722743.3880805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</c:v>
                </c:pt>
                <c:pt idx="678">
                  <c:v>1713524.2337389</c:v>
                </c:pt>
                <c:pt idx="679">
                  <c:v>1713524.2337389</c:v>
                </c:pt>
                <c:pt idx="680">
                  <c:v>1713524.2337389</c:v>
                </c:pt>
                <c:pt idx="681">
                  <c:v>1710454.4363393</c:v>
                </c:pt>
                <c:pt idx="682">
                  <c:v>1710454.4363393</c:v>
                </c:pt>
                <c:pt idx="683">
                  <c:v>1710454.4363393</c:v>
                </c:pt>
                <c:pt idx="684">
                  <c:v>1710454.4363393</c:v>
                </c:pt>
                <c:pt idx="685">
                  <c:v>1710454.4363393</c:v>
                </c:pt>
                <c:pt idx="686">
                  <c:v>1710454.4363393</c:v>
                </c:pt>
                <c:pt idx="687">
                  <c:v>1710454.4363393</c:v>
                </c:pt>
                <c:pt idx="688">
                  <c:v>1707386.3914463</c:v>
                </c:pt>
                <c:pt idx="689">
                  <c:v>1707386.3914463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1701265.9872819</c:v>
                </c:pt>
                <c:pt idx="694">
                  <c:v>1701265.9872819</c:v>
                </c:pt>
                <c:pt idx="695">
                  <c:v>1701265.9872819</c:v>
                </c:pt>
                <c:pt idx="696">
                  <c:v>1701265.9872819</c:v>
                </c:pt>
                <c:pt idx="697">
                  <c:v>1698213.642694</c:v>
                </c:pt>
                <c:pt idx="698">
                  <c:v>1698213.642694</c:v>
                </c:pt>
                <c:pt idx="699">
                  <c:v>1698213.642694</c:v>
                </c:pt>
                <c:pt idx="700">
                  <c:v>1698213.642694</c:v>
                </c:pt>
                <c:pt idx="701">
                  <c:v>1698213.642694</c:v>
                </c:pt>
                <c:pt idx="702">
                  <c:v>1698213.642694</c:v>
                </c:pt>
                <c:pt idx="703">
                  <c:v>1698213.642694</c:v>
                </c:pt>
                <c:pt idx="704">
                  <c:v>1698213.642694</c:v>
                </c:pt>
                <c:pt idx="705">
                  <c:v>1698213.642694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</c:v>
                </c:pt>
                <c:pt idx="717">
                  <c:v>1692113.6615758</c:v>
                </c:pt>
                <c:pt idx="718">
                  <c:v>1689066.0691295</c:v>
                </c:pt>
                <c:pt idx="719">
                  <c:v>1689066.0691295</c:v>
                </c:pt>
                <c:pt idx="720">
                  <c:v>1689066.0691295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1682975.6527669</c:v>
                </c:pt>
                <c:pt idx="730">
                  <c:v>1682975.6527669</c:v>
                </c:pt>
                <c:pt idx="731">
                  <c:v>1682975.6527669</c:v>
                </c:pt>
                <c:pt idx="732">
                  <c:v>1682975.6527669</c:v>
                </c:pt>
                <c:pt idx="733">
                  <c:v>1682975.6527669</c:v>
                </c:pt>
                <c:pt idx="734">
                  <c:v>1682975.6527669</c:v>
                </c:pt>
                <c:pt idx="735">
                  <c:v>1682975.6527669</c:v>
                </c:pt>
                <c:pt idx="736">
                  <c:v>1682975.6527669</c:v>
                </c:pt>
                <c:pt idx="737">
                  <c:v>1679932.8392697</c:v>
                </c:pt>
                <c:pt idx="738">
                  <c:v>1682975.6527669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</c:v>
                </c:pt>
                <c:pt idx="743">
                  <c:v>1704320.2680112</c:v>
                </c:pt>
                <c:pt idx="744">
                  <c:v>1725819.6938243</c:v>
                </c:pt>
                <c:pt idx="745">
                  <c:v>1731977.261997</c:v>
                </c:pt>
                <c:pt idx="746">
                  <c:v>1738141.5165157</c:v>
                </c:pt>
                <c:pt idx="747">
                  <c:v>1741226.0555606</c:v>
                </c:pt>
                <c:pt idx="748">
                  <c:v>1744312.3770924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1738141.5165157</c:v>
                </c:pt>
                <c:pt idx="755">
                  <c:v>1738141.5165157</c:v>
                </c:pt>
                <c:pt idx="756">
                  <c:v>1738141.5165157</c:v>
                </c:pt>
                <c:pt idx="757">
                  <c:v>1738141.5165157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</c:v>
                </c:pt>
                <c:pt idx="761">
                  <c:v>1731977.261997</c:v>
                </c:pt>
                <c:pt idx="762">
                  <c:v>1728897.6614809</c:v>
                </c:pt>
                <c:pt idx="763">
                  <c:v>1728897.6614809</c:v>
                </c:pt>
                <c:pt idx="764">
                  <c:v>1725819.6938243</c:v>
                </c:pt>
                <c:pt idx="765">
                  <c:v>1725819.6938243</c:v>
                </c:pt>
                <c:pt idx="766">
                  <c:v>1725819.6938243</c:v>
                </c:pt>
                <c:pt idx="767">
                  <c:v>1722743.3880805</c:v>
                </c:pt>
                <c:pt idx="768">
                  <c:v>1722743.3880805</c:v>
                </c:pt>
                <c:pt idx="769">
                  <c:v>1719668.7023854</c:v>
                </c:pt>
                <c:pt idx="770">
                  <c:v>1722743.3880805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</c:v>
                </c:pt>
                <c:pt idx="774">
                  <c:v>1716595.6600502</c:v>
                </c:pt>
                <c:pt idx="775">
                  <c:v>1713524.2337389</c:v>
                </c:pt>
                <c:pt idx="776">
                  <c:v>1713524.2337389</c:v>
                </c:pt>
                <c:pt idx="777">
                  <c:v>1713524.2337389</c:v>
                </c:pt>
                <c:pt idx="778">
                  <c:v>1713524.2337389</c:v>
                </c:pt>
                <c:pt idx="779">
                  <c:v>1710454.4363393</c:v>
                </c:pt>
                <c:pt idx="780">
                  <c:v>1710454.4363393</c:v>
                </c:pt>
                <c:pt idx="781">
                  <c:v>1710454.4363393</c:v>
                </c:pt>
                <c:pt idx="782">
                  <c:v>1710454.4363393</c:v>
                </c:pt>
                <c:pt idx="783">
                  <c:v>1707386.3914463</c:v>
                </c:pt>
                <c:pt idx="784">
                  <c:v>1707386.3914463</c:v>
                </c:pt>
                <c:pt idx="785">
                  <c:v>1707386.3914463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1713524.2337389</c:v>
                </c:pt>
                <c:pt idx="794">
                  <c:v>1716595.6600502</c:v>
                </c:pt>
                <c:pt idx="795">
                  <c:v>1722743.3880805</c:v>
                </c:pt>
                <c:pt idx="796">
                  <c:v>1722743.3880805</c:v>
                </c:pt>
                <c:pt idx="797">
                  <c:v>1725819.6938243</c:v>
                </c:pt>
                <c:pt idx="798">
                  <c:v>1725819.6938243</c:v>
                </c:pt>
                <c:pt idx="799">
                  <c:v>1728897.6614809</c:v>
                </c:pt>
                <c:pt idx="800">
                  <c:v>1725819.6938243</c:v>
                </c:pt>
                <c:pt idx="801">
                  <c:v>1725819.6938243</c:v>
                </c:pt>
                <c:pt idx="802">
                  <c:v>1725819.6938243</c:v>
                </c:pt>
                <c:pt idx="803">
                  <c:v>1725819.6938243</c:v>
                </c:pt>
                <c:pt idx="804">
                  <c:v>1722743.3880805</c:v>
                </c:pt>
                <c:pt idx="805">
                  <c:v>1722743.3880805</c:v>
                </c:pt>
                <c:pt idx="806">
                  <c:v>1722743.3880805</c:v>
                </c:pt>
                <c:pt idx="807">
                  <c:v>1722743.3880805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</c:v>
                </c:pt>
                <c:pt idx="812">
                  <c:v>1713524.2337389</c:v>
                </c:pt>
                <c:pt idx="813">
                  <c:v>1713524.2337389</c:v>
                </c:pt>
                <c:pt idx="814">
                  <c:v>1713524.2337389</c:v>
                </c:pt>
                <c:pt idx="815">
                  <c:v>1713524.2337389</c:v>
                </c:pt>
                <c:pt idx="816">
                  <c:v>1710454.4363393</c:v>
                </c:pt>
                <c:pt idx="817">
                  <c:v>1710454.4363393</c:v>
                </c:pt>
                <c:pt idx="818">
                  <c:v>1710454.4363393</c:v>
                </c:pt>
                <c:pt idx="819">
                  <c:v>1707386.3914463</c:v>
                </c:pt>
                <c:pt idx="820">
                  <c:v>1707386.3914463</c:v>
                </c:pt>
                <c:pt idx="821">
                  <c:v>1707386.3914463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1701265.9872819</c:v>
                </c:pt>
                <c:pt idx="827">
                  <c:v>1701265.9872819</c:v>
                </c:pt>
                <c:pt idx="828">
                  <c:v>1701265.9872819</c:v>
                </c:pt>
                <c:pt idx="829">
                  <c:v>1698213.642694</c:v>
                </c:pt>
                <c:pt idx="830">
                  <c:v>1698213.642694</c:v>
                </c:pt>
                <c:pt idx="831">
                  <c:v>1698213.642694</c:v>
                </c:pt>
                <c:pt idx="832">
                  <c:v>1698213.642694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</c:v>
                </c:pt>
                <c:pt idx="843">
                  <c:v>1689066.0691295</c:v>
                </c:pt>
                <c:pt idx="844">
                  <c:v>1689066.0691295</c:v>
                </c:pt>
                <c:pt idx="845">
                  <c:v>1689066.0691295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1682975.6527669</c:v>
                </c:pt>
                <c:pt idx="853">
                  <c:v>1682975.6527669</c:v>
                </c:pt>
                <c:pt idx="854">
                  <c:v>1682975.6527669</c:v>
                </c:pt>
                <c:pt idx="855">
                  <c:v>1682975.6527669</c:v>
                </c:pt>
                <c:pt idx="856">
                  <c:v>1682975.6527669</c:v>
                </c:pt>
                <c:pt idx="857">
                  <c:v>1682975.6527669</c:v>
                </c:pt>
                <c:pt idx="858">
                  <c:v>1679932.8392697</c:v>
                </c:pt>
                <c:pt idx="859">
                  <c:v>1682975.6527669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</c:v>
                </c:pt>
                <c:pt idx="866">
                  <c:v>1676891.4600323</c:v>
                </c:pt>
                <c:pt idx="867">
                  <c:v>1676891.4600323</c:v>
                </c:pt>
                <c:pt idx="868">
                  <c:v>1676891.4600323</c:v>
                </c:pt>
                <c:pt idx="869">
                  <c:v>1676891.4600323</c:v>
                </c:pt>
                <c:pt idx="870">
                  <c:v>1676891.4600323</c:v>
                </c:pt>
                <c:pt idx="871">
                  <c:v>1676891.4600323</c:v>
                </c:pt>
                <c:pt idx="872">
                  <c:v>1676891.4600323</c:v>
                </c:pt>
                <c:pt idx="873">
                  <c:v>1676891.4600323</c:v>
                </c:pt>
                <c:pt idx="874">
                  <c:v>1673851.7406958</c:v>
                </c:pt>
                <c:pt idx="875">
                  <c:v>1673851.7406958</c:v>
                </c:pt>
                <c:pt idx="876">
                  <c:v>1673851.7406958</c:v>
                </c:pt>
                <c:pt idx="877">
                  <c:v>1673851.7406958</c:v>
                </c:pt>
                <c:pt idx="878">
                  <c:v>1673851.7406958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1667776.8298904</c:v>
                </c:pt>
                <c:pt idx="886">
                  <c:v>1667776.8298904</c:v>
                </c:pt>
                <c:pt idx="887">
                  <c:v>1667776.8298904</c:v>
                </c:pt>
                <c:pt idx="888">
                  <c:v>1667776.8298904</c:v>
                </c:pt>
                <c:pt idx="889">
                  <c:v>1667776.8298904</c:v>
                </c:pt>
                <c:pt idx="890">
                  <c:v>1667776.8298904</c:v>
                </c:pt>
                <c:pt idx="891">
                  <c:v>1664741.6725648</c:v>
                </c:pt>
                <c:pt idx="892">
                  <c:v>1664741.6725648</c:v>
                </c:pt>
                <c:pt idx="893">
                  <c:v>1664741.6725648</c:v>
                </c:pt>
                <c:pt idx="894">
                  <c:v>1664741.6725648</c:v>
                </c:pt>
                <c:pt idx="895">
                  <c:v>1664741.6725648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1658675.7961467</c:v>
                </c:pt>
                <c:pt idx="906">
                  <c:v>1658675.7961467</c:v>
                </c:pt>
                <c:pt idx="907">
                  <c:v>1658675.7961467</c:v>
                </c:pt>
                <c:pt idx="908">
                  <c:v>1658675.7961467</c:v>
                </c:pt>
                <c:pt idx="909">
                  <c:v>1658675.7961467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1652616.0060849</c:v>
                </c:pt>
                <c:pt idx="914">
                  <c:v>1652616.0060849</c:v>
                </c:pt>
                <c:pt idx="915">
                  <c:v>1652616.0060849</c:v>
                </c:pt>
                <c:pt idx="916">
                  <c:v>1655645.1614623</c:v>
                </c:pt>
                <c:pt idx="917">
                  <c:v>1652616.0060849</c:v>
                </c:pt>
                <c:pt idx="918">
                  <c:v>1652616.0060849</c:v>
                </c:pt>
                <c:pt idx="919">
                  <c:v>1652616.0060849</c:v>
                </c:pt>
                <c:pt idx="920">
                  <c:v>1652616.0060849</c:v>
                </c:pt>
                <c:pt idx="921">
                  <c:v>1652616.0060849</c:v>
                </c:pt>
                <c:pt idx="922">
                  <c:v>1649588.4715397</c:v>
                </c:pt>
                <c:pt idx="923">
                  <c:v>1649588.4715397</c:v>
                </c:pt>
                <c:pt idx="924">
                  <c:v>1649588.4715397</c:v>
                </c:pt>
                <c:pt idx="925">
                  <c:v>1649588.4715397</c:v>
                </c:pt>
                <c:pt idx="926">
                  <c:v>1649588.4715397</c:v>
                </c:pt>
                <c:pt idx="927">
                  <c:v>1649588.4715397</c:v>
                </c:pt>
                <c:pt idx="928">
                  <c:v>1646562.4785364</c:v>
                </c:pt>
                <c:pt idx="929">
                  <c:v>1649588.4715397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</c:v>
                </c:pt>
                <c:pt idx="936">
                  <c:v>1643538.2164867</c:v>
                </c:pt>
                <c:pt idx="937">
                  <c:v>1643538.2164867</c:v>
                </c:pt>
                <c:pt idx="938">
                  <c:v>1643538.2164867</c:v>
                </c:pt>
                <c:pt idx="939">
                  <c:v>1643538.2164867</c:v>
                </c:pt>
                <c:pt idx="940">
                  <c:v>1640521.8742391</c:v>
                </c:pt>
                <c:pt idx="941">
                  <c:v>1640521.8742391</c:v>
                </c:pt>
                <c:pt idx="942">
                  <c:v>1640521.8742391</c:v>
                </c:pt>
                <c:pt idx="943">
                  <c:v>1640521.8742391</c:v>
                </c:pt>
                <c:pt idx="944">
                  <c:v>1640521.8742391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1634494.0165123</c:v>
                </c:pt>
                <c:pt idx="951">
                  <c:v>1634494.0165123</c:v>
                </c:pt>
                <c:pt idx="952">
                  <c:v>1634494.0165123</c:v>
                </c:pt>
                <c:pt idx="953">
                  <c:v>1634494.0165123</c:v>
                </c:pt>
                <c:pt idx="954">
                  <c:v>1634494.0165123</c:v>
                </c:pt>
                <c:pt idx="955">
                  <c:v>1634494.0165123</c:v>
                </c:pt>
                <c:pt idx="956">
                  <c:v>1634494.0165123</c:v>
                </c:pt>
                <c:pt idx="957">
                  <c:v>1634494.0165123</c:v>
                </c:pt>
                <c:pt idx="958">
                  <c:v>1634494.0165123</c:v>
                </c:pt>
                <c:pt idx="959">
                  <c:v>1634494.0165123</c:v>
                </c:pt>
                <c:pt idx="960">
                  <c:v>1634494.0165123</c:v>
                </c:pt>
                <c:pt idx="961">
                  <c:v>1631482.3951735</c:v>
                </c:pt>
                <c:pt idx="962">
                  <c:v>1631482.3951735</c:v>
                </c:pt>
                <c:pt idx="963">
                  <c:v>1631482.3951735</c:v>
                </c:pt>
                <c:pt idx="964">
                  <c:v>1631482.3951735</c:v>
                </c:pt>
                <c:pt idx="965">
                  <c:v>1628472.3057532</c:v>
                </c:pt>
                <c:pt idx="966">
                  <c:v>1628472.3057532</c:v>
                </c:pt>
                <c:pt idx="967">
                  <c:v>1628472.3057532</c:v>
                </c:pt>
                <c:pt idx="968">
                  <c:v>1628472.3057532</c:v>
                </c:pt>
                <c:pt idx="969">
                  <c:v>1628472.3057532</c:v>
                </c:pt>
                <c:pt idx="970">
                  <c:v>1628472.3057532</c:v>
                </c:pt>
                <c:pt idx="971">
                  <c:v>1628472.3057532</c:v>
                </c:pt>
                <c:pt idx="972">
                  <c:v>1628472.3057532</c:v>
                </c:pt>
                <c:pt idx="973">
                  <c:v>1628472.3057532</c:v>
                </c:pt>
                <c:pt idx="974">
                  <c:v>1625463.7590197</c:v>
                </c:pt>
                <c:pt idx="975">
                  <c:v>1625463.7590197</c:v>
                </c:pt>
                <c:pt idx="976">
                  <c:v>1625463.7590197</c:v>
                </c:pt>
                <c:pt idx="977">
                  <c:v>1625463.7590197</c:v>
                </c:pt>
                <c:pt idx="978">
                  <c:v>1625463.7590197</c:v>
                </c:pt>
                <c:pt idx="979">
                  <c:v>1625463.7590197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</c:v>
                </c:pt>
                <c:pt idx="990">
                  <c:v>1619451.3170382</c:v>
                </c:pt>
                <c:pt idx="991">
                  <c:v>1619451.3170382</c:v>
                </c:pt>
                <c:pt idx="992">
                  <c:v>1619451.3170382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</c:v>
                </c:pt>
                <c:pt idx="1005">
                  <c:v>1613444.9319478</c:v>
                </c:pt>
                <c:pt idx="1006">
                  <c:v>1610444.0173448</c:v>
                </c:pt>
                <c:pt idx="1007">
                  <c:v>1610444.0173448</c:v>
                </c:pt>
                <c:pt idx="1008">
                  <c:v>1610444.0173448</c:v>
                </c:pt>
                <c:pt idx="1009">
                  <c:v>1610444.0173448</c:v>
                </c:pt>
                <c:pt idx="1010">
                  <c:v>1610444.0173448</c:v>
                </c:pt>
                <c:pt idx="1011">
                  <c:v>1610444.0173448</c:v>
                </c:pt>
                <c:pt idx="1012">
                  <c:v>1610444.0173448</c:v>
                </c:pt>
                <c:pt idx="1013">
                  <c:v>1610444.0173448</c:v>
                </c:pt>
                <c:pt idx="1014">
                  <c:v>1610444.0173448</c:v>
                </c:pt>
                <c:pt idx="1015">
                  <c:v>1610444.0173448</c:v>
                </c:pt>
                <c:pt idx="1016">
                  <c:v>1610444.0173448</c:v>
                </c:pt>
                <c:pt idx="1017">
                  <c:v>1607444.5930314</c:v>
                </c:pt>
                <c:pt idx="1018">
                  <c:v>1607444.5930314</c:v>
                </c:pt>
                <c:pt idx="1019">
                  <c:v>1607444.5930314</c:v>
                </c:pt>
                <c:pt idx="1020">
                  <c:v>1607444.5930314</c:v>
                </c:pt>
                <c:pt idx="1021">
                  <c:v>1607444.5930314</c:v>
                </c:pt>
                <c:pt idx="1022">
                  <c:v>1607444.5930314</c:v>
                </c:pt>
                <c:pt idx="1023">
                  <c:v>1604446.718559</c:v>
                </c:pt>
                <c:pt idx="1024">
                  <c:v>1604446.718559</c:v>
                </c:pt>
                <c:pt idx="1025">
                  <c:v>1604446.718559</c:v>
                </c:pt>
                <c:pt idx="1026">
                  <c:v>1604446.718559</c:v>
                </c:pt>
                <c:pt idx="1027">
                  <c:v>1604446.718559</c:v>
                </c:pt>
                <c:pt idx="1028">
                  <c:v>1604446.718559</c:v>
                </c:pt>
                <c:pt idx="1029">
                  <c:v>1604446.718559</c:v>
                </c:pt>
                <c:pt idx="1030">
                  <c:v>1604446.718559</c:v>
                </c:pt>
                <c:pt idx="1031">
                  <c:v>1604446.718559</c:v>
                </c:pt>
                <c:pt idx="1032">
                  <c:v>1604446.718559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1598455.4724356</c:v>
                </c:pt>
                <c:pt idx="1043">
                  <c:v>1601450.3446648</c:v>
                </c:pt>
                <c:pt idx="1044">
                  <c:v>1598455.4724356</c:v>
                </c:pt>
                <c:pt idx="1045">
                  <c:v>1598455.4724356</c:v>
                </c:pt>
                <c:pt idx="1046">
                  <c:v>1598455.4724356</c:v>
                </c:pt>
                <c:pt idx="1047">
                  <c:v>1595462.0162961</c:v>
                </c:pt>
                <c:pt idx="1048">
                  <c:v>1595462.0162961</c:v>
                </c:pt>
                <c:pt idx="1049">
                  <c:v>1595462.0162961</c:v>
                </c:pt>
                <c:pt idx="1050">
                  <c:v>1595462.0162961</c:v>
                </c:pt>
                <c:pt idx="1051">
                  <c:v>1595462.0162961</c:v>
                </c:pt>
                <c:pt idx="1052">
                  <c:v>1595462.0162961</c:v>
                </c:pt>
                <c:pt idx="1053">
                  <c:v>1595462.0162961</c:v>
                </c:pt>
                <c:pt idx="1054">
                  <c:v>1595462.0162961</c:v>
                </c:pt>
                <c:pt idx="1055">
                  <c:v>1595462.0162961</c:v>
                </c:pt>
                <c:pt idx="1056">
                  <c:v>1595462.0162961</c:v>
                </c:pt>
                <c:pt idx="1057">
                  <c:v>1595462.0162961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</c:v>
                </c:pt>
                <c:pt idx="1064">
                  <c:v>1589479.7778056</c:v>
                </c:pt>
                <c:pt idx="1065">
                  <c:v>1589479.7778056</c:v>
                </c:pt>
                <c:pt idx="1066">
                  <c:v>1589479.7778056</c:v>
                </c:pt>
                <c:pt idx="1067">
                  <c:v>1589479.7778056</c:v>
                </c:pt>
                <c:pt idx="1068">
                  <c:v>1589479.7778056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</c:v>
                </c:pt>
                <c:pt idx="1075">
                  <c:v>1583503.9153768</c:v>
                </c:pt>
                <c:pt idx="1076">
                  <c:v>1583503.9153768</c:v>
                </c:pt>
                <c:pt idx="1077">
                  <c:v>1583503.9153768</c:v>
                </c:pt>
                <c:pt idx="1078">
                  <c:v>1583503.9153768</c:v>
                </c:pt>
                <c:pt idx="1079">
                  <c:v>1583503.9153768</c:v>
                </c:pt>
                <c:pt idx="1080">
                  <c:v>1583503.9153768</c:v>
                </c:pt>
                <c:pt idx="1081">
                  <c:v>1583503.9153768</c:v>
                </c:pt>
                <c:pt idx="1082">
                  <c:v>1583503.9153768</c:v>
                </c:pt>
                <c:pt idx="1083">
                  <c:v>1580534.3602253</c:v>
                </c:pt>
                <c:pt idx="1084">
                  <c:v>1580534.3602253</c:v>
                </c:pt>
                <c:pt idx="1085">
                  <c:v>1580534.3602253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</c:v>
                </c:pt>
                <c:pt idx="1123">
                  <c:v>1586490.9615755</c:v>
                </c:pt>
                <c:pt idx="1124">
                  <c:v>1595462.0162961</c:v>
                </c:pt>
                <c:pt idx="1125">
                  <c:v>1598455.4724356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1604446.718559</c:v>
                </c:pt>
                <c:pt idx="1130">
                  <c:v>1604446.718559</c:v>
                </c:pt>
                <c:pt idx="1131">
                  <c:v>1607444.5930314</c:v>
                </c:pt>
                <c:pt idx="1132">
                  <c:v>1607444.5930314</c:v>
                </c:pt>
                <c:pt idx="1133">
                  <c:v>1607444.5930314</c:v>
                </c:pt>
                <c:pt idx="1134">
                  <c:v>1607444.5930314</c:v>
                </c:pt>
                <c:pt idx="1135">
                  <c:v>1607444.5930314</c:v>
                </c:pt>
                <c:pt idx="1136">
                  <c:v>1607444.5930314</c:v>
                </c:pt>
                <c:pt idx="1137">
                  <c:v>1610444.0173448</c:v>
                </c:pt>
                <c:pt idx="1138">
                  <c:v>1610444.0173448</c:v>
                </c:pt>
                <c:pt idx="1139">
                  <c:v>1610444.0173448</c:v>
                </c:pt>
                <c:pt idx="1140">
                  <c:v>1610444.0173448</c:v>
                </c:pt>
                <c:pt idx="1141">
                  <c:v>1610444.0173448</c:v>
                </c:pt>
                <c:pt idx="1142">
                  <c:v>1610444.0173448</c:v>
                </c:pt>
                <c:pt idx="1143">
                  <c:v>1610444.0173448</c:v>
                </c:pt>
                <c:pt idx="1144">
                  <c:v>1610444.0173448</c:v>
                </c:pt>
                <c:pt idx="1145">
                  <c:v>1613444.9319478</c:v>
                </c:pt>
                <c:pt idx="1146">
                  <c:v>1613444.9319478</c:v>
                </c:pt>
                <c:pt idx="1147">
                  <c:v>1616447.3000027</c:v>
                </c:pt>
                <c:pt idx="1148">
                  <c:v>1628472.3057532</c:v>
                </c:pt>
                <c:pt idx="1149">
                  <c:v>1634494.0165123</c:v>
                </c:pt>
                <c:pt idx="1150">
                  <c:v>1634494.0165123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1640521.8742391</c:v>
                </c:pt>
                <c:pt idx="1158">
                  <c:v>1640521.8742391</c:v>
                </c:pt>
                <c:pt idx="1159">
                  <c:v>1640521.8742391</c:v>
                </c:pt>
                <c:pt idx="1160">
                  <c:v>1640521.8742391</c:v>
                </c:pt>
                <c:pt idx="1161">
                  <c:v>1643538.2164867</c:v>
                </c:pt>
                <c:pt idx="1162">
                  <c:v>1640521.8742391</c:v>
                </c:pt>
                <c:pt idx="1163">
                  <c:v>1640521.8742391</c:v>
                </c:pt>
                <c:pt idx="1164">
                  <c:v>1643538.2164867</c:v>
                </c:pt>
                <c:pt idx="1165">
                  <c:v>1640521.8742391</c:v>
                </c:pt>
                <c:pt idx="1166">
                  <c:v>1643538.2164867</c:v>
                </c:pt>
                <c:pt idx="1167">
                  <c:v>1643538.2164867</c:v>
                </c:pt>
                <c:pt idx="1168">
                  <c:v>1640521.8742391</c:v>
                </c:pt>
                <c:pt idx="1169">
                  <c:v>1640521.8742391</c:v>
                </c:pt>
                <c:pt idx="1170">
                  <c:v>1640521.8742391</c:v>
                </c:pt>
                <c:pt idx="1171">
                  <c:v>1643538.2164867</c:v>
                </c:pt>
                <c:pt idx="1172">
                  <c:v>1643538.2164867</c:v>
                </c:pt>
                <c:pt idx="1173">
                  <c:v>1640521.8742391</c:v>
                </c:pt>
                <c:pt idx="1174">
                  <c:v>1640521.8742391</c:v>
                </c:pt>
                <c:pt idx="1175">
                  <c:v>1637507.2197397</c:v>
                </c:pt>
                <c:pt idx="1176">
                  <c:v>1640521.8742391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1634494.0165123</c:v>
                </c:pt>
                <c:pt idx="1187">
                  <c:v>1634494.0165123</c:v>
                </c:pt>
                <c:pt idx="1188">
                  <c:v>1634494.0165123</c:v>
                </c:pt>
                <c:pt idx="1189">
                  <c:v>1634494.0165123</c:v>
                </c:pt>
                <c:pt idx="1190">
                  <c:v>1634494.0165123</c:v>
                </c:pt>
                <c:pt idx="1191">
                  <c:v>1634494.0165123</c:v>
                </c:pt>
                <c:pt idx="1192">
                  <c:v>1634494.0165123</c:v>
                </c:pt>
                <c:pt idx="1193">
                  <c:v>1634494.0165123</c:v>
                </c:pt>
                <c:pt idx="1194">
                  <c:v>1634494.0165123</c:v>
                </c:pt>
                <c:pt idx="1195">
                  <c:v>1634494.0165123</c:v>
                </c:pt>
                <c:pt idx="1196">
                  <c:v>1655645.1614623</c:v>
                </c:pt>
                <c:pt idx="1197">
                  <c:v>1664741.6725648</c:v>
                </c:pt>
                <c:pt idx="1198">
                  <c:v>1667776.8298904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1667776.8298904</c:v>
                </c:pt>
                <c:pt idx="1214">
                  <c:v>1667776.8298904</c:v>
                </c:pt>
                <c:pt idx="1215">
                  <c:v>1667776.8298904</c:v>
                </c:pt>
                <c:pt idx="1216">
                  <c:v>1667776.8298904</c:v>
                </c:pt>
                <c:pt idx="1217">
                  <c:v>1667776.8298904</c:v>
                </c:pt>
                <c:pt idx="1218">
                  <c:v>1667776.8298904</c:v>
                </c:pt>
                <c:pt idx="1219">
                  <c:v>1698213.642694</c:v>
                </c:pt>
                <c:pt idx="1220">
                  <c:v>1731977.261997</c:v>
                </c:pt>
                <c:pt idx="1221">
                  <c:v>1744312.3770924</c:v>
                </c:pt>
                <c:pt idx="1222">
                  <c:v>1747400.294549</c:v>
                </c:pt>
                <c:pt idx="1223">
                  <c:v>1744312.3770924</c:v>
                </c:pt>
                <c:pt idx="1224">
                  <c:v>1747400.294549</c:v>
                </c:pt>
                <c:pt idx="1225">
                  <c:v>1744312.3770924</c:v>
                </c:pt>
                <c:pt idx="1226">
                  <c:v>1744312.3770924</c:v>
                </c:pt>
                <c:pt idx="1227">
                  <c:v>1744312.3770924</c:v>
                </c:pt>
                <c:pt idx="1228">
                  <c:v>1744312.3770924</c:v>
                </c:pt>
                <c:pt idx="1229">
                  <c:v>1744312.3770924</c:v>
                </c:pt>
                <c:pt idx="1230">
                  <c:v>1741226.0555606</c:v>
                </c:pt>
                <c:pt idx="1231">
                  <c:v>1738141.5165157</c:v>
                </c:pt>
                <c:pt idx="1232">
                  <c:v>1735058.5729155</c:v>
                </c:pt>
                <c:pt idx="1233">
                  <c:v>1731977.261997</c:v>
                </c:pt>
                <c:pt idx="1234">
                  <c:v>1731977.261997</c:v>
                </c:pt>
                <c:pt idx="1235">
                  <c:v>1728897.6614809</c:v>
                </c:pt>
                <c:pt idx="1236">
                  <c:v>1728897.6614809</c:v>
                </c:pt>
                <c:pt idx="1237">
                  <c:v>1725819.6938243</c:v>
                </c:pt>
                <c:pt idx="1238">
                  <c:v>1722743.3880805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</c:v>
                </c:pt>
                <c:pt idx="1242">
                  <c:v>1728897.6614809</c:v>
                </c:pt>
                <c:pt idx="1243">
                  <c:v>1731977.261997</c:v>
                </c:pt>
                <c:pt idx="1244">
                  <c:v>1728897.6614809</c:v>
                </c:pt>
                <c:pt idx="1245">
                  <c:v>1728897.6614809</c:v>
                </c:pt>
                <c:pt idx="1246">
                  <c:v>1728897.6614809</c:v>
                </c:pt>
                <c:pt idx="1247">
                  <c:v>1728897.6614809</c:v>
                </c:pt>
                <c:pt idx="1248">
                  <c:v>1728897.6614809</c:v>
                </c:pt>
                <c:pt idx="1249">
                  <c:v>1728897.6614809</c:v>
                </c:pt>
                <c:pt idx="1250">
                  <c:v>1728897.6614809</c:v>
                </c:pt>
                <c:pt idx="1251">
                  <c:v>1725819.6938243</c:v>
                </c:pt>
                <c:pt idx="1252">
                  <c:v>1722743.3880805</c:v>
                </c:pt>
                <c:pt idx="1253">
                  <c:v>1722743.3880805</c:v>
                </c:pt>
                <c:pt idx="1254">
                  <c:v>1722743.3880805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</c:v>
                </c:pt>
                <c:pt idx="1258">
                  <c:v>1713524.2337389</c:v>
                </c:pt>
                <c:pt idx="1259">
                  <c:v>1713524.2337389</c:v>
                </c:pt>
                <c:pt idx="1260">
                  <c:v>1713524.2337389</c:v>
                </c:pt>
                <c:pt idx="1261">
                  <c:v>1710454.4363393</c:v>
                </c:pt>
                <c:pt idx="1262">
                  <c:v>1710454.4363393</c:v>
                </c:pt>
                <c:pt idx="1263">
                  <c:v>1707386.3914463</c:v>
                </c:pt>
                <c:pt idx="1264">
                  <c:v>1710454.4363393</c:v>
                </c:pt>
                <c:pt idx="1265">
                  <c:v>1707386.3914463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1701265.9872819</c:v>
                </c:pt>
                <c:pt idx="1272">
                  <c:v>1698213.642694</c:v>
                </c:pt>
                <c:pt idx="1273">
                  <c:v>1698213.642694</c:v>
                </c:pt>
                <c:pt idx="1274">
                  <c:v>1698213.642694</c:v>
                </c:pt>
                <c:pt idx="1275">
                  <c:v>1698213.642694</c:v>
                </c:pt>
                <c:pt idx="1276">
                  <c:v>1698213.642694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1682975.6527669</c:v>
                </c:pt>
                <c:pt idx="1293">
                  <c:v>1682975.6527669</c:v>
                </c:pt>
                <c:pt idx="1294">
                  <c:v>1682975.6527669</c:v>
                </c:pt>
                <c:pt idx="1295">
                  <c:v>1682975.6527669</c:v>
                </c:pt>
                <c:pt idx="1296">
                  <c:v>1682975.6527669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</c:v>
                </c:pt>
                <c:pt idx="1301">
                  <c:v>1676891.4600323</c:v>
                </c:pt>
                <c:pt idx="1302">
                  <c:v>1676891.4600323</c:v>
                </c:pt>
                <c:pt idx="1303">
                  <c:v>1676891.4600323</c:v>
                </c:pt>
                <c:pt idx="1304">
                  <c:v>1676891.4600323</c:v>
                </c:pt>
                <c:pt idx="1305">
                  <c:v>1676891.4600323</c:v>
                </c:pt>
                <c:pt idx="1306">
                  <c:v>1676891.4600323</c:v>
                </c:pt>
                <c:pt idx="1307">
                  <c:v>1673851.7406958</c:v>
                </c:pt>
                <c:pt idx="1308">
                  <c:v>1673851.7406958</c:v>
                </c:pt>
                <c:pt idx="1309">
                  <c:v>1673851.7406958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1667776.8298904</c:v>
                </c:pt>
                <c:pt idx="1318">
                  <c:v>1667776.8298904</c:v>
                </c:pt>
                <c:pt idx="1319">
                  <c:v>1667776.8298904</c:v>
                </c:pt>
                <c:pt idx="1320">
                  <c:v>1667776.8298904</c:v>
                </c:pt>
                <c:pt idx="1321">
                  <c:v>1667776.8298904</c:v>
                </c:pt>
                <c:pt idx="1322">
                  <c:v>1667776.8298904</c:v>
                </c:pt>
                <c:pt idx="1323">
                  <c:v>1667776.8298904</c:v>
                </c:pt>
                <c:pt idx="1324">
                  <c:v>1664741.6725648</c:v>
                </c:pt>
                <c:pt idx="1325">
                  <c:v>1664741.6725648</c:v>
                </c:pt>
                <c:pt idx="1326">
                  <c:v>1664741.6725648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1658675.7961467</c:v>
                </c:pt>
                <c:pt idx="1340">
                  <c:v>1658675.7961467</c:v>
                </c:pt>
                <c:pt idx="1341">
                  <c:v>1658675.7961467</c:v>
                </c:pt>
                <c:pt idx="1342">
                  <c:v>1658675.7961467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1652616.0060849</c:v>
                </c:pt>
                <c:pt idx="1352">
                  <c:v>1652616.0060849</c:v>
                </c:pt>
                <c:pt idx="1353">
                  <c:v>1652616.0060849</c:v>
                </c:pt>
                <c:pt idx="1354">
                  <c:v>1652616.0060849</c:v>
                </c:pt>
                <c:pt idx="1355">
                  <c:v>1655645.1614623</c:v>
                </c:pt>
                <c:pt idx="1356">
                  <c:v>1658675.7961467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1658675.7961467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1652616.0060849</c:v>
                </c:pt>
                <c:pt idx="1373">
                  <c:v>1655645.1614623</c:v>
                </c:pt>
                <c:pt idx="1374">
                  <c:v>1652616.0060849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1652616.0060849</c:v>
                </c:pt>
                <c:pt idx="1378">
                  <c:v>1652616.0060849</c:v>
                </c:pt>
                <c:pt idx="1379">
                  <c:v>1655645.1614623</c:v>
                </c:pt>
                <c:pt idx="1380">
                  <c:v>1652616.0060849</c:v>
                </c:pt>
                <c:pt idx="1381">
                  <c:v>1652616.0060849</c:v>
                </c:pt>
                <c:pt idx="1382">
                  <c:v>1652616.0060849</c:v>
                </c:pt>
                <c:pt idx="1383">
                  <c:v>1652616.0060849</c:v>
                </c:pt>
                <c:pt idx="1384">
                  <c:v>1649588.4715397</c:v>
                </c:pt>
                <c:pt idx="1385">
                  <c:v>1652616.0060849</c:v>
                </c:pt>
                <c:pt idx="1386">
                  <c:v>1652616.0060849</c:v>
                </c:pt>
                <c:pt idx="1387">
                  <c:v>1655645.1614623</c:v>
                </c:pt>
                <c:pt idx="1388">
                  <c:v>1658675.7961467</c:v>
                </c:pt>
                <c:pt idx="1389">
                  <c:v>1658675.7961467</c:v>
                </c:pt>
                <c:pt idx="1390">
                  <c:v>1658675.7961467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1667776.8298904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1673851.7406958</c:v>
                </c:pt>
                <c:pt idx="1397">
                  <c:v>1673851.7406958</c:v>
                </c:pt>
                <c:pt idx="1398">
                  <c:v>1673851.7406958</c:v>
                </c:pt>
                <c:pt idx="1399">
                  <c:v>1676891.4600323</c:v>
                </c:pt>
                <c:pt idx="1400">
                  <c:v>1676891.4600323</c:v>
                </c:pt>
                <c:pt idx="1401">
                  <c:v>1673851.7406958</c:v>
                </c:pt>
                <c:pt idx="1402">
                  <c:v>1676891.4600323</c:v>
                </c:pt>
                <c:pt idx="1403">
                  <c:v>1673851.7406958</c:v>
                </c:pt>
                <c:pt idx="1404">
                  <c:v>1673851.7406958</c:v>
                </c:pt>
                <c:pt idx="1405">
                  <c:v>1673851.7406958</c:v>
                </c:pt>
                <c:pt idx="1406">
                  <c:v>1676891.4600323</c:v>
                </c:pt>
                <c:pt idx="1407">
                  <c:v>1676891.4600323</c:v>
                </c:pt>
                <c:pt idx="1408">
                  <c:v>1676891.4600323</c:v>
                </c:pt>
                <c:pt idx="1409">
                  <c:v>1676891.4600323</c:v>
                </c:pt>
                <c:pt idx="1410">
                  <c:v>1676891.4600323</c:v>
                </c:pt>
                <c:pt idx="1411">
                  <c:v>1676891.4600323</c:v>
                </c:pt>
                <c:pt idx="1412">
                  <c:v>1676891.4600323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1667776.8298904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1667776.8298904</c:v>
                </c:pt>
                <c:pt idx="1427">
                  <c:v>1667776.8298904</c:v>
                </c:pt>
                <c:pt idx="1428">
                  <c:v>1667776.8298904</c:v>
                </c:pt>
                <c:pt idx="1429">
                  <c:v>1667776.8298904</c:v>
                </c:pt>
                <c:pt idx="1430">
                  <c:v>1667776.8298904</c:v>
                </c:pt>
                <c:pt idx="1431">
                  <c:v>1670813.4823932</c:v>
                </c:pt>
                <c:pt idx="1432">
                  <c:v>1667776.8298904</c:v>
                </c:pt>
                <c:pt idx="1433">
                  <c:v>1670813.4823932</c:v>
                </c:pt>
                <c:pt idx="1434">
                  <c:v>1667776.8298904</c:v>
                </c:pt>
                <c:pt idx="1435">
                  <c:v>1658675.7961467</c:v>
                </c:pt>
                <c:pt idx="1436">
                  <c:v>1658675.7961467</c:v>
                </c:pt>
                <c:pt idx="1437">
                  <c:v>1658675.7961467</c:v>
                </c:pt>
                <c:pt idx="1438">
                  <c:v>1658675.7961467</c:v>
                </c:pt>
                <c:pt idx="1439">
                  <c:v>1658675.7961467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1652616.0060849</c:v>
                </c:pt>
                <c:pt idx="1445">
                  <c:v>1652616.0060849</c:v>
                </c:pt>
                <c:pt idx="1446">
                  <c:v>1655645.1614623</c:v>
                </c:pt>
                <c:pt idx="1447">
                  <c:v>1652616.0060849</c:v>
                </c:pt>
                <c:pt idx="1448">
                  <c:v>1652616.0060849</c:v>
                </c:pt>
                <c:pt idx="1449">
                  <c:v>1652616.0060849</c:v>
                </c:pt>
                <c:pt idx="1450">
                  <c:v>1652616.0060849</c:v>
                </c:pt>
                <c:pt idx="1451">
                  <c:v>1652616.0060849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1667776.8298904</c:v>
                </c:pt>
                <c:pt idx="1461">
                  <c:v>1667776.8298904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</c:v>
                </c:pt>
                <c:pt idx="1465">
                  <c:v>1679932.8392697</c:v>
                </c:pt>
                <c:pt idx="1466">
                  <c:v>1682975.6527669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1701265.9872819</c:v>
                </c:pt>
                <c:pt idx="1470">
                  <c:v>1707386.3914463</c:v>
                </c:pt>
                <c:pt idx="1471">
                  <c:v>1710454.4363393</c:v>
                </c:pt>
                <c:pt idx="1472">
                  <c:v>1716595.6600502</c:v>
                </c:pt>
                <c:pt idx="1473">
                  <c:v>1719668.7023854</c:v>
                </c:pt>
                <c:pt idx="1474">
                  <c:v>1722743.3880805</c:v>
                </c:pt>
                <c:pt idx="1475">
                  <c:v>1722743.3880805</c:v>
                </c:pt>
                <c:pt idx="1476">
                  <c:v>1725819.6938243</c:v>
                </c:pt>
                <c:pt idx="1477">
                  <c:v>1725819.6938243</c:v>
                </c:pt>
                <c:pt idx="1478">
                  <c:v>1728897.6614809</c:v>
                </c:pt>
                <c:pt idx="1479">
                  <c:v>1725819.6938243</c:v>
                </c:pt>
                <c:pt idx="1480">
                  <c:v>1725819.6938243</c:v>
                </c:pt>
                <c:pt idx="1481">
                  <c:v>1725819.6938243</c:v>
                </c:pt>
                <c:pt idx="1482">
                  <c:v>1725819.6938243</c:v>
                </c:pt>
                <c:pt idx="1483">
                  <c:v>1725819.6938243</c:v>
                </c:pt>
                <c:pt idx="1484">
                  <c:v>1722743.3880805</c:v>
                </c:pt>
                <c:pt idx="1485">
                  <c:v>1719668.7023854</c:v>
                </c:pt>
                <c:pt idx="1486">
                  <c:v>1725819.6938243</c:v>
                </c:pt>
                <c:pt idx="1487">
                  <c:v>1728897.6614809</c:v>
                </c:pt>
                <c:pt idx="1488">
                  <c:v>1728897.6614809</c:v>
                </c:pt>
                <c:pt idx="1489">
                  <c:v>1728897.6614809</c:v>
                </c:pt>
                <c:pt idx="1490">
                  <c:v>1728897.6614809</c:v>
                </c:pt>
                <c:pt idx="1491">
                  <c:v>1725819.6938243</c:v>
                </c:pt>
                <c:pt idx="1492">
                  <c:v>1722743.3880805</c:v>
                </c:pt>
                <c:pt idx="1493">
                  <c:v>1722743.3880805</c:v>
                </c:pt>
                <c:pt idx="1494">
                  <c:v>1722743.3880805</c:v>
                </c:pt>
                <c:pt idx="1495">
                  <c:v>1722743.3880805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</c:v>
                </c:pt>
                <c:pt idx="1499">
                  <c:v>1713524.2337389</c:v>
                </c:pt>
                <c:pt idx="1500">
                  <c:v>1713524.2337389</c:v>
                </c:pt>
                <c:pt idx="1501">
                  <c:v>1713524.2337389</c:v>
                </c:pt>
                <c:pt idx="1502">
                  <c:v>1713524.2337389</c:v>
                </c:pt>
                <c:pt idx="1503">
                  <c:v>1710454.4363393</c:v>
                </c:pt>
                <c:pt idx="1504">
                  <c:v>1710454.4363393</c:v>
                </c:pt>
                <c:pt idx="1505">
                  <c:v>1710454.4363393</c:v>
                </c:pt>
                <c:pt idx="1506">
                  <c:v>1710454.4363393</c:v>
                </c:pt>
                <c:pt idx="1507">
                  <c:v>1710454.4363393</c:v>
                </c:pt>
                <c:pt idx="1508">
                  <c:v>1707386.3914463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1701265.9872819</c:v>
                </c:pt>
                <c:pt idx="1513">
                  <c:v>1701265.9872819</c:v>
                </c:pt>
                <c:pt idx="1514">
                  <c:v>1701265.9872819</c:v>
                </c:pt>
                <c:pt idx="1515">
                  <c:v>1698213.642694</c:v>
                </c:pt>
                <c:pt idx="1516">
                  <c:v>1698213.642694</c:v>
                </c:pt>
                <c:pt idx="1517">
                  <c:v>1698213.642694</c:v>
                </c:pt>
                <c:pt idx="1518">
                  <c:v>1698213.642694</c:v>
                </c:pt>
                <c:pt idx="1519">
                  <c:v>1698213.642694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</c:v>
                </c:pt>
                <c:pt idx="1530">
                  <c:v>1689066.0691295</c:v>
                </c:pt>
                <c:pt idx="1531">
                  <c:v>1689066.0691295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1682975.6527669</c:v>
                </c:pt>
                <c:pt idx="1538">
                  <c:v>1682975.6527669</c:v>
                </c:pt>
                <c:pt idx="1539">
                  <c:v>1682975.6527669</c:v>
                </c:pt>
                <c:pt idx="1540">
                  <c:v>1682975.6527669</c:v>
                </c:pt>
                <c:pt idx="1541">
                  <c:v>1682975.6527669</c:v>
                </c:pt>
                <c:pt idx="1542">
                  <c:v>1682975.6527669</c:v>
                </c:pt>
                <c:pt idx="1543">
                  <c:v>1682975.6527669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</c:v>
                </c:pt>
                <c:pt idx="1548">
                  <c:v>1676891.4600323</c:v>
                </c:pt>
                <c:pt idx="1549">
                  <c:v>1676891.4600323</c:v>
                </c:pt>
                <c:pt idx="1550">
                  <c:v>1676891.4600323</c:v>
                </c:pt>
                <c:pt idx="1551">
                  <c:v>1676891.4600323</c:v>
                </c:pt>
                <c:pt idx="1552">
                  <c:v>1676891.4600323</c:v>
                </c:pt>
                <c:pt idx="1553">
                  <c:v>1676891.4600323</c:v>
                </c:pt>
                <c:pt idx="1554">
                  <c:v>1676891.4600323</c:v>
                </c:pt>
                <c:pt idx="1555">
                  <c:v>1676891.4600323</c:v>
                </c:pt>
                <c:pt idx="1556">
                  <c:v>1676891.4600323</c:v>
                </c:pt>
                <c:pt idx="1557">
                  <c:v>1676891.4600323</c:v>
                </c:pt>
                <c:pt idx="1558">
                  <c:v>1676891.4600323</c:v>
                </c:pt>
                <c:pt idx="1559">
                  <c:v>1676891.4600323</c:v>
                </c:pt>
                <c:pt idx="1560">
                  <c:v>1679932.8392697</c:v>
                </c:pt>
                <c:pt idx="1561">
                  <c:v>1676891.4600323</c:v>
                </c:pt>
                <c:pt idx="1562">
                  <c:v>1676891.4600323</c:v>
                </c:pt>
                <c:pt idx="1563">
                  <c:v>1676891.4600323</c:v>
                </c:pt>
                <c:pt idx="1564">
                  <c:v>1676891.4600323</c:v>
                </c:pt>
                <c:pt idx="1565">
                  <c:v>1676891.4600323</c:v>
                </c:pt>
                <c:pt idx="1566">
                  <c:v>1676891.4600323</c:v>
                </c:pt>
                <c:pt idx="1567">
                  <c:v>1676891.4600323</c:v>
                </c:pt>
                <c:pt idx="1568">
                  <c:v>1676891.4600323</c:v>
                </c:pt>
                <c:pt idx="1569">
                  <c:v>1676891.4600323</c:v>
                </c:pt>
                <c:pt idx="1570">
                  <c:v>1673851.7406958</c:v>
                </c:pt>
                <c:pt idx="1571">
                  <c:v>1673851.7406958</c:v>
                </c:pt>
                <c:pt idx="1572">
                  <c:v>1673851.7406958</c:v>
                </c:pt>
                <c:pt idx="1573">
                  <c:v>1673851.7406958</c:v>
                </c:pt>
                <c:pt idx="1574">
                  <c:v>1673851.7406958</c:v>
                </c:pt>
                <c:pt idx="1575">
                  <c:v>1673851.7406958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1667776.8298904</c:v>
                </c:pt>
                <c:pt idx="1591">
                  <c:v>1667776.8298904</c:v>
                </c:pt>
                <c:pt idx="1592">
                  <c:v>1667776.8298904</c:v>
                </c:pt>
                <c:pt idx="1593">
                  <c:v>1667776.8298904</c:v>
                </c:pt>
                <c:pt idx="1594">
                  <c:v>1667776.8298904</c:v>
                </c:pt>
                <c:pt idx="1595">
                  <c:v>1667776.8298904</c:v>
                </c:pt>
                <c:pt idx="1596">
                  <c:v>1667776.8298904</c:v>
                </c:pt>
                <c:pt idx="1597">
                  <c:v>1667776.8298904</c:v>
                </c:pt>
                <c:pt idx="1598">
                  <c:v>1667776.8298904</c:v>
                </c:pt>
                <c:pt idx="1599">
                  <c:v>1667776.8298904</c:v>
                </c:pt>
                <c:pt idx="1600">
                  <c:v>1667776.8298904</c:v>
                </c:pt>
                <c:pt idx="1601">
                  <c:v>1667776.8298904</c:v>
                </c:pt>
                <c:pt idx="1602">
                  <c:v>1667776.8298904</c:v>
                </c:pt>
                <c:pt idx="1603">
                  <c:v>1667776.8298904</c:v>
                </c:pt>
                <c:pt idx="1604">
                  <c:v>1667776.8298904</c:v>
                </c:pt>
                <c:pt idx="1605">
                  <c:v>1664741.6725648</c:v>
                </c:pt>
                <c:pt idx="1606">
                  <c:v>1664741.6725648</c:v>
                </c:pt>
                <c:pt idx="1607">
                  <c:v>1664741.6725648</c:v>
                </c:pt>
                <c:pt idx="1608">
                  <c:v>1664741.6725648</c:v>
                </c:pt>
                <c:pt idx="1609">
                  <c:v>1664741.6725648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1658675.7961467</c:v>
                </c:pt>
                <c:pt idx="1625">
                  <c:v>1658675.7961467</c:v>
                </c:pt>
                <c:pt idx="1626">
                  <c:v>1658675.7961467</c:v>
                </c:pt>
                <c:pt idx="1627">
                  <c:v>1658675.7961467</c:v>
                </c:pt>
                <c:pt idx="1628">
                  <c:v>1658675.7961467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1658675.7961467</c:v>
                </c:pt>
                <c:pt idx="1649">
                  <c:v>1661708.0167959</c:v>
                </c:pt>
                <c:pt idx="1650">
                  <c:v>1658675.7961467</c:v>
                </c:pt>
                <c:pt idx="1651">
                  <c:v>1661708.0167959</c:v>
                </c:pt>
                <c:pt idx="1652">
                  <c:v>1658675.7961467</c:v>
                </c:pt>
                <c:pt idx="1653">
                  <c:v>1658675.7961467</c:v>
                </c:pt>
                <c:pt idx="1654">
                  <c:v>1658675.7961467</c:v>
                </c:pt>
                <c:pt idx="1655">
                  <c:v>1658675.7961467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1652616.0060849</c:v>
                </c:pt>
                <c:pt idx="1664">
                  <c:v>1652616.0060849</c:v>
                </c:pt>
                <c:pt idx="1665">
                  <c:v>1652616.0060849</c:v>
                </c:pt>
                <c:pt idx="1666">
                  <c:v>1652616.0060849</c:v>
                </c:pt>
                <c:pt idx="1667">
                  <c:v>1655645.1614623</c:v>
                </c:pt>
                <c:pt idx="1668">
                  <c:v>1652616.0060849</c:v>
                </c:pt>
                <c:pt idx="1669">
                  <c:v>1652616.0060849</c:v>
                </c:pt>
                <c:pt idx="1670">
                  <c:v>1652616.0060849</c:v>
                </c:pt>
                <c:pt idx="1671">
                  <c:v>1652616.0060849</c:v>
                </c:pt>
                <c:pt idx="1672">
                  <c:v>1652616.0060849</c:v>
                </c:pt>
                <c:pt idx="1673">
                  <c:v>1652616.0060849</c:v>
                </c:pt>
                <c:pt idx="1674">
                  <c:v>1652616.0060849</c:v>
                </c:pt>
                <c:pt idx="1675">
                  <c:v>1652616.0060849</c:v>
                </c:pt>
                <c:pt idx="1676">
                  <c:v>1652616.0060849</c:v>
                </c:pt>
                <c:pt idx="1677">
                  <c:v>1649588.4715397</c:v>
                </c:pt>
                <c:pt idx="1678">
                  <c:v>1649588.4715397</c:v>
                </c:pt>
                <c:pt idx="1679">
                  <c:v>1649588.4715397</c:v>
                </c:pt>
                <c:pt idx="1680">
                  <c:v>1649588.4715397</c:v>
                </c:pt>
                <c:pt idx="1681">
                  <c:v>1649588.4715397</c:v>
                </c:pt>
                <c:pt idx="1682">
                  <c:v>1649588.4715397</c:v>
                </c:pt>
                <c:pt idx="1683">
                  <c:v>1649588.4715397</c:v>
                </c:pt>
                <c:pt idx="1684">
                  <c:v>1646562.4785364</c:v>
                </c:pt>
                <c:pt idx="1685">
                  <c:v>1649588.4715397</c:v>
                </c:pt>
                <c:pt idx="1686">
                  <c:v>1646562.4785364</c:v>
                </c:pt>
                <c:pt idx="1687">
                  <c:v>1649588.4715397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</c:v>
                </c:pt>
                <c:pt idx="1693">
                  <c:v>1643538.2164867</c:v>
                </c:pt>
                <c:pt idx="1694">
                  <c:v>1643538.2164867</c:v>
                </c:pt>
                <c:pt idx="1695">
                  <c:v>1643538.2164867</c:v>
                </c:pt>
                <c:pt idx="1696">
                  <c:v>1646562.4785364</c:v>
                </c:pt>
                <c:pt idx="1697">
                  <c:v>1643538.2164867</c:v>
                </c:pt>
                <c:pt idx="1698">
                  <c:v>1643538.2164867</c:v>
                </c:pt>
                <c:pt idx="1699">
                  <c:v>1643538.2164867</c:v>
                </c:pt>
                <c:pt idx="1700">
                  <c:v>1643538.2164867</c:v>
                </c:pt>
                <c:pt idx="1701">
                  <c:v>1643538.2164867</c:v>
                </c:pt>
                <c:pt idx="1702">
                  <c:v>1643538.2164867</c:v>
                </c:pt>
                <c:pt idx="1703">
                  <c:v>1643538.2164867</c:v>
                </c:pt>
                <c:pt idx="1704">
                  <c:v>1643538.2164867</c:v>
                </c:pt>
                <c:pt idx="1705">
                  <c:v>1640521.8742391</c:v>
                </c:pt>
                <c:pt idx="1706">
                  <c:v>1640521.8742391</c:v>
                </c:pt>
                <c:pt idx="1707">
                  <c:v>1640521.8742391</c:v>
                </c:pt>
                <c:pt idx="1708">
                  <c:v>1640521.8742391</c:v>
                </c:pt>
                <c:pt idx="1709">
                  <c:v>1640521.8742391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1634494.0165123</c:v>
                </c:pt>
                <c:pt idx="1725">
                  <c:v>1634494.0165123</c:v>
                </c:pt>
                <c:pt idx="1726">
                  <c:v>1634494.0165123</c:v>
                </c:pt>
                <c:pt idx="1727">
                  <c:v>1634494.0165123</c:v>
                </c:pt>
                <c:pt idx="1728">
                  <c:v>1634494.0165123</c:v>
                </c:pt>
                <c:pt idx="1729">
                  <c:v>1634494.0165123</c:v>
                </c:pt>
                <c:pt idx="1730">
                  <c:v>1634494.0165123</c:v>
                </c:pt>
                <c:pt idx="1731">
                  <c:v>1634494.0165123</c:v>
                </c:pt>
                <c:pt idx="1732">
                  <c:v>1634494.0165123</c:v>
                </c:pt>
                <c:pt idx="1733">
                  <c:v>1634494.0165123</c:v>
                </c:pt>
                <c:pt idx="1734">
                  <c:v>1631482.3951735</c:v>
                </c:pt>
                <c:pt idx="1735">
                  <c:v>1634494.0165123</c:v>
                </c:pt>
                <c:pt idx="1736">
                  <c:v>1631482.3951735</c:v>
                </c:pt>
                <c:pt idx="1737">
                  <c:v>1631482.3951735</c:v>
                </c:pt>
                <c:pt idx="1738">
                  <c:v>1631482.3951735</c:v>
                </c:pt>
                <c:pt idx="1739">
                  <c:v>1631482.3951735</c:v>
                </c:pt>
                <c:pt idx="1740">
                  <c:v>1631482.3951735</c:v>
                </c:pt>
                <c:pt idx="1741">
                  <c:v>1631482.3951735</c:v>
                </c:pt>
                <c:pt idx="1742">
                  <c:v>1631482.3951735</c:v>
                </c:pt>
                <c:pt idx="1743">
                  <c:v>1634494.0165123</c:v>
                </c:pt>
                <c:pt idx="1744">
                  <c:v>1634494.0165123</c:v>
                </c:pt>
                <c:pt idx="1745">
                  <c:v>1634494.0165123</c:v>
                </c:pt>
                <c:pt idx="1746">
                  <c:v>1634494.0165123</c:v>
                </c:pt>
                <c:pt idx="1747">
                  <c:v>1634494.0165123</c:v>
                </c:pt>
                <c:pt idx="1748">
                  <c:v>1631482.3951735</c:v>
                </c:pt>
                <c:pt idx="1749">
                  <c:v>1631482.3951735</c:v>
                </c:pt>
                <c:pt idx="1750">
                  <c:v>1628472.3057532</c:v>
                </c:pt>
                <c:pt idx="1751">
                  <c:v>1628472.3057532</c:v>
                </c:pt>
                <c:pt idx="1752">
                  <c:v>1628472.3057532</c:v>
                </c:pt>
                <c:pt idx="1753">
                  <c:v>1628472.3057532</c:v>
                </c:pt>
                <c:pt idx="1754">
                  <c:v>1628472.3057532</c:v>
                </c:pt>
                <c:pt idx="1755">
                  <c:v>1628472.3057532</c:v>
                </c:pt>
                <c:pt idx="1756">
                  <c:v>1628472.3057532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805900"/>
        <c:axId val="74613403"/>
      </c:lineChart>
      <c:catAx>
        <c:axId val="27609532"/>
        <c:scaling>
          <c:orientation val="minMax"/>
        </c:scaling>
        <c:delete val="1"/>
        <c:axPos val="b"/>
        <c:numFmt formatCode="[$-409]mm/dd/yyyy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54585097"/>
        <c:auto val="1"/>
        <c:lblAlgn val="ctr"/>
        <c:lblOffset val="100"/>
        <c:noMultiLvlLbl val="0"/>
      </c:catAx>
      <c:valAx>
        <c:axId val="54585097"/>
        <c:scaling>
          <c:orientation val="minMax"/>
          <c:max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7609532"/>
        <c:crosses val="max"/>
        <c:crossBetween val="between"/>
      </c:valAx>
      <c:catAx>
        <c:axId val="51805900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4613403"/>
        <c:crosses val="autoZero"/>
        <c:auto val="1"/>
        <c:lblAlgn val="ctr"/>
        <c:lblOffset val="100"/>
        <c:noMultiLvlLbl val="0"/>
      </c:catAx>
      <c:valAx>
        <c:axId val="74613403"/>
        <c:scaling>
          <c:orientation val="minMax"/>
          <c:max val="490.1"/>
          <c:min val="488.9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18059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6</xdr:row>
      <xdr:rowOff>0</xdr:rowOff>
    </xdr:from>
    <xdr:to>
      <xdr:col>31</xdr:col>
      <xdr:colOff>81360</xdr:colOff>
      <xdr:row>41</xdr:row>
      <xdr:rowOff>23040</xdr:rowOff>
    </xdr:to>
    <xdr:graphicFrame>
      <xdr:nvGraphicFramePr>
        <xdr:cNvPr id="1" name="Chart 1"/>
        <xdr:cNvGraphicFramePr/>
      </xdr:nvGraphicFramePr>
      <xdr:xfrm>
        <a:off x="10112400" y="2057400"/>
        <a:ext cx="15257880" cy="1202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178920</xdr:rowOff>
    </xdr:from>
    <xdr:to>
      <xdr:col>11</xdr:col>
      <xdr:colOff>563400</xdr:colOff>
      <xdr:row>37</xdr:row>
      <xdr:rowOff>209160</xdr:rowOff>
    </xdr:to>
    <xdr:graphicFrame>
      <xdr:nvGraphicFramePr>
        <xdr:cNvPr id="2" name="Chart 1"/>
        <xdr:cNvGraphicFramePr/>
      </xdr:nvGraphicFramePr>
      <xdr:xfrm>
        <a:off x="0" y="3951000"/>
        <a:ext cx="10604160" cy="42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15120</xdr:colOff>
      <xdr:row>18</xdr:row>
      <xdr:rowOff>3960</xdr:rowOff>
    </xdr:from>
    <xdr:to>
      <xdr:col>22</xdr:col>
      <xdr:colOff>14760</xdr:colOff>
      <xdr:row>37</xdr:row>
      <xdr:rowOff>209160</xdr:rowOff>
    </xdr:to>
    <xdr:graphicFrame>
      <xdr:nvGraphicFramePr>
        <xdr:cNvPr id="3" name="Chart 2"/>
        <xdr:cNvGraphicFramePr/>
      </xdr:nvGraphicFramePr>
      <xdr:xfrm>
        <a:off x="10814400" y="3985560"/>
        <a:ext cx="7588080" cy="418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175320</xdr:colOff>
      <xdr:row>17</xdr:row>
      <xdr:rowOff>3960</xdr:rowOff>
    </xdr:from>
    <xdr:to>
      <xdr:col>10</xdr:col>
      <xdr:colOff>335160</xdr:colOff>
      <xdr:row>34</xdr:row>
      <xdr:rowOff>37800</xdr:rowOff>
    </xdr:to>
    <xdr:graphicFrame>
      <xdr:nvGraphicFramePr>
        <xdr:cNvPr id="4" name="Chart 1"/>
        <xdr:cNvGraphicFramePr/>
      </xdr:nvGraphicFramePr>
      <xdr:xfrm>
        <a:off x="175320" y="3716640"/>
        <a:ext cx="9305640" cy="359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343080</xdr:colOff>
      <xdr:row>16</xdr:row>
      <xdr:rowOff>171360</xdr:rowOff>
    </xdr:from>
    <xdr:to>
      <xdr:col>20</xdr:col>
      <xdr:colOff>758880</xdr:colOff>
      <xdr:row>33</xdr:row>
      <xdr:rowOff>209160</xdr:rowOff>
    </xdr:to>
    <xdr:graphicFrame>
      <xdr:nvGraphicFramePr>
        <xdr:cNvPr id="5" name="Chart 2"/>
        <xdr:cNvGraphicFramePr/>
      </xdr:nvGraphicFramePr>
      <xdr:xfrm>
        <a:off x="9488880" y="3674520"/>
        <a:ext cx="8208000" cy="360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156240</xdr:rowOff>
    </xdr:from>
    <xdr:to>
      <xdr:col>30</xdr:col>
      <xdr:colOff>517680</xdr:colOff>
      <xdr:row>23</xdr:row>
      <xdr:rowOff>7200</xdr:rowOff>
    </xdr:to>
    <xdr:graphicFrame>
      <xdr:nvGraphicFramePr>
        <xdr:cNvPr id="6" name="Chart 1"/>
        <xdr:cNvGraphicFramePr/>
      </xdr:nvGraphicFramePr>
      <xdr:xfrm>
        <a:off x="8962560" y="156240"/>
        <a:ext cx="14176440" cy="46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rtners.thaiwater.net:3007/teleChart/th/VLGE12/25" TargetMode="External"/><Relationship Id="rId2" Type="http://schemas.openxmlformats.org/officeDocument/2006/relationships/hyperlink" Target="https://partners.thaiwater.net:3007/teleChart/th/VLGE12/25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2" style="0" width="11.9"/>
    <col collapsed="false" customWidth="true" hidden="false" outlineLevel="0" max="3" min="3" style="0" width="11.3"/>
    <col collapsed="false" customWidth="true" hidden="false" outlineLevel="0" max="4" min="4" style="0" width="13.8"/>
    <col collapsed="false" customWidth="true" hidden="false" outlineLevel="0" max="5" min="5" style="0" width="16.1"/>
    <col collapsed="false" customWidth="true" hidden="false" outlineLevel="0" max="6" min="6" style="0" width="14.1"/>
    <col collapsed="false" customWidth="true" hidden="false" outlineLevel="0" max="8" min="7" style="0" width="15"/>
    <col collapsed="false" customWidth="true" hidden="false" outlineLevel="0" max="9" min="9" style="0" width="15.1"/>
    <col collapsed="false" customWidth="true" hidden="false" outlineLevel="0" max="11" min="11" style="1" width="9.3"/>
    <col collapsed="false" customWidth="true" hidden="false" outlineLevel="0" max="12" min="12" style="0" width="8.3"/>
  </cols>
  <sheetData>
    <row r="1" customFormat="false" ht="16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6.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3"/>
    </row>
    <row r="3" customFormat="false" ht="16.5" hidden="false" customHeight="false" outlineLevel="0" collapsed="false">
      <c r="A3" s="4"/>
      <c r="B3" s="4"/>
      <c r="C3" s="4"/>
      <c r="D3" s="4" t="s">
        <v>2</v>
      </c>
      <c r="E3" s="5" t="s">
        <v>3</v>
      </c>
      <c r="F3" s="4" t="s">
        <v>4</v>
      </c>
      <c r="G3" s="5" t="n">
        <v>2026</v>
      </c>
      <c r="H3" s="5"/>
      <c r="I3" s="4" t="s">
        <v>5</v>
      </c>
      <c r="J3" s="3"/>
    </row>
    <row r="4" customFormat="false" ht="16.5" hidden="false" customHeight="false" outlineLevel="0" collapsed="false">
      <c r="D4" s="6" t="s">
        <v>6</v>
      </c>
      <c r="E4" s="7" t="s">
        <v>7</v>
      </c>
      <c r="F4" s="7" t="s">
        <v>8</v>
      </c>
      <c r="G4" s="7"/>
      <c r="H4" s="7" t="s">
        <v>9</v>
      </c>
      <c r="I4" s="7" t="s">
        <v>10</v>
      </c>
      <c r="J4" s="7" t="s">
        <v>11</v>
      </c>
      <c r="K4" s="8" t="s">
        <v>12</v>
      </c>
    </row>
    <row r="5" s="12" customFormat="true" ht="87" hidden="false" customHeight="true" outlineLevel="0" collapsed="false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10" t="s">
        <v>20</v>
      </c>
      <c r="I5" s="10" t="s">
        <v>21</v>
      </c>
      <c r="J5" s="9"/>
      <c r="K5" s="11" t="s">
        <v>22</v>
      </c>
    </row>
    <row r="6" customFormat="false" ht="16.5" hidden="false" customHeight="false" outlineLevel="0" collapsed="false">
      <c r="A6" s="0" t="n">
        <v>1</v>
      </c>
      <c r="B6" s="0" t="n">
        <v>488.801</v>
      </c>
      <c r="C6" s="13" t="n">
        <v>1407732.4119656</v>
      </c>
      <c r="D6" s="0" t="n">
        <v>0</v>
      </c>
      <c r="E6" s="14" t="n">
        <f aca="false">('อัตราการไหล ท่อฝั่งspillway'!L$11*0)+(อัตราการไหลท่อฝั่งทางเข้าอ่าง!L$11*0)</f>
        <v>0</v>
      </c>
      <c r="F6" s="15" t="n">
        <v>0</v>
      </c>
      <c r="G6" s="0" t="n">
        <v>0</v>
      </c>
      <c r="H6" s="16" t="n">
        <v>0</v>
      </c>
      <c r="I6" s="17" t="n">
        <v>961.059658536494</v>
      </c>
      <c r="J6" s="0" t="n">
        <v>293.68223248227</v>
      </c>
      <c r="K6" s="18" t="n">
        <v>-2901.85248699994</v>
      </c>
    </row>
    <row r="7" customFormat="false" ht="16.5" hidden="false" customHeight="false" outlineLevel="0" collapsed="false">
      <c r="A7" s="0" t="n">
        <v>2</v>
      </c>
      <c r="B7" s="0" t="n">
        <v>488.814</v>
      </c>
      <c r="C7" s="13" t="n">
        <v>1410634.2644526</v>
      </c>
      <c r="D7" s="0" t="n">
        <v>4153.38797326013</v>
      </c>
      <c r="E7" s="14" t="n">
        <f aca="false">('อัตราการไหล ท่อฝั่งspillway'!L$11*0)+(อัตราการไหลท่อฝั่งทางเข้าอ่าง!L$11*0)</f>
        <v>0</v>
      </c>
      <c r="F7" s="15" t="n">
        <v>0</v>
      </c>
      <c r="G7" s="0" t="n">
        <v>0</v>
      </c>
      <c r="H7" s="16" t="n">
        <v>0</v>
      </c>
      <c r="I7" s="17" t="n">
        <v>961.313421020139</v>
      </c>
      <c r="J7" s="0" t="n">
        <v>293.76819722882</v>
      </c>
      <c r="K7" s="18" t="n">
        <v>2901.85248699994</v>
      </c>
      <c r="L7" s="19"/>
    </row>
    <row r="8" customFormat="false" ht="16.5" hidden="false" customHeight="false" outlineLevel="0" collapsed="false">
      <c r="A8" s="0" t="n">
        <v>3</v>
      </c>
      <c r="B8" s="0" t="n">
        <v>488.782</v>
      </c>
      <c r="C8" s="13" t="n">
        <v>1401930.957596</v>
      </c>
      <c r="D8" s="0" t="n">
        <v>0</v>
      </c>
      <c r="E8" s="14" t="n">
        <f aca="false">('อัตราการไหล ท่อฝั่งspillway'!L$11*0)+(อัตราการไหลท่อฝั่งทางเข้าอ่าง!L$11*0)</f>
        <v>0</v>
      </c>
      <c r="F8" s="15" t="n">
        <v>0</v>
      </c>
      <c r="G8" s="0" t="n">
        <v>0</v>
      </c>
      <c r="H8" s="16" t="n">
        <v>0</v>
      </c>
      <c r="I8" s="17" t="n">
        <v>960.554236788924</v>
      </c>
      <c r="J8" s="0" t="n">
        <v>293.51090551795</v>
      </c>
      <c r="K8" s="18" t="n">
        <v>-8703.30685659987</v>
      </c>
      <c r="L8" s="19"/>
    </row>
    <row r="9" customFormat="false" ht="16.5" hidden="false" customHeight="false" outlineLevel="0" collapsed="false">
      <c r="A9" s="0" t="n">
        <v>4</v>
      </c>
      <c r="B9" s="0" t="n">
        <v>488.776</v>
      </c>
      <c r="C9" s="13" t="n">
        <v>1399031.4112872</v>
      </c>
      <c r="D9" s="0" t="n">
        <v>0</v>
      </c>
      <c r="E9" s="14" t="n">
        <f aca="false">('อัตราการไหล ท่อฝั่งspillway'!L$11*0)+(อัตราการไหลท่อฝั่งทางเข้าอ่าง!L$11*0)</f>
        <v>0</v>
      </c>
      <c r="F9" s="15" t="n">
        <v>0</v>
      </c>
      <c r="G9" s="0" t="n">
        <v>0</v>
      </c>
      <c r="H9" s="16" t="n">
        <v>0</v>
      </c>
      <c r="I9" s="17" t="n">
        <v>960.30249836096</v>
      </c>
      <c r="J9" s="0" t="n">
        <v>293.42551935447</v>
      </c>
      <c r="K9" s="18" t="n">
        <v>-2899.54630880011</v>
      </c>
      <c r="L9" s="19"/>
    </row>
    <row r="10" customFormat="false" ht="16.5" hidden="false" customHeight="false" outlineLevel="0" collapsed="false">
      <c r="A10" s="0" t="n">
        <v>5</v>
      </c>
      <c r="B10" s="0" t="n">
        <v>488.801</v>
      </c>
      <c r="C10" s="13" t="n">
        <v>1407732.4119656</v>
      </c>
      <c r="D10" s="0" t="n">
        <v>0</v>
      </c>
      <c r="E10" s="14" t="n">
        <f aca="false">('อัตราการไหล ท่อฝั่งspillway'!L$11*0)+(อัตราการไหลท่อฝั่งทางเข้าอ่าง!L$11*0)</f>
        <v>0</v>
      </c>
      <c r="F10" s="15" t="n">
        <v>0</v>
      </c>
      <c r="G10" s="0" t="n">
        <v>35.6</v>
      </c>
      <c r="H10" s="16" t="n">
        <v>10329.1781602216</v>
      </c>
      <c r="I10" s="17" t="n">
        <v>961.059658536494</v>
      </c>
      <c r="J10" s="0" t="n">
        <v>293.68223248227</v>
      </c>
      <c r="K10" s="18" t="n">
        <v>8701.00067840004</v>
      </c>
      <c r="L10" s="19"/>
    </row>
    <row r="11" customFormat="false" ht="16.5" hidden="false" customHeight="false" outlineLevel="0" collapsed="false">
      <c r="A11" s="0" t="n">
        <v>6</v>
      </c>
      <c r="B11" s="0" t="n">
        <v>488.795</v>
      </c>
      <c r="C11" s="13" t="n">
        <v>1404831.3032069</v>
      </c>
      <c r="D11" s="0" t="n">
        <v>0</v>
      </c>
      <c r="E11" s="14" t="n">
        <v>0</v>
      </c>
      <c r="F11" s="15" t="n">
        <v>0</v>
      </c>
      <c r="G11" s="0" t="n">
        <v>8.4</v>
      </c>
      <c r="H11" s="16" t="n">
        <v>2436.57973363896</v>
      </c>
      <c r="I11" s="17" t="n">
        <v>960.806469987624</v>
      </c>
      <c r="J11" s="0" t="n">
        <v>293.59643049576</v>
      </c>
      <c r="K11" s="18" t="n">
        <v>-2901.10875870008</v>
      </c>
      <c r="L11" s="19"/>
    </row>
    <row r="12" customFormat="false" ht="16.5" hidden="false" customHeight="false" outlineLevel="0" collapsed="false">
      <c r="A12" s="20" t="n">
        <v>7</v>
      </c>
      <c r="B12" s="0" t="n">
        <v>488.8</v>
      </c>
      <c r="C12" s="13" t="n">
        <v>1407732.4119656</v>
      </c>
      <c r="D12" s="0" t="n">
        <v>3572.02296329776</v>
      </c>
      <c r="E12" s="14" t="n">
        <v>0</v>
      </c>
      <c r="F12" s="15" t="n">
        <v>0</v>
      </c>
      <c r="G12" s="0" t="n">
        <v>2</v>
      </c>
      <c r="H12" s="16" t="n">
        <v>580.29090787762</v>
      </c>
      <c r="I12" s="17" t="n">
        <v>961.059658536494</v>
      </c>
      <c r="J12" s="0" t="n">
        <v>293.68223248227</v>
      </c>
      <c r="K12" s="18" t="n">
        <v>2901.10875870008</v>
      </c>
      <c r="L12" s="19"/>
    </row>
    <row r="13" customFormat="false" ht="16.5" hidden="false" customHeight="false" outlineLevel="0" collapsed="false">
      <c r="A13" s="0" t="n">
        <v>8</v>
      </c>
      <c r="B13" s="0" t="n">
        <v>488.841</v>
      </c>
      <c r="C13" s="13" t="n">
        <v>1419344.4679611</v>
      </c>
      <c r="D13" s="0" t="n">
        <v>8333.52349808145</v>
      </c>
      <c r="E13" s="14" t="n">
        <v>0</v>
      </c>
      <c r="F13" s="15" t="n">
        <v>0</v>
      </c>
      <c r="G13" s="0" t="n">
        <v>15.6</v>
      </c>
      <c r="H13" s="16" t="n">
        <v>4531.06272615672</v>
      </c>
      <c r="I13" s="17" t="n">
        <v>962.077489882018</v>
      </c>
      <c r="J13" s="0" t="n">
        <v>294.02686182989</v>
      </c>
      <c r="K13" s="18" t="n">
        <v>11612.0559955</v>
      </c>
      <c r="L13" s="19"/>
    </row>
    <row r="14" customFormat="false" ht="16.5" hidden="false" customHeight="false" outlineLevel="0" collapsed="false">
      <c r="A14" s="0" t="n">
        <v>9</v>
      </c>
      <c r="B14" s="0" t="n">
        <v>488.865</v>
      </c>
      <c r="C14" s="13" t="n">
        <v>1425155.0669105</v>
      </c>
      <c r="D14" s="0" t="n">
        <v>7063.79578135049</v>
      </c>
      <c r="E14" s="14" t="n">
        <f aca="false">('อัตราการไหล ท่อฝั่งspillway'!L$11*0)+(อัตราการไหลท่อฝั่งทางเข้าอ่าง!L$11*0)</f>
        <v>0</v>
      </c>
      <c r="F14" s="15" t="n">
        <v>0</v>
      </c>
      <c r="G14" s="0" t="n">
        <v>0</v>
      </c>
      <c r="H14" s="16" t="n">
        <v>0</v>
      </c>
      <c r="I14" s="17" t="n">
        <v>962.589512610482</v>
      </c>
      <c r="J14" s="0" t="n">
        <v>294.20003843181</v>
      </c>
      <c r="K14" s="18" t="n">
        <v>5810.59894940001</v>
      </c>
      <c r="L14" s="19"/>
    </row>
    <row r="15" customFormat="false" ht="16.5" hidden="false" customHeight="false" outlineLevel="0" collapsed="false">
      <c r="A15" s="0" t="n">
        <v>10</v>
      </c>
      <c r="B15" s="0" t="n">
        <v>488.903</v>
      </c>
      <c r="C15" s="13" t="n">
        <v>1436785.673304</v>
      </c>
      <c r="D15" s="0" t="n">
        <v>3284.83311676227</v>
      </c>
      <c r="E15" s="14" t="n">
        <f aca="false">('อัตราการไหล ท่อฝั่งspillway'!L$11*0)+(อัตราการไหลท่อฝั่งทางเข้าอ่าง!L$11*0)</f>
        <v>0</v>
      </c>
      <c r="F15" s="15" t="n">
        <v>0</v>
      </c>
      <c r="G15" s="0" t="n">
        <v>33</v>
      </c>
      <c r="H15" s="16" t="n">
        <v>9600.31225390248</v>
      </c>
      <c r="I15" s="17" t="n">
        <v>963.62042401619</v>
      </c>
      <c r="J15" s="0" t="n">
        <v>294.54828164847</v>
      </c>
      <c r="K15" s="18" t="n">
        <v>11630.6063935</v>
      </c>
      <c r="L15" s="19"/>
    </row>
    <row r="16" customFormat="false" ht="16.5" hidden="false" customHeight="false" outlineLevel="0" collapsed="false">
      <c r="A16" s="0" t="n">
        <v>11</v>
      </c>
      <c r="B16" s="0" t="n">
        <v>488.956</v>
      </c>
      <c r="C16" s="13" t="n">
        <v>1451341.5620411</v>
      </c>
      <c r="D16" s="0" t="n">
        <v>605.652973947571</v>
      </c>
      <c r="E16" s="14" t="n">
        <f aca="false">('อัตราการไหล ท่อฝั่งspillway'!L$11*0)+(อัตราการไหลท่อฝั่งทางเข้าอ่าง!L$11*0)</f>
        <v>0</v>
      </c>
      <c r="F16" s="15" t="n">
        <v>0</v>
      </c>
      <c r="G16" s="0" t="n">
        <v>52.2</v>
      </c>
      <c r="H16" s="16" t="n">
        <v>15206.4700665835</v>
      </c>
      <c r="I16" s="17" t="n">
        <v>964.922616331555</v>
      </c>
      <c r="J16" s="0" t="n">
        <v>294.98727977295</v>
      </c>
      <c r="K16" s="18" t="n">
        <v>14555.8887371002</v>
      </c>
      <c r="L16" s="19"/>
    </row>
    <row r="17" customFormat="false" ht="16.5" hidden="false" customHeight="false" outlineLevel="0" collapsed="false">
      <c r="A17" s="0" t="n">
        <v>12</v>
      </c>
      <c r="B17" s="0" t="n">
        <v>488.967</v>
      </c>
      <c r="C17" s="13" t="n">
        <v>1454255.069173</v>
      </c>
      <c r="D17" s="0" t="n">
        <v>323.723272625149</v>
      </c>
      <c r="E17" s="14" t="n">
        <f aca="false">('อัตราการไหล ท่อฝั่งspillway'!L$11*0)+(อัตราการไหลท่อฝั่งทางเข้าอ่าง!L$11*0)</f>
        <v>0</v>
      </c>
      <c r="F17" s="15" t="n">
        <v>0</v>
      </c>
      <c r="G17" s="0" t="n">
        <v>13.2</v>
      </c>
      <c r="H17" s="16" t="n">
        <v>3846.35969504054</v>
      </c>
      <c r="I17" s="17" t="n">
        <v>965.184949777833</v>
      </c>
      <c r="J17" s="0" t="n">
        <v>295.07559178784</v>
      </c>
      <c r="K17" s="18" t="n">
        <v>2913.50713189994</v>
      </c>
    </row>
    <row r="18" customFormat="false" ht="16.5" hidden="false" customHeight="false" outlineLevel="0" collapsed="false">
      <c r="A18" s="0" t="n">
        <v>13</v>
      </c>
      <c r="B18" s="0" t="n">
        <v>489.238</v>
      </c>
      <c r="C18" s="13" t="n">
        <v>1533251.225472</v>
      </c>
      <c r="D18" s="0" t="n">
        <v>64020.6507161179</v>
      </c>
      <c r="E18" s="14" t="n">
        <f aca="false">('อัตราการไหล ท่อฝั่งspillway'!L$11*0)+(อัตราการไหลท่อฝั่งทางเข้าอ่าง!L$11*0)</f>
        <v>0</v>
      </c>
      <c r="F18" s="15" t="n">
        <v>0</v>
      </c>
      <c r="G18" s="0" t="n">
        <v>55.2</v>
      </c>
      <c r="H18" s="16" t="n">
        <v>16244.5643415282</v>
      </c>
      <c r="I18" s="17" t="n">
        <v>974.773172748967</v>
      </c>
      <c r="J18" s="0" t="n">
        <v>298.20565395441</v>
      </c>
      <c r="K18" s="18" t="n">
        <v>78996.1562989999</v>
      </c>
    </row>
    <row r="19" customFormat="false" ht="16.5" hidden="false" customHeight="false" outlineLevel="0" collapsed="false">
      <c r="A19" s="0" t="n">
        <v>14</v>
      </c>
      <c r="B19" s="0" t="n">
        <v>489.342</v>
      </c>
      <c r="C19" s="13" t="n">
        <v>1565714.0163252</v>
      </c>
      <c r="D19" s="0" t="n">
        <v>29891.3995551568</v>
      </c>
      <c r="E19" s="14" t="n">
        <f aca="false">('อัตราการไหล ท่อฝั่งspillway'!L$11*0)+(อัตราการไหลท่อฝั่งทางเข้าอ่าง!L$11*0)</f>
        <v>0</v>
      </c>
      <c r="F19" s="15" t="n">
        <v>0</v>
      </c>
      <c r="G19" s="0" t="n">
        <v>13</v>
      </c>
      <c r="H19" s="16" t="n">
        <v>3847.76535175188</v>
      </c>
      <c r="I19" s="17" t="n">
        <v>980.392103573914</v>
      </c>
      <c r="J19" s="0" t="n">
        <v>299.99027349201</v>
      </c>
      <c r="K19" s="18" t="n">
        <v>32462.7908532</v>
      </c>
    </row>
    <row r="20" customFormat="false" ht="16.5" hidden="false" customHeight="false" outlineLevel="0" collapsed="false">
      <c r="A20" s="0" t="n">
        <v>15</v>
      </c>
      <c r="B20" s="0" t="n">
        <v>489.386</v>
      </c>
      <c r="C20" s="13" t="n">
        <v>1577566.834908</v>
      </c>
      <c r="D20" s="0" t="n">
        <v>9275.53266444997</v>
      </c>
      <c r="E20" s="14" t="n">
        <f aca="false">('อัตราการไหล ท่อฝั่งspillway'!L$11*0)+(อัตราการไหลท่อฝั่งทางเข้าอ่าง!L$11*0)</f>
        <v>0</v>
      </c>
      <c r="F20" s="15" t="n">
        <v>0</v>
      </c>
      <c r="G20" s="0" t="n">
        <v>13</v>
      </c>
      <c r="H20" s="16" t="n">
        <v>3856.58591352151</v>
      </c>
      <c r="I20" s="17" t="n">
        <v>982.639540285223</v>
      </c>
      <c r="J20" s="0" t="n">
        <v>300.69999401317</v>
      </c>
      <c r="K20" s="18" t="n">
        <v>11852.8185828</v>
      </c>
    </row>
    <row r="21" customFormat="false" ht="16.5" hidden="false" customHeight="false" outlineLevel="0" collapsed="false">
      <c r="A21" s="0" t="n">
        <v>16</v>
      </c>
      <c r="B21" s="0" t="n">
        <v>489.437</v>
      </c>
      <c r="C21" s="13" t="n">
        <v>1592470.1267521</v>
      </c>
      <c r="D21" s="0" t="n">
        <v>16073.5335749953</v>
      </c>
      <c r="E21" s="14" t="n">
        <f aca="false">('อัตราการไหล ท่อฝั่งspillway'!L$11*0)+(อัตราการไหลท่อฝั่งทางเข้าอ่าง!L$11*0)</f>
        <v>0</v>
      </c>
      <c r="F21" s="15" t="n">
        <v>0</v>
      </c>
      <c r="G21" s="0" t="n">
        <v>0.4</v>
      </c>
      <c r="H21" s="16" t="n">
        <v>119.646297403848</v>
      </c>
      <c r="I21" s="17" t="n">
        <v>990.772284789512</v>
      </c>
      <c r="J21" s="0" t="n">
        <v>303.19401770642</v>
      </c>
      <c r="K21" s="18" t="n">
        <v>14903.2918441</v>
      </c>
    </row>
    <row r="22" customFormat="false" ht="16.5" hidden="false" customHeight="false" outlineLevel="0" collapsed="false">
      <c r="A22" s="0" t="n">
        <v>17</v>
      </c>
      <c r="B22" s="0" t="n">
        <v>489.43</v>
      </c>
      <c r="C22" s="13" t="n">
        <v>1592470.1267521</v>
      </c>
      <c r="D22" s="0" t="n">
        <v>0</v>
      </c>
      <c r="E22" s="14" t="n">
        <f aca="false">('อัตราการไหล ท่อฝั่งspillway'!L$11*0)+(อัตราการไหลท่อฝั่งทางเข้าอ่าง!L$11*0)</f>
        <v>0</v>
      </c>
      <c r="F22" s="15" t="n">
        <v>0</v>
      </c>
      <c r="G22" s="0" t="n">
        <v>5.8</v>
      </c>
      <c r="H22" s="16" t="n">
        <v>1734.8713123558</v>
      </c>
      <c r="I22" s="17" t="n">
        <v>990.772284789512</v>
      </c>
      <c r="J22" s="0" t="n">
        <v>303.19401770642</v>
      </c>
      <c r="K22" s="18" t="n">
        <v>0</v>
      </c>
    </row>
    <row r="23" customFormat="false" ht="16.5" hidden="false" customHeight="false" outlineLevel="0" collapsed="false">
      <c r="A23" s="0" t="n">
        <v>18</v>
      </c>
      <c r="B23" s="0" t="n">
        <v>489.463</v>
      </c>
      <c r="C23" s="13" t="n">
        <v>1601450.3446648</v>
      </c>
      <c r="D23" s="0" t="n">
        <v>10212.1217991189</v>
      </c>
      <c r="E23" s="14" t="n">
        <f aca="false">('อัตราการไหล ท่อฝั่งspillway'!L$11*0)+(อัตราการไหลท่อฝั่งทางเข้าอ่าง!L$11*0)</f>
        <v>0</v>
      </c>
      <c r="F23" s="15" t="n">
        <v>0</v>
      </c>
      <c r="G23" s="0" t="n">
        <v>0.2</v>
      </c>
      <c r="H23" s="16" t="n">
        <v>59.912587218854</v>
      </c>
      <c r="I23" s="17" t="n">
        <v>992.2535375435</v>
      </c>
      <c r="J23" s="0" t="n">
        <v>303.66483203245</v>
      </c>
      <c r="K23" s="18" t="n">
        <v>8980.21791270003</v>
      </c>
    </row>
    <row r="24" customFormat="false" ht="16.5" hidden="false" customHeight="false" outlineLevel="0" collapsed="false">
      <c r="A24" s="0" t="n">
        <v>19</v>
      </c>
      <c r="B24" s="0" t="n">
        <v>489.501</v>
      </c>
      <c r="C24" s="13" t="n">
        <v>1613444.9319478</v>
      </c>
      <c r="D24" s="0" t="n">
        <v>3923.86473352018</v>
      </c>
      <c r="E24" s="14" t="n">
        <f aca="false">('อัตราการไหล ท่อฝั่งspillway'!L$11*0)+(อัตราการไหลท่อฝั่งทางเข้าอ่าง!L$11*0)</f>
        <v>0</v>
      </c>
      <c r="F24" s="15" t="n">
        <v>0</v>
      </c>
      <c r="G24" s="0" t="n">
        <v>31.2</v>
      </c>
      <c r="H24" s="16" t="n">
        <v>9365.1332931337</v>
      </c>
      <c r="I24" s="17" t="n">
        <v>994.246215027674</v>
      </c>
      <c r="J24" s="0" t="n">
        <v>304.29778373955</v>
      </c>
      <c r="K24" s="18" t="n">
        <v>11994.5872830001</v>
      </c>
    </row>
    <row r="25" customFormat="false" ht="16.5" hidden="false" customHeight="false" outlineLevel="0" collapsed="false">
      <c r="A25" s="0" t="n">
        <v>20</v>
      </c>
      <c r="B25" s="0" t="n">
        <v>489.643</v>
      </c>
      <c r="C25" s="13" t="n">
        <v>1655645.1614623</v>
      </c>
      <c r="D25" s="0" t="n">
        <v>110640.521929889</v>
      </c>
      <c r="E25" s="14" t="n">
        <f aca="false">('อัตราการไหล ท่อฝั่งspillway'!L$11*0)+(อัตราการไหลท่อฝั่งทางเข้าอ่าง!L$11*0)</f>
        <v>0</v>
      </c>
      <c r="F25" s="15" t="n">
        <v>68406.255</v>
      </c>
      <c r="G25" s="0" t="n">
        <v>4.2</v>
      </c>
      <c r="H25" s="16" t="n">
        <v>1272.56868013548</v>
      </c>
      <c r="I25" s="17" t="n">
        <v>1003.61355263489</v>
      </c>
      <c r="J25" s="0" t="n">
        <v>307.23725027043</v>
      </c>
      <c r="K25" s="18" t="n">
        <v>42200.2295144999</v>
      </c>
    </row>
    <row r="26" customFormat="false" ht="16.5" hidden="false" customHeight="false" outlineLevel="0" collapsed="false">
      <c r="A26" s="0" t="n">
        <v>21</v>
      </c>
      <c r="B26" s="0" t="n">
        <v>489.63</v>
      </c>
      <c r="C26" s="13" t="n">
        <v>1652616.0060849</v>
      </c>
      <c r="D26" s="0" t="n">
        <v>101694.070947194</v>
      </c>
      <c r="E26" s="14" t="n">
        <f aca="false">('อัตราการไหล ท่อฝั่งspillway'!L$11*0)+(อัตราการไหลท่อฝั่งทางเข้าอ่าง!L$11*0)</f>
        <v>0</v>
      </c>
      <c r="F26" s="15" t="n">
        <v>105113.184</v>
      </c>
      <c r="G26" s="0" t="n">
        <v>5.6</v>
      </c>
      <c r="H26" s="16" t="n">
        <v>1695.91250010818</v>
      </c>
      <c r="I26" s="17" t="n">
        <v>1003.11330682577</v>
      </c>
      <c r="J26" s="0" t="n">
        <v>307.07767048739</v>
      </c>
      <c r="K26" s="18" t="n">
        <v>-3029.15537740011</v>
      </c>
    </row>
    <row r="27" customFormat="false" ht="16.5" hidden="false" customHeight="false" outlineLevel="0" collapsed="false">
      <c r="A27" s="0" t="n">
        <v>22</v>
      </c>
      <c r="B27" s="0" t="n">
        <v>489.644</v>
      </c>
      <c r="C27" s="13" t="n">
        <v>1655645.1614623</v>
      </c>
      <c r="D27" s="0" t="n">
        <v>160766.191472924</v>
      </c>
      <c r="E27" s="14" t="n">
        <f aca="false">('อัตราการไหล ท่อฝั่งspillway'!L$11*0)+(อัตราการไหลท่อฝั่งทางเข้าอ่าง!L$11*0)</f>
        <v>0</v>
      </c>
      <c r="F27" s="15" t="n">
        <v>156430.43</v>
      </c>
      <c r="G27" s="0" t="n">
        <v>0</v>
      </c>
      <c r="H27" s="16" t="n">
        <v>0</v>
      </c>
      <c r="I27" s="17" t="n">
        <v>1003.61355263489</v>
      </c>
      <c r="J27" s="0" t="n">
        <v>307.23725027043</v>
      </c>
      <c r="K27" s="18" t="n">
        <v>3029.15537740011</v>
      </c>
    </row>
    <row r="28" customFormat="false" ht="16.5" hidden="false" customHeight="false" outlineLevel="0" collapsed="false">
      <c r="A28" s="0" t="n">
        <v>23</v>
      </c>
      <c r="B28" s="0" t="n">
        <v>489.682</v>
      </c>
      <c r="C28" s="13" t="n">
        <v>1667776.8298904</v>
      </c>
      <c r="D28" s="0" t="n">
        <v>200312.351102164</v>
      </c>
      <c r="E28" s="14" t="n">
        <f aca="false">('อัตราการไหล ท่อฝั่งspillway'!L$11*0)+(อัตราการไหลท่อฝั่งทางเข้าอ่าง!L$11*0)</f>
        <v>0</v>
      </c>
      <c r="F28" s="15" t="n">
        <v>193186.261</v>
      </c>
      <c r="G28" s="0" t="n">
        <v>20.8</v>
      </c>
      <c r="H28" s="16" t="n">
        <v>6314.78409893469</v>
      </c>
      <c r="I28" s="17" t="n">
        <v>1005.61038362678</v>
      </c>
      <c r="J28" s="0" t="n">
        <v>307.87476419277</v>
      </c>
      <c r="K28" s="18" t="n">
        <v>12131.6684281</v>
      </c>
    </row>
    <row r="29" customFormat="false" ht="16.5" hidden="false" customHeight="false" outlineLevel="0" collapsed="false">
      <c r="A29" s="0" t="n">
        <v>24</v>
      </c>
      <c r="B29" s="0" t="n">
        <v>489.688</v>
      </c>
      <c r="C29" s="13" t="n">
        <v>1667776.8298904</v>
      </c>
      <c r="D29" s="0" t="n">
        <v>255740.520695124</v>
      </c>
      <c r="E29" s="14" t="n">
        <f aca="false">('อัตราการไหล ท่อฝั่งspillway'!L$11*0)+(อัตราการไหลท่อฝั่งทางเข้าอ่าง!L$11*0)</f>
        <v>0</v>
      </c>
      <c r="F29" s="15" t="n">
        <v>254492.034</v>
      </c>
      <c r="G29" s="0" t="n">
        <v>0.2</v>
      </c>
      <c r="H29" s="16" t="n">
        <v>60.719077874372</v>
      </c>
      <c r="I29" s="17" t="n">
        <v>1005.61038362678</v>
      </c>
      <c r="J29" s="0" t="n">
        <v>307.87476419277</v>
      </c>
      <c r="K29" s="18" t="n">
        <v>0</v>
      </c>
    </row>
    <row r="30" customFormat="false" ht="16.5" hidden="false" customHeight="false" outlineLevel="0" collapsed="false">
      <c r="A30" s="0" t="n">
        <v>25</v>
      </c>
      <c r="B30" s="0" t="n">
        <v>489.695</v>
      </c>
      <c r="C30" s="13" t="n">
        <v>1670813.4823932</v>
      </c>
      <c r="D30" s="0" t="n">
        <v>247321.41755552</v>
      </c>
      <c r="E30" s="14" t="n">
        <f aca="false">('อัตราการไหล ท่อฝั่งspillway'!L$11*0)+(อัตราการไหลท่อฝั่งทางเข้าอ่าง!L$11*0)</f>
        <v>0</v>
      </c>
      <c r="F30" s="15" t="n">
        <v>242974.902</v>
      </c>
      <c r="G30" s="0" t="n">
        <v>0</v>
      </c>
      <c r="H30" s="16" t="n">
        <v>0</v>
      </c>
      <c r="I30" s="17" t="n">
        <v>1006.1152449145</v>
      </c>
      <c r="J30" s="0" t="n">
        <v>308.03591147454</v>
      </c>
      <c r="K30" s="18" t="n">
        <v>3036.65250280011</v>
      </c>
    </row>
    <row r="31" customFormat="false" ht="16.5" hidden="false" customHeight="false" outlineLevel="0" collapsed="false">
      <c r="A31" s="0" t="n">
        <v>26</v>
      </c>
      <c r="B31" s="0" t="n">
        <v>489.707</v>
      </c>
      <c r="C31" s="13" t="n">
        <v>1673851.7406958</v>
      </c>
      <c r="D31" s="0" t="n">
        <v>265242.824673581</v>
      </c>
      <c r="E31" s="14" t="n">
        <f aca="false">('อัตราการไหล ท่อฝั่งspillway'!L$11*0)+(อัตราการไหลท่อฝั่งทางเข้าอ่าง!L$11*0)</f>
        <v>0</v>
      </c>
      <c r="F31" s="15" t="n">
        <v>266668.163</v>
      </c>
      <c r="G31" s="0" t="n">
        <v>19</v>
      </c>
      <c r="H31" s="16" t="n">
        <v>5774.12067932887</v>
      </c>
      <c r="I31" s="17" t="n">
        <v>1006.62296192466</v>
      </c>
      <c r="J31" s="0" t="n">
        <v>308.19793688568</v>
      </c>
      <c r="K31" s="18" t="n">
        <v>3038.25830259989</v>
      </c>
    </row>
    <row r="32" customFormat="false" ht="16.5" hidden="false" customHeight="false" outlineLevel="0" collapsed="false">
      <c r="A32" s="0" t="n">
        <v>27</v>
      </c>
      <c r="B32" s="0" t="n">
        <v>489.785</v>
      </c>
      <c r="C32" s="13" t="n">
        <v>1698213.642694</v>
      </c>
      <c r="D32" s="0" t="n">
        <v>444008.703245138</v>
      </c>
      <c r="E32" s="14" t="n">
        <f aca="false">('อัตราการไหล ท่อฝั่งspillway'!L$11*0)+(อัตราการไหลท่อฝั่งทางเข้าอ่าง!L$11*0)</f>
        <v>0</v>
      </c>
      <c r="F32" s="15" t="n">
        <v>420650.054</v>
      </c>
      <c r="G32" s="0" t="n">
        <v>7.6</v>
      </c>
      <c r="H32" s="16" t="n">
        <v>2319.19208596836</v>
      </c>
      <c r="I32" s="17" t="n">
        <v>1010.78247948961</v>
      </c>
      <c r="J32" s="0" t="n">
        <v>309.5242350132</v>
      </c>
      <c r="K32" s="18" t="n">
        <v>24361.9019982</v>
      </c>
    </row>
    <row r="33" customFormat="false" ht="16.5" hidden="false" customHeight="false" outlineLevel="0" collapsed="false">
      <c r="A33" s="0" t="n">
        <v>28</v>
      </c>
      <c r="B33" s="0" t="n">
        <v>489.766</v>
      </c>
      <c r="C33" s="13" t="n">
        <v>1692113.6615758</v>
      </c>
      <c r="D33" s="0" t="n">
        <v>544604.161714693</v>
      </c>
      <c r="E33" s="14" t="n">
        <f aca="false">('อัตราการไหล ท่อฝั่งspillway'!L$11*0)+(อัตราการไหลท่อฝั่งทางเข้าอ่าง!L$11*0)</f>
        <v>0</v>
      </c>
      <c r="F33" s="15" t="n">
        <v>549389.58</v>
      </c>
      <c r="G33" s="0" t="n">
        <v>0</v>
      </c>
      <c r="H33" s="16" t="n">
        <v>0</v>
      </c>
      <c r="I33" s="17" t="n">
        <v>1009.72517991503</v>
      </c>
      <c r="J33" s="0" t="n">
        <v>309.18729194685</v>
      </c>
      <c r="K33" s="18" t="n">
        <v>-6099.98111819988</v>
      </c>
    </row>
    <row r="34" customFormat="false" ht="16.5" hidden="false" customHeight="false" outlineLevel="0" collapsed="false">
      <c r="A34" s="0" t="n">
        <v>29</v>
      </c>
      <c r="B34" s="0" t="n">
        <v>489.817</v>
      </c>
      <c r="C34" s="13" t="n">
        <v>1707386.3914463</v>
      </c>
      <c r="D34" s="0" t="n">
        <v>626002.754559492</v>
      </c>
      <c r="E34" s="14" t="n">
        <f aca="false">('อัตราการไหล ท่อฝั่งspillway'!L$11*0)+(อัตราการไหลท่อฝั่งทางเข้าอ่าง!L$11*0)</f>
        <v>0</v>
      </c>
      <c r="F34" s="15" t="n">
        <v>611493.051</v>
      </c>
      <c r="G34" s="0" t="n">
        <v>6.8</v>
      </c>
      <c r="H34" s="16" t="n">
        <v>2085.72459092048</v>
      </c>
      <c r="I34" s="17" t="n">
        <v>1015.97407536535</v>
      </c>
      <c r="J34" s="0" t="n">
        <v>311.11850277486</v>
      </c>
      <c r="K34" s="18" t="n">
        <v>15272.7298705</v>
      </c>
    </row>
    <row r="35" customFormat="false" ht="16.5" hidden="false" customHeight="false" outlineLevel="0" collapsed="false">
      <c r="A35" s="0" t="n">
        <v>30</v>
      </c>
      <c r="B35" s="0" t="n">
        <v>489.823</v>
      </c>
      <c r="C35" s="13" t="n">
        <v>1710454.4363393</v>
      </c>
      <c r="D35" s="0" t="n">
        <v>734024.712003146</v>
      </c>
      <c r="E35" s="14" t="n">
        <f aca="false">('อัตราการไหล ท่อฝั่งspillway'!L$11*0)+(อัตราการไหลท่อฝั่งทางเข้าอ่าง!L$11*0)</f>
        <v>0</v>
      </c>
      <c r="F35" s="15" t="n">
        <v>730308.395</v>
      </c>
      <c r="G35" s="0" t="n">
        <v>2.2</v>
      </c>
      <c r="H35" s="16" t="n">
        <v>675.175564162352</v>
      </c>
      <c r="I35" s="17" t="n">
        <v>1016.54969059838</v>
      </c>
      <c r="J35" s="0" t="n">
        <v>311.30156955261</v>
      </c>
      <c r="K35" s="18" t="n">
        <v>3068.04489299981</v>
      </c>
    </row>
    <row r="36" customFormat="false" ht="16.5" hidden="false" customHeight="false" outlineLevel="0" collapsed="false">
      <c r="A36" s="0" t="n">
        <v>31</v>
      </c>
      <c r="B36" s="0" t="n">
        <v>489.805</v>
      </c>
      <c r="C36" s="13" t="n">
        <v>1704320.2680112</v>
      </c>
      <c r="D36" s="0" t="n">
        <v>679645.37317074</v>
      </c>
      <c r="E36" s="14" t="n">
        <f aca="false">('อัตราการไหล ท่อฝั่งspillway'!L$11*0)+(อัตราการไหลท่อฝั่งทางเข้าอ่าง!L$11*0)</f>
        <v>0</v>
      </c>
      <c r="F36" s="15" t="n">
        <v>684886.993</v>
      </c>
      <c r="G36" s="0" t="n">
        <v>1.4</v>
      </c>
      <c r="H36" s="16" t="n">
        <v>429.060131830134</v>
      </c>
      <c r="I36" s="17" t="n">
        <v>1015.13710793399</v>
      </c>
      <c r="J36" s="0" t="n">
        <v>310.85671609545</v>
      </c>
      <c r="K36" s="18" t="n">
        <v>-6134.16832809988</v>
      </c>
    </row>
    <row r="40" customFormat="false" ht="117" hidden="false" customHeight="true" outlineLevel="0" collapsed="false">
      <c r="A40" s="9"/>
      <c r="B40" s="21" t="s">
        <v>23</v>
      </c>
      <c r="D40" s="21"/>
      <c r="F40" s="9"/>
      <c r="G40" s="21" t="s">
        <v>23</v>
      </c>
      <c r="H40" s="21"/>
    </row>
  </sheetData>
  <mergeCells count="2">
    <mergeCell ref="A1:J1"/>
    <mergeCell ref="A2:I2"/>
  </mergeCells>
  <conditionalFormatting sqref="K6:K36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hyperlinks>
    <hyperlink ref="B40" r:id="rId1" display="จากสถานีโทรมาตรวัดระดับน้ำ&#10;https://partners.thaiwater.net:3007/teleChart/th/VLGE12/25"/>
    <hyperlink ref="G40" r:id="rId2" display="จากสถานีโทรมาตรวัดระดับน้ำ&#10;https://partners.thaiwater.net:3007/teleChart/th/VLGE12/2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15.1"/>
    <col collapsed="false" customWidth="true" hidden="false" outlineLevel="0" max="2" min="2" style="0" width="14.5"/>
    <col collapsed="false" customWidth="true" hidden="false" outlineLevel="0" max="3" min="3" style="0" width="15.2"/>
    <col collapsed="false" customWidth="true" hidden="false" outlineLevel="0" max="4" min="4" style="0" width="12.5"/>
  </cols>
  <sheetData>
    <row r="1" customFormat="false" ht="16.5" hidden="false" customHeight="false" outlineLevel="0" collapsed="false">
      <c r="A1" s="22" t="s">
        <v>24</v>
      </c>
      <c r="B1" s="23" t="s">
        <v>25</v>
      </c>
      <c r="C1" s="23" t="s">
        <v>26</v>
      </c>
      <c r="D1" s="23" t="s">
        <v>27</v>
      </c>
    </row>
    <row r="2" customFormat="false" ht="16.5" hidden="false" customHeight="false" outlineLevel="0" collapsed="false">
      <c r="A2" s="19" t="n">
        <v>491.5</v>
      </c>
      <c r="B2" s="24" t="n">
        <v>361994.81056329</v>
      </c>
      <c r="C2" s="24" t="n">
        <v>368340.05274868</v>
      </c>
      <c r="D2" s="24" t="n">
        <v>2267398.1057934</v>
      </c>
    </row>
    <row r="3" customFormat="false" ht="16.5" hidden="false" customHeight="false" outlineLevel="0" collapsed="false">
      <c r="A3" s="19" t="n">
        <v>491.49</v>
      </c>
      <c r="B3" s="24" t="n">
        <v>361599.09217862</v>
      </c>
      <c r="C3" s="24" t="n">
        <v>367932.97570021</v>
      </c>
      <c r="D3" s="24" t="n">
        <v>2263780.1451647</v>
      </c>
    </row>
    <row r="4" customFormat="false" ht="16.5" hidden="false" customHeight="false" outlineLevel="0" collapsed="false">
      <c r="A4" s="19" t="n">
        <v>491.48</v>
      </c>
      <c r="B4" s="24" t="n">
        <v>361204.48328425</v>
      </c>
      <c r="C4" s="24" t="n">
        <v>367526.99293025</v>
      </c>
      <c r="D4" s="24" t="n">
        <v>2260166.0975861</v>
      </c>
    </row>
    <row r="5" customFormat="false" ht="16.5" hidden="false" customHeight="false" outlineLevel="0" collapsed="false">
      <c r="A5" s="19" t="n">
        <v>491.47</v>
      </c>
      <c r="B5" s="24" t="n">
        <v>360810.87578887</v>
      </c>
      <c r="C5" s="24" t="n">
        <v>367121.99631221</v>
      </c>
      <c r="D5" s="24" t="n">
        <v>2256556.0523282</v>
      </c>
    </row>
    <row r="6" customFormat="false" ht="16.5" hidden="false" customHeight="false" outlineLevel="0" collapsed="false">
      <c r="A6" s="19" t="n">
        <v>491.46</v>
      </c>
      <c r="B6" s="24" t="n">
        <v>360418.36157864</v>
      </c>
      <c r="C6" s="24" t="n">
        <v>366718.07687237</v>
      </c>
      <c r="D6" s="24" t="n">
        <v>2252949.9085301</v>
      </c>
    </row>
    <row r="7" customFormat="false" ht="16.5" hidden="false" customHeight="false" outlineLevel="0" collapsed="false">
      <c r="A7" s="19" t="n">
        <v>491.45</v>
      </c>
      <c r="B7" s="24" t="n">
        <v>360026.72667455</v>
      </c>
      <c r="C7" s="24" t="n">
        <v>366315.01866475</v>
      </c>
      <c r="D7" s="24" t="n">
        <v>2249347.6350584</v>
      </c>
    </row>
    <row r="8" customFormat="false" ht="16.5" hidden="false" customHeight="false" outlineLevel="0" collapsed="false">
      <c r="A8" s="19" t="n">
        <v>491.44</v>
      </c>
      <c r="B8" s="24" t="n">
        <v>359636.10792063</v>
      </c>
      <c r="C8" s="24" t="n">
        <v>365912.95881956</v>
      </c>
      <c r="D8" s="24" t="n">
        <v>2245749.3000022</v>
      </c>
    </row>
    <row r="9" customFormat="false" ht="16.5" hidden="false" customHeight="false" outlineLevel="0" collapsed="false">
      <c r="A9" s="19" t="n">
        <v>491.43</v>
      </c>
      <c r="B9" s="24" t="n">
        <v>359245.89051766</v>
      </c>
      <c r="C9" s="24" t="n">
        <v>365511.28032938</v>
      </c>
      <c r="D9" s="24" t="n">
        <v>2242154.8152557</v>
      </c>
    </row>
    <row r="10" customFormat="false" ht="16.5" hidden="false" customHeight="false" outlineLevel="0" collapsed="false">
      <c r="A10" s="19" t="n">
        <v>491.42</v>
      </c>
      <c r="B10" s="24" t="n">
        <v>358854.56899566</v>
      </c>
      <c r="C10" s="24" t="n">
        <v>365108.47499984</v>
      </c>
      <c r="D10" s="24" t="n">
        <v>2238564.2927141</v>
      </c>
    </row>
    <row r="11" customFormat="false" ht="16.5" hidden="false" customHeight="false" outlineLevel="0" collapsed="false">
      <c r="A11" s="19" t="n">
        <v>491.41</v>
      </c>
      <c r="B11" s="24" t="n">
        <v>358454.94462258</v>
      </c>
      <c r="C11" s="24" t="n">
        <v>364697.36971137</v>
      </c>
      <c r="D11" s="24" t="n">
        <v>2234977.7088192</v>
      </c>
    </row>
    <row r="12" customFormat="false" ht="16.5" hidden="false" customHeight="false" outlineLevel="0" collapsed="false">
      <c r="A12" s="19" t="n">
        <v>491.4</v>
      </c>
      <c r="B12" s="24" t="n">
        <v>357875.26972702</v>
      </c>
      <c r="C12" s="24" t="n">
        <v>364106.28927918</v>
      </c>
      <c r="D12" s="24" t="n">
        <v>2231395.4648157</v>
      </c>
    </row>
    <row r="13" customFormat="false" ht="16.5" hidden="false" customHeight="false" outlineLevel="0" collapsed="false">
      <c r="A13" s="19" t="n">
        <v>491.39</v>
      </c>
      <c r="B13" s="24" t="n">
        <v>355774.161767</v>
      </c>
      <c r="C13" s="24" t="n">
        <v>361993.47940245</v>
      </c>
      <c r="D13" s="24" t="n">
        <v>2227834.7025145</v>
      </c>
    </row>
    <row r="14" customFormat="false" ht="16.5" hidden="false" customHeight="false" outlineLevel="0" collapsed="false">
      <c r="A14" s="19" t="n">
        <v>491.38</v>
      </c>
      <c r="B14" s="24" t="n">
        <v>355423.6602902</v>
      </c>
      <c r="C14" s="24" t="n">
        <v>361630.83912327</v>
      </c>
      <c r="D14" s="24" t="n">
        <v>2224278.623713</v>
      </c>
    </row>
    <row r="15" customFormat="false" ht="16.5" hidden="false" customHeight="false" outlineLevel="0" collapsed="false">
      <c r="A15" s="19" t="n">
        <v>491.37</v>
      </c>
      <c r="B15" s="24" t="n">
        <v>355094.77136686</v>
      </c>
      <c r="C15" s="24" t="n">
        <v>361289.53597537</v>
      </c>
      <c r="D15" s="24" t="n">
        <v>2220725.9583042</v>
      </c>
    </row>
    <row r="16" customFormat="false" ht="16.5" hidden="false" customHeight="false" outlineLevel="0" collapsed="false">
      <c r="A16" s="19" t="n">
        <v>491.36</v>
      </c>
      <c r="B16" s="24" t="n">
        <v>354774.61946383</v>
      </c>
      <c r="C16" s="24" t="n">
        <v>360956.77199739</v>
      </c>
      <c r="D16" s="24" t="n">
        <v>2217176.5620703</v>
      </c>
    </row>
    <row r="17" customFormat="false" ht="16.5" hidden="false" customHeight="false" outlineLevel="0" collapsed="false">
      <c r="A17" s="19" t="n">
        <v>491.35</v>
      </c>
      <c r="B17" s="24" t="n">
        <v>354458.49281564</v>
      </c>
      <c r="C17" s="24" t="n">
        <v>360627.89738423</v>
      </c>
      <c r="D17" s="24" t="n">
        <v>2213630.4407194</v>
      </c>
    </row>
    <row r="18" customFormat="false" ht="16.5" hidden="false" customHeight="false" outlineLevel="0" collapsed="false">
      <c r="A18" s="19" t="n">
        <v>491.34</v>
      </c>
      <c r="B18" s="24" t="n">
        <v>354144.88432865</v>
      </c>
      <c r="C18" s="24" t="n">
        <v>360301.43869635</v>
      </c>
      <c r="D18" s="24" t="n">
        <v>2210087.3554578</v>
      </c>
    </row>
    <row r="19" customFormat="false" ht="16.5" hidden="false" customHeight="false" outlineLevel="0" collapsed="false">
      <c r="A19" s="19" t="n">
        <v>491.33</v>
      </c>
      <c r="B19" s="24" t="n">
        <v>353833.0454118</v>
      </c>
      <c r="C19" s="24" t="n">
        <v>359976.67029175</v>
      </c>
      <c r="D19" s="24" t="n">
        <v>2206547.5282642</v>
      </c>
    </row>
    <row r="20" customFormat="false" ht="16.5" hidden="false" customHeight="false" outlineLevel="0" collapsed="false">
      <c r="A20" s="19" t="n">
        <v>491.32</v>
      </c>
      <c r="B20" s="24" t="n">
        <v>353522.54291131</v>
      </c>
      <c r="C20" s="24" t="n">
        <v>359653.17648819</v>
      </c>
      <c r="D20" s="24" t="n">
        <v>2203010.6791986</v>
      </c>
    </row>
    <row r="21" customFormat="false" ht="16.5" hidden="false" customHeight="false" outlineLevel="0" collapsed="false">
      <c r="A21" s="19" t="n">
        <v>491.31</v>
      </c>
      <c r="B21" s="24" t="n">
        <v>353213.14609777</v>
      </c>
      <c r="C21" s="24" t="n">
        <v>359330.7432173</v>
      </c>
      <c r="D21" s="24" t="n">
        <v>2199477.0620277</v>
      </c>
    </row>
    <row r="22" customFormat="false" ht="16.5" hidden="false" customHeight="false" outlineLevel="0" collapsed="false">
      <c r="A22" s="19" t="n">
        <v>491.3</v>
      </c>
      <c r="B22" s="24" t="n">
        <v>352904.6629532</v>
      </c>
      <c r="C22" s="24" t="n">
        <v>359009.18799089</v>
      </c>
      <c r="D22" s="24" t="n">
        <v>2195946.4522773</v>
      </c>
    </row>
    <row r="23" customFormat="false" ht="16.5" hidden="false" customHeight="false" outlineLevel="0" collapsed="false">
      <c r="A23" s="19" t="n">
        <v>491.29</v>
      </c>
      <c r="B23" s="24" t="n">
        <v>352597.04076223</v>
      </c>
      <c r="C23" s="24" t="n">
        <v>358688.46231586</v>
      </c>
      <c r="D23" s="24" t="n">
        <v>2192418.9378794</v>
      </c>
    </row>
    <row r="24" customFormat="false" ht="16.5" hidden="false" customHeight="false" outlineLevel="0" collapsed="false">
      <c r="A24" s="19" t="n">
        <v>491.28</v>
      </c>
      <c r="B24" s="24" t="n">
        <v>352290.24867085</v>
      </c>
      <c r="C24" s="24" t="n">
        <v>358368.54036821</v>
      </c>
      <c r="D24" s="24" t="n">
        <v>2188894.4553939</v>
      </c>
    </row>
    <row r="25" customFormat="false" ht="16.5" hidden="false" customHeight="false" outlineLevel="0" collapsed="false">
      <c r="A25" s="19" t="n">
        <v>491.27</v>
      </c>
      <c r="B25" s="24" t="n">
        <v>351984.11745109</v>
      </c>
      <c r="C25" s="24" t="n">
        <v>358049.25928162</v>
      </c>
      <c r="D25" s="24" t="n">
        <v>2185373.0613814</v>
      </c>
    </row>
    <row r="26" customFormat="false" ht="16.5" hidden="false" customHeight="false" outlineLevel="0" collapsed="false">
      <c r="A26" s="19" t="n">
        <v>491.26</v>
      </c>
      <c r="B26" s="24" t="n">
        <v>351678.54789705</v>
      </c>
      <c r="C26" s="24" t="n">
        <v>357730.52137246</v>
      </c>
      <c r="D26" s="24" t="n">
        <v>2181854.7566109</v>
      </c>
    </row>
    <row r="27" customFormat="false" ht="16.5" hidden="false" customHeight="false" outlineLevel="0" collapsed="false">
      <c r="A27" s="19" t="n">
        <v>491.25</v>
      </c>
      <c r="B27" s="24" t="n">
        <v>351373.30300058</v>
      </c>
      <c r="C27" s="24" t="n">
        <v>357412.09655916</v>
      </c>
      <c r="D27" s="24" t="n">
        <v>2178339.4728294</v>
      </c>
    </row>
    <row r="28" customFormat="false" ht="16.5" hidden="false" customHeight="false" outlineLevel="0" collapsed="false">
      <c r="A28" s="19" t="n">
        <v>491.24</v>
      </c>
      <c r="B28" s="24" t="n">
        <v>351067.69144446</v>
      </c>
      <c r="C28" s="24" t="n">
        <v>357093.30658138</v>
      </c>
      <c r="D28" s="24" t="n">
        <v>2174827.2757795</v>
      </c>
    </row>
    <row r="29" customFormat="false" ht="16.5" hidden="false" customHeight="false" outlineLevel="0" collapsed="false">
      <c r="A29" s="19" t="n">
        <v>491.23</v>
      </c>
      <c r="B29" s="24" t="n">
        <v>350760.54667508</v>
      </c>
      <c r="C29" s="24" t="n">
        <v>356772.99914934</v>
      </c>
      <c r="D29" s="24" t="n">
        <v>2171318.2239153</v>
      </c>
    </row>
    <row r="30" customFormat="false" ht="16.5" hidden="false" customHeight="false" outlineLevel="0" collapsed="false">
      <c r="A30" s="19" t="n">
        <v>491.22</v>
      </c>
      <c r="B30" s="24" t="n">
        <v>350448.32221671</v>
      </c>
      <c r="C30" s="24" t="n">
        <v>356447.65902235</v>
      </c>
      <c r="D30" s="24" t="n">
        <v>2167812.3269049</v>
      </c>
    </row>
    <row r="31" customFormat="false" ht="16.5" hidden="false" customHeight="false" outlineLevel="0" collapsed="false">
      <c r="A31" s="19" t="n">
        <v>491.21</v>
      </c>
      <c r="B31" s="24" t="n">
        <v>350117.88861906</v>
      </c>
      <c r="C31" s="24" t="n">
        <v>356104.22420037</v>
      </c>
      <c r="D31" s="24" t="n">
        <v>2164309.5389024</v>
      </c>
    </row>
    <row r="32" customFormat="false" ht="16.5" hidden="false" customHeight="false" outlineLevel="0" collapsed="false">
      <c r="A32" s="19" t="n">
        <v>491.2</v>
      </c>
      <c r="B32" s="24" t="n">
        <v>348469.35554532</v>
      </c>
      <c r="C32" s="24" t="n">
        <v>354442.9547391</v>
      </c>
      <c r="D32" s="24" t="n">
        <v>2160810.3136794</v>
      </c>
    </row>
    <row r="33" customFormat="false" ht="16.5" hidden="false" customHeight="false" outlineLevel="0" collapsed="false">
      <c r="A33" s="19" t="n">
        <v>491.19</v>
      </c>
      <c r="B33" s="24" t="n">
        <v>348063.81002816</v>
      </c>
      <c r="C33" s="24" t="n">
        <v>354024.94091251</v>
      </c>
      <c r="D33" s="24" t="n">
        <v>2157327.7464752</v>
      </c>
    </row>
    <row r="34" customFormat="false" ht="16.5" hidden="false" customHeight="false" outlineLevel="0" collapsed="false">
      <c r="A34" s="19" t="n">
        <v>491.18</v>
      </c>
      <c r="B34" s="24" t="n">
        <v>347768.88951403</v>
      </c>
      <c r="C34" s="24" t="n">
        <v>353717.36495587</v>
      </c>
      <c r="D34" s="24" t="n">
        <v>2153848.5312757</v>
      </c>
    </row>
    <row r="35" customFormat="false" ht="16.5" hidden="false" customHeight="false" outlineLevel="0" collapsed="false">
      <c r="A35" s="19" t="n">
        <v>491.17</v>
      </c>
      <c r="B35" s="24" t="n">
        <v>347483.8164508</v>
      </c>
      <c r="C35" s="24" t="n">
        <v>353419.51144931</v>
      </c>
      <c r="D35" s="24" t="n">
        <v>2150372.2201692</v>
      </c>
    </row>
    <row r="36" customFormat="false" ht="16.5" hidden="false" customHeight="false" outlineLevel="0" collapsed="false">
      <c r="A36" s="19" t="n">
        <v>491.16</v>
      </c>
      <c r="B36" s="24" t="n">
        <v>347203.0184296</v>
      </c>
      <c r="C36" s="24" t="n">
        <v>353125.83862463</v>
      </c>
      <c r="D36" s="24" t="n">
        <v>2146898.8495493</v>
      </c>
    </row>
    <row r="37" customFormat="false" ht="16.5" hidden="false" customHeight="false" outlineLevel="0" collapsed="false">
      <c r="A37" s="19" t="n">
        <v>491.15</v>
      </c>
      <c r="B37" s="24" t="n">
        <v>346925.03626109</v>
      </c>
      <c r="C37" s="24" t="n">
        <v>352834.90379865</v>
      </c>
      <c r="D37" s="24" t="n">
        <v>2143428.1549565</v>
      </c>
    </row>
    <row r="38" customFormat="false" ht="16.5" hidden="false" customHeight="false" outlineLevel="0" collapsed="false">
      <c r="A38" s="19" t="n">
        <v>491.14</v>
      </c>
      <c r="B38" s="24" t="n">
        <v>346649.29335696</v>
      </c>
      <c r="C38" s="24" t="n">
        <v>352546.14337775</v>
      </c>
      <c r="D38" s="24" t="n">
        <v>2139960.2476853</v>
      </c>
    </row>
    <row r="39" customFormat="false" ht="16.5" hidden="false" customHeight="false" outlineLevel="0" collapsed="false">
      <c r="A39" s="19" t="n">
        <v>491.13</v>
      </c>
      <c r="B39" s="24" t="n">
        <v>346375.31590107</v>
      </c>
      <c r="C39" s="24" t="n">
        <v>352259.09606225</v>
      </c>
      <c r="D39" s="24" t="n">
        <v>2136495.087316</v>
      </c>
    </row>
    <row r="40" customFormat="false" ht="16.5" hidden="false" customHeight="false" outlineLevel="0" collapsed="false">
      <c r="A40" s="19" t="n">
        <v>491.12</v>
      </c>
      <c r="B40" s="24" t="n">
        <v>346102.93652055</v>
      </c>
      <c r="C40" s="24" t="n">
        <v>351973.60707727</v>
      </c>
      <c r="D40" s="24" t="n">
        <v>2133032.7639349</v>
      </c>
    </row>
    <row r="41" customFormat="false" ht="16.5" hidden="false" customHeight="false" outlineLevel="0" collapsed="false">
      <c r="A41" s="19" t="n">
        <v>491.11</v>
      </c>
      <c r="B41" s="24" t="n">
        <v>345831.96141934</v>
      </c>
      <c r="C41" s="24" t="n">
        <v>351689.4903474</v>
      </c>
      <c r="D41" s="24" t="n">
        <v>2129573.0747276</v>
      </c>
    </row>
    <row r="42" customFormat="false" ht="16.5" hidden="false" customHeight="false" outlineLevel="0" collapsed="false">
      <c r="A42" s="19" t="n">
        <v>491.1</v>
      </c>
      <c r="B42" s="24" t="n">
        <v>345562.46075676</v>
      </c>
      <c r="C42" s="24" t="n">
        <v>351406.82509848</v>
      </c>
      <c r="D42" s="24" t="n">
        <v>2126116.0967271</v>
      </c>
    </row>
    <row r="43" customFormat="false" ht="16.5" hidden="false" customHeight="false" outlineLevel="0" collapsed="false">
      <c r="A43" s="19" t="n">
        <v>491.09</v>
      </c>
      <c r="B43" s="24" t="n">
        <v>345294.24927001</v>
      </c>
      <c r="C43" s="24" t="n">
        <v>351125.431845</v>
      </c>
      <c r="D43" s="24" t="n">
        <v>2122661.8483121</v>
      </c>
    </row>
    <row r="44" customFormat="false" ht="16.5" hidden="false" customHeight="false" outlineLevel="0" collapsed="false">
      <c r="A44" s="19" t="n">
        <v>491.08</v>
      </c>
      <c r="B44" s="24" t="n">
        <v>345027.08492224</v>
      </c>
      <c r="C44" s="24" t="n">
        <v>350845.07568082</v>
      </c>
      <c r="D44" s="24" t="n">
        <v>2119210.280195</v>
      </c>
    </row>
    <row r="45" customFormat="false" ht="16.5" hidden="false" customHeight="false" outlineLevel="0" collapsed="false">
      <c r="A45" s="19" t="n">
        <v>491.07</v>
      </c>
      <c r="B45" s="24" t="n">
        <v>344760.88078526</v>
      </c>
      <c r="C45" s="24" t="n">
        <v>350565.67732019</v>
      </c>
      <c r="D45" s="24" t="n">
        <v>2115761.3381375</v>
      </c>
    </row>
    <row r="46" customFormat="false" ht="16.5" hidden="false" customHeight="false" outlineLevel="0" collapsed="false">
      <c r="A46" s="19" t="n">
        <v>491.06</v>
      </c>
      <c r="B46" s="24" t="n">
        <v>344495.50517665</v>
      </c>
      <c r="C46" s="24" t="n">
        <v>350287.11370058</v>
      </c>
      <c r="D46" s="24" t="n">
        <v>2112315.0806582</v>
      </c>
    </row>
    <row r="47" customFormat="false" ht="16.5" hidden="false" customHeight="false" outlineLevel="0" collapsed="false">
      <c r="A47" s="19" t="n">
        <v>491.05</v>
      </c>
      <c r="B47" s="24" t="n">
        <v>344230.56771263</v>
      </c>
      <c r="C47" s="24" t="n">
        <v>350009.00800107</v>
      </c>
      <c r="D47" s="24" t="n">
        <v>2108871.5469594</v>
      </c>
    </row>
    <row r="48" customFormat="false" ht="16.5" hidden="false" customHeight="false" outlineLevel="0" collapsed="false">
      <c r="A48" s="19" t="n">
        <v>491.04</v>
      </c>
      <c r="B48" s="24" t="n">
        <v>343965.51880131</v>
      </c>
      <c r="C48" s="24" t="n">
        <v>349730.82812681</v>
      </c>
      <c r="D48" s="24" t="n">
        <v>2105430.6179609</v>
      </c>
    </row>
    <row r="49" customFormat="false" ht="16.5" hidden="false" customHeight="false" outlineLevel="0" collapsed="false">
      <c r="A49" s="19" t="n">
        <v>491.03</v>
      </c>
      <c r="B49" s="24" t="n">
        <v>343699.13498835</v>
      </c>
      <c r="C49" s="24" t="n">
        <v>349451.3704195</v>
      </c>
      <c r="D49" s="24" t="n">
        <v>2101992.4237683</v>
      </c>
    </row>
    <row r="50" customFormat="false" ht="16.5" hidden="false" customHeight="false" outlineLevel="0" collapsed="false">
      <c r="A50" s="19" t="n">
        <v>491.02</v>
      </c>
      <c r="B50" s="24" t="n">
        <v>343428.20610857</v>
      </c>
      <c r="C50" s="24" t="n">
        <v>349167.45838695</v>
      </c>
      <c r="D50" s="24" t="n">
        <v>2098556.9442184</v>
      </c>
    </row>
    <row r="51" customFormat="false" ht="16.5" hidden="false" customHeight="false" outlineLevel="0" collapsed="false">
      <c r="A51" s="19" t="n">
        <v>491.01</v>
      </c>
      <c r="B51" s="24" t="n">
        <v>343142.20284008</v>
      </c>
      <c r="C51" s="24" t="n">
        <v>348868.63132666</v>
      </c>
      <c r="D51" s="24" t="n">
        <v>2095124.1898591</v>
      </c>
    </row>
    <row r="52" customFormat="false" ht="16.5" hidden="false" customHeight="false" outlineLevel="0" collapsed="false">
      <c r="A52" s="19" t="n">
        <v>491</v>
      </c>
      <c r="B52" s="24" t="n">
        <v>342687.38406</v>
      </c>
      <c r="C52" s="24" t="n">
        <v>348401.28039693</v>
      </c>
      <c r="D52" s="24" t="n">
        <v>2091694.4424974</v>
      </c>
    </row>
    <row r="53" customFormat="false" ht="16.5" hidden="false" customHeight="false" outlineLevel="0" collapsed="false">
      <c r="A53" s="19" t="n">
        <v>490.99</v>
      </c>
      <c r="B53" s="24" t="n">
        <v>341048.83724794</v>
      </c>
      <c r="C53" s="24" t="n">
        <v>346750.43961188</v>
      </c>
      <c r="D53" s="24" t="n">
        <v>2088282.2695276</v>
      </c>
    </row>
    <row r="54" customFormat="false" ht="16.5" hidden="false" customHeight="false" outlineLevel="0" collapsed="false">
      <c r="A54" s="19" t="n">
        <v>490.98</v>
      </c>
      <c r="B54" s="24" t="n">
        <v>340777.31586442</v>
      </c>
      <c r="C54" s="24" t="n">
        <v>346466.51725332</v>
      </c>
      <c r="D54" s="24" t="n">
        <v>2084873.1042266</v>
      </c>
    </row>
    <row r="55" customFormat="false" ht="16.5" hidden="false" customHeight="false" outlineLevel="0" collapsed="false">
      <c r="A55" s="19" t="n">
        <v>490.97</v>
      </c>
      <c r="B55" s="24" t="n">
        <v>340513.86422359</v>
      </c>
      <c r="C55" s="24" t="n">
        <v>346190.61141683</v>
      </c>
      <c r="D55" s="24" t="n">
        <v>2081466.6312352</v>
      </c>
    </row>
    <row r="56" customFormat="false" ht="16.5" hidden="false" customHeight="false" outlineLevel="0" collapsed="false">
      <c r="A56" s="19" t="n">
        <v>490.96</v>
      </c>
      <c r="B56" s="24" t="n">
        <v>340253.10418994</v>
      </c>
      <c r="C56" s="24" t="n">
        <v>345917.36196738</v>
      </c>
      <c r="D56" s="24" t="n">
        <v>2078062.814554</v>
      </c>
    </row>
    <row r="57" customFormat="false" ht="16.5" hidden="false" customHeight="false" outlineLevel="0" collapsed="false">
      <c r="A57" s="19" t="n">
        <v>490.95</v>
      </c>
      <c r="B57" s="24" t="n">
        <v>339994.23976654</v>
      </c>
      <c r="C57" s="24" t="n">
        <v>345645.98266774</v>
      </c>
      <c r="D57" s="24" t="n">
        <v>2074661.6229378</v>
      </c>
    </row>
    <row r="58" customFormat="false" ht="16.5" hidden="false" customHeight="false" outlineLevel="0" collapsed="false">
      <c r="A58" s="19" t="n">
        <v>490.94</v>
      </c>
      <c r="B58" s="24" t="n">
        <v>339736.74564183</v>
      </c>
      <c r="C58" s="24" t="n">
        <v>345375.95342642</v>
      </c>
      <c r="D58" s="24" t="n">
        <v>2071262.969591</v>
      </c>
    </row>
    <row r="59" customFormat="false" ht="16.5" hidden="false" customHeight="false" outlineLevel="0" collapsed="false">
      <c r="A59" s="19" t="n">
        <v>490.93</v>
      </c>
      <c r="B59" s="24" t="n">
        <v>339480.26161848</v>
      </c>
      <c r="C59" s="24" t="n">
        <v>345106.91804299</v>
      </c>
      <c r="D59" s="24" t="n">
        <v>2067866.8161039</v>
      </c>
    </row>
    <row r="60" customFormat="false" ht="16.5" hidden="false" customHeight="false" outlineLevel="0" collapsed="false">
      <c r="A60" s="19" t="n">
        <v>490.92</v>
      </c>
      <c r="B60" s="24" t="n">
        <v>339224.81307403</v>
      </c>
      <c r="C60" s="24" t="n">
        <v>344838.90493249</v>
      </c>
      <c r="D60" s="24" t="n">
        <v>2064473.3373987</v>
      </c>
    </row>
    <row r="61" customFormat="false" ht="16.5" hidden="false" customHeight="false" outlineLevel="0" collapsed="false">
      <c r="A61" s="19" t="n">
        <v>490.91</v>
      </c>
      <c r="B61" s="24" t="n">
        <v>338970.17698989</v>
      </c>
      <c r="C61" s="24" t="n">
        <v>344571.69683387</v>
      </c>
      <c r="D61" s="24" t="n">
        <v>2061082.3567572</v>
      </c>
    </row>
    <row r="62" customFormat="false" ht="16.5" hidden="false" customHeight="false" outlineLevel="0" collapsed="false">
      <c r="A62" s="19" t="n">
        <v>490.9</v>
      </c>
      <c r="B62" s="24" t="n">
        <v>338716.55030085</v>
      </c>
      <c r="C62" s="24" t="n">
        <v>344305.49910225</v>
      </c>
      <c r="D62" s="24" t="n">
        <v>2057693.9429265</v>
      </c>
    </row>
    <row r="63" customFormat="false" ht="16.5" hidden="false" customHeight="false" outlineLevel="0" collapsed="false">
      <c r="A63" s="19" t="n">
        <v>490.89</v>
      </c>
      <c r="B63" s="24" t="n">
        <v>338463.7285865</v>
      </c>
      <c r="C63" s="24" t="n">
        <v>344040.11405226</v>
      </c>
      <c r="D63" s="24" t="n">
        <v>2054308.1041403</v>
      </c>
    </row>
    <row r="64" customFormat="false" ht="16.5" hidden="false" customHeight="false" outlineLevel="0" collapsed="false">
      <c r="A64" s="19" t="n">
        <v>490.88</v>
      </c>
      <c r="B64" s="24" t="n">
        <v>338211.89065711</v>
      </c>
      <c r="C64" s="24" t="n">
        <v>343775.72555951</v>
      </c>
      <c r="D64" s="24" t="n">
        <v>2050924.8395798</v>
      </c>
    </row>
    <row r="65" customFormat="false" ht="16.5" hidden="false" customHeight="false" outlineLevel="0" collapsed="false">
      <c r="A65" s="19" t="n">
        <v>490.87</v>
      </c>
      <c r="B65" s="24" t="n">
        <v>337960.64202392</v>
      </c>
      <c r="C65" s="24" t="n">
        <v>343511.94774839</v>
      </c>
      <c r="D65" s="24" t="n">
        <v>2047544.090515</v>
      </c>
    </row>
    <row r="66" customFormat="false" ht="16.5" hidden="false" customHeight="false" outlineLevel="0" collapsed="false">
      <c r="A66" s="19" t="n">
        <v>490.86</v>
      </c>
      <c r="B66" s="24" t="n">
        <v>337709.94038196</v>
      </c>
      <c r="C66" s="24" t="n">
        <v>343248.7477556</v>
      </c>
      <c r="D66" s="24" t="n">
        <v>2044165.7631326</v>
      </c>
    </row>
    <row r="67" customFormat="false" ht="16.5" hidden="false" customHeight="false" outlineLevel="0" collapsed="false">
      <c r="A67" s="19" t="n">
        <v>490.85</v>
      </c>
      <c r="B67" s="24" t="n">
        <v>337459.45293323</v>
      </c>
      <c r="C67" s="24" t="n">
        <v>342985.80535396</v>
      </c>
      <c r="D67" s="24" t="n">
        <v>2040789.9433729</v>
      </c>
    </row>
    <row r="68" customFormat="false" ht="16.5" hidden="false" customHeight="false" outlineLevel="0" collapsed="false">
      <c r="A68" s="19" t="n">
        <v>490.84</v>
      </c>
      <c r="B68" s="24" t="n">
        <v>337208.79519999</v>
      </c>
      <c r="C68" s="24" t="n">
        <v>342722.75001359</v>
      </c>
      <c r="D68" s="24" t="n">
        <v>2037416.6519801</v>
      </c>
    </row>
    <row r="69" customFormat="false" ht="16.5" hidden="false" customHeight="false" outlineLevel="0" collapsed="false">
      <c r="A69" s="19" t="n">
        <v>490.83</v>
      </c>
      <c r="B69" s="24" t="n">
        <v>336957.13016019</v>
      </c>
      <c r="C69" s="24" t="n">
        <v>342458.76157038</v>
      </c>
      <c r="D69" s="24" t="n">
        <v>2034045.9350223</v>
      </c>
    </row>
    <row r="70" customFormat="false" ht="16.5" hidden="false" customHeight="false" outlineLevel="0" collapsed="false">
      <c r="A70" s="19" t="n">
        <v>490.82</v>
      </c>
      <c r="B70" s="24" t="n">
        <v>336702.43073284</v>
      </c>
      <c r="C70" s="24" t="n">
        <v>342191.84244779</v>
      </c>
      <c r="D70" s="24" t="n">
        <v>2030677.7810974</v>
      </c>
    </row>
    <row r="71" customFormat="false" ht="16.5" hidden="false" customHeight="false" outlineLevel="0" collapsed="false">
      <c r="A71" s="19" t="n">
        <v>490.81</v>
      </c>
      <c r="B71" s="24" t="n">
        <v>336437.5197853</v>
      </c>
      <c r="C71" s="24" t="n">
        <v>341914.85777584</v>
      </c>
      <c r="D71" s="24" t="n">
        <v>2027312.1787779</v>
      </c>
    </row>
    <row r="72" customFormat="false" ht="16.5" hidden="false" customHeight="false" outlineLevel="0" collapsed="false">
      <c r="A72" s="19" t="n">
        <v>490.8</v>
      </c>
      <c r="B72" s="24" t="n">
        <v>336040.58872121</v>
      </c>
      <c r="C72" s="24" t="n">
        <v>341506.09894121</v>
      </c>
      <c r="D72" s="24" t="n">
        <v>2023949.5565116</v>
      </c>
    </row>
    <row r="73" customFormat="false" ht="16.5" hidden="false" customHeight="false" outlineLevel="0" collapsed="false">
      <c r="A73" s="19" t="n">
        <v>490.79</v>
      </c>
      <c r="B73" s="24" t="n">
        <v>334456.16375571</v>
      </c>
      <c r="C73" s="24" t="n">
        <v>339910.00982648</v>
      </c>
      <c r="D73" s="24" t="n">
        <v>2020603.1341386</v>
      </c>
    </row>
    <row r="74" customFormat="false" ht="16.5" hidden="false" customHeight="false" outlineLevel="0" collapsed="false">
      <c r="A74" s="19" t="n">
        <v>490.78</v>
      </c>
      <c r="B74" s="24" t="n">
        <v>334190.35490181</v>
      </c>
      <c r="C74" s="24" t="n">
        <v>339632.51498278</v>
      </c>
      <c r="D74" s="24" t="n">
        <v>2017259.9092401</v>
      </c>
    </row>
    <row r="75" customFormat="false" ht="16.5" hidden="false" customHeight="false" outlineLevel="0" collapsed="false">
      <c r="A75" s="19" t="n">
        <v>490.77</v>
      </c>
      <c r="B75" s="24" t="n">
        <v>333930.74267799</v>
      </c>
      <c r="C75" s="24" t="n">
        <v>339361.24290689</v>
      </c>
      <c r="D75" s="24" t="n">
        <v>2013919.2603499</v>
      </c>
    </row>
    <row r="76" customFormat="false" ht="16.5" hidden="false" customHeight="false" outlineLevel="0" collapsed="false">
      <c r="A76" s="19" t="n">
        <v>490.76</v>
      </c>
      <c r="B76" s="24" t="n">
        <v>333672.781885</v>
      </c>
      <c r="C76" s="24" t="n">
        <v>339091.64833644</v>
      </c>
      <c r="D76" s="24" t="n">
        <v>2010581.2500636</v>
      </c>
    </row>
    <row r="77" customFormat="false" ht="16.5" hidden="false" customHeight="false" outlineLevel="0" collapsed="false">
      <c r="A77" s="19" t="n">
        <v>490.75</v>
      </c>
      <c r="B77" s="24" t="n">
        <v>333415.44873491</v>
      </c>
      <c r="C77" s="24" t="n">
        <v>338822.70468114</v>
      </c>
      <c r="D77" s="24" t="n">
        <v>2007245.8198294</v>
      </c>
    </row>
    <row r="78" customFormat="false" ht="16.5" hidden="false" customHeight="false" outlineLevel="0" collapsed="false">
      <c r="A78" s="19" t="n">
        <v>490.74</v>
      </c>
      <c r="B78" s="24" t="n">
        <v>333158.75248296</v>
      </c>
      <c r="C78" s="24" t="n">
        <v>338554.41607994</v>
      </c>
      <c r="D78" s="24" t="n">
        <v>2003912.9959539</v>
      </c>
    </row>
    <row r="79" customFormat="false" ht="16.5" hidden="false" customHeight="false" outlineLevel="0" collapsed="false">
      <c r="A79" s="19" t="n">
        <v>490.73</v>
      </c>
      <c r="B79" s="24" t="n">
        <v>332902.74898032</v>
      </c>
      <c r="C79" s="24" t="n">
        <v>338286.8316112</v>
      </c>
      <c r="D79" s="24" t="n">
        <v>2000582.7320868</v>
      </c>
    </row>
    <row r="80" customFormat="false" ht="16.5" hidden="false" customHeight="false" outlineLevel="0" collapsed="false">
      <c r="A80" s="19" t="n">
        <v>490.72</v>
      </c>
      <c r="B80" s="24" t="n">
        <v>332647.33418641</v>
      </c>
      <c r="C80" s="24" t="n">
        <v>338019.84132493</v>
      </c>
      <c r="D80" s="24" t="n">
        <v>1997254.9834963</v>
      </c>
    </row>
    <row r="81" customFormat="false" ht="16.5" hidden="false" customHeight="false" outlineLevel="0" collapsed="false">
      <c r="A81" s="19" t="n">
        <v>490.71</v>
      </c>
      <c r="B81" s="24" t="n">
        <v>332392.6389986</v>
      </c>
      <c r="C81" s="24" t="n">
        <v>337753.5716504</v>
      </c>
      <c r="D81" s="24" t="n">
        <v>1993929.7929347</v>
      </c>
    </row>
    <row r="82" customFormat="false" ht="16.5" hidden="false" customHeight="false" outlineLevel="0" collapsed="false">
      <c r="A82" s="19" t="n">
        <v>490.7</v>
      </c>
      <c r="B82" s="24" t="n">
        <v>332138.5472102</v>
      </c>
      <c r="C82" s="24" t="n">
        <v>337487.90915244</v>
      </c>
      <c r="D82" s="24" t="n">
        <v>1990607.1617972</v>
      </c>
    </row>
    <row r="83" customFormat="false" ht="16.5" hidden="false" customHeight="false" outlineLevel="0" collapsed="false">
      <c r="A83" s="19" t="n">
        <v>490.69</v>
      </c>
      <c r="B83" s="24" t="n">
        <v>331885.14077538</v>
      </c>
      <c r="C83" s="24" t="n">
        <v>337222.9413977</v>
      </c>
      <c r="D83" s="24" t="n">
        <v>1987287.0272895</v>
      </c>
    </row>
    <row r="84" customFormat="false" ht="16.5" hidden="false" customHeight="false" outlineLevel="0" collapsed="false">
      <c r="A84" s="19" t="n">
        <v>490.68</v>
      </c>
      <c r="B84" s="24" t="n">
        <v>331632.48394641</v>
      </c>
      <c r="C84" s="24" t="n">
        <v>336958.73243644</v>
      </c>
      <c r="D84" s="24" t="n">
        <v>1983969.5057343</v>
      </c>
    </row>
    <row r="85" customFormat="false" ht="16.5" hidden="false" customHeight="false" outlineLevel="0" collapsed="false">
      <c r="A85" s="19" t="n">
        <v>490.67</v>
      </c>
      <c r="B85" s="24" t="n">
        <v>331380.36511667</v>
      </c>
      <c r="C85" s="24" t="n">
        <v>336695.0742594</v>
      </c>
      <c r="D85" s="24" t="n">
        <v>1980654.5295862</v>
      </c>
    </row>
    <row r="86" customFormat="false" ht="16.5" hidden="false" customHeight="false" outlineLevel="0" collapsed="false">
      <c r="A86" s="19" t="n">
        <v>490.66</v>
      </c>
      <c r="B86" s="24" t="n">
        <v>331128.8165917</v>
      </c>
      <c r="C86" s="24" t="n">
        <v>336432.00554186</v>
      </c>
      <c r="D86" s="24" t="n">
        <v>1977342.0785176</v>
      </c>
    </row>
    <row r="87" customFormat="false" ht="16.5" hidden="false" customHeight="false" outlineLevel="0" collapsed="false">
      <c r="A87" s="19" t="n">
        <v>490.65</v>
      </c>
      <c r="B87" s="24" t="n">
        <v>330877.43216358</v>
      </c>
      <c r="C87" s="24" t="n">
        <v>336169.1288372</v>
      </c>
      <c r="D87" s="24" t="n">
        <v>1974032.1074235</v>
      </c>
    </row>
    <row r="88" customFormat="false" ht="16.5" hidden="false" customHeight="false" outlineLevel="0" collapsed="false">
      <c r="A88" s="19" t="n">
        <v>490.64</v>
      </c>
      <c r="B88" s="24" t="n">
        <v>330625.79234556</v>
      </c>
      <c r="C88" s="24" t="n">
        <v>335906.04240024</v>
      </c>
      <c r="D88" s="24" t="n">
        <v>1970724.6477869</v>
      </c>
    </row>
    <row r="89" customFormat="false" ht="16.5" hidden="false" customHeight="false" outlineLevel="0" collapsed="false">
      <c r="A89" s="19" t="n">
        <v>490.63</v>
      </c>
      <c r="B89" s="24" t="n">
        <v>330372.67015514</v>
      </c>
      <c r="C89" s="24" t="n">
        <v>335641.53881218</v>
      </c>
      <c r="D89" s="24" t="n">
        <v>1967419.7138497</v>
      </c>
    </row>
    <row r="90" customFormat="false" ht="16.5" hidden="false" customHeight="false" outlineLevel="0" collapsed="false">
      <c r="A90" s="19" t="n">
        <v>490.62</v>
      </c>
      <c r="B90" s="24" t="n">
        <v>330115.04078378</v>
      </c>
      <c r="C90" s="24" t="n">
        <v>335372.62312072</v>
      </c>
      <c r="D90" s="24" t="n">
        <v>1964117.3706068</v>
      </c>
    </row>
    <row r="91" customFormat="false" ht="16.5" hidden="false" customHeight="false" outlineLevel="0" collapsed="false">
      <c r="A91" s="19" t="n">
        <v>490.61</v>
      </c>
      <c r="B91" s="24" t="n">
        <v>329843.10720555</v>
      </c>
      <c r="C91" s="24" t="n">
        <v>335089.56040956</v>
      </c>
      <c r="D91" s="24" t="n">
        <v>1960817.7316209</v>
      </c>
    </row>
    <row r="92" customFormat="false" ht="16.5" hidden="false" customHeight="false" outlineLevel="0" collapsed="false">
      <c r="A92" s="19" t="n">
        <v>490.6</v>
      </c>
      <c r="B92" s="24" t="n">
        <v>328304.14930813</v>
      </c>
      <c r="C92" s="24" t="n">
        <v>333539.76065247</v>
      </c>
      <c r="D92" s="24" t="n">
        <v>1957520.9234</v>
      </c>
    </row>
    <row r="93" customFormat="false" ht="16.5" hidden="false" customHeight="false" outlineLevel="0" collapsed="false">
      <c r="A93" s="19" t="n">
        <v>490.59</v>
      </c>
      <c r="B93" s="24" t="n">
        <v>327933.31413129</v>
      </c>
      <c r="C93" s="24" t="n">
        <v>333158.3538702</v>
      </c>
      <c r="D93" s="24" t="n">
        <v>1954239.9708649</v>
      </c>
    </row>
    <row r="94" customFormat="false" ht="16.5" hidden="false" customHeight="false" outlineLevel="0" collapsed="false">
      <c r="A94" s="19" t="n">
        <v>490.58</v>
      </c>
      <c r="B94" s="24" t="n">
        <v>327667.19117299</v>
      </c>
      <c r="C94" s="24" t="n">
        <v>332881.6126211</v>
      </c>
      <c r="D94" s="24" t="n">
        <v>1950962.0048912</v>
      </c>
    </row>
    <row r="95" customFormat="false" ht="16.5" hidden="false" customHeight="false" outlineLevel="0" collapsed="false">
      <c r="A95" s="19" t="n">
        <v>490.57</v>
      </c>
      <c r="B95" s="24" t="n">
        <v>327405.5548429</v>
      </c>
      <c r="C95" s="24" t="n">
        <v>332609.35424149</v>
      </c>
      <c r="D95" s="24" t="n">
        <v>1947686.5958456</v>
      </c>
    </row>
    <row r="96" customFormat="false" ht="16.5" hidden="false" customHeight="false" outlineLevel="0" collapsed="false">
      <c r="A96" s="19" t="n">
        <v>490.56</v>
      </c>
      <c r="B96" s="24" t="n">
        <v>327145.0785509</v>
      </c>
      <c r="C96" s="24" t="n">
        <v>332338.25114416</v>
      </c>
      <c r="D96" s="24" t="n">
        <v>1944413.8610724</v>
      </c>
    </row>
    <row r="97" customFormat="false" ht="16.5" hidden="false" customHeight="false" outlineLevel="0" collapsed="false">
      <c r="A97" s="19" t="n">
        <v>490.55</v>
      </c>
      <c r="B97" s="24" t="n">
        <v>326885.0230882</v>
      </c>
      <c r="C97" s="24" t="n">
        <v>332067.56211214</v>
      </c>
      <c r="D97" s="24" t="n">
        <v>1941143.7357829</v>
      </c>
    </row>
    <row r="98" customFormat="false" ht="16.5" hidden="false" customHeight="false" outlineLevel="0" collapsed="false">
      <c r="A98" s="19" t="n">
        <v>490.54</v>
      </c>
      <c r="B98" s="24" t="n">
        <v>326625.2604881</v>
      </c>
      <c r="C98" s="24" t="n">
        <v>331797.15932946</v>
      </c>
      <c r="D98" s="24" t="n">
        <v>1937876.1869853</v>
      </c>
    </row>
    <row r="99" customFormat="false" ht="16.5" hidden="false" customHeight="false" outlineLevel="0" collapsed="false">
      <c r="A99" s="19" t="n">
        <v>490.53</v>
      </c>
      <c r="B99" s="24" t="n">
        <v>326365.66345176</v>
      </c>
      <c r="C99" s="24" t="n">
        <v>331526.91691099</v>
      </c>
      <c r="D99" s="24" t="n">
        <v>1934611.1929909</v>
      </c>
    </row>
    <row r="100" customFormat="false" ht="16.5" hidden="false" customHeight="false" outlineLevel="0" collapsed="false">
      <c r="A100" s="19" t="n">
        <v>490.52</v>
      </c>
      <c r="B100" s="24" t="n">
        <v>326106.29139503</v>
      </c>
      <c r="C100" s="24" t="n">
        <v>331256.89304376</v>
      </c>
      <c r="D100" s="24" t="n">
        <v>1931348.8182196</v>
      </c>
    </row>
    <row r="101" customFormat="false" ht="16.5" hidden="false" customHeight="false" outlineLevel="0" collapsed="false">
      <c r="A101" s="19" t="n">
        <v>490.51</v>
      </c>
      <c r="B101" s="24" t="n">
        <v>325847.14215107</v>
      </c>
      <c r="C101" s="24" t="n">
        <v>330987.08401094</v>
      </c>
      <c r="D101" s="24" t="n">
        <v>1928089.0695133</v>
      </c>
    </row>
    <row r="102" customFormat="false" ht="16.5" hidden="false" customHeight="false" outlineLevel="0" collapsed="false">
      <c r="A102" s="19" t="n">
        <v>490.5</v>
      </c>
      <c r="B102" s="24" t="n">
        <v>325588.17431894</v>
      </c>
      <c r="C102" s="24" t="n">
        <v>330717.44662313</v>
      </c>
      <c r="D102" s="24" t="n">
        <v>1924831.9059821</v>
      </c>
    </row>
    <row r="103" customFormat="false" ht="16.5" hidden="false" customHeight="false" outlineLevel="0" collapsed="false">
      <c r="A103" s="19" t="n">
        <v>490.49</v>
      </c>
      <c r="B103" s="24" t="n">
        <v>325329.53681151</v>
      </c>
      <c r="C103" s="24" t="n">
        <v>330448.13197841</v>
      </c>
      <c r="D103" s="24" t="n">
        <v>1921577.3328207</v>
      </c>
    </row>
    <row r="104" customFormat="false" ht="16.5" hidden="false" customHeight="false" outlineLevel="0" collapsed="false">
      <c r="A104" s="19" t="n">
        <v>490.48</v>
      </c>
      <c r="B104" s="24" t="n">
        <v>325070.96122758</v>
      </c>
      <c r="C104" s="24" t="n">
        <v>330178.87365841</v>
      </c>
      <c r="D104" s="24" t="n">
        <v>1918325.2594952</v>
      </c>
    </row>
    <row r="105" customFormat="false" ht="16.5" hidden="false" customHeight="false" outlineLevel="0" collapsed="false">
      <c r="A105" s="19" t="n">
        <v>490.47</v>
      </c>
      <c r="B105" s="24" t="n">
        <v>324812.56339071</v>
      </c>
      <c r="C105" s="24" t="n">
        <v>329909.78910195</v>
      </c>
      <c r="D105" s="24" t="n">
        <v>1915075.8372718</v>
      </c>
    </row>
    <row r="106" customFormat="false" ht="16.5" hidden="false" customHeight="false" outlineLevel="0" collapsed="false">
      <c r="A106" s="19" t="n">
        <v>490.46</v>
      </c>
      <c r="B106" s="24" t="n">
        <v>324554.23746431</v>
      </c>
      <c r="C106" s="24" t="n">
        <v>329640.76873517</v>
      </c>
      <c r="D106" s="24" t="n">
        <v>1911828.9223908</v>
      </c>
    </row>
    <row r="107" customFormat="false" ht="16.5" hidden="false" customHeight="false" outlineLevel="0" collapsed="false">
      <c r="A107" s="19" t="n">
        <v>490.45</v>
      </c>
      <c r="B107" s="24" t="n">
        <v>324296.19840637</v>
      </c>
      <c r="C107" s="24" t="n">
        <v>329372.02358913</v>
      </c>
      <c r="D107" s="24" t="n">
        <v>1908584.6045798</v>
      </c>
    </row>
    <row r="108" customFormat="false" ht="16.5" hidden="false" customHeight="false" outlineLevel="0" collapsed="false">
      <c r="A108" s="19" t="n">
        <v>490.44</v>
      </c>
      <c r="B108" s="24" t="n">
        <v>324038.37448736</v>
      </c>
      <c r="C108" s="24" t="n">
        <v>329103.48172679</v>
      </c>
      <c r="D108" s="24" t="n">
        <v>1905342.9537076</v>
      </c>
    </row>
    <row r="109" customFormat="false" ht="16.5" hidden="false" customHeight="false" outlineLevel="0" collapsed="false">
      <c r="A109" s="19" t="n">
        <v>490.43</v>
      </c>
      <c r="B109" s="24" t="n">
        <v>323780.31346262</v>
      </c>
      <c r="C109" s="24" t="n">
        <v>328834.69650193</v>
      </c>
      <c r="D109" s="24" t="n">
        <v>1902103.8861231</v>
      </c>
    </row>
    <row r="110" customFormat="false" ht="16.5" hidden="false" customHeight="false" outlineLevel="0" collapsed="false">
      <c r="A110" s="19" t="n">
        <v>490.42</v>
      </c>
      <c r="B110" s="24" t="n">
        <v>323520.96327171</v>
      </c>
      <c r="C110" s="24" t="n">
        <v>328564.6150197</v>
      </c>
      <c r="D110" s="24" t="n">
        <v>1898867.3732509</v>
      </c>
    </row>
    <row r="111" customFormat="false" ht="16.5" hidden="false" customHeight="false" outlineLevel="0" collapsed="false">
      <c r="A111" s="19" t="n">
        <v>490.41</v>
      </c>
      <c r="B111" s="24" t="n">
        <v>323254.77032682</v>
      </c>
      <c r="C111" s="24" t="n">
        <v>328287.69285594</v>
      </c>
      <c r="D111" s="24" t="n">
        <v>1895633.4937094</v>
      </c>
    </row>
    <row r="112" customFormat="false" ht="16.5" hidden="false" customHeight="false" outlineLevel="0" collapsed="false">
      <c r="A112" s="19" t="n">
        <v>490.4</v>
      </c>
      <c r="B112" s="24" t="n">
        <v>322850.90351738</v>
      </c>
      <c r="C112" s="24" t="n">
        <v>327873.17375458</v>
      </c>
      <c r="D112" s="24" t="n">
        <v>1892402.5259835</v>
      </c>
    </row>
    <row r="113" customFormat="false" ht="16.5" hidden="false" customHeight="false" outlineLevel="0" collapsed="false">
      <c r="A113" s="19" t="n">
        <v>490.39</v>
      </c>
      <c r="B113" s="24" t="n">
        <v>321169.48549547</v>
      </c>
      <c r="C113" s="24" t="n">
        <v>326180.98925864</v>
      </c>
      <c r="D113" s="24" t="n">
        <v>1889188.8624723</v>
      </c>
    </row>
    <row r="114" customFormat="false" ht="16.5" hidden="false" customHeight="false" outlineLevel="0" collapsed="false">
      <c r="A114" s="19" t="n">
        <v>490.38</v>
      </c>
      <c r="B114" s="24" t="n">
        <v>320922.74637302</v>
      </c>
      <c r="C114" s="24" t="n">
        <v>325923.23154432</v>
      </c>
      <c r="D114" s="24" t="n">
        <v>1885978.3210376</v>
      </c>
    </row>
    <row r="115" customFormat="false" ht="16.5" hidden="false" customHeight="false" outlineLevel="0" collapsed="false">
      <c r="A115" s="19" t="n">
        <v>490.37</v>
      </c>
      <c r="B115" s="24" t="n">
        <v>320688.93035425</v>
      </c>
      <c r="C115" s="24" t="n">
        <v>325678.25378093</v>
      </c>
      <c r="D115" s="24" t="n">
        <v>1882770.2680797</v>
      </c>
    </row>
    <row r="116" customFormat="false" ht="16.5" hidden="false" customHeight="false" outlineLevel="0" collapsed="false">
      <c r="A116" s="19" t="n">
        <v>490.36</v>
      </c>
      <c r="B116" s="24" t="n">
        <v>320459.38467628</v>
      </c>
      <c r="C116" s="24" t="n">
        <v>325437.45166275</v>
      </c>
      <c r="D116" s="24" t="n">
        <v>1879564.5511645</v>
      </c>
    </row>
    <row r="117" customFormat="false" ht="16.5" hidden="false" customHeight="false" outlineLevel="0" collapsed="false">
      <c r="A117" s="19" t="n">
        <v>490.35</v>
      </c>
      <c r="B117" s="24" t="n">
        <v>320232.25391718</v>
      </c>
      <c r="C117" s="24" t="n">
        <v>325198.99067082</v>
      </c>
      <c r="D117" s="24" t="n">
        <v>1876361.0360789</v>
      </c>
    </row>
    <row r="118" customFormat="false" ht="16.5" hidden="false" customHeight="false" outlineLevel="0" collapsed="false">
      <c r="A118" s="19" t="n">
        <v>490.34</v>
      </c>
      <c r="B118" s="24" t="n">
        <v>320006.80870925</v>
      </c>
      <c r="C118" s="24" t="n">
        <v>324962.16042676</v>
      </c>
      <c r="D118" s="24" t="n">
        <v>1873159.8403145</v>
      </c>
    </row>
    <row r="119" customFormat="false" ht="16.5" hidden="false" customHeight="false" outlineLevel="0" collapsed="false">
      <c r="A119" s="19" t="n">
        <v>490.33</v>
      </c>
      <c r="B119" s="24" t="n">
        <v>319782.64968491</v>
      </c>
      <c r="C119" s="24" t="n">
        <v>324726.57383235</v>
      </c>
      <c r="D119" s="24" t="n">
        <v>1869960.8721248</v>
      </c>
    </row>
    <row r="120" customFormat="false" ht="16.5" hidden="false" customHeight="false" outlineLevel="0" collapsed="false">
      <c r="A120" s="19" t="n">
        <v>490.32</v>
      </c>
      <c r="B120" s="24" t="n">
        <v>319559.53947888</v>
      </c>
      <c r="C120" s="24" t="n">
        <v>324492.00281366</v>
      </c>
      <c r="D120" s="24" t="n">
        <v>1866764.1746505</v>
      </c>
    </row>
    <row r="121" customFormat="false" ht="16.5" hidden="false" customHeight="false" outlineLevel="0" collapsed="false">
      <c r="A121" s="19" t="n">
        <v>490.31</v>
      </c>
      <c r="B121" s="24" t="n">
        <v>319337.45160135</v>
      </c>
      <c r="C121" s="24" t="n">
        <v>324258.4289936</v>
      </c>
      <c r="D121" s="24" t="n">
        <v>1863569.6882728</v>
      </c>
    </row>
    <row r="122" customFormat="false" ht="16.5" hidden="false" customHeight="false" outlineLevel="0" collapsed="false">
      <c r="A122" s="19" t="n">
        <v>490.3</v>
      </c>
      <c r="B122" s="24" t="n">
        <v>319116.11146964</v>
      </c>
      <c r="C122" s="24" t="n">
        <v>324025.58344054</v>
      </c>
      <c r="D122" s="24" t="n">
        <v>1860377.4493782</v>
      </c>
    </row>
    <row r="123" customFormat="false" ht="16.5" hidden="false" customHeight="false" outlineLevel="0" collapsed="false">
      <c r="A123" s="19" t="n">
        <v>490.29</v>
      </c>
      <c r="B123" s="24" t="n">
        <v>318895.49862696</v>
      </c>
      <c r="C123" s="24" t="n">
        <v>323793.45032179</v>
      </c>
      <c r="D123" s="24" t="n">
        <v>1857187.4190753</v>
      </c>
    </row>
    <row r="124" customFormat="false" ht="16.5" hidden="false" customHeight="false" outlineLevel="0" collapsed="false">
      <c r="A124" s="19" t="n">
        <v>490.28</v>
      </c>
      <c r="B124" s="24" t="n">
        <v>318675.51763241</v>
      </c>
      <c r="C124" s="24" t="n">
        <v>323561.94201055</v>
      </c>
      <c r="D124" s="24" t="n">
        <v>1853999.5281458</v>
      </c>
    </row>
    <row r="125" customFormat="false" ht="16.5" hidden="false" customHeight="false" outlineLevel="0" collapsed="false">
      <c r="A125" s="19" t="n">
        <v>490.27</v>
      </c>
      <c r="B125" s="24" t="n">
        <v>318456.17851874</v>
      </c>
      <c r="C125" s="24" t="n">
        <v>323331.07232822</v>
      </c>
      <c r="D125" s="24" t="n">
        <v>1850813.8687485</v>
      </c>
    </row>
    <row r="126" customFormat="false" ht="16.5" hidden="false" customHeight="false" outlineLevel="0" collapsed="false">
      <c r="A126" s="19" t="n">
        <v>490.26</v>
      </c>
      <c r="B126" s="24" t="n">
        <v>318237.20207665</v>
      </c>
      <c r="C126" s="24" t="n">
        <v>323100.56623828</v>
      </c>
      <c r="D126" s="24" t="n">
        <v>1847630.4164268</v>
      </c>
    </row>
    <row r="127" customFormat="false" ht="16.5" hidden="false" customHeight="false" outlineLevel="0" collapsed="false">
      <c r="A127" s="19" t="n">
        <v>490.25</v>
      </c>
      <c r="B127" s="24" t="n">
        <v>318018.65045343</v>
      </c>
      <c r="C127" s="24" t="n">
        <v>322870.48857501</v>
      </c>
      <c r="D127" s="24" t="n">
        <v>1844449.1287563</v>
      </c>
    </row>
    <row r="128" customFormat="false" ht="16.5" hidden="false" customHeight="false" outlineLevel="0" collapsed="false">
      <c r="A128" s="19" t="n">
        <v>490.24</v>
      </c>
      <c r="B128" s="24" t="n">
        <v>317800.07471132</v>
      </c>
      <c r="C128" s="24" t="n">
        <v>322640.40455185</v>
      </c>
      <c r="D128" s="24" t="n">
        <v>1841270.1013651</v>
      </c>
    </row>
    <row r="129" customFormat="false" ht="16.5" hidden="false" customHeight="false" outlineLevel="0" collapsed="false">
      <c r="A129" s="19" t="n">
        <v>490.23</v>
      </c>
      <c r="B129" s="24" t="n">
        <v>317580.14673743</v>
      </c>
      <c r="C129" s="24" t="n">
        <v>322409.00736272</v>
      </c>
      <c r="D129" s="24" t="n">
        <v>1838093.2536219</v>
      </c>
    </row>
    <row r="130" customFormat="false" ht="16.5" hidden="false" customHeight="false" outlineLevel="0" collapsed="false">
      <c r="A130" s="19" t="n">
        <v>490.22</v>
      </c>
      <c r="B130" s="24" t="n">
        <v>317355.79962898</v>
      </c>
      <c r="C130" s="24" t="n">
        <v>322173.25823839</v>
      </c>
      <c r="D130" s="24" t="n">
        <v>1834918.6568183</v>
      </c>
    </row>
    <row r="131" customFormat="false" ht="16.5" hidden="false" customHeight="false" outlineLevel="0" collapsed="false">
      <c r="A131" s="19" t="n">
        <v>490.21</v>
      </c>
      <c r="B131" s="24" t="n">
        <v>317117.27117674</v>
      </c>
      <c r="C131" s="24" t="n">
        <v>321923.44617924</v>
      </c>
      <c r="D131" s="24" t="n">
        <v>1831746.3314547</v>
      </c>
    </row>
    <row r="132" customFormat="false" ht="16.5" hidden="false" customHeight="false" outlineLevel="0" collapsed="false">
      <c r="A132" s="19" t="n">
        <v>490.2</v>
      </c>
      <c r="B132" s="24" t="n">
        <v>315321.84388186</v>
      </c>
      <c r="C132" s="24" t="n">
        <v>320116.97554147</v>
      </c>
      <c r="D132" s="24" t="n">
        <v>1828576.6091322</v>
      </c>
    </row>
    <row r="133" customFormat="false" ht="16.5" hidden="false" customHeight="false" outlineLevel="0" collapsed="false">
      <c r="A133" s="19" t="n">
        <v>490.19</v>
      </c>
      <c r="B133" s="24" t="n">
        <v>314985.2909564</v>
      </c>
      <c r="C133" s="24" t="n">
        <v>319769.64608256</v>
      </c>
      <c r="D133" s="24" t="n">
        <v>1825425.3189814</v>
      </c>
    </row>
    <row r="134" customFormat="false" ht="16.5" hidden="false" customHeight="false" outlineLevel="0" collapsed="false">
      <c r="A134" s="19" t="n">
        <v>490.18</v>
      </c>
      <c r="B134" s="24" t="n">
        <v>314754.8033488</v>
      </c>
      <c r="C134" s="24" t="n">
        <v>319528.30285475</v>
      </c>
      <c r="D134" s="24" t="n">
        <v>1822276.6650492</v>
      </c>
    </row>
    <row r="135" customFormat="false" ht="16.5" hidden="false" customHeight="false" outlineLevel="0" collapsed="false">
      <c r="A135" s="19" t="n">
        <v>490.17</v>
      </c>
      <c r="B135" s="24" t="n">
        <v>314531.71502735</v>
      </c>
      <c r="C135" s="24" t="n">
        <v>319294.31954572</v>
      </c>
      <c r="D135" s="24" t="n">
        <v>1819130.2569063</v>
      </c>
    </row>
    <row r="136" customFormat="false" ht="16.5" hidden="false" customHeight="false" outlineLevel="0" collapsed="false">
      <c r="A136" s="19" t="n">
        <v>490.16</v>
      </c>
      <c r="B136" s="24" t="n">
        <v>314312.10060568</v>
      </c>
      <c r="C136" s="24" t="n">
        <v>319063.78908186</v>
      </c>
      <c r="D136" s="24" t="n">
        <v>1815986.1206992</v>
      </c>
    </row>
    <row r="137" customFormat="false" ht="16.5" hidden="false" customHeight="false" outlineLevel="0" collapsed="false">
      <c r="A137" s="19" t="n">
        <v>490.15</v>
      </c>
      <c r="B137" s="24" t="n">
        <v>314095.25944717</v>
      </c>
      <c r="C137" s="24" t="n">
        <v>318836.01442861</v>
      </c>
      <c r="D137" s="24" t="n">
        <v>1812844.0720364</v>
      </c>
    </row>
    <row r="138" customFormat="false" ht="16.5" hidden="false" customHeight="false" outlineLevel="0" collapsed="false">
      <c r="A138" s="19" t="n">
        <v>490.14</v>
      </c>
      <c r="B138" s="24" t="n">
        <v>313880.61339124</v>
      </c>
      <c r="C138" s="24" t="n">
        <v>318610.42469149</v>
      </c>
      <c r="D138" s="24" t="n">
        <v>1809704.1751996</v>
      </c>
    </row>
    <row r="139" customFormat="false" ht="16.5" hidden="false" customHeight="false" outlineLevel="0" collapsed="false">
      <c r="A139" s="19" t="n">
        <v>490.13</v>
      </c>
      <c r="B139" s="24" t="n">
        <v>313668.0156488</v>
      </c>
      <c r="C139" s="24" t="n">
        <v>318386.87567054</v>
      </c>
      <c r="D139" s="24" t="n">
        <v>1806566.4209615</v>
      </c>
    </row>
    <row r="140" customFormat="false" ht="16.5" hidden="false" customHeight="false" outlineLevel="0" collapsed="false">
      <c r="A140" s="19" t="n">
        <v>490.12</v>
      </c>
      <c r="B140" s="24" t="n">
        <v>313457.41778586</v>
      </c>
      <c r="C140" s="24" t="n">
        <v>318165.32633923</v>
      </c>
      <c r="D140" s="24" t="n">
        <v>1803430.7613921</v>
      </c>
    </row>
    <row r="141" customFormat="false" ht="16.5" hidden="false" customHeight="false" outlineLevel="0" collapsed="false">
      <c r="A141" s="19" t="n">
        <v>490.11</v>
      </c>
      <c r="B141" s="24" t="n">
        <v>313248.70322903</v>
      </c>
      <c r="C141" s="24" t="n">
        <v>317945.66634891</v>
      </c>
      <c r="D141" s="24" t="n">
        <v>1800297.2455359</v>
      </c>
    </row>
    <row r="142" customFormat="false" ht="16.5" hidden="false" customHeight="false" outlineLevel="0" collapsed="false">
      <c r="A142" s="19" t="n">
        <v>490.1</v>
      </c>
      <c r="B142" s="24" t="n">
        <v>313041.85312045</v>
      </c>
      <c r="C142" s="24" t="n">
        <v>317727.87793556</v>
      </c>
      <c r="D142" s="24" t="n">
        <v>1797165.7765731</v>
      </c>
    </row>
    <row r="143" customFormat="false" ht="16.5" hidden="false" customHeight="false" outlineLevel="0" collapsed="false">
      <c r="A143" s="19" t="n">
        <v>490.09</v>
      </c>
      <c r="B143" s="24" t="n">
        <v>312836.80828557</v>
      </c>
      <c r="C143" s="24" t="n">
        <v>317511.9062147</v>
      </c>
      <c r="D143" s="24" t="n">
        <v>1794036.4193347</v>
      </c>
    </row>
    <row r="144" customFormat="false" ht="16.5" hidden="false" customHeight="false" outlineLevel="0" collapsed="false">
      <c r="A144" s="19" t="n">
        <v>490.08</v>
      </c>
      <c r="B144" s="24" t="n">
        <v>312633.50058754</v>
      </c>
      <c r="C144" s="24" t="n">
        <v>317297.68851079</v>
      </c>
      <c r="D144" s="24" t="n">
        <v>1790909.1200431</v>
      </c>
    </row>
    <row r="145" customFormat="false" ht="16.5" hidden="false" customHeight="false" outlineLevel="0" collapsed="false">
      <c r="A145" s="19" t="n">
        <v>490.07</v>
      </c>
      <c r="B145" s="24" t="n">
        <v>312431.91614938</v>
      </c>
      <c r="C145" s="24" t="n">
        <v>317085.21598029</v>
      </c>
      <c r="D145" s="24" t="n">
        <v>1787783.8828943</v>
      </c>
    </row>
    <row r="146" customFormat="false" ht="16.5" hidden="false" customHeight="false" outlineLevel="0" collapsed="false">
      <c r="A146" s="19" t="n">
        <v>490.06</v>
      </c>
      <c r="B146" s="24" t="n">
        <v>312232.01997993</v>
      </c>
      <c r="C146" s="24" t="n">
        <v>316874.45766737</v>
      </c>
      <c r="D146" s="24" t="n">
        <v>1784660.6460547</v>
      </c>
    </row>
    <row r="147" customFormat="false" ht="16.5" hidden="false" customHeight="false" outlineLevel="0" collapsed="false">
      <c r="A147" s="19" t="n">
        <v>490.05</v>
      </c>
      <c r="B147" s="24" t="n">
        <v>312033.48620616</v>
      </c>
      <c r="C147" s="24" t="n">
        <v>316665.09337486</v>
      </c>
      <c r="D147" s="24" t="n">
        <v>1781539.4187106</v>
      </c>
    </row>
    <row r="148" customFormat="false" ht="16.5" hidden="false" customHeight="false" outlineLevel="0" collapsed="false">
      <c r="A148" s="19" t="n">
        <v>490.04</v>
      </c>
      <c r="B148" s="24" t="n">
        <v>311835.94864282</v>
      </c>
      <c r="C148" s="24" t="n">
        <v>316456.77004738</v>
      </c>
      <c r="D148" s="24" t="n">
        <v>1778420.125093</v>
      </c>
    </row>
    <row r="149" customFormat="false" ht="16.5" hidden="false" customHeight="false" outlineLevel="0" collapsed="false">
      <c r="A149" s="19" t="n">
        <v>490.03</v>
      </c>
      <c r="B149" s="24" t="n">
        <v>311638.6094708</v>
      </c>
      <c r="C149" s="24" t="n">
        <v>316248.70847768</v>
      </c>
      <c r="D149" s="24" t="n">
        <v>1775302.8732426</v>
      </c>
    </row>
    <row r="150" customFormat="false" ht="16.5" hidden="false" customHeight="false" outlineLevel="0" collapsed="false">
      <c r="A150" s="19" t="n">
        <v>490.02</v>
      </c>
      <c r="B150" s="24" t="n">
        <v>311439.00234005</v>
      </c>
      <c r="C150" s="24" t="n">
        <v>316038.46935096</v>
      </c>
      <c r="D150" s="24" t="n">
        <v>1772187.5765015</v>
      </c>
    </row>
    <row r="151" customFormat="false" ht="16.5" hidden="false" customHeight="false" outlineLevel="0" collapsed="false">
      <c r="A151" s="19" t="n">
        <v>490.01</v>
      </c>
      <c r="B151" s="24" t="n">
        <v>311228.82997708</v>
      </c>
      <c r="C151" s="24" t="n">
        <v>315817.80603292</v>
      </c>
      <c r="D151" s="24" t="n">
        <v>1769074.3531836</v>
      </c>
    </row>
    <row r="152" customFormat="false" ht="16.5" hidden="false" customHeight="false" outlineLevel="0" collapsed="false">
      <c r="A152" s="19" t="n">
        <v>490</v>
      </c>
      <c r="B152" s="24" t="n">
        <v>310873.10328699</v>
      </c>
      <c r="C152" s="24" t="n">
        <v>315451.85337181</v>
      </c>
      <c r="D152" s="24" t="n">
        <v>1765963.5882999</v>
      </c>
    </row>
    <row r="153" customFormat="false" ht="16.5" hidden="false" customHeight="false" outlineLevel="0" collapsed="false">
      <c r="A153" s="19" t="n">
        <v>489.99</v>
      </c>
      <c r="B153" s="24" t="n">
        <v>309723.08514618</v>
      </c>
      <c r="C153" s="24" t="n">
        <v>314291.96234978</v>
      </c>
      <c r="D153" s="24" t="n">
        <v>1762865.1589163</v>
      </c>
    </row>
    <row r="154" customFormat="false" ht="16.5" hidden="false" customHeight="false" outlineLevel="0" collapsed="false">
      <c r="A154" s="19" t="n">
        <v>489.98</v>
      </c>
      <c r="B154" s="24" t="n">
        <v>309549.18200855</v>
      </c>
      <c r="C154" s="24" t="n">
        <v>314108.16425154</v>
      </c>
      <c r="D154" s="24" t="n">
        <v>1759768.736251</v>
      </c>
    </row>
    <row r="155" customFormat="false" ht="16.5" hidden="false" customHeight="false" outlineLevel="0" collapsed="false">
      <c r="A155" s="19" t="n">
        <v>489.97</v>
      </c>
      <c r="B155" s="24" t="n">
        <v>309379.56946448</v>
      </c>
      <c r="C155" s="24" t="n">
        <v>313928.66438471</v>
      </c>
      <c r="D155" s="24" t="n">
        <v>1756674.0791536</v>
      </c>
    </row>
    <row r="156" customFormat="false" ht="16.5" hidden="false" customHeight="false" outlineLevel="0" collapsed="false">
      <c r="A156" s="19" t="n">
        <v>489.96</v>
      </c>
      <c r="B156" s="24" t="n">
        <v>309211.16978162</v>
      </c>
      <c r="C156" s="24" t="n">
        <v>313750.39529144</v>
      </c>
      <c r="D156" s="24" t="n">
        <v>1753581.1481608</v>
      </c>
    </row>
    <row r="157" customFormat="false" ht="16.5" hidden="false" customHeight="false" outlineLevel="0" collapsed="false">
      <c r="A157" s="19" t="n">
        <v>489.95</v>
      </c>
      <c r="B157" s="24" t="n">
        <v>309043.52449501</v>
      </c>
      <c r="C157" s="24" t="n">
        <v>313572.90000556</v>
      </c>
      <c r="D157" s="24" t="n">
        <v>1750489.8990714</v>
      </c>
    </row>
    <row r="158" customFormat="false" ht="16.5" hidden="false" customHeight="false" outlineLevel="0" collapsed="false">
      <c r="A158" s="19" t="n">
        <v>489.94</v>
      </c>
      <c r="B158" s="24" t="n">
        <v>308876.43339088</v>
      </c>
      <c r="C158" s="24" t="n">
        <v>313395.97776987</v>
      </c>
      <c r="D158" s="24" t="n">
        <v>1747400.294549</v>
      </c>
    </row>
    <row r="159" customFormat="false" ht="16.5" hidden="false" customHeight="false" outlineLevel="0" collapsed="false">
      <c r="A159" s="19" t="n">
        <v>489.93</v>
      </c>
      <c r="B159" s="24" t="n">
        <v>308709.80517185</v>
      </c>
      <c r="C159" s="24" t="n">
        <v>313219.53859353</v>
      </c>
      <c r="D159" s="24" t="n">
        <v>1744312.3770924</v>
      </c>
    </row>
    <row r="160" customFormat="false" ht="16.5" hidden="false" customHeight="false" outlineLevel="0" collapsed="false">
      <c r="A160" s="19" t="n">
        <v>489.92</v>
      </c>
      <c r="B160" s="24" t="n">
        <v>308543.73717881</v>
      </c>
      <c r="C160" s="24" t="n">
        <v>313043.6762796</v>
      </c>
      <c r="D160" s="24" t="n">
        <v>1741226.0555606</v>
      </c>
    </row>
    <row r="161" customFormat="false" ht="16.5" hidden="false" customHeight="false" outlineLevel="0" collapsed="false">
      <c r="A161" s="19" t="n">
        <v>489.91</v>
      </c>
      <c r="B161" s="24" t="n">
        <v>308378.16819031</v>
      </c>
      <c r="C161" s="24" t="n">
        <v>312868.33197205</v>
      </c>
      <c r="D161" s="24" t="n">
        <v>1738141.5165157</v>
      </c>
    </row>
    <row r="162" customFormat="false" ht="16.5" hidden="false" customHeight="false" outlineLevel="0" collapsed="false">
      <c r="A162" s="19" t="n">
        <v>489.9</v>
      </c>
      <c r="B162" s="24" t="n">
        <v>308212.99207225</v>
      </c>
      <c r="C162" s="24" t="n">
        <v>312693.40051918</v>
      </c>
      <c r="D162" s="24" t="n">
        <v>1735058.5729155</v>
      </c>
    </row>
    <row r="163" customFormat="false" ht="16.5" hidden="false" customHeight="false" outlineLevel="0" collapsed="false">
      <c r="A163" s="19" t="n">
        <v>489.89</v>
      </c>
      <c r="B163" s="24" t="n">
        <v>308048.30701076</v>
      </c>
      <c r="C163" s="24" t="n">
        <v>312518.98199812</v>
      </c>
      <c r="D163" s="24" t="n">
        <v>1731977.261997</v>
      </c>
    </row>
    <row r="164" customFormat="false" ht="16.5" hidden="false" customHeight="false" outlineLevel="0" collapsed="false">
      <c r="A164" s="19" t="n">
        <v>489.88</v>
      </c>
      <c r="B164" s="24" t="n">
        <v>307884.01495713</v>
      </c>
      <c r="C164" s="24" t="n">
        <v>312344.98163952</v>
      </c>
      <c r="D164" s="24" t="n">
        <v>1728897.6614809</v>
      </c>
    </row>
    <row r="165" customFormat="false" ht="16.5" hidden="false" customHeight="false" outlineLevel="0" collapsed="false">
      <c r="A165" s="19" t="n">
        <v>489.87</v>
      </c>
      <c r="B165" s="24" t="n">
        <v>307720.13189097</v>
      </c>
      <c r="C165" s="24" t="n">
        <v>312171.41862011</v>
      </c>
      <c r="D165" s="24" t="n">
        <v>1725819.6938243</v>
      </c>
    </row>
    <row r="166" customFormat="false" ht="16.5" hidden="false" customHeight="false" outlineLevel="0" collapsed="false">
      <c r="A166" s="19" t="n">
        <v>489.86</v>
      </c>
      <c r="B166" s="24" t="n">
        <v>307556.42993468</v>
      </c>
      <c r="C166" s="24" t="n">
        <v>311998.07104699</v>
      </c>
      <c r="D166" s="24" t="n">
        <v>1722743.3880805</v>
      </c>
    </row>
    <row r="167" customFormat="false" ht="16.5" hidden="false" customHeight="false" outlineLevel="0" collapsed="false">
      <c r="A167" s="19" t="n">
        <v>489.85</v>
      </c>
      <c r="B167" s="24" t="n">
        <v>307392.93448221</v>
      </c>
      <c r="C167" s="24" t="n">
        <v>311824.96909297</v>
      </c>
      <c r="D167" s="24" t="n">
        <v>1719668.7023854</v>
      </c>
    </row>
    <row r="168" customFormat="false" ht="16.5" hidden="false" customHeight="false" outlineLevel="0" collapsed="false">
      <c r="A168" s="19" t="n">
        <v>489.84</v>
      </c>
      <c r="B168" s="24" t="n">
        <v>307229.23397306</v>
      </c>
      <c r="C168" s="24" t="n">
        <v>311651.71286929</v>
      </c>
      <c r="D168" s="24" t="n">
        <v>1716595.6600503</v>
      </c>
    </row>
    <row r="169" customFormat="false" ht="16.5" hidden="false" customHeight="false" outlineLevel="0" collapsed="false">
      <c r="A169" s="19" t="n">
        <v>489.83</v>
      </c>
      <c r="B169" s="24" t="n">
        <v>307064.80832528</v>
      </c>
      <c r="C169" s="24" t="n">
        <v>311477.79807628</v>
      </c>
      <c r="D169" s="24" t="n">
        <v>1713524.2337415</v>
      </c>
    </row>
    <row r="170" customFormat="false" ht="16.5" hidden="false" customHeight="false" outlineLevel="0" collapsed="false">
      <c r="A170" s="19" t="n">
        <v>489.82</v>
      </c>
      <c r="B170" s="24" t="n">
        <v>306897.98371018</v>
      </c>
      <c r="C170" s="24" t="n">
        <v>311301.56955261</v>
      </c>
      <c r="D170" s="24" t="n">
        <v>1710454.4363394</v>
      </c>
    </row>
    <row r="171" customFormat="false" ht="16.5" hidden="false" customHeight="false" outlineLevel="0" collapsed="false">
      <c r="A171" s="19" t="n">
        <v>489.81</v>
      </c>
      <c r="B171" s="24" t="n">
        <v>306724.20454714</v>
      </c>
      <c r="C171" s="24" t="n">
        <v>311118.50277486</v>
      </c>
      <c r="D171" s="24" t="n">
        <v>1707386.3914466</v>
      </c>
    </row>
    <row r="172" customFormat="false" ht="16.5" hidden="false" customHeight="false" outlineLevel="0" collapsed="false">
      <c r="A172" s="19" t="n">
        <v>489.8</v>
      </c>
      <c r="B172" s="24" t="n">
        <v>306471.52273604</v>
      </c>
      <c r="C172" s="24" t="n">
        <v>310856.71609545</v>
      </c>
      <c r="D172" s="24" t="n">
        <v>1704320.2680113</v>
      </c>
    </row>
    <row r="173" customFormat="false" ht="16.5" hidden="false" customHeight="false" outlineLevel="0" collapsed="false">
      <c r="A173" s="19" t="n">
        <v>489.79</v>
      </c>
      <c r="B173" s="24" t="n">
        <v>305320.35851224</v>
      </c>
      <c r="C173" s="24" t="n">
        <v>309696.64513575</v>
      </c>
      <c r="D173" s="24" t="n">
        <v>1701265.987282</v>
      </c>
    </row>
    <row r="174" customFormat="false" ht="16.5" hidden="false" customHeight="false" outlineLevel="0" collapsed="false">
      <c r="A174" s="19" t="n">
        <v>489.78</v>
      </c>
      <c r="B174" s="24" t="n">
        <v>305156.8534169</v>
      </c>
      <c r="C174" s="24" t="n">
        <v>309524.2350132</v>
      </c>
      <c r="D174" s="24" t="n">
        <v>1698213.642694</v>
      </c>
    </row>
    <row r="175" customFormat="false" ht="16.5" hidden="false" customHeight="false" outlineLevel="0" collapsed="false">
      <c r="A175" s="19" t="n">
        <v>489.77</v>
      </c>
      <c r="B175" s="24" t="n">
        <v>304996.5893223</v>
      </c>
      <c r="C175" s="24" t="n">
        <v>309355.08648108</v>
      </c>
      <c r="D175" s="24" t="n">
        <v>1695162.8519716</v>
      </c>
    </row>
    <row r="176" customFormat="false" ht="16.5" hidden="false" customHeight="false" outlineLevel="0" collapsed="false">
      <c r="A176" s="19" t="n">
        <v>489.76</v>
      </c>
      <c r="B176" s="24" t="n">
        <v>304837.6529778</v>
      </c>
      <c r="C176" s="24" t="n">
        <v>309187.29194685</v>
      </c>
      <c r="D176" s="24" t="n">
        <v>1692113.6615758</v>
      </c>
    </row>
    <row r="177" customFormat="false" ht="16.5" hidden="false" customHeight="false" outlineLevel="0" collapsed="false">
      <c r="A177" s="19" t="n">
        <v>489.75</v>
      </c>
      <c r="B177" s="24" t="n">
        <v>304679.54193439</v>
      </c>
      <c r="C177" s="24" t="n">
        <v>309020.34433858</v>
      </c>
      <c r="D177" s="24" t="n">
        <v>1689066.0691296</v>
      </c>
    </row>
    <row r="178" customFormat="false" ht="16.5" hidden="false" customHeight="false" outlineLevel="0" collapsed="false">
      <c r="A178" s="19" t="n">
        <v>489.74</v>
      </c>
      <c r="B178" s="24" t="n">
        <v>304522.16932417</v>
      </c>
      <c r="C178" s="24" t="n">
        <v>308854.15246899</v>
      </c>
      <c r="D178" s="24" t="n">
        <v>1686020.0677448</v>
      </c>
    </row>
    <row r="179" customFormat="false" ht="16.5" hidden="false" customHeight="false" outlineLevel="0" collapsed="false">
      <c r="A179" s="19" t="n">
        <v>489.73</v>
      </c>
      <c r="B179" s="24" t="n">
        <v>304365.68827535</v>
      </c>
      <c r="C179" s="24" t="n">
        <v>308688.86637589</v>
      </c>
      <c r="D179" s="24" t="n">
        <v>1682975.6527669</v>
      </c>
    </row>
    <row r="180" customFormat="false" ht="16.5" hidden="false" customHeight="false" outlineLevel="0" collapsed="false">
      <c r="A180" s="19" t="n">
        <v>489.72</v>
      </c>
      <c r="B180" s="24" t="n">
        <v>304209.99183713</v>
      </c>
      <c r="C180" s="24" t="n">
        <v>308524.37919996</v>
      </c>
      <c r="D180" s="24" t="n">
        <v>1679932.8392743</v>
      </c>
    </row>
    <row r="181" customFormat="false" ht="16.5" hidden="false" customHeight="false" outlineLevel="0" collapsed="false">
      <c r="A181" s="19" t="n">
        <v>489.71</v>
      </c>
      <c r="B181" s="24" t="n">
        <v>304055.10530311</v>
      </c>
      <c r="C181" s="24" t="n">
        <v>308360.71577983</v>
      </c>
      <c r="D181" s="24" t="n">
        <v>1676891.4600323</v>
      </c>
    </row>
    <row r="182" customFormat="false" ht="16.5" hidden="false" customHeight="false" outlineLevel="0" collapsed="false">
      <c r="A182" s="19" t="n">
        <v>489.7</v>
      </c>
      <c r="B182" s="24" t="n">
        <v>303901.08838575</v>
      </c>
      <c r="C182" s="24" t="n">
        <v>308197.93688568</v>
      </c>
      <c r="D182" s="24" t="n">
        <v>1673851.7406958</v>
      </c>
    </row>
    <row r="183" customFormat="false" ht="16.5" hidden="false" customHeight="false" outlineLevel="0" collapsed="false">
      <c r="A183" s="19" t="n">
        <v>489.69</v>
      </c>
      <c r="B183" s="24" t="n">
        <v>303747.80780521</v>
      </c>
      <c r="C183" s="24" t="n">
        <v>308035.91147454</v>
      </c>
      <c r="D183" s="24" t="n">
        <v>1670813.4823932</v>
      </c>
    </row>
    <row r="184" customFormat="false" ht="16.5" hidden="false" customHeight="false" outlineLevel="0" collapsed="false">
      <c r="A184" s="19" t="n">
        <v>489.68</v>
      </c>
      <c r="B184" s="24" t="n">
        <v>303595.38937187</v>
      </c>
      <c r="C184" s="24" t="n">
        <v>307874.76419277</v>
      </c>
      <c r="D184" s="24" t="n">
        <v>1667776.8298905</v>
      </c>
    </row>
    <row r="185" customFormat="false" ht="16.5" hidden="false" customHeight="false" outlineLevel="0" collapsed="false">
      <c r="A185" s="19" t="n">
        <v>489.67</v>
      </c>
      <c r="B185" s="24" t="n">
        <v>303443.85399184</v>
      </c>
      <c r="C185" s="24" t="n">
        <v>307714.51893955</v>
      </c>
      <c r="D185" s="24" t="n">
        <v>1664741.6725651</v>
      </c>
    </row>
    <row r="186" customFormat="false" ht="16.5" hidden="false" customHeight="false" outlineLevel="0" collapsed="false">
      <c r="A186" s="19" t="n">
        <v>489.66</v>
      </c>
      <c r="B186" s="24" t="n">
        <v>303293.11472789</v>
      </c>
      <c r="C186" s="24" t="n">
        <v>307555.09228684</v>
      </c>
      <c r="D186" s="24" t="n">
        <v>1661708.016796</v>
      </c>
    </row>
    <row r="187" customFormat="false" ht="16.5" hidden="false" customHeight="false" outlineLevel="0" collapsed="false">
      <c r="A187" s="19" t="n">
        <v>489.65</v>
      </c>
      <c r="B187" s="24" t="n">
        <v>303142.78687539</v>
      </c>
      <c r="C187" s="24" t="n">
        <v>307396.10862457</v>
      </c>
      <c r="D187" s="24" t="n">
        <v>1658675.7961476</v>
      </c>
    </row>
    <row r="188" customFormat="false" ht="16.5" hidden="false" customHeight="false" outlineLevel="0" collapsed="false">
      <c r="A188" s="19" t="n">
        <v>489.64</v>
      </c>
      <c r="B188" s="24" t="n">
        <v>302992.54288941</v>
      </c>
      <c r="C188" s="24" t="n">
        <v>307237.25027043</v>
      </c>
      <c r="D188" s="24" t="n">
        <v>1655645.1614623</v>
      </c>
    </row>
    <row r="189" customFormat="false" ht="16.5" hidden="false" customHeight="false" outlineLevel="0" collapsed="false">
      <c r="A189" s="19" t="n">
        <v>489.63</v>
      </c>
      <c r="B189" s="24" t="n">
        <v>302841.51787648</v>
      </c>
      <c r="C189" s="24" t="n">
        <v>307077.67048739</v>
      </c>
      <c r="D189" s="24" t="n">
        <v>1652616.006085</v>
      </c>
    </row>
    <row r="190" customFormat="false" ht="16.5" hidden="false" customHeight="false" outlineLevel="0" collapsed="false">
      <c r="A190" s="19" t="n">
        <v>489.62</v>
      </c>
      <c r="B190" s="24" t="n">
        <v>302687.78228301</v>
      </c>
      <c r="C190" s="24" t="n">
        <v>306915.46560123</v>
      </c>
      <c r="D190" s="24" t="n">
        <v>1649588.4715397</v>
      </c>
    </row>
    <row r="191" customFormat="false" ht="16.5" hidden="false" customHeight="false" outlineLevel="0" collapsed="false">
      <c r="A191" s="19" t="n">
        <v>489.61</v>
      </c>
      <c r="B191" s="24" t="n">
        <v>302526.71820381</v>
      </c>
      <c r="C191" s="24" t="n">
        <v>306746.05008754</v>
      </c>
      <c r="D191" s="24" t="n">
        <v>1646562.4785364</v>
      </c>
    </row>
    <row r="192" customFormat="false" ht="16.5" hidden="false" customHeight="false" outlineLevel="0" collapsed="false">
      <c r="A192" s="19" t="n">
        <v>489.6</v>
      </c>
      <c r="B192" s="24" t="n">
        <v>301739.89109286</v>
      </c>
      <c r="C192" s="24" t="n">
        <v>305951.06049556</v>
      </c>
      <c r="D192" s="24" t="n">
        <v>1643538.2164868</v>
      </c>
    </row>
    <row r="193" customFormat="false" ht="16.5" hidden="false" customHeight="false" outlineLevel="0" collapsed="false">
      <c r="A193" s="19" t="n">
        <v>489.59</v>
      </c>
      <c r="B193" s="24" t="n">
        <v>301550.28196718</v>
      </c>
      <c r="C193" s="24" t="n">
        <v>305753.58527402</v>
      </c>
      <c r="D193" s="24" t="n">
        <v>1640521.8742392</v>
      </c>
    </row>
    <row r="194" customFormat="false" ht="16.5" hidden="false" customHeight="false" outlineLevel="0" collapsed="false">
      <c r="A194" s="19" t="n">
        <v>489.58</v>
      </c>
      <c r="B194" s="24" t="n">
        <v>301394.81108972</v>
      </c>
      <c r="C194" s="24" t="n">
        <v>305590.29657738</v>
      </c>
      <c r="D194" s="24" t="n">
        <v>1637507.2197422</v>
      </c>
    </row>
    <row r="195" customFormat="false" ht="16.5" hidden="false" customHeight="false" outlineLevel="0" collapsed="false">
      <c r="A195" s="19" t="n">
        <v>489.57</v>
      </c>
      <c r="B195" s="24" t="n">
        <v>301239.44832113</v>
      </c>
      <c r="C195" s="24" t="n">
        <v>305427.14752752</v>
      </c>
      <c r="D195" s="24" t="n">
        <v>1634494.0165124</v>
      </c>
    </row>
    <row r="196" customFormat="false" ht="16.5" hidden="false" customHeight="false" outlineLevel="0" collapsed="false">
      <c r="A196" s="19" t="n">
        <v>489.56</v>
      </c>
      <c r="B196" s="24" t="n">
        <v>301084.16214669</v>
      </c>
      <c r="C196" s="24" t="n">
        <v>305264.09130291</v>
      </c>
      <c r="D196" s="24" t="n">
        <v>1631482.3951738</v>
      </c>
    </row>
    <row r="197" customFormat="false" ht="16.5" hidden="false" customHeight="false" outlineLevel="0" collapsed="false">
      <c r="A197" s="19" t="n">
        <v>489.55</v>
      </c>
      <c r="B197" s="24" t="n">
        <v>300929.40521415</v>
      </c>
      <c r="C197" s="24" t="n">
        <v>305101.57283529</v>
      </c>
      <c r="D197" s="24" t="n">
        <v>1628472.3057533</v>
      </c>
    </row>
    <row r="198" customFormat="false" ht="16.5" hidden="false" customHeight="false" outlineLevel="0" collapsed="false">
      <c r="A198" s="19" t="n">
        <v>489.54</v>
      </c>
      <c r="B198" s="24" t="n">
        <v>300775.25974927</v>
      </c>
      <c r="C198" s="24" t="n">
        <v>304939.66555141</v>
      </c>
      <c r="D198" s="24" t="n">
        <v>1625463.7590197</v>
      </c>
    </row>
    <row r="199" customFormat="false" ht="16.5" hidden="false" customHeight="false" outlineLevel="0" collapsed="false">
      <c r="A199" s="19" t="n">
        <v>489.53</v>
      </c>
      <c r="B199" s="24" t="n">
        <v>300621.71354973</v>
      </c>
      <c r="C199" s="24" t="n">
        <v>304778.34940865</v>
      </c>
      <c r="D199" s="24" t="n">
        <v>1622456.7729032</v>
      </c>
    </row>
    <row r="200" customFormat="false" ht="16.5" hidden="false" customHeight="false" outlineLevel="0" collapsed="false">
      <c r="A200" s="19" t="n">
        <v>489.52</v>
      </c>
      <c r="B200" s="24" t="n">
        <v>300468.72284039</v>
      </c>
      <c r="C200" s="24" t="n">
        <v>304617.57858126</v>
      </c>
      <c r="D200" s="24" t="n">
        <v>1619451.3170382</v>
      </c>
    </row>
    <row r="201" customFormat="false" ht="16.5" hidden="false" customHeight="false" outlineLevel="0" collapsed="false">
      <c r="A201" s="19" t="n">
        <v>489.51</v>
      </c>
      <c r="B201" s="24" t="n">
        <v>300316.29618764</v>
      </c>
      <c r="C201" s="24" t="n">
        <v>304457.35831816</v>
      </c>
      <c r="D201" s="24" t="n">
        <v>1616447.3000028</v>
      </c>
    </row>
    <row r="202" customFormat="false" ht="16.5" hidden="false" customHeight="false" outlineLevel="0" collapsed="false">
      <c r="A202" s="19" t="n">
        <v>489.5</v>
      </c>
      <c r="B202" s="24" t="n">
        <v>300164.52862609</v>
      </c>
      <c r="C202" s="24" t="n">
        <v>304297.78373955</v>
      </c>
      <c r="D202" s="24" t="n">
        <v>1613444.9319479</v>
      </c>
    </row>
    <row r="203" customFormat="false" ht="16.5" hidden="false" customHeight="false" outlineLevel="0" collapsed="false">
      <c r="A203" s="19" t="n">
        <v>489.49</v>
      </c>
      <c r="B203" s="24" t="n">
        <v>300013.27591265</v>
      </c>
      <c r="C203" s="24" t="n">
        <v>304138.71103043</v>
      </c>
      <c r="D203" s="24" t="n">
        <v>1610444.0173451</v>
      </c>
    </row>
    <row r="204" customFormat="false" ht="16.5" hidden="false" customHeight="false" outlineLevel="0" collapsed="false">
      <c r="A204" s="19" t="n">
        <v>489.48</v>
      </c>
      <c r="B204" s="24" t="n">
        <v>299862.58622435</v>
      </c>
      <c r="C204" s="24" t="n">
        <v>303980.18800424</v>
      </c>
      <c r="D204" s="24" t="n">
        <v>1607444.5930315</v>
      </c>
    </row>
    <row r="205" customFormat="false" ht="16.5" hidden="false" customHeight="false" outlineLevel="0" collapsed="false">
      <c r="A205" s="19" t="n">
        <v>489.47</v>
      </c>
      <c r="B205" s="24" t="n">
        <v>299712.50264578</v>
      </c>
      <c r="C205" s="24" t="n">
        <v>303822.25753897</v>
      </c>
      <c r="D205" s="24" t="n">
        <v>1604446.7185633</v>
      </c>
    </row>
    <row r="206" customFormat="false" ht="16.5" hidden="false" customHeight="false" outlineLevel="0" collapsed="false">
      <c r="A206" s="19" t="n">
        <v>489.46</v>
      </c>
      <c r="B206" s="24" t="n">
        <v>299562.93609428</v>
      </c>
      <c r="C206" s="24" t="n">
        <v>303664.83203245</v>
      </c>
      <c r="D206" s="24" t="n">
        <v>1601450.3446649</v>
      </c>
    </row>
    <row r="207" customFormat="false" ht="16.5" hidden="false" customHeight="false" outlineLevel="0" collapsed="false">
      <c r="A207" s="19" t="n">
        <v>489.45</v>
      </c>
      <c r="B207" s="24" t="n">
        <v>299413.7740884</v>
      </c>
      <c r="C207" s="24" t="n">
        <v>303507.80102545</v>
      </c>
      <c r="D207" s="24" t="n">
        <v>1598455.4724357</v>
      </c>
    </row>
    <row r="208" customFormat="false" ht="16.5" hidden="false" customHeight="false" outlineLevel="0" collapsed="false">
      <c r="A208" s="19" t="n">
        <v>489.44</v>
      </c>
      <c r="B208" s="24" t="n">
        <v>299264.86806601</v>
      </c>
      <c r="C208" s="24" t="n">
        <v>303351.01902334</v>
      </c>
      <c r="D208" s="24" t="n">
        <v>1595462.0162962</v>
      </c>
    </row>
    <row r="209" customFormat="false" ht="16.5" hidden="false" customHeight="false" outlineLevel="0" collapsed="false">
      <c r="A209" s="19" t="n">
        <v>489.43</v>
      </c>
      <c r="B209" s="24" t="n">
        <v>299115.74350963</v>
      </c>
      <c r="C209" s="24" t="n">
        <v>303194.01770642</v>
      </c>
      <c r="D209" s="24" t="n">
        <v>1592470.1267521</v>
      </c>
    </row>
    <row r="210" customFormat="false" ht="16.5" hidden="false" customHeight="false" outlineLevel="0" collapsed="false">
      <c r="A210" s="19" t="n">
        <v>489.42</v>
      </c>
      <c r="B210" s="24" t="n">
        <v>298964.85865006</v>
      </c>
      <c r="C210" s="24" t="n">
        <v>303035.26730682</v>
      </c>
      <c r="D210" s="24" t="n">
        <v>1589479.7778058</v>
      </c>
    </row>
    <row r="211" customFormat="false" ht="16.5" hidden="false" customHeight="false" outlineLevel="0" collapsed="false">
      <c r="A211" s="19" t="n">
        <v>489.41</v>
      </c>
      <c r="B211" s="24" t="n">
        <v>298806.56880163</v>
      </c>
      <c r="C211" s="24" t="n">
        <v>302869.14575137</v>
      </c>
      <c r="D211" s="24" t="n">
        <v>1586490.9615756</v>
      </c>
    </row>
    <row r="212" customFormat="false" ht="16.5" hidden="false" customHeight="false" outlineLevel="0" collapsed="false">
      <c r="A212" s="19" t="n">
        <v>489.4</v>
      </c>
      <c r="B212" s="24" t="n">
        <v>298551.84888248</v>
      </c>
      <c r="C212" s="24" t="n">
        <v>302606.70097838</v>
      </c>
      <c r="D212" s="24" t="n">
        <v>1583503.9153777</v>
      </c>
    </row>
    <row r="213" customFormat="false" ht="16.5" hidden="false" customHeight="false" outlineLevel="0" collapsed="false">
      <c r="A213" s="19" t="n">
        <v>489.39</v>
      </c>
      <c r="B213" s="24" t="n">
        <v>296838.12705053</v>
      </c>
      <c r="C213" s="24" t="n">
        <v>300885.36238224</v>
      </c>
      <c r="D213" s="24" t="n">
        <v>1580534.3602253</v>
      </c>
    </row>
    <row r="214" customFormat="false" ht="16.5" hidden="false" customHeight="false" outlineLevel="0" collapsed="false">
      <c r="A214" s="19" t="n">
        <v>489.38</v>
      </c>
      <c r="B214" s="24" t="n">
        <v>296660.45488629</v>
      </c>
      <c r="C214" s="24" t="n">
        <v>300699.99401317</v>
      </c>
      <c r="D214" s="24" t="n">
        <v>1577566.8349081</v>
      </c>
    </row>
    <row r="215" customFormat="false" ht="16.5" hidden="false" customHeight="false" outlineLevel="0" collapsed="false">
      <c r="A215" s="19" t="n">
        <v>489.37</v>
      </c>
      <c r="B215" s="24" t="n">
        <v>296487.22539004</v>
      </c>
      <c r="C215" s="24" t="n">
        <v>300519.01884839</v>
      </c>
      <c r="D215" s="24" t="n">
        <v>1574601.0268989</v>
      </c>
    </row>
    <row r="216" customFormat="false" ht="16.5" hidden="false" customHeight="false" outlineLevel="0" collapsed="false">
      <c r="A216" s="19" t="n">
        <v>489.36</v>
      </c>
      <c r="B216" s="24" t="n">
        <v>296316.63673658</v>
      </c>
      <c r="C216" s="24" t="n">
        <v>300340.64130464</v>
      </c>
      <c r="D216" s="24" t="n">
        <v>1571636.9871561</v>
      </c>
    </row>
    <row r="217" customFormat="false" ht="16.5" hidden="false" customHeight="false" outlineLevel="0" collapsed="false">
      <c r="A217" s="19" t="n">
        <v>489.35</v>
      </c>
      <c r="B217" s="24" t="n">
        <v>296148.24972433</v>
      </c>
      <c r="C217" s="24" t="n">
        <v>300164.43016871</v>
      </c>
      <c r="D217" s="24" t="n">
        <v>1568674.6777429</v>
      </c>
    </row>
    <row r="218" customFormat="false" ht="16.5" hidden="false" customHeight="false" outlineLevel="0" collapsed="false">
      <c r="A218" s="19" t="n">
        <v>489.34</v>
      </c>
      <c r="B218" s="24" t="n">
        <v>295981.95013478</v>
      </c>
      <c r="C218" s="24" t="n">
        <v>299990.27349201</v>
      </c>
      <c r="D218" s="24" t="n">
        <v>1565714.0163253</v>
      </c>
    </row>
    <row r="219" customFormat="false" ht="16.5" hidden="false" customHeight="false" outlineLevel="0" collapsed="false">
      <c r="A219" s="19" t="n">
        <v>489.33</v>
      </c>
      <c r="B219" s="24" t="n">
        <v>295817.76531036</v>
      </c>
      <c r="C219" s="24" t="n">
        <v>299818.19878483</v>
      </c>
      <c r="D219" s="24" t="n">
        <v>1562754.9976626</v>
      </c>
    </row>
    <row r="220" customFormat="false" ht="16.5" hidden="false" customHeight="false" outlineLevel="0" collapsed="false">
      <c r="A220" s="19" t="n">
        <v>489.32</v>
      </c>
      <c r="B220" s="24" t="n">
        <v>295655.5027962</v>
      </c>
      <c r="C220" s="24" t="n">
        <v>299648.01709244</v>
      </c>
      <c r="D220" s="24" t="n">
        <v>1559797.5867667</v>
      </c>
    </row>
    <row r="221" customFormat="false" ht="16.5" hidden="false" customHeight="false" outlineLevel="0" collapsed="false">
      <c r="A221" s="19" t="n">
        <v>489.31</v>
      </c>
      <c r="B221" s="24" t="n">
        <v>295495.20580663</v>
      </c>
      <c r="C221" s="24" t="n">
        <v>299479.77340874</v>
      </c>
      <c r="D221" s="24" t="n">
        <v>1556841.7987323</v>
      </c>
    </row>
    <row r="222" customFormat="false" ht="16.5" hidden="false" customHeight="false" outlineLevel="0" collapsed="false">
      <c r="A222" s="19" t="n">
        <v>489.3</v>
      </c>
      <c r="B222" s="24" t="n">
        <v>295336.95740982</v>
      </c>
      <c r="C222" s="24" t="n">
        <v>299313.55165211</v>
      </c>
      <c r="D222" s="24" t="n">
        <v>1553887.6114459</v>
      </c>
    </row>
    <row r="223" customFormat="false" ht="16.5" hidden="false" customHeight="false" outlineLevel="0" collapsed="false">
      <c r="A223" s="19" t="n">
        <v>489.29</v>
      </c>
      <c r="B223" s="24" t="n">
        <v>295180.72458222</v>
      </c>
      <c r="C223" s="24" t="n">
        <v>299149.32228616</v>
      </c>
      <c r="D223" s="24" t="n">
        <v>1550934.9520858</v>
      </c>
    </row>
    <row r="224" customFormat="false" ht="16.5" hidden="false" customHeight="false" outlineLevel="0" collapsed="false">
      <c r="A224" s="19" t="n">
        <v>489.28</v>
      </c>
      <c r="B224" s="24" t="n">
        <v>295026.38830913</v>
      </c>
      <c r="C224" s="24" t="n">
        <v>298986.96547051</v>
      </c>
      <c r="D224" s="24" t="n">
        <v>1547983.8767253</v>
      </c>
    </row>
    <row r="225" customFormat="false" ht="16.5" hidden="false" customHeight="false" outlineLevel="0" collapsed="false">
      <c r="A225" s="19" t="n">
        <v>489.27</v>
      </c>
      <c r="B225" s="24" t="n">
        <v>294874.00895346</v>
      </c>
      <c r="C225" s="24" t="n">
        <v>298826.54151435</v>
      </c>
      <c r="D225" s="24" t="n">
        <v>1545034.3582924</v>
      </c>
    </row>
    <row r="226" customFormat="false" ht="16.5" hidden="false" customHeight="false" outlineLevel="0" collapsed="false">
      <c r="A226" s="19" t="n">
        <v>489.26</v>
      </c>
      <c r="B226" s="24" t="n">
        <v>294723.85654549</v>
      </c>
      <c r="C226" s="24" t="n">
        <v>298668.3174471</v>
      </c>
      <c r="D226" s="24" t="n">
        <v>1542086.3609643</v>
      </c>
    </row>
    <row r="227" customFormat="false" ht="16.5" hidden="false" customHeight="false" outlineLevel="0" collapsed="false">
      <c r="A227" s="19" t="n">
        <v>489.25</v>
      </c>
      <c r="B227" s="24" t="n">
        <v>294575.62108548</v>
      </c>
      <c r="C227" s="24" t="n">
        <v>298511.98267908</v>
      </c>
      <c r="D227" s="24" t="n">
        <v>1539139.8888639</v>
      </c>
    </row>
    <row r="228" customFormat="false" ht="16.5" hidden="false" customHeight="false" outlineLevel="0" collapsed="false">
      <c r="A228" s="19" t="n">
        <v>489.24</v>
      </c>
      <c r="B228" s="24" t="n">
        <v>294429.47474266</v>
      </c>
      <c r="C228" s="24" t="n">
        <v>298357.70636182</v>
      </c>
      <c r="D228" s="24" t="n">
        <v>1536194.8351116</v>
      </c>
    </row>
    <row r="229" customFormat="false" ht="16.5" hidden="false" customHeight="false" outlineLevel="0" collapsed="false">
      <c r="A229" s="19" t="n">
        <v>489.23</v>
      </c>
      <c r="B229" s="24" t="n">
        <v>294285.58589727</v>
      </c>
      <c r="C229" s="24" t="n">
        <v>298205.65395441</v>
      </c>
      <c r="D229" s="24" t="n">
        <v>1533251.2254721</v>
      </c>
    </row>
    <row r="230" customFormat="false" ht="16.5" hidden="false" customHeight="false" outlineLevel="0" collapsed="false">
      <c r="A230" s="19" t="n">
        <v>489.22</v>
      </c>
      <c r="B230" s="24" t="n">
        <v>294144.15364713</v>
      </c>
      <c r="C230" s="24" t="n">
        <v>298056.02163506</v>
      </c>
      <c r="D230" s="24" t="n">
        <v>1530308.9801436</v>
      </c>
    </row>
    <row r="231" customFormat="false" ht="16.5" hidden="false" customHeight="false" outlineLevel="0" collapsed="false">
      <c r="A231" s="19" t="n">
        <v>489.21</v>
      </c>
      <c r="B231" s="24" t="n">
        <v>294005.70773942</v>
      </c>
      <c r="C231" s="24" t="n">
        <v>297909.33382545</v>
      </c>
      <c r="D231" s="24" t="n">
        <v>1527368.2205113</v>
      </c>
    </row>
    <row r="232" customFormat="false" ht="16.5" hidden="false" customHeight="false" outlineLevel="0" collapsed="false">
      <c r="A232" s="19" t="n">
        <v>489.2</v>
      </c>
      <c r="B232" s="24" t="n">
        <v>293447.44491387</v>
      </c>
      <c r="C232" s="24" t="n">
        <v>297342.77621005</v>
      </c>
      <c r="D232" s="24" t="n">
        <v>1524428.7714925</v>
      </c>
    </row>
    <row r="233" customFormat="false" ht="16.5" hidden="false" customHeight="false" outlineLevel="0" collapsed="false">
      <c r="A233" s="19" t="n">
        <v>489.19</v>
      </c>
      <c r="B233" s="24" t="n">
        <v>293343.90033395</v>
      </c>
      <c r="C233" s="24" t="n">
        <v>297230.86911278</v>
      </c>
      <c r="D233" s="24" t="n">
        <v>1521494.7669134</v>
      </c>
    </row>
    <row r="234" customFormat="false" ht="16.5" hidden="false" customHeight="false" outlineLevel="0" collapsed="false">
      <c r="A234" s="19" t="n">
        <v>489.18</v>
      </c>
      <c r="B234" s="24" t="n">
        <v>293251.32336934</v>
      </c>
      <c r="C234" s="24" t="n">
        <v>297129.86241822</v>
      </c>
      <c r="D234" s="24" t="n">
        <v>1518561.7284057</v>
      </c>
    </row>
    <row r="235" customFormat="false" ht="16.5" hidden="false" customHeight="false" outlineLevel="0" collapsed="false">
      <c r="A235" s="19" t="n">
        <v>489.17</v>
      </c>
      <c r="B235" s="24" t="n">
        <v>293160.71954252</v>
      </c>
      <c r="C235" s="24" t="n">
        <v>297030.77520158</v>
      </c>
      <c r="D235" s="24" t="n">
        <v>1515629.6565956</v>
      </c>
    </row>
    <row r="236" customFormat="false" ht="16.5" hidden="false" customHeight="false" outlineLevel="0" collapsed="false">
      <c r="A236" s="19" t="n">
        <v>489.16</v>
      </c>
      <c r="B236" s="24" t="n">
        <v>293071.14192563</v>
      </c>
      <c r="C236" s="24" t="n">
        <v>296932.66918183</v>
      </c>
      <c r="D236" s="24" t="n">
        <v>1512698.4514313</v>
      </c>
    </row>
    <row r="237" customFormat="false" ht="16.5" hidden="false" customHeight="false" outlineLevel="0" collapsed="false">
      <c r="A237" s="19" t="n">
        <v>489.15</v>
      </c>
      <c r="B237" s="24" t="n">
        <v>292982.2993087</v>
      </c>
      <c r="C237" s="24" t="n">
        <v>296835.25935574</v>
      </c>
      <c r="D237" s="24" t="n">
        <v>1509768.1303164</v>
      </c>
    </row>
    <row r="238" customFormat="false" ht="16.5" hidden="false" customHeight="false" outlineLevel="0" collapsed="false">
      <c r="A238" s="19" t="n">
        <v>489.14</v>
      </c>
      <c r="B238" s="24" t="n">
        <v>292894.0072685</v>
      </c>
      <c r="C238" s="24" t="n">
        <v>296738.36514723</v>
      </c>
      <c r="D238" s="24" t="n">
        <v>1506838.6950446</v>
      </c>
    </row>
    <row r="239" customFormat="false" ht="16.5" hidden="false" customHeight="false" outlineLevel="0" collapsed="false">
      <c r="A239" s="19" t="n">
        <v>489.13</v>
      </c>
      <c r="B239" s="24" t="n">
        <v>292806.26614797</v>
      </c>
      <c r="C239" s="24" t="n">
        <v>296641.98757146</v>
      </c>
      <c r="D239" s="24" t="n">
        <v>1503910.1094411</v>
      </c>
    </row>
    <row r="240" customFormat="false" ht="16.5" hidden="false" customHeight="false" outlineLevel="0" collapsed="false">
      <c r="A240" s="19" t="n">
        <v>489.12</v>
      </c>
      <c r="B240" s="24" t="n">
        <v>292719.10653712</v>
      </c>
      <c r="C240" s="24" t="n">
        <v>296546.1570819</v>
      </c>
      <c r="D240" s="24" t="n">
        <v>1500982.445463</v>
      </c>
    </row>
    <row r="241" customFormat="false" ht="16.5" hidden="false" customHeight="false" outlineLevel="0" collapsed="false">
      <c r="A241" s="19" t="n">
        <v>489.11</v>
      </c>
      <c r="B241" s="24" t="n">
        <v>292632.50123872</v>
      </c>
      <c r="C241" s="24" t="n">
        <v>296450.85027648</v>
      </c>
      <c r="D241" s="24" t="n">
        <v>1498055.6269738</v>
      </c>
    </row>
    <row r="242" customFormat="false" ht="16.5" hidden="false" customHeight="false" outlineLevel="0" collapsed="false">
      <c r="A242" s="19" t="n">
        <v>489.1</v>
      </c>
      <c r="B242" s="24" t="n">
        <v>292546.43048821</v>
      </c>
      <c r="C242" s="24" t="n">
        <v>296356.04930144</v>
      </c>
      <c r="D242" s="24" t="n">
        <v>1495129.7332866</v>
      </c>
    </row>
    <row r="243" customFormat="false" ht="16.5" hidden="false" customHeight="false" outlineLevel="0" collapsed="false">
      <c r="A243" s="19" t="n">
        <v>489.09</v>
      </c>
      <c r="B243" s="24" t="n">
        <v>292460.80522783</v>
      </c>
      <c r="C243" s="24" t="n">
        <v>296261.66761354</v>
      </c>
      <c r="D243" s="24" t="n">
        <v>1492204.6968381</v>
      </c>
    </row>
    <row r="244" customFormat="false" ht="16.5" hidden="false" customHeight="false" outlineLevel="0" collapsed="false">
      <c r="A244" s="19" t="n">
        <v>489.08</v>
      </c>
      <c r="B244" s="24" t="n">
        <v>292375.64253938</v>
      </c>
      <c r="C244" s="24" t="n">
        <v>296167.72282991</v>
      </c>
      <c r="D244" s="24" t="n">
        <v>1489280.5058157</v>
      </c>
    </row>
    <row r="245" customFormat="false" ht="16.5" hidden="false" customHeight="false" outlineLevel="0" collapsed="false">
      <c r="A245" s="19" t="n">
        <v>489.07</v>
      </c>
      <c r="B245" s="24" t="n">
        <v>292291.02279984</v>
      </c>
      <c r="C245" s="24" t="n">
        <v>296074.29375769</v>
      </c>
      <c r="D245" s="24" t="n">
        <v>1486357.1560401</v>
      </c>
    </row>
    <row r="246" customFormat="false" ht="16.5" hidden="false" customHeight="false" outlineLevel="0" collapsed="false">
      <c r="A246" s="19" t="n">
        <v>489.06</v>
      </c>
      <c r="B246" s="24" t="n">
        <v>292206.87485342</v>
      </c>
      <c r="C246" s="24" t="n">
        <v>295981.31187148</v>
      </c>
      <c r="D246" s="24" t="n">
        <v>1483434.6079884</v>
      </c>
    </row>
    <row r="247" customFormat="false" ht="16.5" hidden="false" customHeight="false" outlineLevel="0" collapsed="false">
      <c r="A247" s="19" t="n">
        <v>489.05</v>
      </c>
      <c r="B247" s="24" t="n">
        <v>292123.19478133</v>
      </c>
      <c r="C247" s="24" t="n">
        <v>295888.77402911</v>
      </c>
      <c r="D247" s="24" t="n">
        <v>1480512.9900537</v>
      </c>
    </row>
    <row r="248" customFormat="false" ht="16.5" hidden="false" customHeight="false" outlineLevel="0" collapsed="false">
      <c r="A248" s="19" t="n">
        <v>489.04</v>
      </c>
      <c r="B248" s="24" t="n">
        <v>292039.94859638</v>
      </c>
      <c r="C248" s="24" t="n">
        <v>295796.64575913</v>
      </c>
      <c r="D248" s="24" t="n">
        <v>1477592.1420387</v>
      </c>
    </row>
    <row r="249" customFormat="false" ht="16.5" hidden="false" customHeight="false" outlineLevel="0" collapsed="false">
      <c r="A249" s="19" t="n">
        <v>489.03</v>
      </c>
      <c r="B249" s="24" t="n">
        <v>291957.11114447</v>
      </c>
      <c r="C249" s="24" t="n">
        <v>295704.90226732</v>
      </c>
      <c r="D249" s="24" t="n">
        <v>1474672.1813453</v>
      </c>
    </row>
    <row r="250" customFormat="false" ht="16.5" hidden="false" customHeight="false" outlineLevel="0" collapsed="false">
      <c r="A250" s="19" t="n">
        <v>489.02</v>
      </c>
      <c r="B250" s="24" t="n">
        <v>291874.74683422</v>
      </c>
      <c r="C250" s="24" t="n">
        <v>295613.60825495</v>
      </c>
      <c r="D250" s="24" t="n">
        <v>1471753.0165594</v>
      </c>
    </row>
    <row r="251" customFormat="false" ht="16.5" hidden="false" customHeight="false" outlineLevel="0" collapsed="false">
      <c r="A251" s="19" t="n">
        <v>489.01</v>
      </c>
      <c r="B251" s="24" t="n">
        <v>291792.88645026</v>
      </c>
      <c r="C251" s="24" t="n">
        <v>295522.79397993</v>
      </c>
      <c r="D251" s="24" t="n">
        <v>1468834.6627917</v>
      </c>
    </row>
    <row r="252" customFormat="false" ht="16.5" hidden="false" customHeight="false" outlineLevel="0" collapsed="false">
      <c r="A252" s="19" t="n">
        <v>489</v>
      </c>
      <c r="B252" s="24" t="n">
        <v>291711.39380188</v>
      </c>
      <c r="C252" s="24" t="n">
        <v>295432.32366787</v>
      </c>
      <c r="D252" s="24" t="n">
        <v>1465917.1830561</v>
      </c>
    </row>
    <row r="253" customFormat="false" ht="16.5" hidden="false" customHeight="false" outlineLevel="0" collapsed="false">
      <c r="A253" s="19" t="n">
        <v>488.99</v>
      </c>
      <c r="B253" s="24" t="n">
        <v>291629.97569636</v>
      </c>
      <c r="C253" s="24" t="n">
        <v>295341.88876131</v>
      </c>
      <c r="D253" s="24" t="n">
        <v>1463000.4388214</v>
      </c>
    </row>
    <row r="254" customFormat="false" ht="16.5" hidden="false" customHeight="false" outlineLevel="0" collapsed="false">
      <c r="A254" s="19" t="n">
        <v>488.98</v>
      </c>
      <c r="B254" s="24" t="n">
        <v>291549.89354213</v>
      </c>
      <c r="C254" s="24" t="n">
        <v>295252.76104816</v>
      </c>
      <c r="D254" s="24" t="n">
        <v>1460084.4867829</v>
      </c>
    </row>
    <row r="255" customFormat="false" ht="16.5" hidden="false" customHeight="false" outlineLevel="0" collapsed="false">
      <c r="A255" s="19" t="n">
        <v>488.97</v>
      </c>
      <c r="B255" s="24" t="n">
        <v>291470.2555432</v>
      </c>
      <c r="C255" s="24" t="n">
        <v>295164.05366061</v>
      </c>
      <c r="D255" s="24" t="n">
        <v>1457169.3844303</v>
      </c>
    </row>
    <row r="256" customFormat="false" ht="16.5" hidden="false" customHeight="false" outlineLevel="0" collapsed="false">
      <c r="A256" s="19" t="n">
        <v>488.96</v>
      </c>
      <c r="B256" s="24" t="n">
        <v>291390.88598792</v>
      </c>
      <c r="C256" s="24" t="n">
        <v>295075.59178784</v>
      </c>
      <c r="D256" s="24" t="n">
        <v>1454255.069173</v>
      </c>
    </row>
    <row r="257" customFormat="false" ht="16.5" hidden="false" customHeight="false" outlineLevel="0" collapsed="false">
      <c r="A257" s="19" t="n">
        <v>488.95</v>
      </c>
      <c r="B257" s="24" t="n">
        <v>291311.6870993</v>
      </c>
      <c r="C257" s="24" t="n">
        <v>294987.27977295</v>
      </c>
      <c r="D257" s="24" t="n">
        <v>1451341.5620411</v>
      </c>
    </row>
    <row r="258" customFormat="false" ht="16.5" hidden="false" customHeight="false" outlineLevel="0" collapsed="false">
      <c r="A258" s="19" t="n">
        <v>488.94</v>
      </c>
      <c r="B258" s="24" t="n">
        <v>291232.6801967</v>
      </c>
      <c r="C258" s="24" t="n">
        <v>294899.13974443</v>
      </c>
      <c r="D258" s="24" t="n">
        <v>1448428.8738585</v>
      </c>
    </row>
    <row r="259" customFormat="false" ht="16.5" hidden="false" customHeight="false" outlineLevel="0" collapsed="false">
      <c r="A259" s="19" t="n">
        <v>488.93</v>
      </c>
      <c r="B259" s="24" t="n">
        <v>291153.86466754</v>
      </c>
      <c r="C259" s="24" t="n">
        <v>294811.16968655</v>
      </c>
      <c r="D259" s="24" t="n">
        <v>1445516.8740723</v>
      </c>
    </row>
    <row r="260" customFormat="false" ht="16.5" hidden="false" customHeight="false" outlineLevel="0" collapsed="false">
      <c r="A260" s="19" t="n">
        <v>488.92</v>
      </c>
      <c r="B260" s="24" t="n">
        <v>291075.24987627</v>
      </c>
      <c r="C260" s="24" t="n">
        <v>294723.38121756</v>
      </c>
      <c r="D260" s="24" t="n">
        <v>1442605.7158015</v>
      </c>
    </row>
    <row r="261" customFormat="false" ht="16.5" hidden="false" customHeight="false" outlineLevel="0" collapsed="false">
      <c r="A261" s="19" t="n">
        <v>488.91</v>
      </c>
      <c r="B261" s="24" t="n">
        <v>290996.79863945</v>
      </c>
      <c r="C261" s="24" t="n">
        <v>294635.73809277</v>
      </c>
      <c r="D261" s="24" t="n">
        <v>1439695.2819465</v>
      </c>
    </row>
    <row r="262" customFormat="false" ht="16.5" hidden="false" customHeight="false" outlineLevel="0" collapsed="false">
      <c r="A262" s="19" t="n">
        <v>488.9</v>
      </c>
      <c r="B262" s="24" t="n">
        <v>290918.55314857</v>
      </c>
      <c r="C262" s="24" t="n">
        <v>294548.28164847</v>
      </c>
      <c r="D262" s="24" t="n">
        <v>1436785.6733049</v>
      </c>
    </row>
    <row r="263" customFormat="false" ht="16.5" hidden="false" customHeight="false" outlineLevel="0" collapsed="false">
      <c r="A263" s="19" t="n">
        <v>488.89</v>
      </c>
      <c r="B263" s="24" t="n">
        <v>290840.48570157</v>
      </c>
      <c r="C263" s="24" t="n">
        <v>294460.98574121</v>
      </c>
      <c r="D263" s="24" t="n">
        <v>1433876.8830075</v>
      </c>
    </row>
    <row r="264" customFormat="false" ht="16.5" hidden="false" customHeight="false" outlineLevel="0" collapsed="false">
      <c r="A264" s="19" t="n">
        <v>488.88</v>
      </c>
      <c r="B264" s="24" t="n">
        <v>290762.57673597</v>
      </c>
      <c r="C264" s="24" t="n">
        <v>294373.83191176</v>
      </c>
      <c r="D264" s="24" t="n">
        <v>1430968.8174983</v>
      </c>
    </row>
    <row r="265" customFormat="false" ht="16.5" hidden="false" customHeight="false" outlineLevel="0" collapsed="false">
      <c r="A265" s="19" t="n">
        <v>488.87</v>
      </c>
      <c r="B265" s="24" t="n">
        <v>290684.87634717</v>
      </c>
      <c r="C265" s="24" t="n">
        <v>294286.87105742</v>
      </c>
      <c r="D265" s="24" t="n">
        <v>1428061.5598544</v>
      </c>
    </row>
    <row r="266" customFormat="false" ht="16.5" hidden="false" customHeight="false" outlineLevel="0" collapsed="false">
      <c r="A266" s="19" t="n">
        <v>488.86</v>
      </c>
      <c r="B266" s="24" t="n">
        <v>290607.31934001</v>
      </c>
      <c r="C266" s="24" t="n">
        <v>294200.03843181</v>
      </c>
      <c r="D266" s="24" t="n">
        <v>1425155.0669105</v>
      </c>
    </row>
    <row r="267" customFormat="false" ht="16.5" hidden="false" customHeight="false" outlineLevel="0" collapsed="false">
      <c r="A267" s="19" t="n">
        <v>488.85</v>
      </c>
      <c r="B267" s="24" t="n">
        <v>290529.93706361</v>
      </c>
      <c r="C267" s="24" t="n">
        <v>294113.36544796</v>
      </c>
      <c r="D267" s="24" t="n">
        <v>1422249.3957137</v>
      </c>
    </row>
    <row r="268" customFormat="false" ht="16.5" hidden="false" customHeight="false" outlineLevel="0" collapsed="false">
      <c r="A268" s="19" t="n">
        <v>488.84</v>
      </c>
      <c r="B268" s="24" t="n">
        <v>290452.7388562</v>
      </c>
      <c r="C268" s="24" t="n">
        <v>294026.86182989</v>
      </c>
      <c r="D268" s="24" t="n">
        <v>1419344.4679611</v>
      </c>
    </row>
    <row r="269" customFormat="false" ht="16.5" hidden="false" customHeight="false" outlineLevel="0" collapsed="false">
      <c r="A269" s="19" t="n">
        <v>488.83</v>
      </c>
      <c r="B269" s="24" t="n">
        <v>290375.70003922</v>
      </c>
      <c r="C269" s="24" t="n">
        <v>293940.50507093</v>
      </c>
      <c r="D269" s="24" t="n">
        <v>1416440.2927267</v>
      </c>
    </row>
    <row r="270" customFormat="false" ht="16.5" hidden="false" customHeight="false" outlineLevel="0" collapsed="false">
      <c r="A270" s="19" t="n">
        <v>488.82</v>
      </c>
      <c r="B270" s="24" t="n">
        <v>290298.82125685</v>
      </c>
      <c r="C270" s="24" t="n">
        <v>293854.29550007</v>
      </c>
      <c r="D270" s="24" t="n">
        <v>1413536.9222839</v>
      </c>
    </row>
    <row r="271" customFormat="false" ht="16.5" hidden="false" customHeight="false" outlineLevel="0" collapsed="false">
      <c r="A271" s="19" t="n">
        <v>488.81</v>
      </c>
      <c r="B271" s="24" t="n">
        <v>290222.06524005</v>
      </c>
      <c r="C271" s="24" t="n">
        <v>293768.19722882</v>
      </c>
      <c r="D271" s="24" t="n">
        <v>1410634.2644526</v>
      </c>
    </row>
    <row r="272" customFormat="false" ht="16.5" hidden="false" customHeight="false" outlineLevel="0" collapsed="false">
      <c r="A272" s="19" t="n">
        <v>488.8</v>
      </c>
      <c r="B272" s="24" t="n">
        <v>290145.45393881</v>
      </c>
      <c r="C272" s="24" t="n">
        <v>293682.23248227</v>
      </c>
      <c r="D272" s="24" t="n">
        <v>1407732.4119656</v>
      </c>
    </row>
    <row r="273" customFormat="false" ht="16.5" hidden="false" customHeight="false" outlineLevel="0" collapsed="false">
      <c r="A273" s="19" t="n">
        <v>488.79</v>
      </c>
      <c r="B273" s="24" t="n">
        <v>290069.0159094</v>
      </c>
      <c r="C273" s="24" t="n">
        <v>293596.43049576</v>
      </c>
      <c r="D273" s="24" t="n">
        <v>1404831.3032069</v>
      </c>
    </row>
    <row r="274" customFormat="false" ht="16.5" hidden="false" customHeight="false" outlineLevel="0" collapsed="false">
      <c r="A274" s="19" t="n">
        <v>488.78</v>
      </c>
      <c r="B274" s="24" t="n">
        <v>289992.86630174</v>
      </c>
      <c r="C274" s="24" t="n">
        <v>293510.90551795</v>
      </c>
      <c r="D274" s="24" t="n">
        <v>1401930.957596</v>
      </c>
    </row>
    <row r="275" customFormat="false" ht="16.5" hidden="false" customHeight="false" outlineLevel="0" collapsed="false">
      <c r="A275" s="19" t="n">
        <v>488.77</v>
      </c>
      <c r="B275" s="24" t="n">
        <v>289916.86606616</v>
      </c>
      <c r="C275" s="24" t="n">
        <v>293425.51935447</v>
      </c>
      <c r="D275" s="24" t="n">
        <v>1399031.4112872</v>
      </c>
    </row>
    <row r="276" customFormat="false" ht="16.5" hidden="false" customHeight="false" outlineLevel="0" collapsed="false">
      <c r="A276" s="19" t="n">
        <v>488.76</v>
      </c>
      <c r="B276" s="24" t="n">
        <v>289840.96597849</v>
      </c>
      <c r="C276" s="24" t="n">
        <v>293340.22312147</v>
      </c>
      <c r="D276" s="24" t="n">
        <v>1396132.6544669</v>
      </c>
    </row>
    <row r="277" customFormat="false" ht="16.5" hidden="false" customHeight="false" outlineLevel="0" collapsed="false">
      <c r="A277" s="19" t="n">
        <v>488.75</v>
      </c>
      <c r="B277" s="24" t="n">
        <v>289765.19390198</v>
      </c>
      <c r="C277" s="24" t="n">
        <v>293255.04366169</v>
      </c>
      <c r="D277" s="24" t="n">
        <v>1393234.6316032</v>
      </c>
    </row>
    <row r="278" customFormat="false" ht="16.5" hidden="false" customHeight="false" outlineLevel="0" collapsed="false">
      <c r="A278" s="19" t="n">
        <v>488.74</v>
      </c>
      <c r="B278" s="24" t="n">
        <v>289689.54640972</v>
      </c>
      <c r="C278" s="24" t="n">
        <v>293169.97531338</v>
      </c>
      <c r="D278" s="24" t="n">
        <v>1390337.3398593</v>
      </c>
    </row>
    <row r="279" customFormat="false" ht="16.5" hidden="false" customHeight="false" outlineLevel="0" collapsed="false">
      <c r="A279" s="19" t="n">
        <v>488.73</v>
      </c>
      <c r="B279" s="24" t="n">
        <v>289614.0059504</v>
      </c>
      <c r="C279" s="24" t="n">
        <v>293085.0031327</v>
      </c>
      <c r="D279" s="24" t="n">
        <v>1387440.8647572</v>
      </c>
    </row>
    <row r="280" customFormat="false" ht="16.5" hidden="false" customHeight="false" outlineLevel="0" collapsed="false">
      <c r="A280" s="19" t="n">
        <v>488.72</v>
      </c>
      <c r="B280" s="24" t="n">
        <v>289538.59275021</v>
      </c>
      <c r="C280" s="24" t="n">
        <v>293000.1475476</v>
      </c>
      <c r="D280" s="24" t="n">
        <v>1384545.0927503</v>
      </c>
    </row>
    <row r="281" customFormat="false" ht="16.5" hidden="false" customHeight="false" outlineLevel="0" collapsed="false">
      <c r="A281" s="19" t="n">
        <v>488.71</v>
      </c>
      <c r="B281" s="24" t="n">
        <v>289463.33263961</v>
      </c>
      <c r="C281" s="24" t="n">
        <v>292915.43540876</v>
      </c>
      <c r="D281" s="24" t="n">
        <v>1381650.071854</v>
      </c>
    </row>
    <row r="282" customFormat="false" ht="16.5" hidden="false" customHeight="false" outlineLevel="0" collapsed="false">
      <c r="A282" s="19" t="n">
        <v>488.7</v>
      </c>
      <c r="B282" s="24" t="n">
        <v>289388.16373181</v>
      </c>
      <c r="C282" s="24" t="n">
        <v>292830.80479153</v>
      </c>
      <c r="D282" s="24" t="n">
        <v>1378755.8348426</v>
      </c>
    </row>
    <row r="283" customFormat="false" ht="16.5" hidden="false" customHeight="false" outlineLevel="0" collapsed="false">
      <c r="A283" s="19" t="n">
        <v>488.69</v>
      </c>
      <c r="B283" s="24" t="n">
        <v>289313.10567084</v>
      </c>
      <c r="C283" s="24" t="n">
        <v>292746.27664514</v>
      </c>
      <c r="D283" s="24" t="n">
        <v>1375862.3110327</v>
      </c>
    </row>
    <row r="284" customFormat="false" ht="16.5" hidden="false" customHeight="false" outlineLevel="0" collapsed="false">
      <c r="A284" s="19" t="n">
        <v>488.68</v>
      </c>
      <c r="B284" s="24" t="n">
        <v>289238.15997567</v>
      </c>
      <c r="C284" s="24" t="n">
        <v>292661.8534719</v>
      </c>
      <c r="D284" s="24" t="n">
        <v>1372969.6331739</v>
      </c>
    </row>
    <row r="285" customFormat="false" ht="16.5" hidden="false" customHeight="false" outlineLevel="0" collapsed="false">
      <c r="A285" s="19" t="n">
        <v>488.67</v>
      </c>
      <c r="B285" s="24" t="n">
        <v>289163.29959511</v>
      </c>
      <c r="C285" s="24" t="n">
        <v>292577.50841442</v>
      </c>
      <c r="D285" s="24" t="n">
        <v>1370077.6250882</v>
      </c>
    </row>
    <row r="286" customFormat="false" ht="16.5" hidden="false" customHeight="false" outlineLevel="0" collapsed="false">
      <c r="A286" s="19" t="n">
        <v>488.66</v>
      </c>
      <c r="B286" s="24" t="n">
        <v>289088.54970741</v>
      </c>
      <c r="C286" s="24" t="n">
        <v>292493.26577393</v>
      </c>
      <c r="D286" s="24" t="n">
        <v>1367186.3441059</v>
      </c>
    </row>
    <row r="287" customFormat="false" ht="16.5" hidden="false" customHeight="false" outlineLevel="0" collapsed="false">
      <c r="A287" s="19" t="n">
        <v>488.65</v>
      </c>
      <c r="B287" s="24" t="n">
        <v>289013.89596013</v>
      </c>
      <c r="C287" s="24" t="n">
        <v>292409.11127955</v>
      </c>
      <c r="D287" s="24" t="n">
        <v>1364295.8432313</v>
      </c>
    </row>
    <row r="288" customFormat="false" ht="16.5" hidden="false" customHeight="false" outlineLevel="0" collapsed="false">
      <c r="A288" s="19" t="n">
        <v>488.64</v>
      </c>
      <c r="B288" s="24" t="n">
        <v>288939.37116718</v>
      </c>
      <c r="C288" s="24" t="n">
        <v>292325.07958877</v>
      </c>
      <c r="D288" s="24" t="n">
        <v>1361406.0363445</v>
      </c>
    </row>
    <row r="289" customFormat="false" ht="16.5" hidden="false" customHeight="false" outlineLevel="0" collapsed="false">
      <c r="A289" s="19" t="n">
        <v>488.63</v>
      </c>
      <c r="B289" s="24" t="n">
        <v>288864.96946687</v>
      </c>
      <c r="C289" s="24" t="n">
        <v>292241.16602167</v>
      </c>
      <c r="D289" s="24" t="n">
        <v>1358517.0386471</v>
      </c>
    </row>
    <row r="290" customFormat="false" ht="16.5" hidden="false" customHeight="false" outlineLevel="0" collapsed="false">
      <c r="A290" s="19" t="n">
        <v>488.62</v>
      </c>
      <c r="B290" s="24" t="n">
        <v>288790.65623378</v>
      </c>
      <c r="C290" s="24" t="n">
        <v>292157.33692486</v>
      </c>
      <c r="D290" s="24" t="n">
        <v>1355628.7252801</v>
      </c>
    </row>
    <row r="291" customFormat="false" ht="16.5" hidden="false" customHeight="false" outlineLevel="0" collapsed="false">
      <c r="A291" s="19" t="n">
        <v>488.61</v>
      </c>
      <c r="B291" s="24" t="n">
        <v>288716.49204945</v>
      </c>
      <c r="C291" s="24" t="n">
        <v>292073.65315603</v>
      </c>
      <c r="D291" s="24" t="n">
        <v>1352741.2664208</v>
      </c>
    </row>
    <row r="292" customFormat="false" ht="16.5" hidden="false" customHeight="false" outlineLevel="0" collapsed="false">
      <c r="A292" s="19" t="n">
        <v>488.6</v>
      </c>
      <c r="B292" s="24" t="n">
        <v>288642.42116951</v>
      </c>
      <c r="C292" s="24" t="n">
        <v>291990.06115736</v>
      </c>
      <c r="D292" s="24" t="n">
        <v>1349854.472645</v>
      </c>
    </row>
    <row r="293" customFormat="false" ht="16.5" hidden="false" customHeight="false" outlineLevel="0" collapsed="false">
      <c r="A293" s="19" t="n">
        <v>488.59</v>
      </c>
      <c r="B293" s="24" t="n">
        <v>288568.41107268</v>
      </c>
      <c r="C293" s="24" t="n">
        <v>291906.52544157</v>
      </c>
      <c r="D293" s="24" t="n">
        <v>1346968.4341844</v>
      </c>
    </row>
    <row r="294" customFormat="false" ht="16.5" hidden="false" customHeight="false" outlineLevel="0" collapsed="false">
      <c r="A294" s="19" t="n">
        <v>488.58</v>
      </c>
      <c r="B294" s="24" t="n">
        <v>288494.530205</v>
      </c>
      <c r="C294" s="24" t="n">
        <v>291823.11642315</v>
      </c>
      <c r="D294" s="24" t="n">
        <v>1344083.1401392</v>
      </c>
    </row>
    <row r="295" customFormat="false" ht="16.5" hidden="false" customHeight="false" outlineLevel="0" collapsed="false">
      <c r="A295" s="19" t="n">
        <v>488.57</v>
      </c>
      <c r="B295" s="24" t="n">
        <v>288420.71944386</v>
      </c>
      <c r="C295" s="24" t="n">
        <v>291739.77710207</v>
      </c>
      <c r="D295" s="24" t="n">
        <v>1341198.5610089</v>
      </c>
    </row>
    <row r="296" customFormat="false" ht="16.5" hidden="false" customHeight="false" outlineLevel="0" collapsed="false">
      <c r="A296" s="19" t="n">
        <v>488.56</v>
      </c>
      <c r="B296" s="24" t="n">
        <v>288346.947931</v>
      </c>
      <c r="C296" s="24" t="n">
        <v>291656.47812243</v>
      </c>
      <c r="D296" s="24" t="n">
        <v>1338314.7585372</v>
      </c>
    </row>
    <row r="297" customFormat="false" ht="16.5" hidden="false" customHeight="false" outlineLevel="0" collapsed="false">
      <c r="A297" s="19" t="n">
        <v>488.55</v>
      </c>
      <c r="B297" s="24" t="n">
        <v>288273.2232812</v>
      </c>
      <c r="C297" s="24" t="n">
        <v>291573.22638794</v>
      </c>
      <c r="D297" s="24" t="n">
        <v>1335431.618141</v>
      </c>
    </row>
    <row r="298" customFormat="false" ht="16.5" hidden="false" customHeight="false" outlineLevel="0" collapsed="false">
      <c r="A298" s="19" t="n">
        <v>488.54</v>
      </c>
      <c r="B298" s="24" t="n">
        <v>288199.48631077</v>
      </c>
      <c r="C298" s="24" t="n">
        <v>291489.9632549</v>
      </c>
      <c r="D298" s="24" t="n">
        <v>1332549.2248698</v>
      </c>
    </row>
    <row r="299" customFormat="false" ht="16.5" hidden="false" customHeight="false" outlineLevel="0" collapsed="false">
      <c r="A299" s="19" t="n">
        <v>488.53</v>
      </c>
      <c r="B299" s="24" t="n">
        <v>288125.72253006</v>
      </c>
      <c r="C299" s="24" t="n">
        <v>291406.67546215</v>
      </c>
      <c r="D299" s="24" t="n">
        <v>1329667.5174679</v>
      </c>
    </row>
    <row r="300" customFormat="false" ht="16.5" hidden="false" customHeight="false" outlineLevel="0" collapsed="false">
      <c r="A300" s="19" t="n">
        <v>488.52</v>
      </c>
      <c r="B300" s="24" t="n">
        <v>288051.94501233</v>
      </c>
      <c r="C300" s="24" t="n">
        <v>291323.37500759</v>
      </c>
      <c r="D300" s="24" t="n">
        <v>1326786.6239292</v>
      </c>
    </row>
    <row r="301" customFormat="false" ht="16.5" hidden="false" customHeight="false" outlineLevel="0" collapsed="false">
      <c r="A301" s="19" t="n">
        <v>488.51</v>
      </c>
      <c r="B301" s="24" t="n">
        <v>287978.23913129</v>
      </c>
      <c r="C301" s="24" t="n">
        <v>291240.14676709</v>
      </c>
      <c r="D301" s="24" t="n">
        <v>1323906.4862627</v>
      </c>
    </row>
    <row r="302" customFormat="false" ht="16.5" hidden="false" customHeight="false" outlineLevel="0" collapsed="false">
      <c r="A302" s="19" t="n">
        <v>488.5</v>
      </c>
      <c r="B302" s="24" t="n">
        <v>287904.55626254</v>
      </c>
      <c r="C302" s="24" t="n">
        <v>291156.94197941</v>
      </c>
      <c r="D302" s="24" t="n">
        <v>1321027.0312113</v>
      </c>
    </row>
    <row r="303" customFormat="false" ht="16.5" hidden="false" customHeight="false" outlineLevel="0" collapsed="false">
      <c r="A303" s="19" t="n">
        <v>488.49</v>
      </c>
      <c r="B303" s="24" t="n">
        <v>287830.86405807</v>
      </c>
      <c r="C303" s="24" t="n">
        <v>291073.73037372</v>
      </c>
      <c r="D303" s="24" t="n">
        <v>1318148.3398661</v>
      </c>
    </row>
    <row r="304" customFormat="false" ht="16.5" hidden="false" customHeight="false" outlineLevel="0" collapsed="false">
      <c r="A304" s="19" t="n">
        <v>488.48</v>
      </c>
      <c r="B304" s="24" t="n">
        <v>287757.17404858</v>
      </c>
      <c r="C304" s="24" t="n">
        <v>290990.52432439</v>
      </c>
      <c r="D304" s="24" t="n">
        <v>1315270.4238605</v>
      </c>
    </row>
    <row r="305" customFormat="false" ht="16.5" hidden="false" customHeight="false" outlineLevel="0" collapsed="false">
      <c r="A305" s="19" t="n">
        <v>488.47</v>
      </c>
      <c r="B305" s="24" t="n">
        <v>287683.45844587</v>
      </c>
      <c r="C305" s="24" t="n">
        <v>290907.29703535</v>
      </c>
      <c r="D305" s="24" t="n">
        <v>1312393.2419617</v>
      </c>
    </row>
    <row r="306" customFormat="false" ht="16.5" hidden="false" customHeight="false" outlineLevel="0" collapsed="false">
      <c r="A306" s="19" t="n">
        <v>488.46</v>
      </c>
      <c r="B306" s="24" t="n">
        <v>287609.71068691</v>
      </c>
      <c r="C306" s="24" t="n">
        <v>290824.04106405</v>
      </c>
      <c r="D306" s="24" t="n">
        <v>1309516.8094643</v>
      </c>
    </row>
    <row r="307" customFormat="false" ht="16.5" hidden="false" customHeight="false" outlineLevel="0" collapsed="false">
      <c r="A307" s="19" t="n">
        <v>488.45</v>
      </c>
      <c r="B307" s="24" t="n">
        <v>287535.99554178</v>
      </c>
      <c r="C307" s="24" t="n">
        <v>290740.82091079</v>
      </c>
      <c r="D307" s="24" t="n">
        <v>1306641.1109468</v>
      </c>
    </row>
    <row r="308" customFormat="false" ht="16.5" hidden="false" customHeight="false" outlineLevel="0" collapsed="false">
      <c r="A308" s="19" t="n">
        <v>488.44</v>
      </c>
      <c r="B308" s="24" t="n">
        <v>287462.26540638</v>
      </c>
      <c r="C308" s="24" t="n">
        <v>290657.58827376</v>
      </c>
      <c r="D308" s="24" t="n">
        <v>1303766.0916421</v>
      </c>
    </row>
    <row r="309" customFormat="false" ht="16.5" hidden="false" customHeight="false" outlineLevel="0" collapsed="false">
      <c r="A309" s="19" t="n">
        <v>488.43</v>
      </c>
      <c r="B309" s="24" t="n">
        <v>287388.57911333</v>
      </c>
      <c r="C309" s="24" t="n">
        <v>290574.40169438</v>
      </c>
      <c r="D309" s="24" t="n">
        <v>1300891.8656057</v>
      </c>
    </row>
    <row r="310" customFormat="false" ht="16.5" hidden="false" customHeight="false" outlineLevel="0" collapsed="false">
      <c r="A310" s="19" t="n">
        <v>488.42</v>
      </c>
      <c r="B310" s="24" t="n">
        <v>287314.93462473</v>
      </c>
      <c r="C310" s="24" t="n">
        <v>290491.25947153</v>
      </c>
      <c r="D310" s="24" t="n">
        <v>1298018.3973408</v>
      </c>
    </row>
    <row r="311" customFormat="false" ht="16.5" hidden="false" customHeight="false" outlineLevel="0" collapsed="false">
      <c r="A311" s="19" t="n">
        <v>488.41</v>
      </c>
      <c r="B311" s="24" t="n">
        <v>287241.32668644</v>
      </c>
      <c r="C311" s="24" t="n">
        <v>290408.15518938</v>
      </c>
      <c r="D311" s="24" t="n">
        <v>1295145.6276492</v>
      </c>
    </row>
    <row r="312" customFormat="false" ht="16.5" hidden="false" customHeight="false" outlineLevel="0" collapsed="false">
      <c r="A312" s="19" t="n">
        <v>488.4</v>
      </c>
      <c r="B312" s="24" t="n">
        <v>287167.67560694</v>
      </c>
      <c r="C312" s="24" t="n">
        <v>290325.01257544</v>
      </c>
      <c r="D312" s="24" t="n">
        <v>1292273.5687561</v>
      </c>
    </row>
    <row r="313" customFormat="false" ht="16.5" hidden="false" customHeight="false" outlineLevel="0" collapsed="false">
      <c r="A313" s="19" t="n">
        <v>488.39</v>
      </c>
      <c r="B313" s="24" t="n">
        <v>287093.57679142</v>
      </c>
      <c r="C313" s="24" t="n">
        <v>290241.4272993</v>
      </c>
      <c r="D313" s="24" t="n">
        <v>1289402.2576916</v>
      </c>
    </row>
    <row r="314" customFormat="false" ht="16.5" hidden="false" customHeight="false" outlineLevel="0" collapsed="false">
      <c r="A314" s="19" t="n">
        <v>488.38</v>
      </c>
      <c r="B314" s="24" t="n">
        <v>287020.05793831</v>
      </c>
      <c r="C314" s="24" t="n">
        <v>290158.42210045</v>
      </c>
      <c r="D314" s="24" t="n">
        <v>1286531.7077255</v>
      </c>
    </row>
    <row r="315" customFormat="false" ht="16.5" hidden="false" customHeight="false" outlineLevel="0" collapsed="false">
      <c r="A315" s="19" t="n">
        <v>488.37</v>
      </c>
      <c r="B315" s="24" t="n">
        <v>286946.62747896</v>
      </c>
      <c r="C315" s="24" t="n">
        <v>290075.50726003</v>
      </c>
      <c r="D315" s="24" t="n">
        <v>1283661.8768058</v>
      </c>
    </row>
    <row r="316" customFormat="false" ht="16.5" hidden="false" customHeight="false" outlineLevel="0" collapsed="false">
      <c r="A316" s="19" t="n">
        <v>488.36</v>
      </c>
      <c r="B316" s="24" t="n">
        <v>286873.17889566</v>
      </c>
      <c r="C316" s="24" t="n">
        <v>289992.57567002</v>
      </c>
      <c r="D316" s="24" t="n">
        <v>1280792.7929994</v>
      </c>
    </row>
    <row r="317" customFormat="false" ht="16.5" hidden="false" customHeight="false" outlineLevel="0" collapsed="false">
      <c r="A317" s="19" t="n">
        <v>488.35</v>
      </c>
      <c r="B317" s="24" t="n">
        <v>286799.69033226</v>
      </c>
      <c r="C317" s="24" t="n">
        <v>289909.6075058</v>
      </c>
      <c r="D317" s="24" t="n">
        <v>1277924.4814027</v>
      </c>
    </row>
    <row r="318" customFormat="false" ht="16.5" hidden="false" customHeight="false" outlineLevel="0" collapsed="false">
      <c r="A318" s="19" t="n">
        <v>488.34</v>
      </c>
      <c r="B318" s="24" t="n">
        <v>286726.19515602</v>
      </c>
      <c r="C318" s="24" t="n">
        <v>289826.63648642</v>
      </c>
      <c r="D318" s="24" t="n">
        <v>1275056.8270583</v>
      </c>
    </row>
    <row r="319" customFormat="false" ht="16.5" hidden="false" customHeight="false" outlineLevel="0" collapsed="false">
      <c r="A319" s="19" t="n">
        <v>488.33</v>
      </c>
      <c r="B319" s="24" t="n">
        <v>286652.69483422</v>
      </c>
      <c r="C319" s="24" t="n">
        <v>289743.66279599</v>
      </c>
      <c r="D319" s="24" t="n">
        <v>1272189.9929578</v>
      </c>
    </row>
    <row r="320" customFormat="false" ht="16.5" hidden="false" customHeight="false" outlineLevel="0" collapsed="false">
      <c r="A320" s="19" t="n">
        <v>488.32</v>
      </c>
      <c r="B320" s="24" t="n">
        <v>286579.22636461</v>
      </c>
      <c r="C320" s="24" t="n">
        <v>289660.72547484</v>
      </c>
      <c r="D320" s="24" t="n">
        <v>1269323.8844381</v>
      </c>
    </row>
    <row r="321" customFormat="false" ht="16.5" hidden="false" customHeight="false" outlineLevel="0" collapsed="false">
      <c r="A321" s="19" t="n">
        <v>488.31</v>
      </c>
      <c r="B321" s="24" t="n">
        <v>286505.73053674</v>
      </c>
      <c r="C321" s="24" t="n">
        <v>289577.76493122</v>
      </c>
      <c r="D321" s="24" t="n">
        <v>1266458.5017737</v>
      </c>
    </row>
    <row r="322" customFormat="false" ht="16.5" hidden="false" customHeight="false" outlineLevel="0" collapsed="false">
      <c r="A322" s="19" t="n">
        <v>488.3</v>
      </c>
      <c r="B322" s="24" t="n">
        <v>286432.19649885</v>
      </c>
      <c r="C322" s="24" t="n">
        <v>289494.77191116</v>
      </c>
      <c r="D322" s="24" t="n">
        <v>1263593.7947909</v>
      </c>
    </row>
    <row r="323" customFormat="false" ht="16.5" hidden="false" customHeight="false" outlineLevel="0" collapsed="false">
      <c r="A323" s="19" t="n">
        <v>488.29</v>
      </c>
      <c r="B323" s="24" t="n">
        <v>286358.65906682</v>
      </c>
      <c r="C323" s="24" t="n">
        <v>289411.78163484</v>
      </c>
      <c r="D323" s="24" t="n">
        <v>1260729.833477</v>
      </c>
    </row>
    <row r="324" customFormat="false" ht="16.5" hidden="false" customHeight="false" outlineLevel="0" collapsed="false">
      <c r="A324" s="19" t="n">
        <v>488.28</v>
      </c>
      <c r="B324" s="24" t="n">
        <v>286285.1094309</v>
      </c>
      <c r="C324" s="24" t="n">
        <v>289328.78613683</v>
      </c>
      <c r="D324" s="24" t="n">
        <v>1257866.6622631</v>
      </c>
    </row>
    <row r="325" customFormat="false" ht="16.5" hidden="false" customHeight="false" outlineLevel="0" collapsed="false">
      <c r="A325" s="19" t="n">
        <v>488.27</v>
      </c>
      <c r="B325" s="24" t="n">
        <v>286211.53946767</v>
      </c>
      <c r="C325" s="24" t="n">
        <v>289245.77710395</v>
      </c>
      <c r="D325" s="24" t="n">
        <v>1255004.1894374</v>
      </c>
    </row>
    <row r="326" customFormat="false" ht="16.5" hidden="false" customHeight="false" outlineLevel="0" collapsed="false">
      <c r="A326" s="19" t="n">
        <v>488.26</v>
      </c>
      <c r="B326" s="24" t="n">
        <v>286137.91690329</v>
      </c>
      <c r="C326" s="24" t="n">
        <v>289162.72229317</v>
      </c>
      <c r="D326" s="24" t="n">
        <v>1252142.4398667</v>
      </c>
    </row>
    <row r="327" customFormat="false" ht="16.5" hidden="false" customHeight="false" outlineLevel="0" collapsed="false">
      <c r="A327" s="19" t="n">
        <v>488.25</v>
      </c>
      <c r="B327" s="24" t="n">
        <v>286064.28357239</v>
      </c>
      <c r="C327" s="24" t="n">
        <v>289079.66396761</v>
      </c>
      <c r="D327" s="24" t="n">
        <v>1249281.4928021</v>
      </c>
    </row>
    <row r="328" customFormat="false" ht="16.5" hidden="false" customHeight="false" outlineLevel="0" collapsed="false">
      <c r="A328" s="19" t="n">
        <v>488.24</v>
      </c>
      <c r="B328" s="24" t="n">
        <v>285990.62279612</v>
      </c>
      <c r="C328" s="24" t="n">
        <v>288996.58771302</v>
      </c>
      <c r="D328" s="24" t="n">
        <v>1246421.226797</v>
      </c>
    </row>
    <row r="329" customFormat="false" ht="16.5" hidden="false" customHeight="false" outlineLevel="0" collapsed="false">
      <c r="A329" s="19" t="n">
        <v>488.23</v>
      </c>
      <c r="B329" s="24" t="n">
        <v>285916.94988704</v>
      </c>
      <c r="C329" s="24" t="n">
        <v>288913.50861772</v>
      </c>
      <c r="D329" s="24" t="n">
        <v>1243561.7561633</v>
      </c>
    </row>
    <row r="330" customFormat="false" ht="16.5" hidden="false" customHeight="false" outlineLevel="0" collapsed="false">
      <c r="A330" s="19" t="n">
        <v>488.22</v>
      </c>
      <c r="B330" s="24" t="n">
        <v>285843.24276402</v>
      </c>
      <c r="C330" s="24" t="n">
        <v>288830.40424598</v>
      </c>
      <c r="D330" s="24" t="n">
        <v>1240702.9354506</v>
      </c>
    </row>
    <row r="331" customFormat="false" ht="16.5" hidden="false" customHeight="false" outlineLevel="0" collapsed="false">
      <c r="A331" s="19" t="n">
        <v>488.21</v>
      </c>
      <c r="B331" s="24" t="n">
        <v>285769.39851771</v>
      </c>
      <c r="C331" s="24" t="n">
        <v>288747.1712783</v>
      </c>
      <c r="D331" s="24" t="n">
        <v>1237844.9247256</v>
      </c>
    </row>
    <row r="332" customFormat="false" ht="16.5" hidden="false" customHeight="false" outlineLevel="0" collapsed="false">
      <c r="A332" s="19" t="n">
        <v>488.2</v>
      </c>
      <c r="B332" s="24" t="n">
        <v>285695.12168084</v>
      </c>
      <c r="C332" s="24" t="n">
        <v>288663.51800535</v>
      </c>
      <c r="D332" s="24" t="n">
        <v>1234987.6051076</v>
      </c>
    </row>
    <row r="333" customFormat="false" ht="16.5" hidden="false" customHeight="false" outlineLevel="0" collapsed="false">
      <c r="A333" s="19" t="n">
        <v>488.19</v>
      </c>
      <c r="B333" s="24" t="n">
        <v>285620.51532038</v>
      </c>
      <c r="C333" s="24" t="n">
        <v>288579.54533171</v>
      </c>
      <c r="D333" s="24" t="n">
        <v>1232130.9755797</v>
      </c>
    </row>
    <row r="334" customFormat="false" ht="16.5" hidden="false" customHeight="false" outlineLevel="0" collapsed="false">
      <c r="A334" s="19" t="n">
        <v>488.18</v>
      </c>
      <c r="B334" s="24" t="n">
        <v>285545.98593813</v>
      </c>
      <c r="C334" s="24" t="n">
        <v>288495.66350186</v>
      </c>
      <c r="D334" s="24" t="n">
        <v>1229275.2022776</v>
      </c>
    </row>
    <row r="335" customFormat="false" ht="16.5" hidden="false" customHeight="false" outlineLevel="0" collapsed="false">
      <c r="A335" s="19" t="n">
        <v>488.17</v>
      </c>
      <c r="B335" s="24" t="n">
        <v>285471.22160125</v>
      </c>
      <c r="C335" s="24" t="n">
        <v>288411.56294051</v>
      </c>
      <c r="D335" s="24" t="n">
        <v>1226420.1259185</v>
      </c>
    </row>
    <row r="336" customFormat="false" ht="16.5" hidden="false" customHeight="false" outlineLevel="0" collapsed="false">
      <c r="A336" s="19" t="n">
        <v>488.16</v>
      </c>
      <c r="B336" s="24" t="n">
        <v>285396.33741179</v>
      </c>
      <c r="C336" s="24" t="n">
        <v>288327.35609073</v>
      </c>
      <c r="D336" s="24" t="n">
        <v>1223565.809459</v>
      </c>
    </row>
    <row r="337" customFormat="false" ht="16.5" hidden="false" customHeight="false" outlineLevel="0" collapsed="false">
      <c r="A337" s="19" t="n">
        <v>488.15</v>
      </c>
      <c r="B337" s="24" t="n">
        <v>285321.30360705</v>
      </c>
      <c r="C337" s="24" t="n">
        <v>288243.01438738</v>
      </c>
      <c r="D337" s="24" t="n">
        <v>1220712.2717141</v>
      </c>
    </row>
    <row r="338" customFormat="false" ht="16.5" hidden="false" customHeight="false" outlineLevel="0" collapsed="false">
      <c r="A338" s="19" t="n">
        <v>488.14</v>
      </c>
      <c r="B338" s="24" t="n">
        <v>285246.06360086</v>
      </c>
      <c r="C338" s="24" t="n">
        <v>288158.48385585</v>
      </c>
      <c r="D338" s="24" t="n">
        <v>1217859.4908138</v>
      </c>
    </row>
    <row r="339" customFormat="false" ht="16.5" hidden="false" customHeight="false" outlineLevel="0" collapsed="false">
      <c r="A339" s="19" t="n">
        <v>488.13</v>
      </c>
      <c r="B339" s="24" t="n">
        <v>285170.67810988</v>
      </c>
      <c r="C339" s="24" t="n">
        <v>288073.82574866</v>
      </c>
      <c r="D339" s="24" t="n">
        <v>1215007.4152286</v>
      </c>
    </row>
    <row r="340" customFormat="false" ht="16.5" hidden="false" customHeight="false" outlineLevel="0" collapsed="false">
      <c r="A340" s="19" t="n">
        <v>488.12</v>
      </c>
      <c r="B340" s="24" t="n">
        <v>285095.12718348</v>
      </c>
      <c r="C340" s="24" t="n">
        <v>287989.01919786</v>
      </c>
      <c r="D340" s="24" t="n">
        <v>1212156.1084136</v>
      </c>
    </row>
    <row r="341" customFormat="false" ht="16.5" hidden="false" customHeight="false" outlineLevel="0" collapsed="false">
      <c r="A341" s="19" t="n">
        <v>488.11</v>
      </c>
      <c r="B341" s="24" t="n">
        <v>285019.42912216</v>
      </c>
      <c r="C341" s="24" t="n">
        <v>287904.08000786</v>
      </c>
      <c r="D341" s="24" t="n">
        <v>1209305.6026244</v>
      </c>
    </row>
    <row r="342" customFormat="false" ht="16.5" hidden="false" customHeight="false" outlineLevel="0" collapsed="false">
      <c r="A342" s="19" t="n">
        <v>488.1</v>
      </c>
      <c r="B342" s="24" t="n">
        <v>284943.58593495</v>
      </c>
      <c r="C342" s="24" t="n">
        <v>287819.00951529</v>
      </c>
      <c r="D342" s="24" t="n">
        <v>1206455.7766032</v>
      </c>
    </row>
    <row r="343" customFormat="false" ht="16.5" hidden="false" customHeight="false" outlineLevel="0" collapsed="false">
      <c r="A343" s="19" t="n">
        <v>488.09</v>
      </c>
      <c r="B343" s="24" t="n">
        <v>284867.56256566</v>
      </c>
      <c r="C343" s="24" t="n">
        <v>287733.77355441</v>
      </c>
      <c r="D343" s="24" t="n">
        <v>1203606.7585447</v>
      </c>
    </row>
    <row r="344" customFormat="false" ht="16.5" hidden="false" customHeight="false" outlineLevel="0" collapsed="false">
      <c r="A344" s="19" t="n">
        <v>488.08</v>
      </c>
      <c r="B344" s="24" t="n">
        <v>284791.35073667</v>
      </c>
      <c r="C344" s="24" t="n">
        <v>287648.36624427</v>
      </c>
      <c r="D344" s="24" t="n">
        <v>1200758.448846</v>
      </c>
    </row>
    <row r="345" customFormat="false" ht="16.5" hidden="false" customHeight="false" outlineLevel="0" collapsed="false">
      <c r="A345" s="19" t="n">
        <v>488.07</v>
      </c>
      <c r="B345" s="24" t="n">
        <v>284714.95540405</v>
      </c>
      <c r="C345" s="24" t="n">
        <v>287562.7946923</v>
      </c>
      <c r="D345" s="24" t="n">
        <v>1197910.977641</v>
      </c>
    </row>
    <row r="346" customFormat="false" ht="16.5" hidden="false" customHeight="false" outlineLevel="0" collapsed="false">
      <c r="A346" s="19" t="n">
        <v>488.06</v>
      </c>
      <c r="B346" s="24" t="n">
        <v>284638.35864122</v>
      </c>
      <c r="C346" s="24" t="n">
        <v>287477.04308529</v>
      </c>
      <c r="D346" s="24" t="n">
        <v>1195064.2566671</v>
      </c>
    </row>
    <row r="347" customFormat="false" ht="16.5" hidden="false" customHeight="false" outlineLevel="0" collapsed="false">
      <c r="A347" s="19" t="n">
        <v>488.05</v>
      </c>
      <c r="B347" s="24" t="n">
        <v>284561.50293567</v>
      </c>
      <c r="C347" s="24" t="n">
        <v>287391.05603629</v>
      </c>
      <c r="D347" s="24" t="n">
        <v>1192218.2930665</v>
      </c>
    </row>
    <row r="348" customFormat="false" ht="16.5" hidden="false" customHeight="false" outlineLevel="0" collapsed="false">
      <c r="A348" s="19" t="n">
        <v>488.04</v>
      </c>
      <c r="B348" s="24" t="n">
        <v>284484.40423231</v>
      </c>
      <c r="C348" s="24" t="n">
        <v>287304.85041383</v>
      </c>
      <c r="D348" s="24" t="n">
        <v>1189373.1169257</v>
      </c>
    </row>
    <row r="349" customFormat="false" ht="16.5" hidden="false" customHeight="false" outlineLevel="0" collapsed="false">
      <c r="A349" s="19" t="n">
        <v>488.03</v>
      </c>
      <c r="B349" s="24" t="n">
        <v>284406.99369314</v>
      </c>
      <c r="C349" s="24" t="n">
        <v>287218.35812498</v>
      </c>
      <c r="D349" s="24" t="n">
        <v>1186528.7602687</v>
      </c>
    </row>
    <row r="350" customFormat="false" ht="16.5" hidden="false" customHeight="false" outlineLevel="0" collapsed="false">
      <c r="A350" s="19" t="n">
        <v>488.02</v>
      </c>
      <c r="B350" s="24" t="n">
        <v>284329.14208787</v>
      </c>
      <c r="C350" s="24" t="n">
        <v>287131.45482282</v>
      </c>
      <c r="D350" s="24" t="n">
        <v>1183685.1329061</v>
      </c>
    </row>
    <row r="351" customFormat="false" ht="16.5" hidden="false" customHeight="false" outlineLevel="0" collapsed="false">
      <c r="A351" s="19" t="n">
        <v>488.01</v>
      </c>
      <c r="B351" s="24" t="n">
        <v>284250.5151762</v>
      </c>
      <c r="C351" s="24" t="n">
        <v>287043.80869276</v>
      </c>
      <c r="D351" s="24" t="n">
        <v>1180842.294822</v>
      </c>
    </row>
    <row r="352" customFormat="false" ht="16.5" hidden="false" customHeight="false" outlineLevel="0" collapsed="false">
      <c r="A352" s="19" t="n">
        <v>488</v>
      </c>
      <c r="B352" s="24" t="n">
        <v>284166.87304391</v>
      </c>
      <c r="C352" s="24" t="n">
        <v>286951.18692974</v>
      </c>
      <c r="D352" s="24" t="n">
        <v>1178000.212678</v>
      </c>
    </row>
    <row r="353" customFormat="false" ht="16.5" hidden="false" customHeight="false" outlineLevel="0" collapsed="false">
      <c r="A353" s="19" t="n">
        <v>487.99</v>
      </c>
      <c r="B353" s="24" t="n">
        <v>284054.6801257</v>
      </c>
      <c r="C353" s="24" t="n">
        <v>286830.05853858</v>
      </c>
      <c r="D353" s="24" t="n">
        <v>1175159.2721641</v>
      </c>
    </row>
    <row r="354" customFormat="false" ht="16.5" hidden="false" customHeight="false" outlineLevel="0" collapsed="false">
      <c r="A354" s="19" t="n">
        <v>487.98</v>
      </c>
      <c r="B354" s="24" t="n">
        <v>283974.51429757</v>
      </c>
      <c r="C354" s="24" t="n">
        <v>286740.98239176</v>
      </c>
      <c r="D354" s="24" t="n">
        <v>1172319.1797687</v>
      </c>
    </row>
    <row r="355" customFormat="false" ht="16.5" hidden="false" customHeight="false" outlineLevel="0" collapsed="false">
      <c r="A355" s="19" t="n">
        <v>487.97</v>
      </c>
      <c r="B355" s="24" t="n">
        <v>283894.57149218</v>
      </c>
      <c r="C355" s="24" t="n">
        <v>286652.16235752</v>
      </c>
      <c r="D355" s="24" t="n">
        <v>1169479.8090295</v>
      </c>
    </row>
    <row r="356" customFormat="false" ht="16.5" hidden="false" customHeight="false" outlineLevel="0" collapsed="false">
      <c r="A356" s="19" t="n">
        <v>487.96</v>
      </c>
      <c r="B356" s="24" t="n">
        <v>283814.62714279</v>
      </c>
      <c r="C356" s="24" t="n">
        <v>286563.37124892</v>
      </c>
      <c r="D356" s="24" t="n">
        <v>1166641.2531517</v>
      </c>
    </row>
    <row r="357" customFormat="false" ht="16.5" hidden="false" customHeight="false" outlineLevel="0" collapsed="false">
      <c r="A357" s="19" t="n">
        <v>487.95</v>
      </c>
      <c r="B357" s="24" t="n">
        <v>283734.64744923</v>
      </c>
      <c r="C357" s="24" t="n">
        <v>286474.57390758</v>
      </c>
      <c r="D357" s="24" t="n">
        <v>1163803.4734428</v>
      </c>
    </row>
    <row r="358" customFormat="false" ht="16.5" hidden="false" customHeight="false" outlineLevel="0" collapsed="false">
      <c r="A358" s="19" t="n">
        <v>487.94</v>
      </c>
      <c r="B358" s="24" t="n">
        <v>283654.60187454</v>
      </c>
      <c r="C358" s="24" t="n">
        <v>286385.7395733</v>
      </c>
      <c r="D358" s="24" t="n">
        <v>1160966.5046479</v>
      </c>
    </row>
    <row r="359" customFormat="false" ht="16.5" hidden="false" customHeight="false" outlineLevel="0" collapsed="false">
      <c r="A359" s="19" t="n">
        <v>487.93</v>
      </c>
      <c r="B359" s="24" t="n">
        <v>283574.52701317</v>
      </c>
      <c r="C359" s="24" t="n">
        <v>286296.90387505</v>
      </c>
      <c r="D359" s="24" t="n">
        <v>1158130.4347303</v>
      </c>
    </row>
    <row r="360" customFormat="false" ht="16.5" hidden="false" customHeight="false" outlineLevel="0" collapsed="false">
      <c r="A360" s="19" t="n">
        <v>487.92</v>
      </c>
      <c r="B360" s="24" t="n">
        <v>283494.43609173</v>
      </c>
      <c r="C360" s="24" t="n">
        <v>286208.07821266</v>
      </c>
      <c r="D360" s="24" t="n">
        <v>1155295.1114674</v>
      </c>
    </row>
    <row r="361" customFormat="false" ht="16.5" hidden="false" customHeight="false" outlineLevel="0" collapsed="false">
      <c r="A361" s="19" t="n">
        <v>487.91</v>
      </c>
      <c r="B361" s="24" t="n">
        <v>283414.34544936</v>
      </c>
      <c r="C361" s="24" t="n">
        <v>286119.27834205</v>
      </c>
      <c r="D361" s="24" t="n">
        <v>1152460.5816635</v>
      </c>
    </row>
    <row r="362" customFormat="false" ht="16.5" hidden="false" customHeight="false" outlineLevel="0" collapsed="false">
      <c r="A362" s="19" t="n">
        <v>487.9</v>
      </c>
      <c r="B362" s="24" t="n">
        <v>283334.18304031</v>
      </c>
      <c r="C362" s="24" t="n">
        <v>286030.4326806</v>
      </c>
      <c r="D362" s="24" t="n">
        <v>1149626.9079952</v>
      </c>
    </row>
    <row r="363" customFormat="false" ht="16.5" hidden="false" customHeight="false" outlineLevel="0" collapsed="false">
      <c r="A363" s="19" t="n">
        <v>487.89</v>
      </c>
      <c r="B363" s="24" t="n">
        <v>283254.03528895</v>
      </c>
      <c r="C363" s="24" t="n">
        <v>285941.6296435</v>
      </c>
      <c r="D363" s="24" t="n">
        <v>1146794.0362834</v>
      </c>
    </row>
    <row r="364" customFormat="false" ht="16.5" hidden="false" customHeight="false" outlineLevel="0" collapsed="false">
      <c r="A364" s="19" t="n">
        <v>487.88</v>
      </c>
      <c r="B364" s="24" t="n">
        <v>283173.84580159</v>
      </c>
      <c r="C364" s="24" t="n">
        <v>285852.81177875</v>
      </c>
      <c r="D364" s="24" t="n">
        <v>1143961.9491159</v>
      </c>
    </row>
    <row r="365" customFormat="false" ht="16.5" hidden="false" customHeight="false" outlineLevel="0" collapsed="false">
      <c r="A365" s="19" t="n">
        <v>487.87</v>
      </c>
      <c r="B365" s="24" t="n">
        <v>283093.57159223</v>
      </c>
      <c r="C365" s="24" t="n">
        <v>285763.93768443</v>
      </c>
      <c r="D365" s="24" t="n">
        <v>1141130.632229</v>
      </c>
    </row>
    <row r="366" customFormat="false" ht="16.5" hidden="false" customHeight="false" outlineLevel="0" collapsed="false">
      <c r="A366" s="19" t="n">
        <v>487.86</v>
      </c>
      <c r="B366" s="24" t="n">
        <v>283013.20280718</v>
      </c>
      <c r="C366" s="24" t="n">
        <v>285675.00202014</v>
      </c>
      <c r="D366" s="24" t="n">
        <v>1138300.1160036</v>
      </c>
    </row>
    <row r="367" customFormat="false" ht="16.5" hidden="false" customHeight="false" outlineLevel="0" collapsed="false">
      <c r="A367" s="19" t="n">
        <v>487.85</v>
      </c>
      <c r="B367" s="24" t="n">
        <v>282932.67745359</v>
      </c>
      <c r="C367" s="24" t="n">
        <v>285585.94572978</v>
      </c>
      <c r="D367" s="24" t="n">
        <v>1135470.3793105</v>
      </c>
    </row>
    <row r="368" customFormat="false" ht="16.5" hidden="false" customHeight="false" outlineLevel="0" collapsed="false">
      <c r="A368" s="19" t="n">
        <v>487.84</v>
      </c>
      <c r="B368" s="24" t="n">
        <v>282851.9946494</v>
      </c>
      <c r="C368" s="24" t="n">
        <v>285496.77303171</v>
      </c>
      <c r="D368" s="24" t="n">
        <v>1132641.507246</v>
      </c>
    </row>
    <row r="369" customFormat="false" ht="16.5" hidden="false" customHeight="false" outlineLevel="0" collapsed="false">
      <c r="A369" s="19" t="n">
        <v>487.83</v>
      </c>
      <c r="B369" s="24" t="n">
        <v>282771.03951032</v>
      </c>
      <c r="C369" s="24" t="n">
        <v>285407.37234368</v>
      </c>
      <c r="D369" s="24" t="n">
        <v>1129813.4074404</v>
      </c>
    </row>
    <row r="370" customFormat="false" ht="16.5" hidden="false" customHeight="false" outlineLevel="0" collapsed="false">
      <c r="A370" s="19" t="n">
        <v>487.82</v>
      </c>
      <c r="B370" s="24" t="n">
        <v>282689.62293737</v>
      </c>
      <c r="C370" s="24" t="n">
        <v>285317.55971012</v>
      </c>
      <c r="D370" s="24" t="n">
        <v>1126986.1940125</v>
      </c>
    </row>
    <row r="371" customFormat="false" ht="16.5" hidden="false" customHeight="false" outlineLevel="0" collapsed="false">
      <c r="A371" s="19" t="n">
        <v>487.81</v>
      </c>
      <c r="B371" s="24" t="n">
        <v>282607.34170934</v>
      </c>
      <c r="C371" s="24" t="n">
        <v>285226.93882584</v>
      </c>
      <c r="D371" s="24" t="n">
        <v>1124159.8143988</v>
      </c>
    </row>
    <row r="372" customFormat="false" ht="16.5" hidden="false" customHeight="false" outlineLevel="0" collapsed="false">
      <c r="A372" s="19" t="n">
        <v>487.8</v>
      </c>
      <c r="B372" s="24" t="n">
        <v>282520.31457022</v>
      </c>
      <c r="C372" s="24" t="n">
        <v>285131.64163168</v>
      </c>
      <c r="D372" s="24" t="n">
        <v>1121334.1993837</v>
      </c>
    </row>
    <row r="373" customFormat="false" ht="16.5" hidden="false" customHeight="false" outlineLevel="0" collapsed="false">
      <c r="A373" s="19" t="n">
        <v>487.79</v>
      </c>
      <c r="B373" s="24" t="n">
        <v>282400.30131194</v>
      </c>
      <c r="C373" s="24" t="n">
        <v>285003.43891889</v>
      </c>
      <c r="D373" s="24" t="n">
        <v>1118509.8169671</v>
      </c>
    </row>
    <row r="374" customFormat="false" ht="16.5" hidden="false" customHeight="false" outlineLevel="0" collapsed="false">
      <c r="A374" s="19" t="n">
        <v>487.78</v>
      </c>
      <c r="B374" s="24" t="n">
        <v>282312.43422357</v>
      </c>
      <c r="C374" s="24" t="n">
        <v>284907.45021947</v>
      </c>
      <c r="D374" s="24" t="n">
        <v>1115686.2229258</v>
      </c>
    </row>
    <row r="375" customFormat="false" ht="16.5" hidden="false" customHeight="false" outlineLevel="0" collapsed="false">
      <c r="A375" s="19" t="n">
        <v>487.77</v>
      </c>
      <c r="B375" s="24" t="n">
        <v>282223.37139681</v>
      </c>
      <c r="C375" s="24" t="n">
        <v>284810.32650611</v>
      </c>
      <c r="D375" s="24" t="n">
        <v>1112863.5476471</v>
      </c>
    </row>
    <row r="376" customFormat="false" ht="16.5" hidden="false" customHeight="false" outlineLevel="0" collapsed="false">
      <c r="A376" s="19" t="n">
        <v>487.76</v>
      </c>
      <c r="B376" s="24" t="n">
        <v>282133.34050084</v>
      </c>
      <c r="C376" s="24" t="n">
        <v>284712.28664556</v>
      </c>
      <c r="D376" s="24" t="n">
        <v>1110041.7677576</v>
      </c>
    </row>
    <row r="377" customFormat="false" ht="16.5" hidden="false" customHeight="false" outlineLevel="0" collapsed="false">
      <c r="A377" s="19" t="n">
        <v>487.75</v>
      </c>
      <c r="B377" s="24" t="n">
        <v>282042.57772351</v>
      </c>
      <c r="C377" s="24" t="n">
        <v>284613.55947058</v>
      </c>
      <c r="D377" s="24" t="n">
        <v>1107220.9348009</v>
      </c>
    </row>
    <row r="378" customFormat="false" ht="16.5" hidden="false" customHeight="false" outlineLevel="0" collapsed="false">
      <c r="A378" s="19" t="n">
        <v>487.74</v>
      </c>
      <c r="B378" s="24" t="n">
        <v>281951.14972117</v>
      </c>
      <c r="C378" s="24" t="n">
        <v>284514.20017213</v>
      </c>
      <c r="D378" s="24" t="n">
        <v>1104401.0212795</v>
      </c>
    </row>
    <row r="379" customFormat="false" ht="16.5" hidden="false" customHeight="false" outlineLevel="0" collapsed="false">
      <c r="A379" s="19" t="n">
        <v>487.73</v>
      </c>
      <c r="B379" s="24" t="n">
        <v>281859.10135078</v>
      </c>
      <c r="C379" s="24" t="n">
        <v>284414.24946907</v>
      </c>
      <c r="D379" s="24" t="n">
        <v>1101582.0139151</v>
      </c>
    </row>
    <row r="380" customFormat="false" ht="16.5" hidden="false" customHeight="false" outlineLevel="0" collapsed="false">
      <c r="A380" s="19" t="n">
        <v>487.72</v>
      </c>
      <c r="B380" s="24" t="n">
        <v>281766.55144019</v>
      </c>
      <c r="C380" s="24" t="n">
        <v>284313.82179235</v>
      </c>
      <c r="D380" s="24" t="n">
        <v>1098763.9447391</v>
      </c>
    </row>
    <row r="381" customFormat="false" ht="16.5" hidden="false" customHeight="false" outlineLevel="0" collapsed="false">
      <c r="A381" s="19" t="n">
        <v>487.71</v>
      </c>
      <c r="B381" s="24" t="n">
        <v>281673.45327373</v>
      </c>
      <c r="C381" s="24" t="n">
        <v>284212.86945285</v>
      </c>
      <c r="D381" s="24" t="n">
        <v>1095946.7679538</v>
      </c>
    </row>
    <row r="382" customFormat="false" ht="16.5" hidden="false" customHeight="false" outlineLevel="0" collapsed="false">
      <c r="A382" s="19" t="n">
        <v>487.7</v>
      </c>
      <c r="B382" s="24" t="n">
        <v>281579.88056522</v>
      </c>
      <c r="C382" s="24" t="n">
        <v>284111.46584212</v>
      </c>
      <c r="D382" s="24" t="n">
        <v>1093130.5326224</v>
      </c>
    </row>
    <row r="383" customFormat="false" ht="16.5" hidden="false" customHeight="false" outlineLevel="0" collapsed="false">
      <c r="A383" s="19" t="n">
        <v>487.69</v>
      </c>
      <c r="B383" s="24" t="n">
        <v>281485.85159922</v>
      </c>
      <c r="C383" s="24" t="n">
        <v>284009.62838352</v>
      </c>
      <c r="D383" s="24" t="n">
        <v>1090315.2170992</v>
      </c>
    </row>
    <row r="384" customFormat="false" ht="16.5" hidden="false" customHeight="false" outlineLevel="0" collapsed="false">
      <c r="A384" s="19" t="n">
        <v>487.68</v>
      </c>
      <c r="B384" s="24" t="n">
        <v>281391.36635134</v>
      </c>
      <c r="C384" s="24" t="n">
        <v>283907.35723274</v>
      </c>
      <c r="D384" s="24" t="n">
        <v>1087500.8644961</v>
      </c>
    </row>
    <row r="385" customFormat="false" ht="16.5" hidden="false" customHeight="false" outlineLevel="0" collapsed="false">
      <c r="A385" s="19" t="n">
        <v>487.67</v>
      </c>
      <c r="B385" s="24" t="n">
        <v>281296.32054062</v>
      </c>
      <c r="C385" s="24" t="n">
        <v>283804.5485594</v>
      </c>
      <c r="D385" s="24" t="n">
        <v>1084687.4314516</v>
      </c>
    </row>
    <row r="386" customFormat="false" ht="16.5" hidden="false" customHeight="false" outlineLevel="0" collapsed="false">
      <c r="A386" s="19" t="n">
        <v>487.66</v>
      </c>
      <c r="B386" s="24" t="n">
        <v>281200.72972792</v>
      </c>
      <c r="C386" s="24" t="n">
        <v>283701.22155776</v>
      </c>
      <c r="D386" s="24" t="n">
        <v>1081874.9718017</v>
      </c>
    </row>
    <row r="387" customFormat="false" ht="16.5" hidden="false" customHeight="false" outlineLevel="0" collapsed="false">
      <c r="A387" s="19" t="n">
        <v>487.65</v>
      </c>
      <c r="B387" s="24" t="n">
        <v>281104.51781935</v>
      </c>
      <c r="C387" s="24" t="n">
        <v>283597.30396072</v>
      </c>
      <c r="D387" s="24" t="n">
        <v>1079063.4864382</v>
      </c>
    </row>
    <row r="388" customFormat="false" ht="16.5" hidden="false" customHeight="false" outlineLevel="0" collapsed="false">
      <c r="A388" s="19" t="n">
        <v>487.64</v>
      </c>
      <c r="B388" s="24" t="n">
        <v>281007.5803082</v>
      </c>
      <c r="C388" s="24" t="n">
        <v>283492.69486524</v>
      </c>
      <c r="D388" s="24" t="n">
        <v>1076252.964756</v>
      </c>
    </row>
    <row r="389" customFormat="false" ht="16.5" hidden="false" customHeight="false" outlineLevel="0" collapsed="false">
      <c r="A389" s="19" t="n">
        <v>487.63</v>
      </c>
      <c r="B389" s="24" t="n">
        <v>280909.7697507</v>
      </c>
      <c r="C389" s="24" t="n">
        <v>283387.25205888</v>
      </c>
      <c r="D389" s="24" t="n">
        <v>1073443.3936258</v>
      </c>
    </row>
    <row r="390" customFormat="false" ht="16.5" hidden="false" customHeight="false" outlineLevel="0" collapsed="false">
      <c r="A390" s="19" t="n">
        <v>487.62</v>
      </c>
      <c r="B390" s="24" t="n">
        <v>280810.71985379</v>
      </c>
      <c r="C390" s="24" t="n">
        <v>283280.61426158</v>
      </c>
      <c r="D390" s="24" t="n">
        <v>1070634.8405845</v>
      </c>
    </row>
    <row r="391" customFormat="false" ht="16.5" hidden="false" customHeight="false" outlineLevel="0" collapsed="false">
      <c r="A391" s="19" t="n">
        <v>487.61</v>
      </c>
      <c r="B391" s="24" t="n">
        <v>280709.17996119</v>
      </c>
      <c r="C391" s="24" t="n">
        <v>283171.54192549</v>
      </c>
      <c r="D391" s="24" t="n">
        <v>1067827.286036</v>
      </c>
    </row>
    <row r="392" customFormat="false" ht="16.5" hidden="false" customHeight="false" outlineLevel="0" collapsed="false">
      <c r="A392" s="19" t="n">
        <v>487.6</v>
      </c>
      <c r="B392" s="24" t="n">
        <v>279760.95917876</v>
      </c>
      <c r="C392" s="24" t="n">
        <v>282215.86260561</v>
      </c>
      <c r="D392" s="24" t="n">
        <v>1065020.8161347</v>
      </c>
    </row>
    <row r="393" customFormat="false" ht="16.5" hidden="false" customHeight="false" outlineLevel="0" collapsed="false">
      <c r="A393" s="19" t="n">
        <v>487.59</v>
      </c>
      <c r="B393" s="24" t="n">
        <v>279614.16580547</v>
      </c>
      <c r="C393" s="24" t="n">
        <v>282061.68710959</v>
      </c>
      <c r="D393" s="24" t="n">
        <v>1062223.9940957</v>
      </c>
    </row>
    <row r="394" customFormat="false" ht="16.5" hidden="false" customHeight="false" outlineLevel="0" collapsed="false">
      <c r="A394" s="19" t="n">
        <v>487.58</v>
      </c>
      <c r="B394" s="24" t="n">
        <v>279485.83714122</v>
      </c>
      <c r="C394" s="24" t="n">
        <v>281926.02922894</v>
      </c>
      <c r="D394" s="24" t="n">
        <v>1059428.4840902</v>
      </c>
    </row>
    <row r="395" customFormat="false" ht="16.5" hidden="false" customHeight="false" outlineLevel="0" collapsed="false">
      <c r="A395" s="19" t="n">
        <v>487.57</v>
      </c>
      <c r="B395" s="24" t="n">
        <v>279356.48000342</v>
      </c>
      <c r="C395" s="24" t="n">
        <v>281789.39052125</v>
      </c>
      <c r="D395" s="24" t="n">
        <v>1056634.2593326</v>
      </c>
    </row>
    <row r="396" customFormat="false" ht="16.5" hidden="false" customHeight="false" outlineLevel="0" collapsed="false">
      <c r="A396" s="19" t="n">
        <v>487.56</v>
      </c>
      <c r="B396" s="24" t="n">
        <v>279226.67102257</v>
      </c>
      <c r="C396" s="24" t="n">
        <v>281652.33980924</v>
      </c>
      <c r="D396" s="24" t="n">
        <v>1053841.3136344</v>
      </c>
    </row>
    <row r="397" customFormat="false" ht="16.5" hidden="false" customHeight="false" outlineLevel="0" collapsed="false">
      <c r="A397" s="19" t="n">
        <v>487.55</v>
      </c>
      <c r="B397" s="24" t="n">
        <v>279096.46292444</v>
      </c>
      <c r="C397" s="24" t="n">
        <v>281514.91932789</v>
      </c>
      <c r="D397" s="24" t="n">
        <v>1051049.7049368</v>
      </c>
    </row>
    <row r="398" customFormat="false" ht="16.5" hidden="false" customHeight="false" outlineLevel="0" collapsed="false">
      <c r="A398" s="19" t="n">
        <v>487.54</v>
      </c>
      <c r="B398" s="24" t="n">
        <v>278965.98531829</v>
      </c>
      <c r="C398" s="24" t="n">
        <v>281377.25682605</v>
      </c>
      <c r="D398" s="24" t="n">
        <v>1048259.4063135</v>
      </c>
    </row>
    <row r="399" customFormat="false" ht="16.5" hidden="false" customHeight="false" outlineLevel="0" collapsed="false">
      <c r="A399" s="19" t="n">
        <v>487.53</v>
      </c>
      <c r="B399" s="24" t="n">
        <v>278835.39465851</v>
      </c>
      <c r="C399" s="24" t="n">
        <v>281239.50098082</v>
      </c>
      <c r="D399" s="24" t="n">
        <v>1045470.3619771</v>
      </c>
    </row>
    <row r="400" customFormat="false" ht="16.5" hidden="false" customHeight="false" outlineLevel="0" collapsed="false">
      <c r="A400" s="19" t="n">
        <v>487.52</v>
      </c>
      <c r="B400" s="24" t="n">
        <v>278704.81586997</v>
      </c>
      <c r="C400" s="24" t="n">
        <v>281101.7703281</v>
      </c>
      <c r="D400" s="24" t="n">
        <v>1042682.6765433</v>
      </c>
    </row>
    <row r="401" customFormat="false" ht="16.5" hidden="false" customHeight="false" outlineLevel="0" collapsed="false">
      <c r="A401" s="19" t="n">
        <v>487.51</v>
      </c>
      <c r="B401" s="24" t="n">
        <v>278574.1299498</v>
      </c>
      <c r="C401" s="24" t="n">
        <v>280963.94559864</v>
      </c>
      <c r="D401" s="24" t="n">
        <v>1039896.2914503</v>
      </c>
    </row>
    <row r="402" customFormat="false" ht="16.5" hidden="false" customHeight="false" outlineLevel="0" collapsed="false">
      <c r="A402" s="19" t="n">
        <v>487.5</v>
      </c>
      <c r="B402" s="24" t="n">
        <v>278443.46472732</v>
      </c>
      <c r="C402" s="24" t="n">
        <v>280826.15081911</v>
      </c>
      <c r="D402" s="24" t="n">
        <v>1037111.2349617</v>
      </c>
    </row>
    <row r="403" customFormat="false" ht="16.5" hidden="false" customHeight="false" outlineLevel="0" collapsed="false">
      <c r="A403" s="19" t="n">
        <v>487.49</v>
      </c>
      <c r="B403" s="24" t="n">
        <v>278312.84111415</v>
      </c>
      <c r="C403" s="24" t="n">
        <v>280688.40564447</v>
      </c>
      <c r="D403" s="24" t="n">
        <v>1034327.469937</v>
      </c>
    </row>
    <row r="404" customFormat="false" ht="16.5" hidden="false" customHeight="false" outlineLevel="0" collapsed="false">
      <c r="A404" s="19" t="n">
        <v>487.48</v>
      </c>
      <c r="B404" s="24" t="n">
        <v>278182.2119738</v>
      </c>
      <c r="C404" s="24" t="n">
        <v>280550.66278846</v>
      </c>
      <c r="D404" s="24" t="n">
        <v>1031545.0528818</v>
      </c>
    </row>
    <row r="405" customFormat="false" ht="16.5" hidden="false" customHeight="false" outlineLevel="0" collapsed="false">
      <c r="A405" s="19" t="n">
        <v>487.47</v>
      </c>
      <c r="B405" s="24" t="n">
        <v>278051.59269557</v>
      </c>
      <c r="C405" s="24" t="n">
        <v>280412.93883533</v>
      </c>
      <c r="D405" s="24" t="n">
        <v>1028763.8942884</v>
      </c>
    </row>
    <row r="406" customFormat="false" ht="16.5" hidden="false" customHeight="false" outlineLevel="0" collapsed="false">
      <c r="A406" s="19" t="n">
        <v>487.46</v>
      </c>
      <c r="B406" s="24" t="n">
        <v>277920.96010968</v>
      </c>
      <c r="C406" s="24" t="n">
        <v>280275.21038318</v>
      </c>
      <c r="D406" s="24" t="n">
        <v>1025984.055108</v>
      </c>
    </row>
    <row r="407" customFormat="false" ht="16.5" hidden="false" customHeight="false" outlineLevel="0" collapsed="false">
      <c r="A407" s="19" t="n">
        <v>487.45</v>
      </c>
      <c r="B407" s="24" t="n">
        <v>277790.35826551</v>
      </c>
      <c r="C407" s="24" t="n">
        <v>280137.52254447</v>
      </c>
      <c r="D407" s="24" t="n">
        <v>1023205.52247</v>
      </c>
    </row>
    <row r="408" customFormat="false" ht="16.5" hidden="false" customHeight="false" outlineLevel="0" collapsed="false">
      <c r="A408" s="19" t="n">
        <v>487.44</v>
      </c>
      <c r="B408" s="24" t="n">
        <v>277659.724401</v>
      </c>
      <c r="C408" s="24" t="n">
        <v>279999.81034002</v>
      </c>
      <c r="D408" s="24" t="n">
        <v>1020428.2497206</v>
      </c>
    </row>
    <row r="409" customFormat="false" ht="16.5" hidden="false" customHeight="false" outlineLevel="0" collapsed="false">
      <c r="A409" s="19" t="n">
        <v>487.43</v>
      </c>
      <c r="B409" s="24" t="n">
        <v>277529.22389896</v>
      </c>
      <c r="C409" s="24" t="n">
        <v>279862.23895179</v>
      </c>
      <c r="D409" s="24" t="n">
        <v>1017652.3154524</v>
      </c>
    </row>
    <row r="410" customFormat="false" ht="16.5" hidden="false" customHeight="false" outlineLevel="0" collapsed="false">
      <c r="A410" s="19" t="n">
        <v>487.42</v>
      </c>
      <c r="B410" s="24" t="n">
        <v>277398.57322385</v>
      </c>
      <c r="C410" s="24" t="n">
        <v>279724.52696162</v>
      </c>
      <c r="D410" s="24" t="n">
        <v>1014877.68373</v>
      </c>
    </row>
    <row r="411" customFormat="false" ht="16.5" hidden="false" customHeight="false" outlineLevel="0" collapsed="false">
      <c r="A411" s="19" t="n">
        <v>487.41</v>
      </c>
      <c r="B411" s="24" t="n">
        <v>277267.51090093</v>
      </c>
      <c r="C411" s="24" t="n">
        <v>279586.40967885</v>
      </c>
      <c r="D411" s="24" t="n">
        <v>1012104.4034574</v>
      </c>
    </row>
    <row r="412" customFormat="false" ht="16.5" hidden="false" customHeight="false" outlineLevel="0" collapsed="false">
      <c r="A412" s="19" t="n">
        <v>487.4</v>
      </c>
      <c r="B412" s="24" t="n">
        <v>277106.85961866</v>
      </c>
      <c r="C412" s="24" t="n">
        <v>279418.72281258</v>
      </c>
      <c r="D412" s="24" t="n">
        <v>1009332.4257887</v>
      </c>
    </row>
    <row r="413" customFormat="false" ht="16.5" hidden="false" customHeight="false" outlineLevel="0" collapsed="false">
      <c r="A413" s="19" t="n">
        <v>487.39</v>
      </c>
      <c r="B413" s="24" t="n">
        <v>276104.89766017</v>
      </c>
      <c r="C413" s="24" t="n">
        <v>278409.70832213</v>
      </c>
      <c r="D413" s="24" t="n">
        <v>1006570.4954173</v>
      </c>
    </row>
    <row r="414" customFormat="false" ht="16.5" hidden="false" customHeight="false" outlineLevel="0" collapsed="false">
      <c r="A414" s="19" t="n">
        <v>487.38</v>
      </c>
      <c r="B414" s="24" t="n">
        <v>275958.78921582</v>
      </c>
      <c r="C414" s="24" t="n">
        <v>278256.51952969</v>
      </c>
      <c r="D414" s="24" t="n">
        <v>1003810.1596158</v>
      </c>
    </row>
    <row r="415" customFormat="false" ht="16.5" hidden="false" customHeight="false" outlineLevel="0" collapsed="false">
      <c r="A415" s="19" t="n">
        <v>487.37</v>
      </c>
      <c r="B415" s="24" t="n">
        <v>275813.39049885</v>
      </c>
      <c r="C415" s="24" t="n">
        <v>278104.02751426</v>
      </c>
      <c r="D415" s="24" t="n">
        <v>1001051.2688253</v>
      </c>
    </row>
    <row r="416" customFormat="false" ht="16.5" hidden="false" customHeight="false" outlineLevel="0" collapsed="false">
      <c r="A416" s="19" t="n">
        <v>487.36</v>
      </c>
      <c r="B416" s="24" t="n">
        <v>275668.24539298</v>
      </c>
      <c r="C416" s="24" t="n">
        <v>277951.77632185</v>
      </c>
      <c r="D416" s="24" t="n">
        <v>998293.85347275</v>
      </c>
    </row>
    <row r="417" customFormat="false" ht="16.5" hidden="false" customHeight="false" outlineLevel="0" collapsed="false">
      <c r="A417" s="19" t="n">
        <v>487.35</v>
      </c>
      <c r="B417" s="24" t="n">
        <v>275523.10973533</v>
      </c>
      <c r="C417" s="24" t="n">
        <v>277799.52692752</v>
      </c>
      <c r="D417" s="24" t="n">
        <v>995537.93043858</v>
      </c>
    </row>
    <row r="418" customFormat="false" ht="16.5" hidden="false" customHeight="false" outlineLevel="0" collapsed="false">
      <c r="A418" s="19" t="n">
        <v>487.34</v>
      </c>
      <c r="B418" s="24" t="n">
        <v>275377.98206541</v>
      </c>
      <c r="C418" s="24" t="n">
        <v>277647.27903824</v>
      </c>
      <c r="D418" s="24" t="n">
        <v>992783.4636435</v>
      </c>
    </row>
    <row r="419" customFormat="false" ht="16.5" hidden="false" customHeight="false" outlineLevel="0" collapsed="false">
      <c r="A419" s="19" t="n">
        <v>487.33</v>
      </c>
      <c r="B419" s="24" t="n">
        <v>275232.6629736</v>
      </c>
      <c r="C419" s="24" t="n">
        <v>277494.83185545</v>
      </c>
      <c r="D419" s="24" t="n">
        <v>990030.41098406</v>
      </c>
    </row>
    <row r="420" customFormat="false" ht="16.5" hidden="false" customHeight="false" outlineLevel="0" collapsed="false">
      <c r="A420" s="19" t="n">
        <v>487.32</v>
      </c>
      <c r="B420" s="24" t="n">
        <v>275087.26310556</v>
      </c>
      <c r="C420" s="24" t="n">
        <v>277342.29683722</v>
      </c>
      <c r="D420" s="24" t="n">
        <v>987278.81160331</v>
      </c>
    </row>
    <row r="421" customFormat="false" ht="16.5" hidden="false" customHeight="false" outlineLevel="0" collapsed="false">
      <c r="A421" s="19" t="n">
        <v>487.31</v>
      </c>
      <c r="B421" s="24" t="n">
        <v>274941.65044129</v>
      </c>
      <c r="C421" s="24" t="n">
        <v>277189.54804266</v>
      </c>
      <c r="D421" s="24" t="n">
        <v>984528.64064152</v>
      </c>
    </row>
    <row r="422" customFormat="false" ht="16.5" hidden="false" customHeight="false" outlineLevel="0" collapsed="false">
      <c r="A422" s="19" t="n">
        <v>487.3</v>
      </c>
      <c r="B422" s="24" t="n">
        <v>274795.83012424</v>
      </c>
      <c r="C422" s="24" t="n">
        <v>277036.59313467</v>
      </c>
      <c r="D422" s="24" t="n">
        <v>981779.95087437</v>
      </c>
    </row>
    <row r="423" customFormat="false" ht="16.5" hidden="false" customHeight="false" outlineLevel="0" collapsed="false">
      <c r="A423" s="19" t="n">
        <v>487.29</v>
      </c>
      <c r="B423" s="24" t="n">
        <v>274649.71551733</v>
      </c>
      <c r="C423" s="24" t="n">
        <v>276883.34627008</v>
      </c>
      <c r="D423" s="24" t="n">
        <v>979032.74858948</v>
      </c>
    </row>
    <row r="424" customFormat="false" ht="16.5" hidden="false" customHeight="false" outlineLevel="0" collapsed="false">
      <c r="A424" s="19" t="n">
        <v>487.28</v>
      </c>
      <c r="B424" s="24" t="n">
        <v>274503.354041</v>
      </c>
      <c r="C424" s="24" t="n">
        <v>276729.85618183</v>
      </c>
      <c r="D424" s="24" t="n">
        <v>976287.01795628</v>
      </c>
    </row>
    <row r="425" customFormat="false" ht="16.5" hidden="false" customHeight="false" outlineLevel="0" collapsed="false">
      <c r="A425" s="19" t="n">
        <v>487.27</v>
      </c>
      <c r="B425" s="24" t="n">
        <v>274356.8462083</v>
      </c>
      <c r="C425" s="24" t="n">
        <v>276576.22435321</v>
      </c>
      <c r="D425" s="24" t="n">
        <v>973542.66549927</v>
      </c>
    </row>
    <row r="426" customFormat="false" ht="16.5" hidden="false" customHeight="false" outlineLevel="0" collapsed="false">
      <c r="A426" s="19" t="n">
        <v>487.26</v>
      </c>
      <c r="B426" s="24" t="n">
        <v>274210.02044894</v>
      </c>
      <c r="C426" s="24" t="n">
        <v>276422.27793997</v>
      </c>
      <c r="D426" s="24" t="n">
        <v>970799.84866801</v>
      </c>
    </row>
    <row r="427" customFormat="false" ht="16.5" hidden="false" customHeight="false" outlineLevel="0" collapsed="false">
      <c r="A427" s="19" t="n">
        <v>487.25</v>
      </c>
      <c r="B427" s="24" t="n">
        <v>274062.92883173</v>
      </c>
      <c r="C427" s="24" t="n">
        <v>276268.06973615</v>
      </c>
      <c r="D427" s="24" t="n">
        <v>968058.46794085</v>
      </c>
    </row>
    <row r="428" customFormat="false" ht="16.5" hidden="false" customHeight="false" outlineLevel="0" collapsed="false">
      <c r="A428" s="19" t="n">
        <v>487.24</v>
      </c>
      <c r="B428" s="24" t="n">
        <v>273915.59687429</v>
      </c>
      <c r="C428" s="24" t="n">
        <v>276113.62264509</v>
      </c>
      <c r="D428" s="24" t="n">
        <v>965318.56176383</v>
      </c>
    </row>
    <row r="429" customFormat="false" ht="16.5" hidden="false" customHeight="false" outlineLevel="0" collapsed="false">
      <c r="A429" s="19" t="n">
        <v>487.23</v>
      </c>
      <c r="B429" s="24" t="n">
        <v>273768.03313754</v>
      </c>
      <c r="C429" s="24" t="n">
        <v>275958.94285882</v>
      </c>
      <c r="D429" s="24" t="n">
        <v>962580.14218671</v>
      </c>
    </row>
    <row r="430" customFormat="false" ht="16.5" hidden="false" customHeight="false" outlineLevel="0" collapsed="false">
      <c r="A430" s="19" t="n">
        <v>487.22</v>
      </c>
      <c r="B430" s="24" t="n">
        <v>273620.13963122</v>
      </c>
      <c r="C430" s="24" t="n">
        <v>275803.93292013</v>
      </c>
      <c r="D430" s="24" t="n">
        <v>959843.24844653</v>
      </c>
    </row>
    <row r="431" customFormat="false" ht="16.5" hidden="false" customHeight="false" outlineLevel="0" collapsed="false">
      <c r="A431" s="19" t="n">
        <v>487.21</v>
      </c>
      <c r="B431" s="24" t="n">
        <v>273470.4545547</v>
      </c>
      <c r="C431" s="24" t="n">
        <v>275647.13121626</v>
      </c>
      <c r="D431" s="24" t="n">
        <v>957107.79212075</v>
      </c>
    </row>
    <row r="432" customFormat="false" ht="16.5" hidden="false" customHeight="false" outlineLevel="0" collapsed="false">
      <c r="A432" s="19" t="n">
        <v>487.2</v>
      </c>
      <c r="B432" s="24" t="n">
        <v>271970.17036935</v>
      </c>
      <c r="C432" s="24" t="n">
        <v>274139.75019072</v>
      </c>
      <c r="D432" s="24" t="n">
        <v>954373.90773153</v>
      </c>
    </row>
    <row r="433" customFormat="false" ht="16.5" hidden="false" customHeight="false" outlineLevel="0" collapsed="false">
      <c r="A433" s="19" t="n">
        <v>487.19</v>
      </c>
      <c r="B433" s="24" t="n">
        <v>271692.98934718</v>
      </c>
      <c r="C433" s="24" t="n">
        <v>273855.42949338</v>
      </c>
      <c r="D433" s="24" t="n">
        <v>951655.81414728</v>
      </c>
    </row>
    <row r="434" customFormat="false" ht="16.5" hidden="false" customHeight="false" outlineLevel="0" collapsed="false">
      <c r="A434" s="19" t="n">
        <v>487.18</v>
      </c>
      <c r="B434" s="24" t="n">
        <v>271486.87758124</v>
      </c>
      <c r="C434" s="24" t="n">
        <v>273642.12735687</v>
      </c>
      <c r="D434" s="24" t="n">
        <v>948939.93859239</v>
      </c>
    </row>
    <row r="435" customFormat="false" ht="16.5" hidden="false" customHeight="false" outlineLevel="0" collapsed="false">
      <c r="A435" s="19" t="n">
        <v>487.17</v>
      </c>
      <c r="B435" s="24" t="n">
        <v>271283.64942209</v>
      </c>
      <c r="C435" s="24" t="n">
        <v>273431.68034492</v>
      </c>
      <c r="D435" s="24" t="n">
        <v>946226.07491488</v>
      </c>
    </row>
    <row r="436" customFormat="false" ht="16.5" hidden="false" customHeight="false" outlineLevel="0" collapsed="false">
      <c r="A436" s="19" t="n">
        <v>487.16</v>
      </c>
      <c r="B436" s="24" t="n">
        <v>271081.87453933</v>
      </c>
      <c r="C436" s="24" t="n">
        <v>273222.66386726</v>
      </c>
      <c r="D436" s="24" t="n">
        <v>943514.2156111</v>
      </c>
    </row>
    <row r="437" customFormat="false" ht="16.5" hidden="false" customHeight="false" outlineLevel="0" collapsed="false">
      <c r="A437" s="19" t="n">
        <v>487.15</v>
      </c>
      <c r="B437" s="24" t="n">
        <v>270881.47164086</v>
      </c>
      <c r="C437" s="24" t="n">
        <v>273015.00188171</v>
      </c>
      <c r="D437" s="24" t="n">
        <v>940804.38090357</v>
      </c>
    </row>
    <row r="438" customFormat="false" ht="16.5" hidden="false" customHeight="false" outlineLevel="0" collapsed="false">
      <c r="A438" s="19" t="n">
        <v>487.14</v>
      </c>
      <c r="B438" s="24" t="n">
        <v>270682.16900671</v>
      </c>
      <c r="C438" s="24" t="n">
        <v>272808.42739099</v>
      </c>
      <c r="D438" s="24" t="n">
        <v>938096.51455827</v>
      </c>
    </row>
    <row r="439" customFormat="false" ht="16.5" hidden="false" customHeight="false" outlineLevel="0" collapsed="false">
      <c r="A439" s="19" t="n">
        <v>487.13</v>
      </c>
      <c r="B439" s="24" t="n">
        <v>270484.25732871</v>
      </c>
      <c r="C439" s="24" t="n">
        <v>272603.23160323</v>
      </c>
      <c r="D439" s="24" t="n">
        <v>935390.72050384</v>
      </c>
    </row>
    <row r="440" customFormat="false" ht="16.5" hidden="false" customHeight="false" outlineLevel="0" collapsed="false">
      <c r="A440" s="19" t="n">
        <v>487.12</v>
      </c>
      <c r="B440" s="24" t="n">
        <v>270287.59769777</v>
      </c>
      <c r="C440" s="24" t="n">
        <v>272399.27914495</v>
      </c>
      <c r="D440" s="24" t="n">
        <v>932686.8915784</v>
      </c>
    </row>
    <row r="441" customFormat="false" ht="16.5" hidden="false" customHeight="false" outlineLevel="0" collapsed="false">
      <c r="A441" s="19" t="n">
        <v>487.11</v>
      </c>
      <c r="B441" s="24" t="n">
        <v>270091.92713216</v>
      </c>
      <c r="C441" s="24" t="n">
        <v>272196.30917621</v>
      </c>
      <c r="D441" s="24" t="n">
        <v>929985.04019511</v>
      </c>
    </row>
    <row r="442" customFormat="false" ht="16.5" hidden="false" customHeight="false" outlineLevel="0" collapsed="false">
      <c r="A442" s="19" t="n">
        <v>487.1</v>
      </c>
      <c r="B442" s="24" t="n">
        <v>269897.46938868</v>
      </c>
      <c r="C442" s="24" t="n">
        <v>271994.5474446</v>
      </c>
      <c r="D442" s="24" t="n">
        <v>927285.07149163</v>
      </c>
    </row>
    <row r="443" customFormat="false" ht="16.5" hidden="false" customHeight="false" outlineLevel="0" collapsed="false">
      <c r="A443" s="19" t="n">
        <v>487.09</v>
      </c>
      <c r="B443" s="24" t="n">
        <v>269704.08782739</v>
      </c>
      <c r="C443" s="24" t="n">
        <v>271793.86027255</v>
      </c>
      <c r="D443" s="24" t="n">
        <v>924587.10879774</v>
      </c>
    </row>
    <row r="444" customFormat="false" ht="16.5" hidden="false" customHeight="false" outlineLevel="0" collapsed="false">
      <c r="A444" s="19" t="n">
        <v>487.08</v>
      </c>
      <c r="B444" s="24" t="n">
        <v>269511.66807213</v>
      </c>
      <c r="C444" s="24" t="n">
        <v>271594.13480994</v>
      </c>
      <c r="D444" s="24" t="n">
        <v>921891.01762114</v>
      </c>
    </row>
    <row r="445" customFormat="false" ht="16.5" hidden="false" customHeight="false" outlineLevel="0" collapsed="false">
      <c r="A445" s="19" t="n">
        <v>487.07</v>
      </c>
      <c r="B445" s="24" t="n">
        <v>269320.3636805</v>
      </c>
      <c r="C445" s="24" t="n">
        <v>271395.52561658</v>
      </c>
      <c r="D445" s="24" t="n">
        <v>919196.88616148</v>
      </c>
    </row>
    <row r="446" customFormat="false" ht="16.5" hidden="false" customHeight="false" outlineLevel="0" collapsed="false">
      <c r="A446" s="19" t="n">
        <v>487.06</v>
      </c>
      <c r="B446" s="24" t="n">
        <v>269130.12130226</v>
      </c>
      <c r="C446" s="24" t="n">
        <v>271197.97892553</v>
      </c>
      <c r="D446" s="24" t="n">
        <v>916504.65728235</v>
      </c>
    </row>
    <row r="447" customFormat="false" ht="16.5" hidden="false" customHeight="false" outlineLevel="0" collapsed="false">
      <c r="A447" s="19" t="n">
        <v>487.05</v>
      </c>
      <c r="B447" s="24" t="n">
        <v>268940.72566558</v>
      </c>
      <c r="C447" s="24" t="n">
        <v>271001.28405197</v>
      </c>
      <c r="D447" s="24" t="n">
        <v>913814.3413072</v>
      </c>
    </row>
    <row r="448" customFormat="false" ht="16.5" hidden="false" customHeight="false" outlineLevel="0" collapsed="false">
      <c r="A448" s="19" t="n">
        <v>487.04</v>
      </c>
      <c r="B448" s="24" t="n">
        <v>268752.20744283</v>
      </c>
      <c r="C448" s="24" t="n">
        <v>270805.47648697</v>
      </c>
      <c r="D448" s="24" t="n">
        <v>911125.87046719</v>
      </c>
    </row>
    <row r="449" customFormat="false" ht="16.5" hidden="false" customHeight="false" outlineLevel="0" collapsed="false">
      <c r="A449" s="19" t="n">
        <v>487.03</v>
      </c>
      <c r="B449" s="24" t="n">
        <v>268564.66322282</v>
      </c>
      <c r="C449" s="24" t="n">
        <v>270610.6544362</v>
      </c>
      <c r="D449" s="24" t="n">
        <v>908439.30039113</v>
      </c>
    </row>
    <row r="450" customFormat="false" ht="16.5" hidden="false" customHeight="false" outlineLevel="0" collapsed="false">
      <c r="A450" s="19" t="n">
        <v>487.02</v>
      </c>
      <c r="B450" s="24" t="n">
        <v>268377.83261468</v>
      </c>
      <c r="C450" s="24" t="n">
        <v>270416.55768395</v>
      </c>
      <c r="D450" s="24" t="n">
        <v>905754.5954677</v>
      </c>
    </row>
    <row r="451" customFormat="false" ht="16.5" hidden="false" customHeight="false" outlineLevel="0" collapsed="false">
      <c r="A451" s="19" t="n">
        <v>487.01</v>
      </c>
      <c r="B451" s="24" t="n">
        <v>268190.54757348</v>
      </c>
      <c r="C451" s="24" t="n">
        <v>270222.03144986</v>
      </c>
      <c r="D451" s="24" t="n">
        <v>903071.7823627</v>
      </c>
    </row>
    <row r="452" customFormat="false" ht="16.5" hidden="false" customHeight="false" outlineLevel="0" collapsed="false">
      <c r="A452" s="19" t="n">
        <v>487</v>
      </c>
      <c r="B452" s="24" t="n">
        <v>267959.67151693</v>
      </c>
      <c r="C452" s="24" t="n">
        <v>269983.97238979</v>
      </c>
      <c r="D452" s="24" t="n">
        <v>900390.97667183</v>
      </c>
    </row>
    <row r="453" customFormat="false" ht="16.5" hidden="false" customHeight="false" outlineLevel="0" collapsed="false">
      <c r="A453" s="19" t="n">
        <v>486.99</v>
      </c>
      <c r="B453" s="24" t="n">
        <v>267141.52996506</v>
      </c>
      <c r="C453" s="24" t="n">
        <v>269158.7153556</v>
      </c>
      <c r="D453" s="24" t="n">
        <v>897718.60361862</v>
      </c>
    </row>
    <row r="454" customFormat="false" ht="16.5" hidden="false" customHeight="false" outlineLevel="0" collapsed="false">
      <c r="A454" s="19" t="n">
        <v>486.98</v>
      </c>
      <c r="B454" s="24" t="n">
        <v>266968.54587428</v>
      </c>
      <c r="C454" s="24" t="n">
        <v>268978.6195704</v>
      </c>
      <c r="D454" s="24" t="n">
        <v>895048.04594962</v>
      </c>
    </row>
    <row r="455" customFormat="false" ht="16.5" hidden="false" customHeight="false" outlineLevel="0" collapsed="false">
      <c r="A455" s="19" t="n">
        <v>486.97</v>
      </c>
      <c r="B455" s="24" t="n">
        <v>266796.09797929</v>
      </c>
      <c r="C455" s="24" t="n">
        <v>268799.06936287</v>
      </c>
      <c r="D455" s="24" t="n">
        <v>892379.22847556</v>
      </c>
    </row>
    <row r="456" customFormat="false" ht="16.5" hidden="false" customHeight="false" outlineLevel="0" collapsed="false">
      <c r="A456" s="19" t="n">
        <v>486.96</v>
      </c>
      <c r="B456" s="24" t="n">
        <v>266623.91563982</v>
      </c>
      <c r="C456" s="24" t="n">
        <v>268619.79273287</v>
      </c>
      <c r="D456" s="24" t="n">
        <v>889712.14752164</v>
      </c>
    </row>
    <row r="457" customFormat="false" ht="16.5" hidden="false" customHeight="false" outlineLevel="0" collapsed="false">
      <c r="A457" s="19" t="n">
        <v>486.95</v>
      </c>
      <c r="B457" s="24" t="n">
        <v>266452.12722469</v>
      </c>
      <c r="C457" s="24" t="n">
        <v>268440.91861772</v>
      </c>
      <c r="D457" s="24" t="n">
        <v>887046.77323278</v>
      </c>
    </row>
    <row r="458" customFormat="false" ht="16.5" hidden="false" customHeight="false" outlineLevel="0" collapsed="false">
      <c r="A458" s="19" t="n">
        <v>486.94</v>
      </c>
      <c r="B458" s="24" t="n">
        <v>266280.68099661</v>
      </c>
      <c r="C458" s="24" t="n">
        <v>268262.39370108</v>
      </c>
      <c r="D458" s="24" t="n">
        <v>884383.10755643</v>
      </c>
    </row>
    <row r="459" customFormat="false" ht="16.5" hidden="false" customHeight="false" outlineLevel="0" collapsed="false">
      <c r="A459" s="19" t="n">
        <v>486.93</v>
      </c>
      <c r="B459" s="24" t="n">
        <v>266109.5017975</v>
      </c>
      <c r="C459" s="24" t="n">
        <v>268084.14181033</v>
      </c>
      <c r="D459" s="24" t="n">
        <v>881721.17363653</v>
      </c>
    </row>
    <row r="460" customFormat="false" ht="16.5" hidden="false" customHeight="false" outlineLevel="0" collapsed="false">
      <c r="A460" s="19" t="n">
        <v>486.92</v>
      </c>
      <c r="B460" s="24" t="n">
        <v>265938.68802193</v>
      </c>
      <c r="C460" s="24" t="n">
        <v>267906.25962306</v>
      </c>
      <c r="D460" s="24" t="n">
        <v>879060.9179724</v>
      </c>
    </row>
    <row r="461" customFormat="false" ht="16.5" hidden="false" customHeight="false" outlineLevel="0" collapsed="false">
      <c r="A461" s="19" t="n">
        <v>486.91</v>
      </c>
      <c r="B461" s="24" t="n">
        <v>265768.13908227</v>
      </c>
      <c r="C461" s="24" t="n">
        <v>267728.6467206</v>
      </c>
      <c r="D461" s="24" t="n">
        <v>876402.38435789</v>
      </c>
    </row>
    <row r="462" customFormat="false" ht="16.5" hidden="false" customHeight="false" outlineLevel="0" collapsed="false">
      <c r="A462" s="19" t="n">
        <v>486.9</v>
      </c>
      <c r="B462" s="24" t="n">
        <v>265597.97833433</v>
      </c>
      <c r="C462" s="24" t="n">
        <v>267551.42707815</v>
      </c>
      <c r="D462" s="24" t="n">
        <v>873745.59532478</v>
      </c>
    </row>
    <row r="463" customFormat="false" ht="16.5" hidden="false" customHeight="false" outlineLevel="0" collapsed="false">
      <c r="A463" s="19" t="n">
        <v>486.89</v>
      </c>
      <c r="B463" s="24" t="n">
        <v>265428.13313262</v>
      </c>
      <c r="C463" s="24" t="n">
        <v>267374.52941408</v>
      </c>
      <c r="D463" s="24" t="n">
        <v>871090.49050974</v>
      </c>
    </row>
    <row r="464" customFormat="false" ht="16.5" hidden="false" customHeight="false" outlineLevel="0" collapsed="false">
      <c r="A464" s="19" t="n">
        <v>486.88</v>
      </c>
      <c r="B464" s="24" t="n">
        <v>265258.52265509</v>
      </c>
      <c r="C464" s="24" t="n">
        <v>267197.87685151</v>
      </c>
      <c r="D464" s="24" t="n">
        <v>868437.10212096</v>
      </c>
    </row>
    <row r="465" customFormat="false" ht="16.5" hidden="false" customHeight="false" outlineLevel="0" collapsed="false">
      <c r="A465" s="19" t="n">
        <v>486.87</v>
      </c>
      <c r="B465" s="24" t="n">
        <v>265089.22095663</v>
      </c>
      <c r="C465" s="24" t="n">
        <v>267021.54821371</v>
      </c>
      <c r="D465" s="24" t="n">
        <v>865785.38850857</v>
      </c>
    </row>
    <row r="466" customFormat="false" ht="16.5" hidden="false" customHeight="false" outlineLevel="0" collapsed="false">
      <c r="A466" s="19" t="n">
        <v>486.86</v>
      </c>
      <c r="B466" s="24" t="n">
        <v>264920.00249076</v>
      </c>
      <c r="C466" s="24" t="n">
        <v>266845.32016096</v>
      </c>
      <c r="D466" s="24" t="n">
        <v>863135.32918419</v>
      </c>
    </row>
    <row r="467" customFormat="false" ht="16.5" hidden="false" customHeight="false" outlineLevel="0" collapsed="false">
      <c r="A467" s="19" t="n">
        <v>486.85</v>
      </c>
      <c r="B467" s="24" t="n">
        <v>264750.87184913</v>
      </c>
      <c r="C467" s="24" t="n">
        <v>266669.20578654</v>
      </c>
      <c r="D467" s="24" t="n">
        <v>860487.01823167</v>
      </c>
    </row>
    <row r="468" customFormat="false" ht="16.5" hidden="false" customHeight="false" outlineLevel="0" collapsed="false">
      <c r="A468" s="19" t="n">
        <v>486.84</v>
      </c>
      <c r="B468" s="24" t="n">
        <v>264581.59786113</v>
      </c>
      <c r="C468" s="24" t="n">
        <v>266492.97827078</v>
      </c>
      <c r="D468" s="24" t="n">
        <v>857840.37834721</v>
      </c>
    </row>
    <row r="469" customFormat="false" ht="16.5" hidden="false" customHeight="false" outlineLevel="0" collapsed="false">
      <c r="A469" s="19" t="n">
        <v>486.83</v>
      </c>
      <c r="B469" s="24" t="n">
        <v>264412.00989617</v>
      </c>
      <c r="C469" s="24" t="n">
        <v>266316.47401059</v>
      </c>
      <c r="D469" s="24" t="n">
        <v>855195.45260612</v>
      </c>
    </row>
    <row r="470" customFormat="false" ht="16.5" hidden="false" customHeight="false" outlineLevel="0" collapsed="false">
      <c r="A470" s="19" t="n">
        <v>486.82</v>
      </c>
      <c r="B470" s="24" t="n">
        <v>264241.70353128</v>
      </c>
      <c r="C470" s="24" t="n">
        <v>266139.29988467</v>
      </c>
      <c r="D470" s="24" t="n">
        <v>852552.23013799</v>
      </c>
    </row>
    <row r="471" customFormat="false" ht="16.5" hidden="false" customHeight="false" outlineLevel="0" collapsed="false">
      <c r="A471" s="19" t="n">
        <v>486.81</v>
      </c>
      <c r="B471" s="24" t="n">
        <v>264069.05354993</v>
      </c>
      <c r="C471" s="24" t="n">
        <v>265959.8415271</v>
      </c>
      <c r="D471" s="24" t="n">
        <v>849910.73510227</v>
      </c>
    </row>
    <row r="472" customFormat="false" ht="16.5" hidden="false" customHeight="false" outlineLevel="0" collapsed="false">
      <c r="A472" s="19" t="n">
        <v>486.8</v>
      </c>
      <c r="B472" s="24" t="n">
        <v>263852.67314835</v>
      </c>
      <c r="C472" s="24" t="n">
        <v>265736.73761011</v>
      </c>
      <c r="D472" s="24" t="n">
        <v>847271.05216035</v>
      </c>
    </row>
    <row r="473" customFormat="false" ht="16.5" hidden="false" customHeight="false" outlineLevel="0" collapsed="false">
      <c r="A473" s="19" t="n">
        <v>486.79</v>
      </c>
      <c r="B473" s="24" t="n">
        <v>262374.69386008</v>
      </c>
      <c r="C473" s="24" t="n">
        <v>264252.12341376</v>
      </c>
      <c r="D473" s="24" t="n">
        <v>844646.05426421</v>
      </c>
    </row>
    <row r="474" customFormat="false" ht="16.5" hidden="false" customHeight="false" outlineLevel="0" collapsed="false">
      <c r="A474" s="19" t="n">
        <v>486.78</v>
      </c>
      <c r="B474" s="24" t="n">
        <v>262148.23567892</v>
      </c>
      <c r="C474" s="24" t="n">
        <v>264019.04210674</v>
      </c>
      <c r="D474" s="24" t="n">
        <v>842023.42216313</v>
      </c>
    </row>
    <row r="475" customFormat="false" ht="16.5" hidden="false" customHeight="false" outlineLevel="0" collapsed="false">
      <c r="A475" s="19" t="n">
        <v>486.77</v>
      </c>
      <c r="B475" s="24" t="n">
        <v>261923.03962274</v>
      </c>
      <c r="C475" s="24" t="n">
        <v>263787.23868984</v>
      </c>
      <c r="D475" s="24" t="n">
        <v>839403.05039804</v>
      </c>
    </row>
    <row r="476" customFormat="false" ht="16.5" hidden="false" customHeight="false" outlineLevel="0" collapsed="false">
      <c r="A476" s="19" t="n">
        <v>486.76</v>
      </c>
      <c r="B476" s="24" t="n">
        <v>261698.40773948</v>
      </c>
      <c r="C476" s="24" t="n">
        <v>263556.01893164</v>
      </c>
      <c r="D476" s="24" t="n">
        <v>836784.9919252</v>
      </c>
    </row>
    <row r="477" customFormat="false" ht="16.5" hidden="false" customHeight="false" outlineLevel="0" collapsed="false">
      <c r="A477" s="19" t="n">
        <v>486.75</v>
      </c>
      <c r="B477" s="24" t="n">
        <v>261474.39971709</v>
      </c>
      <c r="C477" s="24" t="n">
        <v>263325.43939391</v>
      </c>
      <c r="D477" s="24" t="n">
        <v>834169.10494153</v>
      </c>
    </row>
    <row r="478" customFormat="false" ht="16.5" hidden="false" customHeight="false" outlineLevel="0" collapsed="false">
      <c r="A478" s="19" t="n">
        <v>486.74</v>
      </c>
      <c r="B478" s="24" t="n">
        <v>261250.72651421</v>
      </c>
      <c r="C478" s="24" t="n">
        <v>263095.21009722</v>
      </c>
      <c r="D478" s="24" t="n">
        <v>831555.53507834</v>
      </c>
    </row>
    <row r="479" customFormat="false" ht="16.5" hidden="false" customHeight="false" outlineLevel="0" collapsed="false">
      <c r="A479" s="19" t="n">
        <v>486.73</v>
      </c>
      <c r="B479" s="24" t="n">
        <v>261027.75558207</v>
      </c>
      <c r="C479" s="24" t="n">
        <v>262865.6960592</v>
      </c>
      <c r="D479" s="24" t="n">
        <v>828944.16471142</v>
      </c>
    </row>
    <row r="480" customFormat="false" ht="16.5" hidden="false" customHeight="false" outlineLevel="0" collapsed="false">
      <c r="A480" s="19" t="n">
        <v>486.72</v>
      </c>
      <c r="B480" s="24" t="n">
        <v>260805.33920238</v>
      </c>
      <c r="C480" s="24" t="n">
        <v>262636.74634643</v>
      </c>
      <c r="D480" s="24" t="n">
        <v>826335.01553607</v>
      </c>
    </row>
    <row r="481" customFormat="false" ht="16.5" hidden="false" customHeight="false" outlineLevel="0" collapsed="false">
      <c r="A481" s="19" t="n">
        <v>486.71</v>
      </c>
      <c r="B481" s="24" t="n">
        <v>260583.38013622</v>
      </c>
      <c r="C481" s="24" t="n">
        <v>262408.26290152</v>
      </c>
      <c r="D481" s="24" t="n">
        <v>823728.09494998</v>
      </c>
    </row>
    <row r="482" customFormat="false" ht="16.5" hidden="false" customHeight="false" outlineLevel="0" collapsed="false">
      <c r="A482" s="19" t="n">
        <v>486.7</v>
      </c>
      <c r="B482" s="24" t="n">
        <v>260361.94112858</v>
      </c>
      <c r="C482" s="24" t="n">
        <v>262180.30915548</v>
      </c>
      <c r="D482" s="24" t="n">
        <v>821123.34717574</v>
      </c>
    </row>
    <row r="483" customFormat="false" ht="16.5" hidden="false" customHeight="false" outlineLevel="0" collapsed="false">
      <c r="A483" s="19" t="n">
        <v>486.69</v>
      </c>
      <c r="B483" s="24" t="n">
        <v>260141.15035702</v>
      </c>
      <c r="C483" s="24" t="n">
        <v>261953.01327408</v>
      </c>
      <c r="D483" s="24" t="n">
        <v>818520.85954459</v>
      </c>
    </row>
    <row r="484" customFormat="false" ht="16.5" hidden="false" customHeight="false" outlineLevel="0" collapsed="false">
      <c r="A484" s="19" t="n">
        <v>486.68</v>
      </c>
      <c r="B484" s="24" t="n">
        <v>259920.89981383</v>
      </c>
      <c r="C484" s="24" t="n">
        <v>261726.26989277</v>
      </c>
      <c r="D484" s="24" t="n">
        <v>815920.5435924</v>
      </c>
    </row>
    <row r="485" customFormat="false" ht="16.5" hidden="false" customHeight="false" outlineLevel="0" collapsed="false">
      <c r="A485" s="19" t="n">
        <v>486.67</v>
      </c>
      <c r="B485" s="24" t="n">
        <v>259701.1213317</v>
      </c>
      <c r="C485" s="24" t="n">
        <v>261500.00792713</v>
      </c>
      <c r="D485" s="24" t="n">
        <v>813322.45432863</v>
      </c>
    </row>
    <row r="486" customFormat="false" ht="16.5" hidden="false" customHeight="false" outlineLevel="0" collapsed="false">
      <c r="A486" s="19" t="n">
        <v>486.66</v>
      </c>
      <c r="B486" s="24" t="n">
        <v>259481.77877578</v>
      </c>
      <c r="C486" s="24" t="n">
        <v>261274.19432149</v>
      </c>
      <c r="D486" s="24" t="n">
        <v>810726.55816901</v>
      </c>
    </row>
    <row r="487" customFormat="false" ht="16.5" hidden="false" customHeight="false" outlineLevel="0" collapsed="false">
      <c r="A487" s="19" t="n">
        <v>486.65</v>
      </c>
      <c r="B487" s="24" t="n">
        <v>259262.7266873</v>
      </c>
      <c r="C487" s="24" t="n">
        <v>261048.69063974</v>
      </c>
      <c r="D487" s="24" t="n">
        <v>808132.85400056</v>
      </c>
    </row>
    <row r="488" customFormat="false" ht="16.5" hidden="false" customHeight="false" outlineLevel="0" collapsed="false">
      <c r="A488" s="19" t="n">
        <v>486.64</v>
      </c>
      <c r="B488" s="24" t="n">
        <v>259043.86479145</v>
      </c>
      <c r="C488" s="24" t="n">
        <v>260823.40029475</v>
      </c>
      <c r="D488" s="24" t="n">
        <v>805541.36556398</v>
      </c>
    </row>
    <row r="489" customFormat="false" ht="16.5" hidden="false" customHeight="false" outlineLevel="0" collapsed="false">
      <c r="A489" s="19" t="n">
        <v>486.63</v>
      </c>
      <c r="B489" s="24" t="n">
        <v>258824.94176292</v>
      </c>
      <c r="C489" s="24" t="n">
        <v>260598.07665285</v>
      </c>
      <c r="D489" s="24" t="n">
        <v>802952.11316337</v>
      </c>
    </row>
    <row r="490" customFormat="false" ht="16.5" hidden="false" customHeight="false" outlineLevel="0" collapsed="false">
      <c r="A490" s="19" t="n">
        <v>486.62</v>
      </c>
      <c r="B490" s="24" t="n">
        <v>258605.14912512</v>
      </c>
      <c r="C490" s="24" t="n">
        <v>260371.91892741</v>
      </c>
      <c r="D490" s="24" t="n">
        <v>800365.02059</v>
      </c>
    </row>
    <row r="491" customFormat="false" ht="16.5" hidden="false" customHeight="false" outlineLevel="0" collapsed="false">
      <c r="A491" s="19" t="n">
        <v>486.61</v>
      </c>
      <c r="B491" s="24" t="n">
        <v>258383.14172444</v>
      </c>
      <c r="C491" s="24" t="n">
        <v>260143.59370114</v>
      </c>
      <c r="D491" s="24" t="n">
        <v>797780.1086937</v>
      </c>
    </row>
    <row r="492" customFormat="false" ht="16.5" hidden="false" customHeight="false" outlineLevel="0" collapsed="false">
      <c r="A492" s="19" t="n">
        <v>486.6</v>
      </c>
      <c r="B492" s="24" t="n">
        <v>257143.57241111</v>
      </c>
      <c r="C492" s="24" t="n">
        <v>258897.77723562</v>
      </c>
      <c r="D492" s="24" t="n">
        <v>795197.49619098</v>
      </c>
    </row>
    <row r="493" customFormat="false" ht="16.5" hidden="false" customHeight="false" outlineLevel="0" collapsed="false">
      <c r="A493" s="19" t="n">
        <v>486.59</v>
      </c>
      <c r="B493" s="24" t="n">
        <v>256890.80062493</v>
      </c>
      <c r="C493" s="24" t="n">
        <v>258638.84192944</v>
      </c>
      <c r="D493" s="24" t="n">
        <v>792627.42075466</v>
      </c>
    </row>
    <row r="494" customFormat="false" ht="16.5" hidden="false" customHeight="false" outlineLevel="0" collapsed="false">
      <c r="A494" s="19" t="n">
        <v>486.58</v>
      </c>
      <c r="B494" s="24" t="n">
        <v>256668.16558399</v>
      </c>
      <c r="C494" s="24" t="n">
        <v>258410.05468558</v>
      </c>
      <c r="D494" s="24" t="n">
        <v>790059.6211747</v>
      </c>
    </row>
    <row r="495" customFormat="false" ht="16.5" hidden="false" customHeight="false" outlineLevel="0" collapsed="false">
      <c r="A495" s="19" t="n">
        <v>486.57</v>
      </c>
      <c r="B495" s="24" t="n">
        <v>256446.88898611</v>
      </c>
      <c r="C495" s="24" t="n">
        <v>258182.63825664</v>
      </c>
      <c r="D495" s="24" t="n">
        <v>787494.06257898</v>
      </c>
    </row>
    <row r="496" customFormat="false" ht="16.5" hidden="false" customHeight="false" outlineLevel="0" collapsed="false">
      <c r="A496" s="19" t="n">
        <v>486.56</v>
      </c>
      <c r="B496" s="24" t="n">
        <v>256226.57670875</v>
      </c>
      <c r="C496" s="24" t="n">
        <v>257956.1933853</v>
      </c>
      <c r="D496" s="24" t="n">
        <v>784930.6946329</v>
      </c>
    </row>
    <row r="497" customFormat="false" ht="16.5" hidden="false" customHeight="false" outlineLevel="0" collapsed="false">
      <c r="A497" s="19" t="n">
        <v>486.55</v>
      </c>
      <c r="B497" s="24" t="n">
        <v>256007.28574127</v>
      </c>
      <c r="C497" s="24" t="n">
        <v>257730.77281117</v>
      </c>
      <c r="D497" s="24" t="n">
        <v>782369.53307277</v>
      </c>
    </row>
    <row r="498" customFormat="false" ht="16.5" hidden="false" customHeight="false" outlineLevel="0" collapsed="false">
      <c r="A498" s="19" t="n">
        <v>486.54</v>
      </c>
      <c r="B498" s="24" t="n">
        <v>255789.11719549</v>
      </c>
      <c r="C498" s="24" t="n">
        <v>257506.47562992</v>
      </c>
      <c r="D498" s="24" t="n">
        <v>779810.53495014</v>
      </c>
    </row>
    <row r="499" customFormat="false" ht="16.5" hidden="false" customHeight="false" outlineLevel="0" collapsed="false">
      <c r="A499" s="19" t="n">
        <v>486.53</v>
      </c>
      <c r="B499" s="24" t="n">
        <v>255572.0505881</v>
      </c>
      <c r="C499" s="24" t="n">
        <v>257283.28242511</v>
      </c>
      <c r="D499" s="24" t="n">
        <v>777253.74847727</v>
      </c>
    </row>
    <row r="500" customFormat="false" ht="16.5" hidden="false" customHeight="false" outlineLevel="0" collapsed="false">
      <c r="A500" s="19" t="n">
        <v>486.52</v>
      </c>
      <c r="B500" s="24" t="n">
        <v>255356.20106314</v>
      </c>
      <c r="C500" s="24" t="n">
        <v>257061.30845589</v>
      </c>
      <c r="D500" s="24" t="n">
        <v>774699.10024704</v>
      </c>
    </row>
    <row r="501" customFormat="false" ht="16.5" hidden="false" customHeight="false" outlineLevel="0" collapsed="false">
      <c r="A501" s="19" t="n">
        <v>486.51</v>
      </c>
      <c r="B501" s="24" t="n">
        <v>255141.49917526</v>
      </c>
      <c r="C501" s="24" t="n">
        <v>256840.48358113</v>
      </c>
      <c r="D501" s="24" t="n">
        <v>772146.61234245</v>
      </c>
    </row>
    <row r="502" customFormat="false" ht="16.5" hidden="false" customHeight="false" outlineLevel="0" collapsed="false">
      <c r="A502" s="19" t="n">
        <v>486.5</v>
      </c>
      <c r="B502" s="24" t="n">
        <v>254927.89931057</v>
      </c>
      <c r="C502" s="24" t="n">
        <v>256620.76246091</v>
      </c>
      <c r="D502" s="24" t="n">
        <v>769596.26982695</v>
      </c>
    </row>
    <row r="503" customFormat="false" ht="16.5" hidden="false" customHeight="false" outlineLevel="0" collapsed="false">
      <c r="A503" s="19" t="n">
        <v>486.49</v>
      </c>
      <c r="B503" s="24" t="n">
        <v>254715.33132144</v>
      </c>
      <c r="C503" s="24" t="n">
        <v>256402.07644155</v>
      </c>
      <c r="D503" s="24" t="n">
        <v>767048.05273555</v>
      </c>
    </row>
    <row r="504" customFormat="false" ht="16.5" hidden="false" customHeight="false" outlineLevel="0" collapsed="false">
      <c r="A504" s="19" t="n">
        <v>486.48</v>
      </c>
      <c r="B504" s="24" t="n">
        <v>254503.81648084</v>
      </c>
      <c r="C504" s="24" t="n">
        <v>256184.44878562</v>
      </c>
      <c r="D504" s="24" t="n">
        <v>764501.99466279</v>
      </c>
    </row>
    <row r="505" customFormat="false" ht="16.5" hidden="false" customHeight="false" outlineLevel="0" collapsed="false">
      <c r="A505" s="19" t="n">
        <v>486.47</v>
      </c>
      <c r="B505" s="24" t="n">
        <v>254293.36072178</v>
      </c>
      <c r="C505" s="24" t="n">
        <v>255967.88901677</v>
      </c>
      <c r="D505" s="24" t="n">
        <v>761958.04983037</v>
      </c>
    </row>
    <row r="506" customFormat="false" ht="16.5" hidden="false" customHeight="false" outlineLevel="0" collapsed="false">
      <c r="A506" s="19" t="n">
        <v>486.46</v>
      </c>
      <c r="B506" s="24" t="n">
        <v>254083.89984526</v>
      </c>
      <c r="C506" s="24" t="n">
        <v>255752.33245257</v>
      </c>
      <c r="D506" s="24" t="n">
        <v>759416.22289924</v>
      </c>
    </row>
    <row r="507" customFormat="false" ht="16.5" hidden="false" customHeight="false" outlineLevel="0" collapsed="false">
      <c r="A507" s="19" t="n">
        <v>486.45</v>
      </c>
      <c r="B507" s="24" t="n">
        <v>253875.30607794</v>
      </c>
      <c r="C507" s="24" t="n">
        <v>255537.65311643</v>
      </c>
      <c r="D507" s="24" t="n">
        <v>756876.40803926</v>
      </c>
    </row>
    <row r="508" customFormat="false" ht="16.5" hidden="false" customHeight="false" outlineLevel="0" collapsed="false">
      <c r="A508" s="19" t="n">
        <v>486.44</v>
      </c>
      <c r="B508" s="24" t="n">
        <v>253667.80679833</v>
      </c>
      <c r="C508" s="24" t="n">
        <v>255324.07704184</v>
      </c>
      <c r="D508" s="24" t="n">
        <v>754338.72138608</v>
      </c>
    </row>
    <row r="509" customFormat="false" ht="16.5" hidden="false" customHeight="false" outlineLevel="0" collapsed="false">
      <c r="A509" s="19" t="n">
        <v>486.43</v>
      </c>
      <c r="B509" s="24" t="n">
        <v>253461.40748363</v>
      </c>
      <c r="C509" s="24" t="n">
        <v>255111.60758916</v>
      </c>
      <c r="D509" s="24" t="n">
        <v>751803.10298266</v>
      </c>
    </row>
    <row r="510" customFormat="false" ht="16.5" hidden="false" customHeight="false" outlineLevel="0" collapsed="false">
      <c r="A510" s="19" t="n">
        <v>486.42</v>
      </c>
      <c r="B510" s="24" t="n">
        <v>253256.2822057</v>
      </c>
      <c r="C510" s="24" t="n">
        <v>254900.41312821</v>
      </c>
      <c r="D510" s="24" t="n">
        <v>749269.49309992</v>
      </c>
    </row>
    <row r="511" customFormat="false" ht="16.5" hidden="false" customHeight="false" outlineLevel="0" collapsed="false">
      <c r="A511" s="19" t="n">
        <v>486.41</v>
      </c>
      <c r="B511" s="24" t="n">
        <v>253051.51174179</v>
      </c>
      <c r="C511" s="24" t="n">
        <v>254689.5708933</v>
      </c>
      <c r="D511" s="24" t="n">
        <v>746737.95237669</v>
      </c>
    </row>
    <row r="512" customFormat="false" ht="16.5" hidden="false" customHeight="false" outlineLevel="0" collapsed="false">
      <c r="A512" s="19" t="n">
        <v>486.4</v>
      </c>
      <c r="B512" s="24" t="n">
        <v>252827.09202117</v>
      </c>
      <c r="C512" s="24" t="n">
        <v>254459.08704069</v>
      </c>
      <c r="D512" s="24" t="n">
        <v>744208.4781842</v>
      </c>
    </row>
    <row r="513" customFormat="false" ht="16.5" hidden="false" customHeight="false" outlineLevel="0" collapsed="false">
      <c r="A513" s="19" t="n">
        <v>486.39</v>
      </c>
      <c r="B513" s="24" t="n">
        <v>252530.35642317</v>
      </c>
      <c r="C513" s="24" t="n">
        <v>254156.25543579</v>
      </c>
      <c r="D513" s="24" t="n">
        <v>741682.015123</v>
      </c>
    </row>
    <row r="514" customFormat="false" ht="16.5" hidden="false" customHeight="false" outlineLevel="0" collapsed="false">
      <c r="A514" s="19" t="n">
        <v>486.38</v>
      </c>
      <c r="B514" s="24" t="n">
        <v>252333.61923853</v>
      </c>
      <c r="C514" s="24" t="n">
        <v>253953.35073681</v>
      </c>
      <c r="D514" s="24" t="n">
        <v>739157.69790213</v>
      </c>
    </row>
    <row r="515" customFormat="false" ht="16.5" hidden="false" customHeight="false" outlineLevel="0" collapsed="false">
      <c r="A515" s="19" t="n">
        <v>486.37</v>
      </c>
      <c r="B515" s="24" t="n">
        <v>252139.87856852</v>
      </c>
      <c r="C515" s="24" t="n">
        <v>253753.38520051</v>
      </c>
      <c r="D515" s="24" t="n">
        <v>736635.34469422</v>
      </c>
    </row>
    <row r="516" customFormat="false" ht="16.5" hidden="false" customHeight="false" outlineLevel="0" collapsed="false">
      <c r="A516" s="19" t="n">
        <v>486.36</v>
      </c>
      <c r="B516" s="24" t="n">
        <v>251947.69559415</v>
      </c>
      <c r="C516" s="24" t="n">
        <v>253554.93369529</v>
      </c>
      <c r="D516" s="24" t="n">
        <v>734114.89858209</v>
      </c>
    </row>
    <row r="517" customFormat="false" ht="16.5" hidden="false" customHeight="false" outlineLevel="0" collapsed="false">
      <c r="A517" s="19" t="n">
        <v>486.35</v>
      </c>
      <c r="B517" s="24" t="n">
        <v>251757.33257043</v>
      </c>
      <c r="C517" s="24" t="n">
        <v>253358.26922354</v>
      </c>
      <c r="D517" s="24" t="n">
        <v>731596.37028966</v>
      </c>
    </row>
    <row r="518" customFormat="false" ht="16.5" hidden="false" customHeight="false" outlineLevel="0" collapsed="false">
      <c r="A518" s="19" t="n">
        <v>486.34</v>
      </c>
      <c r="B518" s="24" t="n">
        <v>251568.381028</v>
      </c>
      <c r="C518" s="24" t="n">
        <v>253162.99496148</v>
      </c>
      <c r="D518" s="24" t="n">
        <v>729079.7231875</v>
      </c>
    </row>
    <row r="519" customFormat="false" ht="16.5" hidden="false" customHeight="false" outlineLevel="0" collapsed="false">
      <c r="A519" s="19" t="n">
        <v>486.33</v>
      </c>
      <c r="B519" s="24" t="n">
        <v>251380.55882401</v>
      </c>
      <c r="C519" s="24" t="n">
        <v>252968.83894661</v>
      </c>
      <c r="D519" s="24" t="n">
        <v>726564.98341264</v>
      </c>
    </row>
    <row r="520" customFormat="false" ht="16.5" hidden="false" customHeight="false" outlineLevel="0" collapsed="false">
      <c r="A520" s="19" t="n">
        <v>486.32</v>
      </c>
      <c r="B520" s="24" t="n">
        <v>251193.76176896</v>
      </c>
      <c r="C520" s="24" t="n">
        <v>252775.69869296</v>
      </c>
      <c r="D520" s="24" t="n">
        <v>724052.16407548</v>
      </c>
    </row>
    <row r="521" customFormat="false" ht="16.5" hidden="false" customHeight="false" outlineLevel="0" collapsed="false">
      <c r="A521" s="19" t="n">
        <v>486.31</v>
      </c>
      <c r="B521" s="24" t="n">
        <v>251007.95847077</v>
      </c>
      <c r="C521" s="24" t="n">
        <v>252583.54556156</v>
      </c>
      <c r="D521" s="24" t="n">
        <v>721541.1357541</v>
      </c>
    </row>
    <row r="522" customFormat="false" ht="16.5" hidden="false" customHeight="false" outlineLevel="0" collapsed="false">
      <c r="A522" s="19" t="n">
        <v>486.3</v>
      </c>
      <c r="B522" s="24" t="n">
        <v>250823.11440231</v>
      </c>
      <c r="C522" s="24" t="n">
        <v>252392.3468178</v>
      </c>
      <c r="D522" s="24" t="n">
        <v>719032.01745246</v>
      </c>
    </row>
    <row r="523" customFormat="false" ht="16.5" hidden="false" customHeight="false" outlineLevel="0" collapsed="false">
      <c r="A523" s="19" t="n">
        <v>486.29</v>
      </c>
      <c r="B523" s="24" t="n">
        <v>250639.20964593</v>
      </c>
      <c r="C523" s="24" t="n">
        <v>252202.08718063</v>
      </c>
      <c r="D523" s="24" t="n">
        <v>716524.68904809</v>
      </c>
    </row>
    <row r="524" customFormat="false" ht="16.5" hidden="false" customHeight="false" outlineLevel="0" collapsed="false">
      <c r="A524" s="19" t="n">
        <v>486.28</v>
      </c>
      <c r="B524" s="24" t="n">
        <v>250456.15052086</v>
      </c>
      <c r="C524" s="24" t="n">
        <v>252012.67435333</v>
      </c>
      <c r="D524" s="24" t="n">
        <v>714019.23185002</v>
      </c>
    </row>
    <row r="525" customFormat="false" ht="16.5" hidden="false" customHeight="false" outlineLevel="0" collapsed="false">
      <c r="A525" s="19" t="n">
        <v>486.27</v>
      </c>
      <c r="B525" s="24" t="n">
        <v>250273.93828402</v>
      </c>
      <c r="C525" s="24" t="n">
        <v>251824.10929</v>
      </c>
      <c r="D525" s="24" t="n">
        <v>711515.55095127</v>
      </c>
    </row>
    <row r="526" customFormat="false" ht="16.5" hidden="false" customHeight="false" outlineLevel="0" collapsed="false">
      <c r="A526" s="19" t="n">
        <v>486.26</v>
      </c>
      <c r="B526" s="24" t="n">
        <v>250092.52671711</v>
      </c>
      <c r="C526" s="24" t="n">
        <v>251636.3477362</v>
      </c>
      <c r="D526" s="24" t="n">
        <v>709013.72221981</v>
      </c>
    </row>
    <row r="527" customFormat="false" ht="16.5" hidden="false" customHeight="false" outlineLevel="0" collapsed="false">
      <c r="A527" s="19" t="n">
        <v>486.25</v>
      </c>
      <c r="B527" s="24" t="n">
        <v>249911.87483621</v>
      </c>
      <c r="C527" s="24" t="n">
        <v>251449.35299448</v>
      </c>
      <c r="D527" s="24" t="n">
        <v>706513.69908472</v>
      </c>
    </row>
    <row r="528" customFormat="false" ht="16.5" hidden="false" customHeight="false" outlineLevel="0" collapsed="false">
      <c r="A528" s="19" t="n">
        <v>486.24</v>
      </c>
      <c r="B528" s="24" t="n">
        <v>249731.987259</v>
      </c>
      <c r="C528" s="24" t="n">
        <v>251263.13073099</v>
      </c>
      <c r="D528" s="24" t="n">
        <v>704015.45686077</v>
      </c>
    </row>
    <row r="529" customFormat="false" ht="16.5" hidden="false" customHeight="false" outlineLevel="0" collapsed="false">
      <c r="A529" s="19" t="n">
        <v>486.23</v>
      </c>
      <c r="B529" s="24" t="n">
        <v>249552.75311061</v>
      </c>
      <c r="C529" s="24" t="n">
        <v>251077.57012758</v>
      </c>
      <c r="D529" s="24" t="n">
        <v>701519.08181645</v>
      </c>
    </row>
    <row r="530" customFormat="false" ht="16.5" hidden="false" customHeight="false" outlineLevel="0" collapsed="false">
      <c r="A530" s="19" t="n">
        <v>486.22</v>
      </c>
      <c r="B530" s="24" t="n">
        <v>249373.92572073</v>
      </c>
      <c r="C530" s="24" t="n">
        <v>250892.42586134</v>
      </c>
      <c r="D530" s="24" t="n">
        <v>699024.47091898</v>
      </c>
    </row>
    <row r="531" customFormat="false" ht="16.5" hidden="false" customHeight="false" outlineLevel="0" collapsed="false">
      <c r="A531" s="19" t="n">
        <v>486.21</v>
      </c>
      <c r="B531" s="24" t="n">
        <v>249194.37352782</v>
      </c>
      <c r="C531" s="24" t="n">
        <v>250706.56963814</v>
      </c>
      <c r="D531" s="24" t="n">
        <v>696531.65373681</v>
      </c>
    </row>
    <row r="532" customFormat="false" ht="16.5" hidden="false" customHeight="false" outlineLevel="0" collapsed="false">
      <c r="A532" s="19" t="n">
        <v>486.2</v>
      </c>
      <c r="B532" s="24" t="n">
        <v>248819.33457642</v>
      </c>
      <c r="C532" s="24" t="n">
        <v>250325.25517581</v>
      </c>
      <c r="D532" s="24" t="n">
        <v>694040.59809925</v>
      </c>
    </row>
    <row r="533" customFormat="false" ht="16.5" hidden="false" customHeight="false" outlineLevel="0" collapsed="false">
      <c r="A533" s="19" t="n">
        <v>486.19</v>
      </c>
      <c r="B533" s="24" t="n">
        <v>248626.09527105</v>
      </c>
      <c r="C533" s="24" t="n">
        <v>250125.75439573</v>
      </c>
      <c r="D533" s="24" t="n">
        <v>691553.38387693</v>
      </c>
    </row>
    <row r="534" customFormat="false" ht="16.5" hidden="false" customHeight="false" outlineLevel="0" collapsed="false">
      <c r="A534" s="19" t="n">
        <v>486.18</v>
      </c>
      <c r="B534" s="24" t="n">
        <v>248451.48401625</v>
      </c>
      <c r="C534" s="24" t="n">
        <v>249944.83655521</v>
      </c>
      <c r="D534" s="24" t="n">
        <v>689067.9878127</v>
      </c>
    </row>
    <row r="535" customFormat="false" ht="16.5" hidden="false" customHeight="false" outlineLevel="0" collapsed="false">
      <c r="A535" s="19" t="n">
        <v>486.17</v>
      </c>
      <c r="B535" s="24" t="n">
        <v>248278.22638819</v>
      </c>
      <c r="C535" s="24" t="n">
        <v>249765.24324881</v>
      </c>
      <c r="D535" s="24" t="n">
        <v>686584.3699587</v>
      </c>
    </row>
    <row r="536" customFormat="false" ht="16.5" hidden="false" customHeight="false" outlineLevel="0" collapsed="false">
      <c r="A536" s="19" t="n">
        <v>486.16</v>
      </c>
      <c r="B536" s="24" t="n">
        <v>248105.20137643</v>
      </c>
      <c r="C536" s="24" t="n">
        <v>249585.86346816</v>
      </c>
      <c r="D536" s="24" t="n">
        <v>684102.43294893</v>
      </c>
    </row>
    <row r="537" customFormat="false" ht="16.5" hidden="false" customHeight="false" outlineLevel="0" collapsed="false">
      <c r="A537" s="19" t="n">
        <v>486.15</v>
      </c>
      <c r="B537" s="24" t="n">
        <v>247931.83463756</v>
      </c>
      <c r="C537" s="24" t="n">
        <v>249406.12781078</v>
      </c>
      <c r="D537" s="24" t="n">
        <v>681622.26330575</v>
      </c>
    </row>
    <row r="538" customFormat="false" ht="16.5" hidden="false" customHeight="false" outlineLevel="0" collapsed="false">
      <c r="A538" s="19" t="n">
        <v>486.14</v>
      </c>
      <c r="B538" s="24" t="n">
        <v>247757.93148072</v>
      </c>
      <c r="C538" s="24" t="n">
        <v>249225.84405557</v>
      </c>
      <c r="D538" s="24" t="n">
        <v>679143.79528638</v>
      </c>
    </row>
    <row r="539" customFormat="false" ht="16.5" hidden="false" customHeight="false" outlineLevel="0" collapsed="false">
      <c r="A539" s="19" t="n">
        <v>486.13</v>
      </c>
      <c r="B539" s="24" t="n">
        <v>247583.51459635</v>
      </c>
      <c r="C539" s="24" t="n">
        <v>249045.042503</v>
      </c>
      <c r="D539" s="24" t="n">
        <v>676667.12680619</v>
      </c>
    </row>
    <row r="540" customFormat="false" ht="16.5" hidden="false" customHeight="false" outlineLevel="0" collapsed="false">
      <c r="A540" s="19" t="n">
        <v>486.12</v>
      </c>
      <c r="B540" s="24" t="n">
        <v>247408.424974</v>
      </c>
      <c r="C540" s="24" t="n">
        <v>248863.57075908</v>
      </c>
      <c r="D540" s="24" t="n">
        <v>674192.14268106</v>
      </c>
    </row>
    <row r="541" customFormat="false" ht="16.5" hidden="false" customHeight="false" outlineLevel="0" collapsed="false">
      <c r="A541" s="19" t="n">
        <v>486.11</v>
      </c>
      <c r="B541" s="24" t="n">
        <v>247232.65178323</v>
      </c>
      <c r="C541" s="24" t="n">
        <v>248681.42288355</v>
      </c>
      <c r="D541" s="24" t="n">
        <v>671718.95050241</v>
      </c>
    </row>
    <row r="542" customFormat="false" ht="16.5" hidden="false" customHeight="false" outlineLevel="0" collapsed="false">
      <c r="A542" s="19" t="n">
        <v>486.1</v>
      </c>
      <c r="B542" s="24" t="n">
        <v>247056.15062226</v>
      </c>
      <c r="C542" s="24" t="n">
        <v>248498.55563368</v>
      </c>
      <c r="D542" s="24" t="n">
        <v>669247.52662458</v>
      </c>
    </row>
    <row r="543" customFormat="false" ht="16.5" hidden="false" customHeight="false" outlineLevel="0" collapsed="false">
      <c r="A543" s="19" t="n">
        <v>486.09</v>
      </c>
      <c r="B543" s="24" t="n">
        <v>246878.9146818</v>
      </c>
      <c r="C543" s="24" t="n">
        <v>248314.96131873</v>
      </c>
      <c r="D543" s="24" t="n">
        <v>666777.84369172</v>
      </c>
    </row>
    <row r="544" customFormat="false" ht="16.5" hidden="false" customHeight="false" outlineLevel="0" collapsed="false">
      <c r="A544" s="19" t="n">
        <v>486.08</v>
      </c>
      <c r="B544" s="24" t="n">
        <v>246700.92683454</v>
      </c>
      <c r="C544" s="24" t="n">
        <v>248130.62571204</v>
      </c>
      <c r="D544" s="24" t="n">
        <v>664309.98266506</v>
      </c>
    </row>
    <row r="545" customFormat="false" ht="16.5" hidden="false" customHeight="false" outlineLevel="0" collapsed="false">
      <c r="A545" s="19" t="n">
        <v>486.07</v>
      </c>
      <c r="B545" s="24" t="n">
        <v>246522.12280926</v>
      </c>
      <c r="C545" s="24" t="n">
        <v>247945.4853498</v>
      </c>
      <c r="D545" s="24" t="n">
        <v>661843.89445892</v>
      </c>
    </row>
    <row r="546" customFormat="false" ht="16.5" hidden="false" customHeight="false" outlineLevel="0" collapsed="false">
      <c r="A546" s="19" t="n">
        <v>486.06</v>
      </c>
      <c r="B546" s="24" t="n">
        <v>246342.35237522</v>
      </c>
      <c r="C546" s="24" t="n">
        <v>247759.39379683</v>
      </c>
      <c r="D546" s="24" t="n">
        <v>659379.57581452</v>
      </c>
    </row>
    <row r="547" customFormat="false" ht="16.5" hidden="false" customHeight="false" outlineLevel="0" collapsed="false">
      <c r="A547" s="19" t="n">
        <v>486.05</v>
      </c>
      <c r="B547" s="24" t="n">
        <v>246161.5678443</v>
      </c>
      <c r="C547" s="24" t="n">
        <v>247572.30483837</v>
      </c>
      <c r="D547" s="24" t="n">
        <v>656917.11407163</v>
      </c>
    </row>
    <row r="548" customFormat="false" ht="16.5" hidden="false" customHeight="false" outlineLevel="0" collapsed="false">
      <c r="A548" s="19" t="n">
        <v>486.04</v>
      </c>
      <c r="B548" s="24" t="n">
        <v>245979.69279101</v>
      </c>
      <c r="C548" s="24" t="n">
        <v>247384.14530759</v>
      </c>
      <c r="D548" s="24" t="n">
        <v>654456.40571192</v>
      </c>
    </row>
    <row r="549" customFormat="false" ht="16.5" hidden="false" customHeight="false" outlineLevel="0" collapsed="false">
      <c r="A549" s="19" t="n">
        <v>486.03</v>
      </c>
      <c r="B549" s="24" t="n">
        <v>245796.37592726</v>
      </c>
      <c r="C549" s="24" t="n">
        <v>247194.57087861</v>
      </c>
      <c r="D549" s="24" t="n">
        <v>651997.59137581</v>
      </c>
    </row>
    <row r="550" customFormat="false" ht="16.5" hidden="false" customHeight="false" outlineLevel="0" collapsed="false">
      <c r="A550" s="19" t="n">
        <v>486.02</v>
      </c>
      <c r="B550" s="24" t="n">
        <v>245611.53608921</v>
      </c>
      <c r="C550" s="24" t="n">
        <v>247003.50458125</v>
      </c>
      <c r="D550" s="24" t="n">
        <v>649540.57578388</v>
      </c>
    </row>
    <row r="551" customFormat="false" ht="16.5" hidden="false" customHeight="false" outlineLevel="0" collapsed="false">
      <c r="A551" s="19" t="n">
        <v>486.01</v>
      </c>
      <c r="B551" s="24" t="n">
        <v>245423.12431123</v>
      </c>
      <c r="C551" s="24" t="n">
        <v>246808.91030764</v>
      </c>
      <c r="D551" s="24" t="n">
        <v>647085.42898628</v>
      </c>
    </row>
    <row r="552" customFormat="false" ht="16.5" hidden="false" customHeight="false" outlineLevel="0" collapsed="false">
      <c r="A552" s="19" t="n">
        <v>486</v>
      </c>
      <c r="B552" s="24" t="n">
        <v>245184.93791434</v>
      </c>
      <c r="C552" s="24" t="n">
        <v>246564.61108607</v>
      </c>
      <c r="D552" s="24" t="n">
        <v>644632.24726224</v>
      </c>
    </row>
    <row r="553" customFormat="false" ht="16.5" hidden="false" customHeight="false" outlineLevel="0" collapsed="false">
      <c r="A553" s="19" t="n">
        <v>485.99</v>
      </c>
      <c r="B553" s="24" t="n">
        <v>244558.93018184</v>
      </c>
      <c r="C553" s="24" t="n">
        <v>245932.52374352</v>
      </c>
      <c r="D553" s="24" t="n">
        <v>642185.36183879</v>
      </c>
    </row>
    <row r="554" customFormat="false" ht="16.5" hidden="false" customHeight="false" outlineLevel="0" collapsed="false">
      <c r="A554" s="19" t="n">
        <v>485.98</v>
      </c>
      <c r="B554" s="24" t="n">
        <v>244344.87274002</v>
      </c>
      <c r="C554" s="24" t="n">
        <v>245712.35390414</v>
      </c>
      <c r="D554" s="24" t="n">
        <v>639740.8406923</v>
      </c>
    </row>
    <row r="555" customFormat="false" ht="16.5" hidden="false" customHeight="false" outlineLevel="0" collapsed="false">
      <c r="A555" s="19" t="n">
        <v>485.97</v>
      </c>
      <c r="B555" s="24" t="n">
        <v>244131.79786618</v>
      </c>
      <c r="C555" s="24" t="n">
        <v>245493.15003451</v>
      </c>
      <c r="D555" s="24" t="n">
        <v>637298.4679773</v>
      </c>
    </row>
    <row r="556" customFormat="false" ht="16.5" hidden="false" customHeight="false" outlineLevel="0" collapsed="false">
      <c r="A556" s="19" t="n">
        <v>485.96</v>
      </c>
      <c r="B556" s="24" t="n">
        <v>243918.73698896</v>
      </c>
      <c r="C556" s="24" t="n">
        <v>245273.94506267</v>
      </c>
      <c r="D556" s="24" t="n">
        <v>634858.21247272</v>
      </c>
    </row>
    <row r="557" customFormat="false" ht="16.5" hidden="false" customHeight="false" outlineLevel="0" collapsed="false">
      <c r="A557" s="19" t="n">
        <v>485.95</v>
      </c>
      <c r="B557" s="24" t="n">
        <v>243705.17899576</v>
      </c>
      <c r="C557" s="24" t="n">
        <v>245054.23677523</v>
      </c>
      <c r="D557" s="24" t="n">
        <v>632420.0815928</v>
      </c>
    </row>
    <row r="558" customFormat="false" ht="16.5" hidden="false" customHeight="false" outlineLevel="0" collapsed="false">
      <c r="A558" s="19" t="n">
        <v>485.94</v>
      </c>
      <c r="B558" s="24" t="n">
        <v>243491.12530919</v>
      </c>
      <c r="C558" s="24" t="n">
        <v>244834.03247916</v>
      </c>
      <c r="D558" s="24" t="n">
        <v>629984.11643716</v>
      </c>
    </row>
    <row r="559" customFormat="false" ht="16.5" hidden="false" customHeight="false" outlineLevel="0" collapsed="false">
      <c r="A559" s="19" t="n">
        <v>485.93</v>
      </c>
      <c r="B559" s="24" t="n">
        <v>243276.40864584</v>
      </c>
      <c r="C559" s="24" t="n">
        <v>244613.16466673</v>
      </c>
      <c r="D559" s="24" t="n">
        <v>627550.2910783</v>
      </c>
    </row>
    <row r="560" customFormat="false" ht="16.5" hidden="false" customHeight="false" outlineLevel="0" collapsed="false">
      <c r="A560" s="19" t="n">
        <v>485.92</v>
      </c>
      <c r="B560" s="24" t="n">
        <v>243061.11779674</v>
      </c>
      <c r="C560" s="24" t="n">
        <v>244391.72261461</v>
      </c>
      <c r="D560" s="24" t="n">
        <v>625118.59944146</v>
      </c>
    </row>
    <row r="561" customFormat="false" ht="16.5" hidden="false" customHeight="false" outlineLevel="0" collapsed="false">
      <c r="A561" s="19" t="n">
        <v>485.91</v>
      </c>
      <c r="B561" s="24" t="n">
        <v>242845.17488056</v>
      </c>
      <c r="C561" s="24" t="n">
        <v>244169.63222483</v>
      </c>
      <c r="D561" s="24" t="n">
        <v>622689.04586276</v>
      </c>
    </row>
    <row r="562" customFormat="false" ht="16.5" hidden="false" customHeight="false" outlineLevel="0" collapsed="false">
      <c r="A562" s="19" t="n">
        <v>485.9</v>
      </c>
      <c r="B562" s="24" t="n">
        <v>242628.41422714</v>
      </c>
      <c r="C562" s="24" t="n">
        <v>243946.73176676</v>
      </c>
      <c r="D562" s="24" t="n">
        <v>620261.71814855</v>
      </c>
    </row>
    <row r="563" customFormat="false" ht="16.5" hidden="false" customHeight="false" outlineLevel="0" collapsed="false">
      <c r="A563" s="19" t="n">
        <v>485.89</v>
      </c>
      <c r="B563" s="24" t="n">
        <v>242410.91239392</v>
      </c>
      <c r="C563" s="24" t="n">
        <v>243723.10056178</v>
      </c>
      <c r="D563" s="24" t="n">
        <v>617836.57865831</v>
      </c>
    </row>
    <row r="564" customFormat="false" ht="16.5" hidden="false" customHeight="false" outlineLevel="0" collapsed="false">
      <c r="A564" s="19" t="n">
        <v>485.88</v>
      </c>
      <c r="B564" s="24" t="n">
        <v>242192.5901004</v>
      </c>
      <c r="C564" s="24" t="n">
        <v>243498.66240413</v>
      </c>
      <c r="D564" s="24" t="n">
        <v>615413.63317365</v>
      </c>
    </row>
    <row r="565" customFormat="false" ht="16.5" hidden="false" customHeight="false" outlineLevel="0" collapsed="false">
      <c r="A565" s="19" t="n">
        <v>485.87</v>
      </c>
      <c r="B565" s="24" t="n">
        <v>241973.4098809</v>
      </c>
      <c r="C565" s="24" t="n">
        <v>243273.38025758</v>
      </c>
      <c r="D565" s="24" t="n">
        <v>612992.8283857</v>
      </c>
    </row>
    <row r="566" customFormat="false" ht="16.5" hidden="false" customHeight="false" outlineLevel="0" collapsed="false">
      <c r="A566" s="19" t="n">
        <v>485.86</v>
      </c>
      <c r="B566" s="24" t="n">
        <v>241753.36095257</v>
      </c>
      <c r="C566" s="24" t="n">
        <v>243047.24415766</v>
      </c>
      <c r="D566" s="24" t="n">
        <v>610574.23994351</v>
      </c>
    </row>
    <row r="567" customFormat="false" ht="16.5" hidden="false" customHeight="false" outlineLevel="0" collapsed="false">
      <c r="A567" s="19" t="n">
        <v>485.85</v>
      </c>
      <c r="B567" s="24" t="n">
        <v>241532.40253849</v>
      </c>
      <c r="C567" s="24" t="n">
        <v>242820.21651906</v>
      </c>
      <c r="D567" s="24" t="n">
        <v>608157.84332407</v>
      </c>
    </row>
    <row r="568" customFormat="false" ht="16.5" hidden="false" customHeight="false" outlineLevel="0" collapsed="false">
      <c r="A568" s="19" t="n">
        <v>485.84</v>
      </c>
      <c r="B568" s="24" t="n">
        <v>241310.23295946</v>
      </c>
      <c r="C568" s="24" t="n">
        <v>242591.99909198</v>
      </c>
      <c r="D568" s="24" t="n">
        <v>605743.64491953</v>
      </c>
    </row>
    <row r="569" customFormat="false" ht="16.5" hidden="false" customHeight="false" outlineLevel="0" collapsed="false">
      <c r="A569" s="19" t="n">
        <v>485.83</v>
      </c>
      <c r="B569" s="24" t="n">
        <v>241086.65067332</v>
      </c>
      <c r="C569" s="24" t="n">
        <v>242362.39717315</v>
      </c>
      <c r="D569" s="24" t="n">
        <v>603331.6339488</v>
      </c>
    </row>
    <row r="570" customFormat="false" ht="16.5" hidden="false" customHeight="false" outlineLevel="0" collapsed="false">
      <c r="A570" s="19" t="n">
        <v>485.82</v>
      </c>
      <c r="B570" s="24" t="n">
        <v>240861.47899164</v>
      </c>
      <c r="C570" s="24" t="n">
        <v>242131.24244595</v>
      </c>
      <c r="D570" s="24" t="n">
        <v>600921.89997221</v>
      </c>
    </row>
    <row r="571" customFormat="false" ht="16.5" hidden="false" customHeight="false" outlineLevel="0" collapsed="false">
      <c r="A571" s="19" t="n">
        <v>485.81</v>
      </c>
      <c r="B571" s="24" t="n">
        <v>240633.91118668</v>
      </c>
      <c r="C571" s="24" t="n">
        <v>241897.73458138</v>
      </c>
      <c r="D571" s="24" t="n">
        <v>598514.45365115</v>
      </c>
    </row>
    <row r="572" customFormat="false" ht="16.5" hidden="false" customHeight="false" outlineLevel="0" collapsed="false">
      <c r="A572" s="19" t="n">
        <v>485.8</v>
      </c>
      <c r="B572" s="24" t="n">
        <v>240376.42169645</v>
      </c>
      <c r="C572" s="24" t="n">
        <v>241634.36586413</v>
      </c>
      <c r="D572" s="24" t="n">
        <v>596109.34431787</v>
      </c>
    </row>
    <row r="573" customFormat="false" ht="16.5" hidden="false" customHeight="false" outlineLevel="0" collapsed="false">
      <c r="A573" s="19" t="n">
        <v>485.79</v>
      </c>
      <c r="B573" s="24" t="n">
        <v>239915.96701048</v>
      </c>
      <c r="C573" s="24" t="n">
        <v>241168.04735446</v>
      </c>
      <c r="D573" s="24" t="n">
        <v>593708.63922335</v>
      </c>
    </row>
    <row r="574" customFormat="false" ht="16.5" hidden="false" customHeight="false" outlineLevel="0" collapsed="false">
      <c r="A574" s="19" t="n">
        <v>485.78</v>
      </c>
      <c r="B574" s="24" t="n">
        <v>239641.38513407</v>
      </c>
      <c r="C574" s="24" t="n">
        <v>240887.57741043</v>
      </c>
      <c r="D574" s="24" t="n">
        <v>591310.86118301</v>
      </c>
    </row>
    <row r="575" customFormat="false" ht="16.5" hidden="false" customHeight="false" outlineLevel="0" collapsed="false">
      <c r="A575" s="19" t="n">
        <v>485.77</v>
      </c>
      <c r="B575" s="24" t="n">
        <v>239369.51849838</v>
      </c>
      <c r="C575" s="24" t="n">
        <v>240609.81858751</v>
      </c>
      <c r="D575" s="24" t="n">
        <v>588915.83828003</v>
      </c>
    </row>
    <row r="576" customFormat="false" ht="16.5" hidden="false" customHeight="false" outlineLevel="0" collapsed="false">
      <c r="A576" s="19" t="n">
        <v>485.76</v>
      </c>
      <c r="B576" s="24" t="n">
        <v>239099.1682772</v>
      </c>
      <c r="C576" s="24" t="n">
        <v>240333.57457243</v>
      </c>
      <c r="D576" s="24" t="n">
        <v>586523.49831843</v>
      </c>
    </row>
    <row r="577" customFormat="false" ht="16.5" hidden="false" customHeight="false" outlineLevel="0" collapsed="false">
      <c r="A577" s="19" t="n">
        <v>485.75</v>
      </c>
      <c r="B577" s="24" t="n">
        <v>238829.9272915</v>
      </c>
      <c r="C577" s="24" t="n">
        <v>240058.44315974</v>
      </c>
      <c r="D577" s="24" t="n">
        <v>584133.84536885</v>
      </c>
    </row>
    <row r="578" customFormat="false" ht="16.5" hidden="false" customHeight="false" outlineLevel="0" collapsed="false">
      <c r="A578" s="19" t="n">
        <v>485.74</v>
      </c>
      <c r="B578" s="24" t="n">
        <v>238561.67395597</v>
      </c>
      <c r="C578" s="24" t="n">
        <v>239784.30941227</v>
      </c>
      <c r="D578" s="24" t="n">
        <v>581746.9088629</v>
      </c>
    </row>
    <row r="579" customFormat="false" ht="16.5" hidden="false" customHeight="false" outlineLevel="0" collapsed="false">
      <c r="A579" s="19" t="n">
        <v>485.73</v>
      </c>
      <c r="B579" s="24" t="n">
        <v>238294.20091757</v>
      </c>
      <c r="C579" s="24" t="n">
        <v>239510.96586375</v>
      </c>
      <c r="D579" s="24" t="n">
        <v>579362.64141194</v>
      </c>
    </row>
    <row r="580" customFormat="false" ht="16.5" hidden="false" customHeight="false" outlineLevel="0" collapsed="false">
      <c r="A580" s="19" t="n">
        <v>485.72</v>
      </c>
      <c r="B580" s="24" t="n">
        <v>238027.56630019</v>
      </c>
      <c r="C580" s="24" t="n">
        <v>239238.4707158</v>
      </c>
      <c r="D580" s="24" t="n">
        <v>576981.01853698</v>
      </c>
    </row>
    <row r="581" customFormat="false" ht="16.5" hidden="false" customHeight="false" outlineLevel="0" collapsed="false">
      <c r="A581" s="19" t="n">
        <v>485.71</v>
      </c>
      <c r="B581" s="24" t="n">
        <v>237761.58071576</v>
      </c>
      <c r="C581" s="24" t="n">
        <v>238966.63672743</v>
      </c>
      <c r="D581" s="24" t="n">
        <v>574602.12255309</v>
      </c>
    </row>
    <row r="582" customFormat="false" ht="16.5" hidden="false" customHeight="false" outlineLevel="0" collapsed="false">
      <c r="A582" s="19" t="n">
        <v>485.7</v>
      </c>
      <c r="B582" s="24" t="n">
        <v>237496.41257641</v>
      </c>
      <c r="C582" s="24" t="n">
        <v>238695.63445237</v>
      </c>
      <c r="D582" s="24" t="n">
        <v>572225.83531903</v>
      </c>
    </row>
    <row r="583" customFormat="false" ht="16.5" hidden="false" customHeight="false" outlineLevel="0" collapsed="false">
      <c r="A583" s="19" t="n">
        <v>485.69</v>
      </c>
      <c r="B583" s="24" t="n">
        <v>237231.90746172</v>
      </c>
      <c r="C583" s="24" t="n">
        <v>238425.30976456</v>
      </c>
      <c r="D583" s="24" t="n">
        <v>569852.21688491</v>
      </c>
    </row>
    <row r="584" customFormat="false" ht="16.5" hidden="false" customHeight="false" outlineLevel="0" collapsed="false">
      <c r="A584" s="19" t="n">
        <v>485.68</v>
      </c>
      <c r="B584" s="24" t="n">
        <v>236968.00744956</v>
      </c>
      <c r="C584" s="24" t="n">
        <v>238155.60807962</v>
      </c>
      <c r="D584" s="24" t="n">
        <v>567481.26887637</v>
      </c>
    </row>
    <row r="585" customFormat="false" ht="16.5" hidden="false" customHeight="false" outlineLevel="0" collapsed="false">
      <c r="A585" s="19" t="n">
        <v>485.67</v>
      </c>
      <c r="B585" s="24" t="n">
        <v>236704.74054357</v>
      </c>
      <c r="C585" s="24" t="n">
        <v>237886.56044948</v>
      </c>
      <c r="D585" s="24" t="n">
        <v>565112.95472378</v>
      </c>
    </row>
    <row r="586" customFormat="false" ht="16.5" hidden="false" customHeight="false" outlineLevel="0" collapsed="false">
      <c r="A586" s="19" t="n">
        <v>485.66</v>
      </c>
      <c r="B586" s="24" t="n">
        <v>236442.14677261</v>
      </c>
      <c r="C586" s="24" t="n">
        <v>237618.21007158</v>
      </c>
      <c r="D586" s="24" t="n">
        <v>562747.24290909</v>
      </c>
    </row>
    <row r="587" customFormat="false" ht="16.5" hidden="false" customHeight="false" outlineLevel="0" collapsed="false">
      <c r="A587" s="19" t="n">
        <v>485.65</v>
      </c>
      <c r="B587" s="24" t="n">
        <v>236179.83532433</v>
      </c>
      <c r="C587" s="24" t="n">
        <v>237350.17264104</v>
      </c>
      <c r="D587" s="24" t="n">
        <v>560384.12602936</v>
      </c>
    </row>
    <row r="588" customFormat="false" ht="16.5" hidden="false" customHeight="false" outlineLevel="0" collapsed="false">
      <c r="A588" s="19" t="n">
        <v>485.64</v>
      </c>
      <c r="B588" s="24" t="n">
        <v>235917.71964004</v>
      </c>
      <c r="C588" s="24" t="n">
        <v>237082.36705626</v>
      </c>
      <c r="D588" s="24" t="n">
        <v>558023.66807044</v>
      </c>
    </row>
    <row r="589" customFormat="false" ht="16.5" hidden="false" customHeight="false" outlineLevel="0" collapsed="false">
      <c r="A589" s="19" t="n">
        <v>485.63</v>
      </c>
      <c r="B589" s="24" t="n">
        <v>235655.38246578</v>
      </c>
      <c r="C589" s="24" t="n">
        <v>236814.38396965</v>
      </c>
      <c r="D589" s="24" t="n">
        <v>555665.84166579</v>
      </c>
    </row>
    <row r="590" customFormat="false" ht="16.5" hidden="false" customHeight="false" outlineLevel="0" collapsed="false">
      <c r="A590" s="19" t="n">
        <v>485.62</v>
      </c>
      <c r="B590" s="24" t="n">
        <v>235392.05050935</v>
      </c>
      <c r="C590" s="24" t="n">
        <v>236545.45967268</v>
      </c>
      <c r="D590" s="24" t="n">
        <v>553310.67915215</v>
      </c>
    </row>
    <row r="591" customFormat="false" ht="16.5" hidden="false" customHeight="false" outlineLevel="0" collapsed="false">
      <c r="A591" s="19" t="n">
        <v>485.61</v>
      </c>
      <c r="B591" s="24" t="n">
        <v>235125.9080041</v>
      </c>
      <c r="C591" s="24" t="n">
        <v>236273.78869548</v>
      </c>
      <c r="D591" s="24" t="n">
        <v>550958.13400133</v>
      </c>
    </row>
    <row r="592" customFormat="false" ht="16.5" hidden="false" customHeight="false" outlineLevel="0" collapsed="false">
      <c r="A592" s="19" t="n">
        <v>485.6</v>
      </c>
      <c r="B592" s="24" t="n">
        <v>234743.0269475</v>
      </c>
      <c r="C592" s="24" t="n">
        <v>235885.47438329</v>
      </c>
      <c r="D592" s="24" t="n">
        <v>548608.26030218</v>
      </c>
    </row>
    <row r="593" customFormat="false" ht="16.5" hidden="false" customHeight="false" outlineLevel="0" collapsed="false">
      <c r="A593" s="19" t="n">
        <v>485.59</v>
      </c>
      <c r="B593" s="24" t="n">
        <v>234326.97296017</v>
      </c>
      <c r="C593" s="24" t="n">
        <v>235464.05334854</v>
      </c>
      <c r="D593" s="24" t="n">
        <v>546263.60196607</v>
      </c>
    </row>
    <row r="594" customFormat="false" ht="16.5" hidden="false" customHeight="false" outlineLevel="0" collapsed="false">
      <c r="A594" s="19" t="n">
        <v>485.58</v>
      </c>
      <c r="B594" s="24" t="n">
        <v>234076.9969745</v>
      </c>
      <c r="C594" s="24" t="n">
        <v>235208.68575877</v>
      </c>
      <c r="D594" s="24" t="n">
        <v>543921.58001482</v>
      </c>
    </row>
    <row r="595" customFormat="false" ht="16.5" hidden="false" customHeight="false" outlineLevel="0" collapsed="false">
      <c r="A595" s="19" t="n">
        <v>485.57</v>
      </c>
      <c r="B595" s="24" t="n">
        <v>233828.93910397</v>
      </c>
      <c r="C595" s="24" t="n">
        <v>234955.22617763</v>
      </c>
      <c r="D595" s="24" t="n">
        <v>541582.06636403</v>
      </c>
    </row>
    <row r="596" customFormat="false" ht="16.5" hidden="false" customHeight="false" outlineLevel="0" collapsed="false">
      <c r="A596" s="19" t="n">
        <v>485.56</v>
      </c>
      <c r="B596" s="24" t="n">
        <v>233581.19541907</v>
      </c>
      <c r="C596" s="24" t="n">
        <v>234702.07368339</v>
      </c>
      <c r="D596" s="24" t="n">
        <v>539245.01924435</v>
      </c>
    </row>
    <row r="597" customFormat="false" ht="16.5" hidden="false" customHeight="false" outlineLevel="0" collapsed="false">
      <c r="A597" s="19" t="n">
        <v>485.55</v>
      </c>
      <c r="B597" s="24" t="n">
        <v>233333.45777044</v>
      </c>
      <c r="C597" s="24" t="n">
        <v>234448.92572359</v>
      </c>
      <c r="D597" s="24" t="n">
        <v>536910.4087834</v>
      </c>
    </row>
    <row r="598" customFormat="false" ht="16.5" hidden="false" customHeight="false" outlineLevel="0" collapsed="false">
      <c r="A598" s="19" t="n">
        <v>485.54</v>
      </c>
      <c r="B598" s="24" t="n">
        <v>233085.62996829</v>
      </c>
      <c r="C598" s="24" t="n">
        <v>234195.69008899</v>
      </c>
      <c r="D598" s="24" t="n">
        <v>534578.30043045</v>
      </c>
    </row>
    <row r="599" customFormat="false" ht="16.5" hidden="false" customHeight="false" outlineLevel="0" collapsed="false">
      <c r="A599" s="19" t="n">
        <v>485.53</v>
      </c>
      <c r="B599" s="24" t="n">
        <v>232837.77615263</v>
      </c>
      <c r="C599" s="24" t="n">
        <v>233942.42699871</v>
      </c>
      <c r="D599" s="24" t="n">
        <v>532248.65128016</v>
      </c>
    </row>
    <row r="600" customFormat="false" ht="16.5" hidden="false" customHeight="false" outlineLevel="0" collapsed="false">
      <c r="A600" s="19" t="n">
        <v>485.52</v>
      </c>
      <c r="B600" s="24" t="n">
        <v>232589.94316538</v>
      </c>
      <c r="C600" s="24" t="n">
        <v>233689.1831885</v>
      </c>
      <c r="D600" s="24" t="n">
        <v>529921.50199371</v>
      </c>
    </row>
    <row r="601" customFormat="false" ht="16.5" hidden="false" customHeight="false" outlineLevel="0" collapsed="false">
      <c r="A601" s="19" t="n">
        <v>485.51</v>
      </c>
      <c r="B601" s="24" t="n">
        <v>232342.04349217</v>
      </c>
      <c r="C601" s="24" t="n">
        <v>233435.87076698</v>
      </c>
      <c r="D601" s="24" t="n">
        <v>527596.81052447</v>
      </c>
    </row>
    <row r="602" customFormat="false" ht="16.5" hidden="false" customHeight="false" outlineLevel="0" collapsed="false">
      <c r="A602" s="19" t="n">
        <v>485.5</v>
      </c>
      <c r="B602" s="24" t="n">
        <v>232094.09594253</v>
      </c>
      <c r="C602" s="24" t="n">
        <v>233182.50987238</v>
      </c>
      <c r="D602" s="24" t="n">
        <v>525274.65430577</v>
      </c>
    </row>
    <row r="603" customFormat="false" ht="16.5" hidden="false" customHeight="false" outlineLevel="0" collapsed="false">
      <c r="A603" s="19" t="n">
        <v>485.49</v>
      </c>
      <c r="B603" s="24" t="n">
        <v>231845.98112466</v>
      </c>
      <c r="C603" s="24" t="n">
        <v>232928.98205002</v>
      </c>
      <c r="D603" s="24" t="n">
        <v>522954.96025451</v>
      </c>
    </row>
    <row r="604" customFormat="false" ht="16.5" hidden="false" customHeight="false" outlineLevel="0" collapsed="false">
      <c r="A604" s="19" t="n">
        <v>485.48</v>
      </c>
      <c r="B604" s="24" t="n">
        <v>231597.69369394</v>
      </c>
      <c r="C604" s="24" t="n">
        <v>232675.28402935</v>
      </c>
      <c r="D604" s="24" t="n">
        <v>520637.78312152</v>
      </c>
    </row>
    <row r="605" customFormat="false" ht="16.5" hidden="false" customHeight="false" outlineLevel="0" collapsed="false">
      <c r="A605" s="19" t="n">
        <v>485.47</v>
      </c>
      <c r="B605" s="24" t="n">
        <v>231349.24132129</v>
      </c>
      <c r="C605" s="24" t="n">
        <v>232421.42399783</v>
      </c>
      <c r="D605" s="24" t="n">
        <v>518323.07116749</v>
      </c>
    </row>
    <row r="606" customFormat="false" ht="16.5" hidden="false" customHeight="false" outlineLevel="0" collapsed="false">
      <c r="A606" s="19" t="n">
        <v>485.46</v>
      </c>
      <c r="B606" s="24" t="n">
        <v>231100.62984352</v>
      </c>
      <c r="C606" s="24" t="n">
        <v>232167.40802775</v>
      </c>
      <c r="D606" s="24" t="n">
        <v>516010.89440764</v>
      </c>
    </row>
    <row r="607" customFormat="false" ht="16.5" hidden="false" customHeight="false" outlineLevel="0" collapsed="false">
      <c r="A607" s="19" t="n">
        <v>485.45</v>
      </c>
      <c r="B607" s="24" t="n">
        <v>230851.89176455</v>
      </c>
      <c r="C607" s="24" t="n">
        <v>231913.26777952</v>
      </c>
      <c r="D607" s="24" t="n">
        <v>513701.11024286</v>
      </c>
    </row>
    <row r="608" customFormat="false" ht="16.5" hidden="false" customHeight="false" outlineLevel="0" collapsed="false">
      <c r="A608" s="19" t="n">
        <v>485.44</v>
      </c>
      <c r="B608" s="24" t="n">
        <v>230602.83493097</v>
      </c>
      <c r="C608" s="24" t="n">
        <v>231658.81389041</v>
      </c>
      <c r="D608" s="24" t="n">
        <v>511393.84960769</v>
      </c>
    </row>
    <row r="609" customFormat="false" ht="16.5" hidden="false" customHeight="false" outlineLevel="0" collapsed="false">
      <c r="A609" s="19" t="n">
        <v>485.43</v>
      </c>
      <c r="B609" s="24" t="n">
        <v>230353.60552866</v>
      </c>
      <c r="C609" s="24" t="n">
        <v>231404.19288523</v>
      </c>
      <c r="D609" s="24" t="n">
        <v>509089.07338123</v>
      </c>
    </row>
    <row r="610" customFormat="false" ht="16.5" hidden="false" customHeight="false" outlineLevel="0" collapsed="false">
      <c r="A610" s="19" t="n">
        <v>485.42</v>
      </c>
      <c r="B610" s="24" t="n">
        <v>230103.8731671</v>
      </c>
      <c r="C610" s="24" t="n">
        <v>231149.06977004</v>
      </c>
      <c r="D610" s="24" t="n">
        <v>506786.78438331</v>
      </c>
    </row>
    <row r="611" customFormat="false" ht="16.5" hidden="false" customHeight="false" outlineLevel="0" collapsed="false">
      <c r="A611" s="19" t="n">
        <v>485.41</v>
      </c>
      <c r="B611" s="24" t="n">
        <v>229852.20902307</v>
      </c>
      <c r="C611" s="24" t="n">
        <v>230892.0167914</v>
      </c>
      <c r="D611" s="24" t="n">
        <v>504486.99928765</v>
      </c>
    </row>
    <row r="612" customFormat="false" ht="16.5" hidden="false" customHeight="false" outlineLevel="0" collapsed="false">
      <c r="A612" s="19" t="n">
        <v>485.4</v>
      </c>
      <c r="B612" s="24" t="n">
        <v>229350.63865875</v>
      </c>
      <c r="C612" s="24" t="n">
        <v>230385.07590933</v>
      </c>
      <c r="D612" s="24" t="n">
        <v>502189.70251776</v>
      </c>
    </row>
    <row r="613" customFormat="false" ht="16.5" hidden="false" customHeight="false" outlineLevel="0" collapsed="false">
      <c r="A613" s="19" t="n">
        <v>485.39</v>
      </c>
      <c r="B613" s="24" t="n">
        <v>229014.36321904</v>
      </c>
      <c r="C613" s="24" t="n">
        <v>230043.39552652</v>
      </c>
      <c r="D613" s="24" t="n">
        <v>499898.34232585</v>
      </c>
    </row>
    <row r="614" customFormat="false" ht="16.5" hidden="false" customHeight="false" outlineLevel="0" collapsed="false">
      <c r="A614" s="19" t="n">
        <v>485.38</v>
      </c>
      <c r="B614" s="24" t="n">
        <v>228811.51231649</v>
      </c>
      <c r="C614" s="24" t="n">
        <v>229835.03623732</v>
      </c>
      <c r="D614" s="24" t="n">
        <v>497609.1877598</v>
      </c>
    </row>
    <row r="615" customFormat="false" ht="16.5" hidden="false" customHeight="false" outlineLevel="0" collapsed="false">
      <c r="A615" s="19" t="n">
        <v>485.37</v>
      </c>
      <c r="B615" s="24" t="n">
        <v>228611.78698949</v>
      </c>
      <c r="C615" s="24" t="n">
        <v>229629.73858356</v>
      </c>
      <c r="D615" s="24" t="n">
        <v>495322.06876219</v>
      </c>
    </row>
    <row r="616" customFormat="false" ht="16.5" hidden="false" customHeight="false" outlineLevel="0" collapsed="false">
      <c r="A616" s="19" t="n">
        <v>485.36</v>
      </c>
      <c r="B616" s="24" t="n">
        <v>228412.95247187</v>
      </c>
      <c r="C616" s="24" t="n">
        <v>229425.28620903</v>
      </c>
      <c r="D616" s="24" t="n">
        <v>493036.94658387</v>
      </c>
    </row>
    <row r="617" customFormat="false" ht="16.5" hidden="false" customHeight="false" outlineLevel="0" collapsed="false">
      <c r="A617" s="19" t="n">
        <v>485.35</v>
      </c>
      <c r="B617" s="24" t="n">
        <v>228214.54655961</v>
      </c>
      <c r="C617" s="24" t="n">
        <v>229221.23221751</v>
      </c>
      <c r="D617" s="24" t="n">
        <v>490753.81267125</v>
      </c>
    </row>
    <row r="618" customFormat="false" ht="16.5" hidden="false" customHeight="false" outlineLevel="0" collapsed="false">
      <c r="A618" s="19" t="n">
        <v>485.34</v>
      </c>
      <c r="B618" s="24" t="n">
        <v>228015.88212613</v>
      </c>
      <c r="C618" s="24" t="n">
        <v>229016.89983994</v>
      </c>
      <c r="D618" s="24" t="n">
        <v>488472.67137686</v>
      </c>
    </row>
    <row r="619" customFormat="false" ht="16.5" hidden="false" customHeight="false" outlineLevel="0" collapsed="false">
      <c r="A619" s="19" t="n">
        <v>485.33</v>
      </c>
      <c r="B619" s="24" t="n">
        <v>227816.80629187</v>
      </c>
      <c r="C619" s="24" t="n">
        <v>228812.14183146</v>
      </c>
      <c r="D619" s="24" t="n">
        <v>486193.5039501</v>
      </c>
    </row>
    <row r="620" customFormat="false" ht="16.5" hidden="false" customHeight="false" outlineLevel="0" collapsed="false">
      <c r="A620" s="19" t="n">
        <v>485.32</v>
      </c>
      <c r="B620" s="24" t="n">
        <v>227617.24406866</v>
      </c>
      <c r="C620" s="24" t="n">
        <v>228606.88898043</v>
      </c>
      <c r="D620" s="24" t="n">
        <v>483916.3558372</v>
      </c>
    </row>
    <row r="621" customFormat="false" ht="16.5" hidden="false" customHeight="false" outlineLevel="0" collapsed="false">
      <c r="A621" s="19" t="n">
        <v>485.31</v>
      </c>
      <c r="B621" s="24" t="n">
        <v>227417.19304667</v>
      </c>
      <c r="C621" s="24" t="n">
        <v>228401.14355922</v>
      </c>
      <c r="D621" s="24" t="n">
        <v>481641.20210291</v>
      </c>
    </row>
    <row r="622" customFormat="false" ht="16.5" hidden="false" customHeight="false" outlineLevel="0" collapsed="false">
      <c r="A622" s="19" t="n">
        <v>485.3</v>
      </c>
      <c r="B622" s="24" t="n">
        <v>227216.61728819</v>
      </c>
      <c r="C622" s="24" t="n">
        <v>228194.87334428</v>
      </c>
      <c r="D622" s="24" t="n">
        <v>479368.03249487</v>
      </c>
    </row>
    <row r="623" customFormat="false" ht="16.5" hidden="false" customHeight="false" outlineLevel="0" collapsed="false">
      <c r="A623" s="19" t="n">
        <v>485.29</v>
      </c>
      <c r="B623" s="24" t="n">
        <v>227015.2252976</v>
      </c>
      <c r="C623" s="24" t="n">
        <v>227987.79147547</v>
      </c>
      <c r="D623" s="24" t="n">
        <v>477096.88728055</v>
      </c>
    </row>
    <row r="624" customFormat="false" ht="16.5" hidden="false" customHeight="false" outlineLevel="0" collapsed="false">
      <c r="A624" s="19" t="n">
        <v>485.28</v>
      </c>
      <c r="B624" s="24" t="n">
        <v>226813.11176948</v>
      </c>
      <c r="C624" s="24" t="n">
        <v>227779.99206814</v>
      </c>
      <c r="D624" s="24" t="n">
        <v>474827.78744062</v>
      </c>
    </row>
    <row r="625" customFormat="false" ht="16.5" hidden="false" customHeight="false" outlineLevel="0" collapsed="false">
      <c r="A625" s="19" t="n">
        <v>485.27</v>
      </c>
      <c r="B625" s="24" t="n">
        <v>226610.26652122</v>
      </c>
      <c r="C625" s="24" t="n">
        <v>227571.46528151</v>
      </c>
      <c r="D625" s="24" t="n">
        <v>472560.67654255</v>
      </c>
    </row>
    <row r="626" customFormat="false" ht="16.5" hidden="false" customHeight="false" outlineLevel="0" collapsed="false">
      <c r="A626" s="19" t="n">
        <v>485.26</v>
      </c>
      <c r="B626" s="24" t="n">
        <v>226406.71524115</v>
      </c>
      <c r="C626" s="24" t="n">
        <v>227362.23725328</v>
      </c>
      <c r="D626" s="24" t="n">
        <v>470295.56103026</v>
      </c>
    </row>
    <row r="627" customFormat="false" ht="16.5" hidden="false" customHeight="false" outlineLevel="0" collapsed="false">
      <c r="A627" s="19" t="n">
        <v>485.25</v>
      </c>
      <c r="B627" s="24" t="n">
        <v>226202.39906769</v>
      </c>
      <c r="C627" s="24" t="n">
        <v>227152.25282323</v>
      </c>
      <c r="D627" s="24" t="n">
        <v>468032.54760387</v>
      </c>
    </row>
    <row r="628" customFormat="false" ht="16.5" hidden="false" customHeight="false" outlineLevel="0" collapsed="false">
      <c r="A628" s="19" t="n">
        <v>485.24</v>
      </c>
      <c r="B628" s="24" t="n">
        <v>225997.10709649</v>
      </c>
      <c r="C628" s="24" t="n">
        <v>226941.30467108</v>
      </c>
      <c r="D628" s="24" t="n">
        <v>465771.53774608</v>
      </c>
    </row>
    <row r="629" customFormat="false" ht="16.5" hidden="false" customHeight="false" outlineLevel="0" collapsed="false">
      <c r="A629" s="19" t="n">
        <v>485.23</v>
      </c>
      <c r="B629" s="24" t="n">
        <v>225790.77073521</v>
      </c>
      <c r="C629" s="24" t="n">
        <v>226729.32337639</v>
      </c>
      <c r="D629" s="24" t="n">
        <v>463512.6733334</v>
      </c>
    </row>
    <row r="630" customFormat="false" ht="16.5" hidden="false" customHeight="false" outlineLevel="0" collapsed="false">
      <c r="A630" s="19" t="n">
        <v>485.22</v>
      </c>
      <c r="B630" s="24" t="n">
        <v>225582.92216472</v>
      </c>
      <c r="C630" s="24" t="n">
        <v>226515.84400027</v>
      </c>
      <c r="D630" s="24" t="n">
        <v>461255.83638101</v>
      </c>
    </row>
    <row r="631" customFormat="false" ht="16.5" hidden="false" customHeight="false" outlineLevel="0" collapsed="false">
      <c r="A631" s="19" t="n">
        <v>485.21</v>
      </c>
      <c r="B631" s="24" t="n">
        <v>225371.73517393</v>
      </c>
      <c r="C631" s="24" t="n">
        <v>226299.04898077</v>
      </c>
      <c r="D631" s="24" t="n">
        <v>459001.06916887</v>
      </c>
    </row>
    <row r="632" customFormat="false" ht="16.5" hidden="false" customHeight="false" outlineLevel="0" collapsed="false">
      <c r="A632" s="19" t="n">
        <v>485.2</v>
      </c>
      <c r="B632" s="24" t="n">
        <v>224833.87420882</v>
      </c>
      <c r="C632" s="24" t="n">
        <v>225755.63904147</v>
      </c>
      <c r="D632" s="24" t="n">
        <v>456748.44411297</v>
      </c>
    </row>
    <row r="633" customFormat="false" ht="16.5" hidden="false" customHeight="false" outlineLevel="0" collapsed="false">
      <c r="A633" s="19" t="n">
        <v>485.19</v>
      </c>
      <c r="B633" s="24" t="n">
        <v>224582.82464674</v>
      </c>
      <c r="C633" s="24" t="n">
        <v>225499.04773015</v>
      </c>
      <c r="D633" s="24" t="n">
        <v>454501.38017491</v>
      </c>
    </row>
    <row r="634" customFormat="false" ht="16.5" hidden="false" customHeight="false" outlineLevel="0" collapsed="false">
      <c r="A634" s="19" t="n">
        <v>485.18</v>
      </c>
      <c r="B634" s="24" t="n">
        <v>224366.38714814</v>
      </c>
      <c r="C634" s="24" t="n">
        <v>225276.98606626</v>
      </c>
      <c r="D634" s="24" t="n">
        <v>452256.6305539</v>
      </c>
    </row>
    <row r="635" customFormat="false" ht="16.5" hidden="false" customHeight="false" outlineLevel="0" collapsed="false">
      <c r="A635" s="19" t="n">
        <v>485.17</v>
      </c>
      <c r="B635" s="24" t="n">
        <v>224154.35958561</v>
      </c>
      <c r="C635" s="24" t="n">
        <v>225059.2876696</v>
      </c>
      <c r="D635" s="24" t="n">
        <v>450014.03986753</v>
      </c>
    </row>
    <row r="636" customFormat="false" ht="16.5" hidden="false" customHeight="false" outlineLevel="0" collapsed="false">
      <c r="A636" s="19" t="n">
        <v>485.16</v>
      </c>
      <c r="B636" s="24" t="n">
        <v>223944.09890288</v>
      </c>
      <c r="C636" s="24" t="n">
        <v>224843.32234634</v>
      </c>
      <c r="D636" s="24" t="n">
        <v>447773.56914612</v>
      </c>
    </row>
    <row r="637" customFormat="false" ht="16.5" hidden="false" customHeight="false" outlineLevel="0" collapsed="false">
      <c r="A637" s="19" t="n">
        <v>485.15</v>
      </c>
      <c r="B637" s="24" t="n">
        <v>223735.15156837</v>
      </c>
      <c r="C637" s="24" t="n">
        <v>224628.64707416</v>
      </c>
      <c r="D637" s="24" t="n">
        <v>445535.19833472</v>
      </c>
    </row>
    <row r="638" customFormat="false" ht="16.5" hidden="false" customHeight="false" outlineLevel="0" collapsed="false">
      <c r="A638" s="19" t="n">
        <v>485.14</v>
      </c>
      <c r="B638" s="24" t="n">
        <v>223526.97003666</v>
      </c>
      <c r="C638" s="24" t="n">
        <v>224414.72318476</v>
      </c>
      <c r="D638" s="24" t="n">
        <v>443298.90985436</v>
      </c>
    </row>
    <row r="639" customFormat="false" ht="16.5" hidden="false" customHeight="false" outlineLevel="0" collapsed="false">
      <c r="A639" s="19" t="n">
        <v>485.13</v>
      </c>
      <c r="B639" s="24" t="n">
        <v>223319.30960191</v>
      </c>
      <c r="C639" s="24" t="n">
        <v>224201.31598504</v>
      </c>
      <c r="D639" s="24" t="n">
        <v>441064.66733459</v>
      </c>
    </row>
    <row r="640" customFormat="false" ht="16.5" hidden="false" customHeight="false" outlineLevel="0" collapsed="false">
      <c r="A640" s="19" t="n">
        <v>485.12</v>
      </c>
      <c r="B640" s="24" t="n">
        <v>223112.03223643</v>
      </c>
      <c r="C640" s="24" t="n">
        <v>223988.29418223</v>
      </c>
      <c r="D640" s="24" t="n">
        <v>438832.48246704</v>
      </c>
    </row>
    <row r="641" customFormat="false" ht="16.5" hidden="false" customHeight="false" outlineLevel="0" collapsed="false">
      <c r="A641" s="19" t="n">
        <v>485.11</v>
      </c>
      <c r="B641" s="24" t="n">
        <v>222905.05461184</v>
      </c>
      <c r="C641" s="24" t="n">
        <v>223775.57920925</v>
      </c>
      <c r="D641" s="24" t="n">
        <v>436602.41774727</v>
      </c>
    </row>
    <row r="642" customFormat="false" ht="16.5" hidden="false" customHeight="false" outlineLevel="0" collapsed="false">
      <c r="A642" s="19" t="n">
        <v>485.1</v>
      </c>
      <c r="B642" s="24" t="n">
        <v>222698.39422787</v>
      </c>
      <c r="C642" s="24" t="n">
        <v>223563.19188855</v>
      </c>
      <c r="D642" s="24" t="n">
        <v>434374.43155753</v>
      </c>
    </row>
    <row r="643" customFormat="false" ht="16.5" hidden="false" customHeight="false" outlineLevel="0" collapsed="false">
      <c r="A643" s="19" t="n">
        <v>485.09</v>
      </c>
      <c r="B643" s="24" t="n">
        <v>222492.0150093</v>
      </c>
      <c r="C643" s="24" t="n">
        <v>223351.10115244</v>
      </c>
      <c r="D643" s="24" t="n">
        <v>432148.48107426</v>
      </c>
    </row>
    <row r="644" customFormat="false" ht="16.5" hidden="false" customHeight="false" outlineLevel="0" collapsed="false">
      <c r="A644" s="19" t="n">
        <v>485.08</v>
      </c>
      <c r="B644" s="24" t="n">
        <v>222285.72445221</v>
      </c>
      <c r="C644" s="24" t="n">
        <v>223139.11513288</v>
      </c>
      <c r="D644" s="24" t="n">
        <v>429924.62779939</v>
      </c>
    </row>
    <row r="645" customFormat="false" ht="16.5" hidden="false" customHeight="false" outlineLevel="0" collapsed="false">
      <c r="A645" s="19" t="n">
        <v>485.07</v>
      </c>
      <c r="B645" s="24" t="n">
        <v>222079.6197466</v>
      </c>
      <c r="C645" s="24" t="n">
        <v>222927.3343245</v>
      </c>
      <c r="D645" s="24" t="n">
        <v>427702.81621689</v>
      </c>
    </row>
    <row r="646" customFormat="false" ht="16.5" hidden="false" customHeight="false" outlineLevel="0" collapsed="false">
      <c r="A646" s="19" t="n">
        <v>485.06</v>
      </c>
      <c r="B646" s="24" t="n">
        <v>221873.61677759</v>
      </c>
      <c r="C646" s="24" t="n">
        <v>222715.67516904</v>
      </c>
      <c r="D646" s="24" t="n">
        <v>425483.09000472</v>
      </c>
    </row>
    <row r="647" customFormat="false" ht="16.5" hidden="false" customHeight="false" outlineLevel="0" collapsed="false">
      <c r="A647" s="19" t="n">
        <v>485.05</v>
      </c>
      <c r="B647" s="24" t="n">
        <v>221667.65927162</v>
      </c>
      <c r="C647" s="24" t="n">
        <v>222504.08374865</v>
      </c>
      <c r="D647" s="24" t="n">
        <v>423265.39893319</v>
      </c>
    </row>
    <row r="648" customFormat="false" ht="16.5" hidden="false" customHeight="false" outlineLevel="0" collapsed="false">
      <c r="A648" s="19" t="n">
        <v>485.04</v>
      </c>
      <c r="B648" s="24" t="n">
        <v>221461.69237909</v>
      </c>
      <c r="C648" s="24" t="n">
        <v>222292.50480461</v>
      </c>
      <c r="D648" s="24" t="n">
        <v>421049.7570476</v>
      </c>
    </row>
    <row r="649" customFormat="false" ht="16.5" hidden="false" customHeight="false" outlineLevel="0" collapsed="false">
      <c r="A649" s="19" t="n">
        <v>485.03</v>
      </c>
      <c r="B649" s="24" t="n">
        <v>221255.55957597</v>
      </c>
      <c r="C649" s="24" t="n">
        <v>222080.78919899</v>
      </c>
      <c r="D649" s="24" t="n">
        <v>418836.15231527</v>
      </c>
    </row>
    <row r="650" customFormat="false" ht="16.5" hidden="false" customHeight="false" outlineLevel="0" collapsed="false">
      <c r="A650" s="19" t="n">
        <v>485.02</v>
      </c>
      <c r="B650" s="24" t="n">
        <v>221048.71946139</v>
      </c>
      <c r="C650" s="24" t="n">
        <v>221868.40359429</v>
      </c>
      <c r="D650" s="24" t="n">
        <v>416624.68671717</v>
      </c>
    </row>
    <row r="651" customFormat="false" ht="16.5" hidden="false" customHeight="false" outlineLevel="0" collapsed="false">
      <c r="A651" s="19" t="n">
        <v>485.01</v>
      </c>
      <c r="B651" s="24" t="n">
        <v>220839.51992308</v>
      </c>
      <c r="C651" s="24" t="n">
        <v>221653.70808491</v>
      </c>
      <c r="D651" s="24" t="n">
        <v>414415.26010719</v>
      </c>
    </row>
    <row r="652" customFormat="false" ht="16.5" hidden="false" customHeight="false" outlineLevel="0" collapsed="false">
      <c r="A652" s="19" t="n">
        <v>485</v>
      </c>
      <c r="B652" s="24" t="n">
        <v>220592.35509884</v>
      </c>
      <c r="C652" s="24" t="n">
        <v>221401.12880024</v>
      </c>
      <c r="D652" s="24" t="n">
        <v>412208.02685471</v>
      </c>
    </row>
    <row r="653" customFormat="false" ht="16.5" hidden="false" customHeight="false" outlineLevel="0" collapsed="false">
      <c r="A653" s="19" t="n">
        <v>484.99</v>
      </c>
      <c r="B653" s="24" t="n">
        <v>220075.329527</v>
      </c>
      <c r="C653" s="24" t="n">
        <v>220878.72921856</v>
      </c>
      <c r="D653" s="24" t="n">
        <v>410005.97727976</v>
      </c>
    </row>
    <row r="654" customFormat="false" ht="16.5" hidden="false" customHeight="false" outlineLevel="0" collapsed="false">
      <c r="A654" s="19" t="n">
        <v>484.98</v>
      </c>
      <c r="B654" s="24" t="n">
        <v>219851.20417334</v>
      </c>
      <c r="C654" s="24" t="n">
        <v>220649.19301709</v>
      </c>
      <c r="D654" s="24" t="n">
        <v>407806.33159433</v>
      </c>
    </row>
    <row r="655" customFormat="false" ht="16.5" hidden="false" customHeight="false" outlineLevel="0" collapsed="false">
      <c r="A655" s="19" t="n">
        <v>484.97</v>
      </c>
      <c r="B655" s="24" t="n">
        <v>219630.25331752</v>
      </c>
      <c r="C655" s="24" t="n">
        <v>220422.8062423</v>
      </c>
      <c r="D655" s="24" t="n">
        <v>405608.91232769</v>
      </c>
    </row>
    <row r="656" customFormat="false" ht="16.5" hidden="false" customHeight="false" outlineLevel="0" collapsed="false">
      <c r="A656" s="19" t="n">
        <v>484.96</v>
      </c>
      <c r="B656" s="24" t="n">
        <v>219411.42491791</v>
      </c>
      <c r="C656" s="24" t="n">
        <v>220198.52024556</v>
      </c>
      <c r="D656" s="24" t="n">
        <v>403413.706915</v>
      </c>
    </row>
    <row r="657" customFormat="false" ht="16.5" hidden="false" customHeight="false" outlineLevel="0" collapsed="false">
      <c r="A657" s="19" t="n">
        <v>484.95</v>
      </c>
      <c r="B657" s="24" t="n">
        <v>219194.02693959</v>
      </c>
      <c r="C657" s="24" t="n">
        <v>219975.65378145</v>
      </c>
      <c r="D657" s="24" t="n">
        <v>401220.69661017</v>
      </c>
    </row>
    <row r="658" customFormat="false" ht="16.5" hidden="false" customHeight="false" outlineLevel="0" collapsed="false">
      <c r="A658" s="19" t="n">
        <v>484.94</v>
      </c>
      <c r="B658" s="24" t="n">
        <v>218977.6964924</v>
      </c>
      <c r="C658" s="24" t="n">
        <v>219753.85258012</v>
      </c>
      <c r="D658" s="24" t="n">
        <v>399029.85525013</v>
      </c>
    </row>
    <row r="659" customFormat="false" ht="16.5" hidden="false" customHeight="false" outlineLevel="0" collapsed="false">
      <c r="A659" s="19" t="n">
        <v>484.93</v>
      </c>
      <c r="B659" s="24" t="n">
        <v>218762.69441081</v>
      </c>
      <c r="C659" s="24" t="n">
        <v>219533.37710665</v>
      </c>
      <c r="D659" s="24" t="n">
        <v>396841.17374321</v>
      </c>
    </row>
    <row r="660" customFormat="false" ht="16.5" hidden="false" customHeight="false" outlineLevel="0" collapsed="false">
      <c r="A660" s="19" t="n">
        <v>484.92</v>
      </c>
      <c r="B660" s="24" t="n">
        <v>218548.74086751</v>
      </c>
      <c r="C660" s="24" t="n">
        <v>219313.95126642</v>
      </c>
      <c r="D660" s="24" t="n">
        <v>394654.6750092</v>
      </c>
    </row>
    <row r="661" customFormat="false" ht="16.5" hidden="false" customHeight="false" outlineLevel="0" collapsed="false">
      <c r="A661" s="19" t="n">
        <v>484.91</v>
      </c>
      <c r="B661" s="24" t="n">
        <v>218335.63539629</v>
      </c>
      <c r="C661" s="24" t="n">
        <v>219095.37752801</v>
      </c>
      <c r="D661" s="24" t="n">
        <v>392470.27949289</v>
      </c>
    </row>
    <row r="662" customFormat="false" ht="16.5" hidden="false" customHeight="false" outlineLevel="0" collapsed="false">
      <c r="A662" s="19" t="n">
        <v>484.9</v>
      </c>
      <c r="B662" s="24" t="n">
        <v>218123.70747449</v>
      </c>
      <c r="C662" s="24" t="n">
        <v>218877.98705387</v>
      </c>
      <c r="D662" s="24" t="n">
        <v>390288.00182705</v>
      </c>
    </row>
    <row r="663" customFormat="false" ht="16.5" hidden="false" customHeight="false" outlineLevel="0" collapsed="false">
      <c r="A663" s="19" t="n">
        <v>484.89</v>
      </c>
      <c r="B663" s="24" t="n">
        <v>217912.70155848</v>
      </c>
      <c r="C663" s="24" t="n">
        <v>218661.5279793</v>
      </c>
      <c r="D663" s="24" t="n">
        <v>388107.80293752</v>
      </c>
    </row>
    <row r="664" customFormat="false" ht="16.5" hidden="false" customHeight="false" outlineLevel="0" collapsed="false">
      <c r="A664" s="19" t="n">
        <v>484.88</v>
      </c>
      <c r="B664" s="24" t="n">
        <v>217702.57008476</v>
      </c>
      <c r="C664" s="24" t="n">
        <v>218445.95603823</v>
      </c>
      <c r="D664" s="24" t="n">
        <v>385929.73679385</v>
      </c>
    </row>
    <row r="665" customFormat="false" ht="16.5" hidden="false" customHeight="false" outlineLevel="0" collapsed="false">
      <c r="A665" s="19" t="n">
        <v>484.87</v>
      </c>
      <c r="B665" s="24" t="n">
        <v>217493.24460811</v>
      </c>
      <c r="C665" s="24" t="n">
        <v>218231.20509904</v>
      </c>
      <c r="D665" s="24" t="n">
        <v>383753.78914823</v>
      </c>
    </row>
    <row r="666" customFormat="false" ht="16.5" hidden="false" customHeight="false" outlineLevel="0" collapsed="false">
      <c r="A666" s="19" t="n">
        <v>484.86</v>
      </c>
      <c r="B666" s="24" t="n">
        <v>217284.6044043</v>
      </c>
      <c r="C666" s="24" t="n">
        <v>218017.15795316</v>
      </c>
      <c r="D666" s="24" t="n">
        <v>381579.89566324</v>
      </c>
    </row>
    <row r="667" customFormat="false" ht="16.5" hidden="false" customHeight="false" outlineLevel="0" collapsed="false">
      <c r="A667" s="19" t="n">
        <v>484.85</v>
      </c>
      <c r="B667" s="24" t="n">
        <v>217076.53488573</v>
      </c>
      <c r="C667" s="24" t="n">
        <v>217803.70647438</v>
      </c>
      <c r="D667" s="24" t="n">
        <v>379408.12633112</v>
      </c>
    </row>
    <row r="668" customFormat="false" ht="16.5" hidden="false" customHeight="false" outlineLevel="0" collapsed="false">
      <c r="A668" s="19" t="n">
        <v>484.84</v>
      </c>
      <c r="B668" s="24" t="n">
        <v>216869.08641981</v>
      </c>
      <c r="C668" s="24" t="n">
        <v>217590.90894266</v>
      </c>
      <c r="D668" s="24" t="n">
        <v>377238.43371597</v>
      </c>
    </row>
    <row r="669" customFormat="false" ht="16.5" hidden="false" customHeight="false" outlineLevel="0" collapsed="false">
      <c r="A669" s="19" t="n">
        <v>484.83</v>
      </c>
      <c r="B669" s="24" t="n">
        <v>216661.77375849</v>
      </c>
      <c r="C669" s="24" t="n">
        <v>217378.28476672</v>
      </c>
      <c r="D669" s="24" t="n">
        <v>375070.84091173</v>
      </c>
    </row>
    <row r="670" customFormat="false" ht="16.5" hidden="false" customHeight="false" outlineLevel="0" collapsed="false">
      <c r="A670" s="19" t="n">
        <v>484.82</v>
      </c>
      <c r="B670" s="24" t="n">
        <v>216453.96115964</v>
      </c>
      <c r="C670" s="24" t="n">
        <v>217165.20600587</v>
      </c>
      <c r="D670" s="24" t="n">
        <v>372905.3129024</v>
      </c>
    </row>
    <row r="671" customFormat="false" ht="16.5" hidden="false" customHeight="false" outlineLevel="0" collapsed="false">
      <c r="A671" s="19" t="n">
        <v>484.81</v>
      </c>
      <c r="B671" s="24" t="n">
        <v>216243.45272106</v>
      </c>
      <c r="C671" s="24" t="n">
        <v>216949.49602852</v>
      </c>
      <c r="D671" s="24" t="n">
        <v>370741.87834765</v>
      </c>
    </row>
    <row r="672" customFormat="false" ht="16.5" hidden="false" customHeight="false" outlineLevel="0" collapsed="false">
      <c r="A672" s="19" t="n">
        <v>484.8</v>
      </c>
      <c r="B672" s="24" t="n">
        <v>216000.9104792</v>
      </c>
      <c r="C672" s="24" t="n">
        <v>216701.84114797</v>
      </c>
      <c r="D672" s="24" t="n">
        <v>368580.60581838</v>
      </c>
    </row>
    <row r="673" customFormat="false" ht="16.5" hidden="false" customHeight="false" outlineLevel="0" collapsed="false">
      <c r="A673" s="19" t="n">
        <v>484.79</v>
      </c>
      <c r="B673" s="24" t="n">
        <v>215499.75496817</v>
      </c>
      <c r="C673" s="24" t="n">
        <v>216195.59825299</v>
      </c>
      <c r="D673" s="24" t="n">
        <v>366424.12524037</v>
      </c>
    </row>
    <row r="674" customFormat="false" ht="16.5" hidden="false" customHeight="false" outlineLevel="0" collapsed="false">
      <c r="A674" s="19" t="n">
        <v>484.78</v>
      </c>
      <c r="B674" s="24" t="n">
        <v>215238.2471838</v>
      </c>
      <c r="C674" s="24" t="n">
        <v>215928.96825765</v>
      </c>
      <c r="D674" s="24" t="n">
        <v>364270.44385784</v>
      </c>
    </row>
    <row r="675" customFormat="false" ht="16.5" hidden="false" customHeight="false" outlineLevel="0" collapsed="false">
      <c r="A675" s="19" t="n">
        <v>484.77</v>
      </c>
      <c r="B675" s="24" t="n">
        <v>214978.94443697</v>
      </c>
      <c r="C675" s="24" t="n">
        <v>215664.52853202</v>
      </c>
      <c r="D675" s="24" t="n">
        <v>362119.38084568</v>
      </c>
    </row>
    <row r="676" customFormat="false" ht="16.5" hidden="false" customHeight="false" outlineLevel="0" collapsed="false">
      <c r="A676" s="19" t="n">
        <v>484.76</v>
      </c>
      <c r="B676" s="24" t="n">
        <v>214720.10216255</v>
      </c>
      <c r="C676" s="24" t="n">
        <v>215400.54491047</v>
      </c>
      <c r="D676" s="24" t="n">
        <v>359970.895381</v>
      </c>
    </row>
    <row r="677" customFormat="false" ht="16.5" hidden="false" customHeight="false" outlineLevel="0" collapsed="false">
      <c r="A677" s="19" t="n">
        <v>484.75</v>
      </c>
      <c r="B677" s="24" t="n">
        <v>214461.12977487</v>
      </c>
      <c r="C677" s="24" t="n">
        <v>215136.43119495</v>
      </c>
      <c r="D677" s="24" t="n">
        <v>357825.02183826</v>
      </c>
    </row>
    <row r="678" customFormat="false" ht="16.5" hidden="false" customHeight="false" outlineLevel="0" collapsed="false">
      <c r="A678" s="19" t="n">
        <v>484.74</v>
      </c>
      <c r="B678" s="24" t="n">
        <v>214201.86222809</v>
      </c>
      <c r="C678" s="24" t="n">
        <v>214872.02439665</v>
      </c>
      <c r="D678" s="24" t="n">
        <v>355681.69250844</v>
      </c>
    </row>
    <row r="679" customFormat="false" ht="16.5" hidden="false" customHeight="false" outlineLevel="0" collapsed="false">
      <c r="A679" s="19" t="n">
        <v>484.73</v>
      </c>
      <c r="B679" s="24" t="n">
        <v>213942.30910688</v>
      </c>
      <c r="C679" s="24" t="n">
        <v>214607.33849639</v>
      </c>
      <c r="D679" s="24" t="n">
        <v>353540.9771911</v>
      </c>
    </row>
    <row r="680" customFormat="false" ht="16.5" hidden="false" customHeight="false" outlineLevel="0" collapsed="false">
      <c r="A680" s="19" t="n">
        <v>484.72</v>
      </c>
      <c r="B680" s="24" t="n">
        <v>213682.51451481</v>
      </c>
      <c r="C680" s="24" t="n">
        <v>214342.41806494</v>
      </c>
      <c r="D680" s="24" t="n">
        <v>351402.86999177</v>
      </c>
    </row>
    <row r="681" customFormat="false" ht="16.5" hidden="false" customHeight="false" outlineLevel="0" collapsed="false">
      <c r="A681" s="19" t="n">
        <v>484.71</v>
      </c>
      <c r="B681" s="24" t="n">
        <v>213422.41742493</v>
      </c>
      <c r="C681" s="24" t="n">
        <v>214077.20126162</v>
      </c>
      <c r="D681" s="24" t="n">
        <v>349267.3835088</v>
      </c>
    </row>
    <row r="682" customFormat="false" ht="16.5" hidden="false" customHeight="false" outlineLevel="0" collapsed="false">
      <c r="A682" s="19" t="n">
        <v>484.7</v>
      </c>
      <c r="B682" s="24" t="n">
        <v>213161.9708082</v>
      </c>
      <c r="C682" s="24" t="n">
        <v>213811.6440001</v>
      </c>
      <c r="D682" s="24" t="n">
        <v>347134.45540636</v>
      </c>
    </row>
    <row r="683" customFormat="false" ht="16.5" hidden="false" customHeight="false" outlineLevel="0" collapsed="false">
      <c r="A683" s="19" t="n">
        <v>484.69</v>
      </c>
      <c r="B683" s="24" t="n">
        <v>212901.18733818</v>
      </c>
      <c r="C683" s="24" t="n">
        <v>213545.76066105</v>
      </c>
      <c r="D683" s="24" t="n">
        <v>345004.17960568</v>
      </c>
    </row>
    <row r="684" customFormat="false" ht="16.5" hidden="false" customHeight="false" outlineLevel="0" collapsed="false">
      <c r="A684" s="19" t="n">
        <v>484.68</v>
      </c>
      <c r="B684" s="24" t="n">
        <v>212639.88397243</v>
      </c>
      <c r="C684" s="24" t="n">
        <v>213279.37356674</v>
      </c>
      <c r="D684" s="24" t="n">
        <v>342876.5087183</v>
      </c>
    </row>
    <row r="685" customFormat="false" ht="16.5" hidden="false" customHeight="false" outlineLevel="0" collapsed="false">
      <c r="A685" s="19" t="n">
        <v>484.67</v>
      </c>
      <c r="B685" s="24" t="n">
        <v>212378.27835422</v>
      </c>
      <c r="C685" s="24" t="n">
        <v>213012.7009027</v>
      </c>
      <c r="D685" s="24" t="n">
        <v>340751.46455585</v>
      </c>
    </row>
    <row r="686" customFormat="false" ht="16.5" hidden="false" customHeight="false" outlineLevel="0" collapsed="false">
      <c r="A686" s="19" t="n">
        <v>484.66</v>
      </c>
      <c r="B686" s="24" t="n">
        <v>212116.13510107</v>
      </c>
      <c r="C686" s="24" t="n">
        <v>212745.51363758</v>
      </c>
      <c r="D686" s="24" t="n">
        <v>338629.02949387</v>
      </c>
    </row>
    <row r="687" customFormat="false" ht="16.5" hidden="false" customHeight="false" outlineLevel="0" collapsed="false">
      <c r="A687" s="19" t="n">
        <v>484.65</v>
      </c>
      <c r="B687" s="24" t="n">
        <v>211853.34009152</v>
      </c>
      <c r="C687" s="24" t="n">
        <v>212477.69974527</v>
      </c>
      <c r="D687" s="24" t="n">
        <v>336509.21255219</v>
      </c>
    </row>
    <row r="688" customFormat="false" ht="16.5" hidden="false" customHeight="false" outlineLevel="0" collapsed="false">
      <c r="A688" s="19" t="n">
        <v>484.64</v>
      </c>
      <c r="B688" s="24" t="n">
        <v>211589.68934562</v>
      </c>
      <c r="C688" s="24" t="n">
        <v>212209.05747476</v>
      </c>
      <c r="D688" s="24" t="n">
        <v>334392.01495121</v>
      </c>
    </row>
    <row r="689" customFormat="false" ht="16.5" hidden="false" customHeight="false" outlineLevel="0" collapsed="false">
      <c r="A689" s="19" t="n">
        <v>484.63</v>
      </c>
      <c r="B689" s="24" t="n">
        <v>211325.00902481</v>
      </c>
      <c r="C689" s="24" t="n">
        <v>211939.42582167</v>
      </c>
      <c r="D689" s="24" t="n">
        <v>332277.47757598</v>
      </c>
    </row>
    <row r="690" customFormat="false" ht="16.5" hidden="false" customHeight="false" outlineLevel="0" collapsed="false">
      <c r="A690" s="19" t="n">
        <v>484.62</v>
      </c>
      <c r="B690" s="24" t="n">
        <v>211058.27770947</v>
      </c>
      <c r="C690" s="24" t="n">
        <v>211667.79712766</v>
      </c>
      <c r="D690" s="24" t="n">
        <v>330165.61958135</v>
      </c>
    </row>
    <row r="691" customFormat="false" ht="16.5" hidden="false" customHeight="false" outlineLevel="0" collapsed="false">
      <c r="A691" s="19" t="n">
        <v>484.61</v>
      </c>
      <c r="B691" s="24" t="n">
        <v>210786.34594018</v>
      </c>
      <c r="C691" s="24" t="n">
        <v>211391.04277475</v>
      </c>
      <c r="D691" s="24" t="n">
        <v>328056.45311085</v>
      </c>
    </row>
    <row r="692" customFormat="false" ht="16.5" hidden="false" customHeight="false" outlineLevel="0" collapsed="false">
      <c r="A692" s="19" t="n">
        <v>484.6</v>
      </c>
      <c r="B692" s="24" t="n">
        <v>210219.79659865</v>
      </c>
      <c r="C692" s="24" t="n">
        <v>210819.77472426</v>
      </c>
      <c r="D692" s="24" t="n">
        <v>325949.91860509</v>
      </c>
    </row>
    <row r="693" customFormat="false" ht="16.5" hidden="false" customHeight="false" outlineLevel="0" collapsed="false">
      <c r="A693" s="19" t="n">
        <v>484.59</v>
      </c>
      <c r="B693" s="24" t="n">
        <v>209900.90001911</v>
      </c>
      <c r="C693" s="24" t="n">
        <v>210496.15307921</v>
      </c>
      <c r="D693" s="24" t="n">
        <v>323849.41524267</v>
      </c>
    </row>
    <row r="694" customFormat="false" ht="16.5" hidden="false" customHeight="false" outlineLevel="0" collapsed="false">
      <c r="A694" s="19" t="n">
        <v>484.58</v>
      </c>
      <c r="B694" s="24" t="n">
        <v>209637.95722416</v>
      </c>
      <c r="C694" s="24" t="n">
        <v>210228.4430835</v>
      </c>
      <c r="D694" s="24" t="n">
        <v>321751.69040524</v>
      </c>
    </row>
    <row r="695" customFormat="false" ht="16.5" hidden="false" customHeight="false" outlineLevel="0" collapsed="false">
      <c r="A695" s="19" t="n">
        <v>484.57</v>
      </c>
      <c r="B695" s="24" t="n">
        <v>209377.37102585</v>
      </c>
      <c r="C695" s="24" t="n">
        <v>209963.08688491</v>
      </c>
      <c r="D695" s="24" t="n">
        <v>319656.62466298</v>
      </c>
    </row>
    <row r="696" customFormat="false" ht="16.5" hidden="false" customHeight="false" outlineLevel="0" collapsed="false">
      <c r="A696" s="19" t="n">
        <v>484.56</v>
      </c>
      <c r="B696" s="24" t="n">
        <v>209117.27407097</v>
      </c>
      <c r="C696" s="24" t="n">
        <v>209698.22091979</v>
      </c>
      <c r="D696" s="24" t="n">
        <v>317564.1520036</v>
      </c>
    </row>
    <row r="697" customFormat="false" ht="16.5" hidden="false" customHeight="false" outlineLevel="0" collapsed="false">
      <c r="A697" s="19" t="n">
        <v>484.55</v>
      </c>
      <c r="B697" s="24" t="n">
        <v>208857.29257164</v>
      </c>
      <c r="C697" s="24" t="n">
        <v>209433.47513389</v>
      </c>
      <c r="D697" s="24" t="n">
        <v>315474.31178439</v>
      </c>
    </row>
    <row r="698" customFormat="false" ht="16.5" hidden="false" customHeight="false" outlineLevel="0" collapsed="false">
      <c r="A698" s="19" t="n">
        <v>484.54</v>
      </c>
      <c r="B698" s="24" t="n">
        <v>208597.12542536</v>
      </c>
      <c r="C698" s="24" t="n">
        <v>209168.54957117</v>
      </c>
      <c r="D698" s="24" t="n">
        <v>313387.07787126</v>
      </c>
    </row>
    <row r="699" customFormat="false" ht="16.5" hidden="false" customHeight="false" outlineLevel="0" collapsed="false">
      <c r="A699" s="19" t="n">
        <v>484.53</v>
      </c>
      <c r="B699" s="24" t="n">
        <v>208337.16102614</v>
      </c>
      <c r="C699" s="24" t="n">
        <v>208903.83171312</v>
      </c>
      <c r="D699" s="24" t="n">
        <v>311302.44037409</v>
      </c>
    </row>
    <row r="700" customFormat="false" ht="16.5" hidden="false" customHeight="false" outlineLevel="0" collapsed="false">
      <c r="A700" s="19" t="n">
        <v>484.52</v>
      </c>
      <c r="B700" s="24" t="n">
        <v>208076.92246118</v>
      </c>
      <c r="C700" s="24" t="n">
        <v>208638.84961582</v>
      </c>
      <c r="D700" s="24" t="n">
        <v>309220.39910685</v>
      </c>
    </row>
    <row r="701" customFormat="false" ht="16.5" hidden="false" customHeight="false" outlineLevel="0" collapsed="false">
      <c r="A701" s="19" t="n">
        <v>484.51</v>
      </c>
      <c r="B701" s="24" t="n">
        <v>207816.39314667</v>
      </c>
      <c r="C701" s="24" t="n">
        <v>208373.58778399</v>
      </c>
      <c r="D701" s="24" t="n">
        <v>307140.97182366</v>
      </c>
    </row>
    <row r="702" customFormat="false" ht="16.5" hidden="false" customHeight="false" outlineLevel="0" collapsed="false">
      <c r="A702" s="19" t="n">
        <v>484.5</v>
      </c>
      <c r="B702" s="24" t="n">
        <v>207555.64880846</v>
      </c>
      <c r="C702" s="24" t="n">
        <v>208108.12534611</v>
      </c>
      <c r="D702" s="24" t="n">
        <v>305064.12543693</v>
      </c>
    </row>
    <row r="703" customFormat="false" ht="16.5" hidden="false" customHeight="false" outlineLevel="0" collapsed="false">
      <c r="A703" s="19" t="n">
        <v>484.49</v>
      </c>
      <c r="B703" s="24" t="n">
        <v>207294.72781012</v>
      </c>
      <c r="C703" s="24" t="n">
        <v>207842.50172199</v>
      </c>
      <c r="D703" s="24" t="n">
        <v>302989.91112948</v>
      </c>
    </row>
    <row r="704" customFormat="false" ht="16.5" hidden="false" customHeight="false" outlineLevel="0" collapsed="false">
      <c r="A704" s="19" t="n">
        <v>484.48</v>
      </c>
      <c r="B704" s="24" t="n">
        <v>207033.4364876</v>
      </c>
      <c r="C704" s="24" t="n">
        <v>207576.52477362</v>
      </c>
      <c r="D704" s="24" t="n">
        <v>300918.31800527</v>
      </c>
    </row>
    <row r="705" customFormat="false" ht="16.5" hidden="false" customHeight="false" outlineLevel="0" collapsed="false">
      <c r="A705" s="19" t="n">
        <v>484.47</v>
      </c>
      <c r="B705" s="24" t="n">
        <v>206771.96207516</v>
      </c>
      <c r="C705" s="24" t="n">
        <v>207310.38368086</v>
      </c>
      <c r="D705" s="24" t="n">
        <v>298849.31255737</v>
      </c>
    </row>
    <row r="706" customFormat="false" ht="16.5" hidden="false" customHeight="false" outlineLevel="0" collapsed="false">
      <c r="A706" s="19" t="n">
        <v>484.46</v>
      </c>
      <c r="B706" s="24" t="n">
        <v>206510.03633431</v>
      </c>
      <c r="C706" s="24" t="n">
        <v>207043.81333707</v>
      </c>
      <c r="D706" s="24" t="n">
        <v>296782.90877469</v>
      </c>
    </row>
    <row r="707" customFormat="false" ht="16.5" hidden="false" customHeight="false" outlineLevel="0" collapsed="false">
      <c r="A707" s="19" t="n">
        <v>484.45</v>
      </c>
      <c r="B707" s="24" t="n">
        <v>206247.76426296</v>
      </c>
      <c r="C707" s="24" t="n">
        <v>206776.92082029</v>
      </c>
      <c r="D707" s="24" t="n">
        <v>294719.12529127</v>
      </c>
    </row>
    <row r="708" customFormat="false" ht="16.5" hidden="false" customHeight="false" outlineLevel="0" collapsed="false">
      <c r="A708" s="19" t="n">
        <v>484.44</v>
      </c>
      <c r="B708" s="24" t="n">
        <v>205985.20622411</v>
      </c>
      <c r="C708" s="24" t="n">
        <v>206509.76583898</v>
      </c>
      <c r="D708" s="24" t="n">
        <v>292657.92873301</v>
      </c>
    </row>
    <row r="709" customFormat="false" ht="16.5" hidden="false" customHeight="false" outlineLevel="0" collapsed="false">
      <c r="A709" s="19" t="n">
        <v>484.43</v>
      </c>
      <c r="B709" s="24" t="n">
        <v>205722.3037373</v>
      </c>
      <c r="C709" s="24" t="n">
        <v>206242.28903393</v>
      </c>
      <c r="D709" s="24" t="n">
        <v>290599.42968546</v>
      </c>
    </row>
    <row r="710" customFormat="false" ht="16.5" hidden="false" customHeight="false" outlineLevel="0" collapsed="false">
      <c r="A710" s="19" t="n">
        <v>484.42</v>
      </c>
      <c r="B710" s="24" t="n">
        <v>205458.60890345</v>
      </c>
      <c r="C710" s="24" t="n">
        <v>205974.04328086</v>
      </c>
      <c r="D710" s="24" t="n">
        <v>288543.54009997</v>
      </c>
    </row>
    <row r="711" customFormat="false" ht="16.5" hidden="false" customHeight="false" outlineLevel="0" collapsed="false">
      <c r="A711" s="19" t="n">
        <v>484.41</v>
      </c>
      <c r="B711" s="24" t="n">
        <v>205192.48130815</v>
      </c>
      <c r="C711" s="24" t="n">
        <v>205703.39610581</v>
      </c>
      <c r="D711" s="24" t="n">
        <v>286490.30408109</v>
      </c>
    </row>
    <row r="712" customFormat="false" ht="16.5" hidden="false" customHeight="false" outlineLevel="0" collapsed="false">
      <c r="A712" s="19" t="n">
        <v>484.4</v>
      </c>
      <c r="B712" s="24" t="n">
        <v>204876.89958622</v>
      </c>
      <c r="C712" s="24" t="n">
        <v>205383.34566856</v>
      </c>
      <c r="D712" s="24" t="n">
        <v>284439.77734765</v>
      </c>
    </row>
    <row r="713" customFormat="false" ht="16.5" hidden="false" customHeight="false" outlineLevel="0" collapsed="false">
      <c r="A713" s="19" t="n">
        <v>484.39</v>
      </c>
      <c r="B713" s="24" t="n">
        <v>204085.85206172</v>
      </c>
      <c r="C713" s="24" t="n">
        <v>204587.79223309</v>
      </c>
      <c r="D713" s="24" t="n">
        <v>282397.1920436</v>
      </c>
    </row>
    <row r="714" customFormat="false" ht="16.5" hidden="false" customHeight="false" outlineLevel="0" collapsed="false">
      <c r="A714" s="19" t="n">
        <v>484.38</v>
      </c>
      <c r="B714" s="24" t="n">
        <v>203803.6715711</v>
      </c>
      <c r="C714" s="24" t="n">
        <v>204300.99716499</v>
      </c>
      <c r="D714" s="24" t="n">
        <v>280357.7164147</v>
      </c>
    </row>
    <row r="715" customFormat="false" ht="16.5" hidden="false" customHeight="false" outlineLevel="0" collapsed="false">
      <c r="A715" s="19" t="n">
        <v>484.37</v>
      </c>
      <c r="B715" s="24" t="n">
        <v>203526.5744915</v>
      </c>
      <c r="C715" s="24" t="n">
        <v>204019.22217095</v>
      </c>
      <c r="D715" s="24" t="n">
        <v>278321.10440568</v>
      </c>
    </row>
    <row r="716" customFormat="false" ht="16.5" hidden="false" customHeight="false" outlineLevel="0" collapsed="false">
      <c r="A716" s="19" t="n">
        <v>484.36</v>
      </c>
      <c r="B716" s="24" t="n">
        <v>203251.75548345</v>
      </c>
      <c r="C716" s="24" t="n">
        <v>203739.68267098</v>
      </c>
      <c r="D716" s="24" t="n">
        <v>276287.21983604</v>
      </c>
    </row>
    <row r="717" customFormat="false" ht="16.5" hidden="false" customHeight="false" outlineLevel="0" collapsed="false">
      <c r="A717" s="19" t="n">
        <v>484.35</v>
      </c>
      <c r="B717" s="24" t="n">
        <v>202978.31304506</v>
      </c>
      <c r="C717" s="24" t="n">
        <v>203461.49260386</v>
      </c>
      <c r="D717" s="24" t="n">
        <v>274256.10523179</v>
      </c>
    </row>
    <row r="718" customFormat="false" ht="16.5" hidden="false" customHeight="false" outlineLevel="0" collapsed="false">
      <c r="A718" s="19" t="n">
        <v>484.34</v>
      </c>
      <c r="B718" s="24" t="n">
        <v>202705.75574368</v>
      </c>
      <c r="C718" s="24" t="n">
        <v>203184.16871342</v>
      </c>
      <c r="D718" s="24" t="n">
        <v>272227.73302032</v>
      </c>
    </row>
    <row r="719" customFormat="false" ht="16.5" hidden="false" customHeight="false" outlineLevel="0" collapsed="false">
      <c r="A719" s="19" t="n">
        <v>484.33</v>
      </c>
      <c r="B719" s="24" t="n">
        <v>202433.72542355</v>
      </c>
      <c r="C719" s="24" t="n">
        <v>202907.36280962</v>
      </c>
      <c r="D719" s="24" t="n">
        <v>270202.03890756</v>
      </c>
    </row>
    <row r="720" customFormat="false" ht="16.5" hidden="false" customHeight="false" outlineLevel="0" collapsed="false">
      <c r="A720" s="19" t="n">
        <v>484.32</v>
      </c>
      <c r="B720" s="24" t="n">
        <v>202162.17064562</v>
      </c>
      <c r="C720" s="24" t="n">
        <v>202631.03009076</v>
      </c>
      <c r="D720" s="24" t="n">
        <v>268179.08902636</v>
      </c>
    </row>
    <row r="721" customFormat="false" ht="16.5" hidden="false" customHeight="false" outlineLevel="0" collapsed="false">
      <c r="A721" s="19" t="n">
        <v>484.31</v>
      </c>
      <c r="B721" s="24" t="n">
        <v>201890.99464343</v>
      </c>
      <c r="C721" s="24" t="n">
        <v>202355.07882478</v>
      </c>
      <c r="D721" s="24" t="n">
        <v>266158.84924844</v>
      </c>
    </row>
    <row r="722" customFormat="false" ht="16.5" hidden="false" customHeight="false" outlineLevel="0" collapsed="false">
      <c r="A722" s="19" t="n">
        <v>484.3</v>
      </c>
      <c r="B722" s="24" t="n">
        <v>201620.10651683</v>
      </c>
      <c r="C722" s="24" t="n">
        <v>202079.4215467</v>
      </c>
      <c r="D722" s="24" t="n">
        <v>264141.27930217</v>
      </c>
    </row>
    <row r="723" customFormat="false" ht="16.5" hidden="false" customHeight="false" outlineLevel="0" collapsed="false">
      <c r="A723" s="19" t="n">
        <v>484.29</v>
      </c>
      <c r="B723" s="24" t="n">
        <v>201349.42243906</v>
      </c>
      <c r="C723" s="24" t="n">
        <v>201803.97964059</v>
      </c>
      <c r="D723" s="24" t="n">
        <v>262126.42692899</v>
      </c>
    </row>
    <row r="724" customFormat="false" ht="16.5" hidden="false" customHeight="false" outlineLevel="0" collapsed="false">
      <c r="A724" s="19" t="n">
        <v>484.28</v>
      </c>
      <c r="B724" s="24" t="n">
        <v>201078.90245789</v>
      </c>
      <c r="C724" s="24" t="n">
        <v>201528.71443289</v>
      </c>
      <c r="D724" s="24" t="n">
        <v>260114.29027875</v>
      </c>
    </row>
    <row r="725" customFormat="false" ht="16.5" hidden="false" customHeight="false" outlineLevel="0" collapsed="false">
      <c r="A725" s="19" t="n">
        <v>484.27</v>
      </c>
      <c r="B725" s="24" t="n">
        <v>200808.51692366</v>
      </c>
      <c r="C725" s="24" t="n">
        <v>201253.59912528</v>
      </c>
      <c r="D725" s="24" t="n">
        <v>258104.87518137</v>
      </c>
    </row>
    <row r="726" customFormat="false" ht="16.5" hidden="false" customHeight="false" outlineLevel="0" collapsed="false">
      <c r="A726" s="19" t="n">
        <v>484.26</v>
      </c>
      <c r="B726" s="24" t="n">
        <v>200538.2384503</v>
      </c>
      <c r="C726" s="24" t="n">
        <v>200978.60617819</v>
      </c>
      <c r="D726" s="24" t="n">
        <v>256098.17218899</v>
      </c>
    </row>
    <row r="727" customFormat="false" ht="16.5" hidden="false" customHeight="false" outlineLevel="0" collapsed="false">
      <c r="A727" s="19" t="n">
        <v>484.25</v>
      </c>
      <c r="B727" s="24" t="n">
        <v>200267.99212329</v>
      </c>
      <c r="C727" s="24" t="n">
        <v>200703.66123075</v>
      </c>
      <c r="D727" s="24" t="n">
        <v>254094.15598566</v>
      </c>
    </row>
    <row r="728" customFormat="false" ht="16.5" hidden="false" customHeight="false" outlineLevel="0" collapsed="false">
      <c r="A728" s="19" t="n">
        <v>484.24</v>
      </c>
      <c r="B728" s="24" t="n">
        <v>199997.60175082</v>
      </c>
      <c r="C728" s="24" t="n">
        <v>200428.59276388</v>
      </c>
      <c r="D728" s="24" t="n">
        <v>252092.85617729</v>
      </c>
    </row>
    <row r="729" customFormat="false" ht="16.5" hidden="false" customHeight="false" outlineLevel="0" collapsed="false">
      <c r="A729" s="19" t="n">
        <v>484.23</v>
      </c>
      <c r="B729" s="24" t="n">
        <v>199726.75458075</v>
      </c>
      <c r="C729" s="24" t="n">
        <v>200153.09279828</v>
      </c>
      <c r="D729" s="24" t="n">
        <v>250094.2780316</v>
      </c>
    </row>
    <row r="730" customFormat="false" ht="16.5" hidden="false" customHeight="false" outlineLevel="0" collapsed="false">
      <c r="A730" s="19" t="n">
        <v>484.22</v>
      </c>
      <c r="B730" s="24" t="n">
        <v>199454.80276432</v>
      </c>
      <c r="C730" s="24" t="n">
        <v>199876.52249501</v>
      </c>
      <c r="D730" s="24" t="n">
        <v>248098.3626784</v>
      </c>
    </row>
    <row r="731" customFormat="false" ht="16.5" hidden="false" customHeight="false" outlineLevel="0" collapsed="false">
      <c r="A731" s="19" t="n">
        <v>484.21</v>
      </c>
      <c r="B731" s="24" t="n">
        <v>199178.85965794</v>
      </c>
      <c r="C731" s="24" t="n">
        <v>199596.01505267</v>
      </c>
      <c r="D731" s="24" t="n">
        <v>246105.25231131</v>
      </c>
    </row>
    <row r="732" customFormat="false" ht="16.5" hidden="false" customHeight="false" outlineLevel="0" collapsed="false">
      <c r="A732" s="19" t="n">
        <v>484.2</v>
      </c>
      <c r="B732" s="24" t="n">
        <v>198365.68029524</v>
      </c>
      <c r="C732" s="24" t="n">
        <v>198778.35724382</v>
      </c>
      <c r="D732" s="24" t="n">
        <v>244114.82575793</v>
      </c>
    </row>
    <row r="733" customFormat="false" ht="16.5" hidden="false" customHeight="false" outlineLevel="0" collapsed="false">
      <c r="A733" s="19" t="n">
        <v>484.19</v>
      </c>
      <c r="B733" s="24" t="n">
        <v>198015.09692098</v>
      </c>
      <c r="C733" s="24" t="n">
        <v>198423.27587409</v>
      </c>
      <c r="D733" s="24" t="n">
        <v>242133.02107864</v>
      </c>
    </row>
    <row r="734" customFormat="false" ht="16.5" hidden="false" customHeight="false" outlineLevel="0" collapsed="false">
      <c r="A734" s="19" t="n">
        <v>484.18</v>
      </c>
      <c r="B734" s="24" t="n">
        <v>197723.06612594</v>
      </c>
      <c r="C734" s="24" t="n">
        <v>198126.65385917</v>
      </c>
      <c r="D734" s="24" t="n">
        <v>240154.30307506</v>
      </c>
    </row>
    <row r="735" customFormat="false" ht="16.5" hidden="false" customHeight="false" outlineLevel="0" collapsed="false">
      <c r="A735" s="19" t="n">
        <v>484.17</v>
      </c>
      <c r="B735" s="24" t="n">
        <v>197436.66309627</v>
      </c>
      <c r="C735" s="24" t="n">
        <v>197835.60931223</v>
      </c>
      <c r="D735" s="24" t="n">
        <v>238178.5084558</v>
      </c>
    </row>
    <row r="736" customFormat="false" ht="16.5" hidden="false" customHeight="false" outlineLevel="0" collapsed="false">
      <c r="A736" s="19" t="n">
        <v>484.16</v>
      </c>
      <c r="B736" s="24" t="n">
        <v>197152.43986482</v>
      </c>
      <c r="C736" s="24" t="n">
        <v>197546.71923272</v>
      </c>
      <c r="D736" s="24" t="n">
        <v>236205.5961423</v>
      </c>
    </row>
    <row r="737" customFormat="false" ht="16.5" hidden="false" customHeight="false" outlineLevel="0" collapsed="false">
      <c r="A737" s="19" t="n">
        <v>484.15</v>
      </c>
      <c r="B737" s="24" t="n">
        <v>196869.48172789</v>
      </c>
      <c r="C737" s="24" t="n">
        <v>197259.07893894</v>
      </c>
      <c r="D737" s="24" t="n">
        <v>234235.51460554</v>
      </c>
    </row>
    <row r="738" customFormat="false" ht="16.5" hidden="false" customHeight="false" outlineLevel="0" collapsed="false">
      <c r="A738" s="19" t="n">
        <v>484.14</v>
      </c>
      <c r="B738" s="24" t="n">
        <v>196587.49429508</v>
      </c>
      <c r="C738" s="24" t="n">
        <v>196972.40125499</v>
      </c>
      <c r="D738" s="24" t="n">
        <v>232268.2327649</v>
      </c>
    </row>
    <row r="739" customFormat="false" ht="16.5" hidden="false" customHeight="false" outlineLevel="0" collapsed="false">
      <c r="A739" s="19" t="n">
        <v>484.13</v>
      </c>
      <c r="B739" s="24" t="n">
        <v>196306.20175533</v>
      </c>
      <c r="C739" s="24" t="n">
        <v>196686.41770281</v>
      </c>
      <c r="D739" s="24" t="n">
        <v>230303.75559987</v>
      </c>
    </row>
    <row r="740" customFormat="false" ht="16.5" hidden="false" customHeight="false" outlineLevel="0" collapsed="false">
      <c r="A740" s="19" t="n">
        <v>484.12</v>
      </c>
      <c r="B740" s="24" t="n">
        <v>196025.57930073</v>
      </c>
      <c r="C740" s="24" t="n">
        <v>196401.1081943</v>
      </c>
      <c r="D740" s="24" t="n">
        <v>228342.13047543</v>
      </c>
    </row>
    <row r="741" customFormat="false" ht="16.5" hidden="false" customHeight="false" outlineLevel="0" collapsed="false">
      <c r="A741" s="19" t="n">
        <v>484.11</v>
      </c>
      <c r="B741" s="24" t="n">
        <v>195745.57936887</v>
      </c>
      <c r="C741" s="24" t="n">
        <v>196116.43045946</v>
      </c>
      <c r="D741" s="24" t="n">
        <v>226383.32931378</v>
      </c>
    </row>
    <row r="742" customFormat="false" ht="16.5" hidden="false" customHeight="false" outlineLevel="0" collapsed="false">
      <c r="A742" s="19" t="n">
        <v>484.1</v>
      </c>
      <c r="B742" s="24" t="n">
        <v>195466.09552618</v>
      </c>
      <c r="C742" s="24" t="n">
        <v>195832.28051073</v>
      </c>
      <c r="D742" s="24" t="n">
        <v>224427.26286958</v>
      </c>
    </row>
    <row r="743" customFormat="false" ht="16.5" hidden="false" customHeight="false" outlineLevel="0" collapsed="false">
      <c r="A743" s="19" t="n">
        <v>484.09</v>
      </c>
      <c r="B743" s="24" t="n">
        <v>195187.02230123</v>
      </c>
      <c r="C743" s="24" t="n">
        <v>195548.55634112</v>
      </c>
      <c r="D743" s="24" t="n">
        <v>222474.02278587</v>
      </c>
    </row>
    <row r="744" customFormat="false" ht="16.5" hidden="false" customHeight="false" outlineLevel="0" collapsed="false">
      <c r="A744" s="19" t="n">
        <v>484.08</v>
      </c>
      <c r="B744" s="24" t="n">
        <v>194908.49481713</v>
      </c>
      <c r="C744" s="24" t="n">
        <v>195265.39396348</v>
      </c>
      <c r="D744" s="24" t="n">
        <v>220523.60156283</v>
      </c>
    </row>
    <row r="745" customFormat="false" ht="16.5" hidden="false" customHeight="false" outlineLevel="0" collapsed="false">
      <c r="A745" s="19" t="n">
        <v>484.07</v>
      </c>
      <c r="B745" s="24" t="n">
        <v>194630.4489738</v>
      </c>
      <c r="C745" s="24" t="n">
        <v>194982.73043021</v>
      </c>
      <c r="D745" s="24" t="n">
        <v>218575.90032233</v>
      </c>
    </row>
    <row r="746" customFormat="false" ht="16.5" hidden="false" customHeight="false" outlineLevel="0" collapsed="false">
      <c r="A746" s="19" t="n">
        <v>484.06</v>
      </c>
      <c r="B746" s="24" t="n">
        <v>194352.61308604</v>
      </c>
      <c r="C746" s="24" t="n">
        <v>194700.30331523</v>
      </c>
      <c r="D746" s="24" t="n">
        <v>216631.03732238</v>
      </c>
    </row>
    <row r="747" customFormat="false" ht="16.5" hidden="false" customHeight="false" outlineLevel="0" collapsed="false">
      <c r="A747" s="19" t="n">
        <v>484.05</v>
      </c>
      <c r="B747" s="24" t="n">
        <v>194074.98307493</v>
      </c>
      <c r="C747" s="24" t="n">
        <v>194418.11053369</v>
      </c>
      <c r="D747" s="24" t="n">
        <v>214688.94886146</v>
      </c>
    </row>
    <row r="748" customFormat="false" ht="16.5" hidden="false" customHeight="false" outlineLevel="0" collapsed="false">
      <c r="A748" s="19" t="n">
        <v>484.04</v>
      </c>
      <c r="B748" s="24" t="n">
        <v>193797.34994106</v>
      </c>
      <c r="C748" s="24" t="n">
        <v>194135.94924011</v>
      </c>
      <c r="D748" s="24" t="n">
        <v>212749.60761025</v>
      </c>
    </row>
    <row r="749" customFormat="false" ht="16.5" hidden="false" customHeight="false" outlineLevel="0" collapsed="false">
      <c r="A749" s="19" t="n">
        <v>484.03</v>
      </c>
      <c r="B749" s="24" t="n">
        <v>193519.0358649</v>
      </c>
      <c r="C749" s="24" t="n">
        <v>193853.15596335</v>
      </c>
      <c r="D749" s="24" t="n">
        <v>210813.06923305</v>
      </c>
    </row>
    <row r="750" customFormat="false" ht="16.5" hidden="false" customHeight="false" outlineLevel="0" collapsed="false">
      <c r="A750" s="19" t="n">
        <v>484.02</v>
      </c>
      <c r="B750" s="24" t="n">
        <v>193238.86354815</v>
      </c>
      <c r="C750" s="24" t="n">
        <v>193568.56986706</v>
      </c>
      <c r="D750" s="24" t="n">
        <v>208879.31916376</v>
      </c>
    </row>
    <row r="751" customFormat="false" ht="16.5" hidden="false" customHeight="false" outlineLevel="0" collapsed="false">
      <c r="A751" s="19" t="n">
        <v>484.01</v>
      </c>
      <c r="B751" s="24" t="n">
        <v>192953.02924029</v>
      </c>
      <c r="C751" s="24" t="n">
        <v>193278.40665012</v>
      </c>
      <c r="D751" s="24" t="n">
        <v>206948.39856762</v>
      </c>
    </row>
    <row r="752" customFormat="false" ht="16.5" hidden="false" customHeight="false" outlineLevel="0" collapsed="false">
      <c r="A752" s="19" t="n">
        <v>484</v>
      </c>
      <c r="B752" s="24" t="n">
        <v>192137.16797254</v>
      </c>
      <c r="C752" s="24" t="n">
        <v>192458.3457018</v>
      </c>
      <c r="D752" s="24" t="n">
        <v>205020.44436542</v>
      </c>
    </row>
    <row r="753" customFormat="false" ht="16.5" hidden="false" customHeight="false" outlineLevel="0" collapsed="false">
      <c r="A753" s="19" t="n">
        <v>483.99</v>
      </c>
      <c r="B753" s="24" t="n">
        <v>191573.4553539</v>
      </c>
      <c r="C753" s="24" t="n">
        <v>191890.52572886</v>
      </c>
      <c r="D753" s="24" t="n">
        <v>203102.96058944</v>
      </c>
    </row>
    <row r="754" customFormat="false" ht="16.5" hidden="false" customHeight="false" outlineLevel="0" collapsed="false">
      <c r="A754" s="19" t="n">
        <v>483.98</v>
      </c>
      <c r="B754" s="24" t="n">
        <v>191254.39789957</v>
      </c>
      <c r="C754" s="24" t="n">
        <v>191567.31563338</v>
      </c>
      <c r="D754" s="24" t="n">
        <v>201188.86802865</v>
      </c>
    </row>
    <row r="755" customFormat="false" ht="16.5" hidden="false" customHeight="false" outlineLevel="0" collapsed="false">
      <c r="A755" s="19" t="n">
        <v>483.97</v>
      </c>
      <c r="B755" s="24" t="n">
        <v>190941.48642373</v>
      </c>
      <c r="C755" s="24" t="n">
        <v>191250.24189022</v>
      </c>
      <c r="D755" s="24" t="n">
        <v>199277.89764134</v>
      </c>
    </row>
    <row r="756" customFormat="false" ht="16.5" hidden="false" customHeight="false" outlineLevel="0" collapsed="false">
      <c r="A756" s="19" t="n">
        <v>483.96</v>
      </c>
      <c r="B756" s="24" t="n">
        <v>190630.51904067</v>
      </c>
      <c r="C756" s="24" t="n">
        <v>190935.11803231</v>
      </c>
      <c r="D756" s="24" t="n">
        <v>197370.06730505</v>
      </c>
    </row>
    <row r="757" customFormat="false" ht="16.5" hidden="false" customHeight="false" outlineLevel="0" collapsed="false">
      <c r="A757" s="19" t="n">
        <v>483.95</v>
      </c>
      <c r="B757" s="24" t="n">
        <v>190320.62265542</v>
      </c>
      <c r="C757" s="24" t="n">
        <v>190621.07780678</v>
      </c>
      <c r="D757" s="24" t="n">
        <v>195465.32259691</v>
      </c>
    </row>
    <row r="758" customFormat="false" ht="16.5" hidden="false" customHeight="false" outlineLevel="0" collapsed="false">
      <c r="A758" s="19" t="n">
        <v>483.94</v>
      </c>
      <c r="B758" s="24" t="n">
        <v>190011.75049022</v>
      </c>
      <c r="C758" s="24" t="n">
        <v>190308.07757457</v>
      </c>
      <c r="D758" s="24" t="n">
        <v>193563.68643357</v>
      </c>
    </row>
    <row r="759" customFormat="false" ht="16.5" hidden="false" customHeight="false" outlineLevel="0" collapsed="false">
      <c r="A759" s="19" t="n">
        <v>483.93</v>
      </c>
      <c r="B759" s="24" t="n">
        <v>189703.5155145</v>
      </c>
      <c r="C759" s="24" t="n">
        <v>189995.7325516</v>
      </c>
      <c r="D759" s="24" t="n">
        <v>191665.13334736</v>
      </c>
    </row>
    <row r="760" customFormat="false" ht="16.5" hidden="false" customHeight="false" outlineLevel="0" collapsed="false">
      <c r="A760" s="19" t="n">
        <v>483.92</v>
      </c>
      <c r="B760" s="24" t="n">
        <v>189395.94668528</v>
      </c>
      <c r="C760" s="24" t="n">
        <v>189684.07390232</v>
      </c>
      <c r="D760" s="24" t="n">
        <v>189769.65674717</v>
      </c>
    </row>
    <row r="761" customFormat="false" ht="16.5" hidden="false" customHeight="false" outlineLevel="0" collapsed="false">
      <c r="A761" s="19" t="n">
        <v>483.91</v>
      </c>
      <c r="B761" s="24" t="n">
        <v>189089.27054978</v>
      </c>
      <c r="C761" s="24" t="n">
        <v>189373.32868542</v>
      </c>
      <c r="D761" s="24" t="n">
        <v>187877.27830707</v>
      </c>
    </row>
    <row r="762" customFormat="false" ht="16.5" hidden="false" customHeight="false" outlineLevel="0" collapsed="false">
      <c r="A762" s="19" t="n">
        <v>483.9</v>
      </c>
      <c r="B762" s="24" t="n">
        <v>188783.1210191</v>
      </c>
      <c r="C762" s="24" t="n">
        <v>189063.13273148</v>
      </c>
      <c r="D762" s="24" t="n">
        <v>185987.91947835</v>
      </c>
    </row>
    <row r="763" customFormat="false" ht="16.5" hidden="false" customHeight="false" outlineLevel="0" collapsed="false">
      <c r="A763" s="19" t="n">
        <v>483.89</v>
      </c>
      <c r="B763" s="24" t="n">
        <v>188477.77534067</v>
      </c>
      <c r="C763" s="24" t="n">
        <v>188753.76292676</v>
      </c>
      <c r="D763" s="24" t="n">
        <v>184101.62976496</v>
      </c>
    </row>
    <row r="764" customFormat="false" ht="16.5" hidden="false" customHeight="false" outlineLevel="0" collapsed="false">
      <c r="A764" s="19" t="n">
        <v>483.88</v>
      </c>
      <c r="B764" s="24" t="n">
        <v>188173.01433335</v>
      </c>
      <c r="C764" s="24" t="n">
        <v>188444.99985031</v>
      </c>
      <c r="D764" s="24" t="n">
        <v>182218.39287672</v>
      </c>
    </row>
    <row r="765" customFormat="false" ht="16.5" hidden="false" customHeight="false" outlineLevel="0" collapsed="false">
      <c r="A765" s="19" t="n">
        <v>483.87</v>
      </c>
      <c r="B765" s="24" t="n">
        <v>187868.99017836</v>
      </c>
      <c r="C765" s="24" t="n">
        <v>188136.99869721</v>
      </c>
      <c r="D765" s="24" t="n">
        <v>180338.21396171</v>
      </c>
    </row>
    <row r="766" customFormat="false" ht="16.5" hidden="false" customHeight="false" outlineLevel="0" collapsed="false">
      <c r="A766" s="19" t="n">
        <v>483.86</v>
      </c>
      <c r="B766" s="24" t="n">
        <v>187565.39255295</v>
      </c>
      <c r="C766" s="24" t="n">
        <v>187829.45394672</v>
      </c>
      <c r="D766" s="24" t="n">
        <v>178461.11727291</v>
      </c>
    </row>
    <row r="767" customFormat="false" ht="16.5" hidden="false" customHeight="false" outlineLevel="0" collapsed="false">
      <c r="A767" s="19" t="n">
        <v>483.85</v>
      </c>
      <c r="B767" s="24" t="n">
        <v>187262.15068121</v>
      </c>
      <c r="C767" s="24" t="n">
        <v>187522.30263354</v>
      </c>
      <c r="D767" s="24" t="n">
        <v>176587.00816311</v>
      </c>
    </row>
    <row r="768" customFormat="false" ht="16.5" hidden="false" customHeight="false" outlineLevel="0" collapsed="false">
      <c r="A768" s="19" t="n">
        <v>483.84</v>
      </c>
      <c r="B768" s="24" t="n">
        <v>186959.02639323</v>
      </c>
      <c r="C768" s="24" t="n">
        <v>187215.31448523</v>
      </c>
      <c r="D768" s="24" t="n">
        <v>174715.94992415</v>
      </c>
    </row>
    <row r="769" customFormat="false" ht="16.5" hidden="false" customHeight="false" outlineLevel="0" collapsed="false">
      <c r="A769" s="19" t="n">
        <v>483.83</v>
      </c>
      <c r="B769" s="24" t="n">
        <v>186655.3635936</v>
      </c>
      <c r="C769" s="24" t="n">
        <v>186907.84563543</v>
      </c>
      <c r="D769" s="24" t="n">
        <v>172847.94079671</v>
      </c>
    </row>
    <row r="770" customFormat="false" ht="16.5" hidden="false" customHeight="false" outlineLevel="0" collapsed="false">
      <c r="A770" s="19" t="n">
        <v>483.82</v>
      </c>
      <c r="B770" s="24" t="n">
        <v>186350.40540309</v>
      </c>
      <c r="C770" s="24" t="n">
        <v>186599.15546725</v>
      </c>
      <c r="D770" s="24" t="n">
        <v>170982.95259085</v>
      </c>
    </row>
    <row r="771" customFormat="false" ht="16.5" hidden="false" customHeight="false" outlineLevel="0" collapsed="false">
      <c r="A771" s="19" t="n">
        <v>483.81</v>
      </c>
      <c r="B771" s="24" t="n">
        <v>186041.19340802</v>
      </c>
      <c r="C771" s="24" t="n">
        <v>186286.3057022</v>
      </c>
      <c r="D771" s="24" t="n">
        <v>169121.09049057</v>
      </c>
    </row>
    <row r="772" customFormat="false" ht="16.5" hidden="false" customHeight="false" outlineLevel="0" collapsed="false">
      <c r="A772" s="19" t="n">
        <v>483.8</v>
      </c>
      <c r="B772" s="24" t="n">
        <v>185686.96353687</v>
      </c>
      <c r="C772" s="24" t="n">
        <v>185928.55257548</v>
      </c>
      <c r="D772" s="24" t="n">
        <v>167262.33677161</v>
      </c>
    </row>
    <row r="773" customFormat="false" ht="16.5" hidden="false" customHeight="false" outlineLevel="0" collapsed="false">
      <c r="A773" s="19" t="n">
        <v>483.79</v>
      </c>
      <c r="B773" s="24" t="n">
        <v>184894.34475692</v>
      </c>
      <c r="C773" s="24" t="n">
        <v>185132.49530811</v>
      </c>
      <c r="D773" s="24" t="n">
        <v>165411.92129317</v>
      </c>
    </row>
    <row r="774" customFormat="false" ht="16.5" hidden="false" customHeight="false" outlineLevel="0" collapsed="false">
      <c r="A774" s="19" t="n">
        <v>483.78</v>
      </c>
      <c r="B774" s="24" t="n">
        <v>184633.21793886</v>
      </c>
      <c r="C774" s="24" t="n">
        <v>184867.9233784</v>
      </c>
      <c r="D774" s="24" t="n">
        <v>163564.27252731</v>
      </c>
    </row>
    <row r="775" customFormat="false" ht="16.5" hidden="false" customHeight="false" outlineLevel="0" collapsed="false">
      <c r="A775" s="19" t="n">
        <v>483.77</v>
      </c>
      <c r="B775" s="24" t="n">
        <v>184374.22802532</v>
      </c>
      <c r="C775" s="24" t="n">
        <v>184605.49512185</v>
      </c>
      <c r="D775" s="24" t="n">
        <v>161719.26460409</v>
      </c>
    </row>
    <row r="776" customFormat="false" ht="16.5" hidden="false" customHeight="false" outlineLevel="0" collapsed="false">
      <c r="A776" s="19" t="n">
        <v>483.76</v>
      </c>
      <c r="B776" s="24" t="n">
        <v>184115.73578171</v>
      </c>
      <c r="C776" s="24" t="n">
        <v>184343.57446459</v>
      </c>
      <c r="D776" s="24" t="n">
        <v>159876.83493543</v>
      </c>
    </row>
    <row r="777" customFormat="false" ht="16.5" hidden="false" customHeight="false" outlineLevel="0" collapsed="false">
      <c r="A777" s="19" t="n">
        <v>483.75</v>
      </c>
      <c r="B777" s="24" t="n">
        <v>183857.22388019</v>
      </c>
      <c r="C777" s="24" t="n">
        <v>184081.64739826</v>
      </c>
      <c r="D777" s="24" t="n">
        <v>158037.00929435</v>
      </c>
    </row>
    <row r="778" customFormat="false" ht="16.5" hidden="false" customHeight="false" outlineLevel="0" collapsed="false">
      <c r="A778" s="19" t="n">
        <v>483.74</v>
      </c>
      <c r="B778" s="24" t="n">
        <v>183598.61025323</v>
      </c>
      <c r="C778" s="24" t="n">
        <v>183819.63126543</v>
      </c>
      <c r="D778" s="24" t="n">
        <v>156199.72836926</v>
      </c>
    </row>
    <row r="779" customFormat="false" ht="16.5" hidden="false" customHeight="false" outlineLevel="0" collapsed="false">
      <c r="A779" s="19" t="n">
        <v>483.73</v>
      </c>
      <c r="B779" s="24" t="n">
        <v>183339.85556832</v>
      </c>
      <c r="C779" s="24" t="n">
        <v>183557.48624923</v>
      </c>
      <c r="D779" s="24" t="n">
        <v>154365.05633588</v>
      </c>
    </row>
    <row r="780" customFormat="false" ht="16.5" hidden="false" customHeight="false" outlineLevel="0" collapsed="false">
      <c r="A780" s="19" t="n">
        <v>483.72</v>
      </c>
      <c r="B780" s="24" t="n">
        <v>183080.80796278</v>
      </c>
      <c r="C780" s="24" t="n">
        <v>183295.06471887</v>
      </c>
      <c r="D780" s="24" t="n">
        <v>152532.96537347</v>
      </c>
    </row>
    <row r="781" customFormat="false" ht="16.5" hidden="false" customHeight="false" outlineLevel="0" collapsed="false">
      <c r="A781" s="19" t="n">
        <v>483.71</v>
      </c>
      <c r="B781" s="24" t="n">
        <v>182821.70881811</v>
      </c>
      <c r="C781" s="24" t="n">
        <v>183032.60952062</v>
      </c>
      <c r="D781" s="24" t="n">
        <v>150703.43939152</v>
      </c>
    </row>
    <row r="782" customFormat="false" ht="16.5" hidden="false" customHeight="false" outlineLevel="0" collapsed="false">
      <c r="A782" s="19" t="n">
        <v>483.7</v>
      </c>
      <c r="B782" s="24" t="n">
        <v>182562.31954055</v>
      </c>
      <c r="C782" s="24" t="n">
        <v>182769.88301513</v>
      </c>
      <c r="D782" s="24" t="n">
        <v>148876.5415201</v>
      </c>
    </row>
    <row r="783" customFormat="false" ht="16.5" hidden="false" customHeight="false" outlineLevel="0" collapsed="false">
      <c r="A783" s="19" t="n">
        <v>483.69</v>
      </c>
      <c r="B783" s="24" t="n">
        <v>182302.85537637</v>
      </c>
      <c r="C783" s="24" t="n">
        <v>182507.10140094</v>
      </c>
      <c r="D783" s="24" t="n">
        <v>147052.27579798</v>
      </c>
    </row>
    <row r="784" customFormat="false" ht="16.5" hidden="false" customHeight="false" outlineLevel="0" collapsed="false">
      <c r="A784" s="19" t="n">
        <v>483.68</v>
      </c>
      <c r="B784" s="24" t="n">
        <v>182042.99019888</v>
      </c>
      <c r="C784" s="24" t="n">
        <v>182243.94308857</v>
      </c>
      <c r="D784" s="24" t="n">
        <v>145230.57542266</v>
      </c>
    </row>
    <row r="785" customFormat="false" ht="16.5" hidden="false" customHeight="false" outlineLevel="0" collapsed="false">
      <c r="A785" s="19" t="n">
        <v>483.67</v>
      </c>
      <c r="B785" s="24" t="n">
        <v>181783.02110177</v>
      </c>
      <c r="C785" s="24" t="n">
        <v>181980.70739217</v>
      </c>
      <c r="D785" s="24" t="n">
        <v>143411.4817467</v>
      </c>
    </row>
    <row r="786" customFormat="false" ht="16.5" hidden="false" customHeight="false" outlineLevel="0" collapsed="false">
      <c r="A786" s="19" t="n">
        <v>483.66</v>
      </c>
      <c r="B786" s="24" t="n">
        <v>181522.58644404</v>
      </c>
      <c r="C786" s="24" t="n">
        <v>181717.0361856</v>
      </c>
      <c r="D786" s="24" t="n">
        <v>141595.00337166</v>
      </c>
    </row>
    <row r="787" customFormat="false" ht="16.5" hidden="false" customHeight="false" outlineLevel="0" collapsed="false">
      <c r="A787" s="19" t="n">
        <v>483.65</v>
      </c>
      <c r="B787" s="24" t="n">
        <v>181261.55882109</v>
      </c>
      <c r="C787" s="24" t="n">
        <v>181452.80851562</v>
      </c>
      <c r="D787" s="24" t="n">
        <v>139781.14224561</v>
      </c>
    </row>
    <row r="788" customFormat="false" ht="16.5" hidden="false" customHeight="false" outlineLevel="0" collapsed="false">
      <c r="A788" s="19" t="n">
        <v>483.64</v>
      </c>
      <c r="B788" s="24" t="n">
        <v>180999.44713452</v>
      </c>
      <c r="C788" s="24" t="n">
        <v>181187.54365234</v>
      </c>
      <c r="D788" s="24" t="n">
        <v>137969.88366116</v>
      </c>
    </row>
    <row r="789" customFormat="false" ht="16.5" hidden="false" customHeight="false" outlineLevel="0" collapsed="false">
      <c r="A789" s="19" t="n">
        <v>483.63</v>
      </c>
      <c r="B789" s="24" t="n">
        <v>180735.63294445</v>
      </c>
      <c r="C789" s="24" t="n">
        <v>180920.64359438</v>
      </c>
      <c r="D789" s="24" t="n">
        <v>136161.2700787</v>
      </c>
    </row>
    <row r="790" customFormat="false" ht="16.5" hidden="false" customHeight="false" outlineLevel="0" collapsed="false">
      <c r="A790" s="19" t="n">
        <v>483.62</v>
      </c>
      <c r="B790" s="24" t="n">
        <v>180468.97608222</v>
      </c>
      <c r="C790" s="24" t="n">
        <v>180650.98582275</v>
      </c>
      <c r="D790" s="24" t="n">
        <v>134355.32941473</v>
      </c>
    </row>
    <row r="791" customFormat="false" ht="16.5" hidden="false" customHeight="false" outlineLevel="0" collapsed="false">
      <c r="A791" s="19" t="n">
        <v>483.61</v>
      </c>
      <c r="B791" s="24" t="n">
        <v>180196.29639977</v>
      </c>
      <c r="C791" s="24" t="n">
        <v>180375.42486277</v>
      </c>
      <c r="D791" s="24" t="n">
        <v>132552.07370555</v>
      </c>
    </row>
    <row r="792" customFormat="false" ht="16.5" hidden="false" customHeight="false" outlineLevel="0" collapsed="false">
      <c r="A792" s="19" t="n">
        <v>483.6</v>
      </c>
      <c r="B792" s="24" t="n">
        <v>178958.74918114</v>
      </c>
      <c r="C792" s="24" t="n">
        <v>179135.16972928</v>
      </c>
      <c r="D792" s="24" t="n">
        <v>130751.63024432</v>
      </c>
    </row>
    <row r="793" customFormat="false" ht="16.5" hidden="false" customHeight="false" outlineLevel="0" collapsed="false">
      <c r="A793" s="19" t="n">
        <v>483.59</v>
      </c>
      <c r="B793" s="24" t="n">
        <v>178581.51849109</v>
      </c>
      <c r="C793" s="24" t="n">
        <v>178755.38497089</v>
      </c>
      <c r="D793" s="24" t="n">
        <v>128964.07894732</v>
      </c>
    </row>
    <row r="794" customFormat="false" ht="16.5" hidden="false" customHeight="false" outlineLevel="0" collapsed="false">
      <c r="A794" s="19" t="n">
        <v>483.58</v>
      </c>
      <c r="B794" s="24" t="n">
        <v>178265.75621677</v>
      </c>
      <c r="C794" s="24" t="n">
        <v>178437.03430271</v>
      </c>
      <c r="D794" s="24" t="n">
        <v>127179.88814741</v>
      </c>
    </row>
    <row r="795" customFormat="false" ht="16.5" hidden="false" customHeight="false" outlineLevel="0" collapsed="false">
      <c r="A795" s="19" t="n">
        <v>483.57</v>
      </c>
      <c r="B795" s="24" t="n">
        <v>177955.21415708</v>
      </c>
      <c r="C795" s="24" t="n">
        <v>178123.8997563</v>
      </c>
      <c r="D795" s="24" t="n">
        <v>125398.76506632</v>
      </c>
    </row>
    <row r="796" customFormat="false" ht="16.5" hidden="false" customHeight="false" outlineLevel="0" collapsed="false">
      <c r="A796" s="19" t="n">
        <v>483.56</v>
      </c>
      <c r="B796" s="24" t="n">
        <v>177646.38640532</v>
      </c>
      <c r="C796" s="24" t="n">
        <v>177812.48389711</v>
      </c>
      <c r="D796" s="24" t="n">
        <v>123620.74038997</v>
      </c>
    </row>
    <row r="797" customFormat="false" ht="16.5" hidden="false" customHeight="false" outlineLevel="0" collapsed="false">
      <c r="A797" s="19" t="n">
        <v>483.55</v>
      </c>
      <c r="B797" s="24" t="n">
        <v>177338.48483497</v>
      </c>
      <c r="C797" s="24" t="n">
        <v>177502.00227305</v>
      </c>
      <c r="D797" s="24" t="n">
        <v>121845.83828122</v>
      </c>
    </row>
    <row r="798" customFormat="false" ht="16.5" hidden="false" customHeight="false" outlineLevel="0" collapsed="false">
      <c r="A798" s="19" t="n">
        <v>483.54</v>
      </c>
      <c r="B798" s="24" t="n">
        <v>177031.18413331</v>
      </c>
      <c r="C798" s="24" t="n">
        <v>177192.12984481</v>
      </c>
      <c r="D798" s="24" t="n">
        <v>120073.98196748</v>
      </c>
    </row>
    <row r="799" customFormat="false" ht="16.5" hidden="false" customHeight="false" outlineLevel="0" collapsed="false">
      <c r="A799" s="19" t="n">
        <v>483.53</v>
      </c>
      <c r="B799" s="24" t="n">
        <v>176724.6790734</v>
      </c>
      <c r="C799" s="24" t="n">
        <v>176883.06160061</v>
      </c>
      <c r="D799" s="24" t="n">
        <v>118305.23841807</v>
      </c>
    </row>
    <row r="800" customFormat="false" ht="16.5" hidden="false" customHeight="false" outlineLevel="0" collapsed="false">
      <c r="A800" s="19" t="n">
        <v>483.52</v>
      </c>
      <c r="B800" s="24" t="n">
        <v>176418.64848993</v>
      </c>
      <c r="C800" s="24" t="n">
        <v>176574.47811564</v>
      </c>
      <c r="D800" s="24" t="n">
        <v>116539.51461877</v>
      </c>
    </row>
    <row r="801" customFormat="false" ht="16.5" hidden="false" customHeight="false" outlineLevel="0" collapsed="false">
      <c r="A801" s="19" t="n">
        <v>483.51</v>
      </c>
      <c r="B801" s="24" t="n">
        <v>176113.22774243</v>
      </c>
      <c r="C801" s="24" t="n">
        <v>176266.51488036</v>
      </c>
      <c r="D801" s="24" t="n">
        <v>114776.84754636</v>
      </c>
    </row>
    <row r="802" customFormat="false" ht="16.5" hidden="false" customHeight="false" outlineLevel="0" collapsed="false">
      <c r="A802" s="19" t="n">
        <v>483.5</v>
      </c>
      <c r="B802" s="24" t="n">
        <v>175808.51801014</v>
      </c>
      <c r="C802" s="24" t="n">
        <v>175959.27199972</v>
      </c>
      <c r="D802" s="24" t="n">
        <v>113017.24002562</v>
      </c>
    </row>
    <row r="803" customFormat="false" ht="16.5" hidden="false" customHeight="false" outlineLevel="0" collapsed="false">
      <c r="A803" s="19" t="n">
        <v>483.49</v>
      </c>
      <c r="B803" s="24" t="n">
        <v>175504.22272095</v>
      </c>
      <c r="C803" s="24" t="n">
        <v>175652.45462515</v>
      </c>
      <c r="D803" s="24" t="n">
        <v>111260.69328556</v>
      </c>
    </row>
    <row r="804" customFormat="false" ht="16.5" hidden="false" customHeight="false" outlineLevel="0" collapsed="false">
      <c r="A804" s="19" t="n">
        <v>483.48</v>
      </c>
      <c r="B804" s="24" t="n">
        <v>175200.64167095</v>
      </c>
      <c r="C804" s="24" t="n">
        <v>175346.36246389</v>
      </c>
      <c r="D804" s="24" t="n">
        <v>109507.19797031</v>
      </c>
    </row>
    <row r="805" customFormat="false" ht="16.5" hidden="false" customHeight="false" outlineLevel="0" collapsed="false">
      <c r="A805" s="19" t="n">
        <v>483.47</v>
      </c>
      <c r="B805" s="24" t="n">
        <v>174897.62076685</v>
      </c>
      <c r="C805" s="24" t="n">
        <v>175040.84168292</v>
      </c>
      <c r="D805" s="24" t="n">
        <v>107756.73311402</v>
      </c>
    </row>
    <row r="806" customFormat="false" ht="16.5" hidden="false" customHeight="false" outlineLevel="0" collapsed="false">
      <c r="A806" s="19" t="n">
        <v>483.46</v>
      </c>
      <c r="B806" s="24" t="n">
        <v>174595.19968675</v>
      </c>
      <c r="C806" s="24" t="n">
        <v>174735.93287978</v>
      </c>
      <c r="D806" s="24" t="n">
        <v>106009.29063521</v>
      </c>
    </row>
    <row r="807" customFormat="false" ht="16.5" hidden="false" customHeight="false" outlineLevel="0" collapsed="false">
      <c r="A807" s="19" t="n">
        <v>483.45</v>
      </c>
      <c r="B807" s="24" t="n">
        <v>174293.29044079</v>
      </c>
      <c r="C807" s="24" t="n">
        <v>174431.54902043</v>
      </c>
      <c r="D807" s="24" t="n">
        <v>104264.84586553</v>
      </c>
    </row>
    <row r="808" customFormat="false" ht="16.5" hidden="false" customHeight="false" outlineLevel="0" collapsed="false">
      <c r="A808" s="19" t="n">
        <v>483.44</v>
      </c>
      <c r="B808" s="24" t="n">
        <v>173991.95658392</v>
      </c>
      <c r="C808" s="24" t="n">
        <v>174127.75374556</v>
      </c>
      <c r="D808" s="24" t="n">
        <v>102523.44305081</v>
      </c>
    </row>
    <row r="809" customFormat="false" ht="16.5" hidden="false" customHeight="false" outlineLevel="0" collapsed="false">
      <c r="A809" s="19" t="n">
        <v>483.43</v>
      </c>
      <c r="B809" s="24" t="n">
        <v>173690.97056097</v>
      </c>
      <c r="C809" s="24" t="n">
        <v>173824.3220265</v>
      </c>
      <c r="D809" s="24" t="n">
        <v>100785.03944422</v>
      </c>
    </row>
    <row r="810" customFormat="false" ht="16.5" hidden="false" customHeight="false" outlineLevel="0" collapsed="false">
      <c r="A810" s="19" t="n">
        <v>483.42</v>
      </c>
      <c r="B810" s="24" t="n">
        <v>173390.19647023</v>
      </c>
      <c r="C810" s="24" t="n">
        <v>173521.12235042</v>
      </c>
      <c r="D810" s="24" t="n">
        <v>99049.643659596</v>
      </c>
    </row>
    <row r="811" customFormat="false" ht="16.5" hidden="false" customHeight="false" outlineLevel="0" collapsed="false">
      <c r="A811" s="19" t="n">
        <v>483.41</v>
      </c>
      <c r="B811" s="24" t="n">
        <v>173088.36680562</v>
      </c>
      <c r="C811" s="24" t="n">
        <v>173216.89120312</v>
      </c>
      <c r="D811" s="24" t="n">
        <v>97317.277208396</v>
      </c>
    </row>
    <row r="812" customFormat="false" ht="16.5" hidden="false" customHeight="false" outlineLevel="0" collapsed="false">
      <c r="A812" s="19" t="n">
        <v>483.4</v>
      </c>
      <c r="B812" s="24" t="n">
        <v>172756.236451</v>
      </c>
      <c r="C812" s="24" t="n">
        <v>172882.40017626</v>
      </c>
      <c r="D812" s="24" t="n">
        <v>95587.988295998</v>
      </c>
    </row>
    <row r="813" customFormat="false" ht="16.5" hidden="false" customHeight="false" outlineLevel="0" collapsed="false">
      <c r="A813" s="19" t="n">
        <v>483.39</v>
      </c>
      <c r="B813" s="24" t="n">
        <v>172155.01596827</v>
      </c>
      <c r="C813" s="24" t="n">
        <v>172278.81224035</v>
      </c>
      <c r="D813" s="24" t="n">
        <v>93864.650928955</v>
      </c>
    </row>
    <row r="814" customFormat="false" ht="16.5" hidden="false" customHeight="false" outlineLevel="0" collapsed="false">
      <c r="A814" s="19" t="n">
        <v>483.38</v>
      </c>
      <c r="B814" s="24" t="n">
        <v>171824.0488731</v>
      </c>
      <c r="C814" s="24" t="n">
        <v>171945.43514884</v>
      </c>
      <c r="D814" s="24" t="n">
        <v>92144.76923778</v>
      </c>
    </row>
    <row r="815" customFormat="false" ht="16.5" hidden="false" customHeight="false" outlineLevel="0" collapsed="false">
      <c r="A815" s="19" t="n">
        <v>483.37</v>
      </c>
      <c r="B815" s="24" t="n">
        <v>171494.37035714</v>
      </c>
      <c r="C815" s="24" t="n">
        <v>171613.3325577</v>
      </c>
      <c r="D815" s="24" t="n">
        <v>90428.166466933</v>
      </c>
    </row>
    <row r="816" customFormat="false" ht="16.5" hidden="false" customHeight="false" outlineLevel="0" collapsed="false">
      <c r="A816" s="19" t="n">
        <v>483.36</v>
      </c>
      <c r="B816" s="24" t="n">
        <v>171164.26233591</v>
      </c>
      <c r="C816" s="24" t="n">
        <v>171280.79405997</v>
      </c>
      <c r="D816" s="24" t="n">
        <v>88714.874189682</v>
      </c>
    </row>
    <row r="817" customFormat="false" ht="16.5" hidden="false" customHeight="false" outlineLevel="0" collapsed="false">
      <c r="A817" s="19" t="n">
        <v>483.35</v>
      </c>
      <c r="B817" s="24" t="n">
        <v>170833.1375088</v>
      </c>
      <c r="C817" s="24" t="n">
        <v>170947.23719678</v>
      </c>
      <c r="D817" s="24" t="n">
        <v>87004.862053687</v>
      </c>
    </row>
    <row r="818" customFormat="false" ht="16.5" hidden="false" customHeight="false" outlineLevel="0" collapsed="false">
      <c r="A818" s="19" t="n">
        <v>483.34</v>
      </c>
      <c r="B818" s="24" t="n">
        <v>170500.96768747</v>
      </c>
      <c r="C818" s="24" t="n">
        <v>170612.63485785</v>
      </c>
      <c r="D818" s="24" t="n">
        <v>85298.209863197</v>
      </c>
    </row>
    <row r="819" customFormat="false" ht="16.5" hidden="false" customHeight="false" outlineLevel="0" collapsed="false">
      <c r="A819" s="19" t="n">
        <v>483.33</v>
      </c>
      <c r="B819" s="24" t="n">
        <v>170167.77539056</v>
      </c>
      <c r="C819" s="24" t="n">
        <v>170277.0111331</v>
      </c>
      <c r="D819" s="24" t="n">
        <v>83594.855823695</v>
      </c>
    </row>
    <row r="820" customFormat="false" ht="16.5" hidden="false" customHeight="false" outlineLevel="0" collapsed="false">
      <c r="A820" s="19" t="n">
        <v>483.32</v>
      </c>
      <c r="B820" s="24" t="n">
        <v>169833.23677279</v>
      </c>
      <c r="C820" s="24" t="n">
        <v>169940.04426133</v>
      </c>
      <c r="D820" s="24" t="n">
        <v>81894.858801321</v>
      </c>
    </row>
    <row r="821" customFormat="false" ht="16.5" hidden="false" customHeight="false" outlineLevel="0" collapsed="false">
      <c r="A821" s="19" t="n">
        <v>483.31</v>
      </c>
      <c r="B821" s="24" t="n">
        <v>169497.58421554</v>
      </c>
      <c r="C821" s="24" t="n">
        <v>169601.96640866</v>
      </c>
      <c r="D821" s="24" t="n">
        <v>80198.227592552</v>
      </c>
    </row>
    <row r="822" customFormat="false" ht="16.5" hidden="false" customHeight="false" outlineLevel="0" collapsed="false">
      <c r="A822" s="19" t="n">
        <v>483.3</v>
      </c>
      <c r="B822" s="24" t="n">
        <v>169160.89317885</v>
      </c>
      <c r="C822" s="24" t="n">
        <v>169262.85407032</v>
      </c>
      <c r="D822" s="24" t="n">
        <v>78504.924611612</v>
      </c>
    </row>
    <row r="823" customFormat="false" ht="16.5" hidden="false" customHeight="false" outlineLevel="0" collapsed="false">
      <c r="A823" s="19" t="n">
        <v>483.29</v>
      </c>
      <c r="B823" s="24" t="n">
        <v>168822.80349749</v>
      </c>
      <c r="C823" s="24" t="n">
        <v>168922.34693115</v>
      </c>
      <c r="D823" s="24" t="n">
        <v>76815.022970147</v>
      </c>
    </row>
    <row r="824" customFormat="false" ht="16.5" hidden="false" customHeight="false" outlineLevel="0" collapsed="false">
      <c r="A824" s="19" t="n">
        <v>483.28</v>
      </c>
      <c r="B824" s="24" t="n">
        <v>168483.64470911</v>
      </c>
      <c r="C824" s="24" t="n">
        <v>168580.77355209</v>
      </c>
      <c r="D824" s="24" t="n">
        <v>75128.480697893</v>
      </c>
    </row>
    <row r="825" customFormat="false" ht="16.5" hidden="false" customHeight="false" outlineLevel="0" collapsed="false">
      <c r="A825" s="19" t="n">
        <v>483.27</v>
      </c>
      <c r="B825" s="24" t="n">
        <v>168143.24225091</v>
      </c>
      <c r="C825" s="24" t="n">
        <v>168237.96064953</v>
      </c>
      <c r="D825" s="24" t="n">
        <v>73445.354178417</v>
      </c>
    </row>
    <row r="826" customFormat="false" ht="16.5" hidden="false" customHeight="false" outlineLevel="0" collapsed="false">
      <c r="A826" s="19" t="n">
        <v>483.26</v>
      </c>
      <c r="B826" s="24" t="n">
        <v>167801.6080936</v>
      </c>
      <c r="C826" s="24" t="n">
        <v>167893.92256678</v>
      </c>
      <c r="D826" s="24" t="n">
        <v>71765.641741632</v>
      </c>
    </row>
    <row r="827" customFormat="false" ht="16.5" hidden="false" customHeight="false" outlineLevel="0" collapsed="false">
      <c r="A827" s="19" t="n">
        <v>483.25</v>
      </c>
      <c r="B827" s="24" t="n">
        <v>167458.70125584</v>
      </c>
      <c r="C827" s="24" t="n">
        <v>167548.62087099</v>
      </c>
      <c r="D827" s="24" t="n">
        <v>70089.345479124</v>
      </c>
    </row>
    <row r="828" customFormat="false" ht="16.5" hidden="false" customHeight="false" outlineLevel="0" collapsed="false">
      <c r="A828" s="19" t="n">
        <v>483.24</v>
      </c>
      <c r="B828" s="24" t="n">
        <v>167114.35863314</v>
      </c>
      <c r="C828" s="24" t="n">
        <v>167201.89450059</v>
      </c>
      <c r="D828" s="24" t="n">
        <v>68416.495953352</v>
      </c>
    </row>
    <row r="829" customFormat="false" ht="16.5" hidden="false" customHeight="false" outlineLevel="0" collapsed="false">
      <c r="A829" s="19" t="n">
        <v>483.23</v>
      </c>
      <c r="B829" s="24" t="n">
        <v>166768.27258852</v>
      </c>
      <c r="C829" s="24" t="n">
        <v>166853.44042088</v>
      </c>
      <c r="D829" s="24" t="n">
        <v>66747.096262687</v>
      </c>
    </row>
    <row r="830" customFormat="false" ht="16.5" hidden="false" customHeight="false" outlineLevel="0" collapsed="false">
      <c r="A830" s="19" t="n">
        <v>483.22</v>
      </c>
      <c r="B830" s="24" t="n">
        <v>166419.52305075</v>
      </c>
      <c r="C830" s="24" t="n">
        <v>166502.34438604</v>
      </c>
      <c r="D830" s="24" t="n">
        <v>65081.177162646</v>
      </c>
    </row>
    <row r="831" customFormat="false" ht="16.5" hidden="false" customHeight="false" outlineLevel="0" collapsed="false">
      <c r="A831" s="19" t="n">
        <v>483.21</v>
      </c>
      <c r="B831" s="24" t="n">
        <v>166063.78949626</v>
      </c>
      <c r="C831" s="24" t="n">
        <v>166144.29641033</v>
      </c>
      <c r="D831" s="24" t="n">
        <v>63418.785881354</v>
      </c>
    </row>
    <row r="832" customFormat="false" ht="16.5" hidden="false" customHeight="false" outlineLevel="0" collapsed="false">
      <c r="A832" s="19" t="n">
        <v>483.2</v>
      </c>
      <c r="B832" s="24" t="n">
        <v>164873.55845455</v>
      </c>
      <c r="C832" s="24" t="n">
        <v>164951.85399277</v>
      </c>
      <c r="D832" s="24" t="n">
        <v>61760.105640174</v>
      </c>
    </row>
    <row r="833" customFormat="false" ht="16.5" hidden="false" customHeight="false" outlineLevel="0" collapsed="false">
      <c r="A833" s="19" t="n">
        <v>483.19</v>
      </c>
      <c r="B833" s="24" t="n">
        <v>163500.7131575</v>
      </c>
      <c r="C833" s="24" t="n">
        <v>163576.69194044</v>
      </c>
      <c r="D833" s="24" t="n">
        <v>60122.506560197</v>
      </c>
    </row>
    <row r="834" customFormat="false" ht="16.5" hidden="false" customHeight="false" outlineLevel="0" collapsed="false">
      <c r="A834" s="19" t="n">
        <v>483.18</v>
      </c>
      <c r="B834" s="24" t="n">
        <v>163091.67309494</v>
      </c>
      <c r="C834" s="24" t="n">
        <v>163165.17145011</v>
      </c>
      <c r="D834" s="24" t="n">
        <v>58489.548849624</v>
      </c>
    </row>
    <row r="835" customFormat="false" ht="16.5" hidden="false" customHeight="false" outlineLevel="0" collapsed="false">
      <c r="A835" s="19" t="n">
        <v>483.17</v>
      </c>
      <c r="B835" s="24" t="n">
        <v>162691.00339087</v>
      </c>
      <c r="C835" s="24" t="n">
        <v>162761.94195794</v>
      </c>
      <c r="D835" s="24" t="n">
        <v>56860.633534</v>
      </c>
    </row>
    <row r="836" customFormat="false" ht="16.5" hidden="false" customHeight="false" outlineLevel="0" collapsed="false">
      <c r="A836" s="19" t="n">
        <v>483.16</v>
      </c>
      <c r="B836" s="24" t="n">
        <v>162293.07407513</v>
      </c>
      <c r="C836" s="24" t="n">
        <v>162361.40881553</v>
      </c>
      <c r="D836" s="24" t="n">
        <v>55235.71741876</v>
      </c>
    </row>
    <row r="837" customFormat="false" ht="16.5" hidden="false" customHeight="false" outlineLevel="0" collapsed="false">
      <c r="A837" s="19" t="n">
        <v>483.15</v>
      </c>
      <c r="B837" s="24" t="n">
        <v>161895.73873998</v>
      </c>
      <c r="C837" s="24" t="n">
        <v>161961.44569749</v>
      </c>
      <c r="D837" s="24" t="n">
        <v>53614.77025814</v>
      </c>
    </row>
    <row r="838" customFormat="false" ht="16.5" hidden="false" customHeight="false" outlineLevel="0" collapsed="false">
      <c r="A838" s="19" t="n">
        <v>483.14</v>
      </c>
      <c r="B838" s="24" t="n">
        <v>161498.16750194</v>
      </c>
      <c r="C838" s="24" t="n">
        <v>161561.23244091</v>
      </c>
      <c r="D838" s="24" t="n">
        <v>51997.779296436</v>
      </c>
    </row>
    <row r="839" customFormat="false" ht="16.5" hidden="false" customHeight="false" outlineLevel="0" collapsed="false">
      <c r="A839" s="19" t="n">
        <v>483.13</v>
      </c>
      <c r="B839" s="24" t="n">
        <v>161099.96461489</v>
      </c>
      <c r="C839" s="24" t="n">
        <v>161160.37957479</v>
      </c>
      <c r="D839" s="24" t="n">
        <v>50384.799140639</v>
      </c>
    </row>
    <row r="840" customFormat="false" ht="16.5" hidden="false" customHeight="false" outlineLevel="0" collapsed="false">
      <c r="A840" s="19" t="n">
        <v>483.12</v>
      </c>
      <c r="B840" s="24" t="n">
        <v>160701.05839443</v>
      </c>
      <c r="C840" s="24" t="n">
        <v>160758.82517915</v>
      </c>
      <c r="D840" s="24" t="n">
        <v>48775.796271406</v>
      </c>
    </row>
    <row r="841" customFormat="false" ht="16.5" hidden="false" customHeight="false" outlineLevel="0" collapsed="false">
      <c r="A841" s="19" t="n">
        <v>483.11</v>
      </c>
      <c r="B841" s="24" t="n">
        <v>160301.44531011</v>
      </c>
      <c r="C841" s="24" t="n">
        <v>160356.56992572</v>
      </c>
      <c r="D841" s="24" t="n">
        <v>47170.82535651</v>
      </c>
    </row>
    <row r="842" customFormat="false" ht="16.5" hidden="false" customHeight="false" outlineLevel="0" collapsed="false">
      <c r="A842" s="19" t="n">
        <v>483.1</v>
      </c>
      <c r="B842" s="24" t="n">
        <v>159900.68126492</v>
      </c>
      <c r="C842" s="24" t="n">
        <v>159953.17301284</v>
      </c>
      <c r="D842" s="24" t="n">
        <v>45569.814380535</v>
      </c>
    </row>
    <row r="843" customFormat="false" ht="16.5" hidden="false" customHeight="false" outlineLevel="0" collapsed="false">
      <c r="A843" s="19" t="n">
        <v>483.09</v>
      </c>
      <c r="B843" s="24" t="n">
        <v>159498.95343068</v>
      </c>
      <c r="C843" s="24" t="n">
        <v>159548.82250716</v>
      </c>
      <c r="D843" s="24" t="n">
        <v>43972.826938787</v>
      </c>
    </row>
    <row r="844" customFormat="false" ht="16.5" hidden="false" customHeight="false" outlineLevel="0" collapsed="false">
      <c r="A844" s="19" t="n">
        <v>483.08</v>
      </c>
      <c r="B844" s="24" t="n">
        <v>159096.30734442</v>
      </c>
      <c r="C844" s="24" t="n">
        <v>159143.56712621</v>
      </c>
      <c r="D844" s="24" t="n">
        <v>42379.873654094</v>
      </c>
    </row>
    <row r="845" customFormat="false" ht="16.5" hidden="false" customHeight="false" outlineLevel="0" collapsed="false">
      <c r="A845" s="19" t="n">
        <v>483.07</v>
      </c>
      <c r="B845" s="24" t="n">
        <v>158692.64806288</v>
      </c>
      <c r="C845" s="24" t="n">
        <v>158737.31656368</v>
      </c>
      <c r="D845" s="24" t="n">
        <v>40790.988701114</v>
      </c>
    </row>
    <row r="846" customFormat="false" ht="16.5" hidden="false" customHeight="false" outlineLevel="0" collapsed="false">
      <c r="A846" s="19" t="n">
        <v>483.06</v>
      </c>
      <c r="B846" s="24" t="n">
        <v>158287.72821913</v>
      </c>
      <c r="C846" s="24" t="n">
        <v>158329.83158558</v>
      </c>
      <c r="D846" s="24" t="n">
        <v>39206.139237048</v>
      </c>
    </row>
    <row r="847" customFormat="false" ht="16.5" hidden="false" customHeight="false" outlineLevel="0" collapsed="false">
      <c r="A847" s="19" t="n">
        <v>483.05</v>
      </c>
      <c r="B847" s="24" t="n">
        <v>157881.26614544</v>
      </c>
      <c r="C847" s="24" t="n">
        <v>157920.83884872</v>
      </c>
      <c r="D847" s="24" t="n">
        <v>37625.359249638</v>
      </c>
    </row>
    <row r="848" customFormat="false" ht="16.5" hidden="false" customHeight="false" outlineLevel="0" collapsed="false">
      <c r="A848" s="19" t="n">
        <v>483.04</v>
      </c>
      <c r="B848" s="24" t="n">
        <v>157472.86746871</v>
      </c>
      <c r="C848" s="24" t="n">
        <v>157509.95594636</v>
      </c>
      <c r="D848" s="24" t="n">
        <v>36048.653842305</v>
      </c>
    </row>
    <row r="849" customFormat="false" ht="16.5" hidden="false" customHeight="false" outlineLevel="0" collapsed="false">
      <c r="A849" s="19" t="n">
        <v>483.03</v>
      </c>
      <c r="B849" s="24" t="n">
        <v>157061.48082306</v>
      </c>
      <c r="C849" s="24" t="n">
        <v>157096.14919615</v>
      </c>
      <c r="D849" s="24" t="n">
        <v>34476.067833642</v>
      </c>
    </row>
    <row r="850" customFormat="false" ht="16.5" hidden="false" customHeight="false" outlineLevel="0" collapsed="false">
      <c r="A850" s="19" t="n">
        <v>483.02</v>
      </c>
      <c r="B850" s="24" t="n">
        <v>156643.13262257</v>
      </c>
      <c r="C850" s="24" t="n">
        <v>156675.47840018</v>
      </c>
      <c r="D850" s="24" t="n">
        <v>32907.660446154</v>
      </c>
    </row>
    <row r="851" customFormat="false" ht="16.5" hidden="false" customHeight="false" outlineLevel="0" collapsed="false">
      <c r="A851" s="19" t="n">
        <v>483.01</v>
      </c>
      <c r="B851" s="24" t="n">
        <v>156215.8901903</v>
      </c>
      <c r="C851" s="24" t="n">
        <v>156246.07625958</v>
      </c>
      <c r="D851" s="24" t="n">
        <v>31343.481591023</v>
      </c>
    </row>
    <row r="852" customFormat="false" ht="16.5" hidden="false" customHeight="false" outlineLevel="0" collapsed="false">
      <c r="A852" s="19" t="n">
        <v>483</v>
      </c>
      <c r="B852" s="24" t="n">
        <v>155639.06933154</v>
      </c>
      <c r="C852" s="24" t="n">
        <v>155667.35630192</v>
      </c>
      <c r="D852" s="24" t="n">
        <v>29783.877598461</v>
      </c>
    </row>
    <row r="853" customFormat="false" ht="16.5" hidden="false" customHeight="false" outlineLevel="0" collapsed="false">
      <c r="A853" s="19" t="n">
        <v>482.99</v>
      </c>
      <c r="B853" s="24" t="n">
        <v>153357.26827044</v>
      </c>
      <c r="C853" s="24" t="n">
        <v>153383.95528656</v>
      </c>
      <c r="D853" s="24" t="n">
        <v>28247.596069129</v>
      </c>
    </row>
    <row r="854" customFormat="false" ht="16.5" hidden="false" customHeight="false" outlineLevel="0" collapsed="false">
      <c r="A854" s="19" t="n">
        <v>482.98</v>
      </c>
      <c r="B854" s="24" t="n">
        <v>152865.0486256</v>
      </c>
      <c r="C854" s="24" t="n">
        <v>152890.14643782</v>
      </c>
      <c r="D854" s="24" t="n">
        <v>26716.501689879</v>
      </c>
    </row>
    <row r="855" customFormat="false" ht="16.5" hidden="false" customHeight="false" outlineLevel="0" collapsed="false">
      <c r="A855" s="19" t="n">
        <v>482.97</v>
      </c>
      <c r="B855" s="24" t="n">
        <v>152374.66505591</v>
      </c>
      <c r="C855" s="24" t="n">
        <v>152398.20288456</v>
      </c>
      <c r="D855" s="24" t="n">
        <v>25190.297847628</v>
      </c>
    </row>
    <row r="856" customFormat="false" ht="16.5" hidden="false" customHeight="false" outlineLevel="0" collapsed="false">
      <c r="A856" s="19" t="n">
        <v>482.96</v>
      </c>
      <c r="B856" s="24" t="n">
        <v>151884.12071461</v>
      </c>
      <c r="C856" s="24" t="n">
        <v>151906.12217298</v>
      </c>
      <c r="D856" s="24" t="n">
        <v>23669.001999831</v>
      </c>
    </row>
    <row r="857" customFormat="false" ht="16.5" hidden="false" customHeight="false" outlineLevel="0" collapsed="false">
      <c r="A857" s="19" t="n">
        <v>482.95</v>
      </c>
      <c r="B857" s="24" t="n">
        <v>151393.39098958</v>
      </c>
      <c r="C857" s="24" t="n">
        <v>151413.87311133</v>
      </c>
      <c r="D857" s="24" t="n">
        <v>22152.636452336</v>
      </c>
    </row>
    <row r="858" customFormat="false" ht="16.5" hidden="false" customHeight="false" outlineLevel="0" collapsed="false">
      <c r="A858" s="19" t="n">
        <v>482.94</v>
      </c>
      <c r="B858" s="24" t="n">
        <v>150902.57750788</v>
      </c>
      <c r="C858" s="24" t="n">
        <v>150921.55204372</v>
      </c>
      <c r="D858" s="24" t="n">
        <v>20641.160951375</v>
      </c>
    </row>
    <row r="859" customFormat="false" ht="16.5" hidden="false" customHeight="false" outlineLevel="0" collapsed="false">
      <c r="A859" s="19" t="n">
        <v>482.93</v>
      </c>
      <c r="B859" s="24" t="n">
        <v>150411.73067436</v>
      </c>
      <c r="C859" s="24" t="n">
        <v>150429.20663303</v>
      </c>
      <c r="D859" s="24" t="n">
        <v>19134.599796394</v>
      </c>
    </row>
    <row r="860" customFormat="false" ht="16.5" hidden="false" customHeight="false" outlineLevel="0" collapsed="false">
      <c r="A860" s="19" t="n">
        <v>482.92</v>
      </c>
      <c r="B860" s="24" t="n">
        <v>149920.93094324</v>
      </c>
      <c r="C860" s="24" t="n">
        <v>149936.9155104</v>
      </c>
      <c r="D860" s="24" t="n">
        <v>17632.9415011</v>
      </c>
    </row>
    <row r="861" customFormat="false" ht="16.5" hidden="false" customHeight="false" outlineLevel="0" collapsed="false">
      <c r="A861" s="19" t="n">
        <v>482.91</v>
      </c>
      <c r="B861" s="24" t="n">
        <v>149430.14112721</v>
      </c>
      <c r="C861" s="24" t="n">
        <v>149444.64165276</v>
      </c>
      <c r="D861" s="24" t="n">
        <v>16136.191610081</v>
      </c>
    </row>
    <row r="862" customFormat="false" ht="16.5" hidden="false" customHeight="false" outlineLevel="0" collapsed="false">
      <c r="A862" s="19" t="n">
        <v>482.9</v>
      </c>
      <c r="B862" s="24" t="n">
        <v>148939.30940221</v>
      </c>
      <c r="C862" s="24" t="n">
        <v>148952.33360514</v>
      </c>
      <c r="D862" s="24" t="n">
        <v>14644.33490415</v>
      </c>
    </row>
    <row r="863" customFormat="false" ht="16.5" hidden="false" customHeight="false" outlineLevel="0" collapsed="false">
      <c r="A863" s="19" t="n">
        <v>482.89</v>
      </c>
      <c r="B863" s="24" t="n">
        <v>148448.54708131</v>
      </c>
      <c r="C863" s="24" t="n">
        <v>148460.10240813</v>
      </c>
      <c r="D863" s="24" t="n">
        <v>13157.405516683</v>
      </c>
    </row>
    <row r="864" customFormat="false" ht="16.5" hidden="false" customHeight="false" outlineLevel="0" collapsed="false">
      <c r="A864" s="19" t="n">
        <v>482.88</v>
      </c>
      <c r="B864" s="24" t="n">
        <v>147957.77266241</v>
      </c>
      <c r="C864" s="24" t="n">
        <v>147967.86779533</v>
      </c>
      <c r="D864" s="24" t="n">
        <v>11675.396950016</v>
      </c>
    </row>
    <row r="865" customFormat="false" ht="16.5" hidden="false" customHeight="false" outlineLevel="0" collapsed="false">
      <c r="A865" s="19" t="n">
        <v>482.87</v>
      </c>
      <c r="B865" s="24" t="n">
        <v>147466.9899816</v>
      </c>
      <c r="C865" s="24" t="n">
        <v>147475.63551588</v>
      </c>
      <c r="D865" s="24" t="n">
        <v>10198.297931432</v>
      </c>
    </row>
    <row r="866" customFormat="false" ht="16.5" hidden="false" customHeight="false" outlineLevel="0" collapsed="false">
      <c r="A866" s="19" t="n">
        <v>482.86</v>
      </c>
      <c r="B866" s="24" t="n">
        <v>146976.01396279</v>
      </c>
      <c r="C866" s="24" t="n">
        <v>146983.22351056</v>
      </c>
      <c r="D866" s="24" t="n">
        <v>8726.088410542</v>
      </c>
    </row>
    <row r="867" customFormat="false" ht="16.5" hidden="false" customHeight="false" outlineLevel="0" collapsed="false">
      <c r="A867" s="19" t="n">
        <v>482.85</v>
      </c>
      <c r="B867" s="24" t="n">
        <v>146484.77128439</v>
      </c>
      <c r="C867" s="24" t="n">
        <v>146490.56352061</v>
      </c>
      <c r="D867" s="24" t="n">
        <v>7258.8256497918</v>
      </c>
    </row>
    <row r="868" customFormat="false" ht="16.5" hidden="false" customHeight="false" outlineLevel="0" collapsed="false">
      <c r="A868" s="19" t="n">
        <v>482.84</v>
      </c>
      <c r="B868" s="24" t="n">
        <v>145992.50570382</v>
      </c>
      <c r="C868" s="24" t="n">
        <v>145996.90921665</v>
      </c>
      <c r="D868" s="24" t="n">
        <v>5796.4922307719</v>
      </c>
    </row>
    <row r="869" customFormat="false" ht="16.5" hidden="false" customHeight="false" outlineLevel="0" collapsed="false">
      <c r="A869" s="19" t="n">
        <v>482.83</v>
      </c>
      <c r="B869" s="24" t="n">
        <v>145497.98098441</v>
      </c>
      <c r="C869" s="24" t="n">
        <v>145501.04430997</v>
      </c>
      <c r="D869" s="24" t="n">
        <v>4339.1395934524</v>
      </c>
    </row>
    <row r="870" customFormat="false" ht="16.5" hidden="false" customHeight="false" outlineLevel="0" collapsed="false">
      <c r="A870" s="19" t="n">
        <v>482.82</v>
      </c>
      <c r="B870" s="24" t="n">
        <v>144996.91824225</v>
      </c>
      <c r="C870" s="24" t="n">
        <v>144998.72846746</v>
      </c>
      <c r="D870" s="24" t="n">
        <v>2886.8076654624</v>
      </c>
    </row>
    <row r="871" customFormat="false" ht="16.5" hidden="false" customHeight="false" outlineLevel="0" collapsed="false">
      <c r="A871" s="19" t="n">
        <v>482.81</v>
      </c>
      <c r="B871" s="24" t="n">
        <v>144474.08244622</v>
      </c>
      <c r="C871" s="24" t="n">
        <v>144474.80612998</v>
      </c>
      <c r="D871" s="24" t="n">
        <v>1439.6211010379</v>
      </c>
    </row>
    <row r="872" customFormat="false" ht="16.5" hidden="false" customHeight="false" outlineLevel="0" collapsed="false">
      <c r="A872" s="19" t="n">
        <v>482.8</v>
      </c>
      <c r="B872" s="24" t="n">
        <v>33140.978661919</v>
      </c>
      <c r="C872" s="24" t="n">
        <v>33140.978718785</v>
      </c>
      <c r="D872" s="24" t="n">
        <v>0.4031673561969</v>
      </c>
    </row>
    <row r="873" customFormat="false" ht="16.5" hidden="false" customHeight="false" outlineLevel="0" collapsed="false">
      <c r="A873" s="19" t="n">
        <v>482.79</v>
      </c>
      <c r="B873" s="24" t="n">
        <v>0</v>
      </c>
      <c r="C873" s="24" t="n">
        <v>0</v>
      </c>
      <c r="D873" s="2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2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L7" activeCellId="0" sqref="L7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0.1"/>
    <col collapsed="false" customWidth="true" hidden="false" outlineLevel="0" max="3" min="3" style="0" width="11.9"/>
    <col collapsed="false" customWidth="true" hidden="false" outlineLevel="0" max="4" min="4" style="0" width="19.9"/>
  </cols>
  <sheetData>
    <row r="1" customFormat="false" ht="27" hidden="false" customHeight="true" outlineLevel="0" collapsed="false">
      <c r="A1" s="25" t="s">
        <v>28</v>
      </c>
      <c r="B1" s="25" t="s">
        <v>29</v>
      </c>
      <c r="C1" s="26" t="s">
        <v>30</v>
      </c>
      <c r="D1" s="27" t="s">
        <v>31</v>
      </c>
    </row>
    <row r="2" customFormat="false" ht="27" hidden="false" customHeight="true" outlineLevel="0" collapsed="false">
      <c r="A2" s="0" t="n">
        <v>490.5</v>
      </c>
      <c r="B2" s="28" t="n">
        <v>1</v>
      </c>
      <c r="C2" s="0" t="n">
        <v>325588.17431892</v>
      </c>
      <c r="D2" s="0" t="n">
        <v>1924831.9028941</v>
      </c>
    </row>
    <row r="3" customFormat="false" ht="27" hidden="false" customHeight="true" outlineLevel="0" collapsed="false">
      <c r="A3" s="0" t="n">
        <v>490.49</v>
      </c>
      <c r="B3" s="28" t="n">
        <v>1</v>
      </c>
      <c r="C3" s="0" t="n">
        <v>325329.53681148</v>
      </c>
      <c r="D3" s="0" t="n">
        <v>1921577.3328207</v>
      </c>
    </row>
    <row r="4" customFormat="false" ht="27" hidden="false" customHeight="true" outlineLevel="0" collapsed="false">
      <c r="A4" s="0" t="n">
        <v>490.48</v>
      </c>
      <c r="B4" s="28" t="n">
        <v>1</v>
      </c>
      <c r="C4" s="0" t="n">
        <v>325070.96122755</v>
      </c>
      <c r="D4" s="0" t="n">
        <v>1918325.2594952</v>
      </c>
    </row>
    <row r="5" customFormat="false" ht="27" hidden="false" customHeight="true" outlineLevel="0" collapsed="false">
      <c r="A5" s="0" t="n">
        <v>490.47</v>
      </c>
      <c r="B5" s="28" t="n">
        <v>1</v>
      </c>
      <c r="C5" s="0" t="n">
        <v>324812.56339069</v>
      </c>
      <c r="D5" s="0" t="n">
        <v>1915075.8372717</v>
      </c>
    </row>
    <row r="6" customFormat="false" ht="27" hidden="false" customHeight="true" outlineLevel="0" collapsed="false">
      <c r="A6" s="0" t="n">
        <v>490.46</v>
      </c>
      <c r="B6" s="28" t="n">
        <v>1</v>
      </c>
      <c r="C6" s="0" t="n">
        <v>324554.23746429</v>
      </c>
      <c r="D6" s="0" t="n">
        <v>1911828.9223907</v>
      </c>
    </row>
    <row r="7" customFormat="false" ht="27" hidden="false" customHeight="true" outlineLevel="0" collapsed="false">
      <c r="A7" s="0" t="n">
        <v>490.45</v>
      </c>
      <c r="B7" s="28" t="n">
        <v>1</v>
      </c>
      <c r="C7" s="0" t="n">
        <v>324296.19840635</v>
      </c>
      <c r="D7" s="0" t="n">
        <v>1908584.6045796</v>
      </c>
    </row>
    <row r="8" customFormat="false" ht="27" hidden="false" customHeight="true" outlineLevel="0" collapsed="false">
      <c r="A8" s="0" t="n">
        <v>490.44</v>
      </c>
      <c r="B8" s="28" t="n">
        <v>1</v>
      </c>
      <c r="C8" s="0" t="n">
        <v>324038.37448733</v>
      </c>
      <c r="D8" s="0" t="n">
        <v>1905342.9537075</v>
      </c>
    </row>
    <row r="9" customFormat="false" ht="27" hidden="false" customHeight="true" outlineLevel="0" collapsed="false">
      <c r="A9" s="0" t="n">
        <v>490.43</v>
      </c>
      <c r="B9" s="28" t="n">
        <v>1</v>
      </c>
      <c r="C9" s="0" t="n">
        <v>323780.31346259</v>
      </c>
      <c r="D9" s="0" t="n">
        <v>1902103.8861224</v>
      </c>
    </row>
    <row r="10" customFormat="false" ht="27" hidden="false" customHeight="true" outlineLevel="0" collapsed="false">
      <c r="A10" s="0" t="n">
        <v>490.42</v>
      </c>
      <c r="B10" s="28" t="n">
        <v>1</v>
      </c>
      <c r="C10" s="0" t="n">
        <v>323520.96327169</v>
      </c>
      <c r="D10" s="0" t="n">
        <v>1898867.3732508</v>
      </c>
    </row>
    <row r="11" customFormat="false" ht="27" hidden="false" customHeight="true" outlineLevel="0" collapsed="false">
      <c r="A11" s="0" t="n">
        <v>490.41</v>
      </c>
      <c r="B11" s="28" t="n">
        <v>1</v>
      </c>
      <c r="C11" s="0" t="n">
        <v>323254.7703268</v>
      </c>
      <c r="D11" s="0" t="n">
        <v>1895633.4937093</v>
      </c>
    </row>
    <row r="12" customFormat="false" ht="27" hidden="false" customHeight="true" outlineLevel="0" collapsed="false">
      <c r="A12" s="0" t="n">
        <v>490.4</v>
      </c>
      <c r="B12" s="28" t="n">
        <v>1</v>
      </c>
      <c r="C12" s="0" t="n">
        <v>322850.90351689</v>
      </c>
      <c r="D12" s="0" t="n">
        <v>1892402.5259835</v>
      </c>
    </row>
    <row r="13" customFormat="false" ht="27" hidden="false" customHeight="true" outlineLevel="0" collapsed="false">
      <c r="A13" s="0" t="n">
        <v>490.39</v>
      </c>
      <c r="B13" s="28" t="n">
        <v>1</v>
      </c>
      <c r="C13" s="0" t="n">
        <v>321169.48549544</v>
      </c>
      <c r="D13" s="0" t="n">
        <v>1889188.8624722</v>
      </c>
    </row>
    <row r="14" customFormat="false" ht="27" hidden="false" customHeight="true" outlineLevel="0" collapsed="false">
      <c r="A14" s="0" t="n">
        <v>490.38</v>
      </c>
      <c r="B14" s="28" t="n">
        <v>1</v>
      </c>
      <c r="C14" s="0" t="n">
        <v>320922.74637299</v>
      </c>
      <c r="D14" s="0" t="n">
        <v>1885978.3210373</v>
      </c>
    </row>
    <row r="15" customFormat="false" ht="27" hidden="false" customHeight="true" outlineLevel="0" collapsed="false">
      <c r="A15" s="0" t="n">
        <v>490.37</v>
      </c>
      <c r="B15" s="28" t="n">
        <v>1</v>
      </c>
      <c r="C15" s="0" t="n">
        <v>320688.93035423</v>
      </c>
      <c r="D15" s="0" t="n">
        <v>1882770.2680796</v>
      </c>
    </row>
    <row r="16" customFormat="false" ht="27" hidden="false" customHeight="true" outlineLevel="0" collapsed="false">
      <c r="A16" s="0" t="n">
        <v>490.36</v>
      </c>
      <c r="B16" s="29" t="n">
        <v>1</v>
      </c>
      <c r="C16" s="0" t="n">
        <v>320459.38467626</v>
      </c>
      <c r="D16" s="0" t="n">
        <v>1879564.5511619</v>
      </c>
      <c r="E16" s="30"/>
    </row>
    <row r="17" customFormat="false" ht="27" hidden="false" customHeight="true" outlineLevel="0" collapsed="false">
      <c r="A17" s="0" t="n">
        <v>490.35</v>
      </c>
      <c r="B17" s="28" t="n">
        <v>1</v>
      </c>
      <c r="C17" s="0" t="n">
        <v>320232.25391716</v>
      </c>
      <c r="D17" s="0" t="n">
        <v>1876361.0360788</v>
      </c>
    </row>
    <row r="18" customFormat="false" ht="27" hidden="false" customHeight="true" outlineLevel="0" collapsed="false">
      <c r="A18" s="0" t="n">
        <v>490.34</v>
      </c>
      <c r="B18" s="28" t="n">
        <v>1</v>
      </c>
      <c r="C18" s="0" t="n">
        <v>320006.80870923</v>
      </c>
      <c r="D18" s="0" t="n">
        <v>1873159.8403142</v>
      </c>
    </row>
    <row r="19" customFormat="false" ht="27" hidden="false" customHeight="true" outlineLevel="0" collapsed="false">
      <c r="A19" s="0" t="n">
        <v>490.33</v>
      </c>
      <c r="B19" s="28" t="n">
        <v>1</v>
      </c>
      <c r="C19" s="0" t="n">
        <v>319782.64968488</v>
      </c>
      <c r="D19" s="0" t="n">
        <v>1869960.8721248</v>
      </c>
    </row>
    <row r="20" customFormat="false" ht="27" hidden="false" customHeight="true" outlineLevel="0" collapsed="false">
      <c r="A20" s="0" t="n">
        <v>490.32</v>
      </c>
      <c r="B20" s="28" t="n">
        <v>1</v>
      </c>
      <c r="C20" s="0" t="n">
        <v>319559.53947886</v>
      </c>
      <c r="D20" s="0" t="n">
        <v>1866764.1746504</v>
      </c>
    </row>
    <row r="21" customFormat="false" ht="27" hidden="false" customHeight="true" outlineLevel="0" collapsed="false">
      <c r="A21" s="0" t="n">
        <v>490.31</v>
      </c>
      <c r="B21" s="28" t="n">
        <v>1</v>
      </c>
      <c r="C21" s="0" t="n">
        <v>319337.45160133</v>
      </c>
      <c r="D21" s="0" t="n">
        <v>1863569.6882728</v>
      </c>
    </row>
    <row r="22" customFormat="false" ht="27" hidden="false" customHeight="true" outlineLevel="0" collapsed="false">
      <c r="A22" s="0" t="n">
        <v>490.3</v>
      </c>
      <c r="B22" s="28" t="n">
        <v>1</v>
      </c>
      <c r="C22" s="0" t="n">
        <v>319116.11146962</v>
      </c>
      <c r="D22" s="0" t="n">
        <v>1860377.4493782</v>
      </c>
    </row>
    <row r="23" customFormat="false" ht="27" hidden="false" customHeight="true" outlineLevel="0" collapsed="false">
      <c r="A23" s="0" t="n">
        <v>490.29</v>
      </c>
      <c r="B23" s="28" t="n">
        <v>1</v>
      </c>
      <c r="C23" s="0" t="n">
        <v>318895.49862694</v>
      </c>
      <c r="D23" s="0" t="n">
        <v>1857187.4190746</v>
      </c>
      <c r="E23" s="31"/>
    </row>
    <row r="24" customFormat="false" ht="27" hidden="false" customHeight="true" outlineLevel="0" collapsed="false">
      <c r="A24" s="0" t="n">
        <v>490.28</v>
      </c>
      <c r="B24" s="28" t="n">
        <v>1</v>
      </c>
      <c r="C24" s="0" t="n">
        <v>318675.51763238</v>
      </c>
      <c r="D24" s="0" t="n">
        <v>1853999.5281457</v>
      </c>
      <c r="E24" s="31"/>
    </row>
    <row r="25" customFormat="false" ht="27" hidden="false" customHeight="true" outlineLevel="0" collapsed="false">
      <c r="A25" s="0" t="n">
        <v>490.27</v>
      </c>
      <c r="B25" s="28" t="n">
        <v>1</v>
      </c>
      <c r="C25" s="0" t="n">
        <v>318456.17851872</v>
      </c>
      <c r="D25" s="0" t="n">
        <v>1850813.8687482</v>
      </c>
      <c r="E25" s="31"/>
    </row>
    <row r="26" customFormat="false" ht="27" hidden="false" customHeight="true" outlineLevel="0" collapsed="false">
      <c r="A26" s="0" t="n">
        <v>490.26</v>
      </c>
      <c r="B26" s="28" t="n">
        <v>1</v>
      </c>
      <c r="C26" s="0" t="n">
        <v>318237.20207662</v>
      </c>
      <c r="D26" s="0" t="n">
        <v>1847630.4164267</v>
      </c>
    </row>
    <row r="27" customFormat="false" ht="27" hidden="false" customHeight="true" outlineLevel="0" collapsed="false">
      <c r="A27" s="0" t="n">
        <v>490.25</v>
      </c>
      <c r="B27" s="28" t="n">
        <v>1</v>
      </c>
      <c r="C27" s="0" t="n">
        <v>318018.6504534</v>
      </c>
      <c r="D27" s="0" t="n">
        <v>1844449.1267047</v>
      </c>
    </row>
    <row r="28" customFormat="false" ht="27" hidden="false" customHeight="true" outlineLevel="0" collapsed="false">
      <c r="A28" s="0" t="n">
        <v>490.24</v>
      </c>
      <c r="B28" s="28" t="n">
        <v>1</v>
      </c>
      <c r="C28" s="0" t="n">
        <v>317800.0747113</v>
      </c>
      <c r="D28" s="0" t="n">
        <v>1841270.1013651</v>
      </c>
    </row>
    <row r="29" customFormat="false" ht="27" hidden="false" customHeight="true" outlineLevel="0" collapsed="false">
      <c r="A29" s="0" t="n">
        <v>490.23</v>
      </c>
      <c r="B29" s="28" t="n">
        <v>1</v>
      </c>
      <c r="C29" s="0" t="n">
        <v>317580.14673741</v>
      </c>
      <c r="D29" s="0" t="n">
        <v>1838093.2536219</v>
      </c>
    </row>
    <row r="30" customFormat="false" ht="27" hidden="false" customHeight="true" outlineLevel="0" collapsed="false">
      <c r="A30" s="0" t="n">
        <v>490.22</v>
      </c>
      <c r="B30" s="28" t="n">
        <v>1</v>
      </c>
      <c r="C30" s="0" t="n">
        <v>317355.79962895</v>
      </c>
      <c r="D30" s="0" t="n">
        <v>1834918.6568182</v>
      </c>
    </row>
    <row r="31" customFormat="false" ht="27" hidden="false" customHeight="true" outlineLevel="0" collapsed="false">
      <c r="A31" s="0" t="n">
        <v>490.21</v>
      </c>
      <c r="B31" s="28" t="n">
        <v>1</v>
      </c>
      <c r="C31" s="0" t="n">
        <v>317117.27117671</v>
      </c>
      <c r="D31" s="0" t="n">
        <v>1831746.3314545</v>
      </c>
    </row>
    <row r="32" customFormat="false" ht="27" hidden="false" customHeight="true" outlineLevel="0" collapsed="false">
      <c r="A32" s="0" t="n">
        <v>490.2</v>
      </c>
      <c r="B32" s="28" t="n">
        <v>1</v>
      </c>
      <c r="C32" s="0" t="n">
        <v>315321.84388147</v>
      </c>
      <c r="D32" s="0" t="n">
        <v>1828576.609132</v>
      </c>
    </row>
    <row r="33" customFormat="false" ht="27" hidden="false" customHeight="true" outlineLevel="0" collapsed="false">
      <c r="A33" s="0" t="n">
        <v>490.19</v>
      </c>
      <c r="B33" s="28" t="n">
        <v>1</v>
      </c>
      <c r="C33" s="0" t="n">
        <v>314985.29095638</v>
      </c>
      <c r="D33" s="0" t="n">
        <v>1825425.3189813</v>
      </c>
    </row>
    <row r="34" customFormat="false" ht="27" hidden="false" customHeight="true" outlineLevel="0" collapsed="false">
      <c r="A34" s="0" t="n">
        <v>490.18</v>
      </c>
      <c r="B34" s="28" t="n">
        <v>1</v>
      </c>
      <c r="C34" s="0" t="n">
        <v>314754.80334878</v>
      </c>
      <c r="D34" s="0" t="n">
        <v>1822276.6650484</v>
      </c>
    </row>
    <row r="35" customFormat="false" ht="27" hidden="false" customHeight="true" outlineLevel="0" collapsed="false">
      <c r="A35" s="0" t="n">
        <v>490.17</v>
      </c>
      <c r="B35" s="28" t="n">
        <v>1</v>
      </c>
      <c r="C35" s="0" t="n">
        <v>314531.71502733</v>
      </c>
      <c r="D35" s="0" t="n">
        <v>1819130.2569062</v>
      </c>
    </row>
    <row r="36" customFormat="false" ht="27" hidden="false" customHeight="true" outlineLevel="0" collapsed="false">
      <c r="A36" s="0" t="n">
        <v>490.16</v>
      </c>
      <c r="B36" s="28" t="n">
        <v>1</v>
      </c>
      <c r="C36" s="0" t="n">
        <v>314312.10060566</v>
      </c>
      <c r="D36" s="0" t="n">
        <v>1815986.1206991</v>
      </c>
    </row>
    <row r="37" customFormat="false" ht="27" hidden="false" customHeight="true" outlineLevel="0" collapsed="false">
      <c r="A37" s="0" t="n">
        <v>490.15</v>
      </c>
      <c r="B37" s="28" t="n">
        <v>1</v>
      </c>
      <c r="C37" s="0" t="n">
        <v>314095.25944715</v>
      </c>
      <c r="D37" s="0" t="n">
        <v>1812844.0720364</v>
      </c>
    </row>
    <row r="38" customFormat="false" ht="27" hidden="false" customHeight="true" outlineLevel="0" collapsed="false">
      <c r="A38" s="0" t="n">
        <v>490.14</v>
      </c>
      <c r="B38" s="28" t="n">
        <v>1</v>
      </c>
      <c r="C38" s="0" t="n">
        <v>313880.61339122</v>
      </c>
      <c r="D38" s="0" t="n">
        <v>1809704.1751996</v>
      </c>
      <c r="I38" s="32"/>
      <c r="J38" s="16"/>
    </row>
    <row r="39" customFormat="false" ht="27" hidden="false" customHeight="true" outlineLevel="0" collapsed="false">
      <c r="A39" s="0" t="n">
        <v>490.13</v>
      </c>
      <c r="B39" s="28" t="n">
        <v>1</v>
      </c>
      <c r="C39" s="0" t="n">
        <v>313668.01564878</v>
      </c>
      <c r="D39" s="0" t="n">
        <v>1806566.4209613</v>
      </c>
    </row>
    <row r="40" customFormat="false" ht="27" hidden="false" customHeight="true" outlineLevel="0" collapsed="false">
      <c r="A40" s="0" t="n">
        <v>490.12</v>
      </c>
      <c r="B40" s="28" t="n">
        <v>1</v>
      </c>
      <c r="C40" s="0" t="n">
        <v>313457.41778584</v>
      </c>
      <c r="D40" s="0" t="n">
        <v>1803430.7613921</v>
      </c>
    </row>
    <row r="41" customFormat="false" ht="27" hidden="false" customHeight="true" outlineLevel="0" collapsed="false">
      <c r="A41" s="0" t="n">
        <v>490.11</v>
      </c>
      <c r="B41" s="28" t="n">
        <v>1</v>
      </c>
      <c r="C41" s="0" t="n">
        <v>313248.70322901</v>
      </c>
      <c r="D41" s="0" t="n">
        <v>1800297.2455334</v>
      </c>
    </row>
    <row r="42" customFormat="false" ht="27" hidden="false" customHeight="true" outlineLevel="0" collapsed="false">
      <c r="A42" s="0" t="n">
        <v>490.1</v>
      </c>
      <c r="B42" s="28" t="n">
        <v>1</v>
      </c>
      <c r="C42" s="0" t="n">
        <v>313041.85312043</v>
      </c>
      <c r="D42" s="0" t="n">
        <v>1797165.7765731</v>
      </c>
    </row>
    <row r="43" customFormat="false" ht="27" hidden="false" customHeight="true" outlineLevel="0" collapsed="false">
      <c r="A43" s="0" t="n">
        <v>490.09</v>
      </c>
      <c r="B43" s="28" t="n">
        <v>1</v>
      </c>
      <c r="C43" s="0" t="n">
        <v>312836.80828555</v>
      </c>
      <c r="D43" s="0" t="n">
        <v>1794036.4193345</v>
      </c>
    </row>
    <row r="44" customFormat="false" ht="27" hidden="false" customHeight="true" outlineLevel="0" collapsed="false">
      <c r="A44" s="0" t="n">
        <v>490.08</v>
      </c>
      <c r="B44" s="28" t="n">
        <v>1</v>
      </c>
      <c r="C44" s="0" t="n">
        <v>312633.50058752</v>
      </c>
      <c r="D44" s="0" t="n">
        <v>1790909.120043</v>
      </c>
    </row>
    <row r="45" customFormat="false" ht="27" hidden="false" customHeight="true" outlineLevel="0" collapsed="false">
      <c r="A45" s="0" t="n">
        <v>490.07</v>
      </c>
      <c r="B45" s="28" t="n">
        <v>1</v>
      </c>
      <c r="C45" s="0" t="n">
        <v>312431.91614936</v>
      </c>
      <c r="D45" s="0" t="n">
        <v>1787783.8828942</v>
      </c>
    </row>
    <row r="46" customFormat="false" ht="27" hidden="false" customHeight="true" outlineLevel="0" collapsed="false">
      <c r="A46" s="0" t="n">
        <v>490.06</v>
      </c>
      <c r="B46" s="28" t="n">
        <v>1</v>
      </c>
      <c r="C46" s="0" t="n">
        <v>312232.01997991</v>
      </c>
      <c r="D46" s="0" t="n">
        <v>1784660.6460546</v>
      </c>
    </row>
    <row r="47" customFormat="false" ht="27" hidden="false" customHeight="true" outlineLevel="0" collapsed="false">
      <c r="A47" s="0" t="n">
        <v>490.05</v>
      </c>
      <c r="B47" s="28" t="n">
        <v>1</v>
      </c>
      <c r="C47" s="0" t="n">
        <v>312033.48620614</v>
      </c>
      <c r="D47" s="0" t="n">
        <v>1781539.4187106</v>
      </c>
    </row>
    <row r="48" customFormat="false" ht="27" hidden="false" customHeight="true" outlineLevel="0" collapsed="false">
      <c r="A48" s="0" t="n">
        <v>490.04</v>
      </c>
      <c r="B48" s="28" t="n">
        <v>1</v>
      </c>
      <c r="C48" s="0" t="n">
        <v>311835.9486428</v>
      </c>
      <c r="D48" s="0" t="n">
        <v>1778420.1250922</v>
      </c>
    </row>
    <row r="49" customFormat="false" ht="27" hidden="false" customHeight="true" outlineLevel="0" collapsed="false">
      <c r="A49" s="0" t="n">
        <v>490.03</v>
      </c>
      <c r="B49" s="28" t="n">
        <v>1</v>
      </c>
      <c r="C49" s="0" t="n">
        <v>311638.60947078</v>
      </c>
      <c r="D49" s="0" t="n">
        <v>1775302.8732425</v>
      </c>
    </row>
    <row r="50" customFormat="false" ht="27" hidden="false" customHeight="true" outlineLevel="0" collapsed="false">
      <c r="A50" s="0" t="n">
        <v>490.02</v>
      </c>
      <c r="B50" s="28" t="n">
        <v>1</v>
      </c>
      <c r="C50" s="0" t="n">
        <v>311439.00234003</v>
      </c>
      <c r="D50" s="0" t="n">
        <v>1772187.5765013</v>
      </c>
    </row>
    <row r="51" customFormat="false" ht="27" hidden="false" customHeight="true" outlineLevel="0" collapsed="false">
      <c r="A51" s="0" t="n">
        <v>490.01</v>
      </c>
      <c r="B51" s="28" t="n">
        <v>1</v>
      </c>
      <c r="C51" s="0" t="n">
        <v>311228.82997705</v>
      </c>
      <c r="D51" s="0" t="n">
        <v>1769074.3531835</v>
      </c>
    </row>
    <row r="52" customFormat="false" ht="27" hidden="false" customHeight="true" outlineLevel="0" collapsed="false">
      <c r="A52" s="0" t="n">
        <v>490</v>
      </c>
      <c r="B52" s="28" t="n">
        <v>1</v>
      </c>
      <c r="C52" s="0" t="n">
        <v>310873.1032863</v>
      </c>
      <c r="D52" s="0" t="n">
        <v>1765963.4900542</v>
      </c>
    </row>
    <row r="53" customFormat="false" ht="27" hidden="false" customHeight="true" outlineLevel="0" collapsed="false">
      <c r="A53" s="0" t="n">
        <v>489.99</v>
      </c>
      <c r="B53" s="28" t="n">
        <v>1</v>
      </c>
      <c r="C53" s="0" t="n">
        <v>309723.08514616</v>
      </c>
      <c r="D53" s="0" t="n">
        <v>1762865.1589163</v>
      </c>
    </row>
    <row r="54" customFormat="false" ht="27" hidden="false" customHeight="true" outlineLevel="0" collapsed="false">
      <c r="A54" s="0" t="n">
        <v>489.98</v>
      </c>
      <c r="B54" s="28" t="n">
        <v>1</v>
      </c>
      <c r="C54" s="0" t="n">
        <v>309549.18200853</v>
      </c>
      <c r="D54" s="0" t="n">
        <v>1759768.7362509</v>
      </c>
    </row>
    <row r="55" customFormat="false" ht="27" hidden="false" customHeight="true" outlineLevel="0" collapsed="false">
      <c r="A55" s="0" t="n">
        <v>489.97</v>
      </c>
      <c r="B55" s="28" t="n">
        <v>1</v>
      </c>
      <c r="C55" s="0" t="n">
        <v>309379.56946447</v>
      </c>
      <c r="D55" s="0" t="n">
        <v>1756674.0791536</v>
      </c>
    </row>
    <row r="56" customFormat="false" ht="27" hidden="false" customHeight="true" outlineLevel="0" collapsed="false">
      <c r="A56" s="0" t="n">
        <v>489.96</v>
      </c>
      <c r="B56" s="28" t="n">
        <v>1</v>
      </c>
      <c r="C56" s="0" t="n">
        <v>309211.1697816</v>
      </c>
      <c r="D56" s="0" t="n">
        <v>1753581.1481606</v>
      </c>
    </row>
    <row r="57" customFormat="false" ht="27" hidden="false" customHeight="true" outlineLevel="0" collapsed="false">
      <c r="A57" s="0" t="n">
        <v>489.95</v>
      </c>
      <c r="B57" s="28" t="n">
        <v>1</v>
      </c>
      <c r="C57" s="0" t="n">
        <v>309043.52449501</v>
      </c>
      <c r="D57" s="0" t="n">
        <v>1750489.8990714</v>
      </c>
    </row>
    <row r="58" customFormat="false" ht="27" hidden="false" customHeight="true" outlineLevel="0" collapsed="false">
      <c r="A58" s="0" t="n">
        <v>489.94</v>
      </c>
      <c r="B58" s="28" t="n">
        <v>1</v>
      </c>
      <c r="C58" s="0" t="n">
        <v>308876.43339088</v>
      </c>
      <c r="D58" s="0" t="n">
        <v>1747400.294549</v>
      </c>
    </row>
    <row r="59" customFormat="false" ht="27" hidden="false" customHeight="true" outlineLevel="0" collapsed="false">
      <c r="A59" s="0" t="n">
        <v>489.93</v>
      </c>
      <c r="B59" s="28" t="n">
        <v>1</v>
      </c>
      <c r="C59" s="0" t="n">
        <v>308709.80517185</v>
      </c>
      <c r="D59" s="0" t="n">
        <v>1744312.3770924</v>
      </c>
    </row>
    <row r="60" customFormat="false" ht="27" hidden="false" customHeight="true" outlineLevel="0" collapsed="false">
      <c r="A60" s="0" t="n">
        <v>489.92</v>
      </c>
      <c r="B60" s="28" t="n">
        <v>1</v>
      </c>
      <c r="C60" s="0" t="n">
        <v>308543.73717881</v>
      </c>
      <c r="D60" s="0" t="n">
        <v>1741226.0555606</v>
      </c>
    </row>
    <row r="61" customFormat="false" ht="27" hidden="false" customHeight="true" outlineLevel="0" collapsed="false">
      <c r="A61" s="0" t="n">
        <v>489.91</v>
      </c>
      <c r="B61" s="28" t="n">
        <v>1</v>
      </c>
      <c r="C61" s="0" t="n">
        <v>308378.16819031</v>
      </c>
      <c r="D61" s="0" t="n">
        <v>1738141.5165157</v>
      </c>
    </row>
    <row r="62" customFormat="false" ht="27" hidden="false" customHeight="true" outlineLevel="0" collapsed="false">
      <c r="A62" s="0" t="n">
        <v>489.9</v>
      </c>
      <c r="B62" s="28" t="n">
        <v>1</v>
      </c>
      <c r="C62" s="0" t="n">
        <v>308212.99207225</v>
      </c>
      <c r="D62" s="0" t="n">
        <v>1735058.5729155</v>
      </c>
    </row>
    <row r="63" customFormat="false" ht="27" hidden="false" customHeight="true" outlineLevel="0" collapsed="false">
      <c r="A63" s="0" t="n">
        <v>489.89</v>
      </c>
      <c r="B63" s="28" t="n">
        <v>1</v>
      </c>
      <c r="C63" s="0" t="n">
        <v>308048.30701076</v>
      </c>
      <c r="D63" s="0" t="n">
        <v>1731977.261997</v>
      </c>
    </row>
    <row r="64" customFormat="false" ht="27" hidden="false" customHeight="true" outlineLevel="0" collapsed="false">
      <c r="A64" s="0" t="n">
        <v>489.88</v>
      </c>
      <c r="B64" s="28" t="n">
        <v>1</v>
      </c>
      <c r="C64" s="0" t="n">
        <v>307884.01495713</v>
      </c>
      <c r="D64" s="0" t="n">
        <v>1728897.6614809</v>
      </c>
    </row>
    <row r="65" customFormat="false" ht="27" hidden="false" customHeight="true" outlineLevel="0" collapsed="false">
      <c r="A65" s="0" t="n">
        <v>489.87</v>
      </c>
      <c r="B65" s="28" t="n">
        <v>1</v>
      </c>
      <c r="C65" s="0" t="n">
        <v>307720.13189097</v>
      </c>
      <c r="D65" s="0" t="n">
        <v>1725819.6938243</v>
      </c>
    </row>
    <row r="66" customFormat="false" ht="27" hidden="false" customHeight="true" outlineLevel="0" collapsed="false">
      <c r="A66" s="0" t="n">
        <v>489.86</v>
      </c>
      <c r="B66" s="28" t="n">
        <v>1</v>
      </c>
      <c r="C66" s="0" t="n">
        <v>307556.42993468</v>
      </c>
      <c r="D66" s="0" t="n">
        <v>1722743.3880805</v>
      </c>
    </row>
    <row r="67" customFormat="false" ht="27" hidden="false" customHeight="true" outlineLevel="0" collapsed="false">
      <c r="A67" s="0" t="n">
        <v>489.85</v>
      </c>
      <c r="B67" s="28" t="n">
        <v>1</v>
      </c>
      <c r="C67" s="0" t="n">
        <v>307392.93448219</v>
      </c>
      <c r="D67" s="0" t="n">
        <v>1719668.7023854</v>
      </c>
    </row>
    <row r="68" customFormat="false" ht="27" hidden="false" customHeight="true" outlineLevel="0" collapsed="false">
      <c r="A68" s="0" t="n">
        <v>489.84</v>
      </c>
      <c r="B68" s="28" t="n">
        <v>1</v>
      </c>
      <c r="C68" s="0" t="n">
        <v>307229.23397305</v>
      </c>
      <c r="D68" s="0" t="n">
        <v>1716595.6600502</v>
      </c>
    </row>
    <row r="69" customFormat="false" ht="27" hidden="false" customHeight="true" outlineLevel="0" collapsed="false">
      <c r="A69" s="0" t="n">
        <v>489.83</v>
      </c>
      <c r="B69" s="28" t="n">
        <v>1</v>
      </c>
      <c r="C69" s="0" t="n">
        <v>307064.80832526</v>
      </c>
      <c r="D69" s="0" t="n">
        <v>1713524.2337389</v>
      </c>
    </row>
    <row r="70" customFormat="false" ht="27" hidden="false" customHeight="true" outlineLevel="0" collapsed="false">
      <c r="A70" s="0" t="n">
        <v>489.82</v>
      </c>
      <c r="B70" s="28" t="n">
        <v>1</v>
      </c>
      <c r="C70" s="0" t="n">
        <v>306897.98371016</v>
      </c>
      <c r="D70" s="0" t="n">
        <v>1710454.4363393</v>
      </c>
    </row>
    <row r="71" customFormat="false" ht="27" hidden="false" customHeight="true" outlineLevel="0" collapsed="false">
      <c r="A71" s="0" t="n">
        <v>489.81</v>
      </c>
      <c r="B71" s="28" t="n">
        <v>1</v>
      </c>
      <c r="C71" s="0" t="n">
        <v>306724.20454713</v>
      </c>
      <c r="D71" s="0" t="n">
        <v>1707386.3914463</v>
      </c>
    </row>
    <row r="72" customFormat="false" ht="27" hidden="false" customHeight="true" outlineLevel="0" collapsed="false">
      <c r="A72" s="0" t="n">
        <v>489.8</v>
      </c>
      <c r="B72" s="28" t="n">
        <v>1</v>
      </c>
      <c r="C72" s="0" t="n">
        <v>306471.52273581</v>
      </c>
      <c r="D72" s="0" t="n">
        <v>1704320.2680112</v>
      </c>
    </row>
    <row r="73" customFormat="false" ht="27" hidden="false" customHeight="true" outlineLevel="0" collapsed="false">
      <c r="A73" s="0" t="n">
        <v>489.79</v>
      </c>
      <c r="B73" s="28" t="n">
        <v>1</v>
      </c>
      <c r="C73" s="0" t="n">
        <v>305320.35851222</v>
      </c>
      <c r="D73" s="0" t="n">
        <v>1701265.9872819</v>
      </c>
    </row>
    <row r="74" customFormat="false" ht="27" hidden="false" customHeight="true" outlineLevel="0" collapsed="false">
      <c r="A74" s="0" t="n">
        <v>489.78</v>
      </c>
      <c r="B74" s="28" t="n">
        <v>1</v>
      </c>
      <c r="C74" s="0" t="n">
        <v>305156.85341689</v>
      </c>
      <c r="D74" s="0" t="n">
        <v>1698213.642694</v>
      </c>
    </row>
    <row r="75" customFormat="false" ht="27" hidden="false" customHeight="true" outlineLevel="0" collapsed="false">
      <c r="A75" s="0" t="n">
        <v>489.77</v>
      </c>
      <c r="B75" s="28" t="n">
        <v>1</v>
      </c>
      <c r="C75" s="0" t="n">
        <v>304996.58932228</v>
      </c>
      <c r="D75" s="0" t="n">
        <v>1695162.8519716</v>
      </c>
    </row>
    <row r="76" customFormat="false" ht="27" hidden="false" customHeight="true" outlineLevel="0" collapsed="false">
      <c r="A76" s="0" t="n">
        <v>489.76</v>
      </c>
      <c r="B76" s="28" t="n">
        <v>1</v>
      </c>
      <c r="C76" s="0" t="n">
        <v>304837.65297778</v>
      </c>
      <c r="D76" s="0" t="n">
        <v>1692113.6615758</v>
      </c>
    </row>
    <row r="77" customFormat="false" ht="27" hidden="false" customHeight="true" outlineLevel="0" collapsed="false">
      <c r="A77" s="0" t="n">
        <v>489.75</v>
      </c>
      <c r="B77" s="28" t="n">
        <v>1</v>
      </c>
      <c r="C77" s="0" t="n">
        <v>304679.54193437</v>
      </c>
      <c r="D77" s="0" t="n">
        <v>1689066.0691295</v>
      </c>
    </row>
    <row r="78" customFormat="false" ht="27" hidden="false" customHeight="true" outlineLevel="0" collapsed="false">
      <c r="A78" s="0" t="n">
        <v>489.74</v>
      </c>
      <c r="B78" s="28" t="n">
        <v>1</v>
      </c>
      <c r="C78" s="0" t="n">
        <v>304522.16932415</v>
      </c>
      <c r="D78" s="0" t="n">
        <v>1686020.0677445</v>
      </c>
    </row>
    <row r="79" customFormat="false" ht="27" hidden="false" customHeight="true" outlineLevel="0" collapsed="false">
      <c r="A79" s="0" t="n">
        <v>489.73</v>
      </c>
      <c r="B79" s="28" t="n">
        <v>1</v>
      </c>
      <c r="C79" s="0" t="n">
        <v>304365.68827534</v>
      </c>
      <c r="D79" s="0" t="n">
        <v>1682975.6527669</v>
      </c>
    </row>
    <row r="80" customFormat="false" ht="27" hidden="false" customHeight="true" outlineLevel="0" collapsed="false">
      <c r="A80" s="0" t="n">
        <v>489.72</v>
      </c>
      <c r="B80" s="28" t="n">
        <v>1</v>
      </c>
      <c r="C80" s="0" t="n">
        <v>304209.99183712</v>
      </c>
      <c r="D80" s="0" t="n">
        <v>1679932.8392697</v>
      </c>
    </row>
    <row r="81" customFormat="false" ht="27" hidden="false" customHeight="true" outlineLevel="0" collapsed="false">
      <c r="A81" s="0" t="n">
        <v>489.71</v>
      </c>
      <c r="B81" s="29" t="n">
        <v>1</v>
      </c>
      <c r="C81" s="0" t="n">
        <v>304055.10530309</v>
      </c>
      <c r="D81" s="0" t="n">
        <v>1676891.4600323</v>
      </c>
      <c r="E81" s="33"/>
    </row>
    <row r="82" customFormat="false" ht="27" hidden="false" customHeight="true" outlineLevel="0" collapsed="false">
      <c r="A82" s="0" t="n">
        <v>489.7</v>
      </c>
      <c r="B82" s="29" t="n">
        <v>1</v>
      </c>
      <c r="C82" s="0" t="n">
        <v>303901.08838573</v>
      </c>
      <c r="D82" s="0" t="n">
        <v>1673851.7406958</v>
      </c>
    </row>
    <row r="83" customFormat="false" ht="27" hidden="false" customHeight="true" outlineLevel="0" collapsed="false">
      <c r="A83" s="0" t="n">
        <v>489.69</v>
      </c>
      <c r="B83" s="29" t="n">
        <v>1</v>
      </c>
      <c r="C83" s="0" t="n">
        <v>303747.8078052</v>
      </c>
      <c r="D83" s="0" t="n">
        <v>1670813.4823932</v>
      </c>
    </row>
    <row r="84" customFormat="false" ht="27" hidden="false" customHeight="true" outlineLevel="0" collapsed="false">
      <c r="A84" s="0" t="n">
        <v>489.68</v>
      </c>
      <c r="B84" s="29" t="n">
        <v>1</v>
      </c>
      <c r="C84" s="0" t="n">
        <v>303595.38937186</v>
      </c>
      <c r="D84" s="0" t="n">
        <v>1667776.8298904</v>
      </c>
    </row>
    <row r="85" customFormat="false" ht="27" hidden="false" customHeight="true" outlineLevel="0" collapsed="false">
      <c r="A85" s="0" t="n">
        <v>489.67</v>
      </c>
      <c r="B85" s="29" t="n">
        <v>1</v>
      </c>
      <c r="C85" s="0" t="n">
        <v>303443.85399182</v>
      </c>
      <c r="D85" s="0" t="n">
        <v>1664741.6725648</v>
      </c>
    </row>
    <row r="86" customFormat="false" ht="27" hidden="false" customHeight="true" outlineLevel="0" collapsed="false">
      <c r="A86" s="0" t="n">
        <v>489.66</v>
      </c>
      <c r="B86" s="29" t="n">
        <v>1</v>
      </c>
      <c r="C86" s="0" t="n">
        <v>303293.11472787</v>
      </c>
      <c r="D86" s="0" t="n">
        <v>1661708.0167959</v>
      </c>
    </row>
    <row r="87" customFormat="false" ht="27" hidden="false" customHeight="true" outlineLevel="0" collapsed="false">
      <c r="A87" s="0" t="n">
        <v>489.65</v>
      </c>
      <c r="B87" s="29" t="n">
        <v>1</v>
      </c>
      <c r="C87" s="0" t="n">
        <v>303142.78687538</v>
      </c>
      <c r="D87" s="0" t="n">
        <v>1658675.7961467</v>
      </c>
    </row>
    <row r="88" customFormat="false" ht="27" hidden="false" customHeight="true" outlineLevel="0" collapsed="false">
      <c r="A88" s="0" t="n">
        <v>489.64</v>
      </c>
      <c r="B88" s="29" t="n">
        <v>1</v>
      </c>
      <c r="C88" s="0" t="n">
        <v>302992.5428894</v>
      </c>
      <c r="D88" s="0" t="n">
        <v>1655645.1614623</v>
      </c>
    </row>
    <row r="89" customFormat="false" ht="27" hidden="false" customHeight="true" outlineLevel="0" collapsed="false">
      <c r="A89" s="0" t="n">
        <v>489.63</v>
      </c>
      <c r="B89" s="29" t="n">
        <v>1</v>
      </c>
      <c r="C89" s="0" t="n">
        <v>302841.51787646</v>
      </c>
      <c r="D89" s="0" t="n">
        <v>1652616.0060849</v>
      </c>
    </row>
    <row r="90" customFormat="false" ht="27" hidden="false" customHeight="true" outlineLevel="0" collapsed="false">
      <c r="A90" s="0" t="n">
        <v>489.62</v>
      </c>
      <c r="B90" s="28" t="n">
        <v>1</v>
      </c>
      <c r="C90" s="0" t="n">
        <v>302687.782283</v>
      </c>
      <c r="D90" s="0" t="n">
        <v>1649588.4715397</v>
      </c>
    </row>
    <row r="91" customFormat="false" ht="27" hidden="false" customHeight="true" outlineLevel="0" collapsed="false">
      <c r="A91" s="0" t="n">
        <v>489.61</v>
      </c>
      <c r="B91" s="28" t="n">
        <v>1</v>
      </c>
      <c r="C91" s="0" t="n">
        <v>302526.71820379</v>
      </c>
      <c r="D91" s="0" t="n">
        <v>1646562.4785364</v>
      </c>
    </row>
    <row r="92" customFormat="false" ht="27" hidden="false" customHeight="true" outlineLevel="0" collapsed="false">
      <c r="A92" s="0" t="n">
        <v>489.6</v>
      </c>
      <c r="B92" s="28" t="n">
        <v>1</v>
      </c>
      <c r="C92" s="0" t="n">
        <v>301739.89109272</v>
      </c>
      <c r="D92" s="0" t="n">
        <v>1643538.2164867</v>
      </c>
    </row>
    <row r="93" customFormat="false" ht="27" hidden="false" customHeight="true" outlineLevel="0" collapsed="false">
      <c r="A93" s="0" t="n">
        <v>489.59</v>
      </c>
      <c r="B93" s="28" t="n">
        <v>1</v>
      </c>
      <c r="C93" s="0" t="n">
        <v>301550.28196717</v>
      </c>
      <c r="D93" s="0" t="n">
        <v>1640521.8742391</v>
      </c>
    </row>
    <row r="94" customFormat="false" ht="27" hidden="false" customHeight="true" outlineLevel="0" collapsed="false">
      <c r="A94" s="0" t="n">
        <v>489.58</v>
      </c>
      <c r="B94" s="28" t="n">
        <v>1</v>
      </c>
      <c r="C94" s="0" t="n">
        <v>301394.81108971</v>
      </c>
      <c r="D94" s="0" t="n">
        <v>1637507.2197397</v>
      </c>
    </row>
    <row r="95" customFormat="false" ht="27" hidden="false" customHeight="true" outlineLevel="0" collapsed="false">
      <c r="A95" s="0" t="n">
        <v>489.57</v>
      </c>
      <c r="B95" s="28" t="n">
        <v>1</v>
      </c>
      <c r="C95" s="0" t="n">
        <v>301239.44832112</v>
      </c>
      <c r="D95" s="0" t="n">
        <v>1634494.0165123</v>
      </c>
    </row>
    <row r="96" customFormat="false" ht="27" hidden="false" customHeight="true" outlineLevel="0" collapsed="false">
      <c r="A96" s="0" t="n">
        <v>489.56</v>
      </c>
      <c r="B96" s="28" t="n">
        <v>1</v>
      </c>
      <c r="C96" s="0" t="n">
        <v>301084.16214667</v>
      </c>
      <c r="D96" s="0" t="n">
        <v>1631482.3951735</v>
      </c>
    </row>
    <row r="97" customFormat="false" ht="27" hidden="false" customHeight="true" outlineLevel="0" collapsed="false">
      <c r="A97" s="0" t="n">
        <v>489.55</v>
      </c>
      <c r="B97" s="28" t="n">
        <v>1</v>
      </c>
      <c r="C97" s="0" t="n">
        <v>300929.40521413</v>
      </c>
      <c r="D97" s="0" t="n">
        <v>1628472.3057532</v>
      </c>
    </row>
    <row r="98" customFormat="false" ht="27" hidden="false" customHeight="true" outlineLevel="0" collapsed="false">
      <c r="A98" s="34" t="n">
        <v>489.54</v>
      </c>
      <c r="B98" s="35" t="n">
        <v>1</v>
      </c>
      <c r="C98" s="34" t="n">
        <v>300775.25974925</v>
      </c>
      <c r="D98" s="34" t="n">
        <v>1625463.7590197</v>
      </c>
      <c r="E98" s="36" t="s">
        <v>32</v>
      </c>
    </row>
    <row r="99" customFormat="false" ht="27" hidden="false" customHeight="true" outlineLevel="0" collapsed="false">
      <c r="A99" s="0" t="n">
        <v>489.53</v>
      </c>
      <c r="B99" s="28" t="n">
        <v>1</v>
      </c>
      <c r="C99" s="0" t="n">
        <v>300621.71354971</v>
      </c>
      <c r="D99" s="0" t="n">
        <v>1622456.7729032</v>
      </c>
    </row>
    <row r="100" customFormat="false" ht="27" hidden="false" customHeight="true" outlineLevel="0" collapsed="false">
      <c r="A100" s="0" t="n">
        <v>489.52</v>
      </c>
      <c r="B100" s="28" t="n">
        <v>1</v>
      </c>
      <c r="C100" s="0" t="n">
        <v>300468.72284037</v>
      </c>
      <c r="D100" s="0" t="n">
        <v>1619451.3170382</v>
      </c>
    </row>
    <row r="101" customFormat="false" ht="27" hidden="false" customHeight="true" outlineLevel="0" collapsed="false">
      <c r="A101" s="0" t="n">
        <v>489.51</v>
      </c>
      <c r="B101" s="28" t="n">
        <v>1</v>
      </c>
      <c r="C101" s="0" t="n">
        <v>300316.29618762</v>
      </c>
      <c r="D101" s="0" t="n">
        <v>1616447.3000027</v>
      </c>
    </row>
    <row r="102" customFormat="false" ht="27" hidden="false" customHeight="true" outlineLevel="0" collapsed="false">
      <c r="A102" s="0" t="n">
        <v>489.5</v>
      </c>
      <c r="B102" s="28" t="n">
        <v>1</v>
      </c>
      <c r="C102" s="0" t="n">
        <v>300164.52862608</v>
      </c>
      <c r="D102" s="0" t="n">
        <v>1613444.9319478</v>
      </c>
    </row>
    <row r="103" customFormat="false" ht="27" hidden="false" customHeight="true" outlineLevel="0" collapsed="false">
      <c r="A103" s="0" t="n">
        <v>489.49</v>
      </c>
      <c r="B103" s="28" t="n">
        <v>1</v>
      </c>
      <c r="C103" s="0" t="n">
        <v>300013.27591264</v>
      </c>
      <c r="D103" s="0" t="n">
        <v>1610444.0173448</v>
      </c>
    </row>
    <row r="104" customFormat="false" ht="27" hidden="false" customHeight="true" outlineLevel="0" collapsed="false">
      <c r="A104" s="0" t="n">
        <v>489.48</v>
      </c>
      <c r="B104" s="28" t="n">
        <v>1</v>
      </c>
      <c r="C104" s="0" t="n">
        <v>299862.58622433</v>
      </c>
      <c r="D104" s="0" t="n">
        <v>1607444.5930314</v>
      </c>
    </row>
    <row r="105" customFormat="false" ht="27" hidden="false" customHeight="true" outlineLevel="0" collapsed="false">
      <c r="A105" s="0" t="n">
        <v>489.47</v>
      </c>
      <c r="B105" s="28" t="n">
        <v>1</v>
      </c>
      <c r="C105" s="0" t="n">
        <v>299712.50264577</v>
      </c>
      <c r="D105" s="0" t="n">
        <v>1604446.718559</v>
      </c>
    </row>
    <row r="106" customFormat="false" ht="27" hidden="false" customHeight="true" outlineLevel="0" collapsed="false">
      <c r="A106" s="0" t="n">
        <v>489.46</v>
      </c>
      <c r="B106" s="28" t="n">
        <v>1</v>
      </c>
      <c r="C106" s="0" t="n">
        <v>299562.93609427</v>
      </c>
      <c r="D106" s="0" t="n">
        <v>1601450.3446648</v>
      </c>
    </row>
    <row r="107" customFormat="false" ht="27" hidden="false" customHeight="true" outlineLevel="0" collapsed="false">
      <c r="A107" s="0" t="n">
        <v>489.45</v>
      </c>
      <c r="B107" s="28" t="n">
        <v>1</v>
      </c>
      <c r="C107" s="0" t="n">
        <v>299413.77408838</v>
      </c>
      <c r="D107" s="0" t="n">
        <v>1598455.4724356</v>
      </c>
      <c r="E107" s="37"/>
    </row>
    <row r="108" customFormat="false" ht="27" hidden="false" customHeight="true" outlineLevel="0" collapsed="false">
      <c r="A108" s="0" t="n">
        <v>489.44</v>
      </c>
      <c r="B108" s="28" t="n">
        <v>1</v>
      </c>
      <c r="C108" s="0" t="n">
        <v>299264.86806599</v>
      </c>
      <c r="D108" s="0" t="n">
        <v>1595462.0162961</v>
      </c>
    </row>
    <row r="109" customFormat="false" ht="27" hidden="false" customHeight="true" outlineLevel="0" collapsed="false">
      <c r="A109" s="0" t="n">
        <v>489.43</v>
      </c>
      <c r="B109" s="28" t="n">
        <v>1</v>
      </c>
      <c r="C109" s="0" t="n">
        <v>299115.74350962</v>
      </c>
      <c r="D109" s="0" t="n">
        <v>1592470.1267521</v>
      </c>
    </row>
    <row r="110" customFormat="false" ht="27" hidden="false" customHeight="true" outlineLevel="0" collapsed="false">
      <c r="A110" s="0" t="n">
        <v>489.42</v>
      </c>
      <c r="B110" s="28" t="n">
        <v>1</v>
      </c>
      <c r="C110" s="0" t="n">
        <v>298964.85865004</v>
      </c>
      <c r="D110" s="0" t="n">
        <v>1589479.7778056</v>
      </c>
    </row>
    <row r="111" customFormat="false" ht="27" hidden="false" customHeight="true" outlineLevel="0" collapsed="false">
      <c r="A111" s="0" t="n">
        <v>489.41</v>
      </c>
      <c r="B111" s="28" t="n">
        <v>1</v>
      </c>
      <c r="C111" s="0" t="n">
        <v>298806.56880161</v>
      </c>
      <c r="D111" s="0" t="n">
        <v>1586490.9615755</v>
      </c>
    </row>
    <row r="112" customFormat="false" ht="27" hidden="false" customHeight="true" outlineLevel="0" collapsed="false">
      <c r="A112" s="0" t="n">
        <v>489.4</v>
      </c>
      <c r="B112" s="28" t="n">
        <v>1</v>
      </c>
      <c r="C112" s="0" t="n">
        <v>298551.84888222</v>
      </c>
      <c r="D112" s="0" t="n">
        <v>1583503.9153768</v>
      </c>
    </row>
    <row r="113" customFormat="false" ht="27" hidden="false" customHeight="true" outlineLevel="0" collapsed="false">
      <c r="A113" s="0" t="n">
        <v>489.39</v>
      </c>
      <c r="B113" s="28" t="n">
        <v>1</v>
      </c>
      <c r="C113" s="0" t="n">
        <v>296838.12705051</v>
      </c>
      <c r="D113" s="0" t="n">
        <v>1580534.3602253</v>
      </c>
    </row>
    <row r="114" customFormat="false" ht="27" hidden="false" customHeight="true" outlineLevel="0" collapsed="false">
      <c r="A114" s="0" t="n">
        <v>489.38</v>
      </c>
      <c r="B114" s="28" t="n">
        <v>1</v>
      </c>
      <c r="C114" s="0" t="n">
        <v>296660.45488627</v>
      </c>
      <c r="D114" s="0" t="n">
        <v>1577566.834908</v>
      </c>
    </row>
    <row r="115" customFormat="false" ht="27" hidden="false" customHeight="true" outlineLevel="0" collapsed="false">
      <c r="A115" s="0" t="n">
        <v>489.37</v>
      </c>
      <c r="B115" s="28" t="n">
        <v>1</v>
      </c>
      <c r="C115" s="0" t="n">
        <v>296487.22539002</v>
      </c>
      <c r="D115" s="0" t="n">
        <v>1574601.0268989</v>
      </c>
    </row>
    <row r="116" customFormat="false" ht="27" hidden="false" customHeight="true" outlineLevel="0" collapsed="false">
      <c r="A116" s="0" t="n">
        <v>489.36</v>
      </c>
      <c r="B116" s="28" t="n">
        <v>1</v>
      </c>
      <c r="C116" s="0" t="n">
        <v>296316.63673656</v>
      </c>
      <c r="D116" s="0" t="n">
        <v>1571636.9871561</v>
      </c>
    </row>
    <row r="117" customFormat="false" ht="27" hidden="false" customHeight="true" outlineLevel="0" collapsed="false">
      <c r="A117" s="0" t="n">
        <v>489.35</v>
      </c>
      <c r="B117" s="29" t="n">
        <v>1</v>
      </c>
      <c r="C117" s="0" t="n">
        <v>296148.24972432</v>
      </c>
      <c r="D117" s="0" t="n">
        <v>1568674.6777429</v>
      </c>
    </row>
    <row r="118" customFormat="false" ht="27" hidden="false" customHeight="true" outlineLevel="0" collapsed="false">
      <c r="A118" s="0" t="n">
        <v>489.34</v>
      </c>
      <c r="B118" s="29" t="n">
        <v>1</v>
      </c>
      <c r="C118" s="0" t="n">
        <v>295981.95013476</v>
      </c>
      <c r="D118" s="0" t="n">
        <v>1565714.0163252</v>
      </c>
    </row>
    <row r="119" customFormat="false" ht="27" hidden="false" customHeight="true" outlineLevel="0" collapsed="false">
      <c r="A119" s="0" t="n">
        <v>489.33</v>
      </c>
      <c r="B119" s="29" t="n">
        <v>1</v>
      </c>
      <c r="C119" s="0" t="n">
        <v>295817.76531035</v>
      </c>
      <c r="D119" s="0" t="n">
        <v>1562754.9976601</v>
      </c>
    </row>
    <row r="120" customFormat="false" ht="27" hidden="false" customHeight="true" outlineLevel="0" collapsed="false">
      <c r="A120" s="0" t="n">
        <v>489.32</v>
      </c>
      <c r="B120" s="29" t="n">
        <v>1</v>
      </c>
      <c r="C120" s="0" t="n">
        <v>295655.50279618</v>
      </c>
      <c r="D120" s="0" t="n">
        <v>1559797.5867666</v>
      </c>
    </row>
    <row r="121" customFormat="false" ht="27" hidden="false" customHeight="true" outlineLevel="0" collapsed="false">
      <c r="A121" s="0" t="n">
        <v>489.31</v>
      </c>
      <c r="B121" s="29" t="n">
        <v>1</v>
      </c>
      <c r="C121" s="0" t="n">
        <v>295495.20580661</v>
      </c>
      <c r="D121" s="0" t="n">
        <v>1556841.798732</v>
      </c>
    </row>
    <row r="122" customFormat="false" ht="27" hidden="false" customHeight="true" outlineLevel="0" collapsed="false">
      <c r="A122" s="0" t="n">
        <v>489.3</v>
      </c>
      <c r="B122" s="29" t="n">
        <v>1</v>
      </c>
      <c r="C122" s="0" t="n">
        <v>295336.9574098</v>
      </c>
      <c r="D122" s="0" t="n">
        <v>1553887.6114458</v>
      </c>
    </row>
    <row r="123" customFormat="false" ht="27" hidden="false" customHeight="true" outlineLevel="0" collapsed="false">
      <c r="A123" s="0" t="n">
        <v>489.29</v>
      </c>
      <c r="B123" s="29" t="n">
        <v>1</v>
      </c>
      <c r="C123" s="0" t="n">
        <v>295180.7245822</v>
      </c>
      <c r="D123" s="0" t="n">
        <v>1550934.9520858</v>
      </c>
    </row>
    <row r="124" customFormat="false" ht="27" hidden="false" customHeight="true" outlineLevel="0" collapsed="false">
      <c r="A124" s="0" t="n">
        <v>489.28</v>
      </c>
      <c r="B124" s="29" t="n">
        <v>1</v>
      </c>
      <c r="C124" s="0" t="n">
        <v>295026.38830911</v>
      </c>
      <c r="D124" s="0" t="n">
        <v>1547983.8767252</v>
      </c>
    </row>
    <row r="125" customFormat="false" ht="27" hidden="false" customHeight="true" outlineLevel="0" collapsed="false">
      <c r="A125" s="0" t="n">
        <v>489.27</v>
      </c>
      <c r="B125" s="29" t="n">
        <v>1</v>
      </c>
      <c r="C125" s="0" t="n">
        <v>294874.00895345</v>
      </c>
      <c r="D125" s="0" t="n">
        <v>1545034.3582924</v>
      </c>
    </row>
    <row r="126" customFormat="false" ht="27" hidden="false" customHeight="true" outlineLevel="0" collapsed="false">
      <c r="A126" s="0" t="n">
        <v>489.26</v>
      </c>
      <c r="B126" s="28" t="n">
        <v>1</v>
      </c>
      <c r="C126" s="0" t="n">
        <v>294723.85654548</v>
      </c>
      <c r="D126" s="0" t="n">
        <v>1542086.3609643</v>
      </c>
    </row>
    <row r="127" customFormat="false" ht="27" hidden="false" customHeight="true" outlineLevel="0" collapsed="false">
      <c r="A127" s="0" t="n">
        <v>489.25</v>
      </c>
      <c r="B127" s="28" t="n">
        <v>1</v>
      </c>
      <c r="C127" s="0" t="n">
        <v>294575.62108547</v>
      </c>
      <c r="D127" s="0" t="n">
        <v>1539139.8888638</v>
      </c>
    </row>
    <row r="128" customFormat="false" ht="27" hidden="false" customHeight="true" outlineLevel="0" collapsed="false">
      <c r="A128" s="0" t="n">
        <v>489.24</v>
      </c>
      <c r="B128" s="28" t="n">
        <v>1</v>
      </c>
      <c r="C128" s="0" t="n">
        <v>294429.47474265</v>
      </c>
      <c r="D128" s="0" t="n">
        <v>1536194.8351113</v>
      </c>
    </row>
    <row r="129" customFormat="false" ht="27" hidden="false" customHeight="true" outlineLevel="0" collapsed="false">
      <c r="A129" s="0" t="n">
        <v>489.23</v>
      </c>
      <c r="B129" s="28" t="n">
        <v>1</v>
      </c>
      <c r="C129" s="0" t="n">
        <v>294285.58589725</v>
      </c>
      <c r="D129" s="0" t="n">
        <v>1533251.225472</v>
      </c>
    </row>
    <row r="130" customFormat="false" ht="27" hidden="false" customHeight="true" outlineLevel="0" collapsed="false">
      <c r="A130" s="0" t="n">
        <v>489.22</v>
      </c>
      <c r="B130" s="28" t="n">
        <v>1</v>
      </c>
      <c r="C130" s="0" t="n">
        <v>294144.15364712</v>
      </c>
      <c r="D130" s="0" t="n">
        <v>1530308.9801397</v>
      </c>
    </row>
    <row r="131" customFormat="false" ht="27" hidden="false" customHeight="true" outlineLevel="0" collapsed="false">
      <c r="A131" s="0" t="n">
        <v>489.21</v>
      </c>
      <c r="B131" s="28" t="n">
        <v>1</v>
      </c>
      <c r="C131" s="0" t="n">
        <v>294005.70773941</v>
      </c>
      <c r="D131" s="0" t="n">
        <v>1527368.2205112</v>
      </c>
    </row>
    <row r="132" customFormat="false" ht="27" hidden="false" customHeight="true" outlineLevel="0" collapsed="false">
      <c r="A132" s="0" t="n">
        <v>489.2</v>
      </c>
      <c r="B132" s="28" t="n">
        <v>1</v>
      </c>
      <c r="C132" s="0" t="n">
        <v>293447.44491384</v>
      </c>
      <c r="D132" s="0" t="n">
        <v>1524428.7714924</v>
      </c>
    </row>
    <row r="133" customFormat="false" ht="27" hidden="false" customHeight="true" outlineLevel="0" collapsed="false">
      <c r="A133" s="0" t="n">
        <v>489.19</v>
      </c>
      <c r="B133" s="28" t="n">
        <v>1</v>
      </c>
      <c r="C133" s="0" t="n">
        <v>293343.90033394</v>
      </c>
      <c r="D133" s="0" t="n">
        <v>1521494.7669134</v>
      </c>
    </row>
    <row r="134" customFormat="false" ht="27" hidden="false" customHeight="true" outlineLevel="0" collapsed="false">
      <c r="A134" s="0" t="n">
        <v>489.18</v>
      </c>
      <c r="B134" s="28" t="n">
        <v>1</v>
      </c>
      <c r="C134" s="0" t="n">
        <v>293251.32336933</v>
      </c>
      <c r="D134" s="0" t="n">
        <v>1518561.7284057</v>
      </c>
    </row>
    <row r="135" customFormat="false" ht="27" hidden="false" customHeight="true" outlineLevel="0" collapsed="false">
      <c r="A135" s="0" t="n">
        <v>489.17</v>
      </c>
      <c r="B135" s="28" t="n">
        <v>1</v>
      </c>
      <c r="C135" s="0" t="n">
        <v>293160.71954251</v>
      </c>
      <c r="D135" s="0" t="n">
        <v>1515629.6565953</v>
      </c>
    </row>
    <row r="136" customFormat="false" ht="27" hidden="false" customHeight="true" outlineLevel="0" collapsed="false">
      <c r="A136" s="0" t="n">
        <v>489.16</v>
      </c>
      <c r="B136" s="28" t="n">
        <v>1</v>
      </c>
      <c r="C136" s="0" t="n">
        <v>293071.14192562</v>
      </c>
      <c r="D136" s="0" t="n">
        <v>1512698.4514312</v>
      </c>
    </row>
    <row r="137" customFormat="false" ht="27" hidden="false" customHeight="true" outlineLevel="0" collapsed="false">
      <c r="A137" s="0" t="n">
        <v>489.15</v>
      </c>
      <c r="B137" s="28" t="n">
        <v>1</v>
      </c>
      <c r="C137" s="0" t="n">
        <v>292982.29930869</v>
      </c>
      <c r="D137" s="0" t="n">
        <v>1509768.1303155</v>
      </c>
    </row>
    <row r="138" customFormat="false" ht="27" hidden="false" customHeight="true" outlineLevel="0" collapsed="false">
      <c r="A138" s="0" t="n">
        <v>489.14</v>
      </c>
      <c r="B138" s="28" t="n">
        <v>1</v>
      </c>
      <c r="C138" s="0" t="n">
        <v>292894.00726849</v>
      </c>
      <c r="D138" s="0" t="n">
        <v>1506838.6950446</v>
      </c>
    </row>
    <row r="139" customFormat="false" ht="27" hidden="false" customHeight="true" outlineLevel="0" collapsed="false">
      <c r="A139" s="0" t="n">
        <v>489.13</v>
      </c>
      <c r="B139" s="28" t="n">
        <v>1</v>
      </c>
      <c r="C139" s="0" t="n">
        <v>292806.26614796</v>
      </c>
      <c r="D139" s="0" t="n">
        <v>1503910.109441</v>
      </c>
    </row>
    <row r="140" customFormat="false" ht="27" hidden="false" customHeight="true" outlineLevel="0" collapsed="false">
      <c r="A140" s="0" t="n">
        <v>489.12</v>
      </c>
      <c r="B140" s="28" t="n">
        <v>1</v>
      </c>
      <c r="C140" s="0" t="n">
        <v>292719.10653711</v>
      </c>
      <c r="D140" s="0" t="n">
        <v>1500982.4454629</v>
      </c>
    </row>
    <row r="141" customFormat="false" ht="27" hidden="false" customHeight="true" outlineLevel="0" collapsed="false">
      <c r="A141" s="0" t="n">
        <v>489.11</v>
      </c>
      <c r="B141" s="28" t="n">
        <v>1</v>
      </c>
      <c r="C141" s="0" t="n">
        <v>292632.50123871</v>
      </c>
      <c r="D141" s="0" t="n">
        <v>1498055.6269737</v>
      </c>
    </row>
    <row r="142" customFormat="false" ht="27" hidden="false" customHeight="true" outlineLevel="0" collapsed="false">
      <c r="A142" s="0" t="n">
        <v>489.1</v>
      </c>
      <c r="B142" s="28" t="n">
        <v>1</v>
      </c>
      <c r="C142" s="0" t="n">
        <v>292546.4304882</v>
      </c>
      <c r="D142" s="0" t="n">
        <v>1495129.7332866</v>
      </c>
    </row>
    <row r="143" customFormat="false" ht="27" hidden="false" customHeight="true" outlineLevel="0" collapsed="false">
      <c r="A143" s="0" t="n">
        <v>489.09</v>
      </c>
      <c r="B143" s="28" t="n">
        <v>1</v>
      </c>
      <c r="C143" s="0" t="n">
        <v>292460.80522782</v>
      </c>
      <c r="D143" s="0" t="n">
        <v>1492204.696838</v>
      </c>
    </row>
    <row r="144" customFormat="false" ht="27" hidden="false" customHeight="true" outlineLevel="0" collapsed="false">
      <c r="A144" s="0" t="n">
        <v>489.08</v>
      </c>
      <c r="B144" s="28" t="n">
        <v>1</v>
      </c>
      <c r="C144" s="0" t="n">
        <v>292375.64253937</v>
      </c>
      <c r="D144" s="0" t="n">
        <v>1489280.5058131</v>
      </c>
    </row>
    <row r="145" customFormat="false" ht="27" hidden="false" customHeight="true" outlineLevel="0" collapsed="false">
      <c r="A145" s="0" t="n">
        <v>489.07</v>
      </c>
      <c r="B145" s="28" t="n">
        <v>1</v>
      </c>
      <c r="C145" s="0" t="n">
        <v>292291.02279983</v>
      </c>
      <c r="D145" s="0" t="n">
        <v>1486357.15604</v>
      </c>
    </row>
    <row r="146" customFormat="false" ht="27" hidden="false" customHeight="true" outlineLevel="0" collapsed="false">
      <c r="A146" s="0" t="n">
        <v>489.06</v>
      </c>
      <c r="B146" s="28" t="n">
        <v>1</v>
      </c>
      <c r="C146" s="0" t="n">
        <v>292206.87485341</v>
      </c>
      <c r="D146" s="0" t="n">
        <v>1483434.6079881</v>
      </c>
    </row>
    <row r="147" customFormat="false" ht="27" hidden="false" customHeight="true" outlineLevel="0" collapsed="false">
      <c r="A147" s="0" t="n">
        <v>489.05</v>
      </c>
      <c r="B147" s="28" t="n">
        <v>1</v>
      </c>
      <c r="C147" s="0" t="n">
        <v>292123.19478133</v>
      </c>
      <c r="D147" s="0" t="n">
        <v>1480512.9900536</v>
      </c>
    </row>
    <row r="148" customFormat="false" ht="27" hidden="false" customHeight="true" outlineLevel="0" collapsed="false">
      <c r="A148" s="0" t="n">
        <v>489.04</v>
      </c>
      <c r="B148" s="28" t="n">
        <v>1</v>
      </c>
      <c r="C148" s="0" t="n">
        <v>292039.94859637</v>
      </c>
      <c r="D148" s="0" t="n">
        <v>1477592.1420387</v>
      </c>
    </row>
    <row r="149" customFormat="false" ht="27" hidden="false" customHeight="true" outlineLevel="0" collapsed="false">
      <c r="A149" s="0" t="n">
        <v>489.03</v>
      </c>
      <c r="B149" s="28" t="n">
        <v>1</v>
      </c>
      <c r="C149" s="0" t="n">
        <v>291957.11114446</v>
      </c>
      <c r="D149" s="0" t="n">
        <v>1474672.1813453</v>
      </c>
    </row>
    <row r="150" customFormat="false" ht="27" hidden="false" customHeight="true" outlineLevel="0" collapsed="false">
      <c r="A150" s="0" t="n">
        <v>489.02</v>
      </c>
      <c r="B150" s="28" t="n">
        <v>1</v>
      </c>
      <c r="C150" s="0" t="n">
        <v>291874.74683421</v>
      </c>
      <c r="D150" s="0" t="n">
        <v>1471753.0165594</v>
      </c>
    </row>
    <row r="151" customFormat="false" ht="27" hidden="false" customHeight="true" outlineLevel="0" collapsed="false">
      <c r="A151" s="0" t="n">
        <v>489.01</v>
      </c>
      <c r="B151" s="28" t="n">
        <v>1</v>
      </c>
      <c r="C151" s="0" t="n">
        <v>291792.88645025</v>
      </c>
      <c r="D151" s="0" t="n">
        <v>1468834.6627917</v>
      </c>
    </row>
    <row r="152" customFormat="false" ht="27" hidden="false" customHeight="true" outlineLevel="0" collapsed="false">
      <c r="A152" s="0" t="n">
        <v>489</v>
      </c>
      <c r="B152" s="28" t="n">
        <v>1</v>
      </c>
      <c r="C152" s="0" t="n">
        <v>291711.39380187</v>
      </c>
      <c r="D152" s="0" t="n">
        <v>1465917.183056</v>
      </c>
    </row>
    <row r="153" customFormat="false" ht="27" hidden="false" customHeight="true" outlineLevel="0" collapsed="false">
      <c r="A153" s="0" t="n">
        <v>488.99</v>
      </c>
      <c r="B153" s="29" t="n">
        <v>1</v>
      </c>
      <c r="C153" s="0" t="n">
        <v>291629.97569635</v>
      </c>
      <c r="D153" s="0" t="n">
        <v>1463000.4388212</v>
      </c>
    </row>
    <row r="154" customFormat="false" ht="27" hidden="false" customHeight="true" outlineLevel="0" collapsed="false">
      <c r="A154" s="0" t="n">
        <v>488.98</v>
      </c>
      <c r="B154" s="29" t="n">
        <v>1</v>
      </c>
      <c r="C154" s="0" t="n">
        <v>291549.89354212</v>
      </c>
      <c r="D154" s="0" t="n">
        <v>1460084.4867828</v>
      </c>
    </row>
    <row r="155" customFormat="false" ht="27" hidden="false" customHeight="true" outlineLevel="0" collapsed="false">
      <c r="A155" s="0" t="n">
        <v>488.97</v>
      </c>
      <c r="B155" s="29" t="n">
        <v>1</v>
      </c>
      <c r="C155" s="0" t="n">
        <v>291470.2555432</v>
      </c>
      <c r="D155" s="0" t="n">
        <v>1457169.3844267</v>
      </c>
    </row>
    <row r="156" customFormat="false" ht="27" hidden="false" customHeight="true" outlineLevel="0" collapsed="false">
      <c r="A156" s="0" t="n">
        <v>488.96</v>
      </c>
      <c r="B156" s="29" t="n">
        <v>1</v>
      </c>
      <c r="C156" s="0" t="n">
        <v>291390.88598792</v>
      </c>
      <c r="D156" s="0" t="n">
        <v>1454255.069173</v>
      </c>
    </row>
    <row r="157" customFormat="false" ht="27" hidden="false" customHeight="true" outlineLevel="0" collapsed="false">
      <c r="A157" s="0" t="n">
        <v>488.95</v>
      </c>
      <c r="B157" s="29" t="n">
        <v>1</v>
      </c>
      <c r="C157" s="0" t="n">
        <v>291311.6870993</v>
      </c>
      <c r="D157" s="0" t="n">
        <v>1451341.5620411</v>
      </c>
    </row>
    <row r="158" customFormat="false" ht="27" hidden="false" customHeight="true" outlineLevel="0" collapsed="false">
      <c r="A158" s="0" t="n">
        <v>488.94</v>
      </c>
      <c r="B158" s="29" t="n">
        <v>1</v>
      </c>
      <c r="C158" s="0" t="n">
        <v>291232.68019669</v>
      </c>
      <c r="D158" s="0" t="n">
        <v>1448428.8738585</v>
      </c>
    </row>
    <row r="159" customFormat="false" ht="27" hidden="false" customHeight="true" outlineLevel="0" collapsed="false">
      <c r="A159" s="0" t="n">
        <v>488.93</v>
      </c>
      <c r="B159" s="29" t="n">
        <v>1</v>
      </c>
      <c r="C159" s="0" t="n">
        <v>291153.86466753</v>
      </c>
      <c r="D159" s="0" t="n">
        <v>1445516.8740723</v>
      </c>
    </row>
    <row r="160" customFormat="false" ht="27" hidden="false" customHeight="true" outlineLevel="0" collapsed="false">
      <c r="A160" s="0" t="n">
        <v>488.92</v>
      </c>
      <c r="B160" s="29" t="n">
        <v>1</v>
      </c>
      <c r="C160" s="0" t="n">
        <v>291075.24987627</v>
      </c>
      <c r="D160" s="0" t="n">
        <v>1442605.7158012</v>
      </c>
    </row>
    <row r="161" customFormat="false" ht="27" hidden="false" customHeight="true" outlineLevel="0" collapsed="false">
      <c r="A161" s="0" t="n">
        <v>488.91</v>
      </c>
      <c r="B161" s="29" t="n">
        <v>1</v>
      </c>
      <c r="C161" s="0" t="n">
        <v>290996.79863944</v>
      </c>
      <c r="D161" s="0" t="n">
        <v>1439695.2819464</v>
      </c>
    </row>
    <row r="162" customFormat="false" ht="27" hidden="false" customHeight="true" outlineLevel="0" collapsed="false">
      <c r="A162" s="0" t="n">
        <v>488.9</v>
      </c>
      <c r="B162" s="28" t="n">
        <v>1</v>
      </c>
      <c r="C162" s="0" t="n">
        <v>290918.55314856</v>
      </c>
      <c r="D162" s="0" t="n">
        <v>1436785.673304</v>
      </c>
    </row>
    <row r="163" customFormat="false" ht="27" hidden="false" customHeight="true" outlineLevel="0" collapsed="false">
      <c r="A163" s="0" t="n">
        <v>488.89</v>
      </c>
      <c r="B163" s="28" t="n">
        <v>1</v>
      </c>
      <c r="C163" s="0" t="n">
        <v>290840.48570156</v>
      </c>
      <c r="D163" s="0" t="n">
        <v>1433876.8830075</v>
      </c>
    </row>
    <row r="164" customFormat="false" ht="27" hidden="false" customHeight="true" outlineLevel="0" collapsed="false">
      <c r="A164" s="0" t="n">
        <v>488.88</v>
      </c>
      <c r="B164" s="28" t="n">
        <v>1</v>
      </c>
      <c r="C164" s="0" t="n">
        <v>290762.57673596</v>
      </c>
      <c r="D164" s="0" t="n">
        <v>1430968.8174983</v>
      </c>
    </row>
    <row r="165" customFormat="false" ht="27" hidden="false" customHeight="true" outlineLevel="0" collapsed="false">
      <c r="A165" s="0" t="n">
        <v>488.87</v>
      </c>
      <c r="B165" s="28" t="n">
        <v>1</v>
      </c>
      <c r="C165" s="0" t="n">
        <v>290684.87634716</v>
      </c>
      <c r="D165" s="0" t="n">
        <v>1428061.5598544</v>
      </c>
    </row>
    <row r="166" customFormat="false" ht="27" hidden="false" customHeight="true" outlineLevel="0" collapsed="false">
      <c r="A166" s="0" t="n">
        <v>488.86</v>
      </c>
      <c r="B166" s="28" t="n">
        <v>1</v>
      </c>
      <c r="C166" s="0" t="n">
        <v>290607.31934</v>
      </c>
      <c r="D166" s="0" t="n">
        <v>1425155.0669105</v>
      </c>
    </row>
    <row r="167" customFormat="false" ht="27" hidden="false" customHeight="true" outlineLevel="0" collapsed="false">
      <c r="A167" s="0" t="n">
        <v>488.85</v>
      </c>
      <c r="B167" s="28" t="n">
        <v>1</v>
      </c>
      <c r="C167" s="0" t="n">
        <v>290529.93706361</v>
      </c>
      <c r="D167" s="0" t="n">
        <v>1422249.3957137</v>
      </c>
    </row>
    <row r="168" customFormat="false" ht="27" hidden="false" customHeight="true" outlineLevel="0" collapsed="false">
      <c r="A168" s="0" t="n">
        <v>488.84</v>
      </c>
      <c r="B168" s="28" t="n">
        <v>1</v>
      </c>
      <c r="C168" s="0" t="n">
        <v>290452.7388562</v>
      </c>
      <c r="D168" s="0" t="n">
        <v>1419344.4679611</v>
      </c>
    </row>
    <row r="169" customFormat="false" ht="27" hidden="false" customHeight="true" outlineLevel="0" collapsed="false">
      <c r="A169" s="0" t="n">
        <v>488.83</v>
      </c>
      <c r="B169" s="28" t="n">
        <v>1</v>
      </c>
      <c r="C169" s="0" t="n">
        <v>290375.70003922</v>
      </c>
      <c r="D169" s="0" t="n">
        <v>1416440.2927267</v>
      </c>
    </row>
    <row r="170" customFormat="false" ht="27" hidden="false" customHeight="true" outlineLevel="0" collapsed="false">
      <c r="A170" s="0" t="n">
        <v>488.82</v>
      </c>
      <c r="B170" s="28" t="n">
        <v>1</v>
      </c>
      <c r="C170" s="0" t="n">
        <v>290298.82125685</v>
      </c>
      <c r="D170" s="0" t="n">
        <v>1413536.9222839</v>
      </c>
    </row>
    <row r="171" customFormat="false" ht="27" hidden="false" customHeight="true" outlineLevel="0" collapsed="false">
      <c r="A171" s="0" t="n">
        <v>488.81</v>
      </c>
      <c r="B171" s="28" t="n">
        <v>1</v>
      </c>
      <c r="C171" s="0" t="n">
        <v>290222.06524005</v>
      </c>
      <c r="D171" s="0" t="n">
        <v>1410634.2644526</v>
      </c>
    </row>
    <row r="172" customFormat="false" ht="27" hidden="false" customHeight="true" outlineLevel="0" collapsed="false">
      <c r="A172" s="0" t="n">
        <v>488.8</v>
      </c>
      <c r="B172" s="28" t="n">
        <v>1</v>
      </c>
      <c r="C172" s="0" t="n">
        <v>290145.45393881</v>
      </c>
      <c r="D172" s="0" t="n">
        <v>1407732.4119656</v>
      </c>
    </row>
    <row r="173" customFormat="false" ht="27" hidden="false" customHeight="true" outlineLevel="0" collapsed="false">
      <c r="A173" s="0" t="n">
        <v>488.79</v>
      </c>
      <c r="B173" s="28" t="n">
        <v>1</v>
      </c>
      <c r="C173" s="0" t="n">
        <v>290069.0159094</v>
      </c>
      <c r="D173" s="0" t="n">
        <v>1404831.3032069</v>
      </c>
    </row>
    <row r="174" customFormat="false" ht="27" hidden="false" customHeight="true" outlineLevel="0" collapsed="false">
      <c r="A174" s="0" t="n">
        <v>488.78</v>
      </c>
      <c r="B174" s="28" t="n">
        <v>1</v>
      </c>
      <c r="C174" s="0" t="n">
        <v>289992.86630174</v>
      </c>
      <c r="D174" s="0" t="n">
        <v>1401930.957596</v>
      </c>
    </row>
    <row r="175" customFormat="false" ht="27" hidden="false" customHeight="true" outlineLevel="0" collapsed="false">
      <c r="A175" s="0" t="n">
        <v>488.77</v>
      </c>
      <c r="B175" s="28" t="n">
        <v>1</v>
      </c>
      <c r="C175" s="0" t="n">
        <v>289916.86606616</v>
      </c>
      <c r="D175" s="0" t="n">
        <v>1399031.4112872</v>
      </c>
    </row>
    <row r="176" customFormat="false" ht="27" hidden="false" customHeight="true" outlineLevel="0" collapsed="false">
      <c r="A176" s="0" t="n">
        <v>488.76</v>
      </c>
      <c r="B176" s="28" t="n">
        <v>1</v>
      </c>
      <c r="C176" s="0" t="n">
        <v>289840.96597849</v>
      </c>
      <c r="D176" s="0" t="n">
        <v>1396132.6544669</v>
      </c>
    </row>
    <row r="177" customFormat="false" ht="27" hidden="false" customHeight="true" outlineLevel="0" collapsed="false">
      <c r="A177" s="0" t="n">
        <v>488.75</v>
      </c>
      <c r="B177" s="28" t="n">
        <v>1</v>
      </c>
      <c r="C177" s="0" t="n">
        <v>289765.19390197</v>
      </c>
      <c r="D177" s="0" t="n">
        <v>1393234.6316031</v>
      </c>
    </row>
    <row r="178" customFormat="false" ht="27" hidden="false" customHeight="true" outlineLevel="0" collapsed="false">
      <c r="A178" s="0" t="n">
        <v>488.74</v>
      </c>
      <c r="B178" s="28" t="n">
        <v>1</v>
      </c>
      <c r="C178" s="0" t="n">
        <v>289689.54640971</v>
      </c>
      <c r="D178" s="0" t="n">
        <v>1390337.3398593</v>
      </c>
    </row>
    <row r="179" customFormat="false" ht="27" hidden="false" customHeight="true" outlineLevel="0" collapsed="false">
      <c r="A179" s="0" t="n">
        <v>488.73</v>
      </c>
      <c r="B179" s="28" t="n">
        <v>1</v>
      </c>
      <c r="C179" s="0" t="n">
        <v>289614.00595039</v>
      </c>
      <c r="D179" s="0" t="n">
        <v>1387440.8647572</v>
      </c>
    </row>
    <row r="180" customFormat="false" ht="27" hidden="false" customHeight="true" outlineLevel="0" collapsed="false">
      <c r="A180" s="0" t="n">
        <v>488.72</v>
      </c>
      <c r="B180" s="28" t="n">
        <v>1</v>
      </c>
      <c r="C180" s="0" t="n">
        <v>289538.5927502</v>
      </c>
      <c r="D180" s="0" t="n">
        <v>1384545.0927503</v>
      </c>
    </row>
    <row r="181" customFormat="false" ht="27" hidden="false" customHeight="true" outlineLevel="0" collapsed="false">
      <c r="A181" s="0" t="n">
        <v>488.71</v>
      </c>
      <c r="B181" s="28" t="n">
        <v>1</v>
      </c>
      <c r="C181" s="0" t="n">
        <v>289463.3326396</v>
      </c>
      <c r="D181" s="0" t="n">
        <v>1381650.0718537</v>
      </c>
    </row>
    <row r="182" customFormat="false" ht="27" hidden="false" customHeight="true" outlineLevel="0" collapsed="false">
      <c r="A182" s="0" t="n">
        <v>488.7</v>
      </c>
      <c r="B182" s="28" t="n">
        <v>1</v>
      </c>
      <c r="C182" s="0" t="n">
        <v>289388.16373181</v>
      </c>
      <c r="D182" s="0" t="n">
        <v>1378755.8348425</v>
      </c>
    </row>
    <row r="183" customFormat="false" ht="27" hidden="false" customHeight="true" outlineLevel="0" collapsed="false">
      <c r="A183" s="0" t="n">
        <v>488.69</v>
      </c>
      <c r="B183" s="28" t="n">
        <v>1</v>
      </c>
      <c r="C183" s="0" t="n">
        <v>289313.10567084</v>
      </c>
      <c r="D183" s="0" t="n">
        <v>1375862.3110327</v>
      </c>
    </row>
    <row r="184" customFormat="false" ht="27" hidden="false" customHeight="true" outlineLevel="0" collapsed="false">
      <c r="A184" s="0" t="n">
        <v>488.68</v>
      </c>
      <c r="B184" s="28" t="n">
        <v>1</v>
      </c>
      <c r="C184" s="0" t="n">
        <v>289238.15997566</v>
      </c>
      <c r="D184" s="0" t="n">
        <v>1372969.6331738</v>
      </c>
    </row>
    <row r="185" customFormat="false" ht="27" hidden="false" customHeight="true" outlineLevel="0" collapsed="false">
      <c r="A185" s="0" t="n">
        <v>488.67</v>
      </c>
      <c r="B185" s="28" t="n">
        <v>1</v>
      </c>
      <c r="C185" s="0" t="n">
        <v>289163.29959511</v>
      </c>
      <c r="D185" s="0" t="n">
        <v>1370077.6250882</v>
      </c>
    </row>
    <row r="186" customFormat="false" ht="27" hidden="false" customHeight="true" outlineLevel="0" collapsed="false">
      <c r="A186" s="0" t="n">
        <v>488.66</v>
      </c>
      <c r="B186" s="28" t="n">
        <v>1</v>
      </c>
      <c r="C186" s="0" t="n">
        <v>289088.54970741</v>
      </c>
      <c r="D186" s="0" t="n">
        <v>1367186.3441058</v>
      </c>
    </row>
    <row r="187" customFormat="false" ht="27" hidden="false" customHeight="true" outlineLevel="0" collapsed="false">
      <c r="A187" s="0" t="n">
        <v>488.65</v>
      </c>
      <c r="B187" s="28" t="n">
        <v>1</v>
      </c>
      <c r="C187" s="0" t="n">
        <v>289013.89596013</v>
      </c>
      <c r="D187" s="0" t="n">
        <v>1364295.8432313</v>
      </c>
    </row>
    <row r="188" customFormat="false" ht="27" hidden="false" customHeight="true" outlineLevel="0" collapsed="false">
      <c r="A188" s="0" t="n">
        <v>488.64</v>
      </c>
      <c r="B188" s="28" t="n">
        <v>1</v>
      </c>
      <c r="C188" s="0" t="n">
        <v>288939.37116718</v>
      </c>
      <c r="D188" s="0" t="n">
        <v>1361406.0363445</v>
      </c>
    </row>
    <row r="189" customFormat="false" ht="27" hidden="false" customHeight="true" outlineLevel="0" collapsed="false">
      <c r="A189" s="0" t="n">
        <v>488.63</v>
      </c>
      <c r="B189" s="29" t="n">
        <v>1</v>
      </c>
      <c r="C189" s="0" t="n">
        <v>288864.96946686</v>
      </c>
      <c r="D189" s="0" t="n">
        <v>1358517.038647</v>
      </c>
    </row>
    <row r="190" customFormat="false" ht="27" hidden="false" customHeight="true" outlineLevel="0" collapsed="false">
      <c r="A190" s="0" t="n">
        <v>488.62</v>
      </c>
      <c r="B190" s="29" t="n">
        <v>1</v>
      </c>
      <c r="C190" s="0" t="n">
        <v>288790.65623378</v>
      </c>
      <c r="D190" s="0" t="n">
        <v>1355628.7252792</v>
      </c>
    </row>
    <row r="191" customFormat="false" ht="27" hidden="false" customHeight="true" outlineLevel="0" collapsed="false">
      <c r="A191" s="0" t="n">
        <v>488.61</v>
      </c>
      <c r="B191" s="29" t="n">
        <v>1</v>
      </c>
      <c r="C191" s="0" t="n">
        <v>288716.49204944</v>
      </c>
      <c r="D191" s="0" t="n">
        <v>1352741.2664207</v>
      </c>
    </row>
    <row r="192" customFormat="false" ht="27" hidden="false" customHeight="true" outlineLevel="0" collapsed="false">
      <c r="A192" s="0" t="n">
        <v>488.6</v>
      </c>
      <c r="B192" s="29" t="n">
        <v>1</v>
      </c>
      <c r="C192" s="0" t="n">
        <v>288642.4211695</v>
      </c>
      <c r="D192" s="0" t="n">
        <v>1349854.4726447</v>
      </c>
    </row>
    <row r="193" customFormat="false" ht="27" hidden="false" customHeight="true" outlineLevel="0" collapsed="false">
      <c r="A193" s="0" t="n">
        <v>488.59</v>
      </c>
      <c r="B193" s="29" t="n">
        <v>1</v>
      </c>
      <c r="C193" s="0" t="n">
        <v>288568.41107267</v>
      </c>
      <c r="D193" s="0" t="n">
        <v>1346968.4341843</v>
      </c>
    </row>
    <row r="194" customFormat="false" ht="27" hidden="false" customHeight="true" outlineLevel="0" collapsed="false">
      <c r="A194" s="0" t="n">
        <v>488.58</v>
      </c>
      <c r="B194" s="29" t="n">
        <v>1</v>
      </c>
      <c r="C194" s="0" t="n">
        <v>288494.53020499</v>
      </c>
      <c r="D194" s="0" t="n">
        <v>1344083.1401392</v>
      </c>
    </row>
    <row r="195" customFormat="false" ht="27" hidden="false" customHeight="true" outlineLevel="0" collapsed="false">
      <c r="A195" s="0" t="n">
        <v>488.57</v>
      </c>
      <c r="B195" s="29" t="n">
        <v>1</v>
      </c>
      <c r="C195" s="0" t="n">
        <v>288420.71944385</v>
      </c>
      <c r="D195" s="0" t="n">
        <v>1341198.5610089</v>
      </c>
    </row>
    <row r="196" customFormat="false" ht="27" hidden="false" customHeight="true" outlineLevel="0" collapsed="false">
      <c r="A196" s="0" t="n">
        <v>488.56</v>
      </c>
      <c r="B196" s="29" t="n">
        <v>1</v>
      </c>
      <c r="C196" s="0" t="n">
        <v>288346.94793099</v>
      </c>
      <c r="D196" s="0" t="n">
        <v>1338314.7585372</v>
      </c>
    </row>
    <row r="197" customFormat="false" ht="27" hidden="false" customHeight="true" outlineLevel="0" collapsed="false">
      <c r="A197" s="0" t="n">
        <v>488.55</v>
      </c>
      <c r="B197" s="29" t="n">
        <v>1</v>
      </c>
      <c r="C197" s="0" t="n">
        <v>288273.22328119</v>
      </c>
      <c r="D197" s="0" t="n">
        <v>1335431.6181384</v>
      </c>
    </row>
    <row r="198" customFormat="false" ht="27" hidden="false" customHeight="true" outlineLevel="0" collapsed="false">
      <c r="A198" s="0" t="n">
        <v>488.54</v>
      </c>
      <c r="B198" s="28" t="n">
        <v>1</v>
      </c>
      <c r="C198" s="0" t="n">
        <v>288199.48631077</v>
      </c>
      <c r="D198" s="0" t="n">
        <v>1332549.2248697</v>
      </c>
    </row>
    <row r="199" customFormat="false" ht="27" hidden="false" customHeight="true" outlineLevel="0" collapsed="false">
      <c r="A199" s="0" t="n">
        <v>488.53</v>
      </c>
      <c r="B199" s="28" t="n">
        <v>1</v>
      </c>
      <c r="C199" s="0" t="n">
        <v>288125.72253006</v>
      </c>
      <c r="D199" s="0" t="n">
        <v>1329667.5174676</v>
      </c>
    </row>
    <row r="200" customFormat="false" ht="27" hidden="false" customHeight="true" outlineLevel="0" collapsed="false">
      <c r="A200" s="0" t="n">
        <v>488.52</v>
      </c>
      <c r="B200" s="28" t="n">
        <v>1</v>
      </c>
      <c r="C200" s="0" t="n">
        <v>288051.94501232</v>
      </c>
      <c r="D200" s="0" t="n">
        <v>1326786.6239291</v>
      </c>
    </row>
    <row r="201" customFormat="false" ht="27" hidden="false" customHeight="true" outlineLevel="0" collapsed="false">
      <c r="A201" s="0" t="n">
        <v>488.51</v>
      </c>
      <c r="B201" s="28" t="n">
        <v>1</v>
      </c>
      <c r="C201" s="0" t="n">
        <v>287978.23913128</v>
      </c>
      <c r="D201" s="0" t="n">
        <v>1323906.4862618</v>
      </c>
    </row>
    <row r="202" customFormat="false" ht="27" hidden="false" customHeight="true" outlineLevel="0" collapsed="false">
      <c r="A202" s="0" t="n">
        <v>488.5</v>
      </c>
      <c r="B202" s="28" t="n">
        <v>1</v>
      </c>
      <c r="C202" s="0" t="n">
        <v>287904.55626254</v>
      </c>
      <c r="D202" s="0" t="n">
        <v>1321027.0312113</v>
      </c>
    </row>
    <row r="203" customFormat="false" ht="27" hidden="false" customHeight="true" outlineLevel="0" collapsed="false">
      <c r="A203" s="0" t="n">
        <v>488.49</v>
      </c>
      <c r="B203" s="28" t="n">
        <v>1</v>
      </c>
      <c r="C203" s="0" t="n">
        <v>287830.86405806</v>
      </c>
      <c r="D203" s="0" t="n">
        <v>1318148.339866</v>
      </c>
    </row>
    <row r="204" customFormat="false" ht="27" hidden="false" customHeight="true" outlineLevel="0" collapsed="false">
      <c r="A204" s="0" t="n">
        <v>488.48</v>
      </c>
      <c r="B204" s="28" t="n">
        <v>1</v>
      </c>
      <c r="C204" s="0" t="n">
        <v>287757.17404858</v>
      </c>
      <c r="D204" s="0" t="n">
        <v>1315270.4238604</v>
      </c>
    </row>
    <row r="205" customFormat="false" ht="27" hidden="false" customHeight="true" outlineLevel="0" collapsed="false">
      <c r="A205" s="0" t="n">
        <v>488.47</v>
      </c>
      <c r="B205" s="28" t="n">
        <v>1</v>
      </c>
      <c r="C205" s="0" t="n">
        <v>287683.45844586</v>
      </c>
      <c r="D205" s="0" t="n">
        <v>1312393.2419617</v>
      </c>
    </row>
    <row r="206" customFormat="false" ht="27" hidden="false" customHeight="true" outlineLevel="0" collapsed="false">
      <c r="A206" s="0" t="n">
        <v>488.46</v>
      </c>
      <c r="B206" s="28" t="n">
        <v>1</v>
      </c>
      <c r="C206" s="0" t="n">
        <v>287609.7106869</v>
      </c>
      <c r="D206" s="0" t="n">
        <v>1309516.809464</v>
      </c>
    </row>
    <row r="207" customFormat="false" ht="27" hidden="false" customHeight="true" outlineLevel="0" collapsed="false">
      <c r="A207" s="0" t="n">
        <v>488.45</v>
      </c>
      <c r="B207" s="28" t="n">
        <v>1</v>
      </c>
      <c r="C207" s="0" t="n">
        <v>287535.99554177</v>
      </c>
      <c r="D207" s="0" t="n">
        <v>1306641.1109467</v>
      </c>
    </row>
    <row r="208" customFormat="false" ht="27" hidden="false" customHeight="true" outlineLevel="0" collapsed="false">
      <c r="A208" s="0" t="n">
        <v>488.44</v>
      </c>
      <c r="B208" s="28" t="n">
        <v>1</v>
      </c>
      <c r="C208" s="0" t="n">
        <v>287462.26540637</v>
      </c>
      <c r="D208" s="0" t="n">
        <v>1303766.0916421</v>
      </c>
    </row>
    <row r="209" customFormat="false" ht="27" hidden="false" customHeight="true" outlineLevel="0" collapsed="false">
      <c r="A209" s="0" t="n">
        <v>488.43</v>
      </c>
      <c r="B209" s="28" t="n">
        <v>1</v>
      </c>
      <c r="C209" s="0" t="n">
        <v>287388.57911332</v>
      </c>
      <c r="D209" s="0" t="n">
        <v>1300891.8656056</v>
      </c>
    </row>
    <row r="210" customFormat="false" ht="27" hidden="false" customHeight="true" outlineLevel="0" collapsed="false">
      <c r="A210" s="0" t="n">
        <v>488.42</v>
      </c>
      <c r="B210" s="28" t="n">
        <v>1</v>
      </c>
      <c r="C210" s="0" t="n">
        <v>287314.93462473</v>
      </c>
      <c r="D210" s="0" t="n">
        <v>1298018.3973408</v>
      </c>
    </row>
    <row r="211" customFormat="false" ht="27" hidden="false" customHeight="true" outlineLevel="0" collapsed="false">
      <c r="A211" s="0" t="n">
        <v>488.41</v>
      </c>
      <c r="B211" s="28" t="n">
        <v>1</v>
      </c>
      <c r="C211" s="0" t="n">
        <v>287241.32668643</v>
      </c>
      <c r="D211" s="0" t="n">
        <v>1295145.6276492</v>
      </c>
    </row>
    <row r="212" customFormat="false" ht="27" hidden="false" customHeight="true" outlineLevel="0" collapsed="false">
      <c r="A212" s="0" t="n">
        <v>488.4</v>
      </c>
      <c r="B212" s="28" t="n">
        <v>1</v>
      </c>
      <c r="C212" s="0" t="n">
        <v>287167.67560693</v>
      </c>
      <c r="D212" s="0" t="n">
        <v>1292273.5687561</v>
      </c>
    </row>
    <row r="213" customFormat="false" ht="27" hidden="false" customHeight="true" outlineLevel="0" collapsed="false">
      <c r="A213" s="0" t="n">
        <v>488.39</v>
      </c>
      <c r="B213" s="28" t="n">
        <v>1</v>
      </c>
      <c r="C213" s="0" t="n">
        <v>287093.57679141</v>
      </c>
      <c r="D213" s="0" t="n">
        <v>1289402.2576915</v>
      </c>
    </row>
    <row r="214" customFormat="false" ht="27" hidden="false" customHeight="true" outlineLevel="0" collapsed="false">
      <c r="A214" s="0" t="n">
        <v>488.38</v>
      </c>
      <c r="B214" s="28" t="n">
        <v>1</v>
      </c>
      <c r="C214" s="0" t="n">
        <v>287020.05793831</v>
      </c>
      <c r="D214" s="0" t="n">
        <v>1286531.7077254</v>
      </c>
    </row>
    <row r="215" customFormat="false" ht="27" hidden="false" customHeight="true" outlineLevel="0" collapsed="false">
      <c r="A215" s="0" t="n">
        <v>488.37</v>
      </c>
      <c r="B215" s="28" t="n">
        <v>1</v>
      </c>
      <c r="C215" s="0" t="n">
        <v>286946.62747896</v>
      </c>
      <c r="D215" s="0" t="n">
        <v>1283661.8768048</v>
      </c>
    </row>
    <row r="216" customFormat="false" ht="27" hidden="false" customHeight="true" outlineLevel="0" collapsed="false">
      <c r="A216" s="0" t="n">
        <v>488.36</v>
      </c>
      <c r="B216" s="28" t="n">
        <v>1</v>
      </c>
      <c r="C216" s="0" t="n">
        <v>286873.17889566</v>
      </c>
      <c r="D216" s="0" t="n">
        <v>1280792.7929993</v>
      </c>
    </row>
    <row r="217" customFormat="false" ht="27" hidden="false" customHeight="true" outlineLevel="0" collapsed="false">
      <c r="A217" s="0" t="n">
        <v>488.35</v>
      </c>
      <c r="B217" s="28" t="n">
        <v>1</v>
      </c>
      <c r="C217" s="0" t="n">
        <v>286799.69033225</v>
      </c>
      <c r="D217" s="0" t="n">
        <v>1277924.4814024</v>
      </c>
    </row>
    <row r="218" customFormat="false" ht="27" hidden="false" customHeight="true" outlineLevel="0" collapsed="false">
      <c r="A218" s="0" t="n">
        <v>488.34</v>
      </c>
      <c r="B218" s="28" t="n">
        <v>1</v>
      </c>
      <c r="C218" s="0" t="n">
        <v>286726.19515601</v>
      </c>
      <c r="D218" s="0" t="n">
        <v>1275056.8270583</v>
      </c>
    </row>
    <row r="219" customFormat="false" ht="27" hidden="false" customHeight="true" outlineLevel="0" collapsed="false">
      <c r="A219" s="0" t="n">
        <v>488.33</v>
      </c>
      <c r="B219" s="28" t="n">
        <v>1</v>
      </c>
      <c r="C219" s="0" t="n">
        <v>286652.69483421</v>
      </c>
      <c r="D219" s="0" t="n">
        <v>1272189.9929577</v>
      </c>
    </row>
    <row r="220" customFormat="false" ht="27" hidden="false" customHeight="true" outlineLevel="0" collapsed="false">
      <c r="A220" s="0" t="n">
        <v>488.32</v>
      </c>
      <c r="B220" s="28" t="n">
        <v>1</v>
      </c>
      <c r="C220" s="0" t="n">
        <v>286579.22636461</v>
      </c>
      <c r="D220" s="0" t="n">
        <v>1269323.884438</v>
      </c>
    </row>
    <row r="221" customFormat="false" ht="27" hidden="false" customHeight="true" outlineLevel="0" collapsed="false">
      <c r="A221" s="0" t="n">
        <v>488.31</v>
      </c>
      <c r="B221" s="28" t="n">
        <v>1</v>
      </c>
      <c r="C221" s="0" t="n">
        <v>286505.73053673</v>
      </c>
      <c r="D221" s="0" t="n">
        <v>1266458.5017737</v>
      </c>
    </row>
    <row r="222" customFormat="false" ht="27" hidden="false" customHeight="true" outlineLevel="0" collapsed="false">
      <c r="A222" s="0" t="n">
        <v>488.3</v>
      </c>
      <c r="B222" s="28" t="n">
        <v>1</v>
      </c>
      <c r="C222" s="0" t="n">
        <v>286432.19649884</v>
      </c>
      <c r="D222" s="0" t="n">
        <v>1263593.7947883</v>
      </c>
    </row>
    <row r="223" customFormat="false" ht="27" hidden="false" customHeight="true" outlineLevel="0" collapsed="false">
      <c r="A223" s="0" t="n">
        <v>488.29</v>
      </c>
      <c r="B223" s="28" t="n">
        <v>1</v>
      </c>
      <c r="C223" s="0" t="n">
        <v>286358.65906681</v>
      </c>
      <c r="D223" s="0" t="n">
        <v>1260729.8334769</v>
      </c>
    </row>
    <row r="224" customFormat="false" ht="27" hidden="false" customHeight="true" outlineLevel="0" collapsed="false">
      <c r="A224" s="0" t="n">
        <v>488.28</v>
      </c>
      <c r="B224" s="28" t="n">
        <v>1</v>
      </c>
      <c r="C224" s="0" t="n">
        <v>286285.10943089</v>
      </c>
      <c r="D224" s="0" t="n">
        <v>1257866.6622628</v>
      </c>
    </row>
    <row r="225" customFormat="false" ht="27" hidden="false" customHeight="true" outlineLevel="0" collapsed="false">
      <c r="A225" s="0" t="n">
        <v>488.27</v>
      </c>
      <c r="B225" s="29" t="n">
        <v>1</v>
      </c>
      <c r="C225" s="0" t="n">
        <v>286211.53946767</v>
      </c>
      <c r="D225" s="0" t="n">
        <v>1255004.1894374</v>
      </c>
    </row>
    <row r="226" customFormat="false" ht="27" hidden="false" customHeight="true" outlineLevel="0" collapsed="false">
      <c r="A226" s="0" t="n">
        <v>488.26</v>
      </c>
      <c r="B226" s="29" t="n">
        <v>1</v>
      </c>
      <c r="C226" s="0" t="n">
        <v>286137.91690328</v>
      </c>
      <c r="D226" s="0" t="n">
        <v>1252142.4398658</v>
      </c>
    </row>
    <row r="227" customFormat="false" ht="27" hidden="false" customHeight="true" outlineLevel="0" collapsed="false">
      <c r="A227" s="0" t="n">
        <v>488.25</v>
      </c>
      <c r="B227" s="29" t="n">
        <v>1</v>
      </c>
      <c r="C227" s="0" t="n">
        <v>286064.28357239</v>
      </c>
      <c r="D227" s="0" t="n">
        <v>1249281.492802</v>
      </c>
    </row>
    <row r="228" customFormat="false" ht="27" hidden="false" customHeight="true" outlineLevel="0" collapsed="false">
      <c r="A228" s="0" t="n">
        <v>488.24</v>
      </c>
      <c r="B228" s="29" t="n">
        <v>1</v>
      </c>
      <c r="C228" s="0" t="n">
        <v>285990.62279611</v>
      </c>
      <c r="D228" s="0" t="n">
        <v>1246421.226797</v>
      </c>
    </row>
    <row r="229" customFormat="false" ht="27" hidden="false" customHeight="true" outlineLevel="0" collapsed="false">
      <c r="A229" s="0" t="n">
        <v>488.23</v>
      </c>
      <c r="B229" s="29" t="n">
        <v>1</v>
      </c>
      <c r="C229" s="0" t="n">
        <v>285916.94988703</v>
      </c>
      <c r="D229" s="0" t="n">
        <v>1243561.7561632</v>
      </c>
    </row>
    <row r="230" customFormat="false" ht="27" hidden="false" customHeight="true" outlineLevel="0" collapsed="false">
      <c r="A230" s="0" t="n">
        <v>488.22</v>
      </c>
      <c r="B230" s="29" t="n">
        <v>1</v>
      </c>
      <c r="C230" s="0" t="n">
        <v>285843.24276401</v>
      </c>
      <c r="D230" s="0" t="n">
        <v>1240702.9354506</v>
      </c>
    </row>
    <row r="231" customFormat="false" ht="27" hidden="false" customHeight="true" outlineLevel="0" collapsed="false">
      <c r="A231" s="0" t="n">
        <v>488.21</v>
      </c>
      <c r="B231" s="29" t="n">
        <v>1</v>
      </c>
      <c r="C231" s="0" t="n">
        <v>285769.3985177</v>
      </c>
      <c r="D231" s="0" t="n">
        <v>1237844.9247253</v>
      </c>
    </row>
    <row r="232" customFormat="false" ht="27" hidden="false" customHeight="true" outlineLevel="0" collapsed="false">
      <c r="A232" s="0" t="n">
        <v>488.2</v>
      </c>
      <c r="B232" s="29" t="n">
        <v>1</v>
      </c>
      <c r="C232" s="0" t="n">
        <v>285695.12168083</v>
      </c>
      <c r="D232" s="0" t="n">
        <v>1234987.6051075</v>
      </c>
    </row>
    <row r="233" customFormat="false" ht="27" hidden="false" customHeight="true" outlineLevel="0" collapsed="false">
      <c r="A233" s="0" t="n">
        <v>488.19</v>
      </c>
      <c r="B233" s="29" t="n">
        <v>1</v>
      </c>
      <c r="C233" s="0" t="n">
        <v>285620.51532037</v>
      </c>
      <c r="D233" s="0" t="n">
        <v>1232130.9755797</v>
      </c>
    </row>
    <row r="234" customFormat="false" ht="27" hidden="false" customHeight="true" outlineLevel="0" collapsed="false">
      <c r="A234" s="0" t="n">
        <v>488.18</v>
      </c>
      <c r="B234" s="28" t="n">
        <v>1</v>
      </c>
      <c r="C234" s="0" t="n">
        <v>285545.98593812</v>
      </c>
      <c r="D234" s="0" t="n">
        <v>1229275.2022775</v>
      </c>
    </row>
    <row r="235" customFormat="false" ht="27" hidden="false" customHeight="true" outlineLevel="0" collapsed="false">
      <c r="A235" s="0" t="n">
        <v>488.17</v>
      </c>
      <c r="B235" s="28" t="n">
        <v>1</v>
      </c>
      <c r="C235" s="0" t="n">
        <v>285471.22160124</v>
      </c>
      <c r="D235" s="0" t="n">
        <v>1226420.1259185</v>
      </c>
    </row>
    <row r="236" customFormat="false" ht="27" hidden="false" customHeight="true" outlineLevel="0" collapsed="false">
      <c r="A236" s="0" t="n">
        <v>488.16</v>
      </c>
      <c r="B236" s="28" t="n">
        <v>1</v>
      </c>
      <c r="C236" s="0" t="n">
        <v>285396.33741178</v>
      </c>
      <c r="D236" s="0" t="n">
        <v>1223565.809459</v>
      </c>
    </row>
    <row r="237" customFormat="false" ht="27" hidden="false" customHeight="true" outlineLevel="0" collapsed="false">
      <c r="A237" s="0" t="n">
        <v>488.15</v>
      </c>
      <c r="B237" s="28" t="n">
        <v>1</v>
      </c>
      <c r="C237" s="0" t="n">
        <v>285321.30360704</v>
      </c>
      <c r="D237" s="0" t="n">
        <v>1220712.271714</v>
      </c>
    </row>
    <row r="238" customFormat="false" ht="27" hidden="false" customHeight="true" outlineLevel="0" collapsed="false">
      <c r="A238" s="0" t="n">
        <v>488.14</v>
      </c>
      <c r="B238" s="28" t="n">
        <v>1</v>
      </c>
      <c r="C238" s="0" t="n">
        <v>285246.06360085</v>
      </c>
      <c r="D238" s="0" t="n">
        <v>1217859.4908138</v>
      </c>
    </row>
    <row r="239" customFormat="false" ht="27" hidden="false" customHeight="true" outlineLevel="0" collapsed="false">
      <c r="A239" s="0" t="n">
        <v>488.13</v>
      </c>
      <c r="B239" s="28" t="n">
        <v>1</v>
      </c>
      <c r="C239" s="0" t="n">
        <v>285170.67810988</v>
      </c>
      <c r="D239" s="0" t="n">
        <v>1215007.4152285</v>
      </c>
    </row>
    <row r="240" customFormat="false" ht="27" hidden="false" customHeight="true" outlineLevel="0" collapsed="false">
      <c r="A240" s="0" t="n">
        <v>488.12</v>
      </c>
      <c r="B240" s="28" t="n">
        <v>1</v>
      </c>
      <c r="C240" s="0" t="n">
        <v>285095.12718348</v>
      </c>
      <c r="D240" s="0" t="n">
        <v>1212156.1084126</v>
      </c>
    </row>
    <row r="241" customFormat="false" ht="27" hidden="false" customHeight="true" outlineLevel="0" collapsed="false">
      <c r="A241" s="0" t="n">
        <v>488.11</v>
      </c>
      <c r="B241" s="28" t="n">
        <v>1</v>
      </c>
      <c r="C241" s="0" t="n">
        <v>285019.42912216</v>
      </c>
      <c r="D241" s="0" t="n">
        <v>1209305.6026243</v>
      </c>
    </row>
    <row r="242" customFormat="false" ht="27" hidden="false" customHeight="true" outlineLevel="0" collapsed="false">
      <c r="A242" s="0" t="n">
        <v>488.1</v>
      </c>
      <c r="B242" s="28" t="n">
        <v>1</v>
      </c>
      <c r="C242" s="0" t="n">
        <v>284943.58593494</v>
      </c>
      <c r="D242" s="0" t="n">
        <v>1206455.7766028</v>
      </c>
    </row>
    <row r="243" customFormat="false" ht="27" hidden="false" customHeight="true" outlineLevel="0" collapsed="false">
      <c r="A243" s="0" t="n">
        <v>488.09</v>
      </c>
      <c r="B243" s="28" t="n">
        <v>1</v>
      </c>
      <c r="C243" s="0" t="n">
        <v>284867.56256565</v>
      </c>
      <c r="D243" s="0" t="n">
        <v>1203606.7585447</v>
      </c>
    </row>
    <row r="244" customFormat="false" ht="27" hidden="false" customHeight="true" outlineLevel="0" collapsed="false">
      <c r="A244" s="0" t="n">
        <v>488.08</v>
      </c>
      <c r="B244" s="28" t="n">
        <v>1</v>
      </c>
      <c r="C244" s="0" t="n">
        <v>284791.35073667</v>
      </c>
      <c r="D244" s="0" t="n">
        <v>1200758.448846</v>
      </c>
    </row>
    <row r="245" customFormat="false" ht="27" hidden="false" customHeight="true" outlineLevel="0" collapsed="false">
      <c r="A245" s="0" t="n">
        <v>488.07</v>
      </c>
      <c r="B245" s="28" t="n">
        <v>1</v>
      </c>
      <c r="C245" s="0" t="n">
        <v>284714.95540404</v>
      </c>
      <c r="D245" s="0" t="n">
        <v>1197910.9776409</v>
      </c>
    </row>
    <row r="246" customFormat="false" ht="27" hidden="false" customHeight="true" outlineLevel="0" collapsed="false">
      <c r="A246" s="0" t="n">
        <v>488.06</v>
      </c>
      <c r="B246" s="28" t="n">
        <v>1</v>
      </c>
      <c r="C246" s="0" t="n">
        <v>284638.35864121</v>
      </c>
      <c r="D246" s="0" t="n">
        <v>1195064.256667</v>
      </c>
    </row>
    <row r="247" customFormat="false" ht="27" hidden="false" customHeight="true" outlineLevel="0" collapsed="false">
      <c r="A247" s="0" t="n">
        <v>488.05</v>
      </c>
      <c r="B247" s="28" t="n">
        <v>1</v>
      </c>
      <c r="C247" s="0" t="n">
        <v>284561.50293566</v>
      </c>
      <c r="D247" s="0" t="n">
        <v>1192218.2930639</v>
      </c>
    </row>
    <row r="248" customFormat="false" ht="27" hidden="false" customHeight="true" outlineLevel="0" collapsed="false">
      <c r="A248" s="0" t="n">
        <v>488.04</v>
      </c>
      <c r="B248" s="28" t="n">
        <v>1</v>
      </c>
      <c r="C248" s="0" t="n">
        <v>284484.4042323</v>
      </c>
      <c r="D248" s="0" t="n">
        <v>1189373.1169256</v>
      </c>
    </row>
    <row r="249" customFormat="false" ht="27" hidden="false" customHeight="true" outlineLevel="0" collapsed="false">
      <c r="A249" s="0" t="n">
        <v>488.03</v>
      </c>
      <c r="B249" s="28" t="n">
        <v>1</v>
      </c>
      <c r="C249" s="0" t="n">
        <v>284406.99369313</v>
      </c>
      <c r="D249" s="0" t="n">
        <v>1186528.7602684</v>
      </c>
    </row>
    <row r="250" customFormat="false" ht="27" hidden="false" customHeight="true" outlineLevel="0" collapsed="false">
      <c r="A250" s="0" t="n">
        <v>488.02</v>
      </c>
      <c r="B250" s="28" t="n">
        <v>1</v>
      </c>
      <c r="C250" s="0" t="n">
        <v>284329.14208786</v>
      </c>
      <c r="D250" s="0" t="n">
        <v>1183685.132906</v>
      </c>
    </row>
    <row r="251" customFormat="false" ht="27" hidden="false" customHeight="true" outlineLevel="0" collapsed="false">
      <c r="A251" s="0" t="n">
        <v>488.01</v>
      </c>
      <c r="B251" s="28" t="n">
        <v>1</v>
      </c>
      <c r="C251" s="0" t="n">
        <v>284250.51517619</v>
      </c>
      <c r="D251" s="0" t="n">
        <v>1180842.294821</v>
      </c>
    </row>
    <row r="252" customFormat="false" ht="27" hidden="false" customHeight="true" outlineLevel="0" collapsed="false">
      <c r="A252" s="0" t="n">
        <v>488</v>
      </c>
      <c r="B252" s="28" t="n">
        <v>1</v>
      </c>
      <c r="C252" s="0" t="n">
        <v>284166.87304389</v>
      </c>
      <c r="D252" s="0" t="n">
        <v>1178000.2126779</v>
      </c>
    </row>
    <row r="253" customFormat="false" ht="27" hidden="false" customHeight="true" outlineLevel="0" collapsed="false">
      <c r="A253" s="0" t="n">
        <v>487.99</v>
      </c>
      <c r="B253" s="28" t="n">
        <v>1</v>
      </c>
      <c r="C253" s="0" t="n">
        <v>284054.6801257</v>
      </c>
      <c r="D253" s="0" t="n">
        <v>1175159.2721641</v>
      </c>
    </row>
    <row r="254" customFormat="false" ht="27" hidden="false" customHeight="true" outlineLevel="0" collapsed="false">
      <c r="A254" s="0" t="n">
        <v>487.98</v>
      </c>
      <c r="B254" s="28" t="n">
        <v>1</v>
      </c>
      <c r="C254" s="0" t="n">
        <v>283974.51429756</v>
      </c>
      <c r="D254" s="0" t="n">
        <v>1172319.1797687</v>
      </c>
    </row>
    <row r="255" customFormat="false" ht="27" hidden="false" customHeight="true" outlineLevel="0" collapsed="false">
      <c r="A255" s="0" t="n">
        <v>487.97</v>
      </c>
      <c r="B255" s="28" t="n">
        <v>1</v>
      </c>
      <c r="C255" s="0" t="n">
        <v>283894.57149218</v>
      </c>
      <c r="D255" s="0" t="n">
        <v>1169479.8090294</v>
      </c>
    </row>
    <row r="256" customFormat="false" ht="27" hidden="false" customHeight="true" outlineLevel="0" collapsed="false">
      <c r="A256" s="0" t="n">
        <v>487.96</v>
      </c>
      <c r="B256" s="28" t="n">
        <v>1</v>
      </c>
      <c r="C256" s="0" t="n">
        <v>283814.62714279</v>
      </c>
      <c r="D256" s="0" t="n">
        <v>1166641.2531513</v>
      </c>
    </row>
    <row r="257" customFormat="false" ht="27" hidden="false" customHeight="true" outlineLevel="0" collapsed="false">
      <c r="A257" s="0" t="n">
        <v>487.95</v>
      </c>
      <c r="B257" s="28" t="n">
        <v>1</v>
      </c>
      <c r="C257" s="0" t="n">
        <v>283734.64744922</v>
      </c>
      <c r="D257" s="0" t="n">
        <v>1163803.4734427</v>
      </c>
    </row>
    <row r="258" customFormat="false" ht="27" hidden="false" customHeight="true" outlineLevel="0" collapsed="false">
      <c r="A258" s="0" t="n">
        <v>487.94</v>
      </c>
      <c r="B258" s="28" t="n">
        <v>1</v>
      </c>
      <c r="C258" s="0" t="n">
        <v>283654.60187453</v>
      </c>
      <c r="D258" s="0" t="n">
        <v>1160966.5046478</v>
      </c>
    </row>
    <row r="259" customFormat="false" ht="27" hidden="false" customHeight="true" outlineLevel="0" collapsed="false">
      <c r="A259" s="0" t="n">
        <v>487.93</v>
      </c>
      <c r="B259" s="28" t="n">
        <v>1</v>
      </c>
      <c r="C259" s="0" t="n">
        <v>283574.52701316</v>
      </c>
      <c r="D259" s="0" t="n">
        <v>1158130.4347302</v>
      </c>
    </row>
    <row r="260" customFormat="false" ht="27" hidden="false" customHeight="true" outlineLevel="0" collapsed="false">
      <c r="A260" s="0" t="n">
        <v>487.92</v>
      </c>
      <c r="B260" s="28" t="n">
        <v>1</v>
      </c>
      <c r="C260" s="0" t="n">
        <v>283494.43609172</v>
      </c>
      <c r="D260" s="0" t="n">
        <v>1155295.1114673</v>
      </c>
    </row>
    <row r="261" customFormat="false" ht="27" hidden="false" customHeight="true" outlineLevel="0" collapsed="false">
      <c r="A261" s="0" t="n">
        <v>487.91</v>
      </c>
      <c r="B261" s="29" t="n">
        <v>1</v>
      </c>
      <c r="C261" s="0" t="n">
        <v>283414.34544935</v>
      </c>
      <c r="D261" s="0" t="n">
        <v>1152460.5816635</v>
      </c>
    </row>
    <row r="262" customFormat="false" ht="27" hidden="false" customHeight="true" outlineLevel="0" collapsed="false">
      <c r="A262" s="0" t="n">
        <v>487.9</v>
      </c>
      <c r="B262" s="29" t="n">
        <v>1</v>
      </c>
      <c r="C262" s="0" t="n">
        <v>283334.1830403</v>
      </c>
      <c r="D262" s="0" t="n">
        <v>1149626.9079951</v>
      </c>
    </row>
    <row r="263" customFormat="false" ht="27" hidden="false" customHeight="true" outlineLevel="0" collapsed="false">
      <c r="A263" s="0" t="n">
        <v>487.89</v>
      </c>
      <c r="B263" s="29" t="n">
        <v>1</v>
      </c>
      <c r="C263" s="0" t="n">
        <v>283254.03528894</v>
      </c>
      <c r="D263" s="0" t="n">
        <v>1146794.0362833</v>
      </c>
    </row>
    <row r="264" customFormat="false" ht="27" hidden="false" customHeight="true" outlineLevel="0" collapsed="false">
      <c r="A264" s="0" t="n">
        <v>487.88</v>
      </c>
      <c r="B264" s="29" t="n">
        <v>1</v>
      </c>
      <c r="C264" s="0" t="n">
        <v>283173.84580159</v>
      </c>
      <c r="D264" s="0" t="n">
        <v>1143961.9491158</v>
      </c>
    </row>
    <row r="265" customFormat="false" ht="27" hidden="false" customHeight="true" outlineLevel="0" collapsed="false">
      <c r="A265" s="0" t="n">
        <v>487.87</v>
      </c>
      <c r="B265" s="29" t="n">
        <v>1</v>
      </c>
      <c r="C265" s="0" t="n">
        <v>283093.57159222</v>
      </c>
      <c r="D265" s="0" t="n">
        <v>1141130.632228</v>
      </c>
    </row>
    <row r="266" customFormat="false" ht="27" hidden="false" customHeight="true" outlineLevel="0" collapsed="false">
      <c r="A266" s="0" t="n">
        <v>487.86</v>
      </c>
      <c r="B266" s="29" t="n">
        <v>1</v>
      </c>
      <c r="C266" s="0" t="n">
        <v>283013.20280717</v>
      </c>
      <c r="D266" s="0" t="n">
        <v>1138300.1160035</v>
      </c>
    </row>
    <row r="267" customFormat="false" ht="27" hidden="false" customHeight="true" outlineLevel="0" collapsed="false">
      <c r="A267" s="0" t="n">
        <v>487.85</v>
      </c>
      <c r="B267" s="29" t="n">
        <v>1</v>
      </c>
      <c r="C267" s="0" t="n">
        <v>282932.67745358</v>
      </c>
      <c r="D267" s="0" t="n">
        <v>1135470.3793102</v>
      </c>
    </row>
    <row r="268" customFormat="false" ht="27" hidden="false" customHeight="true" outlineLevel="0" collapsed="false">
      <c r="A268" s="0" t="n">
        <v>487.84</v>
      </c>
      <c r="B268" s="29" t="n">
        <v>1</v>
      </c>
      <c r="C268" s="0" t="n">
        <v>282851.99464939</v>
      </c>
      <c r="D268" s="0" t="n">
        <v>1132641.507246</v>
      </c>
    </row>
    <row r="269" customFormat="false" ht="27" hidden="false" customHeight="true" outlineLevel="0" collapsed="false">
      <c r="A269" s="0" t="n">
        <v>487.83</v>
      </c>
      <c r="B269" s="29" t="n">
        <v>1</v>
      </c>
      <c r="C269" s="0" t="n">
        <v>282771.03951031</v>
      </c>
      <c r="D269" s="0" t="n">
        <v>1129813.4074404</v>
      </c>
    </row>
    <row r="270" customFormat="false" ht="27" hidden="false" customHeight="true" outlineLevel="0" collapsed="false">
      <c r="A270" s="0" t="n">
        <v>487.82</v>
      </c>
      <c r="B270" s="28" t="n">
        <v>1</v>
      </c>
      <c r="C270" s="0" t="n">
        <v>282689.62293736</v>
      </c>
      <c r="D270" s="0" t="n">
        <v>1126986.1940125</v>
      </c>
    </row>
    <row r="271" customFormat="false" ht="27" hidden="false" customHeight="true" outlineLevel="0" collapsed="false">
      <c r="A271" s="0" t="n">
        <v>487.81</v>
      </c>
      <c r="B271" s="28" t="n">
        <v>1</v>
      </c>
      <c r="C271" s="0" t="n">
        <v>282607.34170933</v>
      </c>
      <c r="D271" s="0" t="n">
        <v>1124159.8143987</v>
      </c>
    </row>
    <row r="272" customFormat="false" ht="27" hidden="false" customHeight="true" outlineLevel="0" collapsed="false">
      <c r="A272" s="0" t="n">
        <v>487.8</v>
      </c>
      <c r="B272" s="28" t="n">
        <v>1</v>
      </c>
      <c r="C272" s="0" t="n">
        <v>282520.31457021</v>
      </c>
      <c r="D272" s="0" t="n">
        <v>1121334.199381</v>
      </c>
    </row>
    <row r="273" customFormat="false" ht="27" hidden="false" customHeight="true" outlineLevel="0" collapsed="false">
      <c r="A273" s="0" t="n">
        <v>487.79</v>
      </c>
      <c r="B273" s="28" t="n">
        <v>1</v>
      </c>
      <c r="C273" s="0" t="n">
        <v>282400.30131193</v>
      </c>
      <c r="D273" s="0" t="n">
        <v>1118509.816967</v>
      </c>
    </row>
    <row r="274" customFormat="false" ht="27" hidden="false" customHeight="true" outlineLevel="0" collapsed="false">
      <c r="A274" s="0" t="n">
        <v>487.78</v>
      </c>
      <c r="B274" s="28" t="n">
        <v>1</v>
      </c>
      <c r="C274" s="0" t="n">
        <v>282312.43422356</v>
      </c>
      <c r="D274" s="0" t="n">
        <v>1115686.2229255</v>
      </c>
    </row>
    <row r="275" customFormat="false" ht="27" hidden="false" customHeight="true" outlineLevel="0" collapsed="false">
      <c r="A275" s="0" t="n">
        <v>487.77</v>
      </c>
      <c r="B275" s="28" t="n">
        <v>1</v>
      </c>
      <c r="C275" s="0" t="n">
        <v>282223.3713968</v>
      </c>
      <c r="D275" s="0" t="n">
        <v>1112863.547647</v>
      </c>
    </row>
    <row r="276" customFormat="false" ht="27" hidden="false" customHeight="true" outlineLevel="0" collapsed="false">
      <c r="A276" s="0" t="n">
        <v>487.76</v>
      </c>
      <c r="B276" s="28" t="n">
        <v>1</v>
      </c>
      <c r="C276" s="0" t="n">
        <v>282133.34050083</v>
      </c>
      <c r="D276" s="0" t="n">
        <v>1110041.7677566</v>
      </c>
    </row>
    <row r="277" customFormat="false" ht="27" hidden="false" customHeight="true" outlineLevel="0" collapsed="false">
      <c r="A277" s="0" t="n">
        <v>487.75</v>
      </c>
      <c r="B277" s="28" t="n">
        <v>1</v>
      </c>
      <c r="C277" s="0" t="n">
        <v>282042.57772351</v>
      </c>
      <c r="D277" s="0" t="n">
        <v>1107220.9348009</v>
      </c>
    </row>
    <row r="278" customFormat="false" ht="27" hidden="false" customHeight="true" outlineLevel="0" collapsed="false">
      <c r="A278" s="0" t="n">
        <v>487.74</v>
      </c>
      <c r="B278" s="28" t="n">
        <v>1</v>
      </c>
      <c r="C278" s="0" t="n">
        <v>281951.14972117</v>
      </c>
      <c r="D278" s="0" t="n">
        <v>1104401.0212795</v>
      </c>
    </row>
    <row r="279" customFormat="false" ht="27" hidden="false" customHeight="true" outlineLevel="0" collapsed="false">
      <c r="A279" s="0" t="n">
        <v>487.73</v>
      </c>
      <c r="B279" s="28" t="n">
        <v>1</v>
      </c>
      <c r="C279" s="0" t="n">
        <v>281859.10135078</v>
      </c>
      <c r="D279" s="0" t="n">
        <v>1101582.0139151</v>
      </c>
    </row>
    <row r="280" customFormat="false" ht="27" hidden="false" customHeight="true" outlineLevel="0" collapsed="false">
      <c r="A280" s="0" t="n">
        <v>487.72</v>
      </c>
      <c r="B280" s="28" t="n">
        <v>1</v>
      </c>
      <c r="C280" s="0" t="n">
        <v>281766.55144019</v>
      </c>
      <c r="D280" s="0" t="n">
        <v>1098763.9447391</v>
      </c>
    </row>
    <row r="281" customFormat="false" ht="27" hidden="false" customHeight="true" outlineLevel="0" collapsed="false">
      <c r="A281" s="0" t="n">
        <v>487.71</v>
      </c>
      <c r="B281" s="28" t="n">
        <v>1</v>
      </c>
      <c r="C281" s="0" t="n">
        <v>281673.45327373</v>
      </c>
      <c r="D281" s="0" t="n">
        <v>1095946.7679538</v>
      </c>
    </row>
    <row r="282" customFormat="false" ht="27" hidden="false" customHeight="true" outlineLevel="0" collapsed="false">
      <c r="A282" s="0" t="n">
        <v>487.7</v>
      </c>
      <c r="B282" s="28" t="n">
        <v>1</v>
      </c>
      <c r="C282" s="0" t="n">
        <v>281579.88056522</v>
      </c>
      <c r="D282" s="0" t="n">
        <v>1093130.5326224</v>
      </c>
    </row>
    <row r="283" customFormat="false" ht="27" hidden="false" customHeight="true" outlineLevel="0" collapsed="false">
      <c r="A283" s="0" t="n">
        <v>487.69</v>
      </c>
      <c r="B283" s="28" t="n">
        <v>1</v>
      </c>
      <c r="C283" s="0" t="n">
        <v>281485.85159922</v>
      </c>
      <c r="D283" s="0" t="n">
        <v>1090315.2170992</v>
      </c>
    </row>
    <row r="284" customFormat="false" ht="27" hidden="false" customHeight="true" outlineLevel="0" collapsed="false">
      <c r="A284" s="0" t="n">
        <v>487.68</v>
      </c>
      <c r="B284" s="28" t="n">
        <v>1</v>
      </c>
      <c r="C284" s="0" t="n">
        <v>281391.36635134</v>
      </c>
      <c r="D284" s="0" t="n">
        <v>1087500.8644961</v>
      </c>
    </row>
    <row r="285" customFormat="false" ht="27" hidden="false" customHeight="true" outlineLevel="0" collapsed="false">
      <c r="A285" s="0" t="n">
        <v>487.67</v>
      </c>
      <c r="B285" s="28" t="n">
        <v>1</v>
      </c>
      <c r="C285" s="0" t="n">
        <v>281296.32054062</v>
      </c>
      <c r="D285" s="0" t="n">
        <v>1084687.4314516</v>
      </c>
    </row>
    <row r="286" customFormat="false" ht="27" hidden="false" customHeight="true" outlineLevel="0" collapsed="false">
      <c r="A286" s="0" t="n">
        <v>487.66</v>
      </c>
      <c r="B286" s="28" t="n">
        <v>1</v>
      </c>
      <c r="C286" s="0" t="n">
        <v>281200.72972792</v>
      </c>
      <c r="D286" s="0" t="n">
        <v>1081874.9718017</v>
      </c>
    </row>
    <row r="287" customFormat="false" ht="27" hidden="false" customHeight="true" outlineLevel="0" collapsed="false">
      <c r="A287" s="0" t="n">
        <v>487.65</v>
      </c>
      <c r="B287" s="28" t="n">
        <v>1</v>
      </c>
      <c r="C287" s="0" t="n">
        <v>281104.51781934</v>
      </c>
      <c r="D287" s="0" t="n">
        <v>1079063.4864381</v>
      </c>
    </row>
    <row r="288" customFormat="false" ht="27" hidden="false" customHeight="true" outlineLevel="0" collapsed="false">
      <c r="A288" s="0" t="n">
        <v>487.64</v>
      </c>
      <c r="B288" s="28" t="n">
        <v>1</v>
      </c>
      <c r="C288" s="0" t="n">
        <v>281007.58030819</v>
      </c>
      <c r="D288" s="0" t="n">
        <v>1076252.9647556</v>
      </c>
    </row>
    <row r="289" customFormat="false" ht="27" hidden="false" customHeight="true" outlineLevel="0" collapsed="false">
      <c r="A289" s="0" t="n">
        <v>487.63</v>
      </c>
      <c r="B289" s="28" t="n">
        <v>1</v>
      </c>
      <c r="C289" s="0" t="n">
        <v>280909.76975069</v>
      </c>
      <c r="D289" s="0" t="n">
        <v>1073443.3936257</v>
      </c>
    </row>
    <row r="290" customFormat="false" ht="27" hidden="false" customHeight="true" outlineLevel="0" collapsed="false">
      <c r="A290" s="0" t="n">
        <v>487.62</v>
      </c>
      <c r="B290" s="28" t="n">
        <v>1</v>
      </c>
      <c r="C290" s="0" t="n">
        <v>280810.71985378</v>
      </c>
      <c r="D290" s="0" t="n">
        <v>1070634.8405845</v>
      </c>
    </row>
    <row r="291" customFormat="false" ht="27" hidden="false" customHeight="true" outlineLevel="0" collapsed="false">
      <c r="A291" s="0" t="n">
        <v>487.61</v>
      </c>
      <c r="B291" s="28" t="n">
        <v>1</v>
      </c>
      <c r="C291" s="0" t="n">
        <v>280709.17996118</v>
      </c>
      <c r="D291" s="0" t="n">
        <v>1067827.2860359</v>
      </c>
    </row>
    <row r="292" customFormat="false" ht="27" hidden="false" customHeight="true" outlineLevel="0" collapsed="false">
      <c r="A292" s="0" t="n">
        <v>487.6</v>
      </c>
      <c r="B292" s="28" t="n">
        <v>1</v>
      </c>
      <c r="C292" s="0" t="n">
        <v>279760.95917864</v>
      </c>
      <c r="D292" s="0" t="n">
        <v>1065020.8161345</v>
      </c>
    </row>
    <row r="293" customFormat="false" ht="27" hidden="false" customHeight="true" outlineLevel="0" collapsed="false">
      <c r="A293" s="0" t="n">
        <v>487.59</v>
      </c>
      <c r="B293" s="28" t="n">
        <v>1</v>
      </c>
      <c r="C293" s="0" t="n">
        <v>279614.16580546</v>
      </c>
      <c r="D293" s="0" t="n">
        <v>1062223.9940948</v>
      </c>
    </row>
    <row r="294" customFormat="false" ht="27" hidden="false" customHeight="true" outlineLevel="0" collapsed="false">
      <c r="A294" s="0" t="n">
        <v>487.58</v>
      </c>
      <c r="B294" s="28" t="n">
        <v>1</v>
      </c>
      <c r="C294" s="0" t="n">
        <v>279485.83714121</v>
      </c>
      <c r="D294" s="0" t="n">
        <v>1059428.4840901</v>
      </c>
    </row>
    <row r="295" customFormat="false" ht="27" hidden="false" customHeight="true" outlineLevel="0" collapsed="false">
      <c r="A295" s="0" t="n">
        <v>487.57</v>
      </c>
      <c r="B295" s="28" t="n">
        <v>1</v>
      </c>
      <c r="C295" s="0" t="n">
        <v>279356.4800034</v>
      </c>
      <c r="D295" s="0" t="n">
        <v>1056634.2593323</v>
      </c>
    </row>
    <row r="296" customFormat="false" ht="27" hidden="false" customHeight="true" outlineLevel="0" collapsed="false">
      <c r="A296" s="0" t="n">
        <v>487.56</v>
      </c>
      <c r="B296" s="28" t="n">
        <v>1</v>
      </c>
      <c r="C296" s="0" t="n">
        <v>279226.67102256</v>
      </c>
      <c r="D296" s="0" t="n">
        <v>1053841.3136343</v>
      </c>
    </row>
    <row r="297" customFormat="false" ht="27" hidden="false" customHeight="true" outlineLevel="0" collapsed="false">
      <c r="A297" s="0" t="n">
        <v>487.55</v>
      </c>
      <c r="B297" s="29" t="n">
        <v>1</v>
      </c>
      <c r="C297" s="0" t="n">
        <v>279096.46292443</v>
      </c>
      <c r="D297" s="0" t="n">
        <v>1051049.7049368</v>
      </c>
    </row>
    <row r="298" customFormat="false" ht="27" hidden="false" customHeight="true" outlineLevel="0" collapsed="false">
      <c r="A298" s="0" t="n">
        <v>487.54</v>
      </c>
      <c r="B298" s="29" t="n">
        <v>1</v>
      </c>
      <c r="C298" s="0" t="n">
        <v>278965.98531828</v>
      </c>
      <c r="D298" s="0" t="n">
        <v>1048259.4063134</v>
      </c>
    </row>
    <row r="299" customFormat="false" ht="27" hidden="false" customHeight="true" outlineLevel="0" collapsed="false">
      <c r="A299" s="0" t="n">
        <v>487.53</v>
      </c>
      <c r="B299" s="29" t="n">
        <v>1</v>
      </c>
      <c r="C299" s="0" t="n">
        <v>278835.39465849</v>
      </c>
      <c r="D299" s="0" t="n">
        <v>1045470.3619771</v>
      </c>
    </row>
    <row r="300" customFormat="false" ht="27" hidden="false" customHeight="true" outlineLevel="0" collapsed="false">
      <c r="A300" s="0" t="n">
        <v>487.52</v>
      </c>
      <c r="B300" s="29" t="n">
        <v>1</v>
      </c>
      <c r="C300" s="0" t="n">
        <v>278704.81586996</v>
      </c>
      <c r="D300" s="0" t="n">
        <v>1042682.6765433</v>
      </c>
    </row>
    <row r="301" customFormat="false" ht="27" hidden="false" customHeight="true" outlineLevel="0" collapsed="false">
      <c r="A301" s="0" t="n">
        <v>487.51</v>
      </c>
      <c r="B301" s="29" t="n">
        <v>1</v>
      </c>
      <c r="C301" s="0" t="n">
        <v>278574.12994979</v>
      </c>
      <c r="D301" s="0" t="n">
        <v>1039896.2914502</v>
      </c>
    </row>
    <row r="302" customFormat="false" ht="27" hidden="false" customHeight="true" outlineLevel="0" collapsed="false">
      <c r="A302" s="0" t="n">
        <v>487.5</v>
      </c>
      <c r="B302" s="29" t="n">
        <v>1</v>
      </c>
      <c r="C302" s="0" t="n">
        <v>278443.46472731</v>
      </c>
      <c r="D302" s="0" t="n">
        <v>1037111.2349613</v>
      </c>
    </row>
    <row r="303" customFormat="false" ht="27" hidden="false" customHeight="true" outlineLevel="0" collapsed="false">
      <c r="A303" s="0" t="n">
        <v>487.49</v>
      </c>
      <c r="B303" s="29" t="n">
        <v>1</v>
      </c>
      <c r="C303" s="0" t="n">
        <v>278312.84111414</v>
      </c>
      <c r="D303" s="0" t="n">
        <v>1034327.4699369</v>
      </c>
    </row>
    <row r="304" customFormat="false" ht="27" hidden="false" customHeight="true" outlineLevel="0" collapsed="false">
      <c r="A304" s="0" t="n">
        <v>487.48</v>
      </c>
      <c r="B304" s="29" t="n">
        <v>1</v>
      </c>
      <c r="C304" s="0" t="n">
        <v>278182.21197378</v>
      </c>
      <c r="D304" s="0" t="n">
        <v>1031545.0528808</v>
      </c>
    </row>
    <row r="305" customFormat="false" ht="27" hidden="false" customHeight="true" outlineLevel="0" collapsed="false">
      <c r="A305" s="0" t="n">
        <v>487.47</v>
      </c>
      <c r="B305" s="29" t="n">
        <v>1</v>
      </c>
      <c r="C305" s="0" t="n">
        <v>278051.59269556</v>
      </c>
      <c r="D305" s="0" t="n">
        <v>1028763.8942883</v>
      </c>
    </row>
    <row r="306" customFormat="false" ht="27" hidden="false" customHeight="true" outlineLevel="0" collapsed="false">
      <c r="A306" s="0" t="n">
        <v>487.46</v>
      </c>
      <c r="B306" s="28" t="n">
        <v>1</v>
      </c>
      <c r="C306" s="0" t="n">
        <v>277920.96010966</v>
      </c>
      <c r="D306" s="0" t="n">
        <v>1025984.0551079</v>
      </c>
    </row>
    <row r="307" customFormat="false" ht="27" hidden="false" customHeight="true" outlineLevel="0" collapsed="false">
      <c r="A307" s="0" t="n">
        <v>487.45</v>
      </c>
      <c r="B307" s="28" t="n">
        <v>1</v>
      </c>
      <c r="C307" s="0" t="n">
        <v>277790.3582655</v>
      </c>
      <c r="D307" s="0" t="n">
        <v>1023205.5224699</v>
      </c>
    </row>
    <row r="308" customFormat="false" ht="27" hidden="false" customHeight="true" outlineLevel="0" collapsed="false">
      <c r="A308" s="0" t="n">
        <v>487.44</v>
      </c>
      <c r="B308" s="28" t="n">
        <v>1</v>
      </c>
      <c r="C308" s="0" t="n">
        <v>277659.72440098</v>
      </c>
      <c r="D308" s="0" t="n">
        <v>1020428.2497206</v>
      </c>
    </row>
    <row r="309" customFormat="false" ht="27" hidden="false" customHeight="true" outlineLevel="0" collapsed="false">
      <c r="A309" s="0" t="n">
        <v>487.43</v>
      </c>
      <c r="B309" s="28" t="n">
        <v>1</v>
      </c>
      <c r="C309" s="0" t="n">
        <v>277529.22389894</v>
      </c>
      <c r="D309" s="0" t="n">
        <v>1017652.3154521</v>
      </c>
    </row>
    <row r="310" customFormat="false" ht="27" hidden="false" customHeight="true" outlineLevel="0" collapsed="false">
      <c r="A310" s="0" t="n">
        <v>487.42</v>
      </c>
      <c r="B310" s="28" t="n">
        <v>1</v>
      </c>
      <c r="C310" s="0" t="n">
        <v>277398.57322384</v>
      </c>
      <c r="D310" s="0" t="n">
        <v>1014877.6837299</v>
      </c>
    </row>
    <row r="311" customFormat="false" ht="27" hidden="false" customHeight="true" outlineLevel="0" collapsed="false">
      <c r="A311" s="0" t="n">
        <v>487.41</v>
      </c>
      <c r="B311" s="28" t="n">
        <v>1</v>
      </c>
      <c r="C311" s="0" t="n">
        <v>277267.51090091</v>
      </c>
      <c r="D311" s="0" t="n">
        <v>1012104.4034564</v>
      </c>
    </row>
    <row r="312" customFormat="false" ht="27" hidden="false" customHeight="true" outlineLevel="0" collapsed="false">
      <c r="A312" s="0" t="n">
        <v>487.4</v>
      </c>
      <c r="B312" s="28" t="n">
        <v>1</v>
      </c>
      <c r="C312" s="0" t="n">
        <v>277106.85961849</v>
      </c>
      <c r="D312" s="0" t="n">
        <v>1009332.4257886</v>
      </c>
    </row>
    <row r="313" customFormat="false" ht="27" hidden="false" customHeight="true" outlineLevel="0" collapsed="false">
      <c r="A313" s="0" t="n">
        <v>487.39</v>
      </c>
      <c r="B313" s="28" t="n">
        <v>1</v>
      </c>
      <c r="C313" s="0" t="n">
        <v>276104.89766015</v>
      </c>
      <c r="D313" s="0" t="n">
        <v>1006570.4954169</v>
      </c>
    </row>
    <row r="314" customFormat="false" ht="27" hidden="false" customHeight="true" outlineLevel="0" collapsed="false">
      <c r="A314" s="0" t="n">
        <v>487.38</v>
      </c>
      <c r="B314" s="28" t="n">
        <v>1</v>
      </c>
      <c r="C314" s="0" t="n">
        <v>275958.7892158</v>
      </c>
      <c r="D314" s="0" t="n">
        <v>1003810.1596157</v>
      </c>
    </row>
    <row r="315" customFormat="false" ht="27" hidden="false" customHeight="true" outlineLevel="0" collapsed="false">
      <c r="A315" s="0" t="n">
        <v>487.37</v>
      </c>
      <c r="B315" s="28" t="n">
        <v>1</v>
      </c>
      <c r="C315" s="0" t="n">
        <v>275813.39049884</v>
      </c>
      <c r="D315" s="0" t="n">
        <v>1001051.2688252</v>
      </c>
    </row>
    <row r="316" customFormat="false" ht="27" hidden="false" customHeight="true" outlineLevel="0" collapsed="false">
      <c r="A316" s="0" t="n">
        <v>487.36</v>
      </c>
      <c r="B316" s="28" t="n">
        <v>1</v>
      </c>
      <c r="C316" s="0" t="n">
        <v>275668.24539297</v>
      </c>
      <c r="D316" s="0" t="n">
        <v>998293.85347271</v>
      </c>
    </row>
    <row r="317" customFormat="false" ht="27" hidden="false" customHeight="true" outlineLevel="0" collapsed="false">
      <c r="A317" s="0" t="n">
        <v>487.35</v>
      </c>
      <c r="B317" s="28" t="n">
        <v>1</v>
      </c>
      <c r="C317" s="0" t="n">
        <v>275523.10973532</v>
      </c>
      <c r="D317" s="0" t="n">
        <v>995537.93043843</v>
      </c>
    </row>
    <row r="318" customFormat="false" ht="27" hidden="false" customHeight="true" outlineLevel="0" collapsed="false">
      <c r="A318" s="0" t="n">
        <v>487.34</v>
      </c>
      <c r="B318" s="28" t="n">
        <v>1</v>
      </c>
      <c r="C318" s="0" t="n">
        <v>275377.98206539</v>
      </c>
      <c r="D318" s="0" t="n">
        <v>992783.46364254</v>
      </c>
    </row>
    <row r="319" customFormat="false" ht="27" hidden="false" customHeight="true" outlineLevel="0" collapsed="false">
      <c r="A319" s="0" t="n">
        <v>487.33</v>
      </c>
      <c r="B319" s="28" t="n">
        <v>1</v>
      </c>
      <c r="C319" s="0" t="n">
        <v>275232.66297358</v>
      </c>
      <c r="D319" s="0" t="n">
        <v>990030.41098395</v>
      </c>
    </row>
    <row r="320" customFormat="false" ht="27" hidden="false" customHeight="true" outlineLevel="0" collapsed="false">
      <c r="A320" s="0" t="n">
        <v>487.32</v>
      </c>
      <c r="B320" s="28" t="n">
        <v>1</v>
      </c>
      <c r="C320" s="0" t="n">
        <v>275087.26310555</v>
      </c>
      <c r="D320" s="0" t="n">
        <v>987278.81160298</v>
      </c>
    </row>
    <row r="321" customFormat="false" ht="27" hidden="false" customHeight="true" outlineLevel="0" collapsed="false">
      <c r="A321" s="0" t="n">
        <v>487.31</v>
      </c>
      <c r="B321" s="28" t="n">
        <v>1</v>
      </c>
      <c r="C321" s="0" t="n">
        <v>274941.65044128</v>
      </c>
      <c r="D321" s="0" t="n">
        <v>984528.64064141</v>
      </c>
    </row>
    <row r="322" customFormat="false" ht="27" hidden="false" customHeight="true" outlineLevel="0" collapsed="false">
      <c r="A322" s="0" t="n">
        <v>487.3</v>
      </c>
      <c r="B322" s="28" t="n">
        <v>1</v>
      </c>
      <c r="C322" s="0" t="n">
        <v>274795.83012423</v>
      </c>
      <c r="D322" s="0" t="n">
        <v>981779.95087432</v>
      </c>
    </row>
    <row r="323" customFormat="false" ht="27" hidden="false" customHeight="true" outlineLevel="0" collapsed="false">
      <c r="A323" s="0" t="n">
        <v>487.29</v>
      </c>
      <c r="B323" s="28" t="n">
        <v>1</v>
      </c>
      <c r="C323" s="0" t="n">
        <v>274649.71551731</v>
      </c>
      <c r="D323" s="0" t="n">
        <v>979032.74858943</v>
      </c>
    </row>
    <row r="324" customFormat="false" ht="27" hidden="false" customHeight="true" outlineLevel="0" collapsed="false">
      <c r="A324" s="0" t="n">
        <v>487.28</v>
      </c>
      <c r="B324" s="28" t="n">
        <v>1</v>
      </c>
      <c r="C324" s="0" t="n">
        <v>274503.35404098</v>
      </c>
      <c r="D324" s="0" t="n">
        <v>976287.01795623</v>
      </c>
    </row>
    <row r="325" customFormat="false" ht="27" hidden="false" customHeight="true" outlineLevel="0" collapsed="false">
      <c r="A325" s="0" t="n">
        <v>487.27</v>
      </c>
      <c r="B325" s="28" t="n">
        <v>1</v>
      </c>
      <c r="C325" s="0" t="n">
        <v>274356.84620828</v>
      </c>
      <c r="D325" s="0" t="n">
        <v>973542.66549922</v>
      </c>
    </row>
    <row r="326" customFormat="false" ht="27" hidden="false" customHeight="true" outlineLevel="0" collapsed="false">
      <c r="A326" s="0" t="n">
        <v>487.26</v>
      </c>
      <c r="B326" s="28" t="n">
        <v>1</v>
      </c>
      <c r="C326" s="0" t="n">
        <v>274210.02044893</v>
      </c>
      <c r="D326" s="0" t="n">
        <v>970799.8486679</v>
      </c>
    </row>
    <row r="327" customFormat="false" ht="27" hidden="false" customHeight="true" outlineLevel="0" collapsed="false">
      <c r="A327" s="0" t="n">
        <v>487.25</v>
      </c>
      <c r="B327" s="28" t="n">
        <v>1</v>
      </c>
      <c r="C327" s="0" t="n">
        <v>274062.92883172</v>
      </c>
      <c r="D327" s="0" t="n">
        <v>968058.46794052</v>
      </c>
    </row>
    <row r="328" customFormat="false" ht="27" hidden="false" customHeight="true" outlineLevel="0" collapsed="false">
      <c r="A328" s="0" t="n">
        <v>487.24</v>
      </c>
      <c r="B328" s="28" t="n">
        <v>1</v>
      </c>
      <c r="C328" s="0" t="n">
        <v>273915.59687427</v>
      </c>
      <c r="D328" s="0" t="n">
        <v>965318.56176371</v>
      </c>
    </row>
    <row r="329" customFormat="false" ht="27" hidden="false" customHeight="true" outlineLevel="0" collapsed="false">
      <c r="A329" s="0" t="n">
        <v>487.23</v>
      </c>
      <c r="B329" s="28" t="n">
        <v>1</v>
      </c>
      <c r="C329" s="0" t="n">
        <v>273768.03313752</v>
      </c>
      <c r="D329" s="0" t="n">
        <v>962580.14218574</v>
      </c>
    </row>
    <row r="330" customFormat="false" ht="27" hidden="false" customHeight="true" outlineLevel="0" collapsed="false">
      <c r="A330" s="0" t="n">
        <v>487.22</v>
      </c>
      <c r="B330" s="28" t="n">
        <v>1</v>
      </c>
      <c r="C330" s="0" t="n">
        <v>273620.1396312</v>
      </c>
      <c r="D330" s="0" t="n">
        <v>959843.24844639</v>
      </c>
    </row>
    <row r="331" customFormat="false" ht="27" hidden="false" customHeight="true" outlineLevel="0" collapsed="false">
      <c r="A331" s="0" t="n">
        <v>487.21</v>
      </c>
      <c r="B331" s="28" t="n">
        <v>1</v>
      </c>
      <c r="C331" s="0" t="n">
        <v>273470.45455468</v>
      </c>
      <c r="D331" s="0" t="n">
        <v>957107.79212069</v>
      </c>
    </row>
    <row r="332" customFormat="false" ht="27" hidden="false" customHeight="true" outlineLevel="0" collapsed="false">
      <c r="A332" s="0" t="n">
        <v>487.2</v>
      </c>
      <c r="B332" s="28" t="n">
        <v>1</v>
      </c>
      <c r="C332" s="0" t="n">
        <v>271970.17036899</v>
      </c>
      <c r="D332" s="0" t="n">
        <v>954373.90773148</v>
      </c>
    </row>
    <row r="333" customFormat="false" ht="27" hidden="false" customHeight="true" outlineLevel="0" collapsed="false">
      <c r="A333" s="0" t="n">
        <v>487.19</v>
      </c>
      <c r="B333" s="29" t="n">
        <v>1</v>
      </c>
      <c r="C333" s="0" t="n">
        <v>271692.98934716</v>
      </c>
      <c r="D333" s="0" t="n">
        <v>951655.81414724</v>
      </c>
    </row>
    <row r="334" customFormat="false" ht="27" hidden="false" customHeight="true" outlineLevel="0" collapsed="false">
      <c r="A334" s="0" t="n">
        <v>487.18</v>
      </c>
      <c r="B334" s="29" t="n">
        <v>1</v>
      </c>
      <c r="C334" s="0" t="n">
        <v>271486.87758122</v>
      </c>
      <c r="D334" s="0" t="n">
        <v>948939.93859206</v>
      </c>
    </row>
    <row r="335" customFormat="false" ht="27" hidden="false" customHeight="true" outlineLevel="0" collapsed="false">
      <c r="A335" s="0" t="n">
        <v>487.17</v>
      </c>
      <c r="B335" s="29" t="n">
        <v>1</v>
      </c>
      <c r="C335" s="0" t="n">
        <v>271283.64942207</v>
      </c>
      <c r="D335" s="0" t="n">
        <v>946226.07491476</v>
      </c>
    </row>
    <row r="336" customFormat="false" ht="27" hidden="false" customHeight="true" outlineLevel="0" collapsed="false">
      <c r="A336" s="0" t="n">
        <v>487.16</v>
      </c>
      <c r="B336" s="29" t="n">
        <v>1</v>
      </c>
      <c r="C336" s="0" t="n">
        <v>271081.87453931</v>
      </c>
      <c r="D336" s="0" t="n">
        <v>943514.21561053</v>
      </c>
    </row>
    <row r="337" customFormat="false" ht="27" hidden="false" customHeight="true" outlineLevel="0" collapsed="false">
      <c r="A337" s="0" t="n">
        <v>487.15</v>
      </c>
      <c r="B337" s="29" t="n">
        <v>1</v>
      </c>
      <c r="C337" s="0" t="n">
        <v>270881.47164084</v>
      </c>
      <c r="D337" s="0" t="n">
        <v>940804.38090345</v>
      </c>
    </row>
    <row r="338" customFormat="false" ht="27" hidden="false" customHeight="true" outlineLevel="0" collapsed="false">
      <c r="A338" s="0" t="n">
        <v>487.14</v>
      </c>
      <c r="B338" s="29" t="n">
        <v>1</v>
      </c>
      <c r="C338" s="0" t="n">
        <v>270682.16900669</v>
      </c>
      <c r="D338" s="0" t="n">
        <v>938096.51455791</v>
      </c>
    </row>
    <row r="339" customFormat="false" ht="27" hidden="false" customHeight="true" outlineLevel="0" collapsed="false">
      <c r="A339" s="0" t="n">
        <v>487.13</v>
      </c>
      <c r="B339" s="29" t="n">
        <v>1</v>
      </c>
      <c r="C339" s="0" t="n">
        <v>270484.25732869</v>
      </c>
      <c r="D339" s="0" t="n">
        <v>935390.72050379</v>
      </c>
    </row>
    <row r="340" customFormat="false" ht="27" hidden="false" customHeight="true" outlineLevel="0" collapsed="false">
      <c r="A340" s="0" t="n">
        <v>487.12</v>
      </c>
      <c r="B340" s="29" t="n">
        <v>1</v>
      </c>
      <c r="C340" s="0" t="n">
        <v>270287.59769775</v>
      </c>
      <c r="D340" s="0" t="n">
        <v>932686.89157834</v>
      </c>
    </row>
    <row r="341" customFormat="false" ht="27" hidden="false" customHeight="true" outlineLevel="0" collapsed="false">
      <c r="A341" s="0" t="n">
        <v>487.11</v>
      </c>
      <c r="B341" s="29" t="n">
        <v>1</v>
      </c>
      <c r="C341" s="0" t="n">
        <v>270091.92713214</v>
      </c>
      <c r="D341" s="0" t="n">
        <v>929985.04019506</v>
      </c>
    </row>
    <row r="342" customFormat="false" ht="27" hidden="false" customHeight="true" outlineLevel="0" collapsed="false">
      <c r="A342" s="0" t="n">
        <v>487.1</v>
      </c>
      <c r="B342" s="28" t="n">
        <v>1</v>
      </c>
      <c r="C342" s="0" t="n">
        <v>269897.46938866</v>
      </c>
      <c r="D342" s="0" t="n">
        <v>927285.07149148</v>
      </c>
    </row>
    <row r="343" customFormat="false" ht="27" hidden="false" customHeight="true" outlineLevel="0" collapsed="false">
      <c r="A343" s="0" t="n">
        <v>487.09</v>
      </c>
      <c r="B343" s="28" t="n">
        <v>1</v>
      </c>
      <c r="C343" s="0" t="n">
        <v>269704.08782737</v>
      </c>
      <c r="D343" s="0" t="n">
        <v>924587.10879676</v>
      </c>
    </row>
    <row r="344" customFormat="false" ht="27" hidden="false" customHeight="true" outlineLevel="0" collapsed="false">
      <c r="A344" s="0" t="n">
        <v>487.08</v>
      </c>
      <c r="B344" s="28" t="n">
        <v>1</v>
      </c>
      <c r="C344" s="0" t="n">
        <v>269511.66807211</v>
      </c>
      <c r="D344" s="0" t="n">
        <v>921891.01762103</v>
      </c>
    </row>
    <row r="345" customFormat="false" ht="27" hidden="false" customHeight="true" outlineLevel="0" collapsed="false">
      <c r="A345" s="0" t="n">
        <v>487.07</v>
      </c>
      <c r="B345" s="28" t="n">
        <v>1</v>
      </c>
      <c r="C345" s="0" t="n">
        <v>269320.36368048</v>
      </c>
      <c r="D345" s="0" t="n">
        <v>919196.88616115</v>
      </c>
    </row>
    <row r="346" customFormat="false" ht="27" hidden="false" customHeight="true" outlineLevel="0" collapsed="false">
      <c r="A346" s="0" t="n">
        <v>487.06</v>
      </c>
      <c r="B346" s="28" t="n">
        <v>1</v>
      </c>
      <c r="C346" s="0" t="n">
        <v>269130.12130224</v>
      </c>
      <c r="D346" s="0" t="n">
        <v>916504.65728223</v>
      </c>
    </row>
    <row r="347" customFormat="false" ht="27" hidden="false" customHeight="true" outlineLevel="0" collapsed="false">
      <c r="A347" s="0" t="n">
        <v>487.05</v>
      </c>
      <c r="B347" s="28" t="n">
        <v>1</v>
      </c>
      <c r="C347" s="0" t="n">
        <v>268940.72566556</v>
      </c>
      <c r="D347" s="0" t="n">
        <v>913814.34130715</v>
      </c>
    </row>
    <row r="348" customFormat="false" ht="27" hidden="false" customHeight="true" outlineLevel="0" collapsed="false">
      <c r="A348" s="0" t="n">
        <v>487.04</v>
      </c>
      <c r="B348" s="28" t="n">
        <v>1</v>
      </c>
      <c r="C348" s="0" t="n">
        <v>268752.20744281</v>
      </c>
      <c r="D348" s="0" t="n">
        <v>911125.87046714</v>
      </c>
    </row>
    <row r="349" customFormat="false" ht="27" hidden="false" customHeight="true" outlineLevel="0" collapsed="false">
      <c r="A349" s="0" t="n">
        <v>487.03</v>
      </c>
      <c r="B349" s="28" t="n">
        <v>1</v>
      </c>
      <c r="C349" s="0" t="n">
        <v>268564.6632228</v>
      </c>
      <c r="D349" s="0" t="n">
        <v>908439.30039108</v>
      </c>
    </row>
    <row r="350" customFormat="false" ht="27" hidden="false" customHeight="true" outlineLevel="0" collapsed="false">
      <c r="A350" s="0" t="n">
        <v>487.02</v>
      </c>
      <c r="B350" s="28" t="n">
        <v>1</v>
      </c>
      <c r="C350" s="0" t="n">
        <v>268377.83261466</v>
      </c>
      <c r="D350" s="0" t="n">
        <v>905754.59546765</v>
      </c>
    </row>
    <row r="351" customFormat="false" ht="27" hidden="false" customHeight="true" outlineLevel="0" collapsed="false">
      <c r="A351" s="0" t="n">
        <v>487.01</v>
      </c>
      <c r="B351" s="28" t="n">
        <v>1</v>
      </c>
      <c r="C351" s="0" t="n">
        <v>268190.54757346</v>
      </c>
      <c r="D351" s="0" t="n">
        <v>903071.78236258</v>
      </c>
    </row>
    <row r="352" customFormat="false" ht="27" hidden="false" customHeight="true" outlineLevel="0" collapsed="false">
      <c r="A352" s="0" t="n">
        <v>487</v>
      </c>
      <c r="B352" s="28" t="n">
        <v>1</v>
      </c>
      <c r="C352" s="0" t="n">
        <v>267959.67151671</v>
      </c>
      <c r="D352" s="0" t="n">
        <v>900390.9766715</v>
      </c>
    </row>
    <row r="353" customFormat="false" ht="27" hidden="false" customHeight="true" outlineLevel="0" collapsed="false">
      <c r="A353" s="0" t="n">
        <v>486.99</v>
      </c>
      <c r="B353" s="28" t="n">
        <v>1</v>
      </c>
      <c r="C353" s="0" t="n">
        <v>267141.52996505</v>
      </c>
      <c r="D353" s="0" t="n">
        <v>897718.6036185</v>
      </c>
    </row>
    <row r="354" customFormat="false" ht="27" hidden="false" customHeight="true" outlineLevel="0" collapsed="false">
      <c r="A354" s="0" t="n">
        <v>486.98</v>
      </c>
      <c r="B354" s="28" t="n">
        <v>1</v>
      </c>
      <c r="C354" s="0" t="n">
        <v>266968.54587426</v>
      </c>
      <c r="D354" s="0" t="n">
        <v>895048.04594863</v>
      </c>
    </row>
    <row r="355" customFormat="false" ht="27" hidden="false" customHeight="true" outlineLevel="0" collapsed="false">
      <c r="A355" s="0" t="n">
        <v>486.97</v>
      </c>
      <c r="B355" s="28" t="n">
        <v>1</v>
      </c>
      <c r="C355" s="0" t="n">
        <v>266796.09797928</v>
      </c>
      <c r="D355" s="0" t="n">
        <v>892379.22847541</v>
      </c>
    </row>
    <row r="356" customFormat="false" ht="27" hidden="false" customHeight="true" outlineLevel="0" collapsed="false">
      <c r="A356" s="0" t="n">
        <v>486.96</v>
      </c>
      <c r="B356" s="28" t="n">
        <v>1</v>
      </c>
      <c r="C356" s="0" t="n">
        <v>266623.91563981</v>
      </c>
      <c r="D356" s="0" t="n">
        <v>889712.14752159</v>
      </c>
    </row>
    <row r="357" customFormat="false" ht="27" hidden="false" customHeight="true" outlineLevel="0" collapsed="false">
      <c r="A357" s="0" t="n">
        <v>486.95</v>
      </c>
      <c r="B357" s="28" t="n">
        <v>1</v>
      </c>
      <c r="C357" s="0" t="n">
        <v>266452.12722467</v>
      </c>
      <c r="D357" s="0" t="n">
        <v>887046.77323273</v>
      </c>
    </row>
    <row r="358" customFormat="false" ht="27" hidden="false" customHeight="true" outlineLevel="0" collapsed="false">
      <c r="A358" s="0" t="n">
        <v>486.94</v>
      </c>
      <c r="B358" s="28" t="n">
        <v>1</v>
      </c>
      <c r="C358" s="0" t="n">
        <v>266280.68099659</v>
      </c>
      <c r="D358" s="0" t="n">
        <v>884383.10755638</v>
      </c>
    </row>
    <row r="359" customFormat="false" ht="27" hidden="false" customHeight="true" outlineLevel="0" collapsed="false">
      <c r="A359" s="0" t="n">
        <v>486.93</v>
      </c>
      <c r="B359" s="28" t="n">
        <v>1</v>
      </c>
      <c r="C359" s="0" t="n">
        <v>266109.50179748</v>
      </c>
      <c r="D359" s="0" t="n">
        <v>881721.1736362</v>
      </c>
    </row>
    <row r="360" customFormat="false" ht="27" hidden="false" customHeight="true" outlineLevel="0" collapsed="false">
      <c r="A360" s="0" t="n">
        <v>486.92</v>
      </c>
      <c r="B360" s="28" t="n">
        <v>1</v>
      </c>
      <c r="C360" s="0" t="n">
        <v>265938.68802191</v>
      </c>
      <c r="D360" s="0" t="n">
        <v>879060.91797229</v>
      </c>
    </row>
    <row r="361" customFormat="false" ht="27" hidden="false" customHeight="true" outlineLevel="0" collapsed="false">
      <c r="A361" s="0" t="n">
        <v>486.91</v>
      </c>
      <c r="B361" s="28" t="n">
        <v>1</v>
      </c>
      <c r="C361" s="0" t="n">
        <v>265768.13908225</v>
      </c>
      <c r="D361" s="0" t="n">
        <v>876402.38435774</v>
      </c>
    </row>
    <row r="362" customFormat="false" ht="27" hidden="false" customHeight="true" outlineLevel="0" collapsed="false">
      <c r="A362" s="0" t="n">
        <v>486.9</v>
      </c>
      <c r="B362" s="28" t="n">
        <v>1</v>
      </c>
      <c r="C362" s="0" t="n">
        <v>265597.97833431</v>
      </c>
      <c r="D362" s="0" t="n">
        <v>873745.59532466</v>
      </c>
    </row>
    <row r="363" customFormat="false" ht="27" hidden="false" customHeight="true" outlineLevel="0" collapsed="false">
      <c r="A363" s="0" t="n">
        <v>486.89</v>
      </c>
      <c r="B363" s="28" t="n">
        <v>1</v>
      </c>
      <c r="C363" s="0" t="n">
        <v>265428.1331326</v>
      </c>
      <c r="D363" s="0" t="n">
        <v>871090.49050938</v>
      </c>
    </row>
    <row r="364" customFormat="false" ht="27" hidden="false" customHeight="true" outlineLevel="0" collapsed="false">
      <c r="A364" s="0" t="n">
        <v>486.88</v>
      </c>
      <c r="B364" s="28" t="n">
        <v>1</v>
      </c>
      <c r="C364" s="0" t="n">
        <v>265258.52265507</v>
      </c>
      <c r="D364" s="0" t="n">
        <v>868437.10212092</v>
      </c>
    </row>
    <row r="365" customFormat="false" ht="27" hidden="false" customHeight="true" outlineLevel="0" collapsed="false">
      <c r="A365" s="0" t="n">
        <v>486.87</v>
      </c>
      <c r="B365" s="28" t="n">
        <v>1</v>
      </c>
      <c r="C365" s="0" t="n">
        <v>265089.22095662</v>
      </c>
      <c r="D365" s="0" t="n">
        <v>865785.38850851</v>
      </c>
    </row>
    <row r="366" customFormat="false" ht="27" hidden="false" customHeight="true" outlineLevel="0" collapsed="false">
      <c r="A366" s="0" t="n">
        <v>486.86</v>
      </c>
      <c r="B366" s="28" t="n">
        <v>1</v>
      </c>
      <c r="C366" s="0" t="n">
        <v>264920.00249074</v>
      </c>
      <c r="D366" s="0" t="n">
        <v>863135.32918414</v>
      </c>
    </row>
    <row r="367" customFormat="false" ht="27" hidden="false" customHeight="true" outlineLevel="0" collapsed="false">
      <c r="A367" s="0" t="n">
        <v>486.85</v>
      </c>
      <c r="B367" s="28" t="n">
        <v>1</v>
      </c>
      <c r="C367" s="0" t="n">
        <v>264750.87184911</v>
      </c>
      <c r="D367" s="0" t="n">
        <v>860487.01823152</v>
      </c>
    </row>
    <row r="368" customFormat="false" ht="27" hidden="false" customHeight="true" outlineLevel="0" collapsed="false">
      <c r="A368" s="0" t="n">
        <v>486.84</v>
      </c>
      <c r="B368" s="28" t="n">
        <v>1</v>
      </c>
      <c r="C368" s="0" t="n">
        <v>264581.59786111</v>
      </c>
      <c r="D368" s="0" t="n">
        <v>857840.37834621</v>
      </c>
    </row>
    <row r="369" customFormat="false" ht="27" hidden="false" customHeight="true" outlineLevel="0" collapsed="false">
      <c r="A369" s="0" t="n">
        <v>486.83</v>
      </c>
      <c r="B369" s="29" t="n">
        <v>1</v>
      </c>
      <c r="C369" s="0" t="n">
        <v>264412.00989616</v>
      </c>
      <c r="D369" s="0" t="n">
        <v>855195.45260601</v>
      </c>
    </row>
    <row r="370" customFormat="false" ht="27" hidden="false" customHeight="true" outlineLevel="0" collapsed="false">
      <c r="A370" s="0" t="n">
        <v>486.82</v>
      </c>
      <c r="B370" s="29" t="n">
        <v>1</v>
      </c>
      <c r="C370" s="0" t="n">
        <v>264241.70353126</v>
      </c>
      <c r="D370" s="0" t="n">
        <v>852552.23013765</v>
      </c>
    </row>
    <row r="371" customFormat="false" ht="27" hidden="false" customHeight="true" outlineLevel="0" collapsed="false">
      <c r="A371" s="0" t="n">
        <v>486.81</v>
      </c>
      <c r="B371" s="29" t="n">
        <v>1</v>
      </c>
      <c r="C371" s="0" t="n">
        <v>264069.05354991</v>
      </c>
      <c r="D371" s="0" t="n">
        <v>849910.73510215</v>
      </c>
    </row>
    <row r="372" customFormat="false" ht="27" hidden="false" customHeight="true" outlineLevel="0" collapsed="false">
      <c r="A372" s="0" t="n">
        <v>486.8</v>
      </c>
      <c r="B372" s="29" t="n">
        <v>1</v>
      </c>
      <c r="C372" s="0" t="n">
        <v>263852.67314818</v>
      </c>
      <c r="D372" s="0" t="n">
        <v>847271.0521603</v>
      </c>
    </row>
    <row r="373" customFormat="false" ht="27" hidden="false" customHeight="true" outlineLevel="0" collapsed="false">
      <c r="A373" s="0" t="n">
        <v>486.79</v>
      </c>
      <c r="B373" s="29" t="n">
        <v>1</v>
      </c>
      <c r="C373" s="0" t="n">
        <v>262374.69386006</v>
      </c>
      <c r="D373" s="0" t="n">
        <v>844646.05426416</v>
      </c>
    </row>
    <row r="374" customFormat="false" ht="27" hidden="false" customHeight="true" outlineLevel="0" collapsed="false">
      <c r="A374" s="0" t="n">
        <v>486.78</v>
      </c>
      <c r="B374" s="29" t="n">
        <v>1</v>
      </c>
      <c r="C374" s="0" t="n">
        <v>262148.2356789</v>
      </c>
      <c r="D374" s="0" t="n">
        <v>842023.42216308</v>
      </c>
    </row>
    <row r="375" customFormat="false" ht="27" hidden="false" customHeight="true" outlineLevel="0" collapsed="false">
      <c r="A375" s="0" t="n">
        <v>486.77</v>
      </c>
      <c r="B375" s="29" t="n">
        <v>1</v>
      </c>
      <c r="C375" s="0" t="n">
        <v>261923.03962272</v>
      </c>
      <c r="D375" s="0" t="n">
        <v>839403.05039799</v>
      </c>
    </row>
    <row r="376" customFormat="false" ht="27" hidden="false" customHeight="true" outlineLevel="0" collapsed="false">
      <c r="A376" s="0" t="n">
        <v>486.76</v>
      </c>
      <c r="B376" s="29" t="n">
        <v>1</v>
      </c>
      <c r="C376" s="0" t="n">
        <v>261698.40773946</v>
      </c>
      <c r="D376" s="0" t="n">
        <v>836784.99192509</v>
      </c>
    </row>
    <row r="377" customFormat="false" ht="27" hidden="false" customHeight="true" outlineLevel="0" collapsed="false">
      <c r="A377" s="0" t="n">
        <v>486.75</v>
      </c>
      <c r="B377" s="29" t="n">
        <v>1</v>
      </c>
      <c r="C377" s="0" t="n">
        <v>261474.39971706</v>
      </c>
      <c r="D377" s="0" t="n">
        <v>834169.1049412</v>
      </c>
    </row>
    <row r="378" customFormat="false" ht="27" hidden="false" customHeight="true" outlineLevel="0" collapsed="false">
      <c r="A378" s="0" t="n">
        <v>486.74</v>
      </c>
      <c r="B378" s="28" t="n">
        <v>1</v>
      </c>
      <c r="C378" s="0" t="n">
        <v>261250.72651419</v>
      </c>
      <c r="D378" s="0" t="n">
        <v>831555.53507823</v>
      </c>
    </row>
    <row r="379" customFormat="false" ht="27" hidden="false" customHeight="true" outlineLevel="0" collapsed="false">
      <c r="A379" s="0" t="n">
        <v>486.73</v>
      </c>
      <c r="B379" s="28" t="n">
        <v>1</v>
      </c>
      <c r="C379" s="0" t="n">
        <v>261027.75558205</v>
      </c>
      <c r="D379" s="0" t="n">
        <v>828944.16471042</v>
      </c>
    </row>
    <row r="380" customFormat="false" ht="27" hidden="false" customHeight="true" outlineLevel="0" collapsed="false">
      <c r="A380" s="0" t="n">
        <v>486.72</v>
      </c>
      <c r="B380" s="28" t="n">
        <v>1</v>
      </c>
      <c r="C380" s="0" t="n">
        <v>260805.33920236</v>
      </c>
      <c r="D380" s="0" t="n">
        <v>826335.01553592</v>
      </c>
    </row>
    <row r="381" customFormat="false" ht="27" hidden="false" customHeight="true" outlineLevel="0" collapsed="false">
      <c r="A381" s="0" t="n">
        <v>486.71</v>
      </c>
      <c r="B381" s="28" t="n">
        <v>1</v>
      </c>
      <c r="C381" s="0" t="n">
        <v>260583.3801362</v>
      </c>
      <c r="D381" s="0" t="n">
        <v>823728.09494992</v>
      </c>
    </row>
    <row r="382" customFormat="false" ht="27" hidden="false" customHeight="true" outlineLevel="0" collapsed="false">
      <c r="A382" s="0" t="n">
        <v>486.7</v>
      </c>
      <c r="B382" s="28" t="n">
        <v>1</v>
      </c>
      <c r="C382" s="0" t="n">
        <v>260361.94112856</v>
      </c>
      <c r="D382" s="0" t="n">
        <v>821123.34717568</v>
      </c>
    </row>
    <row r="383" customFormat="false" ht="27" hidden="false" customHeight="true" outlineLevel="0" collapsed="false">
      <c r="A383" s="0" t="n">
        <v>486.69</v>
      </c>
      <c r="B383" s="28" t="n">
        <v>1</v>
      </c>
      <c r="C383" s="0" t="n">
        <v>260141.150357</v>
      </c>
      <c r="D383" s="0" t="n">
        <v>818520.85954454</v>
      </c>
    </row>
    <row r="384" customFormat="false" ht="27" hidden="false" customHeight="true" outlineLevel="0" collapsed="false">
      <c r="A384" s="0" t="n">
        <v>486.68</v>
      </c>
      <c r="B384" s="28" t="n">
        <v>1</v>
      </c>
      <c r="C384" s="0" t="n">
        <v>259920.89981381</v>
      </c>
      <c r="D384" s="0" t="n">
        <v>815920.54359207</v>
      </c>
    </row>
    <row r="385" customFormat="false" ht="27" hidden="false" customHeight="true" outlineLevel="0" collapsed="false">
      <c r="A385" s="0" t="n">
        <v>486.67</v>
      </c>
      <c r="B385" s="28" t="n">
        <v>1</v>
      </c>
      <c r="C385" s="0" t="n">
        <v>259701.12133168</v>
      </c>
      <c r="D385" s="0" t="n">
        <v>813322.45432851</v>
      </c>
    </row>
    <row r="386" customFormat="false" ht="27" hidden="false" customHeight="true" outlineLevel="0" collapsed="false">
      <c r="A386" s="0" t="n">
        <v>486.66</v>
      </c>
      <c r="B386" s="28" t="n">
        <v>1</v>
      </c>
      <c r="C386" s="0" t="n">
        <v>259481.77877576</v>
      </c>
      <c r="D386" s="0" t="n">
        <v>810726.55816898</v>
      </c>
    </row>
    <row r="387" customFormat="false" ht="27" hidden="false" customHeight="true" outlineLevel="0" collapsed="false">
      <c r="A387" s="0" t="n">
        <v>486.65</v>
      </c>
      <c r="B387" s="28" t="n">
        <v>1</v>
      </c>
      <c r="C387" s="0" t="n">
        <v>259262.7266873</v>
      </c>
      <c r="D387" s="0" t="n">
        <v>808132.85400056</v>
      </c>
    </row>
    <row r="388" customFormat="false" ht="27" hidden="false" customHeight="true" outlineLevel="0" collapsed="false">
      <c r="A388" s="0" t="n">
        <v>486.64</v>
      </c>
      <c r="B388" s="28" t="n">
        <v>1</v>
      </c>
      <c r="C388" s="0" t="n">
        <v>259043.86479145</v>
      </c>
      <c r="D388" s="0" t="n">
        <v>805541.36556398</v>
      </c>
    </row>
    <row r="389" customFormat="false" ht="27" hidden="false" customHeight="true" outlineLevel="0" collapsed="false">
      <c r="A389" s="0" t="n">
        <v>486.63</v>
      </c>
      <c r="B389" s="28" t="n">
        <v>1</v>
      </c>
      <c r="C389" s="0" t="n">
        <v>258824.94176292</v>
      </c>
      <c r="D389" s="0" t="n">
        <v>802952.11316337</v>
      </c>
    </row>
    <row r="390" customFormat="false" ht="27" hidden="false" customHeight="true" outlineLevel="0" collapsed="false">
      <c r="A390" s="0" t="n">
        <v>486.62</v>
      </c>
      <c r="B390" s="28" t="n">
        <v>1</v>
      </c>
      <c r="C390" s="0" t="n">
        <v>258605.14912512</v>
      </c>
      <c r="D390" s="0" t="n">
        <v>800365.02059</v>
      </c>
    </row>
    <row r="391" customFormat="false" ht="27" hidden="false" customHeight="true" outlineLevel="0" collapsed="false">
      <c r="A391" s="0" t="n">
        <v>486.61</v>
      </c>
      <c r="B391" s="28" t="n">
        <v>1</v>
      </c>
      <c r="C391" s="0" t="n">
        <v>258383.14172444</v>
      </c>
      <c r="D391" s="0" t="n">
        <v>797780.1086937</v>
      </c>
    </row>
    <row r="392" customFormat="false" ht="27" hidden="false" customHeight="true" outlineLevel="0" collapsed="false">
      <c r="A392" s="0" t="n">
        <v>486.6</v>
      </c>
      <c r="B392" s="28" t="n">
        <v>1</v>
      </c>
      <c r="C392" s="0" t="n">
        <v>257143.57241111</v>
      </c>
      <c r="D392" s="0" t="n">
        <v>795197.49619098</v>
      </c>
    </row>
    <row r="393" customFormat="false" ht="27" hidden="false" customHeight="true" outlineLevel="0" collapsed="false">
      <c r="A393" s="0" t="n">
        <v>486.59</v>
      </c>
      <c r="B393" s="28" t="n">
        <v>1</v>
      </c>
      <c r="C393" s="0" t="n">
        <v>256890.80062493</v>
      </c>
      <c r="D393" s="0" t="n">
        <v>792627.42075466</v>
      </c>
    </row>
    <row r="394" customFormat="false" ht="27" hidden="false" customHeight="true" outlineLevel="0" collapsed="false">
      <c r="A394" s="0" t="n">
        <v>486.58</v>
      </c>
      <c r="B394" s="28" t="n">
        <v>1</v>
      </c>
      <c r="C394" s="0" t="n">
        <v>256668.16558399</v>
      </c>
      <c r="D394" s="0" t="n">
        <v>790059.6211747</v>
      </c>
    </row>
    <row r="395" customFormat="false" ht="27" hidden="false" customHeight="true" outlineLevel="0" collapsed="false">
      <c r="A395" s="0" t="n">
        <v>486.57</v>
      </c>
      <c r="B395" s="28" t="n">
        <v>1</v>
      </c>
      <c r="C395" s="0" t="n">
        <v>256446.88898611</v>
      </c>
      <c r="D395" s="0" t="n">
        <v>787494.06257898</v>
      </c>
    </row>
    <row r="396" customFormat="false" ht="27" hidden="false" customHeight="true" outlineLevel="0" collapsed="false">
      <c r="A396" s="0" t="n">
        <v>486.56</v>
      </c>
      <c r="B396" s="28" t="n">
        <v>1</v>
      </c>
      <c r="C396" s="0" t="n">
        <v>256226.57670875</v>
      </c>
      <c r="D396" s="0" t="n">
        <v>784930.6946329</v>
      </c>
    </row>
    <row r="397" customFormat="false" ht="27" hidden="false" customHeight="true" outlineLevel="0" collapsed="false">
      <c r="A397" s="0" t="n">
        <v>486.55</v>
      </c>
      <c r="B397" s="28" t="n">
        <v>1</v>
      </c>
      <c r="C397" s="0" t="n">
        <v>256007.28574125</v>
      </c>
      <c r="D397" s="0" t="n">
        <v>782369.53307265</v>
      </c>
    </row>
    <row r="398" customFormat="false" ht="27" hidden="false" customHeight="true" outlineLevel="0" collapsed="false">
      <c r="A398" s="0" t="n">
        <v>486.54</v>
      </c>
      <c r="B398" s="28" t="n">
        <v>1</v>
      </c>
      <c r="C398" s="0" t="n">
        <v>255789.11719547</v>
      </c>
      <c r="D398" s="0" t="n">
        <v>779810.5349498</v>
      </c>
    </row>
    <row r="399" customFormat="false" ht="27" hidden="false" customHeight="true" outlineLevel="0" collapsed="false">
      <c r="A399" s="0" t="n">
        <v>486.53</v>
      </c>
      <c r="B399" s="28" t="n">
        <v>1</v>
      </c>
      <c r="C399" s="0" t="n">
        <v>255572.05058807</v>
      </c>
      <c r="D399" s="0" t="n">
        <v>777253.74847716</v>
      </c>
    </row>
    <row r="400" customFormat="false" ht="27" hidden="false" customHeight="true" outlineLevel="0" collapsed="false">
      <c r="A400" s="0" t="n">
        <v>486.52</v>
      </c>
      <c r="B400" s="28" t="n">
        <v>1</v>
      </c>
      <c r="C400" s="0" t="n">
        <v>255356.20106312</v>
      </c>
      <c r="D400" s="0" t="n">
        <v>774699.10024471</v>
      </c>
    </row>
    <row r="401" customFormat="false" ht="27" hidden="false" customHeight="true" outlineLevel="0" collapsed="false">
      <c r="A401" s="0" t="n">
        <v>486.51</v>
      </c>
      <c r="B401" s="28" t="n">
        <v>1</v>
      </c>
      <c r="C401" s="0" t="n">
        <v>255141.49917524</v>
      </c>
      <c r="D401" s="0" t="n">
        <v>772146.6123424</v>
      </c>
    </row>
    <row r="402" customFormat="false" ht="27" hidden="false" customHeight="true" outlineLevel="0" collapsed="false">
      <c r="A402" s="0" t="n">
        <v>486.5</v>
      </c>
      <c r="B402" s="28" t="n">
        <v>1</v>
      </c>
      <c r="C402" s="0" t="n">
        <v>254927.89931054</v>
      </c>
      <c r="D402" s="0" t="n">
        <v>769596.26982689</v>
      </c>
    </row>
    <row r="403" customFormat="false" ht="27" hidden="false" customHeight="true" outlineLevel="0" collapsed="false">
      <c r="A403" s="0" t="n">
        <v>486.49</v>
      </c>
      <c r="B403" s="28" t="n">
        <v>1</v>
      </c>
      <c r="C403" s="0" t="n">
        <v>254715.33132142</v>
      </c>
      <c r="D403" s="0" t="n">
        <v>767048.0527355</v>
      </c>
    </row>
    <row r="404" customFormat="false" ht="27" hidden="false" customHeight="true" outlineLevel="0" collapsed="false">
      <c r="A404" s="0" t="n">
        <v>486.48</v>
      </c>
      <c r="B404" s="28" t="n">
        <v>1</v>
      </c>
      <c r="C404" s="0" t="n">
        <v>254503.81648081</v>
      </c>
      <c r="D404" s="0" t="n">
        <v>764501.99466274</v>
      </c>
    </row>
    <row r="405" customFormat="false" ht="27" hidden="false" customHeight="true" outlineLevel="0" collapsed="false">
      <c r="A405" s="0" t="n">
        <v>486.47</v>
      </c>
      <c r="B405" s="29" t="n">
        <v>1</v>
      </c>
      <c r="C405" s="0" t="n">
        <v>254293.36072176</v>
      </c>
      <c r="D405" s="0" t="n">
        <v>761958.04983004</v>
      </c>
    </row>
    <row r="406" customFormat="false" ht="27" hidden="false" customHeight="true" outlineLevel="0" collapsed="false">
      <c r="A406" s="0" t="n">
        <v>486.46</v>
      </c>
      <c r="B406" s="29" t="n">
        <v>1</v>
      </c>
      <c r="C406" s="0" t="n">
        <v>254083.89984524</v>
      </c>
      <c r="D406" s="0" t="n">
        <v>759416.22289912</v>
      </c>
    </row>
    <row r="407" customFormat="false" ht="27" hidden="false" customHeight="true" outlineLevel="0" collapsed="false">
      <c r="A407" s="0" t="n">
        <v>486.45</v>
      </c>
      <c r="B407" s="29" t="n">
        <v>1</v>
      </c>
      <c r="C407" s="0" t="n">
        <v>253875.30607792</v>
      </c>
      <c r="D407" s="0" t="n">
        <v>756876.40803824</v>
      </c>
    </row>
    <row r="408" customFormat="false" ht="27" hidden="false" customHeight="true" outlineLevel="0" collapsed="false">
      <c r="A408" s="0" t="n">
        <v>486.44</v>
      </c>
      <c r="B408" s="29" t="n">
        <v>1</v>
      </c>
      <c r="C408" s="0" t="n">
        <v>253667.80679831</v>
      </c>
      <c r="D408" s="0" t="n">
        <v>754338.72138596</v>
      </c>
    </row>
    <row r="409" customFormat="false" ht="27" hidden="false" customHeight="true" outlineLevel="0" collapsed="false">
      <c r="A409" s="0" t="n">
        <v>486.43</v>
      </c>
      <c r="B409" s="29" t="n">
        <v>1</v>
      </c>
      <c r="C409" s="0" t="n">
        <v>253461.40748361</v>
      </c>
      <c r="D409" s="0" t="n">
        <v>751803.10298261</v>
      </c>
    </row>
    <row r="410" customFormat="false" ht="27" hidden="false" customHeight="true" outlineLevel="0" collapsed="false">
      <c r="A410" s="0" t="n">
        <v>486.42</v>
      </c>
      <c r="B410" s="29" t="n">
        <v>1</v>
      </c>
      <c r="C410" s="0" t="n">
        <v>253256.28220568</v>
      </c>
      <c r="D410" s="0" t="n">
        <v>749269.49309987</v>
      </c>
    </row>
    <row r="411" customFormat="false" ht="27" hidden="false" customHeight="true" outlineLevel="0" collapsed="false">
      <c r="A411" s="0" t="n">
        <v>486.41</v>
      </c>
      <c r="B411" s="29" t="n">
        <v>1</v>
      </c>
      <c r="C411" s="0" t="n">
        <v>253051.51174177</v>
      </c>
      <c r="D411" s="0" t="n">
        <v>746737.95237664</v>
      </c>
    </row>
    <row r="412" customFormat="false" ht="27" hidden="false" customHeight="true" outlineLevel="0" collapsed="false">
      <c r="A412" s="0" t="n">
        <v>486.4</v>
      </c>
      <c r="B412" s="29" t="n">
        <v>1</v>
      </c>
      <c r="C412" s="0" t="n">
        <v>252827.09202107</v>
      </c>
      <c r="D412" s="0" t="n">
        <v>744208.47818415</v>
      </c>
    </row>
    <row r="413" customFormat="false" ht="27" hidden="false" customHeight="true" outlineLevel="0" collapsed="false">
      <c r="A413" s="0" t="n">
        <v>486.39</v>
      </c>
      <c r="B413" s="29" t="n">
        <v>1</v>
      </c>
      <c r="C413" s="0" t="n">
        <v>252530.35642316</v>
      </c>
      <c r="D413" s="0" t="n">
        <v>741682.01512288</v>
      </c>
    </row>
    <row r="414" customFormat="false" ht="27" hidden="false" customHeight="true" outlineLevel="0" collapsed="false">
      <c r="A414" s="0" t="n">
        <v>486.38</v>
      </c>
      <c r="B414" s="28" t="n">
        <v>1</v>
      </c>
      <c r="C414" s="0" t="n">
        <v>252333.61923851</v>
      </c>
      <c r="D414" s="0" t="n">
        <v>739157.6979021</v>
      </c>
    </row>
    <row r="415" customFormat="false" ht="27" hidden="false" customHeight="true" outlineLevel="0" collapsed="false">
      <c r="A415" s="0" t="n">
        <v>486.37</v>
      </c>
      <c r="B415" s="28" t="n">
        <v>1</v>
      </c>
      <c r="C415" s="0" t="n">
        <v>252139.8785685</v>
      </c>
      <c r="D415" s="0" t="n">
        <v>736635.3446941</v>
      </c>
    </row>
    <row r="416" customFormat="false" ht="27" hidden="false" customHeight="true" outlineLevel="0" collapsed="false">
      <c r="A416" s="0" t="n">
        <v>486.36</v>
      </c>
      <c r="B416" s="28" t="n">
        <v>1</v>
      </c>
      <c r="C416" s="0" t="n">
        <v>251947.69559413</v>
      </c>
      <c r="D416" s="0" t="n">
        <v>734114.89858175</v>
      </c>
    </row>
    <row r="417" customFormat="false" ht="27" hidden="false" customHeight="true" outlineLevel="0" collapsed="false">
      <c r="A417" s="0" t="n">
        <v>486.35</v>
      </c>
      <c r="B417" s="28" t="n">
        <v>1</v>
      </c>
      <c r="C417" s="0" t="n">
        <v>251757.33257041</v>
      </c>
      <c r="D417" s="0" t="n">
        <v>731596.37028961</v>
      </c>
    </row>
    <row r="418" customFormat="false" ht="27" hidden="false" customHeight="true" outlineLevel="0" collapsed="false">
      <c r="A418" s="0" t="n">
        <v>486.34</v>
      </c>
      <c r="B418" s="28" t="n">
        <v>1</v>
      </c>
      <c r="C418" s="0" t="n">
        <v>251568.38102798</v>
      </c>
      <c r="D418" s="0" t="n">
        <v>729079.72318745</v>
      </c>
    </row>
    <row r="419" customFormat="false" ht="27" hidden="false" customHeight="true" outlineLevel="0" collapsed="false">
      <c r="A419" s="0" t="n">
        <v>486.33</v>
      </c>
      <c r="B419" s="28" t="n">
        <v>1</v>
      </c>
      <c r="C419" s="0" t="n">
        <v>251380.558824</v>
      </c>
      <c r="D419" s="0" t="n">
        <v>726564.98341258</v>
      </c>
    </row>
    <row r="420" customFormat="false" ht="27" hidden="false" customHeight="true" outlineLevel="0" collapsed="false">
      <c r="A420" s="0" t="n">
        <v>486.32</v>
      </c>
      <c r="B420" s="28" t="n">
        <v>1</v>
      </c>
      <c r="C420" s="0" t="n">
        <v>251193.76176894</v>
      </c>
      <c r="D420" s="0" t="n">
        <v>724052.16407542</v>
      </c>
    </row>
    <row r="421" customFormat="false" ht="27" hidden="false" customHeight="true" outlineLevel="0" collapsed="false">
      <c r="A421" s="0" t="n">
        <v>486.31</v>
      </c>
      <c r="B421" s="28" t="n">
        <v>1</v>
      </c>
      <c r="C421" s="0" t="n">
        <v>251007.95847075</v>
      </c>
      <c r="D421" s="0" t="n">
        <v>721541.13575303</v>
      </c>
    </row>
    <row r="422" customFormat="false" ht="27" hidden="false" customHeight="true" outlineLevel="0" collapsed="false">
      <c r="A422" s="0" t="n">
        <v>486.3</v>
      </c>
      <c r="B422" s="28" t="n">
        <v>1</v>
      </c>
      <c r="C422" s="0" t="n">
        <v>250823.11440229</v>
      </c>
      <c r="D422" s="0" t="n">
        <v>719032.01745234</v>
      </c>
    </row>
    <row r="423" customFormat="false" ht="27" hidden="false" customHeight="true" outlineLevel="0" collapsed="false">
      <c r="A423" s="0" t="n">
        <v>486.29</v>
      </c>
      <c r="B423" s="28" t="n">
        <v>1</v>
      </c>
      <c r="C423" s="0" t="n">
        <v>250639.20964591</v>
      </c>
      <c r="D423" s="0" t="n">
        <v>716524.68904774</v>
      </c>
    </row>
    <row r="424" customFormat="false" ht="27" hidden="false" customHeight="true" outlineLevel="0" collapsed="false">
      <c r="A424" s="0" t="n">
        <v>486.28</v>
      </c>
      <c r="B424" s="28" t="n">
        <v>1</v>
      </c>
      <c r="C424" s="0" t="n">
        <v>250456.15052084</v>
      </c>
      <c r="D424" s="0" t="n">
        <v>714019.2318499</v>
      </c>
    </row>
    <row r="425" customFormat="false" ht="27" hidden="false" customHeight="true" outlineLevel="0" collapsed="false">
      <c r="A425" s="0" t="n">
        <v>486.27</v>
      </c>
      <c r="B425" s="28" t="n">
        <v>1</v>
      </c>
      <c r="C425" s="0" t="n">
        <v>250273.938284</v>
      </c>
      <c r="D425" s="0" t="n">
        <v>711515.55094921</v>
      </c>
    </row>
    <row r="426" customFormat="false" ht="27" hidden="false" customHeight="true" outlineLevel="0" collapsed="false">
      <c r="A426" s="0" t="n">
        <v>486.26</v>
      </c>
      <c r="B426" s="28" t="n">
        <v>1</v>
      </c>
      <c r="C426" s="0" t="n">
        <v>250092.5267171</v>
      </c>
      <c r="D426" s="0" t="n">
        <v>709013.72221976</v>
      </c>
    </row>
    <row r="427" customFormat="false" ht="27" hidden="false" customHeight="true" outlineLevel="0" collapsed="false">
      <c r="A427" s="0" t="n">
        <v>486.25</v>
      </c>
      <c r="B427" s="28" t="n">
        <v>1</v>
      </c>
      <c r="C427" s="0" t="n">
        <v>249911.87483619</v>
      </c>
      <c r="D427" s="0" t="n">
        <v>706513.69908466</v>
      </c>
    </row>
    <row r="428" customFormat="false" ht="27" hidden="false" customHeight="true" outlineLevel="0" collapsed="false">
      <c r="A428" s="0" t="n">
        <v>486.24</v>
      </c>
      <c r="B428" s="28" t="n">
        <v>1</v>
      </c>
      <c r="C428" s="0" t="n">
        <v>249731.98725898</v>
      </c>
      <c r="D428" s="0" t="n">
        <v>704015.45686072</v>
      </c>
    </row>
    <row r="429" customFormat="false" ht="27" hidden="false" customHeight="true" outlineLevel="0" collapsed="false">
      <c r="A429" s="0" t="n">
        <v>486.23</v>
      </c>
      <c r="B429" s="28" t="n">
        <v>1</v>
      </c>
      <c r="C429" s="0" t="n">
        <v>249552.75311059</v>
      </c>
      <c r="D429" s="0" t="n">
        <v>701519.0818164</v>
      </c>
    </row>
    <row r="430" customFormat="false" ht="27" hidden="false" customHeight="true" outlineLevel="0" collapsed="false">
      <c r="A430" s="0" t="n">
        <v>486.22</v>
      </c>
      <c r="B430" s="28" t="n">
        <v>1</v>
      </c>
      <c r="C430" s="0" t="n">
        <v>249373.92572071</v>
      </c>
      <c r="D430" s="0" t="n">
        <v>699024.47091863</v>
      </c>
    </row>
    <row r="431" customFormat="false" ht="27" hidden="false" customHeight="true" outlineLevel="0" collapsed="false">
      <c r="A431" s="0" t="n">
        <v>486.21</v>
      </c>
      <c r="B431" s="28" t="n">
        <v>1</v>
      </c>
      <c r="C431" s="0" t="n">
        <v>249194.3735278</v>
      </c>
      <c r="D431" s="0" t="n">
        <v>696531.65373669</v>
      </c>
    </row>
    <row r="432" customFormat="false" ht="27" hidden="false" customHeight="true" outlineLevel="0" collapsed="false">
      <c r="A432" s="0" t="n">
        <v>486.2</v>
      </c>
      <c r="B432" s="28" t="n">
        <v>1</v>
      </c>
      <c r="C432" s="0" t="n">
        <v>248819.33457637</v>
      </c>
      <c r="D432" s="0" t="n">
        <v>694040.59809821</v>
      </c>
    </row>
    <row r="433" customFormat="false" ht="27" hidden="false" customHeight="true" outlineLevel="0" collapsed="false">
      <c r="A433" s="0" t="n">
        <v>486.19</v>
      </c>
      <c r="B433" s="28" t="n">
        <v>1</v>
      </c>
      <c r="C433" s="0" t="n">
        <v>248626.09527103</v>
      </c>
      <c r="D433" s="0" t="n">
        <v>691553.38387681</v>
      </c>
    </row>
    <row r="434" customFormat="false" ht="27" hidden="false" customHeight="true" outlineLevel="0" collapsed="false">
      <c r="A434" s="0" t="n">
        <v>486.18</v>
      </c>
      <c r="B434" s="28" t="n">
        <v>1</v>
      </c>
      <c r="C434" s="0" t="n">
        <v>248451.48401623</v>
      </c>
      <c r="D434" s="0" t="n">
        <v>689067.98781264</v>
      </c>
    </row>
    <row r="435" customFormat="false" ht="27" hidden="false" customHeight="true" outlineLevel="0" collapsed="false">
      <c r="A435" s="0" t="n">
        <v>486.17</v>
      </c>
      <c r="B435" s="28" t="n">
        <v>1</v>
      </c>
      <c r="C435" s="0" t="n">
        <v>248278.22638817</v>
      </c>
      <c r="D435" s="0" t="n">
        <v>686584.36995865</v>
      </c>
    </row>
    <row r="436" customFormat="false" ht="27" hidden="false" customHeight="true" outlineLevel="0" collapsed="false">
      <c r="A436" s="0" t="n">
        <v>486.16</v>
      </c>
      <c r="B436" s="28" t="n">
        <v>1</v>
      </c>
      <c r="C436" s="0" t="n">
        <v>248105.20137641</v>
      </c>
      <c r="D436" s="0" t="n">
        <v>684102.43294888</v>
      </c>
    </row>
    <row r="437" customFormat="false" ht="27" hidden="false" customHeight="true" outlineLevel="0" collapsed="false">
      <c r="A437" s="0" t="n">
        <v>486.15</v>
      </c>
      <c r="B437" s="28" t="n">
        <v>1</v>
      </c>
      <c r="C437" s="0" t="n">
        <v>247931.83463755</v>
      </c>
      <c r="D437" s="0" t="n">
        <v>681622.26330569</v>
      </c>
    </row>
    <row r="438" customFormat="false" ht="27" hidden="false" customHeight="true" outlineLevel="0" collapsed="false">
      <c r="A438" s="0" t="n">
        <v>486.14</v>
      </c>
      <c r="B438" s="28" t="n">
        <v>1</v>
      </c>
      <c r="C438" s="0" t="n">
        <v>247757.93148071</v>
      </c>
      <c r="D438" s="0" t="n">
        <v>679143.79528626</v>
      </c>
    </row>
    <row r="439" customFormat="false" ht="27" hidden="false" customHeight="true" outlineLevel="0" collapsed="false">
      <c r="A439" s="0" t="n">
        <v>486.13</v>
      </c>
      <c r="B439" s="28" t="n">
        <v>1</v>
      </c>
      <c r="C439" s="0" t="n">
        <v>247583.51459634</v>
      </c>
      <c r="D439" s="0" t="n">
        <v>676667.12680616</v>
      </c>
    </row>
    <row r="440" customFormat="false" ht="27" hidden="false" customHeight="true" outlineLevel="0" collapsed="false">
      <c r="A440" s="0" t="n">
        <v>486.12</v>
      </c>
      <c r="B440" s="28" t="n">
        <v>1</v>
      </c>
      <c r="C440" s="0" t="n">
        <v>247408.42497399</v>
      </c>
      <c r="D440" s="0" t="n">
        <v>674192.14268094</v>
      </c>
    </row>
    <row r="441" customFormat="false" ht="27" hidden="false" customHeight="true" outlineLevel="0" collapsed="false">
      <c r="A441" s="0" t="n">
        <v>486.11</v>
      </c>
      <c r="B441" s="29" t="n">
        <v>1</v>
      </c>
      <c r="C441" s="0" t="n">
        <v>247232.65178321</v>
      </c>
      <c r="D441" s="0" t="n">
        <v>671718.95050206</v>
      </c>
    </row>
    <row r="442" customFormat="false" ht="27" hidden="false" customHeight="true" outlineLevel="0" collapsed="false">
      <c r="A442" s="0" t="n">
        <v>486.1</v>
      </c>
      <c r="B442" s="29" t="n">
        <v>1</v>
      </c>
      <c r="C442" s="0" t="n">
        <v>247056.15062224</v>
      </c>
      <c r="D442" s="0" t="n">
        <v>669247.52662453</v>
      </c>
    </row>
    <row r="443" customFormat="false" ht="27" hidden="false" customHeight="true" outlineLevel="0" collapsed="false">
      <c r="A443" s="0" t="n">
        <v>486.09</v>
      </c>
      <c r="B443" s="29" t="n">
        <v>1</v>
      </c>
      <c r="C443" s="0" t="n">
        <v>246878.91468178</v>
      </c>
      <c r="D443" s="0" t="n">
        <v>666777.84369166</v>
      </c>
    </row>
    <row r="444" customFormat="false" ht="27" hidden="false" customHeight="true" outlineLevel="0" collapsed="false">
      <c r="A444" s="0" t="n">
        <v>486.08</v>
      </c>
      <c r="B444" s="29" t="n">
        <v>1</v>
      </c>
      <c r="C444" s="0" t="n">
        <v>246700.92683453</v>
      </c>
      <c r="D444" s="0" t="n">
        <v>664309.982665</v>
      </c>
    </row>
    <row r="445" customFormat="false" ht="27" hidden="false" customHeight="true" outlineLevel="0" collapsed="false">
      <c r="A445" s="0" t="n">
        <v>486.07</v>
      </c>
      <c r="B445" s="29" t="n">
        <v>1</v>
      </c>
      <c r="C445" s="0" t="n">
        <v>246522.12280924</v>
      </c>
      <c r="D445" s="0" t="n">
        <v>661843.89445887</v>
      </c>
    </row>
    <row r="446" customFormat="false" ht="27" hidden="false" customHeight="true" outlineLevel="0" collapsed="false">
      <c r="A446" s="0" t="n">
        <v>486.06</v>
      </c>
      <c r="B446" s="29" t="n">
        <v>1</v>
      </c>
      <c r="C446" s="0" t="n">
        <v>246342.35237521</v>
      </c>
      <c r="D446" s="0" t="n">
        <v>659379.57581343</v>
      </c>
    </row>
    <row r="447" customFormat="false" ht="27" hidden="false" customHeight="true" outlineLevel="0" collapsed="false">
      <c r="A447" s="0" t="n">
        <v>486.05</v>
      </c>
      <c r="B447" s="29" t="n">
        <v>1</v>
      </c>
      <c r="C447" s="0" t="n">
        <v>246161.56784429</v>
      </c>
      <c r="D447" s="0" t="n">
        <v>656917.11407151</v>
      </c>
    </row>
    <row r="448" customFormat="false" ht="27" hidden="false" customHeight="true" outlineLevel="0" collapsed="false">
      <c r="A448" s="0" t="n">
        <v>486.04</v>
      </c>
      <c r="B448" s="29" t="n">
        <v>1</v>
      </c>
      <c r="C448" s="0" t="n">
        <v>245979.69279099</v>
      </c>
      <c r="D448" s="0" t="n">
        <v>654456.40571155</v>
      </c>
    </row>
    <row r="449" customFormat="false" ht="27" hidden="false" customHeight="true" outlineLevel="0" collapsed="false">
      <c r="A449" s="0" t="n">
        <v>486.03</v>
      </c>
      <c r="B449" s="29" t="n">
        <v>1</v>
      </c>
      <c r="C449" s="0" t="n">
        <v>245796.37592725</v>
      </c>
      <c r="D449" s="0" t="n">
        <v>651997.59137569</v>
      </c>
    </row>
    <row r="450" customFormat="false" ht="27" hidden="false" customHeight="true" outlineLevel="0" collapsed="false">
      <c r="A450" s="0" t="n">
        <v>486.02</v>
      </c>
      <c r="B450" s="28" t="n">
        <v>1</v>
      </c>
      <c r="C450" s="0" t="n">
        <v>245611.53608919</v>
      </c>
      <c r="D450" s="0" t="n">
        <v>649540.57578211</v>
      </c>
    </row>
    <row r="451" customFormat="false" ht="27" hidden="false" customHeight="true" outlineLevel="0" collapsed="false">
      <c r="A451" s="0" t="n">
        <v>486.01</v>
      </c>
      <c r="B451" s="28" t="n">
        <v>1</v>
      </c>
      <c r="C451" s="0" t="n">
        <v>245423.12431121</v>
      </c>
      <c r="D451" s="0" t="n">
        <v>647085.42898622</v>
      </c>
    </row>
    <row r="452" customFormat="false" ht="27" hidden="false" customHeight="true" outlineLevel="0" collapsed="false">
      <c r="A452" s="0" t="n">
        <v>486</v>
      </c>
      <c r="B452" s="28" t="n">
        <v>1</v>
      </c>
      <c r="C452" s="0" t="n">
        <v>245184.93791402</v>
      </c>
      <c r="D452" s="0" t="n">
        <v>644632.24726218</v>
      </c>
    </row>
    <row r="453" customFormat="false" ht="27" hidden="false" customHeight="true" outlineLevel="0" collapsed="false">
      <c r="A453" s="0" t="n">
        <v>485.99</v>
      </c>
      <c r="B453" s="28" t="n">
        <v>1</v>
      </c>
      <c r="C453" s="0" t="n">
        <v>244558.93018182</v>
      </c>
      <c r="D453" s="0" t="n">
        <v>642185.36183873</v>
      </c>
    </row>
    <row r="454" customFormat="false" ht="27" hidden="false" customHeight="true" outlineLevel="0" collapsed="false">
      <c r="A454" s="0" t="n">
        <v>485.98</v>
      </c>
      <c r="B454" s="28" t="n">
        <v>1</v>
      </c>
      <c r="C454" s="0" t="n">
        <v>244344.87274</v>
      </c>
      <c r="D454" s="0" t="n">
        <v>639740.84069225</v>
      </c>
    </row>
    <row r="455" customFormat="false" ht="27" hidden="false" customHeight="true" outlineLevel="0" collapsed="false">
      <c r="A455" s="0" t="n">
        <v>485.97</v>
      </c>
      <c r="B455" s="28" t="n">
        <v>1</v>
      </c>
      <c r="C455" s="0" t="n">
        <v>244131.79786616</v>
      </c>
      <c r="D455" s="0" t="n">
        <v>637298.46797694</v>
      </c>
    </row>
    <row r="456" customFormat="false" ht="27" hidden="false" customHeight="true" outlineLevel="0" collapsed="false">
      <c r="A456" s="0" t="n">
        <v>485.96</v>
      </c>
      <c r="B456" s="28" t="n">
        <v>1</v>
      </c>
      <c r="C456" s="0" t="n">
        <v>243918.73698894</v>
      </c>
      <c r="D456" s="0" t="n">
        <v>634858.2124726</v>
      </c>
    </row>
    <row r="457" customFormat="false" ht="27" hidden="false" customHeight="true" outlineLevel="0" collapsed="false">
      <c r="A457" s="0" t="n">
        <v>485.95</v>
      </c>
      <c r="B457" s="28" t="n">
        <v>1</v>
      </c>
      <c r="C457" s="0" t="n">
        <v>243705.17899574</v>
      </c>
      <c r="D457" s="0" t="n">
        <v>632420.08159173</v>
      </c>
    </row>
    <row r="458" customFormat="false" ht="27" hidden="false" customHeight="true" outlineLevel="0" collapsed="false">
      <c r="A458" s="0" t="n">
        <v>485.94</v>
      </c>
      <c r="B458" s="28" t="n">
        <v>1</v>
      </c>
      <c r="C458" s="0" t="n">
        <v>243491.12530917</v>
      </c>
      <c r="D458" s="0" t="n">
        <v>629984.11643704</v>
      </c>
    </row>
    <row r="459" customFormat="false" ht="27" hidden="false" customHeight="true" outlineLevel="0" collapsed="false">
      <c r="A459" s="0" t="n">
        <v>485.93</v>
      </c>
      <c r="B459" s="28" t="n">
        <v>1</v>
      </c>
      <c r="C459" s="0" t="n">
        <v>243276.40864582</v>
      </c>
      <c r="D459" s="0" t="n">
        <v>627550.29107825</v>
      </c>
    </row>
    <row r="460" customFormat="false" ht="27" hidden="false" customHeight="true" outlineLevel="0" collapsed="false">
      <c r="A460" s="0" t="n">
        <v>485.92</v>
      </c>
      <c r="B460" s="28" t="n">
        <v>1</v>
      </c>
      <c r="C460" s="0" t="n">
        <v>243061.11779672</v>
      </c>
      <c r="D460" s="0" t="n">
        <v>625118.5994414</v>
      </c>
    </row>
    <row r="461" customFormat="false" ht="27" hidden="false" customHeight="true" outlineLevel="0" collapsed="false">
      <c r="A461" s="0" t="n">
        <v>485.91</v>
      </c>
      <c r="B461" s="28" t="n">
        <v>1</v>
      </c>
      <c r="C461" s="0" t="n">
        <v>242845.17488054</v>
      </c>
      <c r="D461" s="0" t="n">
        <v>622689.04586271</v>
      </c>
    </row>
    <row r="462" customFormat="false" ht="27" hidden="false" customHeight="true" outlineLevel="0" collapsed="false">
      <c r="A462" s="0" t="n">
        <v>485.9</v>
      </c>
      <c r="B462" s="28" t="n">
        <v>1</v>
      </c>
      <c r="C462" s="0" t="n">
        <v>242628.41422712</v>
      </c>
      <c r="D462" s="0" t="n">
        <v>620261.7181485</v>
      </c>
    </row>
    <row r="463" customFormat="false" ht="27" hidden="false" customHeight="true" outlineLevel="0" collapsed="false">
      <c r="A463" s="0" t="n">
        <v>485.89</v>
      </c>
      <c r="B463" s="28" t="n">
        <v>1</v>
      </c>
      <c r="C463" s="0" t="n">
        <v>242410.9123939</v>
      </c>
      <c r="D463" s="0" t="n">
        <v>617836.57865819</v>
      </c>
    </row>
    <row r="464" customFormat="false" ht="27" hidden="false" customHeight="true" outlineLevel="0" collapsed="false">
      <c r="A464" s="0" t="n">
        <v>485.88</v>
      </c>
      <c r="B464" s="28" t="n">
        <v>1</v>
      </c>
      <c r="C464" s="0" t="n">
        <v>242192.59010038</v>
      </c>
      <c r="D464" s="0" t="n">
        <v>615413.63317362</v>
      </c>
    </row>
    <row r="465" customFormat="false" ht="27" hidden="false" customHeight="true" outlineLevel="0" collapsed="false">
      <c r="A465" s="0" t="n">
        <v>485.87</v>
      </c>
      <c r="B465" s="28" t="n">
        <v>1</v>
      </c>
      <c r="C465" s="0" t="n">
        <v>241973.40988087</v>
      </c>
      <c r="D465" s="0" t="n">
        <v>612992.82838558</v>
      </c>
    </row>
    <row r="466" customFormat="false" ht="27" hidden="false" customHeight="true" outlineLevel="0" collapsed="false">
      <c r="A466" s="0" t="n">
        <v>485.86</v>
      </c>
      <c r="B466" s="28" t="n">
        <v>1</v>
      </c>
      <c r="C466" s="0" t="n">
        <v>241753.36095255</v>
      </c>
      <c r="D466" s="0" t="n">
        <v>610574.23994314</v>
      </c>
    </row>
    <row r="467" customFormat="false" ht="27" hidden="false" customHeight="true" outlineLevel="0" collapsed="false">
      <c r="A467" s="0" t="n">
        <v>485.85</v>
      </c>
      <c r="B467" s="28" t="n">
        <v>1</v>
      </c>
      <c r="C467" s="0" t="n">
        <v>241532.40253847</v>
      </c>
      <c r="D467" s="0" t="n">
        <v>608157.84332402</v>
      </c>
    </row>
    <row r="468" customFormat="false" ht="27" hidden="false" customHeight="true" outlineLevel="0" collapsed="false">
      <c r="A468" s="0" t="n">
        <v>485.84</v>
      </c>
      <c r="B468" s="28" t="n">
        <v>1</v>
      </c>
      <c r="C468" s="0" t="n">
        <v>241310.23295944</v>
      </c>
      <c r="D468" s="0" t="n">
        <v>605743.64491948</v>
      </c>
    </row>
    <row r="469" customFormat="false" ht="27" hidden="false" customHeight="true" outlineLevel="0" collapsed="false">
      <c r="A469" s="0" t="n">
        <v>485.83</v>
      </c>
      <c r="B469" s="28" t="n">
        <v>1</v>
      </c>
      <c r="C469" s="0" t="n">
        <v>241086.6506733</v>
      </c>
      <c r="D469" s="0" t="n">
        <v>603331.63394874</v>
      </c>
    </row>
    <row r="470" customFormat="false" ht="27" hidden="false" customHeight="true" outlineLevel="0" collapsed="false">
      <c r="A470" s="0" t="n">
        <v>485.82</v>
      </c>
      <c r="B470" s="28" t="n">
        <v>1</v>
      </c>
      <c r="C470" s="0" t="n">
        <v>240861.47899161</v>
      </c>
      <c r="D470" s="0" t="n">
        <v>600921.89997215</v>
      </c>
    </row>
    <row r="471" customFormat="false" ht="27" hidden="false" customHeight="true" outlineLevel="0" collapsed="false">
      <c r="A471" s="0" t="n">
        <v>485.81</v>
      </c>
      <c r="B471" s="28" t="n">
        <v>1</v>
      </c>
      <c r="C471" s="0" t="n">
        <v>240633.91118665</v>
      </c>
      <c r="D471" s="0" t="n">
        <v>598514.45365004</v>
      </c>
    </row>
    <row r="472" customFormat="false" ht="27" hidden="false" customHeight="true" outlineLevel="0" collapsed="false">
      <c r="A472" s="0" t="n">
        <v>485.8</v>
      </c>
      <c r="B472" s="28" t="n">
        <v>1</v>
      </c>
      <c r="C472" s="0" t="n">
        <v>240376.42169635</v>
      </c>
      <c r="D472" s="0" t="n">
        <v>596109.34431774</v>
      </c>
    </row>
    <row r="473" customFormat="false" ht="27" hidden="false" customHeight="true" outlineLevel="0" collapsed="false">
      <c r="A473" s="0" t="n">
        <v>485.79</v>
      </c>
      <c r="B473" s="28" t="n">
        <v>1</v>
      </c>
      <c r="C473" s="0" t="n">
        <v>239915.96701046</v>
      </c>
      <c r="D473" s="0" t="n">
        <v>593708.63922297</v>
      </c>
    </row>
    <row r="474" customFormat="false" ht="27" hidden="false" customHeight="true" outlineLevel="0" collapsed="false">
      <c r="A474" s="0" t="n">
        <v>485.78</v>
      </c>
      <c r="B474" s="28" t="n">
        <v>1</v>
      </c>
      <c r="C474" s="0" t="n">
        <v>239641.38513405</v>
      </c>
      <c r="D474" s="0" t="n">
        <v>591310.86118288</v>
      </c>
    </row>
    <row r="475" customFormat="false" ht="27" hidden="false" customHeight="true" outlineLevel="0" collapsed="false">
      <c r="A475" s="0" t="n">
        <v>485.77</v>
      </c>
      <c r="B475" s="28" t="n">
        <v>1</v>
      </c>
      <c r="C475" s="0" t="n">
        <v>239369.51849835</v>
      </c>
      <c r="D475" s="0" t="n">
        <v>588915.83827856</v>
      </c>
    </row>
    <row r="476" customFormat="false" ht="27" hidden="false" customHeight="true" outlineLevel="0" collapsed="false">
      <c r="A476" s="0" t="n">
        <v>485.76</v>
      </c>
      <c r="B476" s="28" t="n">
        <v>1</v>
      </c>
      <c r="C476" s="0" t="n">
        <v>239099.16827718</v>
      </c>
      <c r="D476" s="0" t="n">
        <v>586523.49831838</v>
      </c>
    </row>
    <row r="477" customFormat="false" ht="27" hidden="false" customHeight="true" outlineLevel="0" collapsed="false">
      <c r="A477" s="0" t="n">
        <v>485.75</v>
      </c>
      <c r="B477" s="29" t="n">
        <v>1</v>
      </c>
      <c r="C477" s="0" t="n">
        <v>238829.92729148</v>
      </c>
      <c r="D477" s="0" t="n">
        <v>584133.84536879</v>
      </c>
    </row>
    <row r="478" customFormat="false" ht="27" hidden="false" customHeight="true" outlineLevel="0" collapsed="false">
      <c r="A478" s="0" t="n">
        <v>485.74</v>
      </c>
      <c r="B478" s="29" t="n">
        <v>1</v>
      </c>
      <c r="C478" s="0" t="n">
        <v>238561.67395594</v>
      </c>
      <c r="D478" s="0" t="n">
        <v>581746.90886284</v>
      </c>
    </row>
    <row r="479" customFormat="false" ht="27" hidden="false" customHeight="true" outlineLevel="0" collapsed="false">
      <c r="A479" s="0" t="n">
        <v>485.73</v>
      </c>
      <c r="B479" s="29" t="n">
        <v>1</v>
      </c>
      <c r="C479" s="0" t="n">
        <v>238294.20091754</v>
      </c>
      <c r="D479" s="0" t="n">
        <v>579362.64141189</v>
      </c>
    </row>
    <row r="480" customFormat="false" ht="27" hidden="false" customHeight="true" outlineLevel="0" collapsed="false">
      <c r="A480" s="0" t="n">
        <v>485.72</v>
      </c>
      <c r="B480" s="29" t="n">
        <v>1</v>
      </c>
      <c r="C480" s="0" t="n">
        <v>238027.56630016</v>
      </c>
      <c r="D480" s="0" t="n">
        <v>576981.01853661</v>
      </c>
    </row>
    <row r="481" customFormat="false" ht="27" hidden="false" customHeight="true" outlineLevel="0" collapsed="false">
      <c r="A481" s="0" t="n">
        <v>485.71</v>
      </c>
      <c r="B481" s="29" t="n">
        <v>1</v>
      </c>
      <c r="C481" s="0" t="n">
        <v>237761.58071574</v>
      </c>
      <c r="D481" s="0" t="n">
        <v>574602.12255296</v>
      </c>
    </row>
    <row r="482" customFormat="false" ht="27" hidden="false" customHeight="true" outlineLevel="0" collapsed="false">
      <c r="A482" s="0" t="n">
        <v>485.7</v>
      </c>
      <c r="B482" s="29" t="n">
        <v>1</v>
      </c>
      <c r="C482" s="0" t="n">
        <v>237496.41257638</v>
      </c>
      <c r="D482" s="0" t="n">
        <v>572225.83531794</v>
      </c>
    </row>
    <row r="483" customFormat="false" ht="27" hidden="false" customHeight="true" outlineLevel="0" collapsed="false">
      <c r="A483" s="0" t="n">
        <v>485.69</v>
      </c>
      <c r="B483" s="29" t="n">
        <v>1</v>
      </c>
      <c r="C483" s="0" t="n">
        <v>237231.9074617</v>
      </c>
      <c r="D483" s="0" t="n">
        <v>569852.21688478</v>
      </c>
    </row>
    <row r="484" customFormat="false" ht="27" hidden="false" customHeight="true" outlineLevel="0" collapsed="false">
      <c r="A484" s="0" t="n">
        <v>485.68</v>
      </c>
      <c r="B484" s="29" t="n">
        <v>1</v>
      </c>
      <c r="C484" s="0" t="n">
        <v>236968.00744953</v>
      </c>
      <c r="D484" s="0" t="n">
        <v>567481.26887632</v>
      </c>
    </row>
    <row r="485" customFormat="false" ht="27" hidden="false" customHeight="true" outlineLevel="0" collapsed="false">
      <c r="A485" s="0" t="n">
        <v>485.67</v>
      </c>
      <c r="B485" s="29" t="n">
        <v>1</v>
      </c>
      <c r="C485" s="0" t="n">
        <v>236704.74054355</v>
      </c>
      <c r="D485" s="0" t="n">
        <v>565112.95472373</v>
      </c>
    </row>
    <row r="486" customFormat="false" ht="27" hidden="false" customHeight="true" outlineLevel="0" collapsed="false">
      <c r="A486" s="0" t="n">
        <v>485.66</v>
      </c>
      <c r="B486" s="28" t="n">
        <v>1</v>
      </c>
      <c r="C486" s="0" t="n">
        <v>236442.14677259</v>
      </c>
      <c r="D486" s="0" t="n">
        <v>562747.24290904</v>
      </c>
    </row>
    <row r="487" customFormat="false" ht="27" hidden="false" customHeight="true" outlineLevel="0" collapsed="false">
      <c r="A487" s="0" t="n">
        <v>485.65</v>
      </c>
      <c r="B487" s="28" t="n">
        <v>1</v>
      </c>
      <c r="C487" s="0" t="n">
        <v>236179.83532431</v>
      </c>
      <c r="D487" s="0" t="n">
        <v>560384.12602931</v>
      </c>
    </row>
    <row r="488" customFormat="false" ht="27" hidden="false" customHeight="true" outlineLevel="0" collapsed="false">
      <c r="A488" s="0" t="n">
        <v>485.64</v>
      </c>
      <c r="B488" s="28" t="n">
        <v>1</v>
      </c>
      <c r="C488" s="0" t="n">
        <v>235917.71964001</v>
      </c>
      <c r="D488" s="0" t="n">
        <v>558023.66807031</v>
      </c>
    </row>
    <row r="489" customFormat="false" ht="27" hidden="false" customHeight="true" outlineLevel="0" collapsed="false">
      <c r="A489" s="0" t="n">
        <v>485.63</v>
      </c>
      <c r="B489" s="28" t="n">
        <v>1</v>
      </c>
      <c r="C489" s="0" t="n">
        <v>235655.38246576</v>
      </c>
      <c r="D489" s="0" t="n">
        <v>555665.84166577</v>
      </c>
    </row>
    <row r="490" customFormat="false" ht="27" hidden="false" customHeight="true" outlineLevel="0" collapsed="false">
      <c r="A490" s="0" t="n">
        <v>485.62</v>
      </c>
      <c r="B490" s="28" t="n">
        <v>1</v>
      </c>
      <c r="C490" s="0" t="n">
        <v>235392.05050932</v>
      </c>
      <c r="D490" s="0" t="n">
        <v>553310.67915202</v>
      </c>
    </row>
    <row r="491" customFormat="false" ht="27" hidden="false" customHeight="true" outlineLevel="0" collapsed="false">
      <c r="A491" s="0" t="n">
        <v>485.61</v>
      </c>
      <c r="B491" s="28" t="n">
        <v>1</v>
      </c>
      <c r="C491" s="0" t="n">
        <v>235125.90800407</v>
      </c>
      <c r="D491" s="0" t="n">
        <v>550958.13400095</v>
      </c>
    </row>
    <row r="492" customFormat="false" ht="27" hidden="false" customHeight="true" outlineLevel="0" collapsed="false">
      <c r="A492" s="0" t="n">
        <v>485.6</v>
      </c>
      <c r="B492" s="28" t="n">
        <v>1</v>
      </c>
      <c r="C492" s="0" t="n">
        <v>234743.02694717</v>
      </c>
      <c r="D492" s="0" t="n">
        <v>548608.26030213</v>
      </c>
    </row>
    <row r="493" customFormat="false" ht="27" hidden="false" customHeight="true" outlineLevel="0" collapsed="false">
      <c r="A493" s="0" t="n">
        <v>485.59</v>
      </c>
      <c r="B493" s="28" t="n">
        <v>1</v>
      </c>
      <c r="C493" s="0" t="n">
        <v>234326.97296014</v>
      </c>
      <c r="D493" s="0" t="n">
        <v>546263.60196602</v>
      </c>
    </row>
    <row r="494" customFormat="false" ht="27" hidden="false" customHeight="true" outlineLevel="0" collapsed="false">
      <c r="A494" s="0" t="n">
        <v>485.58</v>
      </c>
      <c r="B494" s="28" t="n">
        <v>1</v>
      </c>
      <c r="C494" s="0" t="n">
        <v>234076.99697448</v>
      </c>
      <c r="D494" s="0" t="n">
        <v>543921.58001476</v>
      </c>
    </row>
    <row r="495" customFormat="false" ht="27" hidden="false" customHeight="true" outlineLevel="0" collapsed="false">
      <c r="A495" s="0" t="n">
        <v>485.57</v>
      </c>
      <c r="B495" s="28" t="n">
        <v>1</v>
      </c>
      <c r="C495" s="0" t="n">
        <v>233828.93910394</v>
      </c>
      <c r="D495" s="0" t="n">
        <v>541582.06636398</v>
      </c>
    </row>
    <row r="496" customFormat="false" ht="27" hidden="false" customHeight="true" outlineLevel="0" collapsed="false">
      <c r="A496" s="0" t="n">
        <v>485.56</v>
      </c>
      <c r="B496" s="28" t="n">
        <v>1</v>
      </c>
      <c r="C496" s="0" t="n">
        <v>233581.19541904</v>
      </c>
      <c r="D496" s="0" t="n">
        <v>539245.01924321</v>
      </c>
    </row>
    <row r="497" customFormat="false" ht="27" hidden="false" customHeight="true" outlineLevel="0" collapsed="false">
      <c r="A497" s="0" t="n">
        <v>485.55</v>
      </c>
      <c r="B497" s="28" t="n">
        <v>1</v>
      </c>
      <c r="C497" s="0" t="n">
        <v>233333.45777044</v>
      </c>
      <c r="D497" s="0" t="n">
        <v>536910.4087834</v>
      </c>
    </row>
    <row r="498" customFormat="false" ht="27" hidden="false" customHeight="true" outlineLevel="0" collapsed="false">
      <c r="A498" s="0" t="n">
        <v>485.54</v>
      </c>
      <c r="B498" s="28" t="n">
        <v>1</v>
      </c>
      <c r="C498" s="0" t="n">
        <v>233085.62996829</v>
      </c>
      <c r="D498" s="0" t="n">
        <v>534578.30043045</v>
      </c>
    </row>
    <row r="499" customFormat="false" ht="27" hidden="false" customHeight="true" outlineLevel="0" collapsed="false">
      <c r="A499" s="0" t="n">
        <v>485.53</v>
      </c>
      <c r="B499" s="28" t="n">
        <v>1</v>
      </c>
      <c r="C499" s="0" t="n">
        <v>232837.77615263</v>
      </c>
      <c r="D499" s="0" t="n">
        <v>532248.65128016</v>
      </c>
    </row>
    <row r="500" customFormat="false" ht="27" hidden="false" customHeight="true" outlineLevel="0" collapsed="false">
      <c r="A500" s="0" t="n">
        <v>485.52</v>
      </c>
      <c r="B500" s="28" t="n">
        <v>1</v>
      </c>
      <c r="C500" s="0" t="n">
        <v>232589.94316538</v>
      </c>
      <c r="D500" s="0" t="n">
        <v>529921.50199371</v>
      </c>
    </row>
    <row r="501" customFormat="false" ht="27" hidden="false" customHeight="true" outlineLevel="0" collapsed="false">
      <c r="A501" s="0" t="n">
        <v>485.51</v>
      </c>
      <c r="B501" s="28" t="n">
        <v>1</v>
      </c>
      <c r="C501" s="0" t="n">
        <v>232342.04349217</v>
      </c>
      <c r="D501" s="0" t="n">
        <v>527596.81052447</v>
      </c>
    </row>
    <row r="502" customFormat="false" ht="27" hidden="false" customHeight="true" outlineLevel="0" collapsed="false">
      <c r="A502" s="0" t="n">
        <v>485.5</v>
      </c>
      <c r="B502" s="28" t="n">
        <v>1</v>
      </c>
      <c r="C502" s="0" t="n">
        <v>232094.09594253</v>
      </c>
      <c r="D502" s="0" t="n">
        <v>525274.65430577</v>
      </c>
    </row>
    <row r="503" customFormat="false" ht="27" hidden="false" customHeight="true" outlineLevel="0" collapsed="false">
      <c r="A503" s="0" t="n">
        <v>485.49</v>
      </c>
      <c r="B503" s="28" t="n">
        <v>1</v>
      </c>
      <c r="C503" s="0" t="n">
        <v>231845.98112466</v>
      </c>
      <c r="D503" s="0" t="n">
        <v>522954.96025451</v>
      </c>
    </row>
    <row r="504" customFormat="false" ht="27" hidden="false" customHeight="true" outlineLevel="0" collapsed="false">
      <c r="A504" s="0" t="n">
        <v>485.48</v>
      </c>
      <c r="B504" s="28" t="n">
        <v>1</v>
      </c>
      <c r="C504" s="0" t="n">
        <v>231597.69369394</v>
      </c>
      <c r="D504" s="0" t="n">
        <v>520637.78312152</v>
      </c>
    </row>
    <row r="505" customFormat="false" ht="27" hidden="false" customHeight="true" outlineLevel="0" collapsed="false">
      <c r="A505" s="0" t="n">
        <v>485.47</v>
      </c>
      <c r="B505" s="28" t="n">
        <v>1</v>
      </c>
      <c r="C505" s="0" t="n">
        <v>231349.24132129</v>
      </c>
      <c r="D505" s="0" t="n">
        <v>518323.07116749</v>
      </c>
    </row>
    <row r="506" customFormat="false" ht="27" hidden="false" customHeight="true" outlineLevel="0" collapsed="false">
      <c r="A506" s="0" t="n">
        <v>485.46</v>
      </c>
      <c r="B506" s="28" t="n">
        <v>1</v>
      </c>
      <c r="C506" s="0" t="n">
        <v>231100.62984352</v>
      </c>
      <c r="D506" s="0" t="n">
        <v>516010.89440764</v>
      </c>
    </row>
    <row r="507" customFormat="false" ht="27" hidden="false" customHeight="true" outlineLevel="0" collapsed="false">
      <c r="A507" s="0" t="n">
        <v>485.45</v>
      </c>
      <c r="B507" s="28" t="n">
        <v>1</v>
      </c>
      <c r="C507" s="0" t="n">
        <v>230851.89176453</v>
      </c>
      <c r="D507" s="0" t="n">
        <v>513701.1102428</v>
      </c>
    </row>
    <row r="508" customFormat="false" ht="27" hidden="false" customHeight="true" outlineLevel="0" collapsed="false">
      <c r="A508" s="0" t="n">
        <v>485.44</v>
      </c>
      <c r="B508" s="28" t="n">
        <v>1</v>
      </c>
      <c r="C508" s="0" t="n">
        <v>230602.83493095</v>
      </c>
      <c r="D508" s="0" t="n">
        <v>511393.84960728</v>
      </c>
    </row>
    <row r="509" customFormat="false" ht="27" hidden="false" customHeight="true" outlineLevel="0" collapsed="false">
      <c r="A509" s="0" t="n">
        <v>485.43</v>
      </c>
      <c r="B509" s="28" t="n">
        <v>1</v>
      </c>
      <c r="C509" s="0" t="n">
        <v>230353.60552863</v>
      </c>
      <c r="D509" s="0" t="n">
        <v>509089.07338109</v>
      </c>
    </row>
    <row r="510" customFormat="false" ht="27" hidden="false" customHeight="true" outlineLevel="0" collapsed="false">
      <c r="A510" s="0" t="n">
        <v>485.42</v>
      </c>
      <c r="B510" s="28" t="n">
        <v>1</v>
      </c>
      <c r="C510" s="0" t="n">
        <v>230103.87316708</v>
      </c>
      <c r="D510" s="0" t="n">
        <v>506786.78438218</v>
      </c>
    </row>
    <row r="511" customFormat="false" ht="27" hidden="false" customHeight="true" outlineLevel="0" collapsed="false">
      <c r="A511" s="0" t="n">
        <v>485.41</v>
      </c>
      <c r="B511" s="28" t="n">
        <v>1</v>
      </c>
      <c r="C511" s="0" t="n">
        <v>229852.20902304</v>
      </c>
      <c r="D511" s="0" t="n">
        <v>504486.99928752</v>
      </c>
    </row>
    <row r="512" customFormat="false" ht="27" hidden="false" customHeight="true" outlineLevel="0" collapsed="false">
      <c r="A512" s="0" t="n">
        <v>485.4</v>
      </c>
      <c r="B512" s="28" t="n">
        <v>1</v>
      </c>
      <c r="C512" s="0" t="n">
        <v>229350.63865823</v>
      </c>
      <c r="D512" s="0" t="n">
        <v>502189.70251737</v>
      </c>
    </row>
    <row r="513" customFormat="false" ht="27" hidden="false" customHeight="true" outlineLevel="0" collapsed="false">
      <c r="A513" s="0" t="n">
        <v>485.39</v>
      </c>
      <c r="B513" s="29" t="n">
        <v>1</v>
      </c>
      <c r="C513" s="0" t="n">
        <v>229014.36321902</v>
      </c>
      <c r="D513" s="0" t="n">
        <v>499898.34232579</v>
      </c>
    </row>
    <row r="514" customFormat="false" ht="27" hidden="false" customHeight="true" outlineLevel="0" collapsed="false">
      <c r="A514" s="0" t="n">
        <v>485.38</v>
      </c>
      <c r="B514" s="29" t="n">
        <v>1</v>
      </c>
      <c r="C514" s="0" t="n">
        <v>228811.51231647</v>
      </c>
      <c r="D514" s="0" t="n">
        <v>497609.18775973</v>
      </c>
    </row>
    <row r="515" customFormat="false" ht="27" hidden="false" customHeight="true" outlineLevel="0" collapsed="false">
      <c r="A515" s="0" t="n">
        <v>485.37</v>
      </c>
      <c r="B515" s="29" t="n">
        <v>1</v>
      </c>
      <c r="C515" s="0" t="n">
        <v>228611.78698947</v>
      </c>
      <c r="D515" s="0" t="n">
        <v>495322.06876214</v>
      </c>
    </row>
    <row r="516" customFormat="false" ht="27" hidden="false" customHeight="true" outlineLevel="0" collapsed="false">
      <c r="A516" s="0" t="n">
        <v>485.36</v>
      </c>
      <c r="B516" s="29" t="n">
        <v>1</v>
      </c>
      <c r="C516" s="0" t="n">
        <v>228412.95247185</v>
      </c>
      <c r="D516" s="0" t="n">
        <v>493036.94658382</v>
      </c>
    </row>
    <row r="517" customFormat="false" ht="27" hidden="false" customHeight="true" outlineLevel="0" collapsed="false">
      <c r="A517" s="0" t="n">
        <v>485.35</v>
      </c>
      <c r="B517" s="29" t="n">
        <v>1</v>
      </c>
      <c r="C517" s="0" t="n">
        <v>228214.54655959</v>
      </c>
      <c r="D517" s="0" t="n">
        <v>490753.81267123</v>
      </c>
    </row>
    <row r="518" customFormat="false" ht="27" hidden="false" customHeight="true" outlineLevel="0" collapsed="false">
      <c r="A518" s="0" t="n">
        <v>485.34</v>
      </c>
      <c r="B518" s="29" t="n">
        <v>1</v>
      </c>
      <c r="C518" s="0" t="n">
        <v>228015.88212611</v>
      </c>
      <c r="D518" s="0" t="n">
        <v>488472.67137672</v>
      </c>
    </row>
    <row r="519" customFormat="false" ht="27" hidden="false" customHeight="true" outlineLevel="0" collapsed="false">
      <c r="A519" s="0" t="n">
        <v>485.33</v>
      </c>
      <c r="B519" s="29" t="n">
        <v>1</v>
      </c>
      <c r="C519" s="0" t="n">
        <v>227816.80629184</v>
      </c>
      <c r="D519" s="0" t="n">
        <v>486193.50394971</v>
      </c>
    </row>
    <row r="520" customFormat="false" ht="27" hidden="false" customHeight="true" outlineLevel="0" collapsed="false">
      <c r="A520" s="0" t="n">
        <v>485.32</v>
      </c>
      <c r="B520" s="29" t="n">
        <v>1</v>
      </c>
      <c r="C520" s="0" t="n">
        <v>227617.24406864</v>
      </c>
      <c r="D520" s="0" t="n">
        <v>483916.35583707</v>
      </c>
    </row>
    <row r="521" customFormat="false" ht="27" hidden="false" customHeight="true" outlineLevel="0" collapsed="false">
      <c r="A521" s="0" t="n">
        <v>485.31</v>
      </c>
      <c r="B521" s="29" t="n">
        <v>1</v>
      </c>
      <c r="C521" s="0" t="n">
        <v>227417.19304665</v>
      </c>
      <c r="D521" s="0" t="n">
        <v>481641.20210285</v>
      </c>
    </row>
    <row r="522" customFormat="false" ht="27" hidden="false" customHeight="true" outlineLevel="0" collapsed="false">
      <c r="A522" s="0" t="n">
        <v>485.3</v>
      </c>
      <c r="B522" s="28" t="n">
        <v>1</v>
      </c>
      <c r="C522" s="0" t="n">
        <v>227216.61728817</v>
      </c>
      <c r="D522" s="0" t="n">
        <v>479368.03249481</v>
      </c>
    </row>
    <row r="523" customFormat="false" ht="27" hidden="false" customHeight="true" outlineLevel="0" collapsed="false">
      <c r="A523" s="0" t="n">
        <v>485.29</v>
      </c>
      <c r="B523" s="28" t="n">
        <v>1</v>
      </c>
      <c r="C523" s="0" t="n">
        <v>227015.22529758</v>
      </c>
      <c r="D523" s="0" t="n">
        <v>477096.88728049</v>
      </c>
    </row>
    <row r="524" customFormat="false" ht="27" hidden="false" customHeight="true" outlineLevel="0" collapsed="false">
      <c r="A524" s="0" t="n">
        <v>485.28</v>
      </c>
      <c r="B524" s="28" t="n">
        <v>1</v>
      </c>
      <c r="C524" s="0" t="n">
        <v>226813.11176946</v>
      </c>
      <c r="D524" s="0" t="n">
        <v>474827.78744056</v>
      </c>
    </row>
    <row r="525" customFormat="false" ht="27" hidden="false" customHeight="true" outlineLevel="0" collapsed="false">
      <c r="A525" s="0" t="n">
        <v>485.27</v>
      </c>
      <c r="B525" s="28" t="n">
        <v>1</v>
      </c>
      <c r="C525" s="0" t="n">
        <v>226610.2665212</v>
      </c>
      <c r="D525" s="0" t="n">
        <v>472560.67654238</v>
      </c>
    </row>
    <row r="526" customFormat="false" ht="27" hidden="false" customHeight="true" outlineLevel="0" collapsed="false">
      <c r="A526" s="0" t="n">
        <v>485.26</v>
      </c>
      <c r="B526" s="28" t="n">
        <v>1</v>
      </c>
      <c r="C526" s="0" t="n">
        <v>226406.71524113</v>
      </c>
      <c r="D526" s="0" t="n">
        <v>470295.56102986</v>
      </c>
    </row>
    <row r="527" customFormat="false" ht="27" hidden="false" customHeight="true" outlineLevel="0" collapsed="false">
      <c r="A527" s="0" t="n">
        <v>485.25</v>
      </c>
      <c r="B527" s="28" t="n">
        <v>1</v>
      </c>
      <c r="C527" s="0" t="n">
        <v>226202.39906767</v>
      </c>
      <c r="D527" s="0" t="n">
        <v>468032.54760374</v>
      </c>
    </row>
    <row r="528" customFormat="false" ht="27" hidden="false" customHeight="true" outlineLevel="0" collapsed="false">
      <c r="A528" s="0" t="n">
        <v>485.24</v>
      </c>
      <c r="B528" s="28" t="n">
        <v>1</v>
      </c>
      <c r="C528" s="0" t="n">
        <v>225997.10709647</v>
      </c>
      <c r="D528" s="0" t="n">
        <v>465771.53774539</v>
      </c>
    </row>
    <row r="529" customFormat="false" ht="27" hidden="false" customHeight="true" outlineLevel="0" collapsed="false">
      <c r="A529" s="0" t="n">
        <v>485.23</v>
      </c>
      <c r="B529" s="28" t="n">
        <v>1</v>
      </c>
      <c r="C529" s="0" t="n">
        <v>225790.77073519</v>
      </c>
      <c r="D529" s="0" t="n">
        <v>463512.67333323</v>
      </c>
    </row>
    <row r="530" customFormat="false" ht="27" hidden="false" customHeight="true" outlineLevel="0" collapsed="false">
      <c r="A530" s="0" t="n">
        <v>485.22</v>
      </c>
      <c r="B530" s="28" t="n">
        <v>1</v>
      </c>
      <c r="C530" s="0" t="n">
        <v>225582.9221647</v>
      </c>
      <c r="D530" s="0" t="n">
        <v>461255.83638095</v>
      </c>
    </row>
    <row r="531" customFormat="false" ht="27" hidden="false" customHeight="true" outlineLevel="0" collapsed="false">
      <c r="A531" s="0" t="n">
        <v>485.21</v>
      </c>
      <c r="B531" s="28" t="n">
        <v>1</v>
      </c>
      <c r="C531" s="0" t="n">
        <v>225371.73517391</v>
      </c>
      <c r="D531" s="0" t="n">
        <v>459001.06916881</v>
      </c>
    </row>
    <row r="532" customFormat="false" ht="27" hidden="false" customHeight="true" outlineLevel="0" collapsed="false">
      <c r="A532" s="0" t="n">
        <v>485.2</v>
      </c>
      <c r="B532" s="28" t="n">
        <v>1</v>
      </c>
      <c r="C532" s="0" t="n">
        <v>224833.87420865</v>
      </c>
      <c r="D532" s="0" t="n">
        <v>456748.44411292</v>
      </c>
    </row>
    <row r="533" customFormat="false" ht="27" hidden="false" customHeight="true" outlineLevel="0" collapsed="false">
      <c r="A533" s="0" t="n">
        <v>485.19</v>
      </c>
      <c r="B533" s="28" t="n">
        <v>1</v>
      </c>
      <c r="C533" s="0" t="n">
        <v>224582.82464671</v>
      </c>
      <c r="D533" s="0" t="n">
        <v>454501.38017447</v>
      </c>
    </row>
    <row r="534" customFormat="false" ht="27" hidden="false" customHeight="true" outlineLevel="0" collapsed="false">
      <c r="A534" s="0" t="n">
        <v>485.18</v>
      </c>
      <c r="B534" s="28" t="n">
        <v>1</v>
      </c>
      <c r="C534" s="0" t="n">
        <v>224366.38714811</v>
      </c>
      <c r="D534" s="0" t="n">
        <v>452256.63055377</v>
      </c>
    </row>
    <row r="535" customFormat="false" ht="27" hidden="false" customHeight="true" outlineLevel="0" collapsed="false">
      <c r="A535" s="0" t="n">
        <v>485.17</v>
      </c>
      <c r="B535" s="28" t="n">
        <v>1</v>
      </c>
      <c r="C535" s="0" t="n">
        <v>224154.35958559</v>
      </c>
      <c r="D535" s="0" t="n">
        <v>450014.03986638</v>
      </c>
    </row>
    <row r="536" customFormat="false" ht="27" hidden="false" customHeight="true" outlineLevel="0" collapsed="false">
      <c r="A536" s="0" t="n">
        <v>485.16</v>
      </c>
      <c r="B536" s="28" t="n">
        <v>1</v>
      </c>
      <c r="C536" s="0" t="n">
        <v>223944.09890286</v>
      </c>
      <c r="D536" s="0" t="n">
        <v>447773.56914598</v>
      </c>
    </row>
    <row r="537" customFormat="false" ht="27" hidden="false" customHeight="true" outlineLevel="0" collapsed="false">
      <c r="A537" s="0" t="n">
        <v>485.15</v>
      </c>
      <c r="B537" s="28" t="n">
        <v>1</v>
      </c>
      <c r="C537" s="0" t="n">
        <v>223735.15156835</v>
      </c>
      <c r="D537" s="0" t="n">
        <v>445535.19833431</v>
      </c>
    </row>
    <row r="538" customFormat="false" ht="27" hidden="false" customHeight="true" outlineLevel="0" collapsed="false">
      <c r="A538" s="0" t="n">
        <v>485.14</v>
      </c>
      <c r="B538" s="28" t="n">
        <v>1</v>
      </c>
      <c r="C538" s="0" t="n">
        <v>223526.97003664</v>
      </c>
      <c r="D538" s="0" t="n">
        <v>443298.9098543</v>
      </c>
    </row>
    <row r="539" customFormat="false" ht="27" hidden="false" customHeight="true" outlineLevel="0" collapsed="false">
      <c r="A539" s="0" t="n">
        <v>485.13</v>
      </c>
      <c r="B539" s="28" t="n">
        <v>1</v>
      </c>
      <c r="C539" s="0" t="n">
        <v>223319.30960189</v>
      </c>
      <c r="D539" s="0" t="n">
        <v>441064.66733452</v>
      </c>
    </row>
    <row r="540" customFormat="false" ht="27" hidden="false" customHeight="true" outlineLevel="0" collapsed="false">
      <c r="A540" s="0" t="n">
        <v>485.12</v>
      </c>
      <c r="B540" s="28" t="n">
        <v>1</v>
      </c>
      <c r="C540" s="0" t="n">
        <v>223112.03223641</v>
      </c>
      <c r="D540" s="0" t="n">
        <v>438832.48246699</v>
      </c>
    </row>
    <row r="541" customFormat="false" ht="27" hidden="false" customHeight="true" outlineLevel="0" collapsed="false">
      <c r="A541" s="0" t="n">
        <v>485.11</v>
      </c>
      <c r="B541" s="28" t="n">
        <v>1</v>
      </c>
      <c r="C541" s="0" t="n">
        <v>222905.05461182</v>
      </c>
      <c r="D541" s="0" t="n">
        <v>436602.41774721</v>
      </c>
    </row>
    <row r="542" customFormat="false" ht="27" hidden="false" customHeight="true" outlineLevel="0" collapsed="false">
      <c r="A542" s="0" t="n">
        <v>485.1</v>
      </c>
      <c r="B542" s="28" t="n">
        <v>1</v>
      </c>
      <c r="C542" s="0" t="n">
        <v>222698.39422785</v>
      </c>
      <c r="D542" s="0" t="n">
        <v>434374.43155751</v>
      </c>
    </row>
    <row r="543" customFormat="false" ht="27" hidden="false" customHeight="true" outlineLevel="0" collapsed="false">
      <c r="A543" s="0" t="n">
        <v>485.09</v>
      </c>
      <c r="B543" s="28" t="n">
        <v>1</v>
      </c>
      <c r="C543" s="0" t="n">
        <v>222492.01500928</v>
      </c>
      <c r="D543" s="0" t="n">
        <v>432148.48107412</v>
      </c>
    </row>
    <row r="544" customFormat="false" ht="27" hidden="false" customHeight="true" outlineLevel="0" collapsed="false">
      <c r="A544" s="0" t="n">
        <v>485.08</v>
      </c>
      <c r="B544" s="28" t="n">
        <v>1</v>
      </c>
      <c r="C544" s="0" t="n">
        <v>222285.72445219</v>
      </c>
      <c r="D544" s="0" t="n">
        <v>429924.62779897</v>
      </c>
    </row>
    <row r="545" customFormat="false" ht="27" hidden="false" customHeight="true" outlineLevel="0" collapsed="false">
      <c r="A545" s="0" t="n">
        <v>485.07</v>
      </c>
      <c r="B545" s="28" t="n">
        <v>1</v>
      </c>
      <c r="C545" s="0" t="n">
        <v>222079.61974658</v>
      </c>
      <c r="D545" s="0" t="n">
        <v>427702.81621675</v>
      </c>
    </row>
    <row r="546" customFormat="false" ht="27" hidden="false" customHeight="true" outlineLevel="0" collapsed="false">
      <c r="A546" s="0" t="n">
        <v>485.06</v>
      </c>
      <c r="B546" s="28" t="n">
        <v>1</v>
      </c>
      <c r="C546" s="0" t="n">
        <v>221873.61677756</v>
      </c>
      <c r="D546" s="0" t="n">
        <v>425483.09000467</v>
      </c>
    </row>
    <row r="547" customFormat="false" ht="27" hidden="false" customHeight="true" outlineLevel="0" collapsed="false">
      <c r="A547" s="0" t="n">
        <v>485.05</v>
      </c>
      <c r="B547" s="28" t="n">
        <v>1</v>
      </c>
      <c r="C547" s="0" t="n">
        <v>221667.6592716</v>
      </c>
      <c r="D547" s="0" t="n">
        <v>423265.39893313</v>
      </c>
    </row>
    <row r="548" customFormat="false" ht="27" hidden="false" customHeight="true" outlineLevel="0" collapsed="false">
      <c r="A548" s="0" t="n">
        <v>485.04</v>
      </c>
      <c r="B548" s="28" t="n">
        <v>1</v>
      </c>
      <c r="C548" s="0" t="n">
        <v>221461.69237907</v>
      </c>
      <c r="D548" s="0" t="n">
        <v>421049.75704754</v>
      </c>
    </row>
    <row r="549" customFormat="false" ht="27" hidden="false" customHeight="true" outlineLevel="0" collapsed="false">
      <c r="A549" s="0" t="n">
        <v>485.03</v>
      </c>
      <c r="B549" s="29" t="n">
        <v>1</v>
      </c>
      <c r="C549" s="0" t="n">
        <v>221255.55957595</v>
      </c>
      <c r="D549" s="0" t="n">
        <v>418836.15231521</v>
      </c>
    </row>
    <row r="550" customFormat="false" ht="27" hidden="false" customHeight="true" outlineLevel="0" collapsed="false">
      <c r="A550" s="0" t="n">
        <v>485.02</v>
      </c>
      <c r="B550" s="29" t="n">
        <v>1</v>
      </c>
      <c r="C550" s="0" t="n">
        <v>221048.71946137</v>
      </c>
      <c r="D550" s="0" t="n">
        <v>416624.686717</v>
      </c>
    </row>
    <row r="551" customFormat="false" ht="27" hidden="false" customHeight="true" outlineLevel="0" collapsed="false">
      <c r="A551" s="0" t="n">
        <v>485.01</v>
      </c>
      <c r="B551" s="29" t="n">
        <v>1</v>
      </c>
      <c r="C551" s="0" t="n">
        <v>220839.51992306</v>
      </c>
      <c r="D551" s="0" t="n">
        <v>414415.26010676</v>
      </c>
    </row>
    <row r="552" customFormat="false" ht="27" hidden="false" customHeight="true" outlineLevel="0" collapsed="false">
      <c r="A552" s="0" t="n">
        <v>485</v>
      </c>
      <c r="B552" s="29" t="n">
        <v>1</v>
      </c>
      <c r="C552" s="0" t="n">
        <v>220592.35509863</v>
      </c>
      <c r="D552" s="0" t="n">
        <v>412208.02685457</v>
      </c>
    </row>
    <row r="553" customFormat="false" ht="27" hidden="false" customHeight="true" outlineLevel="0" collapsed="false">
      <c r="A553" s="0" t="n">
        <v>484.99</v>
      </c>
      <c r="B553" s="29" t="n">
        <v>1</v>
      </c>
      <c r="C553" s="0" t="n">
        <v>220075.32952698</v>
      </c>
      <c r="D553" s="0" t="n">
        <v>410005.97727946</v>
      </c>
    </row>
    <row r="554" customFormat="false" ht="27" hidden="false" customHeight="true" outlineLevel="0" collapsed="false">
      <c r="A554" s="0" t="n">
        <v>484.98</v>
      </c>
      <c r="B554" s="29" t="n">
        <v>1</v>
      </c>
      <c r="C554" s="0" t="n">
        <v>219851.20417332</v>
      </c>
      <c r="D554" s="0" t="n">
        <v>407806.33159416</v>
      </c>
    </row>
    <row r="555" customFormat="false" ht="27" hidden="false" customHeight="true" outlineLevel="0" collapsed="false">
      <c r="A555" s="0" t="n">
        <v>484.97</v>
      </c>
      <c r="B555" s="29" t="n">
        <v>1</v>
      </c>
      <c r="C555" s="0" t="n">
        <v>219630.2533175</v>
      </c>
      <c r="D555" s="0" t="n">
        <v>405608.91232763</v>
      </c>
    </row>
    <row r="556" customFormat="false" ht="27" hidden="false" customHeight="true" outlineLevel="0" collapsed="false">
      <c r="A556" s="0" t="n">
        <v>484.96</v>
      </c>
      <c r="B556" s="29" t="n">
        <v>1</v>
      </c>
      <c r="C556" s="0" t="n">
        <v>219411.42491789</v>
      </c>
      <c r="D556" s="0" t="n">
        <v>403413.70691493</v>
      </c>
    </row>
    <row r="557" customFormat="false" ht="27" hidden="false" customHeight="true" outlineLevel="0" collapsed="false">
      <c r="A557" s="0" t="n">
        <v>484.95</v>
      </c>
      <c r="B557" s="29" t="n">
        <v>1</v>
      </c>
      <c r="C557" s="0" t="n">
        <v>219194.02693957</v>
      </c>
      <c r="D557" s="0" t="n">
        <v>401220.69661011</v>
      </c>
    </row>
    <row r="558" customFormat="false" ht="27" hidden="false" customHeight="true" outlineLevel="0" collapsed="false">
      <c r="A558" s="0" t="n">
        <v>484.94</v>
      </c>
      <c r="B558" s="28" t="n">
        <v>1</v>
      </c>
      <c r="C558" s="0" t="n">
        <v>218977.69649238</v>
      </c>
      <c r="D558" s="0" t="n">
        <v>399029.85524967</v>
      </c>
    </row>
    <row r="559" customFormat="false" ht="27" hidden="false" customHeight="true" outlineLevel="0" collapsed="false">
      <c r="A559" s="0" t="n">
        <v>484.93</v>
      </c>
      <c r="B559" s="28" t="n">
        <v>1</v>
      </c>
      <c r="C559" s="0" t="n">
        <v>218762.69441078</v>
      </c>
      <c r="D559" s="0" t="n">
        <v>396841.17374306</v>
      </c>
    </row>
    <row r="560" customFormat="false" ht="27" hidden="false" customHeight="true" outlineLevel="0" collapsed="false">
      <c r="A560" s="0" t="n">
        <v>484.92</v>
      </c>
      <c r="B560" s="28" t="n">
        <v>1</v>
      </c>
      <c r="C560" s="0" t="n">
        <v>218548.74086749</v>
      </c>
      <c r="D560" s="0" t="n">
        <v>394654.67500802</v>
      </c>
    </row>
    <row r="561" customFormat="false" ht="27" hidden="false" customHeight="true" outlineLevel="0" collapsed="false">
      <c r="A561" s="0" t="n">
        <v>484.91</v>
      </c>
      <c r="B561" s="28" t="n">
        <v>1</v>
      </c>
      <c r="C561" s="0" t="n">
        <v>218335.63539627</v>
      </c>
      <c r="D561" s="0" t="n">
        <v>392470.27949274</v>
      </c>
    </row>
    <row r="562" customFormat="false" ht="27" hidden="false" customHeight="true" outlineLevel="0" collapsed="false">
      <c r="A562" s="0" t="n">
        <v>484.9</v>
      </c>
      <c r="B562" s="28" t="n">
        <v>1</v>
      </c>
      <c r="C562" s="0" t="n">
        <v>218123.70747447</v>
      </c>
      <c r="D562" s="0" t="n">
        <v>390288.00182663</v>
      </c>
    </row>
    <row r="563" customFormat="false" ht="27" hidden="false" customHeight="true" outlineLevel="0" collapsed="false">
      <c r="A563" s="0" t="n">
        <v>484.89</v>
      </c>
      <c r="B563" s="28" t="n">
        <v>1</v>
      </c>
      <c r="C563" s="0" t="n">
        <v>217912.70155846</v>
      </c>
      <c r="D563" s="0" t="n">
        <v>388107.80293746</v>
      </c>
    </row>
    <row r="564" customFormat="false" ht="27" hidden="false" customHeight="true" outlineLevel="0" collapsed="false">
      <c r="A564" s="0" t="n">
        <v>484.88</v>
      </c>
      <c r="B564" s="28" t="n">
        <v>1</v>
      </c>
      <c r="C564" s="0" t="n">
        <v>217702.57008474</v>
      </c>
      <c r="D564" s="0" t="n">
        <v>385929.73679378</v>
      </c>
    </row>
    <row r="565" customFormat="false" ht="27" hidden="false" customHeight="true" outlineLevel="0" collapsed="false">
      <c r="A565" s="0" t="n">
        <v>484.87</v>
      </c>
      <c r="B565" s="28" t="n">
        <v>1</v>
      </c>
      <c r="C565" s="0" t="n">
        <v>217493.24460809</v>
      </c>
      <c r="D565" s="0" t="n">
        <v>383753.78914817</v>
      </c>
    </row>
    <row r="566" customFormat="false" ht="27" hidden="false" customHeight="true" outlineLevel="0" collapsed="false">
      <c r="A566" s="0" t="n">
        <v>484.86</v>
      </c>
      <c r="B566" s="28" t="n">
        <v>1</v>
      </c>
      <c r="C566" s="0" t="n">
        <v>217284.60440428</v>
      </c>
      <c r="D566" s="0" t="n">
        <v>381579.89566318</v>
      </c>
    </row>
    <row r="567" customFormat="false" ht="27" hidden="false" customHeight="true" outlineLevel="0" collapsed="false">
      <c r="A567" s="0" t="n">
        <v>484.85</v>
      </c>
      <c r="B567" s="28" t="n">
        <v>1</v>
      </c>
      <c r="C567" s="0" t="n">
        <v>217076.53488571</v>
      </c>
      <c r="D567" s="0" t="n">
        <v>379408.12633109</v>
      </c>
    </row>
    <row r="568" customFormat="false" ht="27" hidden="false" customHeight="true" outlineLevel="0" collapsed="false">
      <c r="A568" s="0" t="n">
        <v>484.84</v>
      </c>
      <c r="B568" s="28" t="n">
        <v>1</v>
      </c>
      <c r="C568" s="0" t="n">
        <v>216869.08641979</v>
      </c>
      <c r="D568" s="0" t="n">
        <v>377238.43371582</v>
      </c>
    </row>
    <row r="569" customFormat="false" ht="27" hidden="false" customHeight="true" outlineLevel="0" collapsed="false">
      <c r="A569" s="0" t="n">
        <v>484.83</v>
      </c>
      <c r="B569" s="28" t="n">
        <v>1</v>
      </c>
      <c r="C569" s="0" t="n">
        <v>216661.77375846</v>
      </c>
      <c r="D569" s="0" t="n">
        <v>375070.8409113</v>
      </c>
    </row>
    <row r="570" customFormat="false" ht="27" hidden="false" customHeight="true" outlineLevel="0" collapsed="false">
      <c r="A570" s="0" t="n">
        <v>484.82</v>
      </c>
      <c r="B570" s="28" t="n">
        <v>1</v>
      </c>
      <c r="C570" s="0" t="n">
        <v>216453.96115962</v>
      </c>
      <c r="D570" s="0" t="n">
        <v>372905.31290225</v>
      </c>
    </row>
    <row r="571" customFormat="false" ht="27" hidden="false" customHeight="true" outlineLevel="0" collapsed="false">
      <c r="A571" s="0" t="n">
        <v>484.81</v>
      </c>
      <c r="B571" s="28" t="n">
        <v>1</v>
      </c>
      <c r="C571" s="0" t="n">
        <v>216243.45272104</v>
      </c>
      <c r="D571" s="0" t="n">
        <v>370741.87834759</v>
      </c>
    </row>
    <row r="572" customFormat="false" ht="27" hidden="false" customHeight="true" outlineLevel="0" collapsed="false">
      <c r="A572" s="0" t="n">
        <v>484.8</v>
      </c>
      <c r="B572" s="28" t="n">
        <v>1</v>
      </c>
      <c r="C572" s="0" t="n">
        <v>216000.91047912</v>
      </c>
      <c r="D572" s="0" t="n">
        <v>368580.60581832</v>
      </c>
    </row>
    <row r="573" customFormat="false" ht="27" hidden="false" customHeight="true" outlineLevel="0" collapsed="false">
      <c r="A573" s="0" t="n">
        <v>484.79</v>
      </c>
      <c r="B573" s="28" t="n">
        <v>1</v>
      </c>
      <c r="C573" s="0" t="n">
        <v>215499.75496814</v>
      </c>
      <c r="D573" s="0" t="n">
        <v>366424.12524031</v>
      </c>
    </row>
    <row r="574" customFormat="false" ht="27" hidden="false" customHeight="true" outlineLevel="0" collapsed="false">
      <c r="A574" s="0" t="n">
        <v>484.78</v>
      </c>
      <c r="B574" s="28" t="n">
        <v>1</v>
      </c>
      <c r="C574" s="0" t="n">
        <v>215238.24718377</v>
      </c>
      <c r="D574" s="0" t="n">
        <v>364270.44385778</v>
      </c>
    </row>
    <row r="575" customFormat="false" ht="27" hidden="false" customHeight="true" outlineLevel="0" collapsed="false">
      <c r="A575" s="0" t="n">
        <v>484.77</v>
      </c>
      <c r="B575" s="28" t="n">
        <v>1</v>
      </c>
      <c r="C575" s="0" t="n">
        <v>214978.94443694</v>
      </c>
      <c r="D575" s="0" t="n">
        <v>362119.38084549</v>
      </c>
    </row>
    <row r="576" customFormat="false" ht="27" hidden="false" customHeight="true" outlineLevel="0" collapsed="false">
      <c r="A576" s="0" t="n">
        <v>484.76</v>
      </c>
      <c r="B576" s="28" t="n">
        <v>1</v>
      </c>
      <c r="C576" s="0" t="n">
        <v>214720.10216252</v>
      </c>
      <c r="D576" s="0" t="n">
        <v>359970.89538057</v>
      </c>
    </row>
    <row r="577" customFormat="false" ht="27" hidden="false" customHeight="true" outlineLevel="0" collapsed="false">
      <c r="A577" s="0" t="n">
        <v>484.75</v>
      </c>
      <c r="B577" s="28" t="n">
        <v>1</v>
      </c>
      <c r="C577" s="0" t="n">
        <v>214461.12977484</v>
      </c>
      <c r="D577" s="0" t="n">
        <v>357825.02183811</v>
      </c>
    </row>
    <row r="578" customFormat="false" ht="27" hidden="false" customHeight="true" outlineLevel="0" collapsed="false">
      <c r="A578" s="0" t="n">
        <v>484.74</v>
      </c>
      <c r="B578" s="28" t="n">
        <v>1</v>
      </c>
      <c r="C578" s="0" t="n">
        <v>214201.86222807</v>
      </c>
      <c r="D578" s="0" t="n">
        <v>355681.69250841</v>
      </c>
    </row>
    <row r="579" customFormat="false" ht="27" hidden="false" customHeight="true" outlineLevel="0" collapsed="false">
      <c r="A579" s="0" t="n">
        <v>484.73</v>
      </c>
      <c r="B579" s="28" t="n">
        <v>1</v>
      </c>
      <c r="C579" s="0" t="n">
        <v>213942.30910686</v>
      </c>
      <c r="D579" s="0" t="n">
        <v>353540.97719091</v>
      </c>
    </row>
    <row r="580" customFormat="false" ht="27" hidden="false" customHeight="true" outlineLevel="0" collapsed="false">
      <c r="A580" s="0" t="n">
        <v>484.72</v>
      </c>
      <c r="B580" s="28" t="n">
        <v>1</v>
      </c>
      <c r="C580" s="0" t="n">
        <v>213682.51451478</v>
      </c>
      <c r="D580" s="0" t="n">
        <v>351402.86999171</v>
      </c>
    </row>
    <row r="581" customFormat="false" ht="27" hidden="false" customHeight="true" outlineLevel="0" collapsed="false">
      <c r="A581" s="0" t="n">
        <v>484.71</v>
      </c>
      <c r="B581" s="28" t="n">
        <v>1</v>
      </c>
      <c r="C581" s="0" t="n">
        <v>213422.4174249</v>
      </c>
      <c r="D581" s="0" t="n">
        <v>349267.38350873</v>
      </c>
    </row>
    <row r="582" customFormat="false" ht="27" hidden="false" customHeight="true" outlineLevel="0" collapsed="false">
      <c r="A582" s="0" t="n">
        <v>484.7</v>
      </c>
      <c r="B582" s="28" t="n">
        <v>1</v>
      </c>
      <c r="C582" s="0" t="n">
        <v>213161.97080817</v>
      </c>
      <c r="D582" s="0" t="n">
        <v>347134.4554063</v>
      </c>
    </row>
    <row r="583" customFormat="false" ht="27" hidden="false" customHeight="true" outlineLevel="0" collapsed="false">
      <c r="A583" s="0" t="n">
        <v>484.69</v>
      </c>
      <c r="B583" s="28" t="n">
        <v>1</v>
      </c>
      <c r="C583" s="0" t="n">
        <v>212901.18733815</v>
      </c>
      <c r="D583" s="0" t="n">
        <v>345004.17960521</v>
      </c>
    </row>
    <row r="584" customFormat="false" ht="27" hidden="false" customHeight="true" outlineLevel="0" collapsed="false">
      <c r="A584" s="0" t="n">
        <v>484.68</v>
      </c>
      <c r="B584" s="28" t="n">
        <v>1</v>
      </c>
      <c r="C584" s="0" t="n">
        <v>212639.8839724</v>
      </c>
      <c r="D584" s="0" t="n">
        <v>342876.50871814</v>
      </c>
    </row>
    <row r="585" customFormat="false" ht="27" hidden="false" customHeight="true" outlineLevel="0" collapsed="false">
      <c r="A585" s="0" t="n">
        <v>484.67</v>
      </c>
      <c r="B585" s="29" t="n">
        <v>1</v>
      </c>
      <c r="C585" s="0" t="n">
        <v>212378.27835419</v>
      </c>
      <c r="D585" s="0" t="n">
        <v>340751.46455478</v>
      </c>
    </row>
    <row r="586" customFormat="false" ht="27" hidden="false" customHeight="true" outlineLevel="0" collapsed="false">
      <c r="A586" s="0" t="n">
        <v>484.66</v>
      </c>
      <c r="B586" s="29" t="n">
        <v>1</v>
      </c>
      <c r="C586" s="0" t="n">
        <v>212116.13510105</v>
      </c>
      <c r="D586" s="0" t="n">
        <v>338629.02949371</v>
      </c>
    </row>
    <row r="587" customFormat="false" ht="27" hidden="false" customHeight="true" outlineLevel="0" collapsed="false">
      <c r="A587" s="0" t="n">
        <v>484.65</v>
      </c>
      <c r="B587" s="29" t="n">
        <v>1</v>
      </c>
      <c r="C587" s="0" t="n">
        <v>211853.34009149</v>
      </c>
      <c r="D587" s="0" t="n">
        <v>336509.21255175</v>
      </c>
    </row>
    <row r="588" customFormat="false" ht="27" hidden="false" customHeight="true" outlineLevel="0" collapsed="false">
      <c r="A588" s="0" t="n">
        <v>484.64</v>
      </c>
      <c r="B588" s="29" t="n">
        <v>1</v>
      </c>
      <c r="C588" s="0" t="n">
        <v>211589.68934559</v>
      </c>
      <c r="D588" s="0" t="n">
        <v>334392.01495115</v>
      </c>
    </row>
    <row r="589" customFormat="false" ht="27" hidden="false" customHeight="true" outlineLevel="0" collapsed="false">
      <c r="A589" s="0" t="n">
        <v>484.63</v>
      </c>
      <c r="B589" s="29" t="n">
        <v>1</v>
      </c>
      <c r="C589" s="0" t="n">
        <v>211325.00902479</v>
      </c>
      <c r="D589" s="0" t="n">
        <v>332277.4775759</v>
      </c>
    </row>
    <row r="590" customFormat="false" ht="27" hidden="false" customHeight="true" outlineLevel="0" collapsed="false">
      <c r="A590" s="0" t="n">
        <v>484.62</v>
      </c>
      <c r="B590" s="29" t="n">
        <v>1</v>
      </c>
      <c r="C590" s="0" t="n">
        <v>211058.27770945</v>
      </c>
      <c r="D590" s="0" t="n">
        <v>330165.61958129</v>
      </c>
    </row>
    <row r="591" customFormat="false" ht="27" hidden="false" customHeight="true" outlineLevel="0" collapsed="false">
      <c r="A591" s="0" t="n">
        <v>484.61</v>
      </c>
      <c r="B591" s="29" t="n">
        <v>1</v>
      </c>
      <c r="C591" s="0" t="n">
        <v>210786.34594015</v>
      </c>
      <c r="D591" s="0" t="n">
        <v>328056.45311079</v>
      </c>
    </row>
    <row r="592" customFormat="false" ht="27" hidden="false" customHeight="true" outlineLevel="0" collapsed="false">
      <c r="A592" s="0" t="n">
        <v>484.6</v>
      </c>
      <c r="B592" s="29" t="n">
        <v>1</v>
      </c>
      <c r="C592" s="0" t="n">
        <v>210219.79659842</v>
      </c>
      <c r="D592" s="0" t="n">
        <v>325949.91860506</v>
      </c>
    </row>
    <row r="593" customFormat="false" ht="27" hidden="false" customHeight="true" outlineLevel="0" collapsed="false">
      <c r="A593" s="0" t="n">
        <v>484.59</v>
      </c>
      <c r="B593" s="29" t="n">
        <v>1</v>
      </c>
      <c r="C593" s="0" t="n">
        <v>209900.90001909</v>
      </c>
      <c r="D593" s="0" t="n">
        <v>323849.4152425</v>
      </c>
    </row>
    <row r="594" customFormat="false" ht="27" hidden="false" customHeight="true" outlineLevel="0" collapsed="false">
      <c r="A594" s="0" t="n">
        <v>484.58</v>
      </c>
      <c r="B594" s="28" t="n">
        <v>1</v>
      </c>
      <c r="C594" s="0" t="n">
        <v>209637.95722413</v>
      </c>
      <c r="D594" s="0" t="n">
        <v>321751.6904048</v>
      </c>
    </row>
    <row r="595" customFormat="false" ht="27" hidden="false" customHeight="true" outlineLevel="0" collapsed="false">
      <c r="A595" s="0" t="n">
        <v>484.57</v>
      </c>
      <c r="B595" s="28" t="n">
        <v>1</v>
      </c>
      <c r="C595" s="0" t="n">
        <v>209377.37102582</v>
      </c>
      <c r="D595" s="0" t="n">
        <v>319656.62466281</v>
      </c>
    </row>
    <row r="596" customFormat="false" ht="27" hidden="false" customHeight="true" outlineLevel="0" collapsed="false">
      <c r="A596" s="0" t="n">
        <v>484.56</v>
      </c>
      <c r="B596" s="28" t="n">
        <v>1</v>
      </c>
      <c r="C596" s="0" t="n">
        <v>209117.27407094</v>
      </c>
      <c r="D596" s="0" t="n">
        <v>317564.15200354</v>
      </c>
    </row>
    <row r="597" customFormat="false" ht="27" hidden="false" customHeight="true" outlineLevel="0" collapsed="false">
      <c r="A597" s="0" t="n">
        <v>484.55</v>
      </c>
      <c r="B597" s="28" t="n">
        <v>1</v>
      </c>
      <c r="C597" s="0" t="n">
        <v>208857.29257161</v>
      </c>
      <c r="D597" s="0" t="n">
        <v>315474.31178432</v>
      </c>
    </row>
    <row r="598" customFormat="false" ht="27" hidden="false" customHeight="true" outlineLevel="0" collapsed="false">
      <c r="A598" s="0" t="n">
        <v>484.54</v>
      </c>
      <c r="B598" s="28" t="n">
        <v>1</v>
      </c>
      <c r="C598" s="0" t="n">
        <v>208597.12542534</v>
      </c>
      <c r="D598" s="0" t="n">
        <v>313387.07787119</v>
      </c>
    </row>
    <row r="599" customFormat="false" ht="27" hidden="false" customHeight="true" outlineLevel="0" collapsed="false">
      <c r="A599" s="0" t="n">
        <v>484.53</v>
      </c>
      <c r="B599" s="28" t="n">
        <v>1</v>
      </c>
      <c r="C599" s="0" t="n">
        <v>208337.16102611</v>
      </c>
      <c r="D599" s="0" t="n">
        <v>311302.44037402</v>
      </c>
    </row>
    <row r="600" customFormat="false" ht="27" hidden="false" customHeight="true" outlineLevel="0" collapsed="false">
      <c r="A600" s="0" t="n">
        <v>484.52</v>
      </c>
      <c r="B600" s="28" t="n">
        <v>1</v>
      </c>
      <c r="C600" s="0" t="n">
        <v>208076.92246115</v>
      </c>
      <c r="D600" s="0" t="n">
        <v>309220.39910664</v>
      </c>
    </row>
    <row r="601" customFormat="false" ht="27" hidden="false" customHeight="true" outlineLevel="0" collapsed="false">
      <c r="A601" s="0" t="n">
        <v>484.51</v>
      </c>
      <c r="B601" s="28" t="n">
        <v>1</v>
      </c>
      <c r="C601" s="0" t="n">
        <v>207816.39314664</v>
      </c>
      <c r="D601" s="0" t="n">
        <v>307140.97182321</v>
      </c>
    </row>
    <row r="602" customFormat="false" ht="27" hidden="false" customHeight="true" outlineLevel="0" collapsed="false">
      <c r="A602" s="0" t="n">
        <v>484.5</v>
      </c>
      <c r="B602" s="28" t="n">
        <v>1</v>
      </c>
      <c r="C602" s="0" t="n">
        <v>207555.64880843</v>
      </c>
      <c r="D602" s="0" t="n">
        <v>305064.12543676</v>
      </c>
    </row>
    <row r="603" customFormat="false" ht="27" hidden="false" customHeight="true" outlineLevel="0" collapsed="false">
      <c r="A603" s="0" t="n">
        <v>484.49</v>
      </c>
      <c r="B603" s="28" t="n">
        <v>1</v>
      </c>
      <c r="C603" s="0" t="n">
        <v>207294.72781009</v>
      </c>
      <c r="D603" s="0" t="n">
        <v>302989.91112946</v>
      </c>
    </row>
    <row r="604" customFormat="false" ht="27" hidden="false" customHeight="true" outlineLevel="0" collapsed="false">
      <c r="A604" s="0" t="n">
        <v>484.48</v>
      </c>
      <c r="B604" s="28" t="n">
        <v>1</v>
      </c>
      <c r="C604" s="0" t="n">
        <v>207033.43648757</v>
      </c>
      <c r="D604" s="0" t="n">
        <v>300918.31800506</v>
      </c>
    </row>
    <row r="605" customFormat="false" ht="27" hidden="false" customHeight="true" outlineLevel="0" collapsed="false">
      <c r="A605" s="0" t="n">
        <v>484.47</v>
      </c>
      <c r="B605" s="28" t="n">
        <v>1</v>
      </c>
      <c r="C605" s="0" t="n">
        <v>206771.96207513</v>
      </c>
      <c r="D605" s="0" t="n">
        <v>298849.3125573</v>
      </c>
    </row>
    <row r="606" customFormat="false" ht="27" hidden="false" customHeight="true" outlineLevel="0" collapsed="false">
      <c r="A606" s="0" t="n">
        <v>484.46</v>
      </c>
      <c r="B606" s="28" t="n">
        <v>1</v>
      </c>
      <c r="C606" s="0" t="n">
        <v>206510.03633429</v>
      </c>
      <c r="D606" s="0" t="n">
        <v>296782.90877462</v>
      </c>
    </row>
    <row r="607" customFormat="false" ht="27" hidden="false" customHeight="true" outlineLevel="0" collapsed="false">
      <c r="A607" s="0" t="n">
        <v>484.45</v>
      </c>
      <c r="B607" s="28" t="n">
        <v>1</v>
      </c>
      <c r="C607" s="0" t="n">
        <v>206247.76426296</v>
      </c>
      <c r="D607" s="0" t="n">
        <v>294719.12529127</v>
      </c>
    </row>
    <row r="608" customFormat="false" ht="27" hidden="false" customHeight="true" outlineLevel="0" collapsed="false">
      <c r="A608" s="0" t="n">
        <v>484.44</v>
      </c>
      <c r="B608" s="28" t="n">
        <v>1</v>
      </c>
      <c r="C608" s="0" t="n">
        <v>205985.20622411</v>
      </c>
      <c r="D608" s="0" t="n">
        <v>292657.92873301</v>
      </c>
    </row>
    <row r="609" customFormat="false" ht="27" hidden="false" customHeight="true" outlineLevel="0" collapsed="false">
      <c r="A609" s="0" t="n">
        <v>484.43</v>
      </c>
      <c r="B609" s="28" t="n">
        <v>1</v>
      </c>
      <c r="C609" s="0" t="n">
        <v>205722.3037373</v>
      </c>
      <c r="D609" s="0" t="n">
        <v>290599.42968546</v>
      </c>
    </row>
    <row r="610" customFormat="false" ht="27" hidden="false" customHeight="true" outlineLevel="0" collapsed="false">
      <c r="A610" s="0" t="n">
        <v>484.42</v>
      </c>
      <c r="B610" s="28" t="n">
        <v>1</v>
      </c>
      <c r="C610" s="0" t="n">
        <v>205458.60890345</v>
      </c>
      <c r="D610" s="0" t="n">
        <v>288543.54009997</v>
      </c>
    </row>
    <row r="611" customFormat="false" ht="27" hidden="false" customHeight="true" outlineLevel="0" collapsed="false">
      <c r="A611" s="0" t="n">
        <v>484.41</v>
      </c>
      <c r="B611" s="28" t="n">
        <v>1</v>
      </c>
      <c r="C611" s="0" t="n">
        <v>205192.48130815</v>
      </c>
      <c r="D611" s="0" t="n">
        <v>286490.30408109</v>
      </c>
    </row>
    <row r="612" customFormat="false" ht="27" hidden="false" customHeight="true" outlineLevel="0" collapsed="false">
      <c r="A612" s="0" t="n">
        <v>484.4</v>
      </c>
      <c r="B612" s="28" t="n">
        <v>1</v>
      </c>
      <c r="C612" s="0" t="n">
        <v>204876.89958622</v>
      </c>
      <c r="D612" s="0" t="n">
        <v>284439.77734765</v>
      </c>
    </row>
    <row r="613" customFormat="false" ht="27" hidden="false" customHeight="true" outlineLevel="0" collapsed="false">
      <c r="A613" s="0" t="n">
        <v>484.39</v>
      </c>
      <c r="B613" s="28" t="n">
        <v>1</v>
      </c>
      <c r="C613" s="0" t="n">
        <v>204085.85206172</v>
      </c>
      <c r="D613" s="0" t="n">
        <v>282397.1920436</v>
      </c>
    </row>
    <row r="614" customFormat="false" ht="27" hidden="false" customHeight="true" outlineLevel="0" collapsed="false">
      <c r="A614" s="0" t="n">
        <v>484.38</v>
      </c>
      <c r="B614" s="28" t="n">
        <v>1</v>
      </c>
      <c r="C614" s="0" t="n">
        <v>203803.6715711</v>
      </c>
      <c r="D614" s="0" t="n">
        <v>280357.7164147</v>
      </c>
    </row>
    <row r="615" customFormat="false" ht="27" hidden="false" customHeight="true" outlineLevel="0" collapsed="false">
      <c r="A615" s="0" t="n">
        <v>484.37</v>
      </c>
      <c r="B615" s="28" t="n">
        <v>1</v>
      </c>
      <c r="C615" s="0" t="n">
        <v>203526.5744915</v>
      </c>
      <c r="D615" s="0" t="n">
        <v>278321.10440568</v>
      </c>
    </row>
    <row r="616" customFormat="false" ht="27" hidden="false" customHeight="true" outlineLevel="0" collapsed="false">
      <c r="A616" s="0" t="n">
        <v>484.36</v>
      </c>
      <c r="B616" s="28" t="n">
        <v>1</v>
      </c>
      <c r="C616" s="0" t="n">
        <v>203251.75548345</v>
      </c>
      <c r="D616" s="0" t="n">
        <v>276287.21983604</v>
      </c>
    </row>
    <row r="617" customFormat="false" ht="27" hidden="false" customHeight="true" outlineLevel="0" collapsed="false">
      <c r="A617" s="0" t="n">
        <v>484.35</v>
      </c>
      <c r="B617" s="28" t="n">
        <v>1</v>
      </c>
      <c r="C617" s="0" t="n">
        <v>202978.31304503</v>
      </c>
      <c r="D617" s="0" t="n">
        <v>274256.10523172</v>
      </c>
    </row>
    <row r="618" customFormat="false" ht="27" hidden="false" customHeight="true" outlineLevel="0" collapsed="false">
      <c r="A618" s="0" t="n">
        <v>484.34</v>
      </c>
      <c r="B618" s="28" t="n">
        <v>1</v>
      </c>
      <c r="C618" s="0" t="n">
        <v>202705.75574365</v>
      </c>
      <c r="D618" s="0" t="n">
        <v>272227.73302023</v>
      </c>
    </row>
    <row r="619" customFormat="false" ht="27" hidden="false" customHeight="true" outlineLevel="0" collapsed="false">
      <c r="A619" s="0" t="n">
        <v>484.33</v>
      </c>
      <c r="B619" s="28" t="n">
        <v>1</v>
      </c>
      <c r="C619" s="0" t="n">
        <v>202433.72542353</v>
      </c>
      <c r="D619" s="0" t="n">
        <v>270202.03890748</v>
      </c>
    </row>
    <row r="620" customFormat="false" ht="27" hidden="false" customHeight="true" outlineLevel="0" collapsed="false">
      <c r="A620" s="0" t="n">
        <v>484.32</v>
      </c>
      <c r="B620" s="28" t="n">
        <v>1</v>
      </c>
      <c r="C620" s="0" t="n">
        <v>202162.17064559</v>
      </c>
      <c r="D620" s="0" t="n">
        <v>268179.08902629</v>
      </c>
    </row>
    <row r="621" customFormat="false" ht="27" hidden="false" customHeight="true" outlineLevel="0" collapsed="false">
      <c r="A621" s="0" t="n">
        <v>484.31</v>
      </c>
      <c r="B621" s="29" t="n">
        <v>1</v>
      </c>
      <c r="C621" s="0" t="n">
        <v>201890.99464341</v>
      </c>
      <c r="D621" s="0" t="n">
        <v>266158.84924827</v>
      </c>
    </row>
    <row r="622" customFormat="false" ht="27" hidden="false" customHeight="true" outlineLevel="0" collapsed="false">
      <c r="A622" s="0" t="n">
        <v>484.3</v>
      </c>
      <c r="B622" s="29" t="n">
        <v>1</v>
      </c>
      <c r="C622" s="0" t="n">
        <v>201620.10651681</v>
      </c>
      <c r="D622" s="0" t="n">
        <v>264141.27930168</v>
      </c>
    </row>
    <row r="623" customFormat="false" ht="27" hidden="false" customHeight="true" outlineLevel="0" collapsed="false">
      <c r="A623" s="0" t="n">
        <v>484.29</v>
      </c>
      <c r="B623" s="29" t="n">
        <v>1</v>
      </c>
      <c r="C623" s="0" t="n">
        <v>201349.42243904</v>
      </c>
      <c r="D623" s="0" t="n">
        <v>262126.42692881</v>
      </c>
    </row>
    <row r="624" customFormat="false" ht="27" hidden="false" customHeight="true" outlineLevel="0" collapsed="false">
      <c r="A624" s="0" t="n">
        <v>484.28</v>
      </c>
      <c r="B624" s="29" t="n">
        <v>1</v>
      </c>
      <c r="C624" s="0" t="n">
        <v>201078.90245787</v>
      </c>
      <c r="D624" s="0" t="n">
        <v>260114.29027808</v>
      </c>
    </row>
    <row r="625" customFormat="false" ht="27" hidden="false" customHeight="true" outlineLevel="0" collapsed="false">
      <c r="A625" s="0" t="n">
        <v>484.27</v>
      </c>
      <c r="B625" s="29" t="n">
        <v>1</v>
      </c>
      <c r="C625" s="0" t="n">
        <v>200808.51692363</v>
      </c>
      <c r="D625" s="0" t="n">
        <v>258104.8751813</v>
      </c>
    </row>
    <row r="626" customFormat="false" ht="27" hidden="false" customHeight="true" outlineLevel="0" collapsed="false">
      <c r="A626" s="0" t="n">
        <v>484.26</v>
      </c>
      <c r="B626" s="29" t="n">
        <v>1</v>
      </c>
      <c r="C626" s="0" t="n">
        <v>200538.23845028</v>
      </c>
      <c r="D626" s="0" t="n">
        <v>256098.17218892</v>
      </c>
    </row>
    <row r="627" customFormat="false" ht="27" hidden="false" customHeight="true" outlineLevel="0" collapsed="false">
      <c r="A627" s="0" t="n">
        <v>484.25</v>
      </c>
      <c r="B627" s="29" t="n">
        <v>1</v>
      </c>
      <c r="C627" s="0" t="n">
        <v>200267.99212326</v>
      </c>
      <c r="D627" s="0" t="n">
        <v>254094.15598559</v>
      </c>
    </row>
    <row r="628" customFormat="false" ht="27" hidden="false" customHeight="true" outlineLevel="0" collapsed="false">
      <c r="A628" s="0" t="n">
        <v>484.24</v>
      </c>
      <c r="B628" s="29" t="n">
        <v>1</v>
      </c>
      <c r="C628" s="0" t="n">
        <v>199997.6017508</v>
      </c>
      <c r="D628" s="0" t="n">
        <v>252092.85617721</v>
      </c>
    </row>
    <row r="629" customFormat="false" ht="27" hidden="false" customHeight="true" outlineLevel="0" collapsed="false">
      <c r="A629" s="0" t="n">
        <v>484.23</v>
      </c>
      <c r="B629" s="29" t="n">
        <v>1</v>
      </c>
      <c r="C629" s="0" t="n">
        <v>199726.75458073</v>
      </c>
      <c r="D629" s="0" t="n">
        <v>250094.2780311</v>
      </c>
    </row>
    <row r="630" customFormat="false" ht="27" hidden="false" customHeight="true" outlineLevel="0" collapsed="false">
      <c r="A630" s="0" t="n">
        <v>484.22</v>
      </c>
      <c r="B630" s="28" t="n">
        <v>1</v>
      </c>
      <c r="C630" s="0" t="n">
        <v>199454.80276429</v>
      </c>
      <c r="D630" s="0" t="n">
        <v>248098.36267822</v>
      </c>
    </row>
    <row r="631" customFormat="false" ht="27" hidden="false" customHeight="true" outlineLevel="0" collapsed="false">
      <c r="A631" s="0" t="n">
        <v>484.21</v>
      </c>
      <c r="B631" s="28" t="n">
        <v>1</v>
      </c>
      <c r="C631" s="0" t="n">
        <v>199178.85965791</v>
      </c>
      <c r="D631" s="0" t="n">
        <v>246105.25231128</v>
      </c>
    </row>
    <row r="632" customFormat="false" ht="27" hidden="false" customHeight="true" outlineLevel="0" collapsed="false">
      <c r="A632" s="0" t="n">
        <v>484.2</v>
      </c>
      <c r="B632" s="28" t="n">
        <v>1</v>
      </c>
      <c r="C632" s="0" t="n">
        <v>198365.68029505</v>
      </c>
      <c r="D632" s="0" t="n">
        <v>244114.82575775</v>
      </c>
    </row>
    <row r="633" customFormat="false" ht="27" hidden="false" customHeight="true" outlineLevel="0" collapsed="false">
      <c r="A633" s="0" t="n">
        <v>484.19</v>
      </c>
      <c r="B633" s="28" t="n">
        <v>1</v>
      </c>
      <c r="C633" s="0" t="n">
        <v>198015.09692095</v>
      </c>
      <c r="D633" s="0" t="n">
        <v>242133.02107857</v>
      </c>
    </row>
    <row r="634" customFormat="false" ht="27" hidden="false" customHeight="true" outlineLevel="0" collapsed="false">
      <c r="A634" s="0" t="n">
        <v>484.18</v>
      </c>
      <c r="B634" s="28" t="n">
        <v>1</v>
      </c>
      <c r="C634" s="0" t="n">
        <v>197723.06612591</v>
      </c>
      <c r="D634" s="0" t="n">
        <v>240154.30307498</v>
      </c>
    </row>
    <row r="635" customFormat="false" ht="27" hidden="false" customHeight="true" outlineLevel="0" collapsed="false">
      <c r="A635" s="0" t="n">
        <v>484.17</v>
      </c>
      <c r="B635" s="28" t="n">
        <v>1</v>
      </c>
      <c r="C635" s="0" t="n">
        <v>197436.66309624</v>
      </c>
      <c r="D635" s="0" t="n">
        <v>238178.50845572</v>
      </c>
    </row>
    <row r="636" customFormat="false" ht="27" hidden="false" customHeight="true" outlineLevel="0" collapsed="false">
      <c r="A636" s="0" t="n">
        <v>484.16</v>
      </c>
      <c r="B636" s="28" t="n">
        <v>1</v>
      </c>
      <c r="C636" s="0" t="n">
        <v>197152.43986479</v>
      </c>
      <c r="D636" s="0" t="n">
        <v>236205.59614223</v>
      </c>
    </row>
    <row r="637" customFormat="false" ht="27" hidden="false" customHeight="true" outlineLevel="0" collapsed="false">
      <c r="A637" s="0" t="n">
        <v>484.15</v>
      </c>
      <c r="B637" s="28" t="n">
        <v>1</v>
      </c>
      <c r="C637" s="0" t="n">
        <v>196869.48172786</v>
      </c>
      <c r="D637" s="0" t="n">
        <v>234235.51460532</v>
      </c>
    </row>
    <row r="638" customFormat="false" ht="27" hidden="false" customHeight="true" outlineLevel="0" collapsed="false">
      <c r="A638" s="0" t="n">
        <v>484.14</v>
      </c>
      <c r="B638" s="28" t="n">
        <v>1</v>
      </c>
      <c r="C638" s="0" t="n">
        <v>196587.49429505</v>
      </c>
      <c r="D638" s="0" t="n">
        <v>232268.2327644</v>
      </c>
    </row>
    <row r="639" customFormat="false" ht="27" hidden="false" customHeight="true" outlineLevel="0" collapsed="false">
      <c r="A639" s="0" t="n">
        <v>484.13</v>
      </c>
      <c r="B639" s="28" t="n">
        <v>1</v>
      </c>
      <c r="C639" s="0" t="n">
        <v>196306.20175531</v>
      </c>
      <c r="D639" s="0" t="n">
        <v>230303.7555997</v>
      </c>
    </row>
    <row r="640" customFormat="false" ht="27" hidden="false" customHeight="true" outlineLevel="0" collapsed="false">
      <c r="A640" s="0" t="n">
        <v>484.12</v>
      </c>
      <c r="B640" s="28" t="n">
        <v>1</v>
      </c>
      <c r="C640" s="0" t="n">
        <v>196025.57930071</v>
      </c>
      <c r="D640" s="0" t="n">
        <v>228342.1304749</v>
      </c>
    </row>
    <row r="641" customFormat="false" ht="27" hidden="false" customHeight="true" outlineLevel="0" collapsed="false">
      <c r="A641" s="0" t="n">
        <v>484.11</v>
      </c>
      <c r="B641" s="28" t="n">
        <v>1</v>
      </c>
      <c r="C641" s="0" t="n">
        <v>195745.57936885</v>
      </c>
      <c r="D641" s="0" t="n">
        <v>226383.32931356</v>
      </c>
    </row>
    <row r="642" customFormat="false" ht="27" hidden="false" customHeight="true" outlineLevel="0" collapsed="false">
      <c r="A642" s="0" t="n">
        <v>484.1</v>
      </c>
      <c r="B642" s="28" t="n">
        <v>1</v>
      </c>
      <c r="C642" s="0" t="n">
        <v>195466.09552616</v>
      </c>
      <c r="D642" s="0" t="n">
        <v>224427.2628695</v>
      </c>
    </row>
    <row r="643" customFormat="false" ht="27" hidden="false" customHeight="true" outlineLevel="0" collapsed="false">
      <c r="A643" s="0" t="n">
        <v>484.09</v>
      </c>
      <c r="B643" s="28" t="n">
        <v>1</v>
      </c>
      <c r="C643" s="0" t="n">
        <v>195187.0223012</v>
      </c>
      <c r="D643" s="0" t="n">
        <v>222474.02278578</v>
      </c>
    </row>
    <row r="644" customFormat="false" ht="27" hidden="false" customHeight="true" outlineLevel="0" collapsed="false">
      <c r="A644" s="0" t="n">
        <v>484.08</v>
      </c>
      <c r="B644" s="28" t="n">
        <v>1</v>
      </c>
      <c r="C644" s="0" t="n">
        <v>194908.4948171</v>
      </c>
      <c r="D644" s="0" t="n">
        <v>220523.60156275</v>
      </c>
    </row>
    <row r="645" customFormat="false" ht="27" hidden="false" customHeight="true" outlineLevel="0" collapsed="false">
      <c r="A645" s="0" t="n">
        <v>484.07</v>
      </c>
      <c r="B645" s="28" t="n">
        <v>1</v>
      </c>
      <c r="C645" s="0" t="n">
        <v>194630.44897378</v>
      </c>
      <c r="D645" s="0" t="n">
        <v>218575.90032225</v>
      </c>
    </row>
    <row r="646" customFormat="false" ht="27" hidden="false" customHeight="true" outlineLevel="0" collapsed="false">
      <c r="A646" s="0" t="n">
        <v>484.06</v>
      </c>
      <c r="B646" s="28" t="n">
        <v>1</v>
      </c>
      <c r="C646" s="0" t="n">
        <v>194352.61308601</v>
      </c>
      <c r="D646" s="0" t="n">
        <v>216631.03732221</v>
      </c>
    </row>
    <row r="647" customFormat="false" ht="27" hidden="false" customHeight="true" outlineLevel="0" collapsed="false">
      <c r="A647" s="0" t="n">
        <v>484.05</v>
      </c>
      <c r="B647" s="28" t="n">
        <v>1</v>
      </c>
      <c r="C647" s="0" t="n">
        <v>194074.9830749</v>
      </c>
      <c r="D647" s="0" t="n">
        <v>214688.94886093</v>
      </c>
    </row>
    <row r="648" customFormat="false" ht="27" hidden="false" customHeight="true" outlineLevel="0" collapsed="false">
      <c r="A648" s="0" t="n">
        <v>484.04</v>
      </c>
      <c r="B648" s="28" t="n">
        <v>1</v>
      </c>
      <c r="C648" s="0" t="n">
        <v>193797.34994103</v>
      </c>
      <c r="D648" s="0" t="n">
        <v>212749.60761007</v>
      </c>
    </row>
    <row r="649" customFormat="false" ht="27" hidden="false" customHeight="true" outlineLevel="0" collapsed="false">
      <c r="A649" s="0" t="n">
        <v>484.03</v>
      </c>
      <c r="B649" s="28" t="n">
        <v>1</v>
      </c>
      <c r="C649" s="0" t="n">
        <v>193519.03586487</v>
      </c>
      <c r="D649" s="0" t="n">
        <v>210813.06923269</v>
      </c>
    </row>
    <row r="650" customFormat="false" ht="27" hidden="false" customHeight="true" outlineLevel="0" collapsed="false">
      <c r="A650" s="0" t="n">
        <v>484.02</v>
      </c>
      <c r="B650" s="28" t="n">
        <v>1</v>
      </c>
      <c r="C650" s="0" t="n">
        <v>193238.86354812</v>
      </c>
      <c r="D650" s="0" t="n">
        <v>208879.31916368</v>
      </c>
    </row>
    <row r="651" customFormat="false" ht="27" hidden="false" customHeight="true" outlineLevel="0" collapsed="false">
      <c r="A651" s="0" t="n">
        <v>484.01</v>
      </c>
      <c r="B651" s="28" t="n">
        <v>1</v>
      </c>
      <c r="C651" s="0" t="n">
        <v>192953.02924026</v>
      </c>
      <c r="D651" s="0" t="n">
        <v>206948.39856754</v>
      </c>
    </row>
    <row r="652" customFormat="false" ht="27" hidden="false" customHeight="true" outlineLevel="0" collapsed="false">
      <c r="A652" s="0" t="n">
        <v>484</v>
      </c>
      <c r="B652" s="28" t="n">
        <v>1</v>
      </c>
      <c r="C652" s="0" t="n">
        <v>192137.16797095</v>
      </c>
      <c r="D652" s="0" t="n">
        <v>205020.44436534</v>
      </c>
    </row>
    <row r="653" customFormat="false" ht="27" hidden="false" customHeight="true" outlineLevel="0" collapsed="false">
      <c r="A653" s="0" t="n">
        <v>483.99</v>
      </c>
      <c r="B653" s="28" t="n">
        <v>1</v>
      </c>
      <c r="C653" s="0" t="n">
        <v>191573.45535387</v>
      </c>
      <c r="D653" s="0" t="n">
        <v>203102.96058936</v>
      </c>
    </row>
    <row r="654" customFormat="false" ht="27" hidden="false" customHeight="true" outlineLevel="0" collapsed="false">
      <c r="A654" s="0" t="n">
        <v>483.98</v>
      </c>
      <c r="B654" s="28" t="n">
        <v>1</v>
      </c>
      <c r="C654" s="0" t="n">
        <v>191254.39789953</v>
      </c>
      <c r="D654" s="0" t="n">
        <v>201188.86802811</v>
      </c>
    </row>
    <row r="655" customFormat="false" ht="27" hidden="false" customHeight="true" outlineLevel="0" collapsed="false">
      <c r="A655" s="0" t="n">
        <v>483.97</v>
      </c>
      <c r="B655" s="28" t="n">
        <v>1</v>
      </c>
      <c r="C655" s="0" t="n">
        <v>190941.4864237</v>
      </c>
      <c r="D655" s="0" t="n">
        <v>199277.89764115</v>
      </c>
    </row>
    <row r="656" customFormat="false" ht="27" hidden="false" customHeight="true" outlineLevel="0" collapsed="false">
      <c r="A656" s="0" t="n">
        <v>483.96</v>
      </c>
      <c r="B656" s="28" t="n">
        <v>1</v>
      </c>
      <c r="C656" s="0" t="n">
        <v>190630.51904064</v>
      </c>
      <c r="D656" s="0" t="n">
        <v>197370.06730501</v>
      </c>
    </row>
    <row r="657" customFormat="false" ht="27" hidden="false" customHeight="true" outlineLevel="0" collapsed="false">
      <c r="A657" s="0" t="n">
        <v>483.95</v>
      </c>
      <c r="B657" s="29" t="n">
        <v>1</v>
      </c>
      <c r="C657" s="0" t="n">
        <v>190320.62265539</v>
      </c>
      <c r="D657" s="0" t="n">
        <v>195465.32259672</v>
      </c>
    </row>
    <row r="658" customFormat="false" ht="27" hidden="false" customHeight="true" outlineLevel="0" collapsed="false">
      <c r="A658" s="0" t="n">
        <v>483.94</v>
      </c>
      <c r="B658" s="29" t="n">
        <v>1</v>
      </c>
      <c r="C658" s="0" t="n">
        <v>190011.75049019</v>
      </c>
      <c r="D658" s="0" t="n">
        <v>193563.68643349</v>
      </c>
    </row>
    <row r="659" customFormat="false" ht="27" hidden="false" customHeight="true" outlineLevel="0" collapsed="false">
      <c r="A659" s="0" t="n">
        <v>483.93</v>
      </c>
      <c r="B659" s="29" t="n">
        <v>1</v>
      </c>
      <c r="C659" s="0" t="n">
        <v>189703.51551447</v>
      </c>
      <c r="D659" s="0" t="n">
        <v>191665.13334727</v>
      </c>
    </row>
    <row r="660" customFormat="false" ht="27" hidden="false" customHeight="true" outlineLevel="0" collapsed="false">
      <c r="A660" s="0" t="n">
        <v>483.92</v>
      </c>
      <c r="B660" s="29" t="n">
        <v>1</v>
      </c>
      <c r="C660" s="0" t="n">
        <v>189395.94668525</v>
      </c>
      <c r="D660" s="0" t="n">
        <v>189769.65674708</v>
      </c>
    </row>
    <row r="661" customFormat="false" ht="27" hidden="false" customHeight="true" outlineLevel="0" collapsed="false">
      <c r="A661" s="0" t="n">
        <v>483.91</v>
      </c>
      <c r="B661" s="29" t="n">
        <v>1</v>
      </c>
      <c r="C661" s="0" t="n">
        <v>189089.27054975</v>
      </c>
      <c r="D661" s="0" t="n">
        <v>187877.27830699</v>
      </c>
    </row>
    <row r="662" customFormat="false" ht="27" hidden="false" customHeight="true" outlineLevel="0" collapsed="false">
      <c r="A662" s="0" t="n">
        <v>483.9</v>
      </c>
      <c r="B662" s="29" t="n">
        <v>1</v>
      </c>
      <c r="C662" s="0" t="n">
        <v>188783.12101907</v>
      </c>
      <c r="D662" s="0" t="n">
        <v>185987.9194781</v>
      </c>
    </row>
    <row r="663" customFormat="false" ht="27" hidden="false" customHeight="true" outlineLevel="0" collapsed="false">
      <c r="A663" s="0" t="n">
        <v>483.89</v>
      </c>
      <c r="B663" s="29" t="n">
        <v>1</v>
      </c>
      <c r="C663" s="0" t="n">
        <v>188477.77534064</v>
      </c>
      <c r="D663" s="0" t="n">
        <v>184101.6297648</v>
      </c>
    </row>
    <row r="664" customFormat="false" ht="27" hidden="false" customHeight="true" outlineLevel="0" collapsed="false">
      <c r="A664" s="0" t="n">
        <v>483.88</v>
      </c>
      <c r="B664" s="29" t="n">
        <v>1</v>
      </c>
      <c r="C664" s="0" t="n">
        <v>188173.01433332</v>
      </c>
      <c r="D664" s="0" t="n">
        <v>182218.39287652</v>
      </c>
    </row>
    <row r="665" customFormat="false" ht="27" hidden="false" customHeight="true" outlineLevel="0" collapsed="false">
      <c r="A665" s="0" t="n">
        <v>483.87</v>
      </c>
      <c r="B665" s="29" t="n">
        <v>1</v>
      </c>
      <c r="C665" s="0" t="n">
        <v>187868.99017833</v>
      </c>
      <c r="D665" s="0" t="n">
        <v>180338.21396114</v>
      </c>
    </row>
    <row r="666" customFormat="false" ht="27" hidden="false" customHeight="true" outlineLevel="0" collapsed="false">
      <c r="A666" s="0" t="n">
        <v>483.86</v>
      </c>
      <c r="B666" s="28" t="n">
        <v>1</v>
      </c>
      <c r="C666" s="0" t="n">
        <v>187565.39255292</v>
      </c>
      <c r="D666" s="0" t="n">
        <v>178461.11727266</v>
      </c>
    </row>
    <row r="667" customFormat="false" ht="27" hidden="false" customHeight="true" outlineLevel="0" collapsed="false">
      <c r="A667" s="0" t="n">
        <v>483.85</v>
      </c>
      <c r="B667" s="28" t="n">
        <v>1</v>
      </c>
      <c r="C667" s="0" t="n">
        <v>187262.15068118</v>
      </c>
      <c r="D667" s="0" t="n">
        <v>176587.00816302</v>
      </c>
    </row>
    <row r="668" customFormat="false" ht="27" hidden="false" customHeight="true" outlineLevel="0" collapsed="false">
      <c r="A668" s="0" t="n">
        <v>483.84</v>
      </c>
      <c r="B668" s="28" t="n">
        <v>1</v>
      </c>
      <c r="C668" s="0" t="n">
        <v>186959.0263932</v>
      </c>
      <c r="D668" s="0" t="n">
        <v>174715.94992405</v>
      </c>
    </row>
    <row r="669" customFormat="false" ht="27" hidden="false" customHeight="true" outlineLevel="0" collapsed="false">
      <c r="A669" s="0" t="n">
        <v>483.83</v>
      </c>
      <c r="B669" s="28" t="n">
        <v>1</v>
      </c>
      <c r="C669" s="0" t="n">
        <v>186655.36359357</v>
      </c>
      <c r="D669" s="0" t="n">
        <v>172847.94079662</v>
      </c>
    </row>
    <row r="670" customFormat="false" ht="27" hidden="false" customHeight="true" outlineLevel="0" collapsed="false">
      <c r="A670" s="0" t="n">
        <v>483.82</v>
      </c>
      <c r="B670" s="28" t="n">
        <v>1</v>
      </c>
      <c r="C670" s="0" t="n">
        <v>186350.40540306</v>
      </c>
      <c r="D670" s="0" t="n">
        <v>170982.95259077</v>
      </c>
    </row>
    <row r="671" customFormat="false" ht="27" hidden="false" customHeight="true" outlineLevel="0" collapsed="false">
      <c r="A671" s="0" t="n">
        <v>483.81</v>
      </c>
      <c r="B671" s="28" t="n">
        <v>1</v>
      </c>
      <c r="C671" s="0" t="n">
        <v>186041.19340799</v>
      </c>
      <c r="D671" s="0" t="n">
        <v>169121.09049036</v>
      </c>
    </row>
    <row r="672" customFormat="false" ht="27" hidden="false" customHeight="true" outlineLevel="0" collapsed="false">
      <c r="A672" s="0" t="n">
        <v>483.8</v>
      </c>
      <c r="B672" s="28" t="n">
        <v>1</v>
      </c>
      <c r="C672" s="0" t="n">
        <v>185686.96353669</v>
      </c>
      <c r="D672" s="0" t="n">
        <v>167262.33677105</v>
      </c>
    </row>
    <row r="673" customFormat="false" ht="27" hidden="false" customHeight="true" outlineLevel="0" collapsed="false">
      <c r="A673" s="0" t="n">
        <v>483.79</v>
      </c>
      <c r="B673" s="28" t="n">
        <v>1</v>
      </c>
      <c r="C673" s="0" t="n">
        <v>184894.34475689</v>
      </c>
      <c r="D673" s="0" t="n">
        <v>165411.92129295</v>
      </c>
    </row>
    <row r="674" customFormat="false" ht="27" hidden="false" customHeight="true" outlineLevel="0" collapsed="false">
      <c r="A674" s="0" t="n">
        <v>483.78</v>
      </c>
      <c r="B674" s="28" t="n">
        <v>1</v>
      </c>
      <c r="C674" s="0" t="n">
        <v>184633.21793883</v>
      </c>
      <c r="D674" s="0" t="n">
        <v>163564.27252727</v>
      </c>
    </row>
    <row r="675" customFormat="false" ht="27" hidden="false" customHeight="true" outlineLevel="0" collapsed="false">
      <c r="A675" s="0" t="n">
        <v>483.77</v>
      </c>
      <c r="B675" s="28" t="n">
        <v>1</v>
      </c>
      <c r="C675" s="0" t="n">
        <v>184374.22802529</v>
      </c>
      <c r="D675" s="0" t="n">
        <v>161719.264604</v>
      </c>
    </row>
    <row r="676" customFormat="false" ht="27" hidden="false" customHeight="true" outlineLevel="0" collapsed="false">
      <c r="A676" s="0" t="n">
        <v>483.76</v>
      </c>
      <c r="B676" s="28" t="n">
        <v>1</v>
      </c>
      <c r="C676" s="0" t="n">
        <v>184115.73578168</v>
      </c>
      <c r="D676" s="0" t="n">
        <v>159876.83493534</v>
      </c>
    </row>
    <row r="677" customFormat="false" ht="27" hidden="false" customHeight="true" outlineLevel="0" collapsed="false">
      <c r="A677" s="0" t="n">
        <v>483.75</v>
      </c>
      <c r="B677" s="28" t="n">
        <v>1</v>
      </c>
      <c r="C677" s="0" t="n">
        <v>183857.22388016</v>
      </c>
      <c r="D677" s="0" t="n">
        <v>158037.00929427</v>
      </c>
    </row>
    <row r="678" customFormat="false" ht="27" hidden="false" customHeight="true" outlineLevel="0" collapsed="false">
      <c r="A678" s="0" t="n">
        <v>483.74</v>
      </c>
      <c r="B678" s="28" t="n">
        <v>1</v>
      </c>
      <c r="C678" s="0" t="n">
        <v>183598.6102532</v>
      </c>
      <c r="D678" s="0" t="n">
        <v>156199.72836917</v>
      </c>
    </row>
    <row r="679" customFormat="false" ht="27" hidden="false" customHeight="true" outlineLevel="0" collapsed="false">
      <c r="A679" s="0" t="n">
        <v>483.73</v>
      </c>
      <c r="B679" s="28" t="n">
        <v>1</v>
      </c>
      <c r="C679" s="0" t="n">
        <v>183339.85556829</v>
      </c>
      <c r="D679" s="0" t="n">
        <v>154365.05633538</v>
      </c>
    </row>
    <row r="680" customFormat="false" ht="27" hidden="false" customHeight="true" outlineLevel="0" collapsed="false">
      <c r="A680" s="0" t="n">
        <v>483.72</v>
      </c>
      <c r="B680" s="28" t="n">
        <v>1</v>
      </c>
      <c r="C680" s="0" t="n">
        <v>183080.80796276</v>
      </c>
      <c r="D680" s="0" t="n">
        <v>152532.96537325</v>
      </c>
    </row>
    <row r="681" customFormat="false" ht="27" hidden="false" customHeight="true" outlineLevel="0" collapsed="false">
      <c r="A681" s="0" t="n">
        <v>483.71</v>
      </c>
      <c r="B681" s="28" t="n">
        <v>1</v>
      </c>
      <c r="C681" s="0" t="n">
        <v>182821.70881808</v>
      </c>
      <c r="D681" s="0" t="n">
        <v>150703.43939148</v>
      </c>
    </row>
    <row r="682" customFormat="false" ht="27" hidden="false" customHeight="true" outlineLevel="0" collapsed="false">
      <c r="A682" s="0" t="n">
        <v>483.7</v>
      </c>
      <c r="B682" s="28" t="n">
        <v>1</v>
      </c>
      <c r="C682" s="0" t="n">
        <v>182562.31954053</v>
      </c>
      <c r="D682" s="0" t="n">
        <v>148876.54151987</v>
      </c>
    </row>
    <row r="683" customFormat="false" ht="27" hidden="false" customHeight="true" outlineLevel="0" collapsed="false">
      <c r="A683" s="0" t="n">
        <v>483.69</v>
      </c>
      <c r="B683" s="28" t="n">
        <v>1</v>
      </c>
      <c r="C683" s="0" t="n">
        <v>182302.85537634</v>
      </c>
      <c r="D683" s="0" t="n">
        <v>147052.27579789</v>
      </c>
    </row>
    <row r="684" customFormat="false" ht="27" hidden="false" customHeight="true" outlineLevel="0" collapsed="false">
      <c r="A684" s="0" t="n">
        <v>483.68</v>
      </c>
      <c r="B684" s="28" t="n">
        <v>1</v>
      </c>
      <c r="C684" s="0" t="n">
        <v>182042.99019886</v>
      </c>
      <c r="D684" s="0" t="n">
        <v>145230.57542257</v>
      </c>
    </row>
    <row r="685" customFormat="false" ht="27" hidden="false" customHeight="true" outlineLevel="0" collapsed="false">
      <c r="A685" s="0" t="n">
        <v>483.67</v>
      </c>
      <c r="B685" s="28" t="n">
        <v>1</v>
      </c>
      <c r="C685" s="0" t="n">
        <v>181783.02110174</v>
      </c>
      <c r="D685" s="0" t="n">
        <v>143411.48174659</v>
      </c>
    </row>
    <row r="686" customFormat="false" ht="27" hidden="false" customHeight="true" outlineLevel="0" collapsed="false">
      <c r="A686" s="0" t="n">
        <v>483.66</v>
      </c>
      <c r="B686" s="28" t="n">
        <v>1</v>
      </c>
      <c r="C686" s="0" t="n">
        <v>181522.58644402</v>
      </c>
      <c r="D686" s="0" t="n">
        <v>141595.00337156</v>
      </c>
    </row>
    <row r="687" customFormat="false" ht="27" hidden="false" customHeight="true" outlineLevel="0" collapsed="false">
      <c r="A687" s="0" t="n">
        <v>483.65</v>
      </c>
      <c r="B687" s="28" t="n">
        <v>1</v>
      </c>
      <c r="C687" s="0" t="n">
        <v>181261.55882106</v>
      </c>
      <c r="D687" s="0" t="n">
        <v>139781.14224532</v>
      </c>
    </row>
    <row r="688" customFormat="false" ht="27" hidden="false" customHeight="true" outlineLevel="0" collapsed="false">
      <c r="A688" s="0" t="n">
        <v>483.64</v>
      </c>
      <c r="B688" s="28" t="n">
        <v>1</v>
      </c>
      <c r="C688" s="0" t="n">
        <v>180999.44713449</v>
      </c>
      <c r="D688" s="0" t="n">
        <v>137969.88366112</v>
      </c>
    </row>
    <row r="689" customFormat="false" ht="27" hidden="false" customHeight="true" outlineLevel="0" collapsed="false">
      <c r="A689" s="0" t="n">
        <v>483.63</v>
      </c>
      <c r="B689" s="28" t="n">
        <v>1</v>
      </c>
      <c r="C689" s="0" t="n">
        <v>180735.63294442</v>
      </c>
      <c r="D689" s="0" t="n">
        <v>136161.27007846</v>
      </c>
    </row>
    <row r="690" customFormat="false" ht="27" hidden="false" customHeight="true" outlineLevel="0" collapsed="false">
      <c r="A690" s="0" t="n">
        <v>483.62</v>
      </c>
      <c r="B690" s="28" t="n">
        <v>1</v>
      </c>
      <c r="C690" s="0" t="n">
        <v>180468.97608219</v>
      </c>
      <c r="D690" s="0" t="n">
        <v>134355.32941431</v>
      </c>
    </row>
    <row r="691" customFormat="false" ht="27" hidden="false" customHeight="true" outlineLevel="0" collapsed="false">
      <c r="A691" s="0" t="n">
        <v>483.61</v>
      </c>
      <c r="B691" s="28" t="n">
        <v>1</v>
      </c>
      <c r="C691" s="0" t="n">
        <v>180196.29639974</v>
      </c>
      <c r="D691" s="0" t="n">
        <v>132552.07370525</v>
      </c>
    </row>
    <row r="692" customFormat="false" ht="27" hidden="false" customHeight="true" outlineLevel="0" collapsed="false">
      <c r="A692" s="0" t="n">
        <v>483.6</v>
      </c>
      <c r="B692" s="28" t="n">
        <v>1</v>
      </c>
      <c r="C692" s="0" t="n">
        <v>178958.74918083</v>
      </c>
      <c r="D692" s="0" t="n">
        <v>130751.63024421</v>
      </c>
    </row>
    <row r="693" customFormat="false" ht="27" hidden="false" customHeight="true" outlineLevel="0" collapsed="false">
      <c r="A693" s="0" t="n">
        <v>483.59</v>
      </c>
      <c r="B693" s="29" t="n">
        <v>1</v>
      </c>
      <c r="C693" s="0" t="n">
        <v>178581.51849106</v>
      </c>
      <c r="D693" s="0" t="n">
        <v>128964.07894721</v>
      </c>
    </row>
    <row r="694" customFormat="false" ht="27" hidden="false" customHeight="true" outlineLevel="0" collapsed="false">
      <c r="A694" s="0" t="n">
        <v>483.58</v>
      </c>
      <c r="B694" s="29" t="n">
        <v>1</v>
      </c>
      <c r="C694" s="0" t="n">
        <v>178265.75621674</v>
      </c>
      <c r="D694" s="0" t="n">
        <v>127179.8881473</v>
      </c>
    </row>
    <row r="695" customFormat="false" ht="27" hidden="false" customHeight="true" outlineLevel="0" collapsed="false">
      <c r="A695" s="0" t="n">
        <v>483.57</v>
      </c>
      <c r="B695" s="29" t="n">
        <v>1</v>
      </c>
      <c r="C695" s="0" t="n">
        <v>177955.21415705</v>
      </c>
      <c r="D695" s="0" t="n">
        <v>125398.76506622</v>
      </c>
    </row>
    <row r="696" customFormat="false" ht="27" hidden="false" customHeight="true" outlineLevel="0" collapsed="false">
      <c r="A696" s="0" t="n">
        <v>483.56</v>
      </c>
      <c r="B696" s="29" t="n">
        <v>1</v>
      </c>
      <c r="C696" s="0" t="n">
        <v>177646.38640529</v>
      </c>
      <c r="D696" s="0" t="n">
        <v>123620.74038972</v>
      </c>
    </row>
    <row r="697" customFormat="false" ht="27" hidden="false" customHeight="true" outlineLevel="0" collapsed="false">
      <c r="A697" s="0" t="n">
        <v>483.55</v>
      </c>
      <c r="B697" s="29" t="n">
        <v>1</v>
      </c>
      <c r="C697" s="0" t="n">
        <v>177338.48483494</v>
      </c>
      <c r="D697" s="0" t="n">
        <v>121845.83828087</v>
      </c>
    </row>
    <row r="698" customFormat="false" ht="27" hidden="false" customHeight="true" outlineLevel="0" collapsed="false">
      <c r="A698" s="0" t="n">
        <v>483.54</v>
      </c>
      <c r="B698" s="29" t="n">
        <v>1</v>
      </c>
      <c r="C698" s="0" t="n">
        <v>177031.18413328</v>
      </c>
      <c r="D698" s="0" t="n">
        <v>120073.98196722</v>
      </c>
    </row>
    <row r="699" customFormat="false" ht="27" hidden="false" customHeight="true" outlineLevel="0" collapsed="false">
      <c r="A699" s="0" t="n">
        <v>483.53</v>
      </c>
      <c r="B699" s="29" t="n">
        <v>1</v>
      </c>
      <c r="C699" s="0" t="n">
        <v>176724.67907337</v>
      </c>
      <c r="D699" s="0" t="n">
        <v>118305.23841803</v>
      </c>
    </row>
    <row r="700" customFormat="false" ht="27" hidden="false" customHeight="true" outlineLevel="0" collapsed="false">
      <c r="A700" s="0" t="n">
        <v>483.52</v>
      </c>
      <c r="B700" s="29" t="n">
        <v>1</v>
      </c>
      <c r="C700" s="0" t="n">
        <v>176418.6484899</v>
      </c>
      <c r="D700" s="0" t="n">
        <v>116539.51461866</v>
      </c>
    </row>
    <row r="701" customFormat="false" ht="27" hidden="false" customHeight="true" outlineLevel="0" collapsed="false">
      <c r="A701" s="0" t="n">
        <v>483.51</v>
      </c>
      <c r="B701" s="29" t="n">
        <v>1</v>
      </c>
      <c r="C701" s="0" t="n">
        <v>176113.2277424</v>
      </c>
      <c r="D701" s="0" t="n">
        <v>114776.84754626</v>
      </c>
    </row>
    <row r="702" customFormat="false" ht="27" hidden="false" customHeight="true" outlineLevel="0" collapsed="false">
      <c r="A702" s="0" t="n">
        <v>483.5</v>
      </c>
      <c r="B702" s="28" t="n">
        <v>1</v>
      </c>
      <c r="C702" s="0" t="n">
        <v>175808.51801011</v>
      </c>
      <c r="D702" s="0" t="n">
        <v>113017.24002551</v>
      </c>
    </row>
    <row r="703" customFormat="false" ht="27" hidden="false" customHeight="true" outlineLevel="0" collapsed="false">
      <c r="A703" s="0" t="n">
        <v>483.49</v>
      </c>
      <c r="B703" s="28" t="n">
        <v>1</v>
      </c>
      <c r="C703" s="0" t="n">
        <v>175504.22272092</v>
      </c>
      <c r="D703" s="0" t="n">
        <v>111260.69328545</v>
      </c>
    </row>
    <row r="704" customFormat="false" ht="27" hidden="false" customHeight="true" outlineLevel="0" collapsed="false">
      <c r="A704" s="0" t="n">
        <v>483.48</v>
      </c>
      <c r="B704" s="28" t="n">
        <v>1</v>
      </c>
      <c r="C704" s="0" t="n">
        <v>175200.64167091</v>
      </c>
      <c r="D704" s="0" t="n">
        <v>109507.19797003</v>
      </c>
    </row>
    <row r="705" customFormat="false" ht="27" hidden="false" customHeight="true" outlineLevel="0" collapsed="false">
      <c r="A705" s="0" t="n">
        <v>483.47</v>
      </c>
      <c r="B705" s="28" t="n">
        <v>1</v>
      </c>
      <c r="C705" s="0" t="n">
        <v>174897.62076681</v>
      </c>
      <c r="D705" s="0" t="n">
        <v>107756.73311375</v>
      </c>
    </row>
    <row r="706" customFormat="false" ht="27" hidden="false" customHeight="true" outlineLevel="0" collapsed="false">
      <c r="A706" s="0" t="n">
        <v>483.46</v>
      </c>
      <c r="B706" s="28" t="n">
        <v>1</v>
      </c>
      <c r="C706" s="0" t="n">
        <v>174595.19968672</v>
      </c>
      <c r="D706" s="0" t="n">
        <v>106009.29063517</v>
      </c>
    </row>
    <row r="707" customFormat="false" ht="27" hidden="false" customHeight="true" outlineLevel="0" collapsed="false">
      <c r="A707" s="0" t="n">
        <v>483.45</v>
      </c>
      <c r="B707" s="28" t="n">
        <v>1</v>
      </c>
      <c r="C707" s="0" t="n">
        <v>174293.29044076</v>
      </c>
      <c r="D707" s="0" t="n">
        <v>104264.84586526</v>
      </c>
    </row>
    <row r="708" customFormat="false" ht="27" hidden="false" customHeight="true" outlineLevel="0" collapsed="false">
      <c r="A708" s="0" t="n">
        <v>483.44</v>
      </c>
      <c r="B708" s="28" t="n">
        <v>1</v>
      </c>
      <c r="C708" s="0" t="n">
        <v>173991.95658389</v>
      </c>
      <c r="D708" s="0" t="n">
        <v>102523.44305069</v>
      </c>
    </row>
    <row r="709" customFormat="false" ht="27" hidden="false" customHeight="true" outlineLevel="0" collapsed="false">
      <c r="A709" s="0" t="n">
        <v>483.43</v>
      </c>
      <c r="B709" s="28" t="n">
        <v>1</v>
      </c>
      <c r="C709" s="0" t="n">
        <v>173690.97056094</v>
      </c>
      <c r="D709" s="0" t="n">
        <v>100785.0394441</v>
      </c>
    </row>
    <row r="710" customFormat="false" ht="27" hidden="false" customHeight="true" outlineLevel="0" collapsed="false">
      <c r="A710" s="0" t="n">
        <v>483.42</v>
      </c>
      <c r="B710" s="28" t="n">
        <v>1</v>
      </c>
      <c r="C710" s="0" t="n">
        <v>173390.19647019</v>
      </c>
      <c r="D710" s="0" t="n">
        <v>99049.643659461</v>
      </c>
    </row>
    <row r="711" customFormat="false" ht="27" hidden="false" customHeight="true" outlineLevel="0" collapsed="false">
      <c r="A711" s="0" t="n">
        <v>483.41</v>
      </c>
      <c r="B711" s="28" t="n">
        <v>1</v>
      </c>
      <c r="C711" s="0" t="n">
        <v>173088.36680559</v>
      </c>
      <c r="D711" s="0" t="n">
        <v>97317.277208278</v>
      </c>
    </row>
    <row r="712" customFormat="false" ht="27" hidden="false" customHeight="true" outlineLevel="0" collapsed="false">
      <c r="A712" s="0" t="n">
        <v>483.4</v>
      </c>
      <c r="B712" s="28" t="n">
        <v>1</v>
      </c>
      <c r="C712" s="0" t="n">
        <v>172756.23645088</v>
      </c>
      <c r="D712" s="0" t="n">
        <v>95587.988295643</v>
      </c>
    </row>
    <row r="713" customFormat="false" ht="27" hidden="false" customHeight="true" outlineLevel="0" collapsed="false">
      <c r="A713" s="0" t="n">
        <v>483.39</v>
      </c>
      <c r="B713" s="28" t="n">
        <v>1</v>
      </c>
      <c r="C713" s="0" t="n">
        <v>172155.01596824</v>
      </c>
      <c r="D713" s="0" t="n">
        <v>93864.650928904</v>
      </c>
    </row>
    <row r="714" customFormat="false" ht="27" hidden="false" customHeight="true" outlineLevel="0" collapsed="false">
      <c r="A714" s="0" t="n">
        <v>483.38</v>
      </c>
      <c r="B714" s="28" t="n">
        <v>1</v>
      </c>
      <c r="C714" s="0" t="n">
        <v>171824.04887307</v>
      </c>
      <c r="D714" s="0" t="n">
        <v>92144.769237495</v>
      </c>
    </row>
    <row r="715" customFormat="false" ht="27" hidden="false" customHeight="true" outlineLevel="0" collapsed="false">
      <c r="A715" s="0" t="n">
        <v>483.37</v>
      </c>
      <c r="B715" s="28" t="n">
        <v>1</v>
      </c>
      <c r="C715" s="0" t="n">
        <v>171494.37035711</v>
      </c>
      <c r="D715" s="0" t="n">
        <v>90428.166466789</v>
      </c>
    </row>
    <row r="716" customFormat="false" ht="27" hidden="false" customHeight="true" outlineLevel="0" collapsed="false">
      <c r="A716" s="0" t="n">
        <v>483.36</v>
      </c>
      <c r="B716" s="28" t="n">
        <v>1</v>
      </c>
      <c r="C716" s="0" t="n">
        <v>171164.26233588</v>
      </c>
      <c r="D716" s="0" t="n">
        <v>88714.874189317</v>
      </c>
    </row>
    <row r="717" customFormat="false" ht="27" hidden="false" customHeight="true" outlineLevel="0" collapsed="false">
      <c r="A717" s="0" t="n">
        <v>483.35</v>
      </c>
      <c r="B717" s="28" t="n">
        <v>1</v>
      </c>
      <c r="C717" s="0" t="n">
        <v>170833.1375088</v>
      </c>
      <c r="D717" s="0" t="n">
        <v>87004.862053687</v>
      </c>
    </row>
    <row r="718" customFormat="false" ht="27" hidden="false" customHeight="true" outlineLevel="0" collapsed="false">
      <c r="A718" s="0" t="n">
        <v>483.34</v>
      </c>
      <c r="B718" s="28" t="n">
        <v>1</v>
      </c>
      <c r="C718" s="0" t="n">
        <v>170500.96768747</v>
      </c>
      <c r="D718" s="0" t="n">
        <v>85298.209863197</v>
      </c>
    </row>
    <row r="719" customFormat="false" ht="27" hidden="false" customHeight="true" outlineLevel="0" collapsed="false">
      <c r="A719" s="0" t="n">
        <v>483.33</v>
      </c>
      <c r="B719" s="28" t="n">
        <v>1</v>
      </c>
      <c r="C719" s="0" t="n">
        <v>170167.77539056</v>
      </c>
      <c r="D719" s="0" t="n">
        <v>83594.855823695</v>
      </c>
    </row>
    <row r="720" customFormat="false" ht="27" hidden="false" customHeight="true" outlineLevel="0" collapsed="false">
      <c r="A720" s="0" t="n">
        <v>483.32</v>
      </c>
      <c r="B720" s="28" t="n">
        <v>1</v>
      </c>
      <c r="C720" s="0" t="n">
        <v>169833.23677279</v>
      </c>
      <c r="D720" s="0" t="n">
        <v>81894.858801321</v>
      </c>
    </row>
    <row r="721" customFormat="false" ht="27" hidden="false" customHeight="true" outlineLevel="0" collapsed="false">
      <c r="A721" s="0" t="n">
        <v>483.31</v>
      </c>
      <c r="B721" s="28" t="n">
        <v>1</v>
      </c>
      <c r="C721" s="0" t="n">
        <v>169497.58421554</v>
      </c>
      <c r="D721" s="0" t="n">
        <v>80198.227592552</v>
      </c>
    </row>
    <row r="722" customFormat="false" ht="27" hidden="false" customHeight="true" outlineLevel="0" collapsed="false">
      <c r="A722" s="0" t="n">
        <v>483.3</v>
      </c>
      <c r="B722" s="28" t="n">
        <v>1</v>
      </c>
      <c r="C722" s="0" t="n">
        <v>169160.89317885</v>
      </c>
      <c r="D722" s="0" t="n">
        <v>78504.924611612</v>
      </c>
    </row>
    <row r="723" customFormat="false" ht="27" hidden="false" customHeight="true" outlineLevel="0" collapsed="false">
      <c r="A723" s="0" t="n">
        <v>483.29</v>
      </c>
      <c r="B723" s="28" t="n">
        <v>1</v>
      </c>
      <c r="C723" s="0" t="n">
        <v>168822.80349749</v>
      </c>
      <c r="D723" s="0" t="n">
        <v>76815.022970147</v>
      </c>
    </row>
    <row r="724" customFormat="false" ht="27" hidden="false" customHeight="true" outlineLevel="0" collapsed="false">
      <c r="A724" s="0" t="n">
        <v>483.28</v>
      </c>
      <c r="B724" s="28" t="n">
        <v>1</v>
      </c>
      <c r="C724" s="0" t="n">
        <v>168483.64470911</v>
      </c>
      <c r="D724" s="0" t="n">
        <v>75128.480697893</v>
      </c>
    </row>
    <row r="725" customFormat="false" ht="27" hidden="false" customHeight="true" outlineLevel="0" collapsed="false">
      <c r="A725" s="0" t="n">
        <v>483.27</v>
      </c>
      <c r="B725" s="28" t="n">
        <v>1</v>
      </c>
      <c r="C725" s="0" t="n">
        <v>168143.24225091</v>
      </c>
      <c r="D725" s="0" t="n">
        <v>73445.354178417</v>
      </c>
    </row>
    <row r="726" customFormat="false" ht="27" hidden="false" customHeight="true" outlineLevel="0" collapsed="false">
      <c r="A726" s="0" t="n">
        <v>483.26</v>
      </c>
      <c r="B726" s="28" t="n">
        <v>1</v>
      </c>
      <c r="C726" s="0" t="n">
        <v>167801.6080936</v>
      </c>
      <c r="D726" s="0" t="n">
        <v>71765.641741632</v>
      </c>
    </row>
    <row r="727" customFormat="false" ht="27" hidden="false" customHeight="true" outlineLevel="0" collapsed="false">
      <c r="A727" s="0" t="n">
        <v>483.25</v>
      </c>
      <c r="B727" s="28" t="n">
        <v>1</v>
      </c>
      <c r="C727" s="0" t="n">
        <v>167458.7012558</v>
      </c>
      <c r="D727" s="0" t="n">
        <v>70089.345479061</v>
      </c>
    </row>
    <row r="728" customFormat="false" ht="27" hidden="false" customHeight="true" outlineLevel="0" collapsed="false">
      <c r="A728" s="0" t="n">
        <v>483.24</v>
      </c>
      <c r="B728" s="28" t="n">
        <v>1</v>
      </c>
      <c r="C728" s="0" t="n">
        <v>167114.3586331</v>
      </c>
      <c r="D728" s="0" t="n">
        <v>68416.495953002</v>
      </c>
    </row>
    <row r="729" customFormat="false" ht="27" hidden="false" customHeight="true" outlineLevel="0" collapsed="false">
      <c r="A729" s="0" t="n">
        <v>483.23</v>
      </c>
      <c r="B729" s="29" t="n">
        <v>1</v>
      </c>
      <c r="C729" s="0" t="n">
        <v>166768.27258849</v>
      </c>
      <c r="D729" s="0" t="n">
        <v>66747.09626254</v>
      </c>
    </row>
    <row r="730" customFormat="false" ht="27" hidden="false" customHeight="true" outlineLevel="0" collapsed="false">
      <c r="A730" s="0" t="n">
        <v>483.22</v>
      </c>
      <c r="B730" s="29" t="n">
        <v>1</v>
      </c>
      <c r="C730" s="0" t="n">
        <v>166419.52305072</v>
      </c>
      <c r="D730" s="0" t="n">
        <v>65081.177162468</v>
      </c>
    </row>
    <row r="731" customFormat="false" ht="27" hidden="false" customHeight="true" outlineLevel="0" collapsed="false">
      <c r="A731" s="0" t="n">
        <v>483.21</v>
      </c>
      <c r="B731" s="29" t="n">
        <v>1</v>
      </c>
      <c r="C731" s="0" t="n">
        <v>166063.78949623</v>
      </c>
      <c r="D731" s="0" t="n">
        <v>63418.785881194</v>
      </c>
    </row>
    <row r="732" customFormat="false" ht="27" hidden="false" customHeight="true" outlineLevel="0" collapsed="false">
      <c r="A732" s="0" t="n">
        <v>483.2</v>
      </c>
      <c r="B732" s="29" t="n">
        <v>1</v>
      </c>
      <c r="C732" s="0" t="n">
        <v>164873.5584528</v>
      </c>
      <c r="D732" s="0" t="n">
        <v>61760.105640019</v>
      </c>
    </row>
    <row r="733" customFormat="false" ht="27" hidden="false" customHeight="true" outlineLevel="0" collapsed="false">
      <c r="A733" s="0" t="n">
        <v>483.19</v>
      </c>
      <c r="B733" s="29" t="n">
        <v>1</v>
      </c>
      <c r="C733" s="0" t="n">
        <v>163500.71315745</v>
      </c>
      <c r="D733" s="0" t="n">
        <v>60122.506559973</v>
      </c>
    </row>
    <row r="734" customFormat="false" ht="27" hidden="false" customHeight="true" outlineLevel="0" collapsed="false">
      <c r="A734" s="0" t="n">
        <v>483.18</v>
      </c>
      <c r="B734" s="29" t="n">
        <v>1</v>
      </c>
      <c r="C734" s="0" t="n">
        <v>163091.6730949</v>
      </c>
      <c r="D734" s="0" t="n">
        <v>58489.54884956</v>
      </c>
    </row>
    <row r="735" customFormat="false" ht="27" hidden="false" customHeight="true" outlineLevel="0" collapsed="false">
      <c r="A735" s="0" t="n">
        <v>483.17</v>
      </c>
      <c r="B735" s="29" t="n">
        <v>1</v>
      </c>
      <c r="C735" s="0" t="n">
        <v>162691.00339083</v>
      </c>
      <c r="D735" s="0" t="n">
        <v>56860.633533794</v>
      </c>
    </row>
    <row r="736" customFormat="false" ht="27" hidden="false" customHeight="true" outlineLevel="0" collapsed="false">
      <c r="A736" s="0" t="n">
        <v>483.16</v>
      </c>
      <c r="B736" s="29" t="n">
        <v>1</v>
      </c>
      <c r="C736" s="0" t="n">
        <v>162293.07407509</v>
      </c>
      <c r="D736" s="0" t="n">
        <v>55235.717418694</v>
      </c>
    </row>
    <row r="737" customFormat="false" ht="27" hidden="false" customHeight="true" outlineLevel="0" collapsed="false">
      <c r="A737" s="0" t="n">
        <v>483.15</v>
      </c>
      <c r="B737" s="29" t="n">
        <v>1</v>
      </c>
      <c r="C737" s="0" t="n">
        <v>161895.73873994</v>
      </c>
      <c r="D737" s="0" t="n">
        <v>53614.770257969</v>
      </c>
    </row>
    <row r="738" customFormat="false" ht="27" hidden="false" customHeight="true" outlineLevel="0" collapsed="false">
      <c r="A738" s="0" t="n">
        <v>483.14</v>
      </c>
      <c r="B738" s="28" t="n">
        <v>1</v>
      </c>
      <c r="C738" s="0" t="n">
        <v>161498.1675019</v>
      </c>
      <c r="D738" s="0" t="n">
        <v>51997.77929626</v>
      </c>
    </row>
    <row r="739" customFormat="false" ht="27" hidden="false" customHeight="true" outlineLevel="0" collapsed="false">
      <c r="A739" s="0" t="n">
        <v>483.13</v>
      </c>
      <c r="B739" s="28" t="n">
        <v>1</v>
      </c>
      <c r="C739" s="0" t="n">
        <v>161099.96461485</v>
      </c>
      <c r="D739" s="0" t="n">
        <v>50384.799140459</v>
      </c>
    </row>
    <row r="740" customFormat="false" ht="27" hidden="false" customHeight="true" outlineLevel="0" collapsed="false">
      <c r="A740" s="0" t="n">
        <v>483.12</v>
      </c>
      <c r="B740" s="28" t="n">
        <v>1</v>
      </c>
      <c r="C740" s="0" t="n">
        <v>160701.05839439</v>
      </c>
      <c r="D740" s="0" t="n">
        <v>48775.796271223</v>
      </c>
    </row>
    <row r="741" customFormat="false" ht="27" hidden="false" customHeight="true" outlineLevel="0" collapsed="false">
      <c r="A741" s="0" t="n">
        <v>483.11</v>
      </c>
      <c r="B741" s="28" t="n">
        <v>1</v>
      </c>
      <c r="C741" s="0" t="n">
        <v>160301.44531007</v>
      </c>
      <c r="D741" s="0" t="n">
        <v>47170.825356436</v>
      </c>
    </row>
    <row r="742" customFormat="false" ht="27" hidden="false" customHeight="true" outlineLevel="0" collapsed="false">
      <c r="A742" s="0" t="n">
        <v>483.1</v>
      </c>
      <c r="B742" s="28" t="n">
        <v>1</v>
      </c>
      <c r="C742" s="0" t="n">
        <v>159900.68126488</v>
      </c>
      <c r="D742" s="0" t="n">
        <v>45569.814380394</v>
      </c>
    </row>
    <row r="743" customFormat="false" ht="27" hidden="false" customHeight="true" outlineLevel="0" collapsed="false">
      <c r="A743" s="0" t="n">
        <v>483.09</v>
      </c>
      <c r="B743" s="28" t="n">
        <v>1</v>
      </c>
      <c r="C743" s="0" t="n">
        <v>159498.95343064</v>
      </c>
      <c r="D743" s="0" t="n">
        <v>43972.826938709</v>
      </c>
    </row>
    <row r="744" customFormat="false" ht="27" hidden="false" customHeight="true" outlineLevel="0" collapsed="false">
      <c r="A744" s="0" t="n">
        <v>483.08</v>
      </c>
      <c r="B744" s="28" t="n">
        <v>1</v>
      </c>
      <c r="C744" s="0" t="n">
        <v>159096.30734438</v>
      </c>
      <c r="D744" s="0" t="n">
        <v>42379.873653974</v>
      </c>
    </row>
    <row r="745" customFormat="false" ht="27" hidden="false" customHeight="true" outlineLevel="0" collapsed="false">
      <c r="A745" s="0" t="n">
        <v>483.07</v>
      </c>
      <c r="B745" s="28" t="n">
        <v>1</v>
      </c>
      <c r="C745" s="0" t="n">
        <v>158692.64806284</v>
      </c>
      <c r="D745" s="0" t="n">
        <v>40790.988700917</v>
      </c>
    </row>
    <row r="746" customFormat="false" ht="27" hidden="false" customHeight="true" outlineLevel="0" collapsed="false">
      <c r="A746" s="0" t="n">
        <v>483.06</v>
      </c>
      <c r="B746" s="28" t="n">
        <v>1</v>
      </c>
      <c r="C746" s="0" t="n">
        <v>158287.72821909</v>
      </c>
      <c r="D746" s="0" t="n">
        <v>39206.139236834</v>
      </c>
    </row>
    <row r="747" customFormat="false" ht="27" hidden="false" customHeight="true" outlineLevel="0" collapsed="false">
      <c r="A747" s="0" t="n">
        <v>483.05</v>
      </c>
      <c r="B747" s="28" t="n">
        <v>1</v>
      </c>
      <c r="C747" s="0" t="n">
        <v>157881.2661454</v>
      </c>
      <c r="D747" s="0" t="n">
        <v>37625.359249397</v>
      </c>
    </row>
    <row r="748" customFormat="false" ht="27" hidden="false" customHeight="true" outlineLevel="0" collapsed="false">
      <c r="A748" s="0" t="n">
        <v>483.04</v>
      </c>
      <c r="B748" s="28" t="n">
        <v>1</v>
      </c>
      <c r="C748" s="0" t="n">
        <v>157472.86746867</v>
      </c>
      <c r="D748" s="0" t="n">
        <v>36048.653842106</v>
      </c>
    </row>
    <row r="749" customFormat="false" ht="27" hidden="false" customHeight="true" outlineLevel="0" collapsed="false">
      <c r="A749" s="0" t="n">
        <v>483.03</v>
      </c>
      <c r="B749" s="28" t="n">
        <v>1</v>
      </c>
      <c r="C749" s="0" t="n">
        <v>157061.48082302</v>
      </c>
      <c r="D749" s="0" t="n">
        <v>34476.067833447</v>
      </c>
    </row>
    <row r="750" customFormat="false" ht="27" hidden="false" customHeight="true" outlineLevel="0" collapsed="false">
      <c r="A750" s="0" t="n">
        <v>483.02</v>
      </c>
      <c r="B750" s="28" t="n">
        <v>1</v>
      </c>
      <c r="C750" s="0" t="n">
        <v>156643.13262253</v>
      </c>
      <c r="D750" s="0" t="n">
        <v>32907.660446047</v>
      </c>
    </row>
    <row r="751" customFormat="false" ht="27" hidden="false" customHeight="true" outlineLevel="0" collapsed="false">
      <c r="A751" s="0" t="n">
        <v>483.01</v>
      </c>
      <c r="B751" s="28" t="n">
        <v>1</v>
      </c>
      <c r="C751" s="0" t="n">
        <v>156215.89019026</v>
      </c>
      <c r="D751" s="0" t="n">
        <v>31343.481590881</v>
      </c>
    </row>
    <row r="752" customFormat="false" ht="27" hidden="false" customHeight="true" outlineLevel="0" collapsed="false">
      <c r="A752" s="0" t="n">
        <v>483</v>
      </c>
      <c r="B752" s="28" t="n">
        <v>1</v>
      </c>
      <c r="C752" s="0" t="n">
        <v>155639.0693307</v>
      </c>
      <c r="D752" s="0" t="n">
        <v>29783.877598346</v>
      </c>
    </row>
    <row r="753" customFormat="false" ht="27" hidden="false" customHeight="true" outlineLevel="0" collapsed="false">
      <c r="A753" s="0" t="n">
        <v>482.99</v>
      </c>
      <c r="B753" s="28" t="n">
        <v>1</v>
      </c>
      <c r="C753" s="0" t="n">
        <v>153357.26827039</v>
      </c>
      <c r="D753" s="0" t="n">
        <v>28247.596068953</v>
      </c>
    </row>
    <row r="754" customFormat="false" ht="27" hidden="false" customHeight="true" outlineLevel="0" collapsed="false">
      <c r="A754" s="0" t="n">
        <v>482.98</v>
      </c>
      <c r="B754" s="28" t="n">
        <v>1</v>
      </c>
      <c r="C754" s="0" t="n">
        <v>152865.04862556</v>
      </c>
      <c r="D754" s="0" t="n">
        <v>26716.501689708</v>
      </c>
    </row>
    <row r="755" customFormat="false" ht="27" hidden="false" customHeight="true" outlineLevel="0" collapsed="false">
      <c r="A755" s="0" t="n">
        <v>482.97</v>
      </c>
      <c r="B755" s="28" t="n">
        <v>1</v>
      </c>
      <c r="C755" s="0" t="n">
        <v>152374.66505586</v>
      </c>
      <c r="D755" s="0" t="n">
        <v>25190.297847413</v>
      </c>
    </row>
    <row r="756" customFormat="false" ht="27" hidden="false" customHeight="true" outlineLevel="0" collapsed="false">
      <c r="A756" s="0" t="n">
        <v>482.96</v>
      </c>
      <c r="B756" s="28" t="n">
        <v>1</v>
      </c>
      <c r="C756" s="0" t="n">
        <v>151884.12071457</v>
      </c>
      <c r="D756" s="0" t="n">
        <v>23669.001999656</v>
      </c>
    </row>
    <row r="757" customFormat="false" ht="27" hidden="false" customHeight="true" outlineLevel="0" collapsed="false">
      <c r="A757" s="0" t="n">
        <v>482.95</v>
      </c>
      <c r="B757" s="28" t="n">
        <v>1</v>
      </c>
      <c r="C757" s="0" t="n">
        <v>151393.39098953</v>
      </c>
      <c r="D757" s="0" t="n">
        <v>22152.63645218</v>
      </c>
    </row>
    <row r="758" customFormat="false" ht="27" hidden="false" customHeight="true" outlineLevel="0" collapsed="false">
      <c r="A758" s="0" t="n">
        <v>482.94</v>
      </c>
      <c r="B758" s="28" t="n">
        <v>1</v>
      </c>
      <c r="C758" s="0" t="n">
        <v>150902.57750783</v>
      </c>
      <c r="D758" s="0" t="n">
        <v>20641.16095124</v>
      </c>
    </row>
    <row r="759" customFormat="false" ht="27" hidden="false" customHeight="true" outlineLevel="0" collapsed="false">
      <c r="A759" s="0" t="n">
        <v>482.93</v>
      </c>
      <c r="B759" s="28" t="n">
        <v>1</v>
      </c>
      <c r="C759" s="0" t="n">
        <v>150411.73067431</v>
      </c>
      <c r="D759" s="0" t="n">
        <v>19134.599796258</v>
      </c>
    </row>
    <row r="760" customFormat="false" ht="27" hidden="false" customHeight="true" outlineLevel="0" collapsed="false">
      <c r="A760" s="0" t="n">
        <v>482.92</v>
      </c>
      <c r="B760" s="28" t="n">
        <v>1</v>
      </c>
      <c r="C760" s="0" t="n">
        <v>149920.93094319</v>
      </c>
      <c r="D760" s="0" t="n">
        <v>17632.941500956</v>
      </c>
    </row>
    <row r="761" customFormat="false" ht="27" hidden="false" customHeight="true" outlineLevel="0" collapsed="false">
      <c r="A761" s="0" t="n">
        <v>482.91</v>
      </c>
      <c r="B761" s="28" t="n">
        <v>1</v>
      </c>
      <c r="C761" s="0" t="n">
        <v>149430.14112716</v>
      </c>
      <c r="D761" s="0" t="n">
        <v>16136.191609942</v>
      </c>
    </row>
    <row r="762" customFormat="false" ht="27" hidden="false" customHeight="true" outlineLevel="0" collapsed="false">
      <c r="A762" s="0" t="n">
        <v>482.9</v>
      </c>
      <c r="B762" s="28" t="n">
        <v>1</v>
      </c>
      <c r="C762" s="0" t="n">
        <v>148939.30940216</v>
      </c>
      <c r="D762" s="0" t="n">
        <v>14644.334904006</v>
      </c>
    </row>
    <row r="763" customFormat="false" ht="27" hidden="false" customHeight="true" outlineLevel="0" collapsed="false">
      <c r="A763" s="0" t="n">
        <v>482.89</v>
      </c>
      <c r="B763" s="28" t="n">
        <v>1</v>
      </c>
      <c r="C763" s="0" t="n">
        <v>148448.54708126</v>
      </c>
      <c r="D763" s="0" t="n">
        <v>13157.405516536</v>
      </c>
    </row>
    <row r="764" customFormat="false" ht="27" hidden="false" customHeight="true" outlineLevel="0" collapsed="false">
      <c r="A764" s="0" t="n">
        <v>482.88</v>
      </c>
      <c r="B764" s="28" t="n">
        <v>1</v>
      </c>
      <c r="C764" s="0" t="n">
        <v>147957.77266236</v>
      </c>
      <c r="D764" s="0" t="n">
        <v>11675.396949868</v>
      </c>
    </row>
    <row r="765" customFormat="false" ht="27" hidden="false" customHeight="true" outlineLevel="0" collapsed="false">
      <c r="A765" s="0" t="n">
        <v>482.87</v>
      </c>
      <c r="B765" s="29" t="n">
        <v>1</v>
      </c>
      <c r="C765" s="0" t="n">
        <v>147466.98998155</v>
      </c>
      <c r="D765" s="0" t="n">
        <v>10198.297931283</v>
      </c>
    </row>
    <row r="766" customFormat="false" ht="27" hidden="false" customHeight="true" outlineLevel="0" collapsed="false">
      <c r="A766" s="0" t="n">
        <v>482.86</v>
      </c>
      <c r="B766" s="29" t="n">
        <v>1</v>
      </c>
      <c r="C766" s="0" t="n">
        <v>146976.01396275</v>
      </c>
      <c r="D766" s="0" t="n">
        <v>8726.0884104043</v>
      </c>
    </row>
    <row r="767" customFormat="false" ht="27" hidden="false" customHeight="true" outlineLevel="0" collapsed="false">
      <c r="A767" s="0" t="n">
        <v>482.85</v>
      </c>
      <c r="B767" s="29" t="n">
        <v>1</v>
      </c>
      <c r="C767" s="0" t="n">
        <v>146484.77128435</v>
      </c>
      <c r="D767" s="0" t="n">
        <v>7258.825649643</v>
      </c>
    </row>
    <row r="768" customFormat="false" ht="27" hidden="false" customHeight="true" outlineLevel="0" collapsed="false">
      <c r="A768" s="0" t="n">
        <v>482.84</v>
      </c>
      <c r="B768" s="29" t="n">
        <v>1</v>
      </c>
      <c r="C768" s="0" t="n">
        <v>145992.50570377</v>
      </c>
      <c r="D768" s="0" t="n">
        <v>5796.4922306333</v>
      </c>
    </row>
    <row r="769" customFormat="false" ht="27" hidden="false" customHeight="true" outlineLevel="0" collapsed="false">
      <c r="A769" s="0" t="n">
        <v>482.83</v>
      </c>
      <c r="B769" s="29" t="n">
        <v>1</v>
      </c>
      <c r="C769" s="0" t="n">
        <v>145497.98098436</v>
      </c>
      <c r="D769" s="0" t="n">
        <v>4339.1395932971</v>
      </c>
    </row>
    <row r="770" customFormat="false" ht="27" hidden="false" customHeight="true" outlineLevel="0" collapsed="false">
      <c r="A770" s="0" t="n">
        <v>482.82</v>
      </c>
      <c r="B770" s="29" t="n">
        <v>1</v>
      </c>
      <c r="C770" s="0" t="n">
        <v>144996.9182422</v>
      </c>
      <c r="D770" s="0" t="n">
        <v>2886.8076653166</v>
      </c>
    </row>
    <row r="771" customFormat="false" ht="27" hidden="false" customHeight="true" outlineLevel="0" collapsed="false">
      <c r="A771" s="0" t="n">
        <v>482.81</v>
      </c>
      <c r="B771" s="29" t="n">
        <v>1</v>
      </c>
      <c r="C771" s="0" t="n">
        <v>144474.08244617</v>
      </c>
      <c r="D771" s="0" t="n">
        <v>1439.6211008901</v>
      </c>
    </row>
    <row r="772" customFormat="false" ht="27" hidden="false" customHeight="true" outlineLevel="0" collapsed="false">
      <c r="A772" s="0" t="n">
        <v>482.8</v>
      </c>
      <c r="B772" s="29" t="n">
        <v>1</v>
      </c>
      <c r="C772" s="0" t="n">
        <v>33140.978649364</v>
      </c>
      <c r="D772" s="0" t="n">
        <v>0.40316732228767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24.2"/>
    <col collapsed="false" customWidth="true" hidden="false" outlineLevel="0" max="4" min="3" style="0" width="8.9"/>
    <col collapsed="false" customWidth="true" hidden="false" outlineLevel="0" max="7" min="7" style="0" width="8.9"/>
    <col collapsed="false" customWidth="true" hidden="false" outlineLevel="0" max="8" min="8" style="0" width="9.3"/>
    <col collapsed="false" customWidth="true" hidden="false" outlineLevel="0" max="11" min="10" style="0" width="9.3"/>
  </cols>
  <sheetData>
    <row r="1" customFormat="false" ht="16.5" hidden="false" customHeight="false" outlineLevel="0" collapsed="false">
      <c r="A1" s="0" t="s">
        <v>33</v>
      </c>
    </row>
    <row r="2" customFormat="false" ht="16.5" hidden="false" customHeight="false" outlineLevel="0" collapsed="false">
      <c r="A2" s="0" t="s">
        <v>34</v>
      </c>
    </row>
    <row r="3" customFormat="false" ht="33" hidden="false" customHeight="true" outlineLevel="0" collapsed="false">
      <c r="A3" s="12" t="s">
        <v>35</v>
      </c>
      <c r="B3" s="0" t="s">
        <v>36</v>
      </c>
      <c r="E3" s="0" t="s">
        <v>37</v>
      </c>
    </row>
    <row r="4" customFormat="false" ht="16.5" hidden="false" customHeight="false" outlineLevel="0" collapsed="false">
      <c r="A4" s="38" t="s">
        <v>38</v>
      </c>
      <c r="B4" s="39" t="s">
        <v>39</v>
      </c>
      <c r="C4" s="39"/>
      <c r="D4" s="39"/>
      <c r="E4" s="39" t="s">
        <v>40</v>
      </c>
      <c r="F4" s="39"/>
      <c r="G4" s="39"/>
      <c r="H4" s="39" t="s">
        <v>41</v>
      </c>
      <c r="I4" s="39"/>
      <c r="J4" s="39"/>
      <c r="K4" s="39" t="s">
        <v>42</v>
      </c>
      <c r="L4" s="39"/>
      <c r="M4" s="39"/>
    </row>
    <row r="5" customFormat="false" ht="16.5" hidden="false" customHeight="false" outlineLevel="0" collapsed="false">
      <c r="A5" s="38"/>
      <c r="B5" s="40" t="s">
        <v>43</v>
      </c>
      <c r="C5" s="40" t="s">
        <v>44</v>
      </c>
      <c r="D5" s="40" t="s">
        <v>45</v>
      </c>
      <c r="E5" s="40" t="s">
        <v>43</v>
      </c>
      <c r="F5" s="40" t="s">
        <v>44</v>
      </c>
      <c r="G5" s="40" t="s">
        <v>45</v>
      </c>
      <c r="H5" s="40" t="s">
        <v>43</v>
      </c>
      <c r="I5" s="40" t="s">
        <v>44</v>
      </c>
      <c r="J5" s="40" t="s">
        <v>45</v>
      </c>
      <c r="K5" s="40" t="s">
        <v>43</v>
      </c>
      <c r="L5" s="40" t="s">
        <v>44</v>
      </c>
      <c r="M5" s="40" t="s">
        <v>45</v>
      </c>
    </row>
    <row r="6" customFormat="false" ht="16.5" hidden="false" customHeight="false" outlineLevel="0" collapsed="false">
      <c r="A6" s="41" t="n">
        <v>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6.5" hidden="false" customHeight="false" outlineLevel="0" collapsed="false">
      <c r="A7" s="41" t="n">
        <v>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6.5" hidden="false" customHeight="false" outlineLevel="0" collapsed="false">
      <c r="A8" s="41" t="n">
        <v>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6.5" hidden="false" customHeight="false" outlineLevel="0" collapsed="false">
      <c r="A9" s="41" t="n">
        <v>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6.5" hidden="false" customHeight="false" outlineLevel="0" collapsed="false">
      <c r="A10" s="41" t="n">
        <v>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6.5" hidden="false" customHeight="false" outlineLevel="0" collapsed="false">
      <c r="A11" s="42" t="n">
        <v>6</v>
      </c>
      <c r="B11" s="19" t="n">
        <v>1.5</v>
      </c>
      <c r="C11" s="0" t="n">
        <v>390</v>
      </c>
      <c r="D11" s="19" t="n">
        <v>6.5</v>
      </c>
      <c r="E11" s="19" t="n">
        <v>1.51</v>
      </c>
      <c r="F11" s="0" t="n">
        <f aca="false">G11*60</f>
        <v>391.8</v>
      </c>
      <c r="G11" s="19" t="n">
        <v>6.53</v>
      </c>
      <c r="H11" s="0" t="n">
        <v>1.54</v>
      </c>
      <c r="I11" s="0" t="n">
        <f aca="false">J11*60</f>
        <v>399</v>
      </c>
      <c r="J11" s="0" t="n">
        <v>6.65</v>
      </c>
      <c r="K11" s="19" t="n">
        <f aca="false">AVERAGE(B11,E11,H11)</f>
        <v>1.51666666666667</v>
      </c>
      <c r="L11" s="19" t="n">
        <f aca="false">AVERAGE(C11,F11,I11)</f>
        <v>393.6</v>
      </c>
      <c r="M11" s="19" t="n">
        <f aca="false">AVERAGE(D11,G11,J11)</f>
        <v>6.56</v>
      </c>
      <c r="N11" s="43" t="s">
        <v>46</v>
      </c>
    </row>
    <row r="12" customFormat="false" ht="16.5" hidden="false" customHeight="false" outlineLevel="0" collapsed="false">
      <c r="A12" s="41" t="n">
        <v>7</v>
      </c>
      <c r="B12" s="19" t="n">
        <v>1.67</v>
      </c>
      <c r="C12" s="0" t="n">
        <v>433</v>
      </c>
      <c r="D12" s="19" t="n">
        <v>7.21666666666667</v>
      </c>
      <c r="E12" s="19" t="n">
        <v>1.7</v>
      </c>
      <c r="F12" s="0" t="n">
        <f aca="false">G12*60</f>
        <v>440.4</v>
      </c>
      <c r="G12" s="19" t="n">
        <v>7.34</v>
      </c>
      <c r="H12" s="0" t="n">
        <v>1.65</v>
      </c>
      <c r="I12" s="0" t="n">
        <f aca="false">J12*60</f>
        <v>427.8</v>
      </c>
      <c r="J12" s="0" t="n">
        <v>7.13</v>
      </c>
      <c r="K12" s="19" t="n">
        <f aca="false">AVERAGE(B12,E12,H12)</f>
        <v>1.67333333333333</v>
      </c>
      <c r="L12" s="19" t="n">
        <f aca="false">AVERAGE(C12,F12,I12)</f>
        <v>433.733333333333</v>
      </c>
      <c r="M12" s="19" t="n">
        <f aca="false">AVERAGE(D12,G12,J12)</f>
        <v>7.22888888888889</v>
      </c>
    </row>
    <row r="13" customFormat="false" ht="16.5" hidden="false" customHeight="false" outlineLevel="0" collapsed="false">
      <c r="A13" s="41" t="n">
        <v>8</v>
      </c>
      <c r="B13" s="19" t="n">
        <v>1.74</v>
      </c>
      <c r="C13" s="0" t="n">
        <v>450</v>
      </c>
      <c r="D13" s="19" t="n">
        <v>7.5</v>
      </c>
      <c r="E13" s="19" t="n">
        <v>1.79</v>
      </c>
      <c r="F13" s="0" t="n">
        <f aca="false">G13*60</f>
        <v>463.8</v>
      </c>
      <c r="G13" s="19" t="n">
        <v>7.73</v>
      </c>
      <c r="H13" s="0" t="n">
        <v>1.79</v>
      </c>
      <c r="I13" s="0" t="n">
        <f aca="false">J13*60</f>
        <v>464.4</v>
      </c>
      <c r="J13" s="0" t="n">
        <v>7.74</v>
      </c>
      <c r="K13" s="19" t="n">
        <f aca="false">AVERAGE(B13,E13,H13)</f>
        <v>1.77333333333333</v>
      </c>
      <c r="L13" s="19" t="n">
        <f aca="false">AVERAGE(C13,F13,I13)</f>
        <v>459.4</v>
      </c>
      <c r="M13" s="19" t="n">
        <f aca="false">AVERAGE(D13,G13,J13)</f>
        <v>7.65666666666667</v>
      </c>
    </row>
    <row r="14" customFormat="false" ht="16.5" hidden="false" customHeight="false" outlineLevel="0" collapsed="false">
      <c r="A14" s="41" t="n">
        <v>9</v>
      </c>
      <c r="B14" s="19" t="n">
        <v>1.75</v>
      </c>
      <c r="C14" s="0" t="n">
        <v>453</v>
      </c>
      <c r="D14" s="19" t="n">
        <v>7.55</v>
      </c>
      <c r="E14" s="19" t="n">
        <v>1.84</v>
      </c>
      <c r="F14" s="0" t="n">
        <f aca="false">G14*60</f>
        <v>477</v>
      </c>
      <c r="G14" s="19" t="n">
        <v>7.95</v>
      </c>
      <c r="H14" s="0" t="n">
        <v>1.85</v>
      </c>
      <c r="I14" s="0" t="n">
        <f aca="false">J14*60</f>
        <v>481.2</v>
      </c>
      <c r="J14" s="0" t="n">
        <v>8.02</v>
      </c>
      <c r="K14" s="19" t="n">
        <f aca="false">AVERAGE(B14,E14,H14)</f>
        <v>1.81333333333333</v>
      </c>
      <c r="L14" s="19" t="n">
        <f aca="false">AVERAGE(C14,F14,I14)</f>
        <v>470.4</v>
      </c>
      <c r="M14" s="19" t="n">
        <f aca="false">AVERAGE(D14,G14,J14)</f>
        <v>7.84</v>
      </c>
    </row>
    <row r="15" customFormat="false" ht="16.5" hidden="false" customHeight="false" outlineLevel="0" collapsed="false">
      <c r="A15" s="41" t="n">
        <v>10</v>
      </c>
      <c r="B15" s="19" t="n">
        <v>1.76</v>
      </c>
      <c r="C15" s="0" t="n">
        <v>453</v>
      </c>
      <c r="D15" s="19" t="n">
        <v>7.64</v>
      </c>
      <c r="E15" s="19" t="n">
        <v>1.89</v>
      </c>
      <c r="F15" s="0" t="n">
        <f aca="false">G15*60</f>
        <v>490.2</v>
      </c>
      <c r="G15" s="19" t="n">
        <v>8.17</v>
      </c>
      <c r="H15" s="0" t="n">
        <v>1.89</v>
      </c>
      <c r="I15" s="0" t="n">
        <f aca="false">J15*60</f>
        <v>490.2</v>
      </c>
      <c r="J15" s="0" t="n">
        <v>8.17</v>
      </c>
      <c r="K15" s="19" t="n">
        <f aca="false">AVERAGE(B15,E15,H15)</f>
        <v>1.84666666666667</v>
      </c>
      <c r="L15" s="19" t="n">
        <f aca="false">AVERAGE(C15,F15,I15)</f>
        <v>477.8</v>
      </c>
      <c r="M15" s="19" t="n">
        <f aca="false">AVERAGE(D15,G15,J15)</f>
        <v>7.99333333333333</v>
      </c>
    </row>
    <row r="16" customFormat="false" ht="16.5" hidden="false" customHeight="false" outlineLevel="0" collapsed="false">
      <c r="A16" s="41" t="n">
        <v>11</v>
      </c>
      <c r="B16" s="19" t="n">
        <v>1.81</v>
      </c>
      <c r="C16" s="0" t="n">
        <v>470</v>
      </c>
      <c r="D16" s="19" t="n">
        <v>7.83333333333333</v>
      </c>
      <c r="E16" s="19" t="n">
        <v>1.91</v>
      </c>
      <c r="F16" s="0" t="n">
        <f aca="false">G16*60</f>
        <v>496.2</v>
      </c>
      <c r="G16" s="19" t="n">
        <v>8.27</v>
      </c>
      <c r="H16" s="0" t="n">
        <v>1.93</v>
      </c>
      <c r="I16" s="0" t="n">
        <f aca="false">J16*60</f>
        <v>499.8</v>
      </c>
      <c r="J16" s="0" t="n">
        <v>8.33</v>
      </c>
      <c r="K16" s="19" t="n">
        <f aca="false">AVERAGE(B16,E16,H16)</f>
        <v>1.88333333333333</v>
      </c>
      <c r="L16" s="19" t="n">
        <f aca="false">AVERAGE(C16,F16,I16)</f>
        <v>488.666666666667</v>
      </c>
      <c r="M16" s="19" t="n">
        <f aca="false">AVERAGE(D16,G16,J16)</f>
        <v>8.14444444444444</v>
      </c>
    </row>
    <row r="17" customFormat="false" ht="16.5" hidden="false" customHeight="false" outlineLevel="0" collapsed="false">
      <c r="A17" s="41" t="n">
        <v>12</v>
      </c>
      <c r="B17" s="19" t="n">
        <v>1.88</v>
      </c>
      <c r="C17" s="0" t="n">
        <v>487</v>
      </c>
      <c r="D17" s="19" t="n">
        <v>8.11666666666667</v>
      </c>
      <c r="E17" s="19" t="n">
        <v>1.95</v>
      </c>
      <c r="F17" s="0" t="n">
        <f aca="false">G17*60</f>
        <v>506.4</v>
      </c>
      <c r="G17" s="19" t="n">
        <v>8.44</v>
      </c>
      <c r="H17" s="0" t="n">
        <v>1.96</v>
      </c>
      <c r="I17" s="0" t="n">
        <f aca="false">J17*60</f>
        <v>508.2</v>
      </c>
      <c r="J17" s="0" t="n">
        <v>8.47</v>
      </c>
      <c r="K17" s="19" t="n">
        <f aca="false">AVERAGE(B17,E17,H17)</f>
        <v>1.93</v>
      </c>
      <c r="L17" s="19" t="n">
        <f aca="false">AVERAGE(C17,F17,I17)</f>
        <v>500.533333333333</v>
      </c>
      <c r="M17" s="19" t="n">
        <f aca="false">AVERAGE(D17,G17,J17)</f>
        <v>8.34222222222222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24.2"/>
    <col collapsed="false" customWidth="true" hidden="false" outlineLevel="0" max="4" min="3" style="0" width="8.9"/>
    <col collapsed="false" customWidth="true" hidden="false" outlineLevel="0" max="7" min="7" style="0" width="9.3"/>
    <col collapsed="false" customWidth="true" hidden="false" outlineLevel="0" max="10" min="10" style="0" width="8.9"/>
    <col collapsed="false" customWidth="true" hidden="false" outlineLevel="0" max="11" min="11" style="0" width="9.3"/>
    <col collapsed="false" customWidth="true" hidden="false" outlineLevel="0" max="14" min="13" style="0" width="9.3"/>
  </cols>
  <sheetData>
    <row r="1" customFormat="false" ht="16.5" hidden="false" customHeight="false" outlineLevel="0" collapsed="false">
      <c r="A1" s="0" t="s">
        <v>33</v>
      </c>
    </row>
    <row r="2" customFormat="false" ht="16.5" hidden="false" customHeight="false" outlineLevel="0" collapsed="false">
      <c r="A2" s="0" t="s">
        <v>34</v>
      </c>
    </row>
    <row r="3" customFormat="false" ht="28.35" hidden="false" customHeight="false" outlineLevel="0" collapsed="false">
      <c r="A3" s="12" t="s">
        <v>47</v>
      </c>
      <c r="B3" s="0" t="s">
        <v>36</v>
      </c>
      <c r="H3" s="0" t="s">
        <v>48</v>
      </c>
    </row>
    <row r="4" customFormat="false" ht="16.5" hidden="false" customHeight="false" outlineLevel="0" collapsed="false">
      <c r="A4" s="38" t="s">
        <v>38</v>
      </c>
      <c r="B4" s="39" t="s">
        <v>39</v>
      </c>
      <c r="C4" s="39"/>
      <c r="D4" s="39"/>
      <c r="E4" s="39" t="s">
        <v>40</v>
      </c>
      <c r="F4" s="39"/>
      <c r="G4" s="39"/>
      <c r="H4" s="39" t="s">
        <v>41</v>
      </c>
      <c r="I4" s="39"/>
      <c r="J4" s="39"/>
      <c r="K4" s="39" t="s">
        <v>42</v>
      </c>
      <c r="L4" s="39"/>
      <c r="M4" s="39"/>
    </row>
    <row r="5" customFormat="false" ht="16.5" hidden="false" customHeight="false" outlineLevel="0" collapsed="false">
      <c r="A5" s="38"/>
      <c r="B5" s="40" t="s">
        <v>43</v>
      </c>
      <c r="C5" s="40" t="s">
        <v>44</v>
      </c>
      <c r="D5" s="40" t="s">
        <v>45</v>
      </c>
      <c r="E5" s="40" t="s">
        <v>43</v>
      </c>
      <c r="F5" s="40" t="s">
        <v>44</v>
      </c>
      <c r="G5" s="40" t="s">
        <v>45</v>
      </c>
      <c r="H5" s="40" t="s">
        <v>43</v>
      </c>
      <c r="I5" s="40" t="s">
        <v>44</v>
      </c>
      <c r="J5" s="40" t="s">
        <v>45</v>
      </c>
      <c r="K5" s="40" t="s">
        <v>43</v>
      </c>
      <c r="L5" s="40" t="s">
        <v>44</v>
      </c>
      <c r="M5" s="40" t="s">
        <v>45</v>
      </c>
    </row>
    <row r="6" customFormat="false" ht="16.5" hidden="false" customHeight="false" outlineLevel="0" collapsed="false">
      <c r="A6" s="41" t="n">
        <v>1</v>
      </c>
      <c r="B6" s="0" t="n">
        <v>0</v>
      </c>
      <c r="C6" s="0" t="n">
        <f aca="false">D6*60</f>
        <v>0</v>
      </c>
      <c r="D6" s="0" t="n">
        <v>0</v>
      </c>
      <c r="E6" s="0" t="n">
        <v>0</v>
      </c>
      <c r="F6" s="0" t="n">
        <f aca="false">G6*60</f>
        <v>0</v>
      </c>
      <c r="G6" s="0" t="n">
        <v>0</v>
      </c>
      <c r="H6" s="0" t="n">
        <v>0</v>
      </c>
      <c r="I6" s="0" t="n">
        <f aca="false">J6*60</f>
        <v>0</v>
      </c>
      <c r="J6" s="0" t="n">
        <v>0</v>
      </c>
      <c r="K6" s="0" t="n">
        <v>0</v>
      </c>
      <c r="L6" s="19" t="n">
        <f aca="false">M6*60</f>
        <v>0</v>
      </c>
      <c r="M6" s="0" t="n">
        <v>0</v>
      </c>
    </row>
    <row r="7" customFormat="false" ht="16.5" hidden="false" customHeight="false" outlineLevel="0" collapsed="false">
      <c r="A7" s="41" t="n">
        <v>2</v>
      </c>
      <c r="B7" s="0" t="n">
        <v>0.05</v>
      </c>
      <c r="C7" s="0" t="n">
        <f aca="false">D7*60</f>
        <v>13.8</v>
      </c>
      <c r="D7" s="0" t="n">
        <v>0.23</v>
      </c>
      <c r="E7" s="0" t="n">
        <v>0.05</v>
      </c>
      <c r="F7" s="0" t="n">
        <f aca="false">G7*60</f>
        <v>13.8</v>
      </c>
      <c r="G7" s="0" t="n">
        <v>0.23</v>
      </c>
      <c r="H7" s="0" t="n">
        <v>0.05</v>
      </c>
      <c r="I7" s="0" t="n">
        <f aca="false">J7*60</f>
        <v>13.8</v>
      </c>
      <c r="J7" s="0" t="n">
        <v>0.23</v>
      </c>
      <c r="K7" s="19" t="n">
        <f aca="false">AVERAGE(B7,E7,H7)</f>
        <v>0.05</v>
      </c>
      <c r="L7" s="19" t="n">
        <f aca="false">M7*60</f>
        <v>13.8</v>
      </c>
      <c r="M7" s="19" t="n">
        <f aca="false">AVERAGE(D7,G7,J7)</f>
        <v>0.23</v>
      </c>
    </row>
    <row r="8" customFormat="false" ht="16.5" hidden="false" customHeight="false" outlineLevel="0" collapsed="false">
      <c r="A8" s="41" t="n">
        <v>3</v>
      </c>
      <c r="B8" s="0" t="n">
        <v>0.27</v>
      </c>
      <c r="C8" s="0" t="n">
        <f aca="false">D8*60</f>
        <v>70.2</v>
      </c>
      <c r="D8" s="0" t="n">
        <v>1.17</v>
      </c>
      <c r="E8" s="0" t="n">
        <v>0.29</v>
      </c>
      <c r="F8" s="0" t="n">
        <f aca="false">G8*60</f>
        <v>76.8</v>
      </c>
      <c r="G8" s="0" t="n">
        <v>1.28</v>
      </c>
      <c r="H8" s="0" t="n">
        <v>0.29</v>
      </c>
      <c r="I8" s="0" t="n">
        <f aca="false">J8*60</f>
        <v>74.4</v>
      </c>
      <c r="J8" s="0" t="n">
        <v>1.24</v>
      </c>
      <c r="K8" s="19" t="n">
        <f aca="false">AVERAGE(B8,E8,H8)</f>
        <v>0.283333333333333</v>
      </c>
      <c r="L8" s="19" t="n">
        <f aca="false">M8*60</f>
        <v>73.8</v>
      </c>
      <c r="M8" s="19" t="n">
        <f aca="false">AVERAGE(D8,G8,J8)</f>
        <v>1.23</v>
      </c>
    </row>
    <row r="9" customFormat="false" ht="16.5" hidden="false" customHeight="false" outlineLevel="0" collapsed="false">
      <c r="A9" s="41" t="n">
        <v>4</v>
      </c>
      <c r="B9" s="0" t="n">
        <v>0.57</v>
      </c>
      <c r="C9" s="0" t="n">
        <f aca="false">D9*60</f>
        <v>147.6</v>
      </c>
      <c r="D9" s="0" t="n">
        <v>2.46</v>
      </c>
      <c r="E9" s="0" t="n">
        <v>0.57</v>
      </c>
      <c r="F9" s="0" t="n">
        <f aca="false">G9*60</f>
        <v>148.8</v>
      </c>
      <c r="G9" s="0" t="n">
        <v>2.48</v>
      </c>
      <c r="H9" s="0" t="n">
        <v>0.56</v>
      </c>
      <c r="I9" s="0" t="n">
        <f aca="false">J9*60</f>
        <v>145.8</v>
      </c>
      <c r="J9" s="0" t="n">
        <v>2.43</v>
      </c>
      <c r="K9" s="19" t="n">
        <f aca="false">AVERAGE(B9,E9,H9)</f>
        <v>0.566666666666667</v>
      </c>
      <c r="L9" s="19" t="n">
        <f aca="false">M9*60</f>
        <v>147.4</v>
      </c>
      <c r="M9" s="19" t="n">
        <f aca="false">AVERAGE(D9,G9,J9)</f>
        <v>2.45666666666667</v>
      </c>
    </row>
    <row r="10" customFormat="false" ht="16.5" hidden="false" customHeight="false" outlineLevel="0" collapsed="false">
      <c r="A10" s="41" t="n">
        <v>5</v>
      </c>
      <c r="B10" s="0" t="n">
        <v>0.77</v>
      </c>
      <c r="C10" s="0" t="n">
        <f aca="false">D10*60</f>
        <v>199.8</v>
      </c>
      <c r="D10" s="0" t="n">
        <v>3.33</v>
      </c>
      <c r="E10" s="0" t="n">
        <v>0.82</v>
      </c>
      <c r="F10" s="0" t="n">
        <f aca="false">G10*60</f>
        <v>214.2</v>
      </c>
      <c r="G10" s="0" t="n">
        <v>3.57</v>
      </c>
      <c r="H10" s="0" t="n">
        <v>0.77</v>
      </c>
      <c r="I10" s="0" t="n">
        <f aca="false">J10*60</f>
        <v>199.8</v>
      </c>
      <c r="J10" s="0" t="n">
        <v>3.33</v>
      </c>
      <c r="K10" s="19" t="n">
        <f aca="false">AVERAGE(B10,E10,H10)</f>
        <v>0.786666666666667</v>
      </c>
      <c r="L10" s="19" t="n">
        <f aca="false">M10*60</f>
        <v>204.6</v>
      </c>
      <c r="M10" s="19" t="n">
        <f aca="false">AVERAGE(D10,G10,J10)</f>
        <v>3.41</v>
      </c>
    </row>
    <row r="11" customFormat="false" ht="16.5" hidden="false" customHeight="false" outlineLevel="0" collapsed="false">
      <c r="A11" s="42" t="n">
        <v>6</v>
      </c>
      <c r="B11" s="19" t="n">
        <v>0.89</v>
      </c>
      <c r="C11" s="0" t="n">
        <f aca="false">D11*60</f>
        <v>232.2</v>
      </c>
      <c r="D11" s="19" t="n">
        <v>3.87</v>
      </c>
      <c r="E11" s="0" t="n">
        <v>0.87</v>
      </c>
      <c r="F11" s="0" t="n">
        <f aca="false">G11*60</f>
        <v>227.4</v>
      </c>
      <c r="G11" s="19" t="n">
        <v>3.79</v>
      </c>
      <c r="H11" s="19" t="n">
        <v>0.91</v>
      </c>
      <c r="I11" s="0" t="n">
        <f aca="false">J11*60</f>
        <v>237</v>
      </c>
      <c r="J11" s="19" t="n">
        <v>3.95</v>
      </c>
      <c r="K11" s="19" t="n">
        <f aca="false">AVERAGE(B11,E11,H11)</f>
        <v>0.89</v>
      </c>
      <c r="L11" s="19" t="n">
        <f aca="false">M11*60</f>
        <v>232.2</v>
      </c>
      <c r="M11" s="19" t="n">
        <f aca="false">AVERAGE(D11,G11,J11)</f>
        <v>3.87</v>
      </c>
      <c r="N11" s="43" t="s">
        <v>46</v>
      </c>
    </row>
    <row r="12" customFormat="false" ht="16.5" hidden="false" customHeight="false" outlineLevel="0" collapsed="false">
      <c r="A12" s="41" t="n">
        <v>7</v>
      </c>
      <c r="B12" s="19" t="n">
        <v>0.97</v>
      </c>
      <c r="C12" s="0" t="n">
        <f aca="false">D12*60</f>
        <v>252.6</v>
      </c>
      <c r="D12" s="19" t="n">
        <v>4.21</v>
      </c>
      <c r="E12" s="0" t="n">
        <v>0.96</v>
      </c>
      <c r="F12" s="0" t="n">
        <f aca="false">G12*60</f>
        <v>249</v>
      </c>
      <c r="G12" s="19" t="n">
        <v>4.15</v>
      </c>
      <c r="H12" s="19" t="n">
        <v>1</v>
      </c>
      <c r="I12" s="0" t="n">
        <f aca="false">J12*60</f>
        <v>261</v>
      </c>
      <c r="J12" s="19" t="n">
        <v>4.35</v>
      </c>
      <c r="K12" s="19" t="n">
        <f aca="false">AVERAGE(B12,E12,H12)</f>
        <v>0.976666666666667</v>
      </c>
      <c r="L12" s="19" t="n">
        <f aca="false">M12*60</f>
        <v>254.2</v>
      </c>
      <c r="M12" s="19" t="n">
        <f aca="false">AVERAGE(D12,G12,J12)</f>
        <v>4.23666666666667</v>
      </c>
    </row>
    <row r="13" customFormat="false" ht="16.5" hidden="false" customHeight="false" outlineLevel="0" collapsed="false">
      <c r="A13" s="41" t="n">
        <v>8</v>
      </c>
      <c r="B13" s="19" t="n">
        <v>1.05</v>
      </c>
      <c r="C13" s="0" t="n">
        <f aca="false">D13*60</f>
        <v>272.4</v>
      </c>
      <c r="D13" s="19" t="n">
        <v>4.54</v>
      </c>
      <c r="E13" s="0" t="n">
        <v>1.06</v>
      </c>
      <c r="F13" s="0" t="n">
        <f aca="false">G13*60</f>
        <v>276.6</v>
      </c>
      <c r="G13" s="19" t="n">
        <v>4.61</v>
      </c>
      <c r="H13" s="19" t="n">
        <v>1.07</v>
      </c>
      <c r="I13" s="0" t="n">
        <f aca="false">J13*60</f>
        <v>278.4</v>
      </c>
      <c r="J13" s="19" t="n">
        <v>4.64</v>
      </c>
      <c r="K13" s="19" t="n">
        <f aca="false">AVERAGE(B13,E13,H13)</f>
        <v>1.06</v>
      </c>
      <c r="L13" s="19" t="n">
        <f aca="false">M13*60</f>
        <v>275.8</v>
      </c>
      <c r="M13" s="19" t="n">
        <f aca="false">AVERAGE(D13,G13,J13)</f>
        <v>4.59666666666667</v>
      </c>
    </row>
    <row r="14" customFormat="false" ht="16.5" hidden="false" customHeight="false" outlineLevel="0" collapsed="false">
      <c r="A14" s="41" t="n">
        <v>9</v>
      </c>
      <c r="B14" s="19" t="n">
        <v>1.06</v>
      </c>
      <c r="C14" s="0" t="n">
        <f aca="false">D14*60</f>
        <v>276.6</v>
      </c>
      <c r="D14" s="19" t="n">
        <v>4.61</v>
      </c>
      <c r="E14" s="0" t="n">
        <v>1.07</v>
      </c>
      <c r="F14" s="0" t="n">
        <f aca="false">G14*60</f>
        <v>279.6</v>
      </c>
      <c r="G14" s="19" t="n">
        <v>4.66</v>
      </c>
      <c r="H14" s="19" t="n">
        <v>1.09</v>
      </c>
      <c r="I14" s="0" t="n">
        <f aca="false">J14*60</f>
        <v>284.4</v>
      </c>
      <c r="J14" s="19" t="n">
        <v>4.74</v>
      </c>
      <c r="K14" s="19" t="n">
        <f aca="false">AVERAGE(B14,E14,H14)</f>
        <v>1.07333333333333</v>
      </c>
      <c r="L14" s="19" t="n">
        <f aca="false">M14*60</f>
        <v>280.2</v>
      </c>
      <c r="M14" s="19" t="n">
        <f aca="false">AVERAGE(D14,G14,J14)</f>
        <v>4.67</v>
      </c>
    </row>
    <row r="15" customFormat="false" ht="16.5" hidden="false" customHeight="false" outlineLevel="0" collapsed="false">
      <c r="A15" s="41" t="n">
        <v>10</v>
      </c>
      <c r="B15" s="19" t="n">
        <v>1.05</v>
      </c>
      <c r="C15" s="0" t="n">
        <f aca="false">D15*60</f>
        <v>273.6</v>
      </c>
      <c r="D15" s="19" t="n">
        <v>4.56</v>
      </c>
      <c r="E15" s="0" t="n">
        <v>1.08</v>
      </c>
      <c r="F15" s="0" t="n">
        <f aca="false">G15*60</f>
        <v>282</v>
      </c>
      <c r="G15" s="19" t="n">
        <v>4.7</v>
      </c>
      <c r="H15" s="19" t="n">
        <v>1.12</v>
      </c>
      <c r="I15" s="0" t="n">
        <f aca="false">J15*60</f>
        <v>291</v>
      </c>
      <c r="J15" s="19" t="n">
        <v>4.85</v>
      </c>
      <c r="K15" s="19" t="n">
        <f aca="false">AVERAGE(B15,E15,H15)</f>
        <v>1.08333333333333</v>
      </c>
      <c r="L15" s="19" t="n">
        <f aca="false">M15*60</f>
        <v>282.2</v>
      </c>
      <c r="M15" s="19" t="n">
        <f aca="false">AVERAGE(D15,G15,J15)</f>
        <v>4.70333333333333</v>
      </c>
    </row>
    <row r="16" customFormat="false" ht="16.5" hidden="false" customHeight="false" outlineLevel="0" collapsed="false">
      <c r="A16" s="41" t="n">
        <v>11</v>
      </c>
      <c r="B16" s="19" t="n">
        <v>1.06</v>
      </c>
      <c r="C16" s="0" t="n">
        <f aca="false">D16*60</f>
        <v>275.4</v>
      </c>
      <c r="D16" s="19" t="n">
        <v>4.59</v>
      </c>
      <c r="E16" s="0" t="n">
        <v>1.08</v>
      </c>
      <c r="F16" s="0" t="n">
        <f aca="false">G16*60</f>
        <v>282</v>
      </c>
      <c r="G16" s="19" t="n">
        <v>4.7</v>
      </c>
      <c r="H16" s="19" t="n">
        <v>1.12</v>
      </c>
      <c r="I16" s="0" t="n">
        <f aca="false">J16*60</f>
        <v>291.6</v>
      </c>
      <c r="J16" s="19" t="n">
        <v>4.86</v>
      </c>
      <c r="K16" s="19" t="n">
        <f aca="false">AVERAGE(B16,E16,H16)</f>
        <v>1.08666666666667</v>
      </c>
      <c r="L16" s="19" t="n">
        <f aca="false">M16*60</f>
        <v>283</v>
      </c>
      <c r="M16" s="19" t="n">
        <f aca="false">AVERAGE(D16,G16,J16)</f>
        <v>4.71666666666667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4" min="4" style="0" width="14.4"/>
    <col collapsed="false" customWidth="true" hidden="false" outlineLevel="0" max="6" min="6" style="0" width="11.7"/>
    <col collapsed="false" customWidth="true" hidden="false" outlineLevel="0" max="7" min="7" style="0" width="13.5"/>
    <col collapsed="false" customWidth="true" hidden="false" outlineLevel="0" max="8" min="8" style="0" width="12.6"/>
    <col collapsed="false" customWidth="true" hidden="false" outlineLevel="0" max="9" min="9" style="0" width="20.2"/>
    <col collapsed="false" customWidth="true" hidden="false" outlineLevel="0" max="10" min="10" style="0" width="40.9"/>
  </cols>
  <sheetData>
    <row r="1" customFormat="false" ht="46.5" hidden="false" customHeight="true" outlineLevel="0" collapsed="false">
      <c r="A1" s="44" t="s">
        <v>49</v>
      </c>
      <c r="B1" s="44" t="s">
        <v>50</v>
      </c>
      <c r="C1" s="44" t="s">
        <v>51</v>
      </c>
      <c r="D1" s="44" t="s">
        <v>52</v>
      </c>
      <c r="E1" s="44" t="s">
        <v>53</v>
      </c>
      <c r="F1" s="44" t="s">
        <v>54</v>
      </c>
      <c r="G1" s="44" t="s">
        <v>55</v>
      </c>
      <c r="H1" s="44" t="s">
        <v>56</v>
      </c>
      <c r="I1" s="44" t="s">
        <v>57</v>
      </c>
      <c r="J1" s="44" t="s">
        <v>58</v>
      </c>
    </row>
    <row r="2" customFormat="false" ht="16.5" hidden="false" customHeight="false" outlineLevel="0" collapsed="false">
      <c r="A2" s="45" t="n">
        <v>1</v>
      </c>
      <c r="B2" s="45" t="s">
        <v>59</v>
      </c>
      <c r="C2" s="46" t="n">
        <v>10</v>
      </c>
      <c r="D2" s="45" t="n">
        <v>6</v>
      </c>
      <c r="E2" s="45" t="s">
        <v>60</v>
      </c>
      <c r="F2" s="46" t="n">
        <v>13</v>
      </c>
      <c r="G2" s="47"/>
      <c r="H2" s="45" t="s">
        <v>61</v>
      </c>
      <c r="I2" s="45" t="s">
        <v>62</v>
      </c>
      <c r="J2" s="45"/>
    </row>
    <row r="3" customFormat="false" ht="16.5" hidden="false" customHeight="false" outlineLevel="0" collapsed="false">
      <c r="A3" s="45" t="n">
        <v>2</v>
      </c>
      <c r="B3" s="45" t="s">
        <v>59</v>
      </c>
      <c r="C3" s="46" t="n">
        <v>10</v>
      </c>
      <c r="D3" s="45" t="n">
        <v>6</v>
      </c>
      <c r="E3" s="45" t="s">
        <v>60</v>
      </c>
      <c r="F3" s="46" t="n">
        <v>13</v>
      </c>
      <c r="G3" s="47"/>
      <c r="H3" s="45" t="s">
        <v>63</v>
      </c>
      <c r="I3" s="45" t="s">
        <v>62</v>
      </c>
      <c r="J3" s="45"/>
    </row>
    <row r="4" customFormat="false" ht="16.5" hidden="false" customHeight="false" outlineLevel="0" collapsed="false">
      <c r="A4" s="48" t="n">
        <v>3</v>
      </c>
      <c r="B4" s="48" t="s">
        <v>64</v>
      </c>
      <c r="C4" s="49" t="n">
        <v>10</v>
      </c>
      <c r="D4" s="48" t="n">
        <v>6</v>
      </c>
      <c r="E4" s="48" t="s">
        <v>65</v>
      </c>
      <c r="F4" s="49" t="n">
        <v>10</v>
      </c>
      <c r="G4" s="50" t="n">
        <f aca="false">480*'อัตราการไหล ท่อฝั่งspillway'!L11</f>
        <v>188928</v>
      </c>
      <c r="H4" s="48" t="s">
        <v>61</v>
      </c>
      <c r="I4" s="48" t="s">
        <v>66</v>
      </c>
      <c r="J4" s="51"/>
    </row>
    <row r="5" customFormat="false" ht="16.5" hidden="false" customHeight="false" outlineLevel="0" collapsed="false">
      <c r="A5" s="48" t="n">
        <v>4</v>
      </c>
      <c r="B5" s="48" t="s">
        <v>64</v>
      </c>
      <c r="C5" s="49" t="n">
        <v>10</v>
      </c>
      <c r="D5" s="48" t="n">
        <v>6</v>
      </c>
      <c r="E5" s="48" t="s">
        <v>67</v>
      </c>
      <c r="F5" s="49" t="n">
        <v>10</v>
      </c>
      <c r="G5" s="50" t="n">
        <f aca="false">504*อัตราการไหลท่อฝั่งทางเข้าอ่าง!L11</f>
        <v>117028.8</v>
      </c>
      <c r="H5" s="48" t="s">
        <v>63</v>
      </c>
      <c r="I5" s="48" t="s">
        <v>66</v>
      </c>
      <c r="J5" s="51"/>
    </row>
    <row r="6" customFormat="false" ht="16.5" hidden="false" customHeight="false" outlineLevel="0" collapsed="false">
      <c r="A6" s="48" t="n">
        <v>5</v>
      </c>
      <c r="B6" s="48" t="s">
        <v>68</v>
      </c>
      <c r="C6" s="49" t="n">
        <v>10</v>
      </c>
      <c r="D6" s="48" t="n">
        <v>6</v>
      </c>
      <c r="E6" s="48" t="s">
        <v>69</v>
      </c>
      <c r="F6" s="49" t="n">
        <v>10</v>
      </c>
      <c r="G6" s="50" t="n">
        <f aca="false">48*อัตราการไหลท่อฝั่งทางเข้าอ่าง!L11</f>
        <v>11145.6</v>
      </c>
      <c r="H6" s="48" t="s">
        <v>63</v>
      </c>
      <c r="I6" s="48" t="s">
        <v>66</v>
      </c>
      <c r="J6" s="51"/>
    </row>
    <row r="7" customFormat="false" ht="16.5" hidden="false" customHeight="false" outlineLevel="0" collapsed="false">
      <c r="A7" s="51"/>
      <c r="B7" s="51"/>
      <c r="C7" s="52"/>
      <c r="D7" s="51"/>
      <c r="E7" s="51"/>
      <c r="F7" s="53"/>
      <c r="G7" s="54"/>
      <c r="H7" s="51"/>
      <c r="I7" s="51"/>
      <c r="J7" s="51"/>
    </row>
    <row r="8" customFormat="false" ht="16.5" hidden="false" customHeight="false" outlineLevel="0" collapsed="false">
      <c r="A8" s="51"/>
      <c r="B8" s="51"/>
      <c r="C8" s="52"/>
      <c r="D8" s="51"/>
      <c r="E8" s="51"/>
      <c r="F8" s="53"/>
      <c r="G8" s="54"/>
      <c r="H8" s="51"/>
      <c r="I8" s="51"/>
      <c r="J8" s="51"/>
    </row>
    <row r="9" customFormat="false" ht="16.5" hidden="false" customHeight="false" outlineLevel="0" collapsed="false">
      <c r="A9" s="51"/>
      <c r="B9" s="51"/>
      <c r="C9" s="52"/>
      <c r="D9" s="51"/>
      <c r="E9" s="51"/>
      <c r="F9" s="53"/>
      <c r="G9" s="54"/>
      <c r="H9" s="51"/>
      <c r="I9" s="51"/>
      <c r="J9" s="51"/>
    </row>
    <row r="10" customFormat="false" ht="16.5" hidden="false" customHeight="false" outlineLevel="0" collapsed="false">
      <c r="A10" s="51"/>
      <c r="B10" s="51"/>
      <c r="C10" s="52"/>
      <c r="D10" s="51"/>
      <c r="E10" s="51"/>
      <c r="F10" s="53"/>
      <c r="G10" s="54"/>
      <c r="H10" s="51"/>
      <c r="I10" s="51"/>
      <c r="J10" s="51"/>
    </row>
    <row r="11" customFormat="false" ht="16.5" hidden="false" customHeight="false" outlineLevel="0" collapsed="false">
      <c r="A11" s="51"/>
      <c r="B11" s="51"/>
      <c r="C11" s="52"/>
      <c r="D11" s="51"/>
      <c r="E11" s="51"/>
      <c r="F11" s="53"/>
      <c r="G11" s="54"/>
      <c r="H11" s="51"/>
      <c r="I11" s="51"/>
      <c r="J11" s="51"/>
    </row>
    <row r="12" customFormat="false" ht="16.5" hidden="false" customHeight="false" outlineLevel="0" collapsed="false">
      <c r="A12" s="51"/>
      <c r="B12" s="51"/>
      <c r="C12" s="52"/>
      <c r="D12" s="51"/>
      <c r="E12" s="51"/>
      <c r="F12" s="53"/>
      <c r="G12" s="54"/>
      <c r="H12" s="51"/>
      <c r="I12" s="51"/>
      <c r="J12" s="51"/>
    </row>
    <row r="13" customFormat="false" ht="16.5" hidden="false" customHeight="false" outlineLevel="0" collapsed="false">
      <c r="A13" s="51"/>
      <c r="B13" s="51"/>
      <c r="C13" s="52"/>
      <c r="D13" s="51"/>
      <c r="E13" s="51"/>
      <c r="F13" s="53"/>
      <c r="G13" s="54"/>
      <c r="H13" s="51"/>
      <c r="I13" s="51"/>
      <c r="J13" s="51"/>
    </row>
    <row r="14" customFormat="false" ht="16.5" hidden="false" customHeight="false" outlineLevel="0" collapsed="false">
      <c r="A14" s="51"/>
      <c r="B14" s="51"/>
      <c r="C14" s="52"/>
      <c r="D14" s="51"/>
      <c r="E14" s="51"/>
      <c r="F14" s="53"/>
      <c r="G14" s="54"/>
      <c r="H14" s="51"/>
      <c r="I14" s="51"/>
      <c r="J14" s="51"/>
    </row>
    <row r="15" customFormat="false" ht="16.5" hidden="false" customHeight="false" outlineLevel="0" collapsed="false">
      <c r="A15" s="51"/>
      <c r="B15" s="51"/>
      <c r="C15" s="52"/>
      <c r="D15" s="51"/>
      <c r="E15" s="51"/>
      <c r="F15" s="53"/>
      <c r="G15" s="54"/>
      <c r="H15" s="51"/>
      <c r="I15" s="51"/>
      <c r="J15" s="51"/>
    </row>
    <row r="16" customFormat="false" ht="16.5" hidden="false" customHeight="false" outlineLevel="0" collapsed="false">
      <c r="A16" s="51"/>
      <c r="B16" s="51"/>
      <c r="C16" s="52"/>
      <c r="D16" s="51"/>
      <c r="E16" s="51"/>
      <c r="F16" s="53"/>
      <c r="G16" s="54"/>
      <c r="H16" s="51"/>
      <c r="I16" s="51"/>
      <c r="J16" s="51"/>
    </row>
    <row r="17" customFormat="false" ht="16.5" hidden="false" customHeight="false" outlineLevel="0" collapsed="false">
      <c r="A17" s="51"/>
      <c r="B17" s="51"/>
      <c r="C17" s="52"/>
      <c r="D17" s="51"/>
      <c r="E17" s="51"/>
      <c r="F17" s="53"/>
      <c r="G17" s="54"/>
      <c r="H17" s="51"/>
      <c r="I17" s="51"/>
      <c r="J17" s="51"/>
    </row>
    <row r="18" customFormat="false" ht="16.5" hidden="false" customHeight="false" outlineLevel="0" collapsed="false">
      <c r="A18" s="51"/>
      <c r="B18" s="51"/>
      <c r="C18" s="52"/>
      <c r="D18" s="51"/>
      <c r="E18" s="51"/>
      <c r="F18" s="53"/>
      <c r="G18" s="55"/>
      <c r="H18" s="51"/>
      <c r="I18" s="51"/>
      <c r="J18" s="51"/>
    </row>
    <row r="19" customFormat="false" ht="16.5" hidden="false" customHeight="false" outlineLevel="0" collapsed="false">
      <c r="A19" s="51"/>
      <c r="B19" s="51"/>
      <c r="C19" s="52"/>
      <c r="D19" s="51"/>
      <c r="E19" s="51"/>
      <c r="F19" s="53"/>
      <c r="G19" s="51"/>
      <c r="H19" s="51"/>
      <c r="I19" s="51"/>
      <c r="J19" s="51"/>
    </row>
    <row r="20" customFormat="false" ht="16.5" hidden="false" customHeight="false" outlineLevel="0" collapsed="false">
      <c r="A20" s="51"/>
      <c r="B20" s="51"/>
      <c r="C20" s="52"/>
      <c r="D20" s="51"/>
      <c r="E20" s="51"/>
      <c r="F20" s="53"/>
      <c r="G20" s="51"/>
      <c r="H20" s="51"/>
      <c r="I20" s="51"/>
      <c r="J20" s="51"/>
    </row>
    <row r="21" customFormat="false" ht="16.5" hidden="false" customHeight="false" outlineLevel="0" collapsed="false">
      <c r="A21" s="51"/>
      <c r="B21" s="51"/>
      <c r="C21" s="52"/>
      <c r="D21" s="51"/>
      <c r="E21" s="51"/>
      <c r="F21" s="53"/>
      <c r="G21" s="51"/>
      <c r="H21" s="51"/>
      <c r="I21" s="51"/>
      <c r="J21" s="51"/>
    </row>
    <row r="22" customFormat="false" ht="16.5" hidden="false" customHeight="false" outlineLevel="0" collapsed="false">
      <c r="A22" s="51"/>
      <c r="B22" s="51"/>
      <c r="C22" s="52"/>
      <c r="D22" s="51"/>
      <c r="E22" s="51"/>
      <c r="F22" s="53"/>
      <c r="G22" s="51"/>
      <c r="H22" s="51"/>
      <c r="I22" s="51"/>
      <c r="J22" s="51"/>
    </row>
    <row r="23" customFormat="false" ht="16.5" hidden="false" customHeight="false" outlineLevel="0" collapsed="false">
      <c r="A23" s="51"/>
      <c r="B23" s="51"/>
      <c r="C23" s="52"/>
      <c r="D23" s="51"/>
      <c r="E23" s="51"/>
      <c r="F23" s="53"/>
      <c r="G23" s="51"/>
      <c r="H23" s="51"/>
      <c r="I23" s="51"/>
      <c r="J23" s="51"/>
    </row>
    <row r="24" customFormat="false" ht="16.5" hidden="false" customHeight="false" outlineLevel="0" collapsed="false">
      <c r="A24" s="51"/>
      <c r="B24" s="51"/>
      <c r="C24" s="52"/>
      <c r="D24" s="51"/>
      <c r="E24" s="51"/>
      <c r="F24" s="53"/>
      <c r="G24" s="51"/>
      <c r="H24" s="51"/>
      <c r="I24" s="51"/>
      <c r="J24" s="51"/>
    </row>
    <row r="25" customFormat="false" ht="16.5" hidden="false" customHeight="false" outlineLevel="0" collapsed="false">
      <c r="A25" s="51"/>
      <c r="B25" s="51"/>
      <c r="C25" s="52"/>
      <c r="D25" s="51"/>
      <c r="E25" s="51"/>
      <c r="F25" s="53"/>
      <c r="G25" s="51"/>
      <c r="H25" s="51"/>
      <c r="I25" s="51"/>
      <c r="J25" s="51"/>
    </row>
    <row r="26" customFormat="false" ht="16.5" hidden="false" customHeight="false" outlineLevel="0" collapsed="false">
      <c r="A26" s="51"/>
      <c r="B26" s="51"/>
      <c r="C26" s="52"/>
      <c r="D26" s="51"/>
      <c r="E26" s="51"/>
      <c r="F26" s="53"/>
      <c r="G26" s="51"/>
      <c r="H26" s="51"/>
      <c r="I26" s="51"/>
      <c r="J26" s="51"/>
    </row>
    <row r="27" customFormat="false" ht="16.5" hidden="false" customHeight="false" outlineLevel="0" collapsed="false">
      <c r="A27" s="51"/>
      <c r="B27" s="51"/>
      <c r="C27" s="52"/>
      <c r="D27" s="51"/>
      <c r="E27" s="51"/>
      <c r="F27" s="53"/>
      <c r="G27" s="51"/>
      <c r="H27" s="51"/>
      <c r="I27" s="51"/>
      <c r="J27" s="51"/>
    </row>
    <row r="28" customFormat="false" ht="16.5" hidden="false" customHeight="false" outlineLevel="0" collapsed="false">
      <c r="A28" s="51"/>
      <c r="B28" s="51"/>
      <c r="C28" s="52"/>
      <c r="D28" s="51"/>
      <c r="E28" s="51"/>
      <c r="F28" s="53"/>
      <c r="G28" s="51"/>
      <c r="H28" s="51"/>
      <c r="I28" s="51"/>
      <c r="J28" s="51"/>
    </row>
    <row r="29" customFormat="false" ht="16.5" hidden="false" customHeight="false" outlineLevel="0" collapsed="false">
      <c r="A29" s="51"/>
      <c r="B29" s="51"/>
      <c r="C29" s="52"/>
      <c r="D29" s="51"/>
      <c r="E29" s="51"/>
      <c r="F29" s="53"/>
      <c r="G29" s="51"/>
      <c r="H29" s="51"/>
      <c r="I29" s="51"/>
      <c r="J29" s="51"/>
    </row>
    <row r="30" customFormat="false" ht="16.5" hidden="false" customHeight="false" outlineLevel="0" collapsed="false">
      <c r="A30" s="51"/>
      <c r="B30" s="51"/>
      <c r="C30" s="52"/>
      <c r="D30" s="51"/>
      <c r="E30" s="51"/>
      <c r="F30" s="53"/>
      <c r="G30" s="51"/>
      <c r="H30" s="51"/>
      <c r="I30" s="51"/>
      <c r="J30" s="51"/>
    </row>
    <row r="31" customFormat="false" ht="16.5" hidden="false" customHeight="false" outlineLevel="0" collapsed="false">
      <c r="A31" s="51"/>
      <c r="B31" s="51"/>
      <c r="C31" s="52"/>
      <c r="D31" s="51"/>
      <c r="E31" s="51"/>
      <c r="F31" s="53"/>
      <c r="G31" s="51"/>
      <c r="H31" s="51"/>
      <c r="I31" s="51"/>
      <c r="J31" s="51"/>
    </row>
    <row r="32" customFormat="false" ht="16.5" hidden="false" customHeight="false" outlineLevel="0" collapsed="false">
      <c r="A32" s="51"/>
      <c r="B32" s="51"/>
      <c r="C32" s="52"/>
      <c r="D32" s="51"/>
      <c r="E32" s="51"/>
      <c r="F32" s="53"/>
      <c r="G32" s="51"/>
      <c r="H32" s="51"/>
      <c r="I32" s="51"/>
      <c r="J32" s="51"/>
    </row>
    <row r="33" customFormat="false" ht="16.5" hidden="false" customHeight="false" outlineLevel="0" collapsed="false">
      <c r="A33" s="51"/>
      <c r="B33" s="51"/>
      <c r="C33" s="52"/>
      <c r="D33" s="51"/>
      <c r="E33" s="51"/>
      <c r="F33" s="53"/>
      <c r="G33" s="51"/>
      <c r="H33" s="51"/>
      <c r="I33" s="51"/>
      <c r="J33" s="51"/>
    </row>
    <row r="34" customFormat="false" ht="16.5" hidden="false" customHeight="false" outlineLevel="0" collapsed="false">
      <c r="A34" s="51"/>
      <c r="B34" s="51"/>
      <c r="C34" s="52"/>
      <c r="D34" s="51"/>
      <c r="E34" s="51"/>
      <c r="F34" s="53"/>
      <c r="G34" s="51"/>
      <c r="H34" s="51"/>
      <c r="I34" s="51"/>
      <c r="J34" s="51"/>
    </row>
    <row r="35" customFormat="false" ht="16.5" hidden="false" customHeight="false" outlineLevel="0" collapsed="false">
      <c r="A35" s="51"/>
      <c r="B35" s="51"/>
      <c r="C35" s="52"/>
      <c r="D35" s="51"/>
      <c r="E35" s="51"/>
      <c r="F35" s="53"/>
      <c r="G35" s="51"/>
      <c r="H35" s="51"/>
      <c r="I35" s="51"/>
      <c r="J35" s="51"/>
    </row>
    <row r="36" customFormat="false" ht="16.5" hidden="false" customHeight="false" outlineLevel="0" collapsed="false">
      <c r="A36" s="51"/>
      <c r="B36" s="51"/>
      <c r="C36" s="52"/>
      <c r="D36" s="51"/>
      <c r="E36" s="51"/>
      <c r="F36" s="53"/>
      <c r="G36" s="51"/>
      <c r="H36" s="51"/>
      <c r="I36" s="51"/>
      <c r="J36" s="51"/>
    </row>
    <row r="37" customFormat="false" ht="16.5" hidden="false" customHeight="false" outlineLevel="0" collapsed="false">
      <c r="A37" s="51"/>
      <c r="B37" s="51"/>
      <c r="C37" s="52"/>
      <c r="D37" s="51"/>
      <c r="E37" s="51"/>
      <c r="F37" s="53"/>
      <c r="G37" s="51"/>
      <c r="H37" s="51"/>
      <c r="I37" s="51"/>
      <c r="J37" s="51"/>
    </row>
    <row r="38" customFormat="false" ht="16.5" hidden="false" customHeight="false" outlineLevel="0" collapsed="false">
      <c r="A38" s="51"/>
      <c r="B38" s="51"/>
      <c r="C38" s="52"/>
      <c r="D38" s="51"/>
      <c r="E38" s="51"/>
      <c r="F38" s="53"/>
      <c r="G38" s="51"/>
      <c r="H38" s="51"/>
      <c r="I38" s="51"/>
      <c r="J38" s="51"/>
    </row>
    <row r="39" customFormat="false" ht="16.5" hidden="false" customHeight="false" outlineLevel="0" collapsed="false">
      <c r="A39" s="51"/>
      <c r="B39" s="51"/>
      <c r="C39" s="52"/>
      <c r="D39" s="51"/>
      <c r="E39" s="51"/>
      <c r="F39" s="53"/>
      <c r="G39" s="51"/>
      <c r="H39" s="51"/>
      <c r="I39" s="51"/>
      <c r="J39" s="51"/>
    </row>
    <row r="40" customFormat="false" ht="16.5" hidden="false" customHeight="false" outlineLevel="0" collapsed="false">
      <c r="A40" s="51"/>
      <c r="B40" s="51"/>
      <c r="C40" s="52"/>
      <c r="D40" s="51"/>
      <c r="E40" s="51"/>
      <c r="F40" s="53"/>
      <c r="G40" s="51"/>
      <c r="H40" s="51"/>
      <c r="I40" s="51"/>
      <c r="J40" s="51"/>
    </row>
    <row r="41" customFormat="false" ht="16.5" hidden="false" customHeight="false" outlineLevel="0" collapsed="false">
      <c r="A41" s="51"/>
      <c r="B41" s="51"/>
      <c r="C41" s="52"/>
      <c r="D41" s="51"/>
      <c r="E41" s="51"/>
      <c r="F41" s="53"/>
      <c r="G41" s="51"/>
      <c r="H41" s="51"/>
      <c r="I41" s="51"/>
      <c r="J41" s="51"/>
    </row>
    <row r="42" customFormat="false" ht="16.5" hidden="false" customHeight="false" outlineLevel="0" collapsed="false">
      <c r="A42" s="51"/>
      <c r="B42" s="51"/>
      <c r="C42" s="52"/>
      <c r="D42" s="51"/>
      <c r="E42" s="51"/>
      <c r="F42" s="53"/>
      <c r="G42" s="51"/>
      <c r="H42" s="51"/>
      <c r="I42" s="51"/>
      <c r="J42" s="51"/>
    </row>
    <row r="43" customFormat="false" ht="16.5" hidden="false" customHeight="false" outlineLevel="0" collapsed="false">
      <c r="A43" s="51"/>
      <c r="B43" s="51"/>
      <c r="C43" s="52"/>
      <c r="D43" s="51"/>
      <c r="E43" s="51"/>
      <c r="F43" s="53"/>
      <c r="G43" s="51"/>
      <c r="H43" s="51"/>
      <c r="I43" s="51"/>
      <c r="J43" s="51"/>
    </row>
    <row r="44" customFormat="false" ht="16.5" hidden="false" customHeight="false" outlineLevel="0" collapsed="false">
      <c r="A44" s="51"/>
      <c r="B44" s="51"/>
      <c r="C44" s="52"/>
      <c r="D44" s="51"/>
      <c r="E44" s="51"/>
      <c r="F44" s="53"/>
      <c r="G44" s="51"/>
      <c r="H44" s="51"/>
      <c r="I44" s="51"/>
      <c r="J44" s="51"/>
    </row>
    <row r="45" customFormat="false" ht="16.5" hidden="false" customHeight="false" outlineLevel="0" collapsed="false">
      <c r="A45" s="51"/>
      <c r="B45" s="51"/>
      <c r="C45" s="52"/>
      <c r="D45" s="51"/>
      <c r="E45" s="51"/>
      <c r="F45" s="53"/>
      <c r="G45" s="51"/>
      <c r="H45" s="51"/>
      <c r="I45" s="51"/>
      <c r="J45" s="51"/>
    </row>
    <row r="46" customFormat="false" ht="16.5" hidden="false" customHeight="false" outlineLevel="0" collapsed="false">
      <c r="A46" s="51"/>
      <c r="B46" s="51"/>
      <c r="C46" s="52"/>
      <c r="D46" s="51"/>
      <c r="E46" s="51"/>
      <c r="F46" s="53"/>
      <c r="G46" s="51"/>
      <c r="H46" s="51"/>
      <c r="I46" s="51"/>
      <c r="J46" s="51"/>
    </row>
    <row r="47" customFormat="false" ht="16.5" hidden="false" customHeight="false" outlineLevel="0" collapsed="false">
      <c r="A47" s="51"/>
      <c r="B47" s="51"/>
      <c r="C47" s="52"/>
      <c r="D47" s="51"/>
      <c r="E47" s="51"/>
      <c r="F47" s="53"/>
      <c r="G47" s="51"/>
      <c r="H47" s="51"/>
      <c r="I47" s="51"/>
      <c r="J47" s="51"/>
    </row>
    <row r="48" customFormat="false" ht="16.5" hidden="false" customHeight="false" outlineLevel="0" collapsed="false">
      <c r="A48" s="51"/>
      <c r="B48" s="51"/>
      <c r="C48" s="52"/>
      <c r="D48" s="51"/>
      <c r="E48" s="51"/>
      <c r="F48" s="53"/>
      <c r="G48" s="51"/>
      <c r="H48" s="51"/>
      <c r="I48" s="51"/>
      <c r="J48" s="51"/>
    </row>
    <row r="49" customFormat="false" ht="16.5" hidden="false" customHeight="false" outlineLevel="0" collapsed="false">
      <c r="A49" s="51"/>
      <c r="B49" s="51"/>
      <c r="C49" s="52"/>
      <c r="D49" s="51"/>
      <c r="E49" s="51"/>
      <c r="F49" s="53"/>
      <c r="G49" s="51"/>
      <c r="H49" s="51"/>
      <c r="I49" s="51"/>
      <c r="J49" s="51"/>
    </row>
    <row r="50" customFormat="false" ht="16.5" hidden="false" customHeight="false" outlineLevel="0" collapsed="false">
      <c r="A50" s="51"/>
      <c r="B50" s="51"/>
      <c r="C50" s="52"/>
      <c r="D50" s="51"/>
      <c r="E50" s="51"/>
      <c r="F50" s="53"/>
      <c r="G50" s="51"/>
      <c r="H50" s="51"/>
      <c r="I50" s="51"/>
      <c r="J50" s="51"/>
    </row>
    <row r="51" customFormat="false" ht="16.5" hidden="false" customHeight="false" outlineLevel="0" collapsed="false">
      <c r="A51" s="51"/>
      <c r="B51" s="51"/>
      <c r="C51" s="52"/>
      <c r="D51" s="51"/>
      <c r="E51" s="51"/>
      <c r="F51" s="53"/>
      <c r="G51" s="51"/>
      <c r="H51" s="51"/>
      <c r="I51" s="51"/>
      <c r="J51" s="51"/>
    </row>
    <row r="52" customFormat="false" ht="16.5" hidden="false" customHeight="false" outlineLevel="0" collapsed="false">
      <c r="A52" s="51"/>
      <c r="B52" s="51"/>
      <c r="C52" s="52"/>
      <c r="D52" s="51"/>
      <c r="E52" s="51"/>
      <c r="F52" s="53"/>
      <c r="G52" s="51"/>
      <c r="H52" s="51"/>
      <c r="I52" s="51"/>
      <c r="J52" s="51"/>
    </row>
    <row r="53" customFormat="false" ht="16.5" hidden="false" customHeight="false" outlineLevel="0" collapsed="false">
      <c r="A53" s="51"/>
      <c r="B53" s="51"/>
      <c r="C53" s="52"/>
      <c r="D53" s="51"/>
      <c r="E53" s="51"/>
      <c r="F53" s="53"/>
      <c r="G53" s="51"/>
      <c r="H53" s="51"/>
      <c r="I53" s="51"/>
      <c r="J53" s="5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9" activeCellId="0" sqref="Y29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1" style="0" width="12.9"/>
    <col collapsed="false" customWidth="true" hidden="true" outlineLevel="0" max="4" min="4" style="0" width="9"/>
    <col collapsed="false" customWidth="true" hidden="false" outlineLevel="0" max="5" min="5" style="0" width="13.1"/>
    <col collapsed="false" customWidth="true" hidden="false" outlineLevel="0" max="6" min="6" style="0" width="10.7"/>
    <col collapsed="false" customWidth="true" hidden="true" outlineLevel="0" max="10" min="10" style="0" width="13"/>
  </cols>
  <sheetData>
    <row r="1" customFormat="false" ht="16.5" hidden="false" customHeight="false" outlineLevel="0" collapsed="false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</row>
    <row r="2" customFormat="false" ht="16.5" hidden="false" customHeight="false" outlineLevel="0" collapsed="false">
      <c r="A2" s="56" t="n">
        <v>45834.75</v>
      </c>
      <c r="B2" s="57" t="n">
        <f aca="false">MOD(A2,1)</f>
        <v>0.75</v>
      </c>
      <c r="C2" s="0" t="n">
        <v>0</v>
      </c>
      <c r="D2" s="0" t="n">
        <v>489.49503</v>
      </c>
      <c r="E2" s="0" t="n">
        <f aca="false">D2-0.155</f>
        <v>489.34003</v>
      </c>
      <c r="F2" s="0" t="n">
        <v>489.545</v>
      </c>
      <c r="G2" s="0" t="n">
        <f aca="false">IF(E2 - F2 &lt; 0, 0, E2 - F2)</f>
        <v>0</v>
      </c>
      <c r="H2" s="0" t="n">
        <v>1.82</v>
      </c>
      <c r="I2" s="0" t="n">
        <f aca="false">1.82*30*(G2^1.5)</f>
        <v>0</v>
      </c>
      <c r="J2" s="0" t="n">
        <f aca="false">I2*60</f>
        <v>0</v>
      </c>
      <c r="K2" s="0" t="n">
        <f aca="false">(I2*86400)/24</f>
        <v>0</v>
      </c>
    </row>
    <row r="3" customFormat="false" ht="16.5" hidden="false" customHeight="false" outlineLevel="0" collapsed="false">
      <c r="A3" s="56" t="n">
        <v>45834.7916666667</v>
      </c>
      <c r="B3" s="57" t="n">
        <f aca="false">MOD(A3,1)</f>
        <v>0.791666666656965</v>
      </c>
      <c r="C3" s="0" t="n">
        <v>0</v>
      </c>
      <c r="D3" s="0" t="n">
        <v>489.488</v>
      </c>
      <c r="E3" s="0" t="n">
        <f aca="false">D3-0.155</f>
        <v>489.333</v>
      </c>
      <c r="F3" s="0" t="n">
        <v>489.545</v>
      </c>
      <c r="G3" s="0" t="n">
        <f aca="false">IF(E3 - F3 &lt; 0, 0, E3 - F3)</f>
        <v>0</v>
      </c>
      <c r="H3" s="0" t="n">
        <v>1.82</v>
      </c>
      <c r="I3" s="0" t="n">
        <f aca="false">1.82*30*(G3^1.5)</f>
        <v>0</v>
      </c>
      <c r="J3" s="0" t="n">
        <f aca="false">I3*60</f>
        <v>0</v>
      </c>
      <c r="K3" s="0" t="n">
        <f aca="false">(I3*86400)/24</f>
        <v>0</v>
      </c>
    </row>
    <row r="4" customFormat="false" ht="16.5" hidden="false" customHeight="false" outlineLevel="0" collapsed="false">
      <c r="A4" s="56" t="n">
        <v>45834.8333333333</v>
      </c>
      <c r="B4" s="57" t="n">
        <f aca="false">MOD(A4,1)</f>
        <v>0.833333333343035</v>
      </c>
      <c r="C4" s="0" t="n">
        <v>0</v>
      </c>
      <c r="D4" s="0" t="n">
        <v>489.489</v>
      </c>
      <c r="E4" s="0" t="n">
        <f aca="false">D4-0.155</f>
        <v>489.334</v>
      </c>
      <c r="F4" s="0" t="n">
        <v>489.545</v>
      </c>
      <c r="G4" s="0" t="n">
        <f aca="false">IF(E4 - F4 &lt; 0, 0, E4 - F4)</f>
        <v>0</v>
      </c>
      <c r="H4" s="0" t="n">
        <v>1.82</v>
      </c>
      <c r="I4" s="0" t="n">
        <f aca="false">1.82*30*(G4^1.5)</f>
        <v>0</v>
      </c>
      <c r="J4" s="0" t="n">
        <f aca="false">I4*60</f>
        <v>0</v>
      </c>
      <c r="K4" s="0" t="n">
        <f aca="false">(I4*86400)/24</f>
        <v>0</v>
      </c>
    </row>
    <row r="5" customFormat="false" ht="16.5" hidden="false" customHeight="false" outlineLevel="0" collapsed="false">
      <c r="A5" s="56" t="n">
        <v>45834.875</v>
      </c>
      <c r="B5" s="57" t="n">
        <f aca="false">MOD(A5,1)</f>
        <v>0.875</v>
      </c>
      <c r="C5" s="0" t="n">
        <v>0</v>
      </c>
      <c r="D5" s="0" t="n">
        <v>489.488</v>
      </c>
      <c r="E5" s="0" t="n">
        <f aca="false">D5-0.155</f>
        <v>489.333</v>
      </c>
      <c r="F5" s="0" t="n">
        <v>489.545</v>
      </c>
      <c r="G5" s="0" t="n">
        <f aca="false">IF(E5 - F5 &lt; 0, 0, E5 - F5)</f>
        <v>0</v>
      </c>
      <c r="H5" s="0" t="n">
        <v>1.82</v>
      </c>
      <c r="I5" s="0" t="n">
        <f aca="false">1.82*30*(G5^1.5)</f>
        <v>0</v>
      </c>
      <c r="J5" s="0" t="n">
        <f aca="false">I5*60</f>
        <v>0</v>
      </c>
      <c r="K5" s="0" t="n">
        <f aca="false">(I5*86400)/24</f>
        <v>0</v>
      </c>
    </row>
    <row r="6" customFormat="false" ht="16.5" hidden="false" customHeight="false" outlineLevel="0" collapsed="false">
      <c r="A6" s="56" t="n">
        <v>45834.9166666667</v>
      </c>
      <c r="B6" s="57" t="n">
        <f aca="false">MOD(A6,1)</f>
        <v>0.916666666656965</v>
      </c>
      <c r="C6" s="0" t="n">
        <v>0</v>
      </c>
      <c r="D6" s="0" t="n">
        <v>489.489</v>
      </c>
      <c r="E6" s="0" t="n">
        <f aca="false">D6-0.155</f>
        <v>489.334</v>
      </c>
      <c r="F6" s="0" t="n">
        <v>489.545</v>
      </c>
      <c r="G6" s="0" t="n">
        <f aca="false">IF(E6 - F6 &lt; 0, 0, E6 - F6)</f>
        <v>0</v>
      </c>
      <c r="H6" s="0" t="n">
        <v>1.82</v>
      </c>
      <c r="I6" s="0" t="n">
        <f aca="false">1.82*30*(G6^1.5)</f>
        <v>0</v>
      </c>
      <c r="J6" s="0" t="n">
        <f aca="false">I6*60</f>
        <v>0</v>
      </c>
      <c r="K6" s="0" t="n">
        <f aca="false">(I6*86400)/24</f>
        <v>0</v>
      </c>
    </row>
    <row r="7" customFormat="false" ht="16.5" hidden="false" customHeight="false" outlineLevel="0" collapsed="false">
      <c r="A7" s="56" t="n">
        <v>45834.9583333333</v>
      </c>
      <c r="B7" s="57" t="n">
        <f aca="false">MOD(A7,1)</f>
        <v>0.958333333343035</v>
      </c>
      <c r="C7" s="0" t="n">
        <v>0</v>
      </c>
      <c r="D7" s="0" t="n">
        <v>489.49503</v>
      </c>
      <c r="E7" s="0" t="n">
        <f aca="false">D7-0.155</f>
        <v>489.34003</v>
      </c>
      <c r="F7" s="0" t="n">
        <v>489.545</v>
      </c>
      <c r="G7" s="0" t="n">
        <f aca="false">IF(E7 - F7 &lt; 0, 0, E7 - F7)</f>
        <v>0</v>
      </c>
      <c r="H7" s="0" t="n">
        <v>1.82</v>
      </c>
      <c r="I7" s="0" t="n">
        <f aca="false">1.82*30*(G7^1.5)</f>
        <v>0</v>
      </c>
      <c r="J7" s="0" t="n">
        <f aca="false">I7*60</f>
        <v>0</v>
      </c>
      <c r="K7" s="0" t="n">
        <f aca="false">(I7*86400)/24</f>
        <v>0</v>
      </c>
    </row>
    <row r="8" customFormat="false" ht="16.5" hidden="false" customHeight="false" outlineLevel="0" collapsed="false">
      <c r="A8" s="56" t="n">
        <v>45835</v>
      </c>
      <c r="B8" s="57" t="n">
        <f aca="false">MOD(A8,1)</f>
        <v>0</v>
      </c>
      <c r="C8" s="0" t="n">
        <v>0</v>
      </c>
      <c r="D8" s="0" t="n">
        <v>489.488</v>
      </c>
      <c r="E8" s="0" t="n">
        <f aca="false">D8-0.155</f>
        <v>489.333</v>
      </c>
      <c r="F8" s="0" t="n">
        <v>489.545</v>
      </c>
      <c r="G8" s="0" t="n">
        <f aca="false">IF(E8 - F8 &lt; 0, 0, E8 - F8)</f>
        <v>0</v>
      </c>
      <c r="H8" s="0" t="n">
        <v>1.82</v>
      </c>
      <c r="I8" s="0" t="n">
        <f aca="false">1.82*30*(G8^1.5)</f>
        <v>0</v>
      </c>
      <c r="J8" s="0" t="n">
        <f aca="false">I8*60</f>
        <v>0</v>
      </c>
      <c r="K8" s="0" t="n">
        <f aca="false">(I8*86400)/24</f>
        <v>0</v>
      </c>
    </row>
    <row r="9" customFormat="false" ht="16.5" hidden="false" customHeight="false" outlineLevel="0" collapsed="false">
      <c r="A9" s="56" t="n">
        <v>45835.0416666667</v>
      </c>
      <c r="B9" s="57" t="n">
        <f aca="false">MOD(A9,1)</f>
        <v>0.0416666666569654</v>
      </c>
      <c r="C9" s="0" t="n">
        <v>0</v>
      </c>
      <c r="D9" s="0" t="n">
        <v>489.488</v>
      </c>
      <c r="E9" s="0" t="n">
        <f aca="false">D9-0.155</f>
        <v>489.333</v>
      </c>
      <c r="F9" s="0" t="n">
        <v>489.545</v>
      </c>
      <c r="G9" s="0" t="n">
        <f aca="false">IF(E9 - F9 &lt; 0, 0, E9 - F9)</f>
        <v>0</v>
      </c>
      <c r="H9" s="0" t="n">
        <v>1.82</v>
      </c>
      <c r="I9" s="0" t="n">
        <f aca="false">1.82*30*(G9^1.5)</f>
        <v>0</v>
      </c>
      <c r="J9" s="0" t="n">
        <f aca="false">I9*60</f>
        <v>0</v>
      </c>
      <c r="K9" s="0" t="n">
        <f aca="false">(I9*86400)/24</f>
        <v>0</v>
      </c>
    </row>
    <row r="10" customFormat="false" ht="16.5" hidden="false" customHeight="false" outlineLevel="0" collapsed="false">
      <c r="A10" s="56" t="n">
        <v>45835.0833333333</v>
      </c>
      <c r="B10" s="57" t="n">
        <f aca="false">MOD(A10,1)</f>
        <v>0.0833333333430346</v>
      </c>
      <c r="C10" s="0" t="n">
        <v>0</v>
      </c>
      <c r="D10" s="0" t="n">
        <v>489.489</v>
      </c>
      <c r="E10" s="0" t="n">
        <f aca="false">D10-0.155</f>
        <v>489.334</v>
      </c>
      <c r="F10" s="0" t="n">
        <v>489.545</v>
      </c>
      <c r="G10" s="0" t="n">
        <f aca="false">IF(E10 - F10 &lt; 0, 0, E10 - F10)</f>
        <v>0</v>
      </c>
      <c r="H10" s="0" t="n">
        <v>1.82</v>
      </c>
      <c r="I10" s="0" t="n">
        <f aca="false">1.82*30*(G10^1.5)</f>
        <v>0</v>
      </c>
      <c r="J10" s="0" t="n">
        <f aca="false">I10*60</f>
        <v>0</v>
      </c>
      <c r="K10" s="0" t="n">
        <f aca="false">(I10*86400)/24</f>
        <v>0</v>
      </c>
    </row>
    <row r="11" customFormat="false" ht="16.5" hidden="false" customHeight="false" outlineLevel="0" collapsed="false">
      <c r="A11" s="56" t="n">
        <v>45835.125</v>
      </c>
      <c r="B11" s="57" t="n">
        <f aca="false">MOD(A11,1)</f>
        <v>0.125</v>
      </c>
      <c r="C11" s="0" t="n">
        <v>0</v>
      </c>
      <c r="D11" s="0" t="n">
        <v>489.488</v>
      </c>
      <c r="E11" s="0" t="n">
        <f aca="false">D11-0.155</f>
        <v>489.333</v>
      </c>
      <c r="F11" s="0" t="n">
        <v>489.545</v>
      </c>
      <c r="G11" s="0" t="n">
        <f aca="false">IF(E11 - F11 &lt; 0, 0, E11 - F11)</f>
        <v>0</v>
      </c>
      <c r="H11" s="0" t="n">
        <v>1.82</v>
      </c>
      <c r="I11" s="0" t="n">
        <f aca="false">1.82*30*(G11^1.5)</f>
        <v>0</v>
      </c>
      <c r="J11" s="0" t="n">
        <f aca="false">I11*60</f>
        <v>0</v>
      </c>
      <c r="K11" s="0" t="n">
        <f aca="false">(I11*86400)/24</f>
        <v>0</v>
      </c>
    </row>
    <row r="12" customFormat="false" ht="16.5" hidden="false" customHeight="false" outlineLevel="0" collapsed="false">
      <c r="A12" s="56" t="n">
        <v>45835.1666666667</v>
      </c>
      <c r="B12" s="57" t="n">
        <f aca="false">MOD(A12,1)</f>
        <v>0.166666666656965</v>
      </c>
      <c r="C12" s="0" t="n">
        <v>0</v>
      </c>
      <c r="D12" s="0" t="n">
        <v>489.488</v>
      </c>
      <c r="E12" s="0" t="n">
        <f aca="false">D12-0.155</f>
        <v>489.333</v>
      </c>
      <c r="F12" s="0" t="n">
        <v>489.545</v>
      </c>
      <c r="G12" s="0" t="n">
        <f aca="false">IF(E12 - F12 &lt; 0, 0, E12 - F12)</f>
        <v>0</v>
      </c>
      <c r="H12" s="0" t="n">
        <v>1.82</v>
      </c>
      <c r="I12" s="0" t="n">
        <f aca="false">1.82*30*(G12^1.5)</f>
        <v>0</v>
      </c>
      <c r="J12" s="0" t="n">
        <f aca="false">I12*60</f>
        <v>0</v>
      </c>
      <c r="K12" s="0" t="n">
        <f aca="false">(I12*86400)/24</f>
        <v>0</v>
      </c>
    </row>
    <row r="13" customFormat="false" ht="16.5" hidden="false" customHeight="false" outlineLevel="0" collapsed="false">
      <c r="A13" s="56" t="n">
        <v>45835.2083333333</v>
      </c>
      <c r="B13" s="57" t="n">
        <f aca="false">MOD(A13,1)</f>
        <v>0.208333333343035</v>
      </c>
      <c r="C13" s="0" t="n">
        <v>0</v>
      </c>
      <c r="D13" s="0" t="n">
        <v>489.49503</v>
      </c>
      <c r="E13" s="0" t="n">
        <f aca="false">D13-0.155</f>
        <v>489.34003</v>
      </c>
      <c r="F13" s="0" t="n">
        <v>489.545</v>
      </c>
      <c r="G13" s="0" t="n">
        <f aca="false">IF(E13 - F13 &lt; 0, 0, E13 - F13)</f>
        <v>0</v>
      </c>
      <c r="H13" s="0" t="n">
        <v>1.82</v>
      </c>
      <c r="I13" s="0" t="n">
        <f aca="false">1.82*30*(G13^1.5)</f>
        <v>0</v>
      </c>
      <c r="J13" s="0" t="n">
        <f aca="false">I13*60</f>
        <v>0</v>
      </c>
      <c r="K13" s="0" t="n">
        <f aca="false">(I13*86400)/24</f>
        <v>0</v>
      </c>
    </row>
    <row r="14" customFormat="false" ht="16.5" hidden="false" customHeight="false" outlineLevel="0" collapsed="false">
      <c r="A14" s="56" t="n">
        <v>45835.25</v>
      </c>
      <c r="B14" s="57" t="n">
        <f aca="false">MOD(A14,1)</f>
        <v>0.25</v>
      </c>
      <c r="C14" s="0" t="n">
        <v>0</v>
      </c>
      <c r="D14" s="0" t="n">
        <v>489.489</v>
      </c>
      <c r="E14" s="0" t="n">
        <f aca="false">D14-0.155</f>
        <v>489.334</v>
      </c>
      <c r="F14" s="0" t="n">
        <v>489.545</v>
      </c>
      <c r="G14" s="0" t="n">
        <f aca="false">IF(E14 - F14 &lt; 0, 0, E14 - F14)</f>
        <v>0</v>
      </c>
      <c r="H14" s="0" t="n">
        <v>1.82</v>
      </c>
      <c r="I14" s="0" t="n">
        <f aca="false">1.82*30*(G14^1.5)</f>
        <v>0</v>
      </c>
      <c r="J14" s="0" t="n">
        <f aca="false">I14*60</f>
        <v>0</v>
      </c>
      <c r="K14" s="0" t="n">
        <f aca="false">(I14*86400)/24</f>
        <v>0</v>
      </c>
    </row>
    <row r="15" customFormat="false" ht="16.5" hidden="false" customHeight="false" outlineLevel="0" collapsed="false">
      <c r="A15" s="56" t="n">
        <v>45835.2916666667</v>
      </c>
      <c r="B15" s="57" t="n">
        <f aca="false">MOD(A15,1)</f>
        <v>0.291666666656965</v>
      </c>
      <c r="C15" s="0" t="n">
        <v>0.2</v>
      </c>
      <c r="D15" s="0" t="n">
        <v>489.49503</v>
      </c>
      <c r="E15" s="0" t="n">
        <f aca="false">D15-0.155</f>
        <v>489.34003</v>
      </c>
      <c r="F15" s="0" t="n">
        <v>489.545</v>
      </c>
      <c r="G15" s="0" t="n">
        <f aca="false">IF(E15 - F15 &lt; 0, 0, E15 - F15)</f>
        <v>0</v>
      </c>
      <c r="H15" s="0" t="n">
        <v>1.82</v>
      </c>
      <c r="I15" s="0" t="n">
        <f aca="false">1.82*30*(G15^1.5)</f>
        <v>0</v>
      </c>
      <c r="J15" s="0" t="n">
        <f aca="false">I15*60</f>
        <v>0</v>
      </c>
      <c r="K15" s="0" t="n">
        <f aca="false">(I15*86400)/24</f>
        <v>0</v>
      </c>
    </row>
    <row r="16" customFormat="false" ht="16.5" hidden="false" customHeight="false" outlineLevel="0" collapsed="false">
      <c r="A16" s="56" t="n">
        <v>45835.3333333333</v>
      </c>
      <c r="B16" s="57" t="n">
        <f aca="false">MOD(A16,1)</f>
        <v>0.333333333343035</v>
      </c>
      <c r="C16" s="0" t="n">
        <v>0</v>
      </c>
      <c r="D16" s="0" t="n">
        <v>489.49503</v>
      </c>
      <c r="E16" s="0" t="n">
        <f aca="false">D16-0.155</f>
        <v>489.34003</v>
      </c>
      <c r="F16" s="0" t="n">
        <v>489.545</v>
      </c>
      <c r="G16" s="0" t="n">
        <f aca="false">IF(E16 - F16 &lt; 0, 0, E16 - F16)</f>
        <v>0</v>
      </c>
      <c r="H16" s="0" t="n">
        <v>1.82</v>
      </c>
      <c r="I16" s="0" t="n">
        <f aca="false">1.82*30*(G16^1.5)</f>
        <v>0</v>
      </c>
      <c r="J16" s="0" t="n">
        <f aca="false">I16*60</f>
        <v>0</v>
      </c>
      <c r="K16" s="0" t="n">
        <f aca="false">(I16*86400)/24</f>
        <v>0</v>
      </c>
    </row>
    <row r="17" customFormat="false" ht="16.5" hidden="false" customHeight="false" outlineLevel="0" collapsed="false">
      <c r="A17" s="56" t="n">
        <v>45835.375</v>
      </c>
      <c r="B17" s="57" t="n">
        <f aca="false">MOD(A17,1)</f>
        <v>0.375</v>
      </c>
      <c r="C17" s="0" t="n">
        <v>0.4</v>
      </c>
      <c r="D17" s="0" t="n">
        <v>489.50803</v>
      </c>
      <c r="E17" s="0" t="n">
        <f aca="false">D17-0.155</f>
        <v>489.35303</v>
      </c>
      <c r="F17" s="0" t="n">
        <v>489.545</v>
      </c>
      <c r="G17" s="0" t="n">
        <f aca="false">IF(E17 - F17 &lt; 0, 0, E17 - F17)</f>
        <v>0</v>
      </c>
      <c r="H17" s="0" t="n">
        <v>1.82</v>
      </c>
      <c r="I17" s="0" t="n">
        <f aca="false">1.82*30*(G17^1.5)</f>
        <v>0</v>
      </c>
      <c r="J17" s="0" t="n">
        <f aca="false">I17*60</f>
        <v>0</v>
      </c>
      <c r="K17" s="0" t="n">
        <f aca="false">(I17*86400)/24</f>
        <v>0</v>
      </c>
    </row>
    <row r="18" customFormat="false" ht="16.5" hidden="false" customHeight="false" outlineLevel="0" collapsed="false">
      <c r="A18" s="56" t="n">
        <v>45835.4166666667</v>
      </c>
      <c r="B18" s="57" t="n">
        <f aca="false">MOD(A18,1)</f>
        <v>0.416666666656965</v>
      </c>
      <c r="C18" s="0" t="n">
        <v>0.6</v>
      </c>
      <c r="D18" s="0" t="n">
        <v>489.501</v>
      </c>
      <c r="E18" s="0" t="n">
        <f aca="false">D18-0.155</f>
        <v>489.346</v>
      </c>
      <c r="F18" s="0" t="n">
        <v>489.545</v>
      </c>
      <c r="G18" s="0" t="n">
        <f aca="false">IF(E18 - F18 &lt; 0, 0, E18 - F18)</f>
        <v>0</v>
      </c>
      <c r="H18" s="0" t="n">
        <v>1.82</v>
      </c>
      <c r="I18" s="0" t="n">
        <f aca="false">1.82*30*(G18^1.5)</f>
        <v>0</v>
      </c>
      <c r="J18" s="0" t="n">
        <f aca="false">I18*60</f>
        <v>0</v>
      </c>
      <c r="K18" s="0" t="n">
        <f aca="false">(I18*86400)/24</f>
        <v>0</v>
      </c>
    </row>
    <row r="19" customFormat="false" ht="16.5" hidden="false" customHeight="false" outlineLevel="0" collapsed="false">
      <c r="A19" s="56" t="n">
        <v>45835.4583333333</v>
      </c>
      <c r="B19" s="57" t="n">
        <f aca="false">MOD(A19,1)</f>
        <v>0.458333333343035</v>
      </c>
      <c r="C19" s="0" t="n">
        <v>0.8</v>
      </c>
      <c r="D19" s="0" t="n">
        <v>489.504</v>
      </c>
      <c r="E19" s="0" t="n">
        <f aca="false">D19-0.155</f>
        <v>489.349</v>
      </c>
      <c r="F19" s="0" t="n">
        <v>489.545</v>
      </c>
      <c r="G19" s="0" t="n">
        <f aca="false">IF(E19 - F19 &lt; 0, 0, E19 - F19)</f>
        <v>0</v>
      </c>
      <c r="H19" s="0" t="n">
        <v>1.82</v>
      </c>
      <c r="I19" s="0" t="n">
        <f aca="false">1.82*30*(G19^1.5)</f>
        <v>0</v>
      </c>
      <c r="J19" s="0" t="n">
        <f aca="false">I19*60</f>
        <v>0</v>
      </c>
      <c r="K19" s="0" t="n">
        <f aca="false">(I19*86400)/24</f>
        <v>0</v>
      </c>
    </row>
    <row r="20" customFormat="false" ht="16.5" hidden="false" customHeight="false" outlineLevel="0" collapsed="false">
      <c r="A20" s="56" t="n">
        <v>45835.5</v>
      </c>
      <c r="B20" s="57" t="n">
        <f aca="false">MOD(A20,1)</f>
        <v>0.5</v>
      </c>
      <c r="C20" s="0" t="n">
        <v>0.2</v>
      </c>
      <c r="D20" s="0" t="n">
        <v>489.50803</v>
      </c>
      <c r="E20" s="0" t="n">
        <f aca="false">D20-0.155</f>
        <v>489.35303</v>
      </c>
      <c r="F20" s="0" t="n">
        <v>489.545</v>
      </c>
      <c r="G20" s="0" t="n">
        <f aca="false">IF(E20 - F20 &lt; 0, 0, E20 - F20)</f>
        <v>0</v>
      </c>
      <c r="H20" s="0" t="n">
        <v>1.82</v>
      </c>
      <c r="I20" s="0" t="n">
        <f aca="false">1.82*30*(G20^1.5)</f>
        <v>0</v>
      </c>
      <c r="J20" s="0" t="n">
        <f aca="false">I20*60</f>
        <v>0</v>
      </c>
      <c r="K20" s="0" t="n">
        <f aca="false">(I20*86400)/24</f>
        <v>0</v>
      </c>
    </row>
    <row r="21" customFormat="false" ht="16.5" hidden="false" customHeight="false" outlineLevel="0" collapsed="false">
      <c r="A21" s="56" t="n">
        <v>45835.5416666667</v>
      </c>
      <c r="B21" s="57" t="n">
        <f aca="false">MOD(A21,1)</f>
        <v>0.541666666656965</v>
      </c>
      <c r="C21" s="0" t="n">
        <v>0</v>
      </c>
      <c r="D21" s="0" t="n">
        <v>489.50803</v>
      </c>
      <c r="E21" s="0" t="n">
        <f aca="false">D21-0.155</f>
        <v>489.35303</v>
      </c>
      <c r="F21" s="0" t="n">
        <v>489.545</v>
      </c>
      <c r="G21" s="0" t="n">
        <f aca="false">IF(E21 - F21 &lt; 0, 0, E21 - F21)</f>
        <v>0</v>
      </c>
      <c r="H21" s="0" t="n">
        <v>1.82</v>
      </c>
      <c r="I21" s="0" t="n">
        <f aca="false">1.82*30*(G21^1.5)</f>
        <v>0</v>
      </c>
      <c r="J21" s="0" t="n">
        <f aca="false">I21*60</f>
        <v>0</v>
      </c>
      <c r="K21" s="0" t="n">
        <f aca="false">(I21*86400)/24</f>
        <v>0</v>
      </c>
    </row>
    <row r="22" customFormat="false" ht="16.5" hidden="false" customHeight="false" outlineLevel="0" collapsed="false">
      <c r="A22" s="56" t="n">
        <v>45835.5833333333</v>
      </c>
      <c r="B22" s="57" t="n">
        <f aca="false">MOD(A22,1)</f>
        <v>0.583333333343035</v>
      </c>
      <c r="C22" s="0" t="n">
        <v>0</v>
      </c>
      <c r="D22" s="0" t="n">
        <v>489.50803</v>
      </c>
      <c r="E22" s="0" t="n">
        <f aca="false">D22-0.155</f>
        <v>489.35303</v>
      </c>
      <c r="F22" s="0" t="n">
        <v>489.545</v>
      </c>
      <c r="G22" s="0" t="n">
        <f aca="false">IF(E22 - F22 &lt; 0, 0, E22 - F22)</f>
        <v>0</v>
      </c>
      <c r="H22" s="0" t="n">
        <v>1.82</v>
      </c>
      <c r="I22" s="0" t="n">
        <f aca="false">1.82*30*(G22^1.5)</f>
        <v>0</v>
      </c>
      <c r="J22" s="0" t="n">
        <f aca="false">I22*60</f>
        <v>0</v>
      </c>
      <c r="K22" s="0" t="n">
        <f aca="false">(I22*86400)/24</f>
        <v>0</v>
      </c>
    </row>
    <row r="23" customFormat="false" ht="16.5" hidden="false" customHeight="false" outlineLevel="0" collapsed="false">
      <c r="A23" s="56" t="n">
        <v>45835.625</v>
      </c>
      <c r="B23" s="57" t="n">
        <f aca="false">MOD(A23,1)</f>
        <v>0.625</v>
      </c>
      <c r="C23" s="0" t="n">
        <v>0</v>
      </c>
      <c r="D23" s="0" t="n">
        <v>489.50803</v>
      </c>
      <c r="E23" s="0" t="n">
        <f aca="false">D23-0.155</f>
        <v>489.35303</v>
      </c>
      <c r="F23" s="0" t="n">
        <v>489.545</v>
      </c>
      <c r="G23" s="0" t="n">
        <f aca="false">IF(E23 - F23 &lt; 0, 0, E23 - F23)</f>
        <v>0</v>
      </c>
      <c r="H23" s="0" t="n">
        <v>1.82</v>
      </c>
      <c r="I23" s="0" t="n">
        <f aca="false">1.82*30*(G23^1.5)</f>
        <v>0</v>
      </c>
      <c r="J23" s="0" t="n">
        <f aca="false">I23*60</f>
        <v>0</v>
      </c>
      <c r="K23" s="0" t="n">
        <f aca="false">(I23*86400)/24</f>
        <v>0</v>
      </c>
    </row>
    <row r="24" customFormat="false" ht="16.5" hidden="false" customHeight="false" outlineLevel="0" collapsed="false">
      <c r="A24" s="56" t="n">
        <v>45835.6666666667</v>
      </c>
      <c r="B24" s="57" t="n">
        <f aca="false">MOD(A24,1)</f>
        <v>0.666666666656965</v>
      </c>
      <c r="C24" s="0" t="n">
        <v>0</v>
      </c>
      <c r="D24" s="0" t="n">
        <v>489.514</v>
      </c>
      <c r="E24" s="0" t="n">
        <f aca="false">D24-0.155</f>
        <v>489.359</v>
      </c>
      <c r="F24" s="0" t="n">
        <v>489.545</v>
      </c>
      <c r="G24" s="0" t="n">
        <f aca="false">IF(E24 - F24 &lt; 0, 0, E24 - F24)</f>
        <v>0</v>
      </c>
      <c r="H24" s="0" t="n">
        <v>1.82</v>
      </c>
      <c r="I24" s="0" t="n">
        <f aca="false">1.82*30*(G24^1.5)</f>
        <v>0</v>
      </c>
      <c r="J24" s="0" t="n">
        <f aca="false">I24*60</f>
        <v>0</v>
      </c>
      <c r="K24" s="0" t="n">
        <f aca="false">(I24*86400)/24</f>
        <v>0</v>
      </c>
    </row>
    <row r="25" customFormat="false" ht="16.5" hidden="false" customHeight="false" outlineLevel="0" collapsed="false">
      <c r="A25" s="56" t="n">
        <v>45835.7083333333</v>
      </c>
      <c r="B25" s="57" t="n">
        <f aca="false">MOD(A25,1)</f>
        <v>0.708333333343035</v>
      </c>
      <c r="C25" s="0" t="n">
        <v>0</v>
      </c>
      <c r="D25" s="0" t="n">
        <v>489.50803</v>
      </c>
      <c r="E25" s="0" t="n">
        <f aca="false">D25-0.155</f>
        <v>489.35303</v>
      </c>
      <c r="F25" s="0" t="n">
        <v>489.545</v>
      </c>
      <c r="G25" s="0" t="n">
        <f aca="false">IF(E25 - F25 &lt; 0, 0, E25 - F25)</f>
        <v>0</v>
      </c>
      <c r="H25" s="0" t="n">
        <v>1.82</v>
      </c>
      <c r="I25" s="0" t="n">
        <f aca="false">1.82*30*(G25^1.5)</f>
        <v>0</v>
      </c>
      <c r="J25" s="0" t="n">
        <f aca="false">I25*60</f>
        <v>0</v>
      </c>
      <c r="K25" s="0" t="n">
        <f aca="false">(I25*86400)/24</f>
        <v>0</v>
      </c>
    </row>
    <row r="26" customFormat="false" ht="16.5" hidden="false" customHeight="false" outlineLevel="0" collapsed="false">
      <c r="A26" s="56" t="n">
        <v>45835.75</v>
      </c>
      <c r="B26" s="57" t="n">
        <f aca="false">MOD(A26,1)</f>
        <v>0.75</v>
      </c>
      <c r="C26" s="0" t="n">
        <v>0</v>
      </c>
      <c r="D26" s="0" t="n">
        <v>489.514</v>
      </c>
      <c r="E26" s="0" t="n">
        <f aca="false">D26-0.155</f>
        <v>489.359</v>
      </c>
      <c r="F26" s="0" t="n">
        <v>489.545</v>
      </c>
      <c r="G26" s="0" t="n">
        <f aca="false">IF(E26 - F26 &lt; 0, 0, E26 - F26)</f>
        <v>0</v>
      </c>
      <c r="H26" s="0" t="n">
        <v>1.82</v>
      </c>
      <c r="I26" s="0" t="n">
        <f aca="false">1.82*30*(G26^1.5)</f>
        <v>0</v>
      </c>
      <c r="J26" s="0" t="n">
        <f aca="false">I26*60</f>
        <v>0</v>
      </c>
      <c r="K26" s="0" t="n">
        <f aca="false">(I26*86400)/24</f>
        <v>0</v>
      </c>
    </row>
    <row r="27" customFormat="false" ht="16.5" hidden="false" customHeight="false" outlineLevel="0" collapsed="false">
      <c r="A27" s="56" t="n">
        <v>45835.7916666667</v>
      </c>
      <c r="B27" s="57" t="n">
        <f aca="false">MOD(A27,1)</f>
        <v>0.791666666656965</v>
      </c>
      <c r="C27" s="0" t="n">
        <v>0</v>
      </c>
      <c r="D27" s="0" t="n">
        <v>489.514</v>
      </c>
      <c r="E27" s="0" t="n">
        <f aca="false">D27-0.155</f>
        <v>489.359</v>
      </c>
      <c r="F27" s="0" t="n">
        <v>489.545</v>
      </c>
      <c r="G27" s="0" t="n">
        <f aca="false">IF(E27 - F27 &lt; 0, 0, E27 - F27)</f>
        <v>0</v>
      </c>
      <c r="H27" s="0" t="n">
        <v>1.82</v>
      </c>
      <c r="I27" s="0" t="n">
        <f aca="false">1.82*30*(G27^1.5)</f>
        <v>0</v>
      </c>
      <c r="J27" s="0" t="n">
        <f aca="false">I27*60</f>
        <v>0</v>
      </c>
      <c r="K27" s="0" t="n">
        <f aca="false">(I27*86400)/24</f>
        <v>0</v>
      </c>
    </row>
    <row r="28" customFormat="false" ht="16.5" hidden="false" customHeight="false" outlineLevel="0" collapsed="false">
      <c r="A28" s="56" t="n">
        <v>45835.8333333333</v>
      </c>
      <c r="B28" s="57" t="n">
        <f aca="false">MOD(A28,1)</f>
        <v>0.833333333343035</v>
      </c>
      <c r="C28" s="0" t="n">
        <v>0</v>
      </c>
      <c r="D28" s="0" t="n">
        <v>489.515</v>
      </c>
      <c r="E28" s="0" t="n">
        <f aca="false">D28-0.155</f>
        <v>489.36</v>
      </c>
      <c r="F28" s="0" t="n">
        <v>489.545</v>
      </c>
      <c r="G28" s="0" t="n">
        <f aca="false">IF(E28 - F28 &lt; 0, 0, E28 - F28)</f>
        <v>0</v>
      </c>
      <c r="H28" s="0" t="n">
        <v>1.82</v>
      </c>
      <c r="I28" s="0" t="n">
        <f aca="false">1.82*30*(G28^1.5)</f>
        <v>0</v>
      </c>
      <c r="J28" s="0" t="n">
        <f aca="false">I28*60</f>
        <v>0</v>
      </c>
      <c r="K28" s="0" t="n">
        <f aca="false">(I28*86400)/24</f>
        <v>0</v>
      </c>
    </row>
    <row r="29" customFormat="false" ht="16.5" hidden="false" customHeight="false" outlineLevel="0" collapsed="false">
      <c r="A29" s="56" t="n">
        <v>45835.875</v>
      </c>
      <c r="B29" s="57" t="n">
        <f aca="false">MOD(A29,1)</f>
        <v>0.875</v>
      </c>
      <c r="C29" s="0" t="n">
        <v>0</v>
      </c>
      <c r="D29" s="0" t="n">
        <v>489.515</v>
      </c>
      <c r="E29" s="0" t="n">
        <f aca="false">D29-0.155</f>
        <v>489.36</v>
      </c>
      <c r="F29" s="0" t="n">
        <v>489.545</v>
      </c>
      <c r="G29" s="0" t="n">
        <f aca="false">IF(E29 - F29 &lt; 0, 0, E29 - F29)</f>
        <v>0</v>
      </c>
      <c r="H29" s="0" t="n">
        <v>1.82</v>
      </c>
      <c r="I29" s="0" t="n">
        <f aca="false">1.82*30*(G29^1.5)</f>
        <v>0</v>
      </c>
      <c r="J29" s="0" t="n">
        <f aca="false">I29*60</f>
        <v>0</v>
      </c>
      <c r="K29" s="0" t="n">
        <f aca="false">(I29*86400)/24</f>
        <v>0</v>
      </c>
    </row>
    <row r="30" customFormat="false" ht="16.5" hidden="false" customHeight="false" outlineLevel="0" collapsed="false">
      <c r="A30" s="56" t="n">
        <v>45835.9166666667</v>
      </c>
      <c r="B30" s="57" t="n">
        <f aca="false">MOD(A30,1)</f>
        <v>0.916666666656965</v>
      </c>
      <c r="C30" s="0" t="n">
        <v>0</v>
      </c>
      <c r="D30" s="0" t="n">
        <v>489.515</v>
      </c>
      <c r="E30" s="0" t="n">
        <f aca="false">D30-0.155</f>
        <v>489.36</v>
      </c>
      <c r="F30" s="0" t="n">
        <v>489.545</v>
      </c>
      <c r="G30" s="0" t="n">
        <f aca="false">IF(E30 - F30 &lt; 0, 0, E30 - F30)</f>
        <v>0</v>
      </c>
      <c r="H30" s="0" t="n">
        <v>1.82</v>
      </c>
      <c r="I30" s="0" t="n">
        <f aca="false">1.82*30*(G30^1.5)</f>
        <v>0</v>
      </c>
      <c r="J30" s="0" t="n">
        <f aca="false">I30*60</f>
        <v>0</v>
      </c>
      <c r="K30" s="0" t="n">
        <f aca="false">(I30*86400)/24</f>
        <v>0</v>
      </c>
    </row>
    <row r="31" customFormat="false" ht="16.5" hidden="false" customHeight="false" outlineLevel="0" collapsed="false">
      <c r="A31" s="56" t="n">
        <v>45835.9583333333</v>
      </c>
      <c r="B31" s="57" t="n">
        <f aca="false">MOD(A31,1)</f>
        <v>0.958333333343035</v>
      </c>
      <c r="C31" s="0" t="n">
        <v>0</v>
      </c>
      <c r="D31" s="0" t="n">
        <v>489.515</v>
      </c>
      <c r="E31" s="0" t="n">
        <f aca="false">D31-0.155</f>
        <v>489.36</v>
      </c>
      <c r="F31" s="0" t="n">
        <v>489.545</v>
      </c>
      <c r="G31" s="0" t="n">
        <f aca="false">IF(E31 - F31 &lt; 0, 0, E31 - F31)</f>
        <v>0</v>
      </c>
      <c r="H31" s="0" t="n">
        <v>1.82</v>
      </c>
      <c r="I31" s="0" t="n">
        <f aca="false">1.82*30*(G31^1.5)</f>
        <v>0</v>
      </c>
      <c r="J31" s="0" t="n">
        <f aca="false">I31*60</f>
        <v>0</v>
      </c>
      <c r="K31" s="0" t="n">
        <f aca="false">(I31*86400)/24</f>
        <v>0</v>
      </c>
    </row>
    <row r="32" customFormat="false" ht="16.5" hidden="false" customHeight="false" outlineLevel="0" collapsed="false">
      <c r="A32" s="56" t="n">
        <v>45836</v>
      </c>
      <c r="B32" s="57" t="n">
        <f aca="false">MOD(A32,1)</f>
        <v>0</v>
      </c>
      <c r="C32" s="0" t="n">
        <v>0</v>
      </c>
      <c r="D32" s="0" t="n">
        <v>489.515</v>
      </c>
      <c r="E32" s="0" t="n">
        <f aca="false">D32-0.155</f>
        <v>489.36</v>
      </c>
      <c r="F32" s="0" t="n">
        <v>489.545</v>
      </c>
      <c r="G32" s="0" t="n">
        <f aca="false">IF(E32 - F32 &lt; 0, 0, E32 - F32)</f>
        <v>0</v>
      </c>
      <c r="H32" s="0" t="n">
        <v>1.82</v>
      </c>
      <c r="I32" s="0" t="n">
        <f aca="false">1.82*30*(G32^1.5)</f>
        <v>0</v>
      </c>
      <c r="J32" s="0" t="n">
        <f aca="false">I32*60</f>
        <v>0</v>
      </c>
      <c r="K32" s="0" t="n">
        <f aca="false">(I32*86400)/24</f>
        <v>0</v>
      </c>
    </row>
    <row r="33" customFormat="false" ht="16.5" hidden="false" customHeight="false" outlineLevel="0" collapsed="false">
      <c r="A33" s="56" t="n">
        <v>45836.0416666667</v>
      </c>
      <c r="B33" s="57" t="n">
        <f aca="false">MOD(A33,1)</f>
        <v>0.0416666666569654</v>
      </c>
      <c r="C33" s="0" t="n">
        <v>0</v>
      </c>
      <c r="D33" s="0" t="n">
        <v>489.514</v>
      </c>
      <c r="E33" s="0" t="n">
        <f aca="false">D33-0.155</f>
        <v>489.359</v>
      </c>
      <c r="F33" s="0" t="n">
        <v>489.545</v>
      </c>
      <c r="G33" s="0" t="n">
        <f aca="false">IF(E33 - F33 &lt; 0, 0, E33 - F33)</f>
        <v>0</v>
      </c>
      <c r="H33" s="0" t="n">
        <v>1.82</v>
      </c>
      <c r="I33" s="0" t="n">
        <f aca="false">1.82*30*(G33^1.5)</f>
        <v>0</v>
      </c>
      <c r="J33" s="0" t="n">
        <f aca="false">I33*60</f>
        <v>0</v>
      </c>
      <c r="K33" s="0" t="n">
        <f aca="false">(I33*86400)/24</f>
        <v>0</v>
      </c>
    </row>
    <row r="34" customFormat="false" ht="16.5" hidden="false" customHeight="false" outlineLevel="0" collapsed="false">
      <c r="A34" s="56" t="n">
        <v>45836.0833333333</v>
      </c>
      <c r="B34" s="57" t="n">
        <f aca="false">MOD(A34,1)</f>
        <v>0.0833333333430346</v>
      </c>
      <c r="C34" s="0" t="n">
        <v>0</v>
      </c>
      <c r="D34" s="0" t="n">
        <v>489.515</v>
      </c>
      <c r="E34" s="0" t="n">
        <f aca="false">D34-0.155</f>
        <v>489.36</v>
      </c>
      <c r="F34" s="0" t="n">
        <v>489.545</v>
      </c>
      <c r="G34" s="0" t="n">
        <f aca="false">IF(E34 - F34 &lt; 0, 0, E34 - F34)</f>
        <v>0</v>
      </c>
      <c r="H34" s="0" t="n">
        <v>1.82</v>
      </c>
      <c r="I34" s="0" t="n">
        <f aca="false">1.82*30*(G34^1.5)</f>
        <v>0</v>
      </c>
      <c r="J34" s="0" t="n">
        <f aca="false">I34*60</f>
        <v>0</v>
      </c>
      <c r="K34" s="0" t="n">
        <f aca="false">(I34*86400)/24</f>
        <v>0</v>
      </c>
    </row>
    <row r="35" customFormat="false" ht="16.5" hidden="false" customHeight="false" outlineLevel="0" collapsed="false">
      <c r="A35" s="56" t="n">
        <v>45836.125</v>
      </c>
      <c r="B35" s="57" t="n">
        <f aca="false">MOD(A35,1)</f>
        <v>0.125</v>
      </c>
      <c r="C35" s="0" t="n">
        <v>0</v>
      </c>
      <c r="D35" s="0" t="n">
        <v>489.515</v>
      </c>
      <c r="E35" s="0" t="n">
        <f aca="false">D35-0.155</f>
        <v>489.36</v>
      </c>
      <c r="F35" s="0" t="n">
        <v>489.545</v>
      </c>
      <c r="G35" s="0" t="n">
        <f aca="false">IF(E35 - F35 &lt; 0, 0, E35 - F35)</f>
        <v>0</v>
      </c>
      <c r="H35" s="0" t="n">
        <v>1.82</v>
      </c>
      <c r="I35" s="0" t="n">
        <f aca="false">1.82*30*(G35^1.5)</f>
        <v>0</v>
      </c>
      <c r="J35" s="0" t="n">
        <f aca="false">I35*60</f>
        <v>0</v>
      </c>
      <c r="K35" s="0" t="n">
        <f aca="false">(I35*86400)/24</f>
        <v>0</v>
      </c>
    </row>
    <row r="36" customFormat="false" ht="16.5" hidden="false" customHeight="false" outlineLevel="0" collapsed="false">
      <c r="A36" s="56" t="n">
        <v>45836.1666666667</v>
      </c>
      <c r="B36" s="57" t="n">
        <f aca="false">MOD(A36,1)</f>
        <v>0.166666666656965</v>
      </c>
      <c r="C36" s="0" t="n">
        <v>0</v>
      </c>
      <c r="D36" s="0" t="n">
        <v>489.515</v>
      </c>
      <c r="E36" s="0" t="n">
        <f aca="false">D36-0.155</f>
        <v>489.36</v>
      </c>
      <c r="F36" s="0" t="n">
        <v>489.545</v>
      </c>
      <c r="G36" s="0" t="n">
        <f aca="false">IF(E36 - F36 &lt; 0, 0, E36 - F36)</f>
        <v>0</v>
      </c>
      <c r="H36" s="0" t="n">
        <v>1.82</v>
      </c>
      <c r="I36" s="0" t="n">
        <f aca="false">1.82*30*(G36^1.5)</f>
        <v>0</v>
      </c>
      <c r="J36" s="0" t="n">
        <f aca="false">I36*60</f>
        <v>0</v>
      </c>
      <c r="K36" s="0" t="n">
        <f aca="false">(I36*86400)/24</f>
        <v>0</v>
      </c>
    </row>
    <row r="37" customFormat="false" ht="16.5" hidden="false" customHeight="false" outlineLevel="0" collapsed="false">
      <c r="A37" s="56" t="n">
        <v>45836.2083333333</v>
      </c>
      <c r="B37" s="57" t="n">
        <f aca="false">MOD(A37,1)</f>
        <v>0.208333333343035</v>
      </c>
      <c r="C37" s="0" t="n">
        <v>0</v>
      </c>
      <c r="D37" s="0" t="n">
        <v>489.515</v>
      </c>
      <c r="E37" s="0" t="n">
        <f aca="false">D37-0.155</f>
        <v>489.36</v>
      </c>
      <c r="F37" s="0" t="n">
        <v>489.545</v>
      </c>
      <c r="G37" s="0" t="n">
        <f aca="false">IF(E37 - F37 &lt; 0, 0, E37 - F37)</f>
        <v>0</v>
      </c>
      <c r="H37" s="0" t="n">
        <v>1.82</v>
      </c>
      <c r="I37" s="0" t="n">
        <f aca="false">1.82*30*(G37^1.5)</f>
        <v>0</v>
      </c>
      <c r="J37" s="0" t="n">
        <f aca="false">I37*60</f>
        <v>0</v>
      </c>
      <c r="K37" s="0" t="n">
        <f aca="false">(I37*86400)/24</f>
        <v>0</v>
      </c>
    </row>
    <row r="38" customFormat="false" ht="16.5" hidden="false" customHeight="false" outlineLevel="0" collapsed="false">
      <c r="A38" s="56" t="n">
        <v>45836.25</v>
      </c>
      <c r="B38" s="57" t="n">
        <f aca="false">MOD(A38,1)</f>
        <v>0.25</v>
      </c>
      <c r="C38" s="0" t="n">
        <v>0</v>
      </c>
      <c r="D38" s="0" t="n">
        <v>489.514</v>
      </c>
      <c r="E38" s="0" t="n">
        <f aca="false">D38-0.155</f>
        <v>489.359</v>
      </c>
      <c r="F38" s="0" t="n">
        <v>489.545</v>
      </c>
      <c r="G38" s="0" t="n">
        <f aca="false">IF(E38 - F38 &lt; 0, 0, E38 - F38)</f>
        <v>0</v>
      </c>
      <c r="H38" s="0" t="n">
        <v>1.82</v>
      </c>
      <c r="I38" s="0" t="n">
        <f aca="false">1.82*30*(G38^1.5)</f>
        <v>0</v>
      </c>
      <c r="J38" s="0" t="n">
        <f aca="false">I38*60</f>
        <v>0</v>
      </c>
      <c r="K38" s="0" t="n">
        <f aca="false">(I38*86400)/24</f>
        <v>0</v>
      </c>
    </row>
    <row r="39" customFormat="false" ht="16.5" hidden="false" customHeight="false" outlineLevel="0" collapsed="false">
      <c r="A39" s="56" t="n">
        <v>45836.2916666667</v>
      </c>
      <c r="B39" s="57" t="n">
        <f aca="false">MOD(A39,1)</f>
        <v>0.291666666656965</v>
      </c>
      <c r="C39" s="0" t="n">
        <v>0</v>
      </c>
      <c r="D39" s="0" t="n">
        <v>489.514</v>
      </c>
      <c r="E39" s="0" t="n">
        <f aca="false">D39-0.155</f>
        <v>489.359</v>
      </c>
      <c r="F39" s="0" t="n">
        <v>489.545</v>
      </c>
      <c r="G39" s="0" t="n">
        <f aca="false">IF(E39 - F39 &lt; 0, 0, E39 - F39)</f>
        <v>0</v>
      </c>
      <c r="H39" s="0" t="n">
        <v>1.82</v>
      </c>
      <c r="I39" s="0" t="n">
        <f aca="false">1.82*30*(G39^1.5)</f>
        <v>0</v>
      </c>
      <c r="J39" s="0" t="n">
        <f aca="false">I39*60</f>
        <v>0</v>
      </c>
      <c r="K39" s="0" t="n">
        <f aca="false">(I39*86400)/24</f>
        <v>0</v>
      </c>
    </row>
    <row r="40" customFormat="false" ht="16.5" hidden="false" customHeight="false" outlineLevel="0" collapsed="false">
      <c r="A40" s="56" t="n">
        <v>45836.3333333333</v>
      </c>
      <c r="B40" s="57" t="n">
        <f aca="false">MOD(A40,1)</f>
        <v>0.333333333343035</v>
      </c>
      <c r="C40" s="0" t="n">
        <v>0</v>
      </c>
      <c r="D40" s="0" t="n">
        <v>489.514</v>
      </c>
      <c r="E40" s="0" t="n">
        <f aca="false">D40-0.155</f>
        <v>489.359</v>
      </c>
      <c r="F40" s="0" t="n">
        <v>489.545</v>
      </c>
      <c r="G40" s="0" t="n">
        <f aca="false">IF(E40 - F40 &lt; 0, 0, E40 - F40)</f>
        <v>0</v>
      </c>
      <c r="H40" s="0" t="n">
        <v>1.82</v>
      </c>
      <c r="I40" s="0" t="n">
        <f aca="false">1.82*30*(G40^1.5)</f>
        <v>0</v>
      </c>
      <c r="J40" s="0" t="n">
        <f aca="false">I40*60</f>
        <v>0</v>
      </c>
      <c r="K40" s="0" t="n">
        <f aca="false">(I40*86400)/24</f>
        <v>0</v>
      </c>
    </row>
    <row r="41" customFormat="false" ht="16.5" hidden="false" customHeight="false" outlineLevel="0" collapsed="false">
      <c r="A41" s="56" t="n">
        <v>45836.375</v>
      </c>
      <c r="B41" s="57" t="n">
        <f aca="false">MOD(A41,1)</f>
        <v>0.375</v>
      </c>
      <c r="C41" s="0" t="n">
        <v>0</v>
      </c>
      <c r="D41" s="0" t="n">
        <v>489.514</v>
      </c>
      <c r="E41" s="0" t="n">
        <f aca="false">D41-0.155</f>
        <v>489.359</v>
      </c>
      <c r="F41" s="0" t="n">
        <v>489.545</v>
      </c>
      <c r="G41" s="0" t="n">
        <f aca="false">IF(E41 - F41 &lt; 0, 0, E41 - F41)</f>
        <v>0</v>
      </c>
      <c r="H41" s="0" t="n">
        <v>1.82</v>
      </c>
      <c r="I41" s="0" t="n">
        <f aca="false">1.82*30*(G41^1.5)</f>
        <v>0</v>
      </c>
      <c r="J41" s="0" t="n">
        <f aca="false">I41*60</f>
        <v>0</v>
      </c>
      <c r="K41" s="0" t="n">
        <f aca="false">(I41*86400)/24</f>
        <v>0</v>
      </c>
    </row>
    <row r="42" customFormat="false" ht="16.5" hidden="false" customHeight="false" outlineLevel="0" collapsed="false">
      <c r="A42" s="56" t="n">
        <v>45836.4166666667</v>
      </c>
      <c r="B42" s="57" t="n">
        <f aca="false">MOD(A42,1)</f>
        <v>0.416666666656965</v>
      </c>
      <c r="C42" s="0" t="n">
        <v>0</v>
      </c>
      <c r="D42" s="0" t="n">
        <v>489.514</v>
      </c>
      <c r="E42" s="0" t="n">
        <f aca="false">D42-0.155</f>
        <v>489.359</v>
      </c>
      <c r="F42" s="0" t="n">
        <v>489.545</v>
      </c>
      <c r="G42" s="0" t="n">
        <f aca="false">IF(E42 - F42 &lt; 0, 0, E42 - F42)</f>
        <v>0</v>
      </c>
      <c r="H42" s="0" t="n">
        <v>1.82</v>
      </c>
      <c r="I42" s="0" t="n">
        <f aca="false">1.82*30*(G42^1.5)</f>
        <v>0</v>
      </c>
      <c r="J42" s="0" t="n">
        <f aca="false">I42*60</f>
        <v>0</v>
      </c>
      <c r="K42" s="0" t="n">
        <f aca="false">(I42*86400)/24</f>
        <v>0</v>
      </c>
    </row>
    <row r="43" customFormat="false" ht="16.5" hidden="false" customHeight="false" outlineLevel="0" collapsed="false">
      <c r="A43" s="56" t="n">
        <v>45836.4583333333</v>
      </c>
      <c r="B43" s="57" t="n">
        <f aca="false">MOD(A43,1)</f>
        <v>0.458333333343035</v>
      </c>
      <c r="C43" s="0" t="n">
        <v>0</v>
      </c>
      <c r="D43" s="0" t="n">
        <v>489.52002</v>
      </c>
      <c r="E43" s="0" t="n">
        <f aca="false">D43-0.155</f>
        <v>489.36502</v>
      </c>
      <c r="F43" s="0" t="n">
        <v>489.545</v>
      </c>
      <c r="G43" s="0" t="n">
        <f aca="false">IF(E43 - F43 &lt; 0, 0, E43 - F43)</f>
        <v>0</v>
      </c>
      <c r="H43" s="0" t="n">
        <v>1.82</v>
      </c>
      <c r="I43" s="0" t="n">
        <f aca="false">1.82*30*(G43^1.5)</f>
        <v>0</v>
      </c>
      <c r="J43" s="0" t="n">
        <f aca="false">I43*60</f>
        <v>0</v>
      </c>
      <c r="K43" s="0" t="n">
        <f aca="false">(I43*86400)/24</f>
        <v>0</v>
      </c>
    </row>
    <row r="44" customFormat="false" ht="16.5" hidden="false" customHeight="false" outlineLevel="0" collapsed="false">
      <c r="A44" s="56" t="n">
        <v>45836.5</v>
      </c>
      <c r="B44" s="57" t="n">
        <f aca="false">MOD(A44,1)</f>
        <v>0.5</v>
      </c>
      <c r="C44" s="0" t="n">
        <v>0</v>
      </c>
      <c r="D44" s="0" t="n">
        <v>489.513</v>
      </c>
      <c r="E44" s="0" t="n">
        <f aca="false">D44-0.155</f>
        <v>489.358</v>
      </c>
      <c r="F44" s="0" t="n">
        <v>489.545</v>
      </c>
      <c r="G44" s="0" t="n">
        <f aca="false">IF(E44 - F44 &lt; 0, 0, E44 - F44)</f>
        <v>0</v>
      </c>
      <c r="H44" s="0" t="n">
        <v>1.82</v>
      </c>
      <c r="I44" s="0" t="n">
        <f aca="false">1.82*30*(G44^1.5)</f>
        <v>0</v>
      </c>
      <c r="J44" s="0" t="n">
        <f aca="false">I44*60</f>
        <v>0</v>
      </c>
      <c r="K44" s="0" t="n">
        <f aca="false">(I44*86400)/24</f>
        <v>0</v>
      </c>
    </row>
    <row r="45" customFormat="false" ht="16.5" hidden="false" customHeight="false" outlineLevel="0" collapsed="false">
      <c r="A45" s="56" t="n">
        <v>45836.5416666667</v>
      </c>
      <c r="B45" s="57" t="n">
        <f aca="false">MOD(A45,1)</f>
        <v>0.541666666656965</v>
      </c>
      <c r="C45" s="0" t="n">
        <v>0</v>
      </c>
      <c r="D45" s="0" t="n">
        <v>489.514</v>
      </c>
      <c r="E45" s="0" t="n">
        <f aca="false">D45-0.155</f>
        <v>489.359</v>
      </c>
      <c r="F45" s="0" t="n">
        <v>489.545</v>
      </c>
      <c r="G45" s="0" t="n">
        <f aca="false">IF(E45 - F45 &lt; 0, 0, E45 - F45)</f>
        <v>0</v>
      </c>
      <c r="H45" s="0" t="n">
        <v>1.82</v>
      </c>
      <c r="I45" s="0" t="n">
        <f aca="false">1.82*30*(G45^1.5)</f>
        <v>0</v>
      </c>
      <c r="J45" s="0" t="n">
        <f aca="false">I45*60</f>
        <v>0</v>
      </c>
      <c r="K45" s="0" t="n">
        <f aca="false">(I45*86400)/24</f>
        <v>0</v>
      </c>
    </row>
    <row r="46" customFormat="false" ht="16.5" hidden="false" customHeight="false" outlineLevel="0" collapsed="false">
      <c r="A46" s="56" t="n">
        <v>45836.5833333333</v>
      </c>
      <c r="B46" s="57" t="n">
        <f aca="false">MOD(A46,1)</f>
        <v>0.583333333343035</v>
      </c>
      <c r="C46" s="0" t="n">
        <v>0</v>
      </c>
      <c r="D46" s="0" t="n">
        <v>489.52002</v>
      </c>
      <c r="E46" s="0" t="n">
        <f aca="false">D46-0.155</f>
        <v>489.36502</v>
      </c>
      <c r="F46" s="0" t="n">
        <v>489.545</v>
      </c>
      <c r="G46" s="0" t="n">
        <f aca="false">IF(E46 - F46 &lt; 0, 0, E46 - F46)</f>
        <v>0</v>
      </c>
      <c r="H46" s="0" t="n">
        <v>1.82</v>
      </c>
      <c r="I46" s="0" t="n">
        <f aca="false">1.82*30*(G46^1.5)</f>
        <v>0</v>
      </c>
      <c r="J46" s="0" t="n">
        <f aca="false">I46*60</f>
        <v>0</v>
      </c>
      <c r="K46" s="0" t="n">
        <f aca="false">(I46*86400)/24</f>
        <v>0</v>
      </c>
    </row>
    <row r="47" customFormat="false" ht="16.5" hidden="false" customHeight="false" outlineLevel="0" collapsed="false">
      <c r="A47" s="56" t="n">
        <v>45836.625</v>
      </c>
      <c r="B47" s="57" t="n">
        <f aca="false">MOD(A47,1)</f>
        <v>0.625</v>
      </c>
      <c r="C47" s="0" t="n">
        <v>0</v>
      </c>
      <c r="D47" s="0" t="n">
        <v>489.514</v>
      </c>
      <c r="E47" s="0" t="n">
        <f aca="false">D47-0.155</f>
        <v>489.359</v>
      </c>
      <c r="F47" s="0" t="n">
        <v>489.545</v>
      </c>
      <c r="G47" s="0" t="n">
        <f aca="false">IF(E47 - F47 &lt; 0, 0, E47 - F47)</f>
        <v>0</v>
      </c>
      <c r="H47" s="0" t="n">
        <v>1.82</v>
      </c>
      <c r="I47" s="0" t="n">
        <f aca="false">1.82*30*(G47^1.5)</f>
        <v>0</v>
      </c>
      <c r="J47" s="0" t="n">
        <f aca="false">I47*60</f>
        <v>0</v>
      </c>
      <c r="K47" s="0" t="n">
        <f aca="false">(I47*86400)/24</f>
        <v>0</v>
      </c>
    </row>
    <row r="48" customFormat="false" ht="16.5" hidden="false" customHeight="false" outlineLevel="0" collapsed="false">
      <c r="A48" s="56" t="n">
        <v>45836.6666666667</v>
      </c>
      <c r="B48" s="57" t="n">
        <f aca="false">MOD(A48,1)</f>
        <v>0.666666666656965</v>
      </c>
      <c r="C48" s="0" t="n">
        <v>0</v>
      </c>
      <c r="D48" s="0" t="n">
        <v>489.52002</v>
      </c>
      <c r="E48" s="0" t="n">
        <f aca="false">D48-0.155</f>
        <v>489.36502</v>
      </c>
      <c r="F48" s="0" t="n">
        <v>489.545</v>
      </c>
      <c r="G48" s="0" t="n">
        <f aca="false">IF(E48 - F48 &lt; 0, 0, E48 - F48)</f>
        <v>0</v>
      </c>
      <c r="H48" s="0" t="n">
        <v>1.82</v>
      </c>
      <c r="I48" s="0" t="n">
        <f aca="false">1.82*30*(G48^1.5)</f>
        <v>0</v>
      </c>
      <c r="J48" s="0" t="n">
        <f aca="false">I48*60</f>
        <v>0</v>
      </c>
      <c r="K48" s="0" t="n">
        <f aca="false">(I48*86400)/24</f>
        <v>0</v>
      </c>
    </row>
    <row r="49" customFormat="false" ht="16.5" hidden="false" customHeight="false" outlineLevel="0" collapsed="false">
      <c r="A49" s="56" t="n">
        <v>45836.7083333333</v>
      </c>
      <c r="B49" s="57" t="n">
        <f aca="false">MOD(A49,1)</f>
        <v>0.708333333343035</v>
      </c>
      <c r="C49" s="0" t="n">
        <v>0</v>
      </c>
      <c r="D49" s="0" t="n">
        <v>489.52002</v>
      </c>
      <c r="E49" s="0" t="n">
        <f aca="false">D49-0.155</f>
        <v>489.36502</v>
      </c>
      <c r="F49" s="0" t="n">
        <v>489.545</v>
      </c>
      <c r="G49" s="0" t="n">
        <f aca="false">IF(E49 - F49 &lt; 0, 0, E49 - F49)</f>
        <v>0</v>
      </c>
      <c r="H49" s="0" t="n">
        <v>1.82</v>
      </c>
      <c r="I49" s="0" t="n">
        <f aca="false">1.82*30*(G49^1.5)</f>
        <v>0</v>
      </c>
      <c r="J49" s="0" t="n">
        <f aca="false">I49*60</f>
        <v>0</v>
      </c>
      <c r="K49" s="0" t="n">
        <f aca="false">(I49*86400)/24</f>
        <v>0</v>
      </c>
    </row>
    <row r="50" customFormat="false" ht="16.5" hidden="false" customHeight="false" outlineLevel="0" collapsed="false">
      <c r="A50" s="56" t="n">
        <v>45836.75</v>
      </c>
      <c r="B50" s="57" t="n">
        <f aca="false">MOD(A50,1)</f>
        <v>0.75</v>
      </c>
      <c r="C50" s="0" t="n">
        <v>0</v>
      </c>
      <c r="D50" s="0" t="n">
        <v>489.52002</v>
      </c>
      <c r="E50" s="0" t="n">
        <f aca="false">D50-0.155</f>
        <v>489.36502</v>
      </c>
      <c r="F50" s="0" t="n">
        <v>489.545</v>
      </c>
      <c r="G50" s="0" t="n">
        <f aca="false">IF(E50 - F50 &lt; 0, 0, E50 - F50)</f>
        <v>0</v>
      </c>
      <c r="H50" s="0" t="n">
        <v>1.82</v>
      </c>
      <c r="I50" s="0" t="n">
        <f aca="false">1.82*30*(G50^1.5)</f>
        <v>0</v>
      </c>
      <c r="J50" s="0" t="n">
        <f aca="false">I50*60</f>
        <v>0</v>
      </c>
      <c r="K50" s="0" t="n">
        <f aca="false">(I50*86400)/24</f>
        <v>0</v>
      </c>
    </row>
    <row r="51" customFormat="false" ht="16.5" hidden="false" customHeight="false" outlineLevel="0" collapsed="false">
      <c r="A51" s="56" t="n">
        <v>45836.7916666667</v>
      </c>
      <c r="B51" s="57" t="n">
        <f aca="false">MOD(A51,1)</f>
        <v>0.791666666656965</v>
      </c>
      <c r="C51" s="0" t="n">
        <v>0</v>
      </c>
      <c r="D51" s="0" t="n">
        <v>489.52002</v>
      </c>
      <c r="E51" s="0" t="n">
        <f aca="false">D51-0.155</f>
        <v>489.36502</v>
      </c>
      <c r="F51" s="0" t="n">
        <v>489.545</v>
      </c>
      <c r="G51" s="0" t="n">
        <f aca="false">IF(E51 - F51 &lt; 0, 0, E51 - F51)</f>
        <v>0</v>
      </c>
      <c r="H51" s="0" t="n">
        <v>1.82</v>
      </c>
      <c r="I51" s="0" t="n">
        <f aca="false">1.82*30*(G51^1.5)</f>
        <v>0</v>
      </c>
      <c r="J51" s="0" t="n">
        <f aca="false">I51*60</f>
        <v>0</v>
      </c>
      <c r="K51" s="0" t="n">
        <f aca="false">(I51*86400)/24</f>
        <v>0</v>
      </c>
    </row>
    <row r="52" customFormat="false" ht="16.5" hidden="false" customHeight="false" outlineLevel="0" collapsed="false">
      <c r="A52" s="56" t="n">
        <v>45836.8333333333</v>
      </c>
      <c r="B52" s="57" t="n">
        <f aca="false">MOD(A52,1)</f>
        <v>0.833333333343035</v>
      </c>
      <c r="C52" s="0" t="n">
        <v>0</v>
      </c>
      <c r="D52" s="0" t="n">
        <v>489.52002</v>
      </c>
      <c r="E52" s="0" t="n">
        <f aca="false">D52-0.155</f>
        <v>489.36502</v>
      </c>
      <c r="F52" s="0" t="n">
        <v>489.545</v>
      </c>
      <c r="G52" s="0" t="n">
        <f aca="false">IF(E52 - F52 &lt; 0, 0, E52 - F52)</f>
        <v>0</v>
      </c>
      <c r="H52" s="0" t="n">
        <v>1.82</v>
      </c>
      <c r="I52" s="0" t="n">
        <f aca="false">1.82*30*(G52^1.5)</f>
        <v>0</v>
      </c>
      <c r="J52" s="0" t="n">
        <f aca="false">I52*60</f>
        <v>0</v>
      </c>
      <c r="K52" s="0" t="n">
        <f aca="false">(I52*86400)/24</f>
        <v>0</v>
      </c>
    </row>
    <row r="53" customFormat="false" ht="16.5" hidden="false" customHeight="false" outlineLevel="0" collapsed="false">
      <c r="A53" s="56" t="n">
        <v>45836.875</v>
      </c>
      <c r="B53" s="57" t="n">
        <f aca="false">MOD(A53,1)</f>
        <v>0.875</v>
      </c>
      <c r="C53" s="0" t="n">
        <v>0</v>
      </c>
      <c r="D53" s="0" t="n">
        <v>489.52002</v>
      </c>
      <c r="E53" s="0" t="n">
        <f aca="false">D53-0.155</f>
        <v>489.36502</v>
      </c>
      <c r="F53" s="0" t="n">
        <v>489.545</v>
      </c>
      <c r="G53" s="0" t="n">
        <f aca="false">IF(E53 - F53 &lt; 0, 0, E53 - F53)</f>
        <v>0</v>
      </c>
      <c r="H53" s="0" t="n">
        <v>1.82</v>
      </c>
      <c r="I53" s="0" t="n">
        <f aca="false">1.82*30*(G53^1.5)</f>
        <v>0</v>
      </c>
      <c r="J53" s="0" t="n">
        <f aca="false">I53*60</f>
        <v>0</v>
      </c>
      <c r="K53" s="0" t="n">
        <f aca="false">(I53*86400)/24</f>
        <v>0</v>
      </c>
    </row>
    <row r="54" customFormat="false" ht="16.5" hidden="false" customHeight="false" outlineLevel="0" collapsed="false">
      <c r="A54" s="56" t="n">
        <v>45836.9166666667</v>
      </c>
      <c r="B54" s="57" t="n">
        <f aca="false">MOD(A54,1)</f>
        <v>0.916666666656965</v>
      </c>
      <c r="C54" s="0" t="n">
        <v>0</v>
      </c>
      <c r="D54" s="0" t="n">
        <v>489.52002</v>
      </c>
      <c r="E54" s="0" t="n">
        <f aca="false">D54-0.155</f>
        <v>489.36502</v>
      </c>
      <c r="F54" s="0" t="n">
        <v>489.545</v>
      </c>
      <c r="G54" s="0" t="n">
        <f aca="false">IF(E54 - F54 &lt; 0, 0, E54 - F54)</f>
        <v>0</v>
      </c>
      <c r="H54" s="0" t="n">
        <v>1.82</v>
      </c>
      <c r="I54" s="0" t="n">
        <f aca="false">1.82*30*(G54^1.5)</f>
        <v>0</v>
      </c>
      <c r="J54" s="0" t="n">
        <f aca="false">I54*60</f>
        <v>0</v>
      </c>
      <c r="K54" s="0" t="n">
        <f aca="false">(I54*86400)/24</f>
        <v>0</v>
      </c>
    </row>
    <row r="55" customFormat="false" ht="16.5" hidden="false" customHeight="false" outlineLevel="0" collapsed="false">
      <c r="A55" s="56" t="n">
        <v>45836.9583333333</v>
      </c>
      <c r="B55" s="57" t="n">
        <f aca="false">MOD(A55,1)</f>
        <v>0.958333333343035</v>
      </c>
      <c r="C55" s="0" t="n">
        <v>0</v>
      </c>
      <c r="D55" s="0" t="n">
        <v>489.52002</v>
      </c>
      <c r="E55" s="0" t="n">
        <f aca="false">D55-0.155</f>
        <v>489.36502</v>
      </c>
      <c r="F55" s="0" t="n">
        <v>489.545</v>
      </c>
      <c r="G55" s="0" t="n">
        <f aca="false">IF(E55 - F55 &lt; 0, 0, E55 - F55)</f>
        <v>0</v>
      </c>
      <c r="H55" s="0" t="n">
        <v>1.82</v>
      </c>
      <c r="I55" s="0" t="n">
        <f aca="false">1.82*30*(G55^1.5)</f>
        <v>0</v>
      </c>
      <c r="J55" s="0" t="n">
        <f aca="false">I55*60</f>
        <v>0</v>
      </c>
      <c r="K55" s="0" t="n">
        <f aca="false">(I55*86400)/24</f>
        <v>0</v>
      </c>
    </row>
    <row r="56" customFormat="false" ht="16.5" hidden="false" customHeight="false" outlineLevel="0" collapsed="false">
      <c r="A56" s="56" t="n">
        <v>45837</v>
      </c>
      <c r="B56" s="57" t="n">
        <f aca="false">MOD(A56,1)</f>
        <v>0</v>
      </c>
      <c r="C56" s="0" t="n">
        <v>0</v>
      </c>
      <c r="D56" s="0" t="n">
        <v>489.52002</v>
      </c>
      <c r="E56" s="0" t="n">
        <f aca="false">D56-0.155</f>
        <v>489.36502</v>
      </c>
      <c r="F56" s="0" t="n">
        <v>489.545</v>
      </c>
      <c r="G56" s="0" t="n">
        <f aca="false">IF(E56 - F56 &lt; 0, 0, E56 - F56)</f>
        <v>0</v>
      </c>
      <c r="H56" s="0" t="n">
        <v>1.82</v>
      </c>
      <c r="I56" s="0" t="n">
        <f aca="false">1.82*30*(G56^1.5)</f>
        <v>0</v>
      </c>
      <c r="J56" s="0" t="n">
        <f aca="false">I56*60</f>
        <v>0</v>
      </c>
      <c r="K56" s="0" t="n">
        <f aca="false">(I56*86400)/24</f>
        <v>0</v>
      </c>
    </row>
    <row r="57" customFormat="false" ht="16.5" hidden="false" customHeight="false" outlineLevel="0" collapsed="false">
      <c r="A57" s="56" t="n">
        <v>45837.0416666667</v>
      </c>
      <c r="B57" s="57" t="n">
        <f aca="false">MOD(A57,1)</f>
        <v>0.0416666666569654</v>
      </c>
      <c r="C57" s="0" t="n">
        <v>0</v>
      </c>
      <c r="D57" s="0" t="n">
        <v>489.52103</v>
      </c>
      <c r="E57" s="0" t="n">
        <f aca="false">D57-0.155</f>
        <v>489.36603</v>
      </c>
      <c r="F57" s="0" t="n">
        <v>489.545</v>
      </c>
      <c r="G57" s="0" t="n">
        <f aca="false">IF(E57 - F57 &lt; 0, 0, E57 - F57)</f>
        <v>0</v>
      </c>
      <c r="H57" s="0" t="n">
        <v>1.82</v>
      </c>
      <c r="I57" s="0" t="n">
        <f aca="false">1.82*30*(G57^1.5)</f>
        <v>0</v>
      </c>
      <c r="J57" s="0" t="n">
        <f aca="false">I57*60</f>
        <v>0</v>
      </c>
      <c r="K57" s="0" t="n">
        <f aca="false">(I57*86400)/24</f>
        <v>0</v>
      </c>
    </row>
    <row r="58" customFormat="false" ht="16.5" hidden="false" customHeight="false" outlineLevel="0" collapsed="false">
      <c r="A58" s="56" t="n">
        <v>45837.0833333333</v>
      </c>
      <c r="B58" s="57" t="n">
        <f aca="false">MOD(A58,1)</f>
        <v>0.0833333333430346</v>
      </c>
      <c r="C58" s="0" t="n">
        <v>0</v>
      </c>
      <c r="D58" s="0" t="n">
        <v>489.52103</v>
      </c>
      <c r="E58" s="0" t="n">
        <f aca="false">D58-0.155</f>
        <v>489.36603</v>
      </c>
      <c r="F58" s="0" t="n">
        <v>489.545</v>
      </c>
      <c r="G58" s="0" t="n">
        <f aca="false">IF(E58 - F58 &lt; 0, 0, E58 - F58)</f>
        <v>0</v>
      </c>
      <c r="H58" s="0" t="n">
        <v>1.82</v>
      </c>
      <c r="I58" s="0" t="n">
        <f aca="false">1.82*30*(G58^1.5)</f>
        <v>0</v>
      </c>
      <c r="J58" s="0" t="n">
        <f aca="false">I58*60</f>
        <v>0</v>
      </c>
      <c r="K58" s="0" t="n">
        <f aca="false">(I58*86400)/24</f>
        <v>0</v>
      </c>
    </row>
    <row r="59" customFormat="false" ht="16.5" hidden="false" customHeight="false" outlineLevel="0" collapsed="false">
      <c r="A59" s="56" t="n">
        <v>45837.125</v>
      </c>
      <c r="B59" s="57" t="n">
        <f aca="false">MOD(A59,1)</f>
        <v>0.125</v>
      </c>
      <c r="C59" s="0" t="n">
        <v>0</v>
      </c>
      <c r="D59" s="0" t="n">
        <v>489.52002</v>
      </c>
      <c r="E59" s="0" t="n">
        <f aca="false">D59-0.155</f>
        <v>489.36502</v>
      </c>
      <c r="F59" s="0" t="n">
        <v>489.545</v>
      </c>
      <c r="G59" s="0" t="n">
        <f aca="false">IF(E59 - F59 &lt; 0, 0, E59 - F59)</f>
        <v>0</v>
      </c>
      <c r="H59" s="0" t="n">
        <v>1.82</v>
      </c>
      <c r="I59" s="0" t="n">
        <f aca="false">1.82*30*(G59^1.5)</f>
        <v>0</v>
      </c>
      <c r="J59" s="0" t="n">
        <f aca="false">I59*60</f>
        <v>0</v>
      </c>
      <c r="K59" s="0" t="n">
        <f aca="false">(I59*86400)/24</f>
        <v>0</v>
      </c>
    </row>
    <row r="60" customFormat="false" ht="16.5" hidden="false" customHeight="false" outlineLevel="0" collapsed="false">
      <c r="A60" s="56" t="n">
        <v>45837.1666666667</v>
      </c>
      <c r="B60" s="57" t="n">
        <f aca="false">MOD(A60,1)</f>
        <v>0.166666666656965</v>
      </c>
      <c r="C60" s="0" t="n">
        <v>0</v>
      </c>
      <c r="D60" s="0" t="n">
        <v>489.52103</v>
      </c>
      <c r="E60" s="0" t="n">
        <f aca="false">D60-0.155</f>
        <v>489.36603</v>
      </c>
      <c r="F60" s="0" t="n">
        <v>489.545</v>
      </c>
      <c r="G60" s="0" t="n">
        <f aca="false">IF(E60 - F60 &lt; 0, 0, E60 - F60)</f>
        <v>0</v>
      </c>
      <c r="H60" s="0" t="n">
        <v>1.82</v>
      </c>
      <c r="I60" s="0" t="n">
        <f aca="false">1.82*30*(G60^1.5)</f>
        <v>0</v>
      </c>
      <c r="J60" s="0" t="n">
        <f aca="false">I60*60</f>
        <v>0</v>
      </c>
      <c r="K60" s="0" t="n">
        <f aca="false">(I60*86400)/24</f>
        <v>0</v>
      </c>
    </row>
    <row r="61" customFormat="false" ht="16.5" hidden="false" customHeight="false" outlineLevel="0" collapsed="false">
      <c r="A61" s="56" t="n">
        <v>45837.2083333333</v>
      </c>
      <c r="B61" s="57" t="n">
        <f aca="false">MOD(A61,1)</f>
        <v>0.208333333343035</v>
      </c>
      <c r="C61" s="0" t="n">
        <v>0</v>
      </c>
      <c r="D61" s="0" t="n">
        <v>489.52002</v>
      </c>
      <c r="E61" s="0" t="n">
        <f aca="false">D61-0.155</f>
        <v>489.36502</v>
      </c>
      <c r="F61" s="0" t="n">
        <v>489.545</v>
      </c>
      <c r="G61" s="0" t="n">
        <f aca="false">IF(E61 - F61 &lt; 0, 0, E61 - F61)</f>
        <v>0</v>
      </c>
      <c r="H61" s="0" t="n">
        <v>1.82</v>
      </c>
      <c r="I61" s="0" t="n">
        <f aca="false">1.82*30*(G61^1.5)</f>
        <v>0</v>
      </c>
      <c r="J61" s="0" t="n">
        <f aca="false">I61*60</f>
        <v>0</v>
      </c>
      <c r="K61" s="0" t="n">
        <f aca="false">(I61*86400)/24</f>
        <v>0</v>
      </c>
    </row>
    <row r="62" customFormat="false" ht="16.5" hidden="false" customHeight="false" outlineLevel="0" collapsed="false">
      <c r="A62" s="56" t="n">
        <v>45837.25</v>
      </c>
      <c r="B62" s="57" t="n">
        <f aca="false">MOD(A62,1)</f>
        <v>0.25</v>
      </c>
      <c r="C62" s="0" t="n">
        <v>0</v>
      </c>
      <c r="D62" s="0" t="n">
        <v>489.52103</v>
      </c>
      <c r="E62" s="0" t="n">
        <f aca="false">D62-0.155</f>
        <v>489.36603</v>
      </c>
      <c r="F62" s="0" t="n">
        <v>489.545</v>
      </c>
      <c r="G62" s="0" t="n">
        <f aca="false">IF(E62 - F62 &lt; 0, 0, E62 - F62)</f>
        <v>0</v>
      </c>
      <c r="H62" s="0" t="n">
        <v>1.82</v>
      </c>
      <c r="I62" s="0" t="n">
        <f aca="false">1.82*30*(G62^1.5)</f>
        <v>0</v>
      </c>
      <c r="J62" s="0" t="n">
        <f aca="false">I62*60</f>
        <v>0</v>
      </c>
      <c r="K62" s="0" t="n">
        <f aca="false">(I62*86400)/24</f>
        <v>0</v>
      </c>
    </row>
    <row r="63" customFormat="false" ht="16.5" hidden="false" customHeight="false" outlineLevel="0" collapsed="false">
      <c r="A63" s="56" t="n">
        <v>45837.2916666667</v>
      </c>
      <c r="B63" s="57" t="n">
        <f aca="false">MOD(A63,1)</f>
        <v>0.291666666656965</v>
      </c>
      <c r="C63" s="0" t="n">
        <v>0</v>
      </c>
      <c r="D63" s="0" t="n">
        <v>489.52103</v>
      </c>
      <c r="E63" s="0" t="n">
        <f aca="false">D63-0.155</f>
        <v>489.36603</v>
      </c>
      <c r="F63" s="0" t="n">
        <v>489.545</v>
      </c>
      <c r="G63" s="0" t="n">
        <f aca="false">IF(E63 - F63 &lt; 0, 0, E63 - F63)</f>
        <v>0</v>
      </c>
      <c r="H63" s="0" t="n">
        <v>1.82</v>
      </c>
      <c r="I63" s="0" t="n">
        <f aca="false">1.82*30*(G63^1.5)</f>
        <v>0</v>
      </c>
      <c r="J63" s="0" t="n">
        <f aca="false">I63*60</f>
        <v>0</v>
      </c>
      <c r="K63" s="0" t="n">
        <f aca="false">(I63*86400)/24</f>
        <v>0</v>
      </c>
    </row>
    <row r="64" customFormat="false" ht="16.5" hidden="false" customHeight="false" outlineLevel="0" collapsed="false">
      <c r="A64" s="56" t="n">
        <v>45837.3333333333</v>
      </c>
      <c r="B64" s="57" t="n">
        <f aca="false">MOD(A64,1)</f>
        <v>0.333333333343035</v>
      </c>
      <c r="C64" s="0" t="n">
        <v>0</v>
      </c>
      <c r="D64" s="0" t="n">
        <v>489.52002</v>
      </c>
      <c r="E64" s="0" t="n">
        <f aca="false">D64-0.155</f>
        <v>489.36502</v>
      </c>
      <c r="F64" s="0" t="n">
        <v>489.545</v>
      </c>
      <c r="G64" s="0" t="n">
        <f aca="false">IF(E64 - F64 &lt; 0, 0, E64 - F64)</f>
        <v>0</v>
      </c>
      <c r="H64" s="0" t="n">
        <v>1.82</v>
      </c>
      <c r="I64" s="0" t="n">
        <f aca="false">1.82*30*(G64^1.5)</f>
        <v>0</v>
      </c>
      <c r="J64" s="0" t="n">
        <f aca="false">I64*60</f>
        <v>0</v>
      </c>
      <c r="K64" s="0" t="n">
        <f aca="false">(I64*86400)/24</f>
        <v>0</v>
      </c>
    </row>
    <row r="65" customFormat="false" ht="16.5" hidden="false" customHeight="false" outlineLevel="0" collapsed="false">
      <c r="A65" s="56" t="n">
        <v>45837.375</v>
      </c>
      <c r="B65" s="57" t="n">
        <f aca="false">MOD(A65,1)</f>
        <v>0.375</v>
      </c>
      <c r="C65" s="0" t="n">
        <v>0</v>
      </c>
      <c r="D65" s="0" t="n">
        <v>489.52002</v>
      </c>
      <c r="E65" s="0" t="n">
        <f aca="false">D65-0.155</f>
        <v>489.36502</v>
      </c>
      <c r="F65" s="0" t="n">
        <v>489.545</v>
      </c>
      <c r="G65" s="0" t="n">
        <f aca="false">IF(E65 - F65 &lt; 0, 0, E65 - F65)</f>
        <v>0</v>
      </c>
      <c r="H65" s="0" t="n">
        <v>1.82</v>
      </c>
      <c r="I65" s="0" t="n">
        <f aca="false">1.82*30*(G65^1.5)</f>
        <v>0</v>
      </c>
      <c r="J65" s="0" t="n">
        <f aca="false">I65*60</f>
        <v>0</v>
      </c>
      <c r="K65" s="0" t="n">
        <f aca="false">(I65*86400)/24</f>
        <v>0</v>
      </c>
    </row>
    <row r="66" customFormat="false" ht="16.5" hidden="false" customHeight="false" outlineLevel="0" collapsed="false">
      <c r="A66" s="56" t="n">
        <v>45837.4166666667</v>
      </c>
      <c r="B66" s="57" t="n">
        <f aca="false">MOD(A66,1)</f>
        <v>0.416666666656965</v>
      </c>
      <c r="C66" s="0" t="n">
        <v>0</v>
      </c>
      <c r="D66" s="0" t="n">
        <v>489.52002</v>
      </c>
      <c r="E66" s="0" t="n">
        <f aca="false">D66-0.155</f>
        <v>489.36502</v>
      </c>
      <c r="F66" s="0" t="n">
        <v>489.545</v>
      </c>
      <c r="G66" s="0" t="n">
        <f aca="false">IF(E66 - F66 &lt; 0, 0, E66 - F66)</f>
        <v>0</v>
      </c>
      <c r="H66" s="0" t="n">
        <v>1.82</v>
      </c>
      <c r="I66" s="0" t="n">
        <f aca="false">1.82*30*(G66^1.5)</f>
        <v>0</v>
      </c>
      <c r="J66" s="0" t="n">
        <f aca="false">I66*60</f>
        <v>0</v>
      </c>
      <c r="K66" s="0" t="n">
        <f aca="false">(I66*86400)/24</f>
        <v>0</v>
      </c>
    </row>
    <row r="67" customFormat="false" ht="16.5" hidden="false" customHeight="false" outlineLevel="0" collapsed="false">
      <c r="A67" s="56" t="n">
        <v>45837.4583333333</v>
      </c>
      <c r="B67" s="57" t="n">
        <f aca="false">MOD(A67,1)</f>
        <v>0.458333333343035</v>
      </c>
      <c r="C67" s="0" t="n">
        <v>0</v>
      </c>
      <c r="D67" s="0" t="n">
        <v>489.526</v>
      </c>
      <c r="E67" s="0" t="n">
        <f aca="false">D67-0.155</f>
        <v>489.371</v>
      </c>
      <c r="F67" s="0" t="n">
        <v>489.545</v>
      </c>
      <c r="G67" s="0" t="n">
        <f aca="false">IF(E67 - F67 &lt; 0, 0, E67 - F67)</f>
        <v>0</v>
      </c>
      <c r="H67" s="0" t="n">
        <v>1.82</v>
      </c>
      <c r="I67" s="0" t="n">
        <f aca="false">1.82*30*(G67^1.5)</f>
        <v>0</v>
      </c>
      <c r="J67" s="0" t="n">
        <f aca="false">I67*60</f>
        <v>0</v>
      </c>
      <c r="K67" s="0" t="n">
        <f aca="false">(I67*86400)/24</f>
        <v>0</v>
      </c>
    </row>
    <row r="68" customFormat="false" ht="16.5" hidden="false" customHeight="false" outlineLevel="0" collapsed="false">
      <c r="A68" s="56" t="n">
        <v>45837.5</v>
      </c>
      <c r="B68" s="57" t="n">
        <f aca="false">MOD(A68,1)</f>
        <v>0.5</v>
      </c>
      <c r="C68" s="0" t="n">
        <v>0</v>
      </c>
      <c r="D68" s="0" t="n">
        <v>489.52002</v>
      </c>
      <c r="E68" s="0" t="n">
        <f aca="false">D68-0.155</f>
        <v>489.36502</v>
      </c>
      <c r="F68" s="0" t="n">
        <v>489.545</v>
      </c>
      <c r="G68" s="0" t="n">
        <f aca="false">IF(E68 - F68 &lt; 0, 0, E68 - F68)</f>
        <v>0</v>
      </c>
      <c r="H68" s="0" t="n">
        <v>1.82</v>
      </c>
      <c r="I68" s="0" t="n">
        <f aca="false">1.82*30*(G68^1.5)</f>
        <v>0</v>
      </c>
      <c r="J68" s="0" t="n">
        <f aca="false">I68*60</f>
        <v>0</v>
      </c>
      <c r="K68" s="0" t="n">
        <f aca="false">(I68*86400)/24</f>
        <v>0</v>
      </c>
    </row>
    <row r="69" customFormat="false" ht="16.5" hidden="false" customHeight="false" outlineLevel="0" collapsed="false">
      <c r="A69" s="56" t="n">
        <v>45837.5416666667</v>
      </c>
      <c r="B69" s="57" t="n">
        <f aca="false">MOD(A69,1)</f>
        <v>0.541666666656965</v>
      </c>
      <c r="C69" s="0" t="n">
        <v>0</v>
      </c>
      <c r="D69" s="0" t="n">
        <v>489.52002</v>
      </c>
      <c r="E69" s="0" t="n">
        <f aca="false">D69-0.155</f>
        <v>489.36502</v>
      </c>
      <c r="F69" s="0" t="n">
        <v>489.545</v>
      </c>
      <c r="G69" s="0" t="n">
        <f aca="false">IF(E69 - F69 &lt; 0, 0, E69 - F69)</f>
        <v>0</v>
      </c>
      <c r="H69" s="0" t="n">
        <v>1.82</v>
      </c>
      <c r="I69" s="0" t="n">
        <f aca="false">1.82*30*(G69^1.5)</f>
        <v>0</v>
      </c>
      <c r="J69" s="0" t="n">
        <f aca="false">I69*60</f>
        <v>0</v>
      </c>
      <c r="K69" s="0" t="n">
        <f aca="false">(I69*86400)/24</f>
        <v>0</v>
      </c>
    </row>
    <row r="70" customFormat="false" ht="16.5" hidden="false" customHeight="false" outlineLevel="0" collapsed="false">
      <c r="A70" s="56" t="n">
        <v>45837.5833333333</v>
      </c>
      <c r="B70" s="57" t="n">
        <f aca="false">MOD(A70,1)</f>
        <v>0.583333333343035</v>
      </c>
      <c r="C70" s="0" t="n">
        <v>0</v>
      </c>
      <c r="D70" s="0" t="n">
        <v>489.52002</v>
      </c>
      <c r="E70" s="0" t="n">
        <f aca="false">D70-0.155</f>
        <v>489.36502</v>
      </c>
      <c r="F70" s="0" t="n">
        <v>489.545</v>
      </c>
      <c r="G70" s="0" t="n">
        <f aca="false">IF(E70 - F70 &lt; 0, 0, E70 - F70)</f>
        <v>0</v>
      </c>
      <c r="H70" s="0" t="n">
        <v>1.82</v>
      </c>
      <c r="I70" s="0" t="n">
        <f aca="false">1.82*30*(G70^1.5)</f>
        <v>0</v>
      </c>
      <c r="J70" s="0" t="n">
        <f aca="false">I70*60</f>
        <v>0</v>
      </c>
      <c r="K70" s="0" t="n">
        <f aca="false">(I70*86400)/24</f>
        <v>0</v>
      </c>
    </row>
    <row r="71" customFormat="false" ht="16.5" hidden="false" customHeight="false" outlineLevel="0" collapsed="false">
      <c r="A71" s="56" t="n">
        <v>45837.625</v>
      </c>
      <c r="B71" s="57" t="n">
        <f aca="false">MOD(A71,1)</f>
        <v>0.625</v>
      </c>
      <c r="C71" s="0" t="n">
        <v>0</v>
      </c>
      <c r="D71" s="0" t="n">
        <v>489.52002</v>
      </c>
      <c r="E71" s="0" t="n">
        <f aca="false">D71-0.155</f>
        <v>489.36502</v>
      </c>
      <c r="F71" s="0" t="n">
        <v>489.545</v>
      </c>
      <c r="G71" s="0" t="n">
        <f aca="false">IF(E71 - F71 &lt; 0, 0, E71 - F71)</f>
        <v>0</v>
      </c>
      <c r="H71" s="0" t="n">
        <v>1.82</v>
      </c>
      <c r="I71" s="0" t="n">
        <f aca="false">1.82*30*(G71^1.5)</f>
        <v>0</v>
      </c>
      <c r="J71" s="0" t="n">
        <f aca="false">I71*60</f>
        <v>0</v>
      </c>
      <c r="K71" s="0" t="n">
        <f aca="false">(I71*86400)/24</f>
        <v>0</v>
      </c>
    </row>
    <row r="72" customFormat="false" ht="16.5" hidden="false" customHeight="false" outlineLevel="0" collapsed="false">
      <c r="A72" s="56" t="n">
        <v>45837.6666666667</v>
      </c>
      <c r="B72" s="57" t="n">
        <f aca="false">MOD(A72,1)</f>
        <v>0.666666666656965</v>
      </c>
      <c r="C72" s="0" t="n">
        <v>0</v>
      </c>
      <c r="D72" s="0" t="n">
        <v>489.52002</v>
      </c>
      <c r="E72" s="0" t="n">
        <f aca="false">D72-0.155</f>
        <v>489.36502</v>
      </c>
      <c r="F72" s="0" t="n">
        <v>489.545</v>
      </c>
      <c r="G72" s="0" t="n">
        <f aca="false">IF(E72 - F72 &lt; 0, 0, E72 - F72)</f>
        <v>0</v>
      </c>
      <c r="H72" s="0" t="n">
        <v>1.82</v>
      </c>
      <c r="I72" s="0" t="n">
        <f aca="false">1.82*30*(G72^1.5)</f>
        <v>0</v>
      </c>
      <c r="J72" s="0" t="n">
        <f aca="false">I72*60</f>
        <v>0</v>
      </c>
      <c r="K72" s="0" t="n">
        <f aca="false">(I72*86400)/24</f>
        <v>0</v>
      </c>
    </row>
    <row r="73" customFormat="false" ht="16.5" hidden="false" customHeight="false" outlineLevel="0" collapsed="false">
      <c r="A73" s="56" t="n">
        <v>45837.7083333333</v>
      </c>
      <c r="B73" s="57" t="n">
        <f aca="false">MOD(A73,1)</f>
        <v>0.708333333343035</v>
      </c>
      <c r="C73" s="0" t="n">
        <v>0</v>
      </c>
      <c r="D73" s="0" t="n">
        <v>489.52002</v>
      </c>
      <c r="E73" s="0" t="n">
        <f aca="false">D73-0.155</f>
        <v>489.36502</v>
      </c>
      <c r="F73" s="0" t="n">
        <v>489.545</v>
      </c>
      <c r="G73" s="0" t="n">
        <f aca="false">IF(E73 - F73 &lt; 0, 0, E73 - F73)</f>
        <v>0</v>
      </c>
      <c r="H73" s="0" t="n">
        <v>1.82</v>
      </c>
      <c r="I73" s="0" t="n">
        <f aca="false">1.82*30*(G73^1.5)</f>
        <v>0</v>
      </c>
      <c r="J73" s="0" t="n">
        <f aca="false">I73*60</f>
        <v>0</v>
      </c>
      <c r="K73" s="0" t="n">
        <f aca="false">(I73*86400)/24</f>
        <v>0</v>
      </c>
    </row>
    <row r="74" customFormat="false" ht="16.5" hidden="false" customHeight="false" outlineLevel="0" collapsed="false">
      <c r="A74" s="56" t="n">
        <v>45837.75</v>
      </c>
      <c r="B74" s="57" t="n">
        <f aca="false">MOD(A74,1)</f>
        <v>0.75</v>
      </c>
      <c r="C74" s="0" t="n">
        <v>0</v>
      </c>
      <c r="D74" s="0" t="n">
        <v>489.52002</v>
      </c>
      <c r="E74" s="0" t="n">
        <f aca="false">D74-0.155</f>
        <v>489.36502</v>
      </c>
      <c r="F74" s="0" t="n">
        <v>489.545</v>
      </c>
      <c r="G74" s="0" t="n">
        <f aca="false">IF(E74 - F74 &lt; 0, 0, E74 - F74)</f>
        <v>0</v>
      </c>
      <c r="H74" s="0" t="n">
        <v>1.82</v>
      </c>
      <c r="I74" s="0" t="n">
        <f aca="false">1.82*30*(G74^1.5)</f>
        <v>0</v>
      </c>
      <c r="J74" s="0" t="n">
        <f aca="false">I74*60</f>
        <v>0</v>
      </c>
      <c r="K74" s="0" t="n">
        <f aca="false">(I74*86400)/24</f>
        <v>0</v>
      </c>
    </row>
    <row r="75" customFormat="false" ht="16.5" hidden="false" customHeight="false" outlineLevel="0" collapsed="false">
      <c r="A75" s="56" t="n">
        <v>45837.7916666667</v>
      </c>
      <c r="B75" s="57" t="n">
        <f aca="false">MOD(A75,1)</f>
        <v>0.791666666656965</v>
      </c>
      <c r="C75" s="0" t="n">
        <v>0</v>
      </c>
      <c r="D75" s="0" t="n">
        <v>489.52002</v>
      </c>
      <c r="E75" s="0" t="n">
        <f aca="false">D75-0.155</f>
        <v>489.36502</v>
      </c>
      <c r="F75" s="0" t="n">
        <v>489.545</v>
      </c>
      <c r="G75" s="0" t="n">
        <f aca="false">IF(E75 - F75 &lt; 0, 0, E75 - F75)</f>
        <v>0</v>
      </c>
      <c r="H75" s="0" t="n">
        <v>1.82</v>
      </c>
      <c r="I75" s="0" t="n">
        <f aca="false">1.82*30*(G75^1.5)</f>
        <v>0</v>
      </c>
      <c r="J75" s="0" t="n">
        <f aca="false">I75*60</f>
        <v>0</v>
      </c>
      <c r="K75" s="0" t="n">
        <f aca="false">(I75*86400)/24</f>
        <v>0</v>
      </c>
    </row>
    <row r="76" customFormat="false" ht="16.5" hidden="false" customHeight="false" outlineLevel="0" collapsed="false">
      <c r="A76" s="56" t="n">
        <v>45837.8333333333</v>
      </c>
      <c r="B76" s="57" t="n">
        <f aca="false">MOD(A76,1)</f>
        <v>0.833333333343035</v>
      </c>
      <c r="C76" s="0" t="n">
        <v>0</v>
      </c>
      <c r="D76" s="0" t="n">
        <v>489.52002</v>
      </c>
      <c r="E76" s="0" t="n">
        <f aca="false">D76-0.155</f>
        <v>489.36502</v>
      </c>
      <c r="F76" s="0" t="n">
        <v>489.545</v>
      </c>
      <c r="G76" s="0" t="n">
        <f aca="false">IF(E76 - F76 &lt; 0, 0, E76 - F76)</f>
        <v>0</v>
      </c>
      <c r="H76" s="0" t="n">
        <v>1.82</v>
      </c>
      <c r="I76" s="0" t="n">
        <f aca="false">1.82*30*(G76^1.5)</f>
        <v>0</v>
      </c>
      <c r="J76" s="0" t="n">
        <f aca="false">I76*60</f>
        <v>0</v>
      </c>
      <c r="K76" s="0" t="n">
        <f aca="false">(I76*86400)/24</f>
        <v>0</v>
      </c>
    </row>
    <row r="77" customFormat="false" ht="16.5" hidden="false" customHeight="false" outlineLevel="0" collapsed="false">
      <c r="A77" s="56" t="n">
        <v>45837.875</v>
      </c>
      <c r="B77" s="57" t="n">
        <f aca="false">MOD(A77,1)</f>
        <v>0.875</v>
      </c>
      <c r="C77" s="0" t="n">
        <v>0</v>
      </c>
      <c r="D77" s="0" t="n">
        <v>489.527</v>
      </c>
      <c r="E77" s="0" t="n">
        <f aca="false">D77-0.155</f>
        <v>489.372</v>
      </c>
      <c r="F77" s="0" t="n">
        <v>489.545</v>
      </c>
      <c r="G77" s="0" t="n">
        <f aca="false">IF(E77 - F77 &lt; 0, 0, E77 - F77)</f>
        <v>0</v>
      </c>
      <c r="H77" s="0" t="n">
        <v>1.82</v>
      </c>
      <c r="I77" s="0" t="n">
        <f aca="false">1.82*30*(G77^1.5)</f>
        <v>0</v>
      </c>
      <c r="J77" s="0" t="n">
        <f aca="false">I77*60</f>
        <v>0</v>
      </c>
      <c r="K77" s="0" t="n">
        <f aca="false">(I77*86400)/24</f>
        <v>0</v>
      </c>
    </row>
    <row r="78" customFormat="false" ht="16.5" hidden="false" customHeight="false" outlineLevel="0" collapsed="false">
      <c r="A78" s="56" t="n">
        <v>45837.9166666667</v>
      </c>
      <c r="B78" s="57" t="n">
        <f aca="false">MOD(A78,1)</f>
        <v>0.916666666656965</v>
      </c>
      <c r="C78" s="0" t="n">
        <v>0</v>
      </c>
      <c r="D78" s="0" t="n">
        <v>489.52002</v>
      </c>
      <c r="E78" s="0" t="n">
        <f aca="false">D78-0.155</f>
        <v>489.36502</v>
      </c>
      <c r="F78" s="0" t="n">
        <v>489.545</v>
      </c>
      <c r="G78" s="0" t="n">
        <f aca="false">IF(E78 - F78 &lt; 0, 0, E78 - F78)</f>
        <v>0</v>
      </c>
      <c r="H78" s="0" t="n">
        <v>1.82</v>
      </c>
      <c r="I78" s="0" t="n">
        <f aca="false">1.82*30*(G78^1.5)</f>
        <v>0</v>
      </c>
      <c r="J78" s="0" t="n">
        <f aca="false">I78*60</f>
        <v>0</v>
      </c>
      <c r="K78" s="0" t="n">
        <f aca="false">(I78*86400)/24</f>
        <v>0</v>
      </c>
    </row>
    <row r="79" customFormat="false" ht="16.5" hidden="false" customHeight="false" outlineLevel="0" collapsed="false">
      <c r="A79" s="56" t="n">
        <v>45837.9583333333</v>
      </c>
      <c r="B79" s="57" t="n">
        <f aca="false">MOD(A79,1)</f>
        <v>0.958333333343035</v>
      </c>
      <c r="C79" s="0" t="n">
        <v>0</v>
      </c>
      <c r="D79" s="0" t="n">
        <v>489.52002</v>
      </c>
      <c r="E79" s="0" t="n">
        <f aca="false">D79-0.155</f>
        <v>489.36502</v>
      </c>
      <c r="F79" s="0" t="n">
        <v>489.545</v>
      </c>
      <c r="G79" s="0" t="n">
        <f aca="false">IF(E79 - F79 &lt; 0, 0, E79 - F79)</f>
        <v>0</v>
      </c>
      <c r="H79" s="0" t="n">
        <v>1.82</v>
      </c>
      <c r="I79" s="0" t="n">
        <f aca="false">1.82*30*(G79^1.5)</f>
        <v>0</v>
      </c>
      <c r="J79" s="0" t="n">
        <f aca="false">I79*60</f>
        <v>0</v>
      </c>
      <c r="K79" s="0" t="n">
        <f aca="false">(I79*86400)/24</f>
        <v>0</v>
      </c>
    </row>
    <row r="80" customFormat="false" ht="16.5" hidden="false" customHeight="false" outlineLevel="0" collapsed="false">
      <c r="A80" s="56" t="n">
        <v>45838</v>
      </c>
      <c r="B80" s="57" t="n">
        <f aca="false">MOD(A80,1)</f>
        <v>0</v>
      </c>
      <c r="C80" s="0" t="n">
        <v>0</v>
      </c>
      <c r="D80" s="0" t="n">
        <v>489.52002</v>
      </c>
      <c r="E80" s="0" t="n">
        <f aca="false">D80-0.155</f>
        <v>489.36502</v>
      </c>
      <c r="F80" s="0" t="n">
        <v>489.545</v>
      </c>
      <c r="G80" s="0" t="n">
        <f aca="false">IF(E80 - F80 &lt; 0, 0, E80 - F80)</f>
        <v>0</v>
      </c>
      <c r="H80" s="0" t="n">
        <v>1.82</v>
      </c>
      <c r="I80" s="0" t="n">
        <f aca="false">1.82*30*(G80^1.5)</f>
        <v>0</v>
      </c>
      <c r="J80" s="0" t="n">
        <f aca="false">I80*60</f>
        <v>0</v>
      </c>
      <c r="K80" s="0" t="n">
        <f aca="false">(I80*86400)/24</f>
        <v>0</v>
      </c>
    </row>
    <row r="81" customFormat="false" ht="16.5" hidden="false" customHeight="false" outlineLevel="0" collapsed="false">
      <c r="A81" s="56" t="n">
        <v>45838.0416666667</v>
      </c>
      <c r="B81" s="57" t="n">
        <f aca="false">MOD(A81,1)</f>
        <v>0.0416666666569654</v>
      </c>
      <c r="C81" s="0" t="n">
        <v>0</v>
      </c>
      <c r="D81" s="0" t="n">
        <v>489.52002</v>
      </c>
      <c r="E81" s="0" t="n">
        <f aca="false">D81-0.155</f>
        <v>489.36502</v>
      </c>
      <c r="F81" s="0" t="n">
        <v>489.545</v>
      </c>
      <c r="G81" s="0" t="n">
        <f aca="false">IF(E81 - F81 &lt; 0, 0, E81 - F81)</f>
        <v>0</v>
      </c>
      <c r="H81" s="0" t="n">
        <v>1.82</v>
      </c>
      <c r="I81" s="0" t="n">
        <f aca="false">1.82*30*(G81^1.5)</f>
        <v>0</v>
      </c>
      <c r="J81" s="0" t="n">
        <f aca="false">I81*60</f>
        <v>0</v>
      </c>
      <c r="K81" s="0" t="n">
        <f aca="false">(I81*86400)/24</f>
        <v>0</v>
      </c>
    </row>
    <row r="82" customFormat="false" ht="16.5" hidden="false" customHeight="false" outlineLevel="0" collapsed="false">
      <c r="A82" s="56" t="n">
        <v>45838.0833333333</v>
      </c>
      <c r="B82" s="57" t="n">
        <f aca="false">MOD(A82,1)</f>
        <v>0.0833333333430346</v>
      </c>
      <c r="C82" s="0" t="n">
        <v>0</v>
      </c>
      <c r="D82" s="0" t="n">
        <v>489.52002</v>
      </c>
      <c r="E82" s="0" t="n">
        <f aca="false">D82-0.155</f>
        <v>489.36502</v>
      </c>
      <c r="F82" s="0" t="n">
        <v>489.545</v>
      </c>
      <c r="G82" s="0" t="n">
        <f aca="false">IF(E82 - F82 &lt; 0, 0, E82 - F82)</f>
        <v>0</v>
      </c>
      <c r="H82" s="0" t="n">
        <v>1.82</v>
      </c>
      <c r="I82" s="0" t="n">
        <f aca="false">1.82*30*(G82^1.5)</f>
        <v>0</v>
      </c>
      <c r="J82" s="0" t="n">
        <f aca="false">I82*60</f>
        <v>0</v>
      </c>
      <c r="K82" s="0" t="n">
        <f aca="false">(I82*86400)/24</f>
        <v>0</v>
      </c>
    </row>
    <row r="83" customFormat="false" ht="16.5" hidden="false" customHeight="false" outlineLevel="0" collapsed="false">
      <c r="A83" s="56" t="n">
        <v>45838.125</v>
      </c>
      <c r="B83" s="57" t="n">
        <f aca="false">MOD(A83,1)</f>
        <v>0.125</v>
      </c>
      <c r="C83" s="0" t="n">
        <v>0</v>
      </c>
      <c r="D83" s="0" t="n">
        <v>489.52002</v>
      </c>
      <c r="E83" s="0" t="n">
        <f aca="false">D83-0.155</f>
        <v>489.36502</v>
      </c>
      <c r="F83" s="0" t="n">
        <v>489.545</v>
      </c>
      <c r="G83" s="0" t="n">
        <f aca="false">IF(E83 - F83 &lt; 0, 0, E83 - F83)</f>
        <v>0</v>
      </c>
      <c r="H83" s="0" t="n">
        <v>1.82</v>
      </c>
      <c r="I83" s="0" t="n">
        <f aca="false">1.82*30*(G83^1.5)</f>
        <v>0</v>
      </c>
      <c r="J83" s="0" t="n">
        <f aca="false">I83*60</f>
        <v>0</v>
      </c>
      <c r="K83" s="0" t="n">
        <f aca="false">(I83*86400)/24</f>
        <v>0</v>
      </c>
    </row>
    <row r="84" customFormat="false" ht="16.5" hidden="false" customHeight="false" outlineLevel="0" collapsed="false">
      <c r="A84" s="56" t="n">
        <v>45838.1666666667</v>
      </c>
      <c r="B84" s="57" t="n">
        <f aca="false">MOD(A84,1)</f>
        <v>0.166666666656965</v>
      </c>
      <c r="C84" s="0" t="n">
        <v>0</v>
      </c>
      <c r="D84" s="0" t="n">
        <v>489.52002</v>
      </c>
      <c r="E84" s="0" t="n">
        <f aca="false">D84-0.155</f>
        <v>489.36502</v>
      </c>
      <c r="F84" s="0" t="n">
        <v>489.545</v>
      </c>
      <c r="G84" s="0" t="n">
        <f aca="false">IF(E84 - F84 &lt; 0, 0, E84 - F84)</f>
        <v>0</v>
      </c>
      <c r="H84" s="0" t="n">
        <v>1.82</v>
      </c>
      <c r="I84" s="0" t="n">
        <f aca="false">1.82*30*(G84^1.5)</f>
        <v>0</v>
      </c>
      <c r="J84" s="0" t="n">
        <f aca="false">I84*60</f>
        <v>0</v>
      </c>
      <c r="K84" s="0" t="n">
        <f aca="false">(I84*86400)/24</f>
        <v>0</v>
      </c>
    </row>
    <row r="85" customFormat="false" ht="16.5" hidden="false" customHeight="false" outlineLevel="0" collapsed="false">
      <c r="A85" s="56" t="n">
        <v>45838.2083333333</v>
      </c>
      <c r="B85" s="57" t="n">
        <f aca="false">MOD(A85,1)</f>
        <v>0.208333333343035</v>
      </c>
      <c r="C85" s="0" t="n">
        <v>0</v>
      </c>
      <c r="D85" s="0" t="n">
        <v>489.52002</v>
      </c>
      <c r="E85" s="0" t="n">
        <f aca="false">D85-0.155</f>
        <v>489.36502</v>
      </c>
      <c r="F85" s="0" t="n">
        <v>489.545</v>
      </c>
      <c r="G85" s="0" t="n">
        <f aca="false">IF(E85 - F85 &lt; 0, 0, E85 - F85)</f>
        <v>0</v>
      </c>
      <c r="H85" s="0" t="n">
        <v>1.82</v>
      </c>
      <c r="I85" s="0" t="n">
        <f aca="false">1.82*30*(G85^1.5)</f>
        <v>0</v>
      </c>
      <c r="J85" s="0" t="n">
        <f aca="false">I85*60</f>
        <v>0</v>
      </c>
      <c r="K85" s="0" t="n">
        <f aca="false">(I85*86400)/24</f>
        <v>0</v>
      </c>
    </row>
    <row r="86" customFormat="false" ht="16.5" hidden="false" customHeight="false" outlineLevel="0" collapsed="false">
      <c r="A86" s="56" t="n">
        <v>45838.25</v>
      </c>
      <c r="B86" s="57" t="n">
        <f aca="false">MOD(A86,1)</f>
        <v>0.25</v>
      </c>
      <c r="C86" s="0" t="n">
        <v>0</v>
      </c>
      <c r="D86" s="0" t="n">
        <v>489.527</v>
      </c>
      <c r="E86" s="0" t="n">
        <f aca="false">D86-0.155</f>
        <v>489.372</v>
      </c>
      <c r="F86" s="0" t="n">
        <v>489.545</v>
      </c>
      <c r="G86" s="0" t="n">
        <f aca="false">IF(E86 - F86 &lt; 0, 0, E86 - F86)</f>
        <v>0</v>
      </c>
      <c r="H86" s="0" t="n">
        <v>1.82</v>
      </c>
      <c r="I86" s="0" t="n">
        <f aca="false">1.82*30*(G86^1.5)</f>
        <v>0</v>
      </c>
      <c r="J86" s="0" t="n">
        <f aca="false">I86*60</f>
        <v>0</v>
      </c>
      <c r="K86" s="0" t="n">
        <f aca="false">(I86*86400)/24</f>
        <v>0</v>
      </c>
    </row>
    <row r="87" customFormat="false" ht="16.5" hidden="false" customHeight="false" outlineLevel="0" collapsed="false">
      <c r="A87" s="56" t="n">
        <v>45838.2916666667</v>
      </c>
      <c r="B87" s="57" t="n">
        <f aca="false">MOD(A87,1)</f>
        <v>0.291666666656965</v>
      </c>
      <c r="C87" s="0" t="n">
        <v>0</v>
      </c>
      <c r="D87" s="0" t="n">
        <v>489.527</v>
      </c>
      <c r="E87" s="0" t="n">
        <f aca="false">D87-0.155</f>
        <v>489.372</v>
      </c>
      <c r="F87" s="0" t="n">
        <v>489.545</v>
      </c>
      <c r="G87" s="0" t="n">
        <f aca="false">IF(E87 - F87 &lt; 0, 0, E87 - F87)</f>
        <v>0</v>
      </c>
      <c r="H87" s="0" t="n">
        <v>1.82</v>
      </c>
      <c r="I87" s="0" t="n">
        <f aca="false">1.82*30*(G87^1.5)</f>
        <v>0</v>
      </c>
      <c r="J87" s="0" t="n">
        <f aca="false">I87*60</f>
        <v>0</v>
      </c>
      <c r="K87" s="0" t="n">
        <f aca="false">(I87*86400)/24</f>
        <v>0</v>
      </c>
    </row>
    <row r="88" customFormat="false" ht="16.5" hidden="false" customHeight="false" outlineLevel="0" collapsed="false">
      <c r="A88" s="56" t="n">
        <v>45838.3333333333</v>
      </c>
      <c r="B88" s="57" t="n">
        <f aca="false">MOD(A88,1)</f>
        <v>0.333333333343035</v>
      </c>
      <c r="C88" s="0" t="n">
        <v>0</v>
      </c>
      <c r="D88" s="0" t="n">
        <v>489.52002</v>
      </c>
      <c r="E88" s="0" t="n">
        <f aca="false">D88-0.155</f>
        <v>489.36502</v>
      </c>
      <c r="F88" s="0" t="n">
        <v>489.545</v>
      </c>
      <c r="G88" s="0" t="n">
        <f aca="false">IF(E88 - F88 &lt; 0, 0, E88 - F88)</f>
        <v>0</v>
      </c>
      <c r="H88" s="0" t="n">
        <v>1.82</v>
      </c>
      <c r="I88" s="0" t="n">
        <f aca="false">1.82*30*(G88^1.5)</f>
        <v>0</v>
      </c>
      <c r="J88" s="0" t="n">
        <f aca="false">I88*60</f>
        <v>0</v>
      </c>
      <c r="K88" s="0" t="n">
        <f aca="false">(I88*86400)/24</f>
        <v>0</v>
      </c>
    </row>
    <row r="89" customFormat="false" ht="16.5" hidden="false" customHeight="false" outlineLevel="0" collapsed="false">
      <c r="A89" s="56" t="n">
        <v>45838.375</v>
      </c>
      <c r="B89" s="57" t="n">
        <f aca="false">MOD(A89,1)</f>
        <v>0.375</v>
      </c>
      <c r="C89" s="0" t="n">
        <v>0</v>
      </c>
      <c r="D89" s="0" t="n">
        <v>489.526</v>
      </c>
      <c r="E89" s="0" t="n">
        <f aca="false">D89-0.155</f>
        <v>489.371</v>
      </c>
      <c r="F89" s="0" t="n">
        <v>489.545</v>
      </c>
      <c r="G89" s="0" t="n">
        <f aca="false">IF(E89 - F89 &lt; 0, 0, E89 - F89)</f>
        <v>0</v>
      </c>
      <c r="H89" s="0" t="n">
        <v>1.82</v>
      </c>
      <c r="I89" s="0" t="n">
        <f aca="false">1.82*30*(G89^1.5)</f>
        <v>0</v>
      </c>
      <c r="J89" s="0" t="n">
        <f aca="false">I89*60</f>
        <v>0</v>
      </c>
      <c r="K89" s="0" t="n">
        <f aca="false">(I89*86400)/24</f>
        <v>0</v>
      </c>
    </row>
    <row r="90" customFormat="false" ht="16.5" hidden="false" customHeight="false" outlineLevel="0" collapsed="false">
      <c r="A90" s="56" t="n">
        <v>45838.4166666667</v>
      </c>
      <c r="B90" s="57" t="n">
        <f aca="false">MOD(A90,1)</f>
        <v>0.416666666656965</v>
      </c>
      <c r="C90" s="0" t="n">
        <v>0</v>
      </c>
      <c r="D90" s="0" t="n">
        <v>489.527</v>
      </c>
      <c r="E90" s="0" t="n">
        <f aca="false">D90-0.155</f>
        <v>489.372</v>
      </c>
      <c r="F90" s="0" t="n">
        <v>489.545</v>
      </c>
      <c r="G90" s="0" t="n">
        <f aca="false">IF(E90 - F90 &lt; 0, 0, E90 - F90)</f>
        <v>0</v>
      </c>
      <c r="H90" s="0" t="n">
        <v>1.82</v>
      </c>
      <c r="I90" s="0" t="n">
        <f aca="false">1.82*30*(G90^1.5)</f>
        <v>0</v>
      </c>
      <c r="J90" s="0" t="n">
        <f aca="false">I90*60</f>
        <v>0</v>
      </c>
      <c r="K90" s="0" t="n">
        <f aca="false">(I90*86400)/24</f>
        <v>0</v>
      </c>
    </row>
    <row r="91" customFormat="false" ht="16.5" hidden="false" customHeight="false" outlineLevel="0" collapsed="false">
      <c r="A91" s="56" t="n">
        <v>45838.4583333333</v>
      </c>
      <c r="B91" s="57" t="n">
        <f aca="false">MOD(A91,1)</f>
        <v>0.458333333343035</v>
      </c>
      <c r="C91" s="0" t="n">
        <v>0</v>
      </c>
      <c r="D91" s="0" t="n">
        <v>489.526</v>
      </c>
      <c r="E91" s="0" t="n">
        <f aca="false">D91-0.155</f>
        <v>489.371</v>
      </c>
      <c r="F91" s="0" t="n">
        <v>489.545</v>
      </c>
      <c r="G91" s="0" t="n">
        <f aca="false">IF(E91 - F91 &lt; 0, 0, E91 - F91)</f>
        <v>0</v>
      </c>
      <c r="H91" s="0" t="n">
        <v>1.82</v>
      </c>
      <c r="I91" s="0" t="n">
        <f aca="false">1.82*30*(G91^1.5)</f>
        <v>0</v>
      </c>
      <c r="J91" s="0" t="n">
        <f aca="false">I91*60</f>
        <v>0</v>
      </c>
      <c r="K91" s="0" t="n">
        <f aca="false">(I91*86400)/24</f>
        <v>0</v>
      </c>
    </row>
    <row r="92" customFormat="false" ht="16.5" hidden="false" customHeight="false" outlineLevel="0" collapsed="false">
      <c r="A92" s="56" t="n">
        <v>45838.5</v>
      </c>
      <c r="B92" s="57" t="n">
        <f aca="false">MOD(A92,1)</f>
        <v>0.5</v>
      </c>
      <c r="C92" s="0" t="n">
        <v>0</v>
      </c>
      <c r="D92" s="0" t="n">
        <v>489.526</v>
      </c>
      <c r="E92" s="0" t="n">
        <f aca="false">D92-0.155</f>
        <v>489.371</v>
      </c>
      <c r="F92" s="0" t="n">
        <v>489.545</v>
      </c>
      <c r="G92" s="0" t="n">
        <f aca="false">IF(E92 - F92 &lt; 0, 0, E92 - F92)</f>
        <v>0</v>
      </c>
      <c r="H92" s="0" t="n">
        <v>1.82</v>
      </c>
      <c r="I92" s="0" t="n">
        <f aca="false">1.82*30*(G92^1.5)</f>
        <v>0</v>
      </c>
      <c r="J92" s="0" t="n">
        <f aca="false">I92*60</f>
        <v>0</v>
      </c>
      <c r="K92" s="0" t="n">
        <f aca="false">(I92*86400)/24</f>
        <v>0</v>
      </c>
    </row>
    <row r="93" customFormat="false" ht="16.5" hidden="false" customHeight="false" outlineLevel="0" collapsed="false">
      <c r="A93" s="56" t="n">
        <v>45838.5416666667</v>
      </c>
      <c r="B93" s="57" t="n">
        <f aca="false">MOD(A93,1)</f>
        <v>0.541666666656965</v>
      </c>
      <c r="C93" s="0" t="n">
        <v>0</v>
      </c>
      <c r="D93" s="0" t="n">
        <v>489.526</v>
      </c>
      <c r="E93" s="0" t="n">
        <f aca="false">D93-0.155</f>
        <v>489.371</v>
      </c>
      <c r="F93" s="0" t="n">
        <v>489.545</v>
      </c>
      <c r="G93" s="0" t="n">
        <f aca="false">IF(E93 - F93 &lt; 0, 0, E93 - F93)</f>
        <v>0</v>
      </c>
      <c r="H93" s="0" t="n">
        <v>1.82</v>
      </c>
      <c r="I93" s="0" t="n">
        <f aca="false">1.82*30*(G93^1.5)</f>
        <v>0</v>
      </c>
      <c r="J93" s="0" t="n">
        <f aca="false">I93*60</f>
        <v>0</v>
      </c>
      <c r="K93" s="0" t="n">
        <f aca="false">(I93*86400)/24</f>
        <v>0</v>
      </c>
    </row>
    <row r="94" customFormat="false" ht="16.5" hidden="false" customHeight="false" outlineLevel="0" collapsed="false">
      <c r="A94" s="56" t="n">
        <v>45838.5833333333</v>
      </c>
      <c r="B94" s="57" t="n">
        <f aca="false">MOD(A94,1)</f>
        <v>0.583333333343035</v>
      </c>
      <c r="C94" s="0" t="n">
        <v>0</v>
      </c>
      <c r="D94" s="0" t="n">
        <v>489.52</v>
      </c>
      <c r="E94" s="0" t="n">
        <f aca="false">D94-0.155</f>
        <v>489.365</v>
      </c>
      <c r="F94" s="0" t="n">
        <v>489.545</v>
      </c>
      <c r="G94" s="0" t="n">
        <f aca="false">IF(E94 - F94 &lt; 0, 0, E94 - F94)</f>
        <v>0</v>
      </c>
      <c r="H94" s="0" t="n">
        <v>1.82</v>
      </c>
      <c r="I94" s="0" t="n">
        <f aca="false">1.82*30*(G94^1.5)</f>
        <v>0</v>
      </c>
      <c r="J94" s="0" t="n">
        <f aca="false">I94*60</f>
        <v>0</v>
      </c>
      <c r="K94" s="0" t="n">
        <f aca="false">(I94*86400)/24</f>
        <v>0</v>
      </c>
    </row>
    <row r="95" customFormat="false" ht="16.5" hidden="false" customHeight="false" outlineLevel="0" collapsed="false">
      <c r="A95" s="56" t="n">
        <v>45838.625</v>
      </c>
      <c r="B95" s="57" t="n">
        <f aca="false">MOD(A95,1)</f>
        <v>0.625</v>
      </c>
      <c r="C95" s="0" t="n">
        <v>0</v>
      </c>
      <c r="D95" s="0" t="n">
        <v>489.527</v>
      </c>
      <c r="E95" s="0" t="n">
        <f aca="false">D95-0.155</f>
        <v>489.372</v>
      </c>
      <c r="F95" s="0" t="n">
        <v>489.545</v>
      </c>
      <c r="G95" s="0" t="n">
        <f aca="false">IF(E95 - F95 &lt; 0, 0, E95 - F95)</f>
        <v>0</v>
      </c>
      <c r="H95" s="0" t="n">
        <v>1.82</v>
      </c>
      <c r="I95" s="0" t="n">
        <f aca="false">1.82*30*(G95^1.5)</f>
        <v>0</v>
      </c>
      <c r="J95" s="0" t="n">
        <f aca="false">I95*60</f>
        <v>0</v>
      </c>
      <c r="K95" s="0" t="n">
        <f aca="false">(I95*86400)/24</f>
        <v>0</v>
      </c>
    </row>
    <row r="96" customFormat="false" ht="16.5" hidden="false" customHeight="false" outlineLevel="0" collapsed="false">
      <c r="A96" s="56" t="n">
        <v>45838.6666666667</v>
      </c>
      <c r="B96" s="57" t="n">
        <f aca="false">MOD(A96,1)</f>
        <v>0.666666666656965</v>
      </c>
      <c r="C96" s="0" t="n">
        <v>0</v>
      </c>
      <c r="D96" s="0" t="n">
        <v>489.526</v>
      </c>
      <c r="E96" s="0" t="n">
        <f aca="false">D96-0.155</f>
        <v>489.371</v>
      </c>
      <c r="F96" s="0" t="n">
        <v>489.545</v>
      </c>
      <c r="G96" s="0" t="n">
        <f aca="false">IF(E96 - F96 &lt; 0, 0, E96 - F96)</f>
        <v>0</v>
      </c>
      <c r="H96" s="0" t="n">
        <v>1.82</v>
      </c>
      <c r="I96" s="0" t="n">
        <f aca="false">1.82*30*(G96^1.5)</f>
        <v>0</v>
      </c>
      <c r="J96" s="0" t="n">
        <f aca="false">I96*60</f>
        <v>0</v>
      </c>
      <c r="K96" s="0" t="n">
        <f aca="false">(I96*86400)/24</f>
        <v>0</v>
      </c>
    </row>
    <row r="97" customFormat="false" ht="16.5" hidden="false" customHeight="false" outlineLevel="0" collapsed="false">
      <c r="A97" s="56" t="n">
        <v>45838.7083333333</v>
      </c>
      <c r="B97" s="57" t="n">
        <f aca="false">MOD(A97,1)</f>
        <v>0.708333333343035</v>
      </c>
      <c r="C97" s="0" t="n">
        <v>0</v>
      </c>
      <c r="D97" s="0" t="n">
        <v>489.526</v>
      </c>
      <c r="E97" s="0" t="n">
        <f aca="false">D97-0.155</f>
        <v>489.371</v>
      </c>
      <c r="F97" s="0" t="n">
        <v>489.545</v>
      </c>
      <c r="G97" s="0" t="n">
        <f aca="false">IF(E97 - F97 &lt; 0, 0, E97 - F97)</f>
        <v>0</v>
      </c>
      <c r="H97" s="0" t="n">
        <v>1.82</v>
      </c>
      <c r="I97" s="0" t="n">
        <f aca="false">1.82*30*(G97^1.5)</f>
        <v>0</v>
      </c>
      <c r="J97" s="0" t="n">
        <f aca="false">I97*60</f>
        <v>0</v>
      </c>
      <c r="K97" s="0" t="n">
        <f aca="false">(I97*86400)/24</f>
        <v>0</v>
      </c>
    </row>
    <row r="98" customFormat="false" ht="16.5" hidden="false" customHeight="false" outlineLevel="0" collapsed="false">
      <c r="A98" s="56" t="n">
        <v>45838.75</v>
      </c>
      <c r="B98" s="57" t="n">
        <f aca="false">MOD(A98,1)</f>
        <v>0.75</v>
      </c>
      <c r="C98" s="0" t="n">
        <v>0</v>
      </c>
      <c r="D98" s="0" t="n">
        <v>489.526</v>
      </c>
      <c r="E98" s="0" t="n">
        <f aca="false">D98-0.155</f>
        <v>489.371</v>
      </c>
      <c r="F98" s="0" t="n">
        <v>489.545</v>
      </c>
      <c r="G98" s="0" t="n">
        <f aca="false">IF(E98 - F98 &lt; 0, 0, E98 - F98)</f>
        <v>0</v>
      </c>
      <c r="H98" s="0" t="n">
        <v>1.82</v>
      </c>
      <c r="I98" s="0" t="n">
        <f aca="false">1.82*30*(G98^1.5)</f>
        <v>0</v>
      </c>
      <c r="J98" s="0" t="n">
        <f aca="false">I98*60</f>
        <v>0</v>
      </c>
      <c r="K98" s="0" t="n">
        <f aca="false">(I98*86400)/24</f>
        <v>0</v>
      </c>
    </row>
    <row r="99" customFormat="false" ht="16.5" hidden="false" customHeight="false" outlineLevel="0" collapsed="false">
      <c r="A99" s="56" t="n">
        <v>45838.7916666667</v>
      </c>
      <c r="B99" s="57" t="n">
        <f aca="false">MOD(A99,1)</f>
        <v>0.791666666656965</v>
      </c>
      <c r="C99" s="0" t="n">
        <v>0</v>
      </c>
      <c r="D99" s="0" t="n">
        <v>489.527</v>
      </c>
      <c r="E99" s="0" t="n">
        <f aca="false">D99-0.155</f>
        <v>489.372</v>
      </c>
      <c r="F99" s="0" t="n">
        <v>489.545</v>
      </c>
      <c r="G99" s="0" t="n">
        <f aca="false">IF(E99 - F99 &lt; 0, 0, E99 - F99)</f>
        <v>0</v>
      </c>
      <c r="H99" s="0" t="n">
        <v>1.82</v>
      </c>
      <c r="I99" s="0" t="n">
        <f aca="false">1.82*30*(G99^1.5)</f>
        <v>0</v>
      </c>
      <c r="J99" s="0" t="n">
        <f aca="false">I99*60</f>
        <v>0</v>
      </c>
      <c r="K99" s="0" t="n">
        <f aca="false">(I99*86400)/24</f>
        <v>0</v>
      </c>
    </row>
    <row r="100" customFormat="false" ht="16.5" hidden="false" customHeight="false" outlineLevel="0" collapsed="false">
      <c r="A100" s="56" t="n">
        <v>45838.8333333333</v>
      </c>
      <c r="B100" s="57" t="n">
        <f aca="false">MOD(A100,1)</f>
        <v>0.833333333343035</v>
      </c>
      <c r="C100" s="0" t="n">
        <v>0</v>
      </c>
      <c r="D100" s="0" t="n">
        <v>489.527</v>
      </c>
      <c r="E100" s="0" t="n">
        <f aca="false">D100-0.155</f>
        <v>489.372</v>
      </c>
      <c r="F100" s="0" t="n">
        <v>489.545</v>
      </c>
      <c r="G100" s="0" t="n">
        <f aca="false">IF(E100 - F100 &lt; 0, 0, E100 - F100)</f>
        <v>0</v>
      </c>
      <c r="H100" s="0" t="n">
        <v>1.82</v>
      </c>
      <c r="I100" s="0" t="n">
        <f aca="false">1.82*30*(G100^1.5)</f>
        <v>0</v>
      </c>
      <c r="J100" s="0" t="n">
        <f aca="false">I100*60</f>
        <v>0</v>
      </c>
      <c r="K100" s="0" t="n">
        <f aca="false">(I100*86400)/24</f>
        <v>0</v>
      </c>
    </row>
    <row r="101" customFormat="false" ht="16.5" hidden="false" customHeight="false" outlineLevel="0" collapsed="false">
      <c r="A101" s="56" t="n">
        <v>45838.875</v>
      </c>
      <c r="B101" s="57" t="n">
        <f aca="false">MOD(A101,1)</f>
        <v>0.875</v>
      </c>
      <c r="C101" s="0" t="n">
        <v>0</v>
      </c>
      <c r="D101" s="0" t="n">
        <v>489.527</v>
      </c>
      <c r="E101" s="0" t="n">
        <f aca="false">D101-0.155</f>
        <v>489.372</v>
      </c>
      <c r="F101" s="0" t="n">
        <v>489.545</v>
      </c>
      <c r="G101" s="0" t="n">
        <f aca="false">IF(E101 - F101 &lt; 0, 0, E101 - F101)</f>
        <v>0</v>
      </c>
      <c r="H101" s="0" t="n">
        <v>1.82</v>
      </c>
      <c r="I101" s="0" t="n">
        <f aca="false">1.82*30*(G101^1.5)</f>
        <v>0</v>
      </c>
      <c r="J101" s="0" t="n">
        <f aca="false">I101*60</f>
        <v>0</v>
      </c>
      <c r="K101" s="0" t="n">
        <f aca="false">(I101*86400)/24</f>
        <v>0</v>
      </c>
    </row>
    <row r="102" customFormat="false" ht="16.5" hidden="false" customHeight="false" outlineLevel="0" collapsed="false">
      <c r="A102" s="56" t="n">
        <v>45838.9166666667</v>
      </c>
      <c r="B102" s="57" t="n">
        <f aca="false">MOD(A102,1)</f>
        <v>0.916666666656965</v>
      </c>
      <c r="C102" s="0" t="n">
        <v>0</v>
      </c>
      <c r="D102" s="0" t="n">
        <v>489.52</v>
      </c>
      <c r="E102" s="0" t="n">
        <f aca="false">D102-0.155</f>
        <v>489.365</v>
      </c>
      <c r="F102" s="0" t="n">
        <v>489.545</v>
      </c>
      <c r="G102" s="0" t="n">
        <f aca="false">IF(E102 - F102 &lt; 0, 0, E102 - F102)</f>
        <v>0</v>
      </c>
      <c r="H102" s="0" t="n">
        <v>1.82</v>
      </c>
      <c r="I102" s="0" t="n">
        <f aca="false">1.82*30*(G102^1.5)</f>
        <v>0</v>
      </c>
      <c r="J102" s="0" t="n">
        <f aca="false">I102*60</f>
        <v>0</v>
      </c>
      <c r="K102" s="0" t="n">
        <f aca="false">(I102*86400)/24</f>
        <v>0</v>
      </c>
    </row>
    <row r="103" customFormat="false" ht="16.5" hidden="false" customHeight="false" outlineLevel="0" collapsed="false">
      <c r="A103" s="56" t="n">
        <v>45838.9583333333</v>
      </c>
      <c r="B103" s="57" t="n">
        <f aca="false">MOD(A103,1)</f>
        <v>0.958333333343035</v>
      </c>
      <c r="C103" s="0" t="n">
        <v>0</v>
      </c>
      <c r="D103" s="0" t="n">
        <v>489.527</v>
      </c>
      <c r="E103" s="0" t="n">
        <f aca="false">D103-0.155</f>
        <v>489.372</v>
      </c>
      <c r="F103" s="0" t="n">
        <v>489.545</v>
      </c>
      <c r="G103" s="0" t="n">
        <f aca="false">IF(E103 - F103 &lt; 0, 0, E103 - F103)</f>
        <v>0</v>
      </c>
      <c r="H103" s="0" t="n">
        <v>1.82</v>
      </c>
      <c r="I103" s="0" t="n">
        <f aca="false">1.82*30*(G103^1.5)</f>
        <v>0</v>
      </c>
      <c r="J103" s="0" t="n">
        <f aca="false">I103*60</f>
        <v>0</v>
      </c>
      <c r="K103" s="0" t="n">
        <f aca="false">(I103*86400)/24</f>
        <v>0</v>
      </c>
    </row>
    <row r="104" customFormat="false" ht="16.5" hidden="false" customHeight="false" outlineLevel="0" collapsed="false">
      <c r="A104" s="56" t="n">
        <v>45839</v>
      </c>
      <c r="B104" s="57" t="n">
        <f aca="false">MOD(A104,1)</f>
        <v>0</v>
      </c>
      <c r="C104" s="0" t="n">
        <v>0</v>
      </c>
      <c r="D104" s="0" t="n">
        <v>489.52</v>
      </c>
      <c r="E104" s="0" t="n">
        <f aca="false">D104-0.155</f>
        <v>489.365</v>
      </c>
      <c r="F104" s="0" t="n">
        <v>489.545</v>
      </c>
      <c r="G104" s="0" t="n">
        <f aca="false">IF(E104 - F104 &lt; 0, 0, E104 - F104)</f>
        <v>0</v>
      </c>
      <c r="H104" s="0" t="n">
        <v>1.82</v>
      </c>
      <c r="I104" s="0" t="n">
        <f aca="false">1.82*30*(G104^1.5)</f>
        <v>0</v>
      </c>
      <c r="J104" s="0" t="n">
        <f aca="false">I104*60</f>
        <v>0</v>
      </c>
      <c r="K104" s="0" t="n">
        <f aca="false">(I104*86400)/24</f>
        <v>0</v>
      </c>
    </row>
    <row r="105" customFormat="false" ht="16.5" hidden="false" customHeight="false" outlineLevel="0" collapsed="false">
      <c r="A105" s="56" t="n">
        <v>45839.0416666667</v>
      </c>
      <c r="B105" s="57" t="n">
        <f aca="false">MOD(A105,1)</f>
        <v>0.0416666666569654</v>
      </c>
      <c r="C105" s="0" t="n">
        <v>0</v>
      </c>
      <c r="D105" s="0" t="n">
        <v>489.527</v>
      </c>
      <c r="E105" s="0" t="n">
        <f aca="false">D105-0.155</f>
        <v>489.372</v>
      </c>
      <c r="F105" s="0" t="n">
        <v>489.545</v>
      </c>
      <c r="G105" s="0" t="n">
        <f aca="false">IF(E105 - F105 &lt; 0, 0, E105 - F105)</f>
        <v>0</v>
      </c>
      <c r="H105" s="0" t="n">
        <v>1.82</v>
      </c>
      <c r="I105" s="0" t="n">
        <f aca="false">1.82*30*(G105^1.5)</f>
        <v>0</v>
      </c>
      <c r="J105" s="0" t="n">
        <f aca="false">I105*60</f>
        <v>0</v>
      </c>
      <c r="K105" s="0" t="n">
        <f aca="false">(I105*86400)/24</f>
        <v>0</v>
      </c>
    </row>
    <row r="106" customFormat="false" ht="16.5" hidden="false" customHeight="false" outlineLevel="0" collapsed="false">
      <c r="A106" s="56" t="n">
        <v>45839.0833333333</v>
      </c>
      <c r="B106" s="57" t="n">
        <f aca="false">MOD(A106,1)</f>
        <v>0.0833333333430346</v>
      </c>
      <c r="C106" s="0" t="n">
        <v>0</v>
      </c>
      <c r="D106" s="0" t="n">
        <v>489.527</v>
      </c>
      <c r="E106" s="0" t="n">
        <f aca="false">D106-0.155</f>
        <v>489.372</v>
      </c>
      <c r="F106" s="0" t="n">
        <v>489.545</v>
      </c>
      <c r="G106" s="0" t="n">
        <f aca="false">IF(E106 - F106 &lt; 0, 0, E106 - F106)</f>
        <v>0</v>
      </c>
      <c r="H106" s="0" t="n">
        <v>1.82</v>
      </c>
      <c r="I106" s="0" t="n">
        <f aca="false">1.82*30*(G106^1.5)</f>
        <v>0</v>
      </c>
      <c r="J106" s="0" t="n">
        <f aca="false">I106*60</f>
        <v>0</v>
      </c>
      <c r="K106" s="0" t="n">
        <f aca="false">(I106*86400)/24</f>
        <v>0</v>
      </c>
    </row>
    <row r="107" customFormat="false" ht="16.5" hidden="false" customHeight="false" outlineLevel="0" collapsed="false">
      <c r="A107" s="56" t="n">
        <v>45839.125</v>
      </c>
      <c r="B107" s="57" t="n">
        <f aca="false">MOD(A107,1)</f>
        <v>0.125</v>
      </c>
      <c r="C107" s="0" t="n">
        <v>0</v>
      </c>
      <c r="D107" s="0" t="n">
        <v>489.527</v>
      </c>
      <c r="E107" s="0" t="n">
        <f aca="false">D107-0.155</f>
        <v>489.372</v>
      </c>
      <c r="F107" s="0" t="n">
        <v>489.545</v>
      </c>
      <c r="G107" s="0" t="n">
        <f aca="false">IF(E107 - F107 &lt; 0, 0, E107 - F107)</f>
        <v>0</v>
      </c>
      <c r="H107" s="0" t="n">
        <v>1.82</v>
      </c>
      <c r="I107" s="0" t="n">
        <f aca="false">1.82*30*(G107^1.5)</f>
        <v>0</v>
      </c>
      <c r="J107" s="0" t="n">
        <f aca="false">I107*60</f>
        <v>0</v>
      </c>
      <c r="K107" s="0" t="n">
        <f aca="false">(I107*86400)/24</f>
        <v>0</v>
      </c>
    </row>
    <row r="108" customFormat="false" ht="16.5" hidden="false" customHeight="false" outlineLevel="0" collapsed="false">
      <c r="A108" s="56" t="n">
        <v>45839.1666666667</v>
      </c>
      <c r="B108" s="57" t="n">
        <f aca="false">MOD(A108,1)</f>
        <v>0.166666666656965</v>
      </c>
      <c r="C108" s="0" t="n">
        <v>0</v>
      </c>
      <c r="D108" s="0" t="n">
        <v>489.527</v>
      </c>
      <c r="E108" s="0" t="n">
        <f aca="false">D108-0.155</f>
        <v>489.372</v>
      </c>
      <c r="F108" s="0" t="n">
        <v>489.545</v>
      </c>
      <c r="G108" s="0" t="n">
        <f aca="false">IF(E108 - F108 &lt; 0, 0, E108 - F108)</f>
        <v>0</v>
      </c>
      <c r="H108" s="0" t="n">
        <v>1.82</v>
      </c>
      <c r="I108" s="0" t="n">
        <f aca="false">1.82*30*(G108^1.5)</f>
        <v>0</v>
      </c>
      <c r="J108" s="0" t="n">
        <f aca="false">I108*60</f>
        <v>0</v>
      </c>
      <c r="K108" s="0" t="n">
        <f aca="false">(I108*86400)/24</f>
        <v>0</v>
      </c>
    </row>
    <row r="109" customFormat="false" ht="16.5" hidden="false" customHeight="false" outlineLevel="0" collapsed="false">
      <c r="A109" s="56" t="n">
        <v>45839.2083333333</v>
      </c>
      <c r="B109" s="57" t="n">
        <f aca="false">MOD(A109,1)</f>
        <v>0.208333333343035</v>
      </c>
      <c r="C109" s="0" t="n">
        <v>0</v>
      </c>
      <c r="D109" s="0" t="n">
        <v>489.527</v>
      </c>
      <c r="E109" s="0" t="n">
        <f aca="false">D109-0.155</f>
        <v>489.372</v>
      </c>
      <c r="F109" s="0" t="n">
        <v>489.545</v>
      </c>
      <c r="G109" s="0" t="n">
        <f aca="false">IF(E109 - F109 &lt; 0, 0, E109 - F109)</f>
        <v>0</v>
      </c>
      <c r="H109" s="0" t="n">
        <v>1.82</v>
      </c>
      <c r="I109" s="0" t="n">
        <f aca="false">1.82*30*(G109^1.5)</f>
        <v>0</v>
      </c>
      <c r="J109" s="0" t="n">
        <f aca="false">I109*60</f>
        <v>0</v>
      </c>
      <c r="K109" s="0" t="n">
        <f aca="false">(I109*86400)/24</f>
        <v>0</v>
      </c>
    </row>
    <row r="110" customFormat="false" ht="16.5" hidden="false" customHeight="false" outlineLevel="0" collapsed="false">
      <c r="A110" s="56" t="n">
        <v>45839.25</v>
      </c>
      <c r="B110" s="57" t="n">
        <f aca="false">MOD(A110,1)</f>
        <v>0.25</v>
      </c>
      <c r="C110" s="0" t="n">
        <v>0</v>
      </c>
      <c r="D110" s="0" t="n">
        <v>489.527</v>
      </c>
      <c r="E110" s="0" t="n">
        <f aca="false">D110-0.155</f>
        <v>489.372</v>
      </c>
      <c r="F110" s="0" t="n">
        <v>489.545</v>
      </c>
      <c r="G110" s="0" t="n">
        <f aca="false">IF(E110 - F110 &lt; 0, 0, E110 - F110)</f>
        <v>0</v>
      </c>
      <c r="H110" s="0" t="n">
        <v>1.82</v>
      </c>
      <c r="I110" s="0" t="n">
        <f aca="false">1.82*30*(G110^1.5)</f>
        <v>0</v>
      </c>
      <c r="J110" s="0" t="n">
        <f aca="false">I110*60</f>
        <v>0</v>
      </c>
      <c r="K110" s="0" t="n">
        <f aca="false">(I110*86400)/24</f>
        <v>0</v>
      </c>
    </row>
    <row r="111" customFormat="false" ht="16.5" hidden="false" customHeight="false" outlineLevel="0" collapsed="false">
      <c r="A111" s="56" t="n">
        <v>45839.2916666667</v>
      </c>
      <c r="B111" s="57" t="n">
        <f aca="false">MOD(A111,1)</f>
        <v>0.291666666656965</v>
      </c>
      <c r="C111" s="0" t="n">
        <v>0</v>
      </c>
      <c r="D111" s="0" t="n">
        <v>489.527</v>
      </c>
      <c r="E111" s="0" t="n">
        <f aca="false">D111-0.155</f>
        <v>489.372</v>
      </c>
      <c r="F111" s="0" t="n">
        <v>489.545</v>
      </c>
      <c r="G111" s="0" t="n">
        <f aca="false">IF(E111 - F111 &lt; 0, 0, E111 - F111)</f>
        <v>0</v>
      </c>
      <c r="H111" s="0" t="n">
        <v>1.82</v>
      </c>
      <c r="I111" s="0" t="n">
        <f aca="false">1.82*30*(G111^1.5)</f>
        <v>0</v>
      </c>
      <c r="J111" s="0" t="n">
        <f aca="false">I111*60</f>
        <v>0</v>
      </c>
      <c r="K111" s="0" t="n">
        <f aca="false">(I111*86400)/24</f>
        <v>0</v>
      </c>
    </row>
    <row r="112" customFormat="false" ht="16.5" hidden="false" customHeight="false" outlineLevel="0" collapsed="false">
      <c r="A112" s="56" t="n">
        <v>45839.3333333333</v>
      </c>
      <c r="B112" s="57" t="n">
        <f aca="false">MOD(A112,1)</f>
        <v>0.333333333343035</v>
      </c>
      <c r="C112" s="0" t="n">
        <v>0</v>
      </c>
      <c r="D112" s="0" t="n">
        <v>489.526</v>
      </c>
      <c r="E112" s="0" t="n">
        <f aca="false">D112-0.155</f>
        <v>489.371</v>
      </c>
      <c r="F112" s="0" t="n">
        <v>489.545</v>
      </c>
      <c r="G112" s="0" t="n">
        <f aca="false">IF(E112 - F112 &lt; 0, 0, E112 - F112)</f>
        <v>0</v>
      </c>
      <c r="H112" s="0" t="n">
        <v>1.82</v>
      </c>
      <c r="I112" s="0" t="n">
        <f aca="false">1.82*30*(G112^1.5)</f>
        <v>0</v>
      </c>
      <c r="J112" s="0" t="n">
        <f aca="false">I112*60</f>
        <v>0</v>
      </c>
      <c r="K112" s="0" t="n">
        <f aca="false">(I112*86400)/24</f>
        <v>0</v>
      </c>
    </row>
    <row r="113" customFormat="false" ht="16.5" hidden="false" customHeight="false" outlineLevel="0" collapsed="false">
      <c r="A113" s="56" t="n">
        <v>45839.375</v>
      </c>
      <c r="B113" s="57" t="n">
        <f aca="false">MOD(A113,1)</f>
        <v>0.375</v>
      </c>
      <c r="C113" s="0" t="n">
        <v>0</v>
      </c>
      <c r="D113" s="0" t="n">
        <v>489.526</v>
      </c>
      <c r="E113" s="0" t="n">
        <f aca="false">D113-0.155</f>
        <v>489.371</v>
      </c>
      <c r="F113" s="0" t="n">
        <v>489.545</v>
      </c>
      <c r="G113" s="0" t="n">
        <f aca="false">IF(E113 - F113 &lt; 0, 0, E113 - F113)</f>
        <v>0</v>
      </c>
      <c r="H113" s="0" t="n">
        <v>1.82</v>
      </c>
      <c r="I113" s="0" t="n">
        <f aca="false">1.82*30*(G113^1.5)</f>
        <v>0</v>
      </c>
      <c r="J113" s="0" t="n">
        <f aca="false">I113*60</f>
        <v>0</v>
      </c>
      <c r="K113" s="0" t="n">
        <f aca="false">(I113*86400)/24</f>
        <v>0</v>
      </c>
    </row>
    <row r="114" customFormat="false" ht="16.5" hidden="false" customHeight="false" outlineLevel="0" collapsed="false">
      <c r="A114" s="56" t="n">
        <v>45839.4166666667</v>
      </c>
      <c r="B114" s="57" t="n">
        <f aca="false">MOD(A114,1)</f>
        <v>0.416666666656965</v>
      </c>
      <c r="C114" s="0" t="n">
        <v>0</v>
      </c>
      <c r="D114" s="0" t="n">
        <v>489.526</v>
      </c>
      <c r="E114" s="0" t="n">
        <f aca="false">D114-0.155</f>
        <v>489.371</v>
      </c>
      <c r="F114" s="0" t="n">
        <v>489.545</v>
      </c>
      <c r="G114" s="0" t="n">
        <f aca="false">IF(E114 - F114 &lt; 0, 0, E114 - F114)</f>
        <v>0</v>
      </c>
      <c r="H114" s="0" t="n">
        <v>1.82</v>
      </c>
      <c r="I114" s="0" t="n">
        <f aca="false">1.82*30*(G114^1.5)</f>
        <v>0</v>
      </c>
      <c r="J114" s="0" t="n">
        <f aca="false">I114*60</f>
        <v>0</v>
      </c>
      <c r="K114" s="0" t="n">
        <f aca="false">(I114*86400)/24</f>
        <v>0</v>
      </c>
    </row>
    <row r="115" customFormat="false" ht="16.5" hidden="false" customHeight="false" outlineLevel="0" collapsed="false">
      <c r="A115" s="56" t="n">
        <v>45839.4583333333</v>
      </c>
      <c r="B115" s="57" t="n">
        <f aca="false">MOD(A115,1)</f>
        <v>0.458333333343035</v>
      </c>
      <c r="C115" s="0" t="n">
        <v>0</v>
      </c>
      <c r="D115" s="0" t="n">
        <v>489.526</v>
      </c>
      <c r="E115" s="0" t="n">
        <f aca="false">D115-0.155</f>
        <v>489.371</v>
      </c>
      <c r="F115" s="0" t="n">
        <v>489.545</v>
      </c>
      <c r="G115" s="0" t="n">
        <f aca="false">IF(E115 - F115 &lt; 0, 0, E115 - F115)</f>
        <v>0</v>
      </c>
      <c r="H115" s="0" t="n">
        <v>1.82</v>
      </c>
      <c r="I115" s="0" t="n">
        <f aca="false">1.82*30*(G115^1.5)</f>
        <v>0</v>
      </c>
      <c r="J115" s="0" t="n">
        <f aca="false">I115*60</f>
        <v>0</v>
      </c>
      <c r="K115" s="0" t="n">
        <f aca="false">(I115*86400)/24</f>
        <v>0</v>
      </c>
    </row>
    <row r="116" customFormat="false" ht="16.5" hidden="false" customHeight="false" outlineLevel="0" collapsed="false">
      <c r="A116" s="56" t="n">
        <v>45839.5</v>
      </c>
      <c r="B116" s="57" t="n">
        <f aca="false">MOD(A116,1)</f>
        <v>0.5</v>
      </c>
      <c r="C116" s="0" t="n">
        <v>0</v>
      </c>
      <c r="D116" s="0" t="n">
        <v>489.526</v>
      </c>
      <c r="E116" s="0" t="n">
        <f aca="false">D116-0.155</f>
        <v>489.371</v>
      </c>
      <c r="F116" s="0" t="n">
        <v>489.545</v>
      </c>
      <c r="G116" s="0" t="n">
        <f aca="false">IF(E116 - F116 &lt; 0, 0, E116 - F116)</f>
        <v>0</v>
      </c>
      <c r="H116" s="0" t="n">
        <v>1.82</v>
      </c>
      <c r="I116" s="0" t="n">
        <f aca="false">1.82*30*(G116^1.5)</f>
        <v>0</v>
      </c>
      <c r="J116" s="0" t="n">
        <f aca="false">I116*60</f>
        <v>0</v>
      </c>
      <c r="K116" s="0" t="n">
        <f aca="false">(I116*86400)/24</f>
        <v>0</v>
      </c>
    </row>
    <row r="117" customFormat="false" ht="16.5" hidden="false" customHeight="false" outlineLevel="0" collapsed="false">
      <c r="A117" s="56" t="n">
        <v>45839.5416666667</v>
      </c>
      <c r="B117" s="57" t="n">
        <f aca="false">MOD(A117,1)</f>
        <v>0.541666666656965</v>
      </c>
      <c r="C117" s="0" t="n">
        <v>0</v>
      </c>
      <c r="D117" s="0" t="n">
        <v>489.526</v>
      </c>
      <c r="E117" s="0" t="n">
        <f aca="false">D117-0.155</f>
        <v>489.371</v>
      </c>
      <c r="F117" s="0" t="n">
        <v>489.545</v>
      </c>
      <c r="G117" s="0" t="n">
        <f aca="false">IF(E117 - F117 &lt; 0, 0, E117 - F117)</f>
        <v>0</v>
      </c>
      <c r="H117" s="0" t="n">
        <v>1.82</v>
      </c>
      <c r="I117" s="0" t="n">
        <f aca="false">1.82*30*(G117^1.5)</f>
        <v>0</v>
      </c>
      <c r="J117" s="0" t="n">
        <f aca="false">I117*60</f>
        <v>0</v>
      </c>
      <c r="K117" s="0" t="n">
        <f aca="false">(I117*86400)/24</f>
        <v>0</v>
      </c>
    </row>
    <row r="118" customFormat="false" ht="16.5" hidden="false" customHeight="false" outlineLevel="0" collapsed="false">
      <c r="A118" s="56" t="n">
        <v>45839.5833333333</v>
      </c>
      <c r="B118" s="57" t="n">
        <f aca="false">MOD(A118,1)</f>
        <v>0.583333333343035</v>
      </c>
      <c r="C118" s="0" t="n">
        <v>0</v>
      </c>
      <c r="D118" s="0" t="n">
        <v>489.526</v>
      </c>
      <c r="E118" s="0" t="n">
        <f aca="false">D118-0.155</f>
        <v>489.371</v>
      </c>
      <c r="F118" s="0" t="n">
        <v>489.545</v>
      </c>
      <c r="G118" s="0" t="n">
        <f aca="false">IF(E118 - F118 &lt; 0, 0, E118 - F118)</f>
        <v>0</v>
      </c>
      <c r="H118" s="0" t="n">
        <v>1.82</v>
      </c>
      <c r="I118" s="0" t="n">
        <f aca="false">1.82*30*(G118^1.5)</f>
        <v>0</v>
      </c>
      <c r="J118" s="0" t="n">
        <f aca="false">I118*60</f>
        <v>0</v>
      </c>
      <c r="K118" s="0" t="n">
        <f aca="false">(I118*86400)/24</f>
        <v>0</v>
      </c>
    </row>
    <row r="119" customFormat="false" ht="16.5" hidden="false" customHeight="false" outlineLevel="0" collapsed="false">
      <c r="A119" s="56" t="n">
        <v>45839.625</v>
      </c>
      <c r="B119" s="57" t="n">
        <f aca="false">MOD(A119,1)</f>
        <v>0.625</v>
      </c>
      <c r="C119" s="0" t="n">
        <v>0</v>
      </c>
      <c r="D119" s="0" t="n">
        <v>489.526</v>
      </c>
      <c r="E119" s="0" t="n">
        <f aca="false">D119-0.155</f>
        <v>489.371</v>
      </c>
      <c r="F119" s="0" t="n">
        <v>489.545</v>
      </c>
      <c r="G119" s="0" t="n">
        <f aca="false">IF(E119 - F119 &lt; 0, 0, E119 - F119)</f>
        <v>0</v>
      </c>
      <c r="H119" s="0" t="n">
        <v>1.82</v>
      </c>
      <c r="I119" s="0" t="n">
        <f aca="false">1.82*30*(G119^1.5)</f>
        <v>0</v>
      </c>
      <c r="J119" s="0" t="n">
        <f aca="false">I119*60</f>
        <v>0</v>
      </c>
      <c r="K119" s="0" t="n">
        <f aca="false">(I119*86400)/24</f>
        <v>0</v>
      </c>
    </row>
    <row r="120" customFormat="false" ht="16.5" hidden="false" customHeight="false" outlineLevel="0" collapsed="false">
      <c r="A120" s="56" t="n">
        <v>45839.6666666667</v>
      </c>
      <c r="B120" s="57" t="n">
        <f aca="false">MOD(A120,1)</f>
        <v>0.666666666656965</v>
      </c>
      <c r="C120" s="0" t="n">
        <v>2.8</v>
      </c>
      <c r="D120" s="0" t="n">
        <v>489.526</v>
      </c>
      <c r="E120" s="0" t="n">
        <f aca="false">D120-0.155</f>
        <v>489.371</v>
      </c>
      <c r="F120" s="0" t="n">
        <v>489.545</v>
      </c>
      <c r="G120" s="0" t="n">
        <f aca="false">IF(E120 - F120 &lt; 0, 0, E120 - F120)</f>
        <v>0</v>
      </c>
      <c r="H120" s="0" t="n">
        <v>1.82</v>
      </c>
      <c r="I120" s="0" t="n">
        <f aca="false">1.82*30*(G120^1.5)</f>
        <v>0</v>
      </c>
      <c r="J120" s="0" t="n">
        <f aca="false">I120*60</f>
        <v>0</v>
      </c>
      <c r="K120" s="0" t="n">
        <f aca="false">(I120*86400)/24</f>
        <v>0</v>
      </c>
    </row>
    <row r="121" customFormat="false" ht="16.5" hidden="false" customHeight="false" outlineLevel="0" collapsed="false">
      <c r="A121" s="56" t="n">
        <v>45839.7083333333</v>
      </c>
      <c r="B121" s="57" t="n">
        <f aca="false">MOD(A121,1)</f>
        <v>0.708333333343035</v>
      </c>
      <c r="C121" s="0" t="n">
        <v>0.8</v>
      </c>
      <c r="D121" s="0" t="n">
        <v>489.527</v>
      </c>
      <c r="E121" s="0" t="n">
        <f aca="false">D121-0.155</f>
        <v>489.372</v>
      </c>
      <c r="F121" s="0" t="n">
        <v>489.545</v>
      </c>
      <c r="G121" s="0" t="n">
        <f aca="false">IF(E121 - F121 &lt; 0, 0, E121 - F121)</f>
        <v>0</v>
      </c>
      <c r="H121" s="0" t="n">
        <v>1.82</v>
      </c>
      <c r="I121" s="0" t="n">
        <f aca="false">1.82*30*(G121^1.5)</f>
        <v>0</v>
      </c>
      <c r="J121" s="0" t="n">
        <f aca="false">I121*60</f>
        <v>0</v>
      </c>
      <c r="K121" s="0" t="n">
        <f aca="false">(I121*86400)/24</f>
        <v>0</v>
      </c>
    </row>
    <row r="122" customFormat="false" ht="16.5" hidden="false" customHeight="false" outlineLevel="0" collapsed="false">
      <c r="A122" s="56" t="n">
        <v>45839.75</v>
      </c>
      <c r="B122" s="57" t="n">
        <f aca="false">MOD(A122,1)</f>
        <v>0.75</v>
      </c>
      <c r="C122" s="0" t="n">
        <v>0</v>
      </c>
      <c r="D122" s="0" t="n">
        <v>489.527</v>
      </c>
      <c r="E122" s="0" t="n">
        <f aca="false">D122-0.155</f>
        <v>489.372</v>
      </c>
      <c r="F122" s="0" t="n">
        <v>489.545</v>
      </c>
      <c r="G122" s="0" t="n">
        <f aca="false">IF(E122 - F122 &lt; 0, 0, E122 - F122)</f>
        <v>0</v>
      </c>
      <c r="H122" s="0" t="n">
        <v>1.82</v>
      </c>
      <c r="I122" s="0" t="n">
        <f aca="false">1.82*30*(G122^1.5)</f>
        <v>0</v>
      </c>
      <c r="J122" s="0" t="n">
        <f aca="false">I122*60</f>
        <v>0</v>
      </c>
      <c r="K122" s="0" t="n">
        <f aca="false">(I122*86400)/24</f>
        <v>0</v>
      </c>
    </row>
    <row r="123" customFormat="false" ht="16.5" hidden="false" customHeight="false" outlineLevel="0" collapsed="false">
      <c r="A123" s="56" t="n">
        <v>45839.7916666667</v>
      </c>
      <c r="B123" s="57" t="n">
        <f aca="false">MOD(A123,1)</f>
        <v>0.791666666656965</v>
      </c>
      <c r="C123" s="0" t="n">
        <v>0</v>
      </c>
      <c r="D123" s="0" t="n">
        <v>489.527</v>
      </c>
      <c r="E123" s="0" t="n">
        <f aca="false">D123-0.155</f>
        <v>489.372</v>
      </c>
      <c r="F123" s="0" t="n">
        <v>489.545</v>
      </c>
      <c r="G123" s="0" t="n">
        <f aca="false">IF(E123 - F123 &lt; 0, 0, E123 - F123)</f>
        <v>0</v>
      </c>
      <c r="H123" s="0" t="n">
        <v>1.82</v>
      </c>
      <c r="I123" s="0" t="n">
        <f aca="false">1.82*30*(G123^1.5)</f>
        <v>0</v>
      </c>
      <c r="J123" s="0" t="n">
        <f aca="false">I123*60</f>
        <v>0</v>
      </c>
      <c r="K123" s="0" t="n">
        <f aca="false">(I123*86400)/24</f>
        <v>0</v>
      </c>
    </row>
    <row r="124" customFormat="false" ht="16.5" hidden="false" customHeight="false" outlineLevel="0" collapsed="false">
      <c r="A124" s="56" t="n">
        <v>45839.8333333333</v>
      </c>
      <c r="B124" s="57" t="n">
        <f aca="false">MOD(A124,1)</f>
        <v>0.833333333343035</v>
      </c>
      <c r="C124" s="0" t="n">
        <v>0</v>
      </c>
      <c r="D124" s="0" t="n">
        <v>489.533</v>
      </c>
      <c r="E124" s="0" t="n">
        <f aca="false">D124-0.155</f>
        <v>489.378</v>
      </c>
      <c r="F124" s="0" t="n">
        <v>489.545</v>
      </c>
      <c r="G124" s="0" t="n">
        <f aca="false">IF(E124 - F124 &lt; 0, 0, E124 - F124)</f>
        <v>0</v>
      </c>
      <c r="H124" s="0" t="n">
        <v>1.82</v>
      </c>
      <c r="I124" s="0" t="n">
        <f aca="false">1.82*30*(G124^1.5)</f>
        <v>0</v>
      </c>
      <c r="J124" s="0" t="n">
        <f aca="false">I124*60</f>
        <v>0</v>
      </c>
      <c r="K124" s="0" t="n">
        <f aca="false">(I124*86400)/24</f>
        <v>0</v>
      </c>
    </row>
    <row r="125" customFormat="false" ht="16.5" hidden="false" customHeight="false" outlineLevel="0" collapsed="false">
      <c r="A125" s="56" t="n">
        <v>45839.875</v>
      </c>
      <c r="B125" s="57" t="n">
        <f aca="false">MOD(A125,1)</f>
        <v>0.875</v>
      </c>
      <c r="C125" s="0" t="n">
        <v>0</v>
      </c>
      <c r="D125" s="0" t="n">
        <v>489.527</v>
      </c>
      <c r="E125" s="0" t="n">
        <f aca="false">D125-0.155</f>
        <v>489.372</v>
      </c>
      <c r="F125" s="0" t="n">
        <v>489.545</v>
      </c>
      <c r="G125" s="0" t="n">
        <f aca="false">IF(E125 - F125 &lt; 0, 0, E125 - F125)</f>
        <v>0</v>
      </c>
      <c r="H125" s="0" t="n">
        <v>1.82</v>
      </c>
      <c r="I125" s="0" t="n">
        <f aca="false">1.82*30*(G125^1.5)</f>
        <v>0</v>
      </c>
      <c r="J125" s="0" t="n">
        <f aca="false">I125*60</f>
        <v>0</v>
      </c>
      <c r="K125" s="0" t="n">
        <f aca="false">(I125*86400)/24</f>
        <v>0</v>
      </c>
    </row>
    <row r="126" customFormat="false" ht="16.5" hidden="false" customHeight="false" outlineLevel="0" collapsed="false">
      <c r="A126" s="56" t="n">
        <v>45839.9166666667</v>
      </c>
      <c r="B126" s="57" t="n">
        <f aca="false">MOD(A126,1)</f>
        <v>0.916666666656965</v>
      </c>
      <c r="C126" s="0" t="n">
        <v>0</v>
      </c>
      <c r="D126" s="0" t="n">
        <v>489.527</v>
      </c>
      <c r="E126" s="0" t="n">
        <f aca="false">D126-0.155</f>
        <v>489.372</v>
      </c>
      <c r="F126" s="0" t="n">
        <v>489.545</v>
      </c>
      <c r="G126" s="0" t="n">
        <f aca="false">IF(E126 - F126 &lt; 0, 0, E126 - F126)</f>
        <v>0</v>
      </c>
      <c r="H126" s="0" t="n">
        <v>1.82</v>
      </c>
      <c r="I126" s="0" t="n">
        <f aca="false">1.82*30*(G126^1.5)</f>
        <v>0</v>
      </c>
      <c r="J126" s="0" t="n">
        <f aca="false">I126*60</f>
        <v>0</v>
      </c>
      <c r="K126" s="0" t="n">
        <f aca="false">(I126*86400)/24</f>
        <v>0</v>
      </c>
    </row>
    <row r="127" customFormat="false" ht="16.5" hidden="false" customHeight="false" outlineLevel="0" collapsed="false">
      <c r="A127" s="56" t="n">
        <v>45839.9583333333</v>
      </c>
      <c r="B127" s="57" t="n">
        <f aca="false">MOD(A127,1)</f>
        <v>0.958333333343035</v>
      </c>
      <c r="C127" s="0" t="n">
        <v>0</v>
      </c>
      <c r="D127" s="0" t="n">
        <v>489.527</v>
      </c>
      <c r="E127" s="0" t="n">
        <f aca="false">D127-0.155</f>
        <v>489.372</v>
      </c>
      <c r="F127" s="0" t="n">
        <v>489.545</v>
      </c>
      <c r="G127" s="0" t="n">
        <f aca="false">IF(E127 - F127 &lt; 0, 0, E127 - F127)</f>
        <v>0</v>
      </c>
      <c r="H127" s="0" t="n">
        <v>1.82</v>
      </c>
      <c r="I127" s="0" t="n">
        <f aca="false">1.82*30*(G127^1.5)</f>
        <v>0</v>
      </c>
      <c r="J127" s="0" t="n">
        <f aca="false">I127*60</f>
        <v>0</v>
      </c>
      <c r="K127" s="0" t="n">
        <f aca="false">(I127*86400)/24</f>
        <v>0</v>
      </c>
    </row>
    <row r="128" customFormat="false" ht="16.5" hidden="false" customHeight="false" outlineLevel="0" collapsed="false">
      <c r="A128" s="56" t="n">
        <v>45840</v>
      </c>
      <c r="B128" s="57" t="n">
        <f aca="false">MOD(A128,1)</f>
        <v>0</v>
      </c>
      <c r="C128" s="0" t="n">
        <v>0</v>
      </c>
      <c r="D128" s="0" t="n">
        <v>489.527</v>
      </c>
      <c r="E128" s="0" t="n">
        <f aca="false">D128-0.155</f>
        <v>489.372</v>
      </c>
      <c r="F128" s="0" t="n">
        <v>489.545</v>
      </c>
      <c r="G128" s="0" t="n">
        <f aca="false">IF(E128 - F128 &lt; 0, 0, E128 - F128)</f>
        <v>0</v>
      </c>
      <c r="H128" s="0" t="n">
        <v>1.82</v>
      </c>
      <c r="I128" s="0" t="n">
        <f aca="false">1.82*30*(G128^1.5)</f>
        <v>0</v>
      </c>
      <c r="J128" s="0" t="n">
        <f aca="false">I128*60</f>
        <v>0</v>
      </c>
      <c r="K128" s="0" t="n">
        <f aca="false">(I128*86400)/24</f>
        <v>0</v>
      </c>
    </row>
    <row r="129" customFormat="false" ht="16.5" hidden="false" customHeight="false" outlineLevel="0" collapsed="false">
      <c r="A129" s="56" t="n">
        <v>45840.0416666667</v>
      </c>
      <c r="B129" s="57" t="n">
        <f aca="false">MOD(A129,1)</f>
        <v>0.0416666666569654</v>
      </c>
      <c r="C129" s="0" t="n">
        <v>0</v>
      </c>
      <c r="D129" s="0" t="n">
        <v>489.533</v>
      </c>
      <c r="E129" s="0" t="n">
        <f aca="false">D129-0.155</f>
        <v>489.378</v>
      </c>
      <c r="F129" s="0" t="n">
        <v>489.545</v>
      </c>
      <c r="G129" s="0" t="n">
        <f aca="false">IF(E129 - F129 &lt; 0, 0, E129 - F129)</f>
        <v>0</v>
      </c>
      <c r="H129" s="0" t="n">
        <v>1.82</v>
      </c>
      <c r="I129" s="0" t="n">
        <f aca="false">1.82*30*(G129^1.5)</f>
        <v>0</v>
      </c>
      <c r="J129" s="0" t="n">
        <f aca="false">I129*60</f>
        <v>0</v>
      </c>
      <c r="K129" s="0" t="n">
        <f aca="false">(I129*86400)/24</f>
        <v>0</v>
      </c>
    </row>
    <row r="130" customFormat="false" ht="16.5" hidden="false" customHeight="false" outlineLevel="0" collapsed="false">
      <c r="A130" s="56" t="n">
        <v>45840.0833333333</v>
      </c>
      <c r="B130" s="57" t="n">
        <f aca="false">MOD(A130,1)</f>
        <v>0.0833333333430346</v>
      </c>
      <c r="C130" s="0" t="n">
        <v>0</v>
      </c>
      <c r="D130" s="0" t="n">
        <v>489.527</v>
      </c>
      <c r="E130" s="0" t="n">
        <f aca="false">D130-0.155</f>
        <v>489.372</v>
      </c>
      <c r="F130" s="0" t="n">
        <v>489.545</v>
      </c>
      <c r="G130" s="0" t="n">
        <f aca="false">IF(E130 - F130 &lt; 0, 0, E130 - F130)</f>
        <v>0</v>
      </c>
      <c r="H130" s="0" t="n">
        <v>1.82</v>
      </c>
      <c r="I130" s="0" t="n">
        <f aca="false">1.82*30*(G130^1.5)</f>
        <v>0</v>
      </c>
      <c r="J130" s="0" t="n">
        <f aca="false">I130*60</f>
        <v>0</v>
      </c>
      <c r="K130" s="0" t="n">
        <f aca="false">(I130*86400)/24</f>
        <v>0</v>
      </c>
    </row>
    <row r="131" customFormat="false" ht="16.5" hidden="false" customHeight="false" outlineLevel="0" collapsed="false">
      <c r="A131" s="56" t="n">
        <v>45840.125</v>
      </c>
      <c r="B131" s="57" t="n">
        <f aca="false">MOD(A131,1)</f>
        <v>0.125</v>
      </c>
      <c r="C131" s="0" t="n">
        <v>0</v>
      </c>
      <c r="D131" s="0" t="n">
        <v>489.533</v>
      </c>
      <c r="E131" s="0" t="n">
        <f aca="false">D131-0.155</f>
        <v>489.378</v>
      </c>
      <c r="F131" s="0" t="n">
        <v>489.545</v>
      </c>
      <c r="G131" s="0" t="n">
        <f aca="false">IF(E131 - F131 &lt; 0, 0, E131 - F131)</f>
        <v>0</v>
      </c>
      <c r="H131" s="0" t="n">
        <v>1.82</v>
      </c>
      <c r="I131" s="0" t="n">
        <f aca="false">1.82*30*(G131^1.5)</f>
        <v>0</v>
      </c>
      <c r="J131" s="0" t="n">
        <f aca="false">I131*60</f>
        <v>0</v>
      </c>
      <c r="K131" s="0" t="n">
        <f aca="false">(I131*86400)/24</f>
        <v>0</v>
      </c>
    </row>
    <row r="132" customFormat="false" ht="16.5" hidden="false" customHeight="false" outlineLevel="0" collapsed="false">
      <c r="A132" s="56" t="n">
        <v>45840.1666666667</v>
      </c>
      <c r="B132" s="57" t="n">
        <f aca="false">MOD(A132,1)</f>
        <v>0.166666666656965</v>
      </c>
      <c r="C132" s="0" t="n">
        <v>0</v>
      </c>
      <c r="D132" s="0" t="n">
        <v>489.527</v>
      </c>
      <c r="E132" s="0" t="n">
        <f aca="false">D132-0.155</f>
        <v>489.372</v>
      </c>
      <c r="F132" s="0" t="n">
        <v>489.545</v>
      </c>
      <c r="G132" s="0" t="n">
        <f aca="false">IF(E132 - F132 &lt; 0, 0, E132 - F132)</f>
        <v>0</v>
      </c>
      <c r="H132" s="0" t="n">
        <v>1.82</v>
      </c>
      <c r="I132" s="0" t="n">
        <f aca="false">1.82*30*(G132^1.5)</f>
        <v>0</v>
      </c>
      <c r="J132" s="0" t="n">
        <f aca="false">I132*60</f>
        <v>0</v>
      </c>
      <c r="K132" s="0" t="n">
        <f aca="false">(I132*86400)/24</f>
        <v>0</v>
      </c>
    </row>
    <row r="133" customFormat="false" ht="16.5" hidden="false" customHeight="false" outlineLevel="0" collapsed="false">
      <c r="A133" s="56" t="n">
        <v>45840.2083333333</v>
      </c>
      <c r="B133" s="57" t="n">
        <f aca="false">MOD(A133,1)</f>
        <v>0.208333333343035</v>
      </c>
      <c r="C133" s="0" t="n">
        <v>0</v>
      </c>
      <c r="D133" s="0" t="n">
        <v>489.527</v>
      </c>
      <c r="E133" s="0" t="n">
        <f aca="false">D133-0.155</f>
        <v>489.372</v>
      </c>
      <c r="F133" s="0" t="n">
        <v>489.545</v>
      </c>
      <c r="G133" s="0" t="n">
        <f aca="false">IF(E133 - F133 &lt; 0, 0, E133 - F133)</f>
        <v>0</v>
      </c>
      <c r="H133" s="0" t="n">
        <v>1.82</v>
      </c>
      <c r="I133" s="0" t="n">
        <f aca="false">1.82*30*(G133^1.5)</f>
        <v>0</v>
      </c>
      <c r="J133" s="0" t="n">
        <f aca="false">I133*60</f>
        <v>0</v>
      </c>
      <c r="K133" s="0" t="n">
        <f aca="false">(I133*86400)/24</f>
        <v>0</v>
      </c>
    </row>
    <row r="134" customFormat="false" ht="16.5" hidden="false" customHeight="false" outlineLevel="0" collapsed="false">
      <c r="A134" s="56" t="n">
        <v>45840.25</v>
      </c>
      <c r="B134" s="57" t="n">
        <f aca="false">MOD(A134,1)</f>
        <v>0.25</v>
      </c>
      <c r="C134" s="0" t="n">
        <v>0</v>
      </c>
      <c r="D134" s="0" t="n">
        <v>489.527</v>
      </c>
      <c r="E134" s="0" t="n">
        <f aca="false">D134-0.155</f>
        <v>489.372</v>
      </c>
      <c r="F134" s="0" t="n">
        <v>489.545</v>
      </c>
      <c r="G134" s="0" t="n">
        <f aca="false">IF(E134 - F134 &lt; 0, 0, E134 - F134)</f>
        <v>0</v>
      </c>
      <c r="H134" s="0" t="n">
        <v>1.82</v>
      </c>
      <c r="I134" s="0" t="n">
        <f aca="false">1.82*30*(G134^1.5)</f>
        <v>0</v>
      </c>
      <c r="J134" s="0" t="n">
        <f aca="false">I134*60</f>
        <v>0</v>
      </c>
      <c r="K134" s="0" t="n">
        <f aca="false">(I134*86400)/24</f>
        <v>0</v>
      </c>
    </row>
    <row r="135" customFormat="false" ht="16.5" hidden="false" customHeight="false" outlineLevel="0" collapsed="false">
      <c r="A135" s="56" t="n">
        <v>45840.2916666667</v>
      </c>
      <c r="B135" s="57" t="n">
        <f aca="false">MOD(A135,1)</f>
        <v>0.291666666656965</v>
      </c>
      <c r="C135" s="0" t="n">
        <v>0</v>
      </c>
      <c r="D135" s="0" t="n">
        <v>489.533</v>
      </c>
      <c r="E135" s="0" t="n">
        <f aca="false">D135-0.155</f>
        <v>489.378</v>
      </c>
      <c r="F135" s="0" t="n">
        <v>489.545</v>
      </c>
      <c r="G135" s="0" t="n">
        <f aca="false">IF(E135 - F135 &lt; 0, 0, E135 - F135)</f>
        <v>0</v>
      </c>
      <c r="H135" s="0" t="n">
        <v>1.82</v>
      </c>
      <c r="I135" s="0" t="n">
        <f aca="false">1.82*30*(G135^1.5)</f>
        <v>0</v>
      </c>
      <c r="J135" s="0" t="n">
        <f aca="false">I135*60</f>
        <v>0</v>
      </c>
      <c r="K135" s="0" t="n">
        <f aca="false">(I135*86400)/24</f>
        <v>0</v>
      </c>
    </row>
    <row r="136" customFormat="false" ht="16.5" hidden="false" customHeight="false" outlineLevel="0" collapsed="false">
      <c r="A136" s="56" t="n">
        <v>45840.3333333333</v>
      </c>
      <c r="B136" s="57" t="n">
        <f aca="false">MOD(A136,1)</f>
        <v>0.333333333343035</v>
      </c>
      <c r="C136" s="0" t="n">
        <v>0</v>
      </c>
      <c r="D136" s="0" t="n">
        <v>489.533</v>
      </c>
      <c r="E136" s="0" t="n">
        <f aca="false">D136-0.155</f>
        <v>489.378</v>
      </c>
      <c r="F136" s="0" t="n">
        <v>489.545</v>
      </c>
      <c r="G136" s="0" t="n">
        <f aca="false">IF(E136 - F136 &lt; 0, 0, E136 - F136)</f>
        <v>0</v>
      </c>
      <c r="H136" s="0" t="n">
        <v>1.82</v>
      </c>
      <c r="I136" s="0" t="n">
        <f aca="false">1.82*30*(G136^1.5)</f>
        <v>0</v>
      </c>
      <c r="J136" s="0" t="n">
        <f aca="false">I136*60</f>
        <v>0</v>
      </c>
      <c r="K136" s="0" t="n">
        <f aca="false">(I136*86400)/24</f>
        <v>0</v>
      </c>
    </row>
    <row r="137" customFormat="false" ht="16.5" hidden="false" customHeight="false" outlineLevel="0" collapsed="false">
      <c r="A137" s="56" t="n">
        <v>45840.375</v>
      </c>
      <c r="B137" s="57" t="n">
        <f aca="false">MOD(A137,1)</f>
        <v>0.375</v>
      </c>
      <c r="C137" s="0" t="n">
        <v>0</v>
      </c>
      <c r="D137" s="0" t="n">
        <v>489.533</v>
      </c>
      <c r="E137" s="0" t="n">
        <f aca="false">D137-0.155</f>
        <v>489.378</v>
      </c>
      <c r="F137" s="0" t="n">
        <v>489.545</v>
      </c>
      <c r="G137" s="0" t="n">
        <f aca="false">IF(E137 - F137 &lt; 0, 0, E137 - F137)</f>
        <v>0</v>
      </c>
      <c r="H137" s="0" t="n">
        <v>1.82</v>
      </c>
      <c r="I137" s="0" t="n">
        <f aca="false">1.82*30*(G137^1.5)</f>
        <v>0</v>
      </c>
      <c r="J137" s="0" t="n">
        <f aca="false">I137*60</f>
        <v>0</v>
      </c>
      <c r="K137" s="0" t="n">
        <f aca="false">(I137*86400)/24</f>
        <v>0</v>
      </c>
    </row>
    <row r="138" customFormat="false" ht="16.5" hidden="false" customHeight="false" outlineLevel="0" collapsed="false">
      <c r="A138" s="56" t="n">
        <v>45840.4166666667</v>
      </c>
      <c r="B138" s="57" t="n">
        <f aca="false">MOD(A138,1)</f>
        <v>0.416666666656965</v>
      </c>
      <c r="C138" s="0" t="n">
        <v>0</v>
      </c>
      <c r="D138" s="0" t="n">
        <v>489.526</v>
      </c>
      <c r="E138" s="0" t="n">
        <f aca="false">D138-0.155</f>
        <v>489.371</v>
      </c>
      <c r="F138" s="0" t="n">
        <v>489.545</v>
      </c>
      <c r="G138" s="0" t="n">
        <f aca="false">IF(E138 - F138 &lt; 0, 0, E138 - F138)</f>
        <v>0</v>
      </c>
      <c r="H138" s="0" t="n">
        <v>1.82</v>
      </c>
      <c r="I138" s="0" t="n">
        <f aca="false">1.82*30*(G138^1.5)</f>
        <v>0</v>
      </c>
      <c r="J138" s="0" t="n">
        <f aca="false">I138*60</f>
        <v>0</v>
      </c>
      <c r="K138" s="0" t="n">
        <f aca="false">(I138*86400)/24</f>
        <v>0</v>
      </c>
    </row>
    <row r="139" customFormat="false" ht="16.5" hidden="false" customHeight="false" outlineLevel="0" collapsed="false">
      <c r="A139" s="56" t="n">
        <v>45840.4583333333</v>
      </c>
      <c r="B139" s="57" t="n">
        <f aca="false">MOD(A139,1)</f>
        <v>0.458333333343035</v>
      </c>
      <c r="C139" s="0" t="n">
        <v>0</v>
      </c>
      <c r="D139" s="0" t="n">
        <v>489.533</v>
      </c>
      <c r="E139" s="0" t="n">
        <f aca="false">D139-0.155</f>
        <v>489.378</v>
      </c>
      <c r="F139" s="0" t="n">
        <v>489.545</v>
      </c>
      <c r="G139" s="0" t="n">
        <f aca="false">IF(E139 - F139 &lt; 0, 0, E139 - F139)</f>
        <v>0</v>
      </c>
      <c r="H139" s="0" t="n">
        <v>1.82</v>
      </c>
      <c r="I139" s="0" t="n">
        <f aca="false">1.82*30*(G139^1.5)</f>
        <v>0</v>
      </c>
      <c r="J139" s="0" t="n">
        <f aca="false">I139*60</f>
        <v>0</v>
      </c>
      <c r="K139" s="0" t="n">
        <f aca="false">(I139*86400)/24</f>
        <v>0</v>
      </c>
    </row>
    <row r="140" customFormat="false" ht="16.5" hidden="false" customHeight="false" outlineLevel="0" collapsed="false">
      <c r="A140" s="56" t="n">
        <v>45840.5</v>
      </c>
      <c r="B140" s="57" t="n">
        <f aca="false">MOD(A140,1)</f>
        <v>0.5</v>
      </c>
      <c r="C140" s="0" t="n">
        <v>0</v>
      </c>
      <c r="D140" s="0" t="n">
        <v>489.533</v>
      </c>
      <c r="E140" s="0" t="n">
        <f aca="false">D140-0.155</f>
        <v>489.378</v>
      </c>
      <c r="F140" s="0" t="n">
        <v>489.545</v>
      </c>
      <c r="G140" s="0" t="n">
        <f aca="false">IF(E140 - F140 &lt; 0, 0, E140 - F140)</f>
        <v>0</v>
      </c>
      <c r="H140" s="0" t="n">
        <v>1.82</v>
      </c>
      <c r="I140" s="0" t="n">
        <f aca="false">1.82*30*(G140^1.5)</f>
        <v>0</v>
      </c>
      <c r="J140" s="0" t="n">
        <f aca="false">I140*60</f>
        <v>0</v>
      </c>
      <c r="K140" s="0" t="n">
        <f aca="false">(I140*86400)/24</f>
        <v>0</v>
      </c>
    </row>
    <row r="141" customFormat="false" ht="16.5" hidden="false" customHeight="false" outlineLevel="0" collapsed="false">
      <c r="A141" s="56" t="n">
        <v>45840.5416666667</v>
      </c>
      <c r="B141" s="57" t="n">
        <f aca="false">MOD(A141,1)</f>
        <v>0.541666666656965</v>
      </c>
      <c r="C141" s="0" t="n">
        <v>0</v>
      </c>
      <c r="D141" s="0" t="n">
        <v>489.533</v>
      </c>
      <c r="E141" s="0" t="n">
        <f aca="false">D141-0.155</f>
        <v>489.378</v>
      </c>
      <c r="F141" s="0" t="n">
        <v>489.545</v>
      </c>
      <c r="G141" s="0" t="n">
        <f aca="false">IF(E141 - F141 &lt; 0, 0, E141 - F141)</f>
        <v>0</v>
      </c>
      <c r="H141" s="0" t="n">
        <v>1.82</v>
      </c>
      <c r="I141" s="0" t="n">
        <f aca="false">1.82*30*(G141^1.5)</f>
        <v>0</v>
      </c>
      <c r="J141" s="0" t="n">
        <f aca="false">I141*60</f>
        <v>0</v>
      </c>
      <c r="K141" s="0" t="n">
        <f aca="false">(I141*86400)/24</f>
        <v>0</v>
      </c>
    </row>
    <row r="142" customFormat="false" ht="16.5" hidden="false" customHeight="false" outlineLevel="0" collapsed="false">
      <c r="A142" s="56" t="n">
        <v>45840.5833333333</v>
      </c>
      <c r="B142" s="57" t="n">
        <f aca="false">MOD(A142,1)</f>
        <v>0.583333333343035</v>
      </c>
      <c r="C142" s="0" t="n">
        <v>0</v>
      </c>
      <c r="D142" s="0" t="n">
        <v>489.533</v>
      </c>
      <c r="E142" s="0" t="n">
        <f aca="false">D142-0.155</f>
        <v>489.378</v>
      </c>
      <c r="F142" s="0" t="n">
        <v>489.545</v>
      </c>
      <c r="G142" s="0" t="n">
        <f aca="false">IF(E142 - F142 &lt; 0, 0, E142 - F142)</f>
        <v>0</v>
      </c>
      <c r="H142" s="0" t="n">
        <v>1.82</v>
      </c>
      <c r="I142" s="0" t="n">
        <f aca="false">1.82*30*(G142^1.5)</f>
        <v>0</v>
      </c>
      <c r="J142" s="0" t="n">
        <f aca="false">I142*60</f>
        <v>0</v>
      </c>
      <c r="K142" s="0" t="n">
        <f aca="false">(I142*86400)/24</f>
        <v>0</v>
      </c>
    </row>
    <row r="143" customFormat="false" ht="16.5" hidden="false" customHeight="false" outlineLevel="0" collapsed="false">
      <c r="A143" s="56" t="n">
        <v>45840.625</v>
      </c>
      <c r="B143" s="57" t="n">
        <f aca="false">MOD(A143,1)</f>
        <v>0.625</v>
      </c>
      <c r="C143" s="0" t="n">
        <v>0</v>
      </c>
      <c r="D143" s="0" t="n">
        <v>489.526</v>
      </c>
      <c r="E143" s="0" t="n">
        <f aca="false">D143-0.155</f>
        <v>489.371</v>
      </c>
      <c r="F143" s="0" t="n">
        <v>489.545</v>
      </c>
      <c r="G143" s="0" t="n">
        <f aca="false">IF(E143 - F143 &lt; 0, 0, E143 - F143)</f>
        <v>0</v>
      </c>
      <c r="H143" s="0" t="n">
        <v>1.82</v>
      </c>
      <c r="I143" s="0" t="n">
        <f aca="false">1.82*30*(G143^1.5)</f>
        <v>0</v>
      </c>
      <c r="J143" s="0" t="n">
        <f aca="false">I143*60</f>
        <v>0</v>
      </c>
      <c r="K143" s="0" t="n">
        <f aca="false">(I143*86400)/24</f>
        <v>0</v>
      </c>
    </row>
    <row r="144" customFormat="false" ht="16.5" hidden="false" customHeight="false" outlineLevel="0" collapsed="false">
      <c r="A144" s="56" t="n">
        <v>45840.6666666667</v>
      </c>
      <c r="B144" s="57" t="n">
        <f aca="false">MOD(A144,1)</f>
        <v>0.666666666656965</v>
      </c>
      <c r="C144" s="0" t="n">
        <v>0</v>
      </c>
      <c r="D144" s="0" t="n">
        <v>489.527</v>
      </c>
      <c r="E144" s="0" t="n">
        <f aca="false">D144-0.155</f>
        <v>489.372</v>
      </c>
      <c r="F144" s="0" t="n">
        <v>489.545</v>
      </c>
      <c r="G144" s="0" t="n">
        <f aca="false">IF(E144 - F144 &lt; 0, 0, E144 - F144)</f>
        <v>0</v>
      </c>
      <c r="H144" s="0" t="n">
        <v>1.82</v>
      </c>
      <c r="I144" s="0" t="n">
        <f aca="false">1.82*30*(G144^1.5)</f>
        <v>0</v>
      </c>
      <c r="J144" s="0" t="n">
        <f aca="false">I144*60</f>
        <v>0</v>
      </c>
      <c r="K144" s="0" t="n">
        <f aca="false">(I144*86400)/24</f>
        <v>0</v>
      </c>
    </row>
    <row r="145" customFormat="false" ht="16.5" hidden="false" customHeight="false" outlineLevel="0" collapsed="false">
      <c r="A145" s="56" t="n">
        <v>45840.7083333333</v>
      </c>
      <c r="B145" s="57" t="n">
        <f aca="false">MOD(A145,1)</f>
        <v>0.708333333343035</v>
      </c>
      <c r="C145" s="0" t="n">
        <v>0</v>
      </c>
      <c r="D145" s="0" t="n">
        <v>489.533</v>
      </c>
      <c r="E145" s="0" t="n">
        <f aca="false">D145-0.155</f>
        <v>489.378</v>
      </c>
      <c r="F145" s="0" t="n">
        <v>489.545</v>
      </c>
      <c r="G145" s="0" t="n">
        <f aca="false">IF(E145 - F145 &lt; 0, 0, E145 - F145)</f>
        <v>0</v>
      </c>
      <c r="H145" s="0" t="n">
        <v>1.82</v>
      </c>
      <c r="I145" s="0" t="n">
        <f aca="false">1.82*30*(G145^1.5)</f>
        <v>0</v>
      </c>
      <c r="J145" s="0" t="n">
        <f aca="false">I145*60</f>
        <v>0</v>
      </c>
      <c r="K145" s="0" t="n">
        <f aca="false">(I145*86400)/24</f>
        <v>0</v>
      </c>
    </row>
    <row r="146" customFormat="false" ht="16.5" hidden="false" customHeight="false" outlineLevel="0" collapsed="false">
      <c r="A146" s="56" t="n">
        <v>45840.75</v>
      </c>
      <c r="B146" s="57" t="n">
        <f aca="false">MOD(A146,1)</f>
        <v>0.75</v>
      </c>
      <c r="C146" s="0" t="n">
        <v>0</v>
      </c>
      <c r="D146" s="0" t="n">
        <v>489.533</v>
      </c>
      <c r="E146" s="0" t="n">
        <f aca="false">D146-0.155</f>
        <v>489.378</v>
      </c>
      <c r="F146" s="0" t="n">
        <v>489.545</v>
      </c>
      <c r="G146" s="0" t="n">
        <f aca="false">IF(E146 - F146 &lt; 0, 0, E146 - F146)</f>
        <v>0</v>
      </c>
      <c r="H146" s="0" t="n">
        <v>1.82</v>
      </c>
      <c r="I146" s="0" t="n">
        <f aca="false">1.82*30*(G146^1.5)</f>
        <v>0</v>
      </c>
      <c r="J146" s="0" t="n">
        <f aca="false">I146*60</f>
        <v>0</v>
      </c>
      <c r="K146" s="0" t="n">
        <f aca="false">(I146*86400)/24</f>
        <v>0</v>
      </c>
    </row>
    <row r="147" customFormat="false" ht="16.5" hidden="false" customHeight="false" outlineLevel="0" collapsed="false">
      <c r="A147" s="56" t="n">
        <v>45840.7916666667</v>
      </c>
      <c r="B147" s="57" t="n">
        <f aca="false">MOD(A147,1)</f>
        <v>0.791666666656965</v>
      </c>
      <c r="C147" s="0" t="n">
        <v>0</v>
      </c>
      <c r="D147" s="0" t="n">
        <v>489.533</v>
      </c>
      <c r="E147" s="0" t="n">
        <f aca="false">D147-0.155</f>
        <v>489.378</v>
      </c>
      <c r="F147" s="0" t="n">
        <v>489.545</v>
      </c>
      <c r="G147" s="0" t="n">
        <f aca="false">IF(E147 - F147 &lt; 0, 0, E147 - F147)</f>
        <v>0</v>
      </c>
      <c r="H147" s="0" t="n">
        <v>1.82</v>
      </c>
      <c r="I147" s="0" t="n">
        <f aca="false">1.82*30*(G147^1.5)</f>
        <v>0</v>
      </c>
      <c r="J147" s="0" t="n">
        <f aca="false">I147*60</f>
        <v>0</v>
      </c>
      <c r="K147" s="0" t="n">
        <f aca="false">(I147*86400)/24</f>
        <v>0</v>
      </c>
    </row>
    <row r="148" customFormat="false" ht="16.5" hidden="false" customHeight="false" outlineLevel="0" collapsed="false">
      <c r="A148" s="56" t="n">
        <v>45840.8333333333</v>
      </c>
      <c r="B148" s="57" t="n">
        <f aca="false">MOD(A148,1)</f>
        <v>0.833333333343035</v>
      </c>
      <c r="C148" s="0" t="n">
        <v>0</v>
      </c>
      <c r="D148" s="0" t="n">
        <v>489.533</v>
      </c>
      <c r="E148" s="0" t="n">
        <f aca="false">D148-0.155</f>
        <v>489.378</v>
      </c>
      <c r="F148" s="0" t="n">
        <v>489.545</v>
      </c>
      <c r="G148" s="0" t="n">
        <f aca="false">IF(E148 - F148 &lt; 0, 0, E148 - F148)</f>
        <v>0</v>
      </c>
      <c r="H148" s="0" t="n">
        <v>1.82</v>
      </c>
      <c r="I148" s="0" t="n">
        <f aca="false">1.82*30*(G148^1.5)</f>
        <v>0</v>
      </c>
      <c r="J148" s="0" t="n">
        <f aca="false">I148*60</f>
        <v>0</v>
      </c>
      <c r="K148" s="0" t="n">
        <f aca="false">(I148*86400)/24</f>
        <v>0</v>
      </c>
    </row>
    <row r="149" customFormat="false" ht="16.5" hidden="false" customHeight="false" outlineLevel="0" collapsed="false">
      <c r="A149" s="56" t="n">
        <v>45840.875</v>
      </c>
      <c r="B149" s="57" t="n">
        <f aca="false">MOD(A149,1)</f>
        <v>0.875</v>
      </c>
      <c r="C149" s="0" t="n">
        <v>0</v>
      </c>
      <c r="D149" s="0" t="n">
        <v>489.533</v>
      </c>
      <c r="E149" s="0" t="n">
        <f aca="false">D149-0.155</f>
        <v>489.378</v>
      </c>
      <c r="F149" s="0" t="n">
        <v>489.545</v>
      </c>
      <c r="G149" s="0" t="n">
        <f aca="false">IF(E149 - F149 &lt; 0, 0, E149 - F149)</f>
        <v>0</v>
      </c>
      <c r="H149" s="0" t="n">
        <v>1.82</v>
      </c>
      <c r="I149" s="0" t="n">
        <f aca="false">1.82*30*(G149^1.5)</f>
        <v>0</v>
      </c>
      <c r="J149" s="0" t="n">
        <f aca="false">I149*60</f>
        <v>0</v>
      </c>
      <c r="K149" s="0" t="n">
        <f aca="false">(I149*86400)/24</f>
        <v>0</v>
      </c>
    </row>
    <row r="150" customFormat="false" ht="16.5" hidden="false" customHeight="false" outlineLevel="0" collapsed="false">
      <c r="A150" s="56" t="n">
        <v>45840.9166666667</v>
      </c>
      <c r="B150" s="57" t="n">
        <f aca="false">MOD(A150,1)</f>
        <v>0.916666666656965</v>
      </c>
      <c r="C150" s="0" t="n">
        <v>0</v>
      </c>
      <c r="D150" s="0" t="n">
        <v>489.533</v>
      </c>
      <c r="E150" s="0" t="n">
        <f aca="false">D150-0.155</f>
        <v>489.378</v>
      </c>
      <c r="F150" s="0" t="n">
        <v>489.545</v>
      </c>
      <c r="G150" s="0" t="n">
        <f aca="false">IF(E150 - F150 &lt; 0, 0, E150 - F150)</f>
        <v>0</v>
      </c>
      <c r="H150" s="0" t="n">
        <v>1.82</v>
      </c>
      <c r="I150" s="0" t="n">
        <f aca="false">1.82*30*(G150^1.5)</f>
        <v>0</v>
      </c>
      <c r="J150" s="0" t="n">
        <f aca="false">I150*60</f>
        <v>0</v>
      </c>
      <c r="K150" s="0" t="n">
        <f aca="false">(I150*86400)/24</f>
        <v>0</v>
      </c>
    </row>
    <row r="151" customFormat="false" ht="16.5" hidden="false" customHeight="false" outlineLevel="0" collapsed="false">
      <c r="A151" s="56" t="n">
        <v>45840.9583333333</v>
      </c>
      <c r="B151" s="57" t="n">
        <f aca="false">MOD(A151,1)</f>
        <v>0.958333333343035</v>
      </c>
      <c r="C151" s="0" t="n">
        <v>0</v>
      </c>
      <c r="D151" s="0" t="n">
        <v>489.527</v>
      </c>
      <c r="E151" s="0" t="n">
        <f aca="false">D151-0.155</f>
        <v>489.372</v>
      </c>
      <c r="F151" s="0" t="n">
        <v>489.545</v>
      </c>
      <c r="G151" s="0" t="n">
        <f aca="false">IF(E151 - F151 &lt; 0, 0, E151 - F151)</f>
        <v>0</v>
      </c>
      <c r="H151" s="0" t="n">
        <v>1.82</v>
      </c>
      <c r="I151" s="0" t="n">
        <f aca="false">1.82*30*(G151^1.5)</f>
        <v>0</v>
      </c>
      <c r="J151" s="0" t="n">
        <f aca="false">I151*60</f>
        <v>0</v>
      </c>
      <c r="K151" s="0" t="n">
        <f aca="false">(I151*86400)/24</f>
        <v>0</v>
      </c>
    </row>
    <row r="152" customFormat="false" ht="16.5" hidden="false" customHeight="false" outlineLevel="0" collapsed="false">
      <c r="A152" s="56" t="n">
        <v>45841</v>
      </c>
      <c r="B152" s="57" t="n">
        <f aca="false">MOD(A152,1)</f>
        <v>0</v>
      </c>
      <c r="C152" s="0" t="n">
        <v>0</v>
      </c>
      <c r="D152" s="0" t="n">
        <v>489.533</v>
      </c>
      <c r="E152" s="0" t="n">
        <f aca="false">D152-0.155</f>
        <v>489.378</v>
      </c>
      <c r="F152" s="0" t="n">
        <v>489.545</v>
      </c>
      <c r="G152" s="0" t="n">
        <f aca="false">IF(E152 - F152 &lt; 0, 0, E152 - F152)</f>
        <v>0</v>
      </c>
      <c r="H152" s="0" t="n">
        <v>1.82</v>
      </c>
      <c r="I152" s="0" t="n">
        <f aca="false">1.82*30*(G152^1.5)</f>
        <v>0</v>
      </c>
      <c r="J152" s="0" t="n">
        <f aca="false">I152*60</f>
        <v>0</v>
      </c>
      <c r="K152" s="0" t="n">
        <f aca="false">(I152*86400)/24</f>
        <v>0</v>
      </c>
    </row>
    <row r="153" customFormat="false" ht="16.5" hidden="false" customHeight="false" outlineLevel="0" collapsed="false">
      <c r="A153" s="56" t="n">
        <v>45841.0416666667</v>
      </c>
      <c r="B153" s="57" t="n">
        <f aca="false">MOD(A153,1)</f>
        <v>0.0416666666569654</v>
      </c>
      <c r="C153" s="0" t="n">
        <v>0</v>
      </c>
      <c r="D153" s="0" t="n">
        <v>489.533</v>
      </c>
      <c r="E153" s="0" t="n">
        <f aca="false">D153-0.155</f>
        <v>489.378</v>
      </c>
      <c r="F153" s="0" t="n">
        <v>489.545</v>
      </c>
      <c r="G153" s="0" t="n">
        <f aca="false">IF(E153 - F153 &lt; 0, 0, E153 - F153)</f>
        <v>0</v>
      </c>
      <c r="H153" s="0" t="n">
        <v>1.82</v>
      </c>
      <c r="I153" s="0" t="n">
        <f aca="false">1.82*30*(G153^1.5)</f>
        <v>0</v>
      </c>
      <c r="J153" s="0" t="n">
        <f aca="false">I153*60</f>
        <v>0</v>
      </c>
      <c r="K153" s="0" t="n">
        <f aca="false">(I153*86400)/24</f>
        <v>0</v>
      </c>
    </row>
    <row r="154" customFormat="false" ht="16.5" hidden="false" customHeight="false" outlineLevel="0" collapsed="false">
      <c r="A154" s="56" t="n">
        <v>45841.0833333333</v>
      </c>
      <c r="B154" s="57" t="n">
        <f aca="false">MOD(A154,1)</f>
        <v>0.0833333333430346</v>
      </c>
      <c r="C154" s="0" t="n">
        <v>0</v>
      </c>
      <c r="D154" s="0" t="n">
        <v>489.533</v>
      </c>
      <c r="E154" s="0" t="n">
        <f aca="false">D154-0.155</f>
        <v>489.378</v>
      </c>
      <c r="F154" s="0" t="n">
        <v>489.545</v>
      </c>
      <c r="G154" s="0" t="n">
        <f aca="false">IF(E154 - F154 &lt; 0, 0, E154 - F154)</f>
        <v>0</v>
      </c>
      <c r="H154" s="0" t="n">
        <v>1.82</v>
      </c>
      <c r="I154" s="0" t="n">
        <f aca="false">1.82*30*(G154^1.5)</f>
        <v>0</v>
      </c>
      <c r="J154" s="0" t="n">
        <f aca="false">I154*60</f>
        <v>0</v>
      </c>
      <c r="K154" s="0" t="n">
        <f aca="false">(I154*86400)/24</f>
        <v>0</v>
      </c>
    </row>
    <row r="155" customFormat="false" ht="16.5" hidden="false" customHeight="false" outlineLevel="0" collapsed="false">
      <c r="A155" s="56" t="n">
        <v>45841.125</v>
      </c>
      <c r="B155" s="57" t="n">
        <f aca="false">MOD(A155,1)</f>
        <v>0.125</v>
      </c>
      <c r="C155" s="0" t="n">
        <v>0</v>
      </c>
      <c r="D155" s="0" t="n">
        <v>489.533</v>
      </c>
      <c r="E155" s="0" t="n">
        <f aca="false">D155-0.155</f>
        <v>489.378</v>
      </c>
      <c r="F155" s="0" t="n">
        <v>489.545</v>
      </c>
      <c r="G155" s="0" t="n">
        <f aca="false">IF(E155 - F155 &lt; 0, 0, E155 - F155)</f>
        <v>0</v>
      </c>
      <c r="H155" s="0" t="n">
        <v>1.82</v>
      </c>
      <c r="I155" s="0" t="n">
        <f aca="false">1.82*30*(G155^1.5)</f>
        <v>0</v>
      </c>
      <c r="J155" s="0" t="n">
        <f aca="false">I155*60</f>
        <v>0</v>
      </c>
      <c r="K155" s="0" t="n">
        <f aca="false">(I155*86400)/24</f>
        <v>0</v>
      </c>
    </row>
    <row r="156" customFormat="false" ht="16.5" hidden="false" customHeight="false" outlineLevel="0" collapsed="false">
      <c r="A156" s="56" t="n">
        <v>45841.1666666667</v>
      </c>
      <c r="B156" s="57" t="n">
        <f aca="false">MOD(A156,1)</f>
        <v>0.166666666656965</v>
      </c>
      <c r="C156" s="0" t="n">
        <v>0</v>
      </c>
      <c r="D156" s="0" t="n">
        <v>489.533</v>
      </c>
      <c r="E156" s="0" t="n">
        <f aca="false">D156-0.155</f>
        <v>489.378</v>
      </c>
      <c r="F156" s="0" t="n">
        <v>489.545</v>
      </c>
      <c r="G156" s="0" t="n">
        <f aca="false">IF(E156 - F156 &lt; 0, 0, E156 - F156)</f>
        <v>0</v>
      </c>
      <c r="H156" s="0" t="n">
        <v>1.82</v>
      </c>
      <c r="I156" s="0" t="n">
        <f aca="false">1.82*30*(G156^1.5)</f>
        <v>0</v>
      </c>
      <c r="J156" s="0" t="n">
        <f aca="false">I156*60</f>
        <v>0</v>
      </c>
      <c r="K156" s="0" t="n">
        <f aca="false">(I156*86400)/24</f>
        <v>0</v>
      </c>
    </row>
    <row r="157" customFormat="false" ht="16.5" hidden="false" customHeight="false" outlineLevel="0" collapsed="false">
      <c r="A157" s="56" t="n">
        <v>45841.2083333333</v>
      </c>
      <c r="B157" s="57" t="n">
        <f aca="false">MOD(A157,1)</f>
        <v>0.208333333343035</v>
      </c>
      <c r="C157" s="0" t="n">
        <v>0</v>
      </c>
      <c r="D157" s="0" t="n">
        <v>489.533</v>
      </c>
      <c r="E157" s="0" t="n">
        <f aca="false">D157-0.155</f>
        <v>489.378</v>
      </c>
      <c r="F157" s="0" t="n">
        <v>489.545</v>
      </c>
      <c r="G157" s="0" t="n">
        <f aca="false">IF(E157 - F157 &lt; 0, 0, E157 - F157)</f>
        <v>0</v>
      </c>
      <c r="H157" s="0" t="n">
        <v>1.82</v>
      </c>
      <c r="I157" s="0" t="n">
        <f aca="false">1.82*30*(G157^1.5)</f>
        <v>0</v>
      </c>
      <c r="J157" s="0" t="n">
        <f aca="false">I157*60</f>
        <v>0</v>
      </c>
      <c r="K157" s="0" t="n">
        <f aca="false">(I157*86400)/24</f>
        <v>0</v>
      </c>
    </row>
    <row r="158" customFormat="false" ht="16.5" hidden="false" customHeight="false" outlineLevel="0" collapsed="false">
      <c r="A158" s="56" t="n">
        <v>45841.25</v>
      </c>
      <c r="B158" s="57" t="n">
        <f aca="false">MOD(A158,1)</f>
        <v>0.25</v>
      </c>
      <c r="C158" s="0" t="n">
        <v>0</v>
      </c>
      <c r="D158" s="0" t="n">
        <v>489.533</v>
      </c>
      <c r="E158" s="0" t="n">
        <f aca="false">D158-0.155</f>
        <v>489.378</v>
      </c>
      <c r="F158" s="0" t="n">
        <v>489.545</v>
      </c>
      <c r="G158" s="0" t="n">
        <f aca="false">IF(E158 - F158 &lt; 0, 0, E158 - F158)</f>
        <v>0</v>
      </c>
      <c r="H158" s="0" t="n">
        <v>1.82</v>
      </c>
      <c r="I158" s="0" t="n">
        <f aca="false">1.82*30*(G158^1.5)</f>
        <v>0</v>
      </c>
      <c r="J158" s="0" t="n">
        <f aca="false">I158*60</f>
        <v>0</v>
      </c>
      <c r="K158" s="0" t="n">
        <f aca="false">(I158*86400)/24</f>
        <v>0</v>
      </c>
    </row>
    <row r="159" customFormat="false" ht="16.5" hidden="false" customHeight="false" outlineLevel="0" collapsed="false">
      <c r="A159" s="56" t="n">
        <v>45841.2916666667</v>
      </c>
      <c r="B159" s="57" t="n">
        <f aca="false">MOD(A159,1)</f>
        <v>0.291666666656965</v>
      </c>
      <c r="C159" s="0" t="n">
        <v>0</v>
      </c>
      <c r="D159" s="0" t="n">
        <v>489.533</v>
      </c>
      <c r="E159" s="0" t="n">
        <f aca="false">D159-0.155</f>
        <v>489.378</v>
      </c>
      <c r="F159" s="0" t="n">
        <v>489.545</v>
      </c>
      <c r="G159" s="0" t="n">
        <f aca="false">IF(E159 - F159 &lt; 0, 0, E159 - F159)</f>
        <v>0</v>
      </c>
      <c r="H159" s="0" t="n">
        <v>1.82</v>
      </c>
      <c r="I159" s="0" t="n">
        <f aca="false">1.82*30*(G159^1.5)</f>
        <v>0</v>
      </c>
      <c r="J159" s="0" t="n">
        <f aca="false">I159*60</f>
        <v>0</v>
      </c>
      <c r="K159" s="0" t="n">
        <f aca="false">(I159*86400)/24</f>
        <v>0</v>
      </c>
    </row>
    <row r="160" customFormat="false" ht="16.5" hidden="false" customHeight="false" outlineLevel="0" collapsed="false">
      <c r="A160" s="56" t="n">
        <v>45841.3333333333</v>
      </c>
      <c r="B160" s="57" t="n">
        <f aca="false">MOD(A160,1)</f>
        <v>0.333333333343035</v>
      </c>
      <c r="C160" s="0" t="n">
        <v>0</v>
      </c>
      <c r="D160" s="0" t="n">
        <v>489.533</v>
      </c>
      <c r="E160" s="0" t="n">
        <f aca="false">D160-0.155</f>
        <v>489.378</v>
      </c>
      <c r="F160" s="0" t="n">
        <v>489.545</v>
      </c>
      <c r="G160" s="0" t="n">
        <f aca="false">IF(E160 - F160 &lt; 0, 0, E160 - F160)</f>
        <v>0</v>
      </c>
      <c r="H160" s="0" t="n">
        <v>1.82</v>
      </c>
      <c r="I160" s="0" t="n">
        <f aca="false">1.82*30*(G160^1.5)</f>
        <v>0</v>
      </c>
      <c r="J160" s="0" t="n">
        <f aca="false">I160*60</f>
        <v>0</v>
      </c>
      <c r="K160" s="0" t="n">
        <f aca="false">(I160*86400)/24</f>
        <v>0</v>
      </c>
    </row>
    <row r="161" customFormat="false" ht="16.5" hidden="false" customHeight="false" outlineLevel="0" collapsed="false">
      <c r="A161" s="56" t="n">
        <v>45841.375</v>
      </c>
      <c r="B161" s="57" t="n">
        <f aca="false">MOD(A161,1)</f>
        <v>0.375</v>
      </c>
      <c r="C161" s="0" t="n">
        <v>0</v>
      </c>
      <c r="D161" s="0" t="n">
        <v>489.533</v>
      </c>
      <c r="E161" s="0" t="n">
        <f aca="false">D161-0.155</f>
        <v>489.378</v>
      </c>
      <c r="F161" s="0" t="n">
        <v>489.545</v>
      </c>
      <c r="G161" s="0" t="n">
        <f aca="false">IF(E161 - F161 &lt; 0, 0, E161 - F161)</f>
        <v>0</v>
      </c>
      <c r="H161" s="0" t="n">
        <v>1.82</v>
      </c>
      <c r="I161" s="0" t="n">
        <f aca="false">1.82*30*(G161^1.5)</f>
        <v>0</v>
      </c>
      <c r="J161" s="0" t="n">
        <f aca="false">I161*60</f>
        <v>0</v>
      </c>
      <c r="K161" s="0" t="n">
        <f aca="false">(I161*86400)/24</f>
        <v>0</v>
      </c>
    </row>
    <row r="162" customFormat="false" ht="16.5" hidden="false" customHeight="false" outlineLevel="0" collapsed="false">
      <c r="A162" s="56" t="n">
        <v>45841.4166666667</v>
      </c>
      <c r="B162" s="57" t="n">
        <f aca="false">MOD(A162,1)</f>
        <v>0.416666666656965</v>
      </c>
      <c r="C162" s="0" t="n">
        <v>0</v>
      </c>
      <c r="D162" s="0" t="n">
        <v>489.533</v>
      </c>
      <c r="E162" s="0" t="n">
        <f aca="false">D162-0.155</f>
        <v>489.378</v>
      </c>
      <c r="F162" s="0" t="n">
        <v>489.545</v>
      </c>
      <c r="G162" s="0" t="n">
        <f aca="false">IF(E162 - F162 &lt; 0, 0, E162 - F162)</f>
        <v>0</v>
      </c>
      <c r="H162" s="0" t="n">
        <v>1.82</v>
      </c>
      <c r="I162" s="0" t="n">
        <f aca="false">1.82*30*(G162^1.5)</f>
        <v>0</v>
      </c>
      <c r="J162" s="0" t="n">
        <f aca="false">I162*60</f>
        <v>0</v>
      </c>
      <c r="K162" s="0" t="n">
        <f aca="false">(I162*86400)/24</f>
        <v>0</v>
      </c>
    </row>
    <row r="163" customFormat="false" ht="16.5" hidden="false" customHeight="false" outlineLevel="0" collapsed="false">
      <c r="A163" s="56" t="n">
        <v>45841.4583333333</v>
      </c>
      <c r="B163" s="57" t="n">
        <f aca="false">MOD(A163,1)</f>
        <v>0.458333333343035</v>
      </c>
      <c r="C163" s="0" t="n">
        <v>0</v>
      </c>
      <c r="D163" s="0" t="n">
        <v>489.533</v>
      </c>
      <c r="E163" s="0" t="n">
        <f aca="false">D163-0.155</f>
        <v>489.378</v>
      </c>
      <c r="F163" s="0" t="n">
        <v>489.545</v>
      </c>
      <c r="G163" s="0" t="n">
        <f aca="false">IF(E163 - F163 &lt; 0, 0, E163 - F163)</f>
        <v>0</v>
      </c>
      <c r="H163" s="0" t="n">
        <v>1.82</v>
      </c>
      <c r="I163" s="0" t="n">
        <f aca="false">1.82*30*(G163^1.5)</f>
        <v>0</v>
      </c>
      <c r="J163" s="0" t="n">
        <f aca="false">I163*60</f>
        <v>0</v>
      </c>
      <c r="K163" s="0" t="n">
        <f aca="false">(I163*86400)/24</f>
        <v>0</v>
      </c>
    </row>
    <row r="164" customFormat="false" ht="16.5" hidden="false" customHeight="false" outlineLevel="0" collapsed="false">
      <c r="A164" s="56" t="n">
        <v>45841.5</v>
      </c>
      <c r="B164" s="57" t="n">
        <f aca="false">MOD(A164,1)</f>
        <v>0.5</v>
      </c>
      <c r="C164" s="0" t="n">
        <v>0</v>
      </c>
      <c r="D164" s="0" t="n">
        <v>489.533</v>
      </c>
      <c r="E164" s="0" t="n">
        <f aca="false">D164-0.155</f>
        <v>489.378</v>
      </c>
      <c r="F164" s="0" t="n">
        <v>489.545</v>
      </c>
      <c r="G164" s="0" t="n">
        <f aca="false">IF(E164 - F164 &lt; 0, 0, E164 - F164)</f>
        <v>0</v>
      </c>
      <c r="H164" s="0" t="n">
        <v>1.82</v>
      </c>
      <c r="I164" s="0" t="n">
        <f aca="false">1.82*30*(G164^1.5)</f>
        <v>0</v>
      </c>
      <c r="J164" s="0" t="n">
        <f aca="false">I164*60</f>
        <v>0</v>
      </c>
      <c r="K164" s="0" t="n">
        <f aca="false">(I164*86400)/24</f>
        <v>0</v>
      </c>
    </row>
    <row r="165" customFormat="false" ht="16.5" hidden="false" customHeight="false" outlineLevel="0" collapsed="false">
      <c r="A165" s="56" t="n">
        <v>45841.5416666667</v>
      </c>
      <c r="B165" s="57" t="n">
        <f aca="false">MOD(A165,1)</f>
        <v>0.541666666656965</v>
      </c>
      <c r="C165" s="0" t="n">
        <v>0</v>
      </c>
      <c r="D165" s="0" t="n">
        <v>489.533</v>
      </c>
      <c r="E165" s="0" t="n">
        <f aca="false">D165-0.155</f>
        <v>489.378</v>
      </c>
      <c r="F165" s="0" t="n">
        <v>489.545</v>
      </c>
      <c r="G165" s="0" t="n">
        <f aca="false">IF(E165 - F165 &lt; 0, 0, E165 - F165)</f>
        <v>0</v>
      </c>
      <c r="H165" s="0" t="n">
        <v>1.82</v>
      </c>
      <c r="I165" s="0" t="n">
        <f aca="false">1.82*30*(G165^1.5)</f>
        <v>0</v>
      </c>
      <c r="J165" s="0" t="n">
        <f aca="false">I165*60</f>
        <v>0</v>
      </c>
      <c r="K165" s="0" t="n">
        <f aca="false">(I165*86400)/24</f>
        <v>0</v>
      </c>
    </row>
    <row r="166" customFormat="false" ht="16.5" hidden="false" customHeight="false" outlineLevel="0" collapsed="false">
      <c r="A166" s="56" t="n">
        <v>45841.5833333333</v>
      </c>
      <c r="B166" s="57" t="n">
        <f aca="false">MOD(A166,1)</f>
        <v>0.583333333343035</v>
      </c>
      <c r="C166" s="0" t="n">
        <v>0</v>
      </c>
      <c r="D166" s="0" t="n">
        <v>489.533</v>
      </c>
      <c r="E166" s="0" t="n">
        <f aca="false">D166-0.155</f>
        <v>489.378</v>
      </c>
      <c r="F166" s="0" t="n">
        <v>489.545</v>
      </c>
      <c r="G166" s="0" t="n">
        <f aca="false">IF(E166 - F166 &lt; 0, 0, E166 - F166)</f>
        <v>0</v>
      </c>
      <c r="H166" s="0" t="n">
        <v>1.82</v>
      </c>
      <c r="I166" s="0" t="n">
        <f aca="false">1.82*30*(G166^1.5)</f>
        <v>0</v>
      </c>
      <c r="J166" s="0" t="n">
        <f aca="false">I166*60</f>
        <v>0</v>
      </c>
      <c r="K166" s="0" t="n">
        <f aca="false">(I166*86400)/24</f>
        <v>0</v>
      </c>
    </row>
    <row r="167" customFormat="false" ht="16.5" hidden="false" customHeight="false" outlineLevel="0" collapsed="false">
      <c r="A167" s="56" t="n">
        <v>45841.625</v>
      </c>
      <c r="B167" s="57" t="n">
        <f aca="false">MOD(A167,1)</f>
        <v>0.625</v>
      </c>
      <c r="C167" s="0" t="n">
        <v>0</v>
      </c>
      <c r="D167" s="0" t="n">
        <v>489.533</v>
      </c>
      <c r="E167" s="0" t="n">
        <f aca="false">D167-0.155</f>
        <v>489.378</v>
      </c>
      <c r="F167" s="0" t="n">
        <v>489.545</v>
      </c>
      <c r="G167" s="0" t="n">
        <f aca="false">IF(E167 - F167 &lt; 0, 0, E167 - F167)</f>
        <v>0</v>
      </c>
      <c r="H167" s="0" t="n">
        <v>1.82</v>
      </c>
      <c r="I167" s="0" t="n">
        <f aca="false">1.82*30*(G167^1.5)</f>
        <v>0</v>
      </c>
      <c r="J167" s="0" t="n">
        <f aca="false">I167*60</f>
        <v>0</v>
      </c>
      <c r="K167" s="0" t="n">
        <f aca="false">(I167*86400)/24</f>
        <v>0</v>
      </c>
    </row>
    <row r="168" customFormat="false" ht="16.5" hidden="false" customHeight="false" outlineLevel="0" collapsed="false">
      <c r="A168" s="56" t="n">
        <v>45841.6666666667</v>
      </c>
      <c r="B168" s="57" t="n">
        <f aca="false">MOD(A168,1)</f>
        <v>0.666666666656965</v>
      </c>
      <c r="C168" s="0" t="n">
        <v>0</v>
      </c>
      <c r="D168" s="0" t="n">
        <v>489.533</v>
      </c>
      <c r="E168" s="0" t="n">
        <f aca="false">D168-0.155</f>
        <v>489.378</v>
      </c>
      <c r="F168" s="0" t="n">
        <v>489.545</v>
      </c>
      <c r="G168" s="0" t="n">
        <f aca="false">IF(E168 - F168 &lt; 0, 0, E168 - F168)</f>
        <v>0</v>
      </c>
      <c r="H168" s="0" t="n">
        <v>1.82</v>
      </c>
      <c r="I168" s="0" t="n">
        <f aca="false">1.82*30*(G168^1.5)</f>
        <v>0</v>
      </c>
      <c r="J168" s="0" t="n">
        <f aca="false">I168*60</f>
        <v>0</v>
      </c>
      <c r="K168" s="0" t="n">
        <f aca="false">(I168*86400)/24</f>
        <v>0</v>
      </c>
    </row>
    <row r="169" customFormat="false" ht="16.5" hidden="false" customHeight="false" outlineLevel="0" collapsed="false">
      <c r="A169" s="56" t="n">
        <v>45841.7083333333</v>
      </c>
      <c r="B169" s="57" t="n">
        <f aca="false">MOD(A169,1)</f>
        <v>0.708333333343035</v>
      </c>
      <c r="C169" s="0" t="n">
        <v>0</v>
      </c>
      <c r="D169" s="0" t="n">
        <v>489.533</v>
      </c>
      <c r="E169" s="0" t="n">
        <f aca="false">D169-0.155</f>
        <v>489.378</v>
      </c>
      <c r="F169" s="0" t="n">
        <v>489.545</v>
      </c>
      <c r="G169" s="0" t="n">
        <f aca="false">IF(E169 - F169 &lt; 0, 0, E169 - F169)</f>
        <v>0</v>
      </c>
      <c r="H169" s="0" t="n">
        <v>1.82</v>
      </c>
      <c r="I169" s="0" t="n">
        <f aca="false">1.82*30*(G169^1.5)</f>
        <v>0</v>
      </c>
      <c r="J169" s="0" t="n">
        <f aca="false">I169*60</f>
        <v>0</v>
      </c>
      <c r="K169" s="0" t="n">
        <f aca="false">(I169*86400)/24</f>
        <v>0</v>
      </c>
    </row>
    <row r="170" customFormat="false" ht="16.5" hidden="false" customHeight="false" outlineLevel="0" collapsed="false">
      <c r="A170" s="56" t="n">
        <v>45841.75</v>
      </c>
      <c r="B170" s="57" t="n">
        <f aca="false">MOD(A170,1)</f>
        <v>0.75</v>
      </c>
      <c r="C170" s="0" t="n">
        <v>0.2</v>
      </c>
      <c r="D170" s="0" t="n">
        <v>489.533</v>
      </c>
      <c r="E170" s="0" t="n">
        <f aca="false">D170-0.155</f>
        <v>489.378</v>
      </c>
      <c r="F170" s="0" t="n">
        <v>489.545</v>
      </c>
      <c r="G170" s="0" t="n">
        <f aca="false">IF(E170 - F170 &lt; 0, 0, E170 - F170)</f>
        <v>0</v>
      </c>
      <c r="H170" s="0" t="n">
        <v>1.82</v>
      </c>
      <c r="I170" s="0" t="n">
        <f aca="false">1.82*30*(G170^1.5)</f>
        <v>0</v>
      </c>
      <c r="J170" s="0" t="n">
        <f aca="false">I170*60</f>
        <v>0</v>
      </c>
      <c r="K170" s="0" t="n">
        <f aca="false">(I170*86400)/24</f>
        <v>0</v>
      </c>
    </row>
    <row r="171" customFormat="false" ht="16.5" hidden="false" customHeight="false" outlineLevel="0" collapsed="false">
      <c r="A171" s="56" t="n">
        <v>45841.7916666667</v>
      </c>
      <c r="B171" s="57" t="n">
        <f aca="false">MOD(A171,1)</f>
        <v>0.791666666656965</v>
      </c>
      <c r="C171" s="0" t="n">
        <v>7.4</v>
      </c>
      <c r="D171" s="0" t="n">
        <v>489.56</v>
      </c>
      <c r="E171" s="0" t="n">
        <f aca="false">D171-0.155</f>
        <v>489.405</v>
      </c>
      <c r="F171" s="0" t="n">
        <v>489.545</v>
      </c>
      <c r="G171" s="0" t="n">
        <f aca="false">IF(E171 - F171 &lt; 0, 0, E171 - F171)</f>
        <v>0</v>
      </c>
      <c r="H171" s="0" t="n">
        <v>1.82</v>
      </c>
      <c r="I171" s="0" t="n">
        <f aca="false">1.82*30*(G171^1.5)</f>
        <v>0</v>
      </c>
      <c r="J171" s="0" t="n">
        <f aca="false">I171*60</f>
        <v>0</v>
      </c>
      <c r="K171" s="0" t="n">
        <f aca="false">(I171*86400)/24</f>
        <v>0</v>
      </c>
    </row>
    <row r="172" customFormat="false" ht="16.5" hidden="false" customHeight="false" outlineLevel="0" collapsed="false">
      <c r="A172" s="56" t="n">
        <v>45841.8333333333</v>
      </c>
      <c r="B172" s="57" t="n">
        <f aca="false">MOD(A172,1)</f>
        <v>0.833333333343035</v>
      </c>
      <c r="C172" s="0" t="n">
        <v>1.8</v>
      </c>
      <c r="D172" s="0" t="n">
        <v>489.561</v>
      </c>
      <c r="E172" s="0" t="n">
        <f aca="false">D172-0.155</f>
        <v>489.406</v>
      </c>
      <c r="F172" s="0" t="n">
        <v>489.545</v>
      </c>
      <c r="G172" s="0" t="n">
        <f aca="false">IF(E172 - F172 &lt; 0, 0, E172 - F172)</f>
        <v>0</v>
      </c>
      <c r="H172" s="0" t="n">
        <v>1.82</v>
      </c>
      <c r="I172" s="0" t="n">
        <f aca="false">1.82*30*(G172^1.5)</f>
        <v>0</v>
      </c>
      <c r="J172" s="0" t="n">
        <f aca="false">I172*60</f>
        <v>0</v>
      </c>
      <c r="K172" s="0" t="n">
        <f aca="false">(I172*86400)/24</f>
        <v>0</v>
      </c>
    </row>
    <row r="173" customFormat="false" ht="16.5" hidden="false" customHeight="false" outlineLevel="0" collapsed="false">
      <c r="A173" s="56" t="n">
        <v>45841.875</v>
      </c>
      <c r="B173" s="57" t="n">
        <f aca="false">MOD(A173,1)</f>
        <v>0.875</v>
      </c>
      <c r="C173" s="0" t="n">
        <v>0.6</v>
      </c>
      <c r="D173" s="0" t="n">
        <v>489.56</v>
      </c>
      <c r="E173" s="0" t="n">
        <f aca="false">D173-0.155</f>
        <v>489.405</v>
      </c>
      <c r="F173" s="0" t="n">
        <v>489.545</v>
      </c>
      <c r="G173" s="0" t="n">
        <f aca="false">IF(E173 - F173 &lt; 0, 0, E173 - F173)</f>
        <v>0</v>
      </c>
      <c r="H173" s="0" t="n">
        <v>1.82</v>
      </c>
      <c r="I173" s="0" t="n">
        <f aca="false">1.82*30*(G173^1.5)</f>
        <v>0</v>
      </c>
      <c r="J173" s="0" t="n">
        <f aca="false">I173*60</f>
        <v>0</v>
      </c>
      <c r="K173" s="0" t="n">
        <f aca="false">(I173*86400)/24</f>
        <v>0</v>
      </c>
    </row>
    <row r="174" customFormat="false" ht="16.5" hidden="false" customHeight="false" outlineLevel="0" collapsed="false">
      <c r="A174" s="56" t="n">
        <v>45841.9166666667</v>
      </c>
      <c r="B174" s="57" t="n">
        <f aca="false">MOD(A174,1)</f>
        <v>0.916666666656965</v>
      </c>
      <c r="C174" s="0" t="n">
        <v>1.2</v>
      </c>
      <c r="D174" s="0" t="n">
        <v>489.56</v>
      </c>
      <c r="E174" s="0" t="n">
        <f aca="false">D174-0.155</f>
        <v>489.405</v>
      </c>
      <c r="F174" s="0" t="n">
        <v>489.545</v>
      </c>
      <c r="G174" s="0" t="n">
        <f aca="false">IF(E174 - F174 &lt; 0, 0, E174 - F174)</f>
        <v>0</v>
      </c>
      <c r="H174" s="0" t="n">
        <v>1.82</v>
      </c>
      <c r="I174" s="0" t="n">
        <f aca="false">1.82*30*(G174^1.5)</f>
        <v>0</v>
      </c>
      <c r="J174" s="0" t="n">
        <f aca="false">I174*60</f>
        <v>0</v>
      </c>
      <c r="K174" s="0" t="n">
        <f aca="false">(I174*86400)/24</f>
        <v>0</v>
      </c>
    </row>
    <row r="175" customFormat="false" ht="16.5" hidden="false" customHeight="false" outlineLevel="0" collapsed="false">
      <c r="A175" s="56" t="n">
        <v>45841.9583333333</v>
      </c>
      <c r="B175" s="57" t="n">
        <f aca="false">MOD(A175,1)</f>
        <v>0.958333333343035</v>
      </c>
      <c r="C175" s="0" t="n">
        <v>1</v>
      </c>
      <c r="D175" s="0" t="n">
        <v>489.566</v>
      </c>
      <c r="E175" s="0" t="n">
        <f aca="false">D175-0.155</f>
        <v>489.411</v>
      </c>
      <c r="F175" s="0" t="n">
        <v>489.545</v>
      </c>
      <c r="G175" s="0" t="n">
        <f aca="false">IF(E175 - F175 &lt; 0, 0, E175 - F175)</f>
        <v>0</v>
      </c>
      <c r="H175" s="0" t="n">
        <v>1.82</v>
      </c>
      <c r="I175" s="0" t="n">
        <f aca="false">1.82*30*(G175^1.5)</f>
        <v>0</v>
      </c>
      <c r="J175" s="0" t="n">
        <f aca="false">I175*60</f>
        <v>0</v>
      </c>
      <c r="K175" s="0" t="n">
        <f aca="false">(I175*86400)/24</f>
        <v>0</v>
      </c>
    </row>
    <row r="176" customFormat="false" ht="16.5" hidden="false" customHeight="false" outlineLevel="0" collapsed="false">
      <c r="A176" s="56" t="n">
        <v>45842</v>
      </c>
      <c r="B176" s="57" t="n">
        <f aca="false">MOD(A176,1)</f>
        <v>0</v>
      </c>
      <c r="C176" s="0" t="n">
        <v>0.2</v>
      </c>
      <c r="D176" s="0" t="n">
        <v>489.566</v>
      </c>
      <c r="E176" s="0" t="n">
        <f aca="false">D176-0.155</f>
        <v>489.411</v>
      </c>
      <c r="F176" s="0" t="n">
        <v>489.545</v>
      </c>
      <c r="G176" s="0" t="n">
        <f aca="false">IF(E176 - F176 &lt; 0, 0, E176 - F176)</f>
        <v>0</v>
      </c>
      <c r="H176" s="0" t="n">
        <v>1.82</v>
      </c>
      <c r="I176" s="0" t="n">
        <f aca="false">1.82*30*(G176^1.5)</f>
        <v>0</v>
      </c>
      <c r="J176" s="0" t="n">
        <f aca="false">I176*60</f>
        <v>0</v>
      </c>
      <c r="K176" s="0" t="n">
        <f aca="false">(I176*86400)/24</f>
        <v>0</v>
      </c>
    </row>
    <row r="177" customFormat="false" ht="16.5" hidden="false" customHeight="false" outlineLevel="0" collapsed="false">
      <c r="A177" s="56" t="n">
        <v>45842.0416666667</v>
      </c>
      <c r="B177" s="57" t="n">
        <f aca="false">MOD(A177,1)</f>
        <v>0.0416666666569654</v>
      </c>
      <c r="C177" s="0" t="n">
        <v>0.2</v>
      </c>
      <c r="D177" s="0" t="n">
        <v>489.566</v>
      </c>
      <c r="E177" s="0" t="n">
        <f aca="false">D177-0.155</f>
        <v>489.411</v>
      </c>
      <c r="F177" s="0" t="n">
        <v>489.545</v>
      </c>
      <c r="G177" s="0" t="n">
        <f aca="false">IF(E177 - F177 &lt; 0, 0, E177 - F177)</f>
        <v>0</v>
      </c>
      <c r="H177" s="0" t="n">
        <v>1.82</v>
      </c>
      <c r="I177" s="0" t="n">
        <f aca="false">1.82*30*(G177^1.5)</f>
        <v>0</v>
      </c>
      <c r="J177" s="0" t="n">
        <f aca="false">I177*60</f>
        <v>0</v>
      </c>
      <c r="K177" s="0" t="n">
        <f aca="false">(I177*86400)/24</f>
        <v>0</v>
      </c>
    </row>
    <row r="178" customFormat="false" ht="16.5" hidden="false" customHeight="false" outlineLevel="0" collapsed="false">
      <c r="A178" s="56" t="n">
        <v>45842.0833333333</v>
      </c>
      <c r="B178" s="57" t="n">
        <f aca="false">MOD(A178,1)</f>
        <v>0.0833333333430346</v>
      </c>
      <c r="C178" s="0" t="n">
        <v>0</v>
      </c>
      <c r="D178" s="0" t="n">
        <v>489.566</v>
      </c>
      <c r="E178" s="0" t="n">
        <f aca="false">D178-0.155</f>
        <v>489.411</v>
      </c>
      <c r="F178" s="0" t="n">
        <v>489.545</v>
      </c>
      <c r="G178" s="0" t="n">
        <f aca="false">IF(E178 - F178 &lt; 0, 0, E178 - F178)</f>
        <v>0</v>
      </c>
      <c r="H178" s="0" t="n">
        <v>1.82</v>
      </c>
      <c r="I178" s="0" t="n">
        <f aca="false">1.82*30*(G178^1.5)</f>
        <v>0</v>
      </c>
      <c r="J178" s="0" t="n">
        <f aca="false">I178*60</f>
        <v>0</v>
      </c>
      <c r="K178" s="0" t="n">
        <f aca="false">(I178*86400)/24</f>
        <v>0</v>
      </c>
    </row>
    <row r="179" customFormat="false" ht="16.5" hidden="false" customHeight="false" outlineLevel="0" collapsed="false">
      <c r="A179" s="56" t="n">
        <v>45842.125</v>
      </c>
      <c r="B179" s="57" t="n">
        <f aca="false">MOD(A179,1)</f>
        <v>0.125</v>
      </c>
      <c r="C179" s="0" t="n">
        <v>0</v>
      </c>
      <c r="D179" s="0" t="n">
        <v>489.566</v>
      </c>
      <c r="E179" s="0" t="n">
        <f aca="false">D179-0.155</f>
        <v>489.411</v>
      </c>
      <c r="F179" s="0" t="n">
        <v>489.545</v>
      </c>
      <c r="G179" s="0" t="n">
        <f aca="false">IF(E179 - F179 &lt; 0, 0, E179 - F179)</f>
        <v>0</v>
      </c>
      <c r="H179" s="0" t="n">
        <v>1.82</v>
      </c>
      <c r="I179" s="0" t="n">
        <f aca="false">1.82*30*(G179^1.5)</f>
        <v>0</v>
      </c>
      <c r="J179" s="0" t="n">
        <f aca="false">I179*60</f>
        <v>0</v>
      </c>
      <c r="K179" s="0" t="n">
        <f aca="false">(I179*86400)/24</f>
        <v>0</v>
      </c>
    </row>
    <row r="180" customFormat="false" ht="16.5" hidden="false" customHeight="false" outlineLevel="0" collapsed="false">
      <c r="A180" s="56" t="n">
        <v>45842.1666666667</v>
      </c>
      <c r="B180" s="57" t="n">
        <f aca="false">MOD(A180,1)</f>
        <v>0.166666666656965</v>
      </c>
      <c r="C180" s="0" t="n">
        <v>0</v>
      </c>
      <c r="D180" s="0" t="n">
        <v>489.566</v>
      </c>
      <c r="E180" s="0" t="n">
        <f aca="false">D180-0.155</f>
        <v>489.411</v>
      </c>
      <c r="F180" s="0" t="n">
        <v>489.545</v>
      </c>
      <c r="G180" s="0" t="n">
        <f aca="false">IF(E180 - F180 &lt; 0, 0, E180 - F180)</f>
        <v>0</v>
      </c>
      <c r="H180" s="0" t="n">
        <v>1.82</v>
      </c>
      <c r="I180" s="0" t="n">
        <f aca="false">1.82*30*(G180^1.5)</f>
        <v>0</v>
      </c>
      <c r="J180" s="0" t="n">
        <f aca="false">I180*60</f>
        <v>0</v>
      </c>
      <c r="K180" s="0" t="n">
        <f aca="false">(I180*86400)/24</f>
        <v>0</v>
      </c>
    </row>
    <row r="181" customFormat="false" ht="16.5" hidden="false" customHeight="false" outlineLevel="0" collapsed="false">
      <c r="A181" s="56" t="n">
        <v>45842.2083333333</v>
      </c>
      <c r="B181" s="57" t="n">
        <f aca="false">MOD(A181,1)</f>
        <v>0.208333333343035</v>
      </c>
      <c r="C181" s="0" t="n">
        <v>0</v>
      </c>
      <c r="D181" s="0" t="n">
        <v>489.561</v>
      </c>
      <c r="E181" s="0" t="n">
        <f aca="false">D181-0.155</f>
        <v>489.406</v>
      </c>
      <c r="F181" s="0" t="n">
        <v>489.545</v>
      </c>
      <c r="G181" s="0" t="n">
        <f aca="false">IF(E181 - F181 &lt; 0, 0, E181 - F181)</f>
        <v>0</v>
      </c>
      <c r="H181" s="0" t="n">
        <v>1.82</v>
      </c>
      <c r="I181" s="0" t="n">
        <f aca="false">1.82*30*(G181^1.5)</f>
        <v>0</v>
      </c>
      <c r="J181" s="0" t="n">
        <f aca="false">I181*60</f>
        <v>0</v>
      </c>
      <c r="K181" s="0" t="n">
        <f aca="false">(I181*86400)/24</f>
        <v>0</v>
      </c>
    </row>
    <row r="182" customFormat="false" ht="16.5" hidden="false" customHeight="false" outlineLevel="0" collapsed="false">
      <c r="A182" s="56" t="n">
        <v>45842.25</v>
      </c>
      <c r="B182" s="57" t="n">
        <f aca="false">MOD(A182,1)</f>
        <v>0.25</v>
      </c>
      <c r="C182" s="0" t="n">
        <v>0</v>
      </c>
      <c r="D182" s="0" t="n">
        <v>489.566</v>
      </c>
      <c r="E182" s="0" t="n">
        <f aca="false">D182-0.155</f>
        <v>489.411</v>
      </c>
      <c r="F182" s="0" t="n">
        <v>489.545</v>
      </c>
      <c r="G182" s="0" t="n">
        <f aca="false">IF(E182 - F182 &lt; 0, 0, E182 - F182)</f>
        <v>0</v>
      </c>
      <c r="H182" s="0" t="n">
        <v>1.82</v>
      </c>
      <c r="I182" s="0" t="n">
        <f aca="false">1.82*30*(G182^1.5)</f>
        <v>0</v>
      </c>
      <c r="J182" s="0" t="n">
        <f aca="false">I182*60</f>
        <v>0</v>
      </c>
      <c r="K182" s="0" t="n">
        <f aca="false">(I182*86400)/24</f>
        <v>0</v>
      </c>
    </row>
    <row r="183" customFormat="false" ht="16.5" hidden="false" customHeight="false" outlineLevel="0" collapsed="false">
      <c r="A183" s="56" t="n">
        <v>45842.2916666667</v>
      </c>
      <c r="B183" s="57" t="n">
        <f aca="false">MOD(A183,1)</f>
        <v>0.291666666656965</v>
      </c>
      <c r="C183" s="0" t="n">
        <v>0</v>
      </c>
      <c r="D183" s="0" t="n">
        <v>489.566</v>
      </c>
      <c r="E183" s="0" t="n">
        <f aca="false">D183-0.155</f>
        <v>489.411</v>
      </c>
      <c r="F183" s="0" t="n">
        <v>489.545</v>
      </c>
      <c r="G183" s="0" t="n">
        <f aca="false">IF(E183 - F183 &lt; 0, 0, E183 - F183)</f>
        <v>0</v>
      </c>
      <c r="H183" s="0" t="n">
        <v>1.82</v>
      </c>
      <c r="I183" s="0" t="n">
        <f aca="false">1.82*30*(G183^1.5)</f>
        <v>0</v>
      </c>
      <c r="J183" s="0" t="n">
        <f aca="false">I183*60</f>
        <v>0</v>
      </c>
      <c r="K183" s="0" t="n">
        <f aca="false">(I183*86400)/24</f>
        <v>0</v>
      </c>
    </row>
    <row r="184" customFormat="false" ht="16.5" hidden="false" customHeight="false" outlineLevel="0" collapsed="false">
      <c r="A184" s="56" t="n">
        <v>45842.3333333333</v>
      </c>
      <c r="B184" s="57" t="n">
        <f aca="false">MOD(A184,1)</f>
        <v>0.333333333343035</v>
      </c>
      <c r="C184" s="0" t="n">
        <v>0</v>
      </c>
      <c r="D184" s="0" t="n">
        <v>489.56</v>
      </c>
      <c r="E184" s="0" t="n">
        <f aca="false">D184-0.155</f>
        <v>489.405</v>
      </c>
      <c r="F184" s="0" t="n">
        <v>489.545</v>
      </c>
      <c r="G184" s="0" t="n">
        <f aca="false">IF(E184 - F184 &lt; 0, 0, E184 - F184)</f>
        <v>0</v>
      </c>
      <c r="H184" s="0" t="n">
        <v>1.82</v>
      </c>
      <c r="I184" s="0" t="n">
        <f aca="false">1.82*30*(G184^1.5)</f>
        <v>0</v>
      </c>
      <c r="J184" s="0" t="n">
        <f aca="false">I184*60</f>
        <v>0</v>
      </c>
      <c r="K184" s="0" t="n">
        <f aca="false">(I184*86400)/24</f>
        <v>0</v>
      </c>
    </row>
    <row r="185" customFormat="false" ht="16.5" hidden="false" customHeight="false" outlineLevel="0" collapsed="false">
      <c r="A185" s="56" t="n">
        <v>45842.375</v>
      </c>
      <c r="B185" s="57" t="n">
        <f aca="false">MOD(A185,1)</f>
        <v>0.375</v>
      </c>
      <c r="C185" s="0" t="n">
        <v>0</v>
      </c>
      <c r="D185" s="0" t="n">
        <v>489.566</v>
      </c>
      <c r="E185" s="0" t="n">
        <f aca="false">D185-0.155</f>
        <v>489.411</v>
      </c>
      <c r="F185" s="0" t="n">
        <v>489.545</v>
      </c>
      <c r="G185" s="0" t="n">
        <f aca="false">IF(E185 - F185 &lt; 0, 0, E185 - F185)</f>
        <v>0</v>
      </c>
      <c r="H185" s="0" t="n">
        <v>1.82</v>
      </c>
      <c r="I185" s="0" t="n">
        <f aca="false">1.82*30*(G185^1.5)</f>
        <v>0</v>
      </c>
      <c r="J185" s="0" t="n">
        <f aca="false">I185*60</f>
        <v>0</v>
      </c>
      <c r="K185" s="0" t="n">
        <f aca="false">(I185*86400)/24</f>
        <v>0</v>
      </c>
    </row>
    <row r="186" customFormat="false" ht="16.5" hidden="false" customHeight="false" outlineLevel="0" collapsed="false">
      <c r="A186" s="56" t="n">
        <v>45842.4166666667</v>
      </c>
      <c r="B186" s="57" t="n">
        <f aca="false">MOD(A186,1)</f>
        <v>0.416666666656965</v>
      </c>
      <c r="C186" s="0" t="n">
        <v>0</v>
      </c>
      <c r="D186" s="0" t="n">
        <v>489.565</v>
      </c>
      <c r="E186" s="0" t="n">
        <f aca="false">D186-0.155</f>
        <v>489.41</v>
      </c>
      <c r="F186" s="0" t="n">
        <v>489.545</v>
      </c>
      <c r="G186" s="0" t="n">
        <f aca="false">IF(E186 - F186 &lt; 0, 0, E186 - F186)</f>
        <v>0</v>
      </c>
      <c r="H186" s="0" t="n">
        <v>1.82</v>
      </c>
      <c r="I186" s="0" t="n">
        <f aca="false">1.82*30*(G186^1.5)</f>
        <v>0</v>
      </c>
      <c r="J186" s="0" t="n">
        <f aca="false">I186*60</f>
        <v>0</v>
      </c>
      <c r="K186" s="0" t="n">
        <f aca="false">(I186*86400)/24</f>
        <v>0</v>
      </c>
    </row>
    <row r="187" customFormat="false" ht="16.5" hidden="false" customHeight="false" outlineLevel="0" collapsed="false">
      <c r="A187" s="56" t="n">
        <v>45842.4583333333</v>
      </c>
      <c r="B187" s="57" t="n">
        <f aca="false">MOD(A187,1)</f>
        <v>0.458333333343035</v>
      </c>
      <c r="C187" s="0" t="n">
        <v>0</v>
      </c>
      <c r="D187" s="0" t="n">
        <v>489.565</v>
      </c>
      <c r="E187" s="0" t="n">
        <f aca="false">D187-0.155</f>
        <v>489.41</v>
      </c>
      <c r="F187" s="0" t="n">
        <v>489.545</v>
      </c>
      <c r="G187" s="0" t="n">
        <f aca="false">IF(E187 - F187 &lt; 0, 0, E187 - F187)</f>
        <v>0</v>
      </c>
      <c r="H187" s="0" t="n">
        <v>1.82</v>
      </c>
      <c r="I187" s="0" t="n">
        <f aca="false">1.82*30*(G187^1.5)</f>
        <v>0</v>
      </c>
      <c r="J187" s="0" t="n">
        <f aca="false">I187*60</f>
        <v>0</v>
      </c>
      <c r="K187" s="0" t="n">
        <f aca="false">(I187*86400)/24</f>
        <v>0</v>
      </c>
    </row>
    <row r="188" customFormat="false" ht="16.5" hidden="false" customHeight="false" outlineLevel="0" collapsed="false">
      <c r="A188" s="56" t="n">
        <v>45842.5</v>
      </c>
      <c r="B188" s="57" t="n">
        <f aca="false">MOD(A188,1)</f>
        <v>0.5</v>
      </c>
      <c r="C188" s="0" t="n">
        <v>0</v>
      </c>
      <c r="D188" s="0" t="n">
        <v>489.565</v>
      </c>
      <c r="E188" s="0" t="n">
        <f aca="false">D188-0.155</f>
        <v>489.41</v>
      </c>
      <c r="F188" s="0" t="n">
        <v>489.545</v>
      </c>
      <c r="G188" s="0" t="n">
        <f aca="false">IF(E188 - F188 &lt; 0, 0, E188 - F188)</f>
        <v>0</v>
      </c>
      <c r="H188" s="0" t="n">
        <v>1.82</v>
      </c>
      <c r="I188" s="0" t="n">
        <f aca="false">1.82*30*(G188^1.5)</f>
        <v>0</v>
      </c>
      <c r="J188" s="0" t="n">
        <f aca="false">I188*60</f>
        <v>0</v>
      </c>
      <c r="K188" s="0" t="n">
        <f aca="false">(I188*86400)/24</f>
        <v>0</v>
      </c>
    </row>
    <row r="189" customFormat="false" ht="16.5" hidden="false" customHeight="false" outlineLevel="0" collapsed="false">
      <c r="A189" s="56" t="n">
        <v>45842.5416666667</v>
      </c>
      <c r="B189" s="57" t="n">
        <f aca="false">MOD(A189,1)</f>
        <v>0.541666666656965</v>
      </c>
      <c r="C189" s="0" t="n">
        <v>0</v>
      </c>
      <c r="D189" s="0" t="n">
        <v>489.565</v>
      </c>
      <c r="E189" s="0" t="n">
        <f aca="false">D189-0.155</f>
        <v>489.41</v>
      </c>
      <c r="F189" s="0" t="n">
        <v>489.545</v>
      </c>
      <c r="G189" s="0" t="n">
        <f aca="false">IF(E189 - F189 &lt; 0, 0, E189 - F189)</f>
        <v>0</v>
      </c>
      <c r="H189" s="0" t="n">
        <v>1.82</v>
      </c>
      <c r="I189" s="0" t="n">
        <f aca="false">1.82*30*(G189^1.5)</f>
        <v>0</v>
      </c>
      <c r="J189" s="0" t="n">
        <f aca="false">I189*60</f>
        <v>0</v>
      </c>
      <c r="K189" s="0" t="n">
        <f aca="false">(I189*86400)/24</f>
        <v>0</v>
      </c>
    </row>
    <row r="190" customFormat="false" ht="16.5" hidden="false" customHeight="false" outlineLevel="0" collapsed="false">
      <c r="A190" s="56" t="n">
        <v>45842.5833333333</v>
      </c>
      <c r="B190" s="57" t="n">
        <f aca="false">MOD(A190,1)</f>
        <v>0.583333333343035</v>
      </c>
      <c r="C190" s="0" t="n">
        <v>0</v>
      </c>
      <c r="D190" s="0" t="n">
        <v>489.565</v>
      </c>
      <c r="E190" s="0" t="n">
        <f aca="false">D190-0.155</f>
        <v>489.41</v>
      </c>
      <c r="F190" s="0" t="n">
        <v>489.545</v>
      </c>
      <c r="G190" s="0" t="n">
        <f aca="false">IF(E190 - F190 &lt; 0, 0, E190 - F190)</f>
        <v>0</v>
      </c>
      <c r="H190" s="0" t="n">
        <v>1.82</v>
      </c>
      <c r="I190" s="0" t="n">
        <f aca="false">1.82*30*(G190^1.5)</f>
        <v>0</v>
      </c>
      <c r="J190" s="0" t="n">
        <f aca="false">I190*60</f>
        <v>0</v>
      </c>
      <c r="K190" s="0" t="n">
        <f aca="false">(I190*86400)/24</f>
        <v>0</v>
      </c>
    </row>
    <row r="191" customFormat="false" ht="16.5" hidden="false" customHeight="false" outlineLevel="0" collapsed="false">
      <c r="A191" s="56" t="n">
        <v>45842.625</v>
      </c>
      <c r="B191" s="57" t="n">
        <f aca="false">MOD(A191,1)</f>
        <v>0.625</v>
      </c>
      <c r="C191" s="0" t="n">
        <v>0</v>
      </c>
      <c r="D191" s="0" t="n">
        <v>489.565</v>
      </c>
      <c r="E191" s="0" t="n">
        <f aca="false">D191-0.155</f>
        <v>489.41</v>
      </c>
      <c r="F191" s="0" t="n">
        <v>489.545</v>
      </c>
      <c r="G191" s="0" t="n">
        <f aca="false">IF(E191 - F191 &lt; 0, 0, E191 - F191)</f>
        <v>0</v>
      </c>
      <c r="H191" s="0" t="n">
        <v>1.82</v>
      </c>
      <c r="I191" s="0" t="n">
        <f aca="false">1.82*30*(G191^1.5)</f>
        <v>0</v>
      </c>
      <c r="J191" s="0" t="n">
        <f aca="false">I191*60</f>
        <v>0</v>
      </c>
      <c r="K191" s="0" t="n">
        <f aca="false">(I191*86400)/24</f>
        <v>0</v>
      </c>
    </row>
    <row r="192" customFormat="false" ht="16.5" hidden="false" customHeight="false" outlineLevel="0" collapsed="false">
      <c r="A192" s="56" t="n">
        <v>45842.6666666667</v>
      </c>
      <c r="B192" s="57" t="n">
        <f aca="false">MOD(A192,1)</f>
        <v>0.666666666656965</v>
      </c>
      <c r="C192" s="0" t="n">
        <v>0.4</v>
      </c>
      <c r="D192" s="0" t="n">
        <v>489.566</v>
      </c>
      <c r="E192" s="0" t="n">
        <f aca="false">D192-0.155</f>
        <v>489.411</v>
      </c>
      <c r="F192" s="0" t="n">
        <v>489.545</v>
      </c>
      <c r="G192" s="0" t="n">
        <f aca="false">IF(E192 - F192 &lt; 0, 0, E192 - F192)</f>
        <v>0</v>
      </c>
      <c r="H192" s="0" t="n">
        <v>1.82</v>
      </c>
      <c r="I192" s="0" t="n">
        <f aca="false">1.82*30*(G192^1.5)</f>
        <v>0</v>
      </c>
      <c r="J192" s="0" t="n">
        <f aca="false">I192*60</f>
        <v>0</v>
      </c>
      <c r="K192" s="0" t="n">
        <f aca="false">(I192*86400)/24</f>
        <v>0</v>
      </c>
    </row>
    <row r="193" customFormat="false" ht="16.5" hidden="false" customHeight="false" outlineLevel="0" collapsed="false">
      <c r="A193" s="56" t="n">
        <v>45842.7083333333</v>
      </c>
      <c r="B193" s="57" t="n">
        <f aca="false">MOD(A193,1)</f>
        <v>0.708333333343035</v>
      </c>
      <c r="C193" s="0" t="n">
        <v>0</v>
      </c>
      <c r="D193" s="0" t="n">
        <v>489.565</v>
      </c>
      <c r="E193" s="0" t="n">
        <f aca="false">D193-0.155</f>
        <v>489.41</v>
      </c>
      <c r="F193" s="0" t="n">
        <v>489.545</v>
      </c>
      <c r="G193" s="0" t="n">
        <f aca="false">IF(E193 - F193 &lt; 0, 0, E193 - F193)</f>
        <v>0</v>
      </c>
      <c r="H193" s="0" t="n">
        <v>1.82</v>
      </c>
      <c r="I193" s="0" t="n">
        <f aca="false">1.82*30*(G193^1.5)</f>
        <v>0</v>
      </c>
      <c r="J193" s="0" t="n">
        <f aca="false">I193*60</f>
        <v>0</v>
      </c>
      <c r="K193" s="0" t="n">
        <f aca="false">(I193*86400)/24</f>
        <v>0</v>
      </c>
    </row>
    <row r="194" customFormat="false" ht="16.5" hidden="false" customHeight="false" outlineLevel="0" collapsed="false">
      <c r="A194" s="56" t="n">
        <v>45842.75</v>
      </c>
      <c r="B194" s="57" t="n">
        <f aca="false">MOD(A194,1)</f>
        <v>0.75</v>
      </c>
      <c r="C194" s="0" t="n">
        <v>0</v>
      </c>
      <c r="D194" s="0" t="n">
        <v>489.566</v>
      </c>
      <c r="E194" s="0" t="n">
        <f aca="false">D194-0.155</f>
        <v>489.411</v>
      </c>
      <c r="F194" s="0" t="n">
        <v>489.545</v>
      </c>
      <c r="G194" s="0" t="n">
        <f aca="false">IF(E194 - F194 &lt; 0, 0, E194 - F194)</f>
        <v>0</v>
      </c>
      <c r="H194" s="0" t="n">
        <v>1.82</v>
      </c>
      <c r="I194" s="0" t="n">
        <f aca="false">1.82*30*(G194^1.5)</f>
        <v>0</v>
      </c>
      <c r="J194" s="0" t="n">
        <f aca="false">I194*60</f>
        <v>0</v>
      </c>
      <c r="K194" s="0" t="n">
        <f aca="false">(I194*86400)/24</f>
        <v>0</v>
      </c>
    </row>
    <row r="195" customFormat="false" ht="16.5" hidden="false" customHeight="false" outlineLevel="0" collapsed="false">
      <c r="A195" s="56" t="n">
        <v>45842.7916666667</v>
      </c>
      <c r="B195" s="57" t="n">
        <f aca="false">MOD(A195,1)</f>
        <v>0.791666666656965</v>
      </c>
      <c r="C195" s="0" t="n">
        <v>0</v>
      </c>
      <c r="D195" s="0" t="n">
        <v>489.566</v>
      </c>
      <c r="E195" s="0" t="n">
        <f aca="false">D195-0.155</f>
        <v>489.411</v>
      </c>
      <c r="F195" s="0" t="n">
        <v>489.545</v>
      </c>
      <c r="G195" s="0" t="n">
        <f aca="false">IF(E195 - F195 &lt; 0, 0, E195 - F195)</f>
        <v>0</v>
      </c>
      <c r="H195" s="0" t="n">
        <v>1.82</v>
      </c>
      <c r="I195" s="0" t="n">
        <f aca="false">1.82*30*(G195^1.5)</f>
        <v>0</v>
      </c>
      <c r="J195" s="0" t="n">
        <f aca="false">I195*60</f>
        <v>0</v>
      </c>
      <c r="K195" s="0" t="n">
        <f aca="false">(I195*86400)/24</f>
        <v>0</v>
      </c>
    </row>
    <row r="196" customFormat="false" ht="16.5" hidden="false" customHeight="false" outlineLevel="0" collapsed="false">
      <c r="A196" s="56" t="n">
        <v>45842.8333333333</v>
      </c>
      <c r="B196" s="57" t="n">
        <f aca="false">MOD(A196,1)</f>
        <v>0.833333333343035</v>
      </c>
      <c r="C196" s="0" t="n">
        <v>0</v>
      </c>
      <c r="D196" s="0" t="n">
        <v>489.566</v>
      </c>
      <c r="E196" s="0" t="n">
        <f aca="false">D196-0.155</f>
        <v>489.411</v>
      </c>
      <c r="F196" s="0" t="n">
        <v>489.545</v>
      </c>
      <c r="G196" s="0" t="n">
        <f aca="false">IF(E196 - F196 &lt; 0, 0, E196 - F196)</f>
        <v>0</v>
      </c>
      <c r="H196" s="0" t="n">
        <v>1.82</v>
      </c>
      <c r="I196" s="0" t="n">
        <f aca="false">1.82*30*(G196^1.5)</f>
        <v>0</v>
      </c>
      <c r="J196" s="0" t="n">
        <f aca="false">I196*60</f>
        <v>0</v>
      </c>
      <c r="K196" s="0" t="n">
        <f aca="false">(I196*86400)/24</f>
        <v>0</v>
      </c>
    </row>
    <row r="197" customFormat="false" ht="16.5" hidden="false" customHeight="false" outlineLevel="0" collapsed="false">
      <c r="A197" s="56" t="n">
        <v>45842.875</v>
      </c>
      <c r="B197" s="57" t="n">
        <f aca="false">MOD(A197,1)</f>
        <v>0.875</v>
      </c>
      <c r="C197" s="0" t="n">
        <v>0</v>
      </c>
      <c r="D197" s="0" t="n">
        <v>489.566</v>
      </c>
      <c r="E197" s="0" t="n">
        <f aca="false">D197-0.155</f>
        <v>489.411</v>
      </c>
      <c r="F197" s="0" t="n">
        <v>489.545</v>
      </c>
      <c r="G197" s="0" t="n">
        <f aca="false">IF(E197 - F197 &lt; 0, 0, E197 - F197)</f>
        <v>0</v>
      </c>
      <c r="H197" s="0" t="n">
        <v>1.82</v>
      </c>
      <c r="I197" s="0" t="n">
        <f aca="false">1.82*30*(G197^1.5)</f>
        <v>0</v>
      </c>
      <c r="J197" s="0" t="n">
        <f aca="false">I197*60</f>
        <v>0</v>
      </c>
      <c r="K197" s="0" t="n">
        <f aca="false">(I197*86400)/24</f>
        <v>0</v>
      </c>
    </row>
    <row r="198" customFormat="false" ht="16.5" hidden="false" customHeight="false" outlineLevel="0" collapsed="false">
      <c r="A198" s="56" t="n">
        <v>45842.9166666667</v>
      </c>
      <c r="B198" s="57" t="n">
        <f aca="false">MOD(A198,1)</f>
        <v>0.916666666656965</v>
      </c>
      <c r="C198" s="0" t="n">
        <v>0</v>
      </c>
      <c r="D198" s="0" t="n">
        <v>489.566</v>
      </c>
      <c r="E198" s="0" t="n">
        <f aca="false">D198-0.155</f>
        <v>489.411</v>
      </c>
      <c r="F198" s="0" t="n">
        <v>489.545</v>
      </c>
      <c r="G198" s="0" t="n">
        <f aca="false">IF(E198 - F198 &lt; 0, 0, E198 - F198)</f>
        <v>0</v>
      </c>
      <c r="H198" s="0" t="n">
        <v>1.82</v>
      </c>
      <c r="I198" s="0" t="n">
        <f aca="false">1.82*30*(G198^1.5)</f>
        <v>0</v>
      </c>
      <c r="J198" s="0" t="n">
        <f aca="false">I198*60</f>
        <v>0</v>
      </c>
      <c r="K198" s="0" t="n">
        <f aca="false">(I198*86400)/24</f>
        <v>0</v>
      </c>
    </row>
    <row r="199" customFormat="false" ht="16.5" hidden="false" customHeight="false" outlineLevel="0" collapsed="false">
      <c r="A199" s="56" t="n">
        <v>45842.9583333333</v>
      </c>
      <c r="B199" s="57" t="n">
        <f aca="false">MOD(A199,1)</f>
        <v>0.958333333343035</v>
      </c>
      <c r="C199" s="0" t="n">
        <v>0</v>
      </c>
      <c r="D199" s="0" t="n">
        <v>489.56</v>
      </c>
      <c r="E199" s="0" t="n">
        <f aca="false">D199-0.155</f>
        <v>489.405</v>
      </c>
      <c r="F199" s="0" t="n">
        <v>489.545</v>
      </c>
      <c r="G199" s="0" t="n">
        <f aca="false">IF(E199 - F199 &lt; 0, 0, E199 - F199)</f>
        <v>0</v>
      </c>
      <c r="H199" s="0" t="n">
        <v>1.82</v>
      </c>
      <c r="I199" s="0" t="n">
        <f aca="false">1.82*30*(G199^1.5)</f>
        <v>0</v>
      </c>
      <c r="J199" s="0" t="n">
        <f aca="false">I199*60</f>
        <v>0</v>
      </c>
      <c r="K199" s="0" t="n">
        <f aca="false">(I199*86400)/24</f>
        <v>0</v>
      </c>
    </row>
    <row r="200" customFormat="false" ht="16.5" hidden="false" customHeight="false" outlineLevel="0" collapsed="false">
      <c r="A200" s="56" t="n">
        <v>45843</v>
      </c>
      <c r="B200" s="57" t="n">
        <f aca="false">MOD(A200,1)</f>
        <v>0</v>
      </c>
      <c r="C200" s="0" t="n">
        <v>0</v>
      </c>
      <c r="D200" s="0" t="n">
        <v>489.56</v>
      </c>
      <c r="E200" s="0" t="n">
        <f aca="false">D200-0.155</f>
        <v>489.405</v>
      </c>
      <c r="F200" s="0" t="n">
        <v>489.545</v>
      </c>
      <c r="G200" s="0" t="n">
        <f aca="false">IF(E200 - F200 &lt; 0, 0, E200 - F200)</f>
        <v>0</v>
      </c>
      <c r="H200" s="0" t="n">
        <v>1.82</v>
      </c>
      <c r="I200" s="0" t="n">
        <f aca="false">1.82*30*(G200^1.5)</f>
        <v>0</v>
      </c>
      <c r="J200" s="0" t="n">
        <f aca="false">I200*60</f>
        <v>0</v>
      </c>
      <c r="K200" s="0" t="n">
        <f aca="false">(I200*86400)/24</f>
        <v>0</v>
      </c>
    </row>
    <row r="201" customFormat="false" ht="16.5" hidden="false" customHeight="false" outlineLevel="0" collapsed="false">
      <c r="A201" s="56" t="n">
        <v>45843.0416666667</v>
      </c>
      <c r="B201" s="57" t="n">
        <f aca="false">MOD(A201,1)</f>
        <v>0.0416666666569654</v>
      </c>
      <c r="C201" s="0" t="n">
        <v>0</v>
      </c>
      <c r="D201" s="0" t="n">
        <v>489.566</v>
      </c>
      <c r="E201" s="0" t="n">
        <f aca="false">D201-0.155</f>
        <v>489.411</v>
      </c>
      <c r="F201" s="0" t="n">
        <v>489.545</v>
      </c>
      <c r="G201" s="0" t="n">
        <f aca="false">IF(E201 - F201 &lt; 0, 0, E201 - F201)</f>
        <v>0</v>
      </c>
      <c r="H201" s="0" t="n">
        <v>1.82</v>
      </c>
      <c r="I201" s="0" t="n">
        <f aca="false">1.82*30*(G201^1.5)</f>
        <v>0</v>
      </c>
      <c r="J201" s="0" t="n">
        <f aca="false">I201*60</f>
        <v>0</v>
      </c>
      <c r="K201" s="0" t="n">
        <f aca="false">(I201*86400)/24</f>
        <v>0</v>
      </c>
    </row>
    <row r="202" customFormat="false" ht="16.5" hidden="false" customHeight="false" outlineLevel="0" collapsed="false">
      <c r="A202" s="56" t="n">
        <v>45843.0833333333</v>
      </c>
      <c r="B202" s="57" t="n">
        <f aca="false">MOD(A202,1)</f>
        <v>0.0833333333430346</v>
      </c>
      <c r="C202" s="0" t="n">
        <v>0</v>
      </c>
      <c r="D202" s="0" t="n">
        <v>489.566</v>
      </c>
      <c r="E202" s="0" t="n">
        <f aca="false">D202-0.155</f>
        <v>489.411</v>
      </c>
      <c r="F202" s="0" t="n">
        <v>489.545</v>
      </c>
      <c r="G202" s="0" t="n">
        <f aca="false">IF(E202 - F202 &lt; 0, 0, E202 - F202)</f>
        <v>0</v>
      </c>
      <c r="H202" s="0" t="n">
        <v>1.82</v>
      </c>
      <c r="I202" s="0" t="n">
        <f aca="false">1.82*30*(G202^1.5)</f>
        <v>0</v>
      </c>
      <c r="J202" s="0" t="n">
        <f aca="false">I202*60</f>
        <v>0</v>
      </c>
      <c r="K202" s="0" t="n">
        <f aca="false">(I202*86400)/24</f>
        <v>0</v>
      </c>
    </row>
    <row r="203" customFormat="false" ht="16.5" hidden="false" customHeight="false" outlineLevel="0" collapsed="false">
      <c r="A203" s="56" t="n">
        <v>45843.125</v>
      </c>
      <c r="B203" s="57" t="n">
        <f aca="false">MOD(A203,1)</f>
        <v>0.125</v>
      </c>
      <c r="C203" s="0" t="n">
        <v>0</v>
      </c>
      <c r="D203" s="0" t="n">
        <v>489.566</v>
      </c>
      <c r="E203" s="0" t="n">
        <f aca="false">D203-0.155</f>
        <v>489.411</v>
      </c>
      <c r="F203" s="0" t="n">
        <v>489.545</v>
      </c>
      <c r="G203" s="0" t="n">
        <f aca="false">IF(E203 - F203 &lt; 0, 0, E203 - F203)</f>
        <v>0</v>
      </c>
      <c r="H203" s="0" t="n">
        <v>1.82</v>
      </c>
      <c r="I203" s="0" t="n">
        <f aca="false">1.82*30*(G203^1.5)</f>
        <v>0</v>
      </c>
      <c r="J203" s="0" t="n">
        <f aca="false">I203*60</f>
        <v>0</v>
      </c>
      <c r="K203" s="0" t="n">
        <f aca="false">(I203*86400)/24</f>
        <v>0</v>
      </c>
    </row>
    <row r="204" customFormat="false" ht="16.5" hidden="false" customHeight="false" outlineLevel="0" collapsed="false">
      <c r="A204" s="56" t="n">
        <v>45843.1666666667</v>
      </c>
      <c r="B204" s="57" t="n">
        <f aca="false">MOD(A204,1)</f>
        <v>0.166666666656965</v>
      </c>
      <c r="C204" s="0" t="n">
        <v>0</v>
      </c>
      <c r="D204" s="0" t="n">
        <v>489.566</v>
      </c>
      <c r="E204" s="0" t="n">
        <f aca="false">D204-0.155</f>
        <v>489.411</v>
      </c>
      <c r="F204" s="0" t="n">
        <v>489.545</v>
      </c>
      <c r="G204" s="0" t="n">
        <f aca="false">IF(E204 - F204 &lt; 0, 0, E204 - F204)</f>
        <v>0</v>
      </c>
      <c r="H204" s="0" t="n">
        <v>1.82</v>
      </c>
      <c r="I204" s="0" t="n">
        <f aca="false">1.82*30*(G204^1.5)</f>
        <v>0</v>
      </c>
      <c r="J204" s="0" t="n">
        <f aca="false">I204*60</f>
        <v>0</v>
      </c>
      <c r="K204" s="0" t="n">
        <f aca="false">(I204*86400)/24</f>
        <v>0</v>
      </c>
    </row>
    <row r="205" customFormat="false" ht="16.5" hidden="false" customHeight="false" outlineLevel="0" collapsed="false">
      <c r="A205" s="56" t="n">
        <v>45843.2083333333</v>
      </c>
      <c r="B205" s="57" t="n">
        <f aca="false">MOD(A205,1)</f>
        <v>0.208333333343035</v>
      </c>
      <c r="C205" s="0" t="n">
        <v>0</v>
      </c>
      <c r="D205" s="0" t="n">
        <v>489.566</v>
      </c>
      <c r="E205" s="0" t="n">
        <f aca="false">D205-0.155</f>
        <v>489.411</v>
      </c>
      <c r="F205" s="0" t="n">
        <v>489.545</v>
      </c>
      <c r="G205" s="0" t="n">
        <f aca="false">IF(E205 - F205 &lt; 0, 0, E205 - F205)</f>
        <v>0</v>
      </c>
      <c r="H205" s="0" t="n">
        <v>1.82</v>
      </c>
      <c r="I205" s="0" t="n">
        <f aca="false">1.82*30*(G205^1.5)</f>
        <v>0</v>
      </c>
      <c r="J205" s="0" t="n">
        <f aca="false">I205*60</f>
        <v>0</v>
      </c>
      <c r="K205" s="0" t="n">
        <f aca="false">(I205*86400)/24</f>
        <v>0</v>
      </c>
    </row>
    <row r="206" customFormat="false" ht="16.5" hidden="false" customHeight="false" outlineLevel="0" collapsed="false">
      <c r="A206" s="56" t="n">
        <v>45843.25</v>
      </c>
      <c r="B206" s="57" t="n">
        <f aca="false">MOD(A206,1)</f>
        <v>0.25</v>
      </c>
      <c r="C206" s="0" t="n">
        <v>0</v>
      </c>
      <c r="D206" s="0" t="n">
        <v>489.56</v>
      </c>
      <c r="E206" s="0" t="n">
        <f aca="false">D206-0.155</f>
        <v>489.405</v>
      </c>
      <c r="F206" s="0" t="n">
        <v>489.545</v>
      </c>
      <c r="G206" s="0" t="n">
        <f aca="false">IF(E206 - F206 &lt; 0, 0, E206 - F206)</f>
        <v>0</v>
      </c>
      <c r="H206" s="0" t="n">
        <v>1.82</v>
      </c>
      <c r="I206" s="0" t="n">
        <f aca="false">1.82*30*(G206^1.5)</f>
        <v>0</v>
      </c>
      <c r="J206" s="0" t="n">
        <f aca="false">I206*60</f>
        <v>0</v>
      </c>
      <c r="K206" s="0" t="n">
        <f aca="false">(I206*86400)/24</f>
        <v>0</v>
      </c>
    </row>
    <row r="207" customFormat="false" ht="16.5" hidden="false" customHeight="false" outlineLevel="0" collapsed="false">
      <c r="A207" s="56" t="n">
        <v>45843.2916666667</v>
      </c>
      <c r="B207" s="57" t="n">
        <f aca="false">MOD(A207,1)</f>
        <v>0.291666666656965</v>
      </c>
      <c r="C207" s="0" t="n">
        <v>0</v>
      </c>
      <c r="D207" s="0" t="n">
        <v>489.56</v>
      </c>
      <c r="E207" s="0" t="n">
        <f aca="false">D207-0.155</f>
        <v>489.405</v>
      </c>
      <c r="F207" s="0" t="n">
        <v>489.545</v>
      </c>
      <c r="G207" s="0" t="n">
        <f aca="false">IF(E207 - F207 &lt; 0, 0, E207 - F207)</f>
        <v>0</v>
      </c>
      <c r="H207" s="0" t="n">
        <v>1.82</v>
      </c>
      <c r="I207" s="0" t="n">
        <f aca="false">1.82*30*(G207^1.5)</f>
        <v>0</v>
      </c>
      <c r="J207" s="0" t="n">
        <f aca="false">I207*60</f>
        <v>0</v>
      </c>
      <c r="K207" s="0" t="n">
        <f aca="false">(I207*86400)/24</f>
        <v>0</v>
      </c>
    </row>
    <row r="208" customFormat="false" ht="16.5" hidden="false" customHeight="false" outlineLevel="0" collapsed="false">
      <c r="A208" s="56" t="n">
        <v>45843.3333333333</v>
      </c>
      <c r="B208" s="57" t="n">
        <f aca="false">MOD(A208,1)</f>
        <v>0.333333333343035</v>
      </c>
      <c r="C208" s="0" t="n">
        <v>0</v>
      </c>
      <c r="D208" s="0" t="n">
        <v>489.565</v>
      </c>
      <c r="E208" s="0" t="n">
        <f aca="false">D208-0.155</f>
        <v>489.41</v>
      </c>
      <c r="F208" s="0" t="n">
        <v>489.545</v>
      </c>
      <c r="G208" s="0" t="n">
        <f aca="false">IF(E208 - F208 &lt; 0, 0, E208 - F208)</f>
        <v>0</v>
      </c>
      <c r="H208" s="0" t="n">
        <v>1.82</v>
      </c>
      <c r="I208" s="0" t="n">
        <f aca="false">1.82*30*(G208^1.5)</f>
        <v>0</v>
      </c>
      <c r="J208" s="0" t="n">
        <f aca="false">I208*60</f>
        <v>0</v>
      </c>
      <c r="K208" s="0" t="n">
        <f aca="false">(I208*86400)/24</f>
        <v>0</v>
      </c>
    </row>
    <row r="209" customFormat="false" ht="16.5" hidden="false" customHeight="false" outlineLevel="0" collapsed="false">
      <c r="A209" s="56" t="n">
        <v>45843.375</v>
      </c>
      <c r="B209" s="57" t="n">
        <f aca="false">MOD(A209,1)</f>
        <v>0.375</v>
      </c>
      <c r="C209" s="0" t="n">
        <v>0</v>
      </c>
      <c r="D209" s="0" t="n">
        <v>489.565</v>
      </c>
      <c r="E209" s="0" t="n">
        <f aca="false">D209-0.155</f>
        <v>489.41</v>
      </c>
      <c r="F209" s="0" t="n">
        <v>489.545</v>
      </c>
      <c r="G209" s="0" t="n">
        <f aca="false">IF(E209 - F209 &lt; 0, 0, E209 - F209)</f>
        <v>0</v>
      </c>
      <c r="H209" s="0" t="n">
        <v>1.82</v>
      </c>
      <c r="I209" s="0" t="n">
        <f aca="false">1.82*30*(G209^1.5)</f>
        <v>0</v>
      </c>
      <c r="J209" s="0" t="n">
        <f aca="false">I209*60</f>
        <v>0</v>
      </c>
      <c r="K209" s="0" t="n">
        <f aca="false">(I209*86400)/24</f>
        <v>0</v>
      </c>
    </row>
    <row r="210" customFormat="false" ht="16.5" hidden="false" customHeight="false" outlineLevel="0" collapsed="false">
      <c r="A210" s="56" t="n">
        <v>45843.4166666667</v>
      </c>
      <c r="B210" s="57" t="n">
        <f aca="false">MOD(A210,1)</f>
        <v>0.416666666656965</v>
      </c>
      <c r="C210" s="0" t="n">
        <v>0</v>
      </c>
      <c r="D210" s="0" t="n">
        <v>489.559</v>
      </c>
      <c r="E210" s="0" t="n">
        <f aca="false">D210-0.155</f>
        <v>489.404</v>
      </c>
      <c r="F210" s="0" t="n">
        <v>489.545</v>
      </c>
      <c r="G210" s="0" t="n">
        <f aca="false">IF(E210 - F210 &lt; 0, 0, E210 - F210)</f>
        <v>0</v>
      </c>
      <c r="H210" s="0" t="n">
        <v>1.82</v>
      </c>
      <c r="I210" s="0" t="n">
        <f aca="false">1.82*30*(G210^1.5)</f>
        <v>0</v>
      </c>
      <c r="J210" s="0" t="n">
        <f aca="false">I210*60</f>
        <v>0</v>
      </c>
      <c r="K210" s="0" t="n">
        <f aca="false">(I210*86400)/24</f>
        <v>0</v>
      </c>
    </row>
    <row r="211" customFormat="false" ht="16.5" hidden="false" customHeight="false" outlineLevel="0" collapsed="false">
      <c r="A211" s="56" t="n">
        <v>45843.4583333333</v>
      </c>
      <c r="B211" s="57" t="n">
        <f aca="false">MOD(A211,1)</f>
        <v>0.458333333343035</v>
      </c>
      <c r="C211" s="0" t="n">
        <v>0</v>
      </c>
      <c r="D211" s="0" t="n">
        <v>489.565</v>
      </c>
      <c r="E211" s="0" t="n">
        <f aca="false">D211-0.155</f>
        <v>489.41</v>
      </c>
      <c r="F211" s="0" t="n">
        <v>489.545</v>
      </c>
      <c r="G211" s="0" t="n">
        <f aca="false">IF(E211 - F211 &lt; 0, 0, E211 - F211)</f>
        <v>0</v>
      </c>
      <c r="H211" s="0" t="n">
        <v>1.82</v>
      </c>
      <c r="I211" s="0" t="n">
        <f aca="false">1.82*30*(G211^1.5)</f>
        <v>0</v>
      </c>
      <c r="J211" s="0" t="n">
        <f aca="false">I211*60</f>
        <v>0</v>
      </c>
      <c r="K211" s="0" t="n">
        <f aca="false">(I211*86400)/24</f>
        <v>0</v>
      </c>
    </row>
    <row r="212" customFormat="false" ht="16.5" hidden="false" customHeight="false" outlineLevel="0" collapsed="false">
      <c r="A212" s="56" t="n">
        <v>45843.5</v>
      </c>
      <c r="B212" s="57" t="n">
        <f aca="false">MOD(A212,1)</f>
        <v>0.5</v>
      </c>
      <c r="C212" s="0" t="n">
        <v>0</v>
      </c>
      <c r="D212" s="0" t="n">
        <v>489.565</v>
      </c>
      <c r="E212" s="0" t="n">
        <f aca="false">D212-0.155</f>
        <v>489.41</v>
      </c>
      <c r="F212" s="0" t="n">
        <v>489.545</v>
      </c>
      <c r="G212" s="0" t="n">
        <f aca="false">IF(E212 - F212 &lt; 0, 0, E212 - F212)</f>
        <v>0</v>
      </c>
      <c r="H212" s="0" t="n">
        <v>1.82</v>
      </c>
      <c r="I212" s="0" t="n">
        <f aca="false">1.82*30*(G212^1.5)</f>
        <v>0</v>
      </c>
      <c r="J212" s="0" t="n">
        <f aca="false">I212*60</f>
        <v>0</v>
      </c>
      <c r="K212" s="0" t="n">
        <f aca="false">(I212*86400)/24</f>
        <v>0</v>
      </c>
    </row>
    <row r="213" customFormat="false" ht="16.5" hidden="false" customHeight="false" outlineLevel="0" collapsed="false">
      <c r="A213" s="56" t="n">
        <v>45843.5416666667</v>
      </c>
      <c r="B213" s="57" t="n">
        <f aca="false">MOD(A213,1)</f>
        <v>0.541666666656965</v>
      </c>
      <c r="C213" s="0" t="n">
        <v>0</v>
      </c>
      <c r="D213" s="0" t="n">
        <v>489.565</v>
      </c>
      <c r="E213" s="0" t="n">
        <f aca="false">D213-0.155</f>
        <v>489.41</v>
      </c>
      <c r="F213" s="0" t="n">
        <v>489.545</v>
      </c>
      <c r="G213" s="0" t="n">
        <f aca="false">IF(E213 - F213 &lt; 0, 0, E213 - F213)</f>
        <v>0</v>
      </c>
      <c r="H213" s="0" t="n">
        <v>1.82</v>
      </c>
      <c r="I213" s="0" t="n">
        <f aca="false">1.82*30*(G213^1.5)</f>
        <v>0</v>
      </c>
      <c r="J213" s="0" t="n">
        <f aca="false">I213*60</f>
        <v>0</v>
      </c>
      <c r="K213" s="0" t="n">
        <f aca="false">(I213*86400)/24</f>
        <v>0</v>
      </c>
    </row>
    <row r="214" customFormat="false" ht="16.5" hidden="false" customHeight="false" outlineLevel="0" collapsed="false">
      <c r="A214" s="56" t="n">
        <v>45843.5833333333</v>
      </c>
      <c r="B214" s="57" t="n">
        <f aca="false">MOD(A214,1)</f>
        <v>0.583333333343035</v>
      </c>
      <c r="C214" s="0" t="n">
        <v>0</v>
      </c>
      <c r="D214" s="0" t="n">
        <v>489.565</v>
      </c>
      <c r="E214" s="0" t="n">
        <f aca="false">D214-0.155</f>
        <v>489.41</v>
      </c>
      <c r="F214" s="0" t="n">
        <v>489.545</v>
      </c>
      <c r="G214" s="0" t="n">
        <f aca="false">IF(E214 - F214 &lt; 0, 0, E214 - F214)</f>
        <v>0</v>
      </c>
      <c r="H214" s="0" t="n">
        <v>1.82</v>
      </c>
      <c r="I214" s="0" t="n">
        <f aca="false">1.82*30*(G214^1.5)</f>
        <v>0</v>
      </c>
      <c r="J214" s="0" t="n">
        <f aca="false">I214*60</f>
        <v>0</v>
      </c>
      <c r="K214" s="0" t="n">
        <f aca="false">(I214*86400)/24</f>
        <v>0</v>
      </c>
    </row>
    <row r="215" customFormat="false" ht="16.5" hidden="false" customHeight="false" outlineLevel="0" collapsed="false">
      <c r="A215" s="56" t="n">
        <v>45843.625</v>
      </c>
      <c r="B215" s="57" t="n">
        <f aca="false">MOD(A215,1)</f>
        <v>0.625</v>
      </c>
      <c r="C215" s="0" t="n">
        <v>0</v>
      </c>
      <c r="D215" s="0" t="n">
        <v>489.565</v>
      </c>
      <c r="E215" s="0" t="n">
        <f aca="false">D215-0.155</f>
        <v>489.41</v>
      </c>
      <c r="F215" s="0" t="n">
        <v>489.545</v>
      </c>
      <c r="G215" s="0" t="n">
        <f aca="false">IF(E215 - F215 &lt; 0, 0, E215 - F215)</f>
        <v>0</v>
      </c>
      <c r="H215" s="0" t="n">
        <v>1.82</v>
      </c>
      <c r="I215" s="0" t="n">
        <f aca="false">1.82*30*(G215^1.5)</f>
        <v>0</v>
      </c>
      <c r="J215" s="0" t="n">
        <f aca="false">I215*60</f>
        <v>0</v>
      </c>
      <c r="K215" s="0" t="n">
        <f aca="false">(I215*86400)/24</f>
        <v>0</v>
      </c>
    </row>
    <row r="216" customFormat="false" ht="16.5" hidden="false" customHeight="false" outlineLevel="0" collapsed="false">
      <c r="A216" s="56" t="n">
        <v>45843.6666666667</v>
      </c>
      <c r="B216" s="57" t="n">
        <f aca="false">MOD(A216,1)</f>
        <v>0.666666666656965</v>
      </c>
      <c r="C216" s="0" t="n">
        <v>1.8</v>
      </c>
      <c r="D216" s="0" t="n">
        <v>489.572</v>
      </c>
      <c r="E216" s="0" t="n">
        <f aca="false">D216-0.155</f>
        <v>489.417</v>
      </c>
      <c r="F216" s="0" t="n">
        <v>489.545</v>
      </c>
      <c r="G216" s="0" t="n">
        <f aca="false">IF(E216 - F216 &lt; 0, 0, E216 - F216)</f>
        <v>0</v>
      </c>
      <c r="H216" s="0" t="n">
        <v>1.82</v>
      </c>
      <c r="I216" s="0" t="n">
        <f aca="false">1.82*30*(G216^1.5)</f>
        <v>0</v>
      </c>
      <c r="J216" s="0" t="n">
        <f aca="false">I216*60</f>
        <v>0</v>
      </c>
      <c r="K216" s="0" t="n">
        <f aca="false">(I216*86400)/24</f>
        <v>0</v>
      </c>
    </row>
    <row r="217" customFormat="false" ht="16.5" hidden="false" customHeight="false" outlineLevel="0" collapsed="false">
      <c r="A217" s="56" t="n">
        <v>45843.7083333333</v>
      </c>
      <c r="B217" s="57" t="n">
        <f aca="false">MOD(A217,1)</f>
        <v>0.708333333343035</v>
      </c>
      <c r="C217" s="0" t="n">
        <v>0.2</v>
      </c>
      <c r="D217" s="0" t="n">
        <v>489.566</v>
      </c>
      <c r="E217" s="0" t="n">
        <f aca="false">D217-0.155</f>
        <v>489.411</v>
      </c>
      <c r="F217" s="0" t="n">
        <v>489.545</v>
      </c>
      <c r="G217" s="0" t="n">
        <f aca="false">IF(E217 - F217 &lt; 0, 0, E217 - F217)</f>
        <v>0</v>
      </c>
      <c r="H217" s="0" t="n">
        <v>1.82</v>
      </c>
      <c r="I217" s="0" t="n">
        <f aca="false">1.82*30*(G217^1.5)</f>
        <v>0</v>
      </c>
      <c r="J217" s="0" t="n">
        <f aca="false">I217*60</f>
        <v>0</v>
      </c>
      <c r="K217" s="0" t="n">
        <f aca="false">(I217*86400)/24</f>
        <v>0</v>
      </c>
    </row>
    <row r="218" customFormat="false" ht="16.5" hidden="false" customHeight="false" outlineLevel="0" collapsed="false">
      <c r="A218" s="56" t="n">
        <v>45843.75</v>
      </c>
      <c r="B218" s="57" t="n">
        <f aca="false">MOD(A218,1)</f>
        <v>0.75</v>
      </c>
      <c r="C218" s="0" t="n">
        <v>0</v>
      </c>
      <c r="D218" s="0" t="n">
        <v>489.572</v>
      </c>
      <c r="E218" s="0" t="n">
        <f aca="false">D218-0.155</f>
        <v>489.417</v>
      </c>
      <c r="F218" s="0" t="n">
        <v>489.545</v>
      </c>
      <c r="G218" s="0" t="n">
        <f aca="false">IF(E218 - F218 &lt; 0, 0, E218 - F218)</f>
        <v>0</v>
      </c>
      <c r="H218" s="0" t="n">
        <v>1.82</v>
      </c>
      <c r="I218" s="0" t="n">
        <f aca="false">1.82*30*(G218^1.5)</f>
        <v>0</v>
      </c>
      <c r="J218" s="0" t="n">
        <f aca="false">I218*60</f>
        <v>0</v>
      </c>
      <c r="K218" s="0" t="n">
        <f aca="false">(I218*86400)/24</f>
        <v>0</v>
      </c>
    </row>
    <row r="219" customFormat="false" ht="16.5" hidden="false" customHeight="false" outlineLevel="0" collapsed="false">
      <c r="A219" s="56" t="n">
        <v>45843.7916666667</v>
      </c>
      <c r="B219" s="57" t="n">
        <f aca="false">MOD(A219,1)</f>
        <v>0.791666666656965</v>
      </c>
      <c r="C219" s="0" t="n">
        <v>1.4</v>
      </c>
      <c r="D219" s="0" t="n">
        <v>489.573</v>
      </c>
      <c r="E219" s="0" t="n">
        <f aca="false">D219-0.155</f>
        <v>489.418</v>
      </c>
      <c r="F219" s="0" t="n">
        <v>489.545</v>
      </c>
      <c r="G219" s="0" t="n">
        <f aca="false">IF(E219 - F219 &lt; 0, 0, E219 - F219)</f>
        <v>0</v>
      </c>
      <c r="H219" s="0" t="n">
        <v>1.82</v>
      </c>
      <c r="I219" s="0" t="n">
        <f aca="false">1.82*30*(G219^1.5)</f>
        <v>0</v>
      </c>
      <c r="J219" s="0" t="n">
        <f aca="false">I219*60</f>
        <v>0</v>
      </c>
      <c r="K219" s="0" t="n">
        <f aca="false">(I219*86400)/24</f>
        <v>0</v>
      </c>
    </row>
    <row r="220" customFormat="false" ht="16.5" hidden="false" customHeight="false" outlineLevel="0" collapsed="false">
      <c r="A220" s="56" t="n">
        <v>45843.8333333333</v>
      </c>
      <c r="B220" s="57" t="n">
        <f aca="false">MOD(A220,1)</f>
        <v>0.833333333343035</v>
      </c>
      <c r="C220" s="0" t="n">
        <v>0</v>
      </c>
      <c r="D220" s="0" t="n">
        <v>489.573</v>
      </c>
      <c r="E220" s="0" t="n">
        <f aca="false">D220-0.155</f>
        <v>489.418</v>
      </c>
      <c r="F220" s="0" t="n">
        <v>489.545</v>
      </c>
      <c r="G220" s="0" t="n">
        <f aca="false">IF(E220 - F220 &lt; 0, 0, E220 - F220)</f>
        <v>0</v>
      </c>
      <c r="H220" s="0" t="n">
        <v>1.82</v>
      </c>
      <c r="I220" s="0" t="n">
        <f aca="false">1.82*30*(G220^1.5)</f>
        <v>0</v>
      </c>
      <c r="J220" s="0" t="n">
        <f aca="false">I220*60</f>
        <v>0</v>
      </c>
      <c r="K220" s="0" t="n">
        <f aca="false">(I220*86400)/24</f>
        <v>0</v>
      </c>
    </row>
    <row r="221" customFormat="false" ht="16.5" hidden="false" customHeight="false" outlineLevel="0" collapsed="false">
      <c r="A221" s="56" t="n">
        <v>45843.875</v>
      </c>
      <c r="B221" s="57" t="n">
        <f aca="false">MOD(A221,1)</f>
        <v>0.875</v>
      </c>
      <c r="C221" s="0" t="n">
        <v>0.4</v>
      </c>
      <c r="D221" s="0" t="n">
        <v>489.573</v>
      </c>
      <c r="E221" s="0" t="n">
        <f aca="false">D221-0.155</f>
        <v>489.418</v>
      </c>
      <c r="F221" s="0" t="n">
        <v>489.545</v>
      </c>
      <c r="G221" s="0" t="n">
        <f aca="false">IF(E221 - F221 &lt; 0, 0, E221 - F221)</f>
        <v>0</v>
      </c>
      <c r="H221" s="0" t="n">
        <v>1.82</v>
      </c>
      <c r="I221" s="0" t="n">
        <f aca="false">1.82*30*(G221^1.5)</f>
        <v>0</v>
      </c>
      <c r="J221" s="0" t="n">
        <f aca="false">I221*60</f>
        <v>0</v>
      </c>
      <c r="K221" s="0" t="n">
        <f aca="false">(I221*86400)/24</f>
        <v>0</v>
      </c>
    </row>
    <row r="222" customFormat="false" ht="16.5" hidden="false" customHeight="false" outlineLevel="0" collapsed="false">
      <c r="A222" s="56" t="n">
        <v>45843.9166666667</v>
      </c>
      <c r="B222" s="57" t="n">
        <f aca="false">MOD(A222,1)</f>
        <v>0.916666666656965</v>
      </c>
      <c r="C222" s="0" t="n">
        <v>0</v>
      </c>
      <c r="D222" s="0" t="n">
        <v>489.579</v>
      </c>
      <c r="E222" s="0" t="n">
        <f aca="false">D222-0.155</f>
        <v>489.424</v>
      </c>
      <c r="F222" s="0" t="n">
        <v>489.545</v>
      </c>
      <c r="G222" s="0" t="n">
        <f aca="false">IF(E222 - F222 &lt; 0, 0, E222 - F222)</f>
        <v>0</v>
      </c>
      <c r="H222" s="0" t="n">
        <v>1.82</v>
      </c>
      <c r="I222" s="0" t="n">
        <f aca="false">1.82*30*(G222^1.5)</f>
        <v>0</v>
      </c>
      <c r="J222" s="0" t="n">
        <f aca="false">I222*60</f>
        <v>0</v>
      </c>
      <c r="K222" s="0" t="n">
        <f aca="false">(I222*86400)/24</f>
        <v>0</v>
      </c>
    </row>
    <row r="223" customFormat="false" ht="16.5" hidden="false" customHeight="false" outlineLevel="0" collapsed="false">
      <c r="A223" s="56" t="n">
        <v>45843.9583333333</v>
      </c>
      <c r="B223" s="57" t="n">
        <f aca="false">MOD(A223,1)</f>
        <v>0.958333333343035</v>
      </c>
      <c r="C223" s="0" t="n">
        <v>1</v>
      </c>
      <c r="D223" s="0" t="n">
        <v>489.573</v>
      </c>
      <c r="E223" s="0" t="n">
        <f aca="false">D223-0.155</f>
        <v>489.418</v>
      </c>
      <c r="F223" s="0" t="n">
        <v>489.545</v>
      </c>
      <c r="G223" s="0" t="n">
        <f aca="false">IF(E223 - F223 &lt; 0, 0, E223 - F223)</f>
        <v>0</v>
      </c>
      <c r="H223" s="0" t="n">
        <v>1.82</v>
      </c>
      <c r="I223" s="0" t="n">
        <f aca="false">1.82*30*(G223^1.5)</f>
        <v>0</v>
      </c>
      <c r="J223" s="0" t="n">
        <f aca="false">I223*60</f>
        <v>0</v>
      </c>
      <c r="K223" s="0" t="n">
        <f aca="false">(I223*86400)/24</f>
        <v>0</v>
      </c>
    </row>
    <row r="224" customFormat="false" ht="16.5" hidden="false" customHeight="false" outlineLevel="0" collapsed="false">
      <c r="A224" s="56" t="n">
        <v>45844</v>
      </c>
      <c r="B224" s="57" t="n">
        <f aca="false">MOD(A224,1)</f>
        <v>0</v>
      </c>
      <c r="C224" s="0" t="n">
        <v>1.2</v>
      </c>
      <c r="D224" s="0" t="n">
        <v>489.579</v>
      </c>
      <c r="E224" s="0" t="n">
        <f aca="false">D224-0.155</f>
        <v>489.424</v>
      </c>
      <c r="F224" s="0" t="n">
        <v>489.545</v>
      </c>
      <c r="G224" s="0" t="n">
        <f aca="false">IF(E224 - F224 &lt; 0, 0, E224 - F224)</f>
        <v>0</v>
      </c>
      <c r="H224" s="0" t="n">
        <v>1.82</v>
      </c>
      <c r="I224" s="0" t="n">
        <f aca="false">1.82*30*(G224^1.5)</f>
        <v>0</v>
      </c>
      <c r="J224" s="0" t="n">
        <f aca="false">I224*60</f>
        <v>0</v>
      </c>
      <c r="K224" s="0" t="n">
        <f aca="false">(I224*86400)/24</f>
        <v>0</v>
      </c>
    </row>
    <row r="225" customFormat="false" ht="16.5" hidden="false" customHeight="false" outlineLevel="0" collapsed="false">
      <c r="A225" s="56" t="n">
        <v>45844.0416666667</v>
      </c>
      <c r="B225" s="57" t="n">
        <f aca="false">MOD(A225,1)</f>
        <v>0.0416666666569654</v>
      </c>
      <c r="C225" s="0" t="n">
        <v>0.6</v>
      </c>
      <c r="D225" s="0" t="n">
        <v>489.579</v>
      </c>
      <c r="E225" s="0" t="n">
        <f aca="false">D225-0.155</f>
        <v>489.424</v>
      </c>
      <c r="F225" s="0" t="n">
        <v>489.545</v>
      </c>
      <c r="G225" s="0" t="n">
        <f aca="false">IF(E225 - F225 &lt; 0, 0, E225 - F225)</f>
        <v>0</v>
      </c>
      <c r="H225" s="0" t="n">
        <v>1.82</v>
      </c>
      <c r="I225" s="0" t="n">
        <f aca="false">1.82*30*(G225^1.5)</f>
        <v>0</v>
      </c>
      <c r="J225" s="0" t="n">
        <f aca="false">I225*60</f>
        <v>0</v>
      </c>
      <c r="K225" s="0" t="n">
        <f aca="false">(I225*86400)/24</f>
        <v>0</v>
      </c>
    </row>
    <row r="226" customFormat="false" ht="16.5" hidden="false" customHeight="false" outlineLevel="0" collapsed="false">
      <c r="A226" s="56" t="n">
        <v>45844.0833333333</v>
      </c>
      <c r="B226" s="57" t="n">
        <f aca="false">MOD(A226,1)</f>
        <v>0.0833333333430346</v>
      </c>
      <c r="C226" s="0" t="n">
        <v>0.6</v>
      </c>
      <c r="D226" s="0" t="n">
        <v>489.586</v>
      </c>
      <c r="E226" s="0" t="n">
        <f aca="false">D226-0.155</f>
        <v>489.431</v>
      </c>
      <c r="F226" s="0" t="n">
        <v>489.545</v>
      </c>
      <c r="G226" s="0" t="n">
        <f aca="false">IF(E226 - F226 &lt; 0, 0, E226 - F226)</f>
        <v>0</v>
      </c>
      <c r="H226" s="0" t="n">
        <v>1.82</v>
      </c>
      <c r="I226" s="0" t="n">
        <f aca="false">1.82*30*(G226^1.5)</f>
        <v>0</v>
      </c>
      <c r="J226" s="0" t="n">
        <f aca="false">I226*60</f>
        <v>0</v>
      </c>
      <c r="K226" s="0" t="n">
        <f aca="false">(I226*86400)/24</f>
        <v>0</v>
      </c>
    </row>
    <row r="227" customFormat="false" ht="16.5" hidden="false" customHeight="false" outlineLevel="0" collapsed="false">
      <c r="A227" s="56" t="n">
        <v>45844.125</v>
      </c>
      <c r="B227" s="57" t="n">
        <f aca="false">MOD(A227,1)</f>
        <v>0.125</v>
      </c>
      <c r="C227" s="0" t="n">
        <v>0</v>
      </c>
      <c r="D227" s="0" t="n">
        <v>489.579</v>
      </c>
      <c r="E227" s="0" t="n">
        <f aca="false">D227-0.155</f>
        <v>489.424</v>
      </c>
      <c r="F227" s="0" t="n">
        <v>489.545</v>
      </c>
      <c r="G227" s="0" t="n">
        <f aca="false">IF(E227 - F227 &lt; 0, 0, E227 - F227)</f>
        <v>0</v>
      </c>
      <c r="H227" s="0" t="n">
        <v>1.82</v>
      </c>
      <c r="I227" s="0" t="n">
        <f aca="false">1.82*30*(G227^1.5)</f>
        <v>0</v>
      </c>
      <c r="J227" s="0" t="n">
        <f aca="false">I227*60</f>
        <v>0</v>
      </c>
      <c r="K227" s="0" t="n">
        <f aca="false">(I227*86400)/24</f>
        <v>0</v>
      </c>
    </row>
    <row r="228" customFormat="false" ht="16.5" hidden="false" customHeight="false" outlineLevel="0" collapsed="false">
      <c r="A228" s="56" t="n">
        <v>45844.1666666667</v>
      </c>
      <c r="B228" s="57" t="n">
        <f aca="false">MOD(A228,1)</f>
        <v>0.166666666656965</v>
      </c>
      <c r="C228" s="0" t="n">
        <v>0</v>
      </c>
      <c r="D228" s="0" t="n">
        <v>489.579</v>
      </c>
      <c r="E228" s="0" t="n">
        <f aca="false">D228-0.155</f>
        <v>489.424</v>
      </c>
      <c r="F228" s="0" t="n">
        <v>489.545</v>
      </c>
      <c r="G228" s="0" t="n">
        <f aca="false">IF(E228 - F228 &lt; 0, 0, E228 - F228)</f>
        <v>0</v>
      </c>
      <c r="H228" s="0" t="n">
        <v>1.82</v>
      </c>
      <c r="I228" s="0" t="n">
        <f aca="false">1.82*30*(G228^1.5)</f>
        <v>0</v>
      </c>
      <c r="J228" s="0" t="n">
        <f aca="false">I228*60</f>
        <v>0</v>
      </c>
      <c r="K228" s="0" t="n">
        <f aca="false">(I228*86400)/24</f>
        <v>0</v>
      </c>
    </row>
    <row r="229" customFormat="false" ht="16.5" hidden="false" customHeight="false" outlineLevel="0" collapsed="false">
      <c r="A229" s="56" t="n">
        <v>45844.2083333333</v>
      </c>
      <c r="B229" s="57" t="n">
        <f aca="false">MOD(A229,1)</f>
        <v>0.208333333343035</v>
      </c>
      <c r="C229" s="0" t="n">
        <v>0.2</v>
      </c>
      <c r="D229" s="0" t="n">
        <v>489.586</v>
      </c>
      <c r="E229" s="0" t="n">
        <f aca="false">D229-0.155</f>
        <v>489.431</v>
      </c>
      <c r="F229" s="0" t="n">
        <v>489.545</v>
      </c>
      <c r="G229" s="0" t="n">
        <f aca="false">IF(E229 - F229 &lt; 0, 0, E229 - F229)</f>
        <v>0</v>
      </c>
      <c r="H229" s="0" t="n">
        <v>1.82</v>
      </c>
      <c r="I229" s="0" t="n">
        <f aca="false">1.82*30*(G229^1.5)</f>
        <v>0</v>
      </c>
      <c r="J229" s="0" t="n">
        <f aca="false">I229*60</f>
        <v>0</v>
      </c>
      <c r="K229" s="0" t="n">
        <f aca="false">(I229*86400)/24</f>
        <v>0</v>
      </c>
    </row>
    <row r="230" customFormat="false" ht="16.5" hidden="false" customHeight="false" outlineLevel="0" collapsed="false">
      <c r="A230" s="56" t="n">
        <v>45844.25</v>
      </c>
      <c r="B230" s="57" t="n">
        <f aca="false">MOD(A230,1)</f>
        <v>0.25</v>
      </c>
      <c r="C230" s="0" t="n">
        <v>0</v>
      </c>
      <c r="D230" s="0" t="n">
        <v>489.579</v>
      </c>
      <c r="E230" s="0" t="n">
        <f aca="false">D230-0.155</f>
        <v>489.424</v>
      </c>
      <c r="F230" s="0" t="n">
        <v>489.545</v>
      </c>
      <c r="G230" s="0" t="n">
        <f aca="false">IF(E230 - F230 &lt; 0, 0, E230 - F230)</f>
        <v>0</v>
      </c>
      <c r="H230" s="0" t="n">
        <v>1.82</v>
      </c>
      <c r="I230" s="0" t="n">
        <f aca="false">1.82*30*(G230^1.5)</f>
        <v>0</v>
      </c>
      <c r="J230" s="0" t="n">
        <f aca="false">I230*60</f>
        <v>0</v>
      </c>
      <c r="K230" s="0" t="n">
        <f aca="false">(I230*86400)/24</f>
        <v>0</v>
      </c>
    </row>
    <row r="231" customFormat="false" ht="16.5" hidden="false" customHeight="false" outlineLevel="0" collapsed="false">
      <c r="A231" s="56" t="n">
        <v>45844.2916666667</v>
      </c>
      <c r="B231" s="57" t="n">
        <f aca="false">MOD(A231,1)</f>
        <v>0.291666666656965</v>
      </c>
      <c r="C231" s="0" t="n">
        <v>0</v>
      </c>
      <c r="D231" s="0" t="n">
        <v>489.586</v>
      </c>
      <c r="E231" s="0" t="n">
        <f aca="false">D231-0.155</f>
        <v>489.431</v>
      </c>
      <c r="F231" s="0" t="n">
        <v>489.545</v>
      </c>
      <c r="G231" s="0" t="n">
        <f aca="false">IF(E231 - F231 &lt; 0, 0, E231 - F231)</f>
        <v>0</v>
      </c>
      <c r="H231" s="0" t="n">
        <v>1.82</v>
      </c>
      <c r="I231" s="0" t="n">
        <f aca="false">1.82*30*(G231^1.5)</f>
        <v>0</v>
      </c>
      <c r="J231" s="0" t="n">
        <f aca="false">I231*60</f>
        <v>0</v>
      </c>
      <c r="K231" s="0" t="n">
        <f aca="false">(I231*86400)/24</f>
        <v>0</v>
      </c>
    </row>
    <row r="232" customFormat="false" ht="16.5" hidden="false" customHeight="false" outlineLevel="0" collapsed="false">
      <c r="A232" s="56" t="n">
        <v>45844.3333333333</v>
      </c>
      <c r="B232" s="57" t="n">
        <f aca="false">MOD(A232,1)</f>
        <v>0.333333333343035</v>
      </c>
      <c r="C232" s="0" t="n">
        <v>0</v>
      </c>
      <c r="D232" s="0" t="n">
        <v>489.586</v>
      </c>
      <c r="E232" s="0" t="n">
        <f aca="false">D232-0.155</f>
        <v>489.431</v>
      </c>
      <c r="F232" s="0" t="n">
        <v>489.545</v>
      </c>
      <c r="G232" s="0" t="n">
        <f aca="false">IF(E232 - F232 &lt; 0, 0, E232 - F232)</f>
        <v>0</v>
      </c>
      <c r="H232" s="0" t="n">
        <v>1.82</v>
      </c>
      <c r="I232" s="0" t="n">
        <f aca="false">1.82*30*(G232^1.5)</f>
        <v>0</v>
      </c>
      <c r="J232" s="0" t="n">
        <f aca="false">I232*60</f>
        <v>0</v>
      </c>
      <c r="K232" s="0" t="n">
        <f aca="false">(I232*86400)/24</f>
        <v>0</v>
      </c>
    </row>
    <row r="233" customFormat="false" ht="16.5" hidden="false" customHeight="false" outlineLevel="0" collapsed="false">
      <c r="A233" s="56" t="n">
        <v>45844.375</v>
      </c>
      <c r="B233" s="57" t="n">
        <f aca="false">MOD(A233,1)</f>
        <v>0.375</v>
      </c>
      <c r="C233" s="0" t="n">
        <v>0</v>
      </c>
      <c r="D233" s="0" t="n">
        <v>489.586</v>
      </c>
      <c r="E233" s="0" t="n">
        <f aca="false">D233-0.155</f>
        <v>489.431</v>
      </c>
      <c r="F233" s="0" t="n">
        <v>489.545</v>
      </c>
      <c r="G233" s="0" t="n">
        <f aca="false">IF(E233 - F233 &lt; 0, 0, E233 - F233)</f>
        <v>0</v>
      </c>
      <c r="H233" s="0" t="n">
        <v>1.82</v>
      </c>
      <c r="I233" s="0" t="n">
        <f aca="false">1.82*30*(G233^1.5)</f>
        <v>0</v>
      </c>
      <c r="J233" s="0" t="n">
        <f aca="false">I233*60</f>
        <v>0</v>
      </c>
      <c r="K233" s="0" t="n">
        <f aca="false">(I233*86400)/24</f>
        <v>0</v>
      </c>
    </row>
    <row r="234" customFormat="false" ht="16.5" hidden="false" customHeight="false" outlineLevel="0" collapsed="false">
      <c r="A234" s="56" t="n">
        <v>45844.4166666667</v>
      </c>
      <c r="B234" s="57" t="n">
        <f aca="false">MOD(A234,1)</f>
        <v>0.416666666656965</v>
      </c>
      <c r="C234" s="0" t="n">
        <v>0</v>
      </c>
      <c r="D234" s="0" t="n">
        <v>489.585</v>
      </c>
      <c r="E234" s="0" t="n">
        <f aca="false">D234-0.155</f>
        <v>489.43</v>
      </c>
      <c r="F234" s="0" t="n">
        <v>489.545</v>
      </c>
      <c r="G234" s="0" t="n">
        <f aca="false">IF(E234 - F234 &lt; 0, 0, E234 - F234)</f>
        <v>0</v>
      </c>
      <c r="H234" s="0" t="n">
        <v>1.82</v>
      </c>
      <c r="I234" s="0" t="n">
        <f aca="false">1.82*30*(G234^1.5)</f>
        <v>0</v>
      </c>
      <c r="J234" s="0" t="n">
        <f aca="false">I234*60</f>
        <v>0</v>
      </c>
      <c r="K234" s="0" t="n">
        <f aca="false">(I234*86400)/24</f>
        <v>0</v>
      </c>
    </row>
    <row r="235" customFormat="false" ht="16.5" hidden="false" customHeight="false" outlineLevel="0" collapsed="false">
      <c r="A235" s="56" t="n">
        <v>45844.4583333333</v>
      </c>
      <c r="B235" s="57" t="n">
        <f aca="false">MOD(A235,1)</f>
        <v>0.458333333343035</v>
      </c>
      <c r="C235" s="0" t="n">
        <v>0</v>
      </c>
      <c r="D235" s="0" t="n">
        <v>489.585</v>
      </c>
      <c r="E235" s="0" t="n">
        <f aca="false">D235-0.155</f>
        <v>489.43</v>
      </c>
      <c r="F235" s="0" t="n">
        <v>489.545</v>
      </c>
      <c r="G235" s="0" t="n">
        <f aca="false">IF(E235 - F235 &lt; 0, 0, E235 - F235)</f>
        <v>0</v>
      </c>
      <c r="H235" s="0" t="n">
        <v>1.82</v>
      </c>
      <c r="I235" s="0" t="n">
        <f aca="false">1.82*30*(G235^1.5)</f>
        <v>0</v>
      </c>
      <c r="J235" s="0" t="n">
        <f aca="false">I235*60</f>
        <v>0</v>
      </c>
      <c r="K235" s="0" t="n">
        <f aca="false">(I235*86400)/24</f>
        <v>0</v>
      </c>
    </row>
    <row r="236" customFormat="false" ht="16.5" hidden="false" customHeight="false" outlineLevel="0" collapsed="false">
      <c r="A236" s="56" t="n">
        <v>45844.5</v>
      </c>
      <c r="B236" s="57" t="n">
        <f aca="false">MOD(A236,1)</f>
        <v>0.5</v>
      </c>
      <c r="C236" s="0" t="n">
        <v>0</v>
      </c>
      <c r="D236" s="0" t="n">
        <v>489.586</v>
      </c>
      <c r="E236" s="0" t="n">
        <f aca="false">D236-0.155</f>
        <v>489.431</v>
      </c>
      <c r="F236" s="0" t="n">
        <v>489.545</v>
      </c>
      <c r="G236" s="0" t="n">
        <f aca="false">IF(E236 - F236 &lt; 0, 0, E236 - F236)</f>
        <v>0</v>
      </c>
      <c r="H236" s="0" t="n">
        <v>1.82</v>
      </c>
      <c r="I236" s="0" t="n">
        <f aca="false">1.82*30*(G236^1.5)</f>
        <v>0</v>
      </c>
      <c r="J236" s="0" t="n">
        <f aca="false">I236*60</f>
        <v>0</v>
      </c>
      <c r="K236" s="0" t="n">
        <f aca="false">(I236*86400)/24</f>
        <v>0</v>
      </c>
    </row>
    <row r="237" customFormat="false" ht="16.5" hidden="false" customHeight="false" outlineLevel="0" collapsed="false">
      <c r="A237" s="56" t="n">
        <v>45844.5416666667</v>
      </c>
      <c r="B237" s="57" t="n">
        <f aca="false">MOD(A237,1)</f>
        <v>0.541666666656965</v>
      </c>
      <c r="C237" s="0" t="n">
        <v>0</v>
      </c>
      <c r="D237" s="0" t="n">
        <v>489.586</v>
      </c>
      <c r="E237" s="0" t="n">
        <f aca="false">D237-0.155</f>
        <v>489.431</v>
      </c>
      <c r="F237" s="0" t="n">
        <v>489.545</v>
      </c>
      <c r="G237" s="0" t="n">
        <f aca="false">IF(E237 - F237 &lt; 0, 0, E237 - F237)</f>
        <v>0</v>
      </c>
      <c r="H237" s="0" t="n">
        <v>1.82</v>
      </c>
      <c r="I237" s="0" t="n">
        <f aca="false">1.82*30*(G237^1.5)</f>
        <v>0</v>
      </c>
      <c r="J237" s="0" t="n">
        <f aca="false">I237*60</f>
        <v>0</v>
      </c>
      <c r="K237" s="0" t="n">
        <f aca="false">(I237*86400)/24</f>
        <v>0</v>
      </c>
    </row>
    <row r="238" customFormat="false" ht="16.5" hidden="false" customHeight="false" outlineLevel="0" collapsed="false">
      <c r="A238" s="56" t="n">
        <v>45844.5833333333</v>
      </c>
      <c r="B238" s="57" t="n">
        <f aca="false">MOD(A238,1)</f>
        <v>0.583333333343035</v>
      </c>
      <c r="C238" s="0" t="n">
        <v>0</v>
      </c>
      <c r="D238" s="0" t="n">
        <v>489.585</v>
      </c>
      <c r="E238" s="0" t="n">
        <f aca="false">D238-0.155</f>
        <v>489.43</v>
      </c>
      <c r="F238" s="0" t="n">
        <v>489.545</v>
      </c>
      <c r="G238" s="0" t="n">
        <f aca="false">IF(E238 - F238 &lt; 0, 0, E238 - F238)</f>
        <v>0</v>
      </c>
      <c r="H238" s="0" t="n">
        <v>1.82</v>
      </c>
      <c r="I238" s="0" t="n">
        <f aca="false">1.82*30*(G238^1.5)</f>
        <v>0</v>
      </c>
      <c r="J238" s="0" t="n">
        <f aca="false">I238*60</f>
        <v>0</v>
      </c>
      <c r="K238" s="0" t="n">
        <f aca="false">(I238*86400)/24</f>
        <v>0</v>
      </c>
    </row>
    <row r="239" customFormat="false" ht="16.5" hidden="false" customHeight="false" outlineLevel="0" collapsed="false">
      <c r="A239" s="56" t="n">
        <v>45844.625</v>
      </c>
      <c r="B239" s="57" t="n">
        <f aca="false">MOD(A239,1)</f>
        <v>0.625</v>
      </c>
      <c r="C239" s="0" t="n">
        <v>0</v>
      </c>
      <c r="D239" s="0" t="n">
        <v>489.585</v>
      </c>
      <c r="E239" s="0" t="n">
        <f aca="false">D239-0.155</f>
        <v>489.43</v>
      </c>
      <c r="F239" s="0" t="n">
        <v>489.545</v>
      </c>
      <c r="G239" s="0" t="n">
        <f aca="false">IF(E239 - F239 &lt; 0, 0, E239 - F239)</f>
        <v>0</v>
      </c>
      <c r="H239" s="0" t="n">
        <v>1.82</v>
      </c>
      <c r="I239" s="0" t="n">
        <f aca="false">1.82*30*(G239^1.5)</f>
        <v>0</v>
      </c>
      <c r="J239" s="0" t="n">
        <f aca="false">I239*60</f>
        <v>0</v>
      </c>
      <c r="K239" s="0" t="n">
        <f aca="false">(I239*86400)/24</f>
        <v>0</v>
      </c>
    </row>
    <row r="240" customFormat="false" ht="16.5" hidden="false" customHeight="false" outlineLevel="0" collapsed="false">
      <c r="A240" s="56" t="n">
        <v>45844.6666666667</v>
      </c>
      <c r="B240" s="57" t="n">
        <f aca="false">MOD(A240,1)</f>
        <v>0.666666666656965</v>
      </c>
      <c r="C240" s="0" t="n">
        <v>0</v>
      </c>
      <c r="D240" s="0" t="n">
        <v>489.585</v>
      </c>
      <c r="E240" s="0" t="n">
        <f aca="false">D240-0.155</f>
        <v>489.43</v>
      </c>
      <c r="F240" s="0" t="n">
        <v>489.545</v>
      </c>
      <c r="G240" s="0" t="n">
        <f aca="false">IF(E240 - F240 &lt; 0, 0, E240 - F240)</f>
        <v>0</v>
      </c>
      <c r="H240" s="0" t="n">
        <v>1.82</v>
      </c>
      <c r="I240" s="0" t="n">
        <f aca="false">1.82*30*(G240^1.5)</f>
        <v>0</v>
      </c>
      <c r="J240" s="0" t="n">
        <f aca="false">I240*60</f>
        <v>0</v>
      </c>
      <c r="K240" s="0" t="n">
        <f aca="false">(I240*86400)/24</f>
        <v>0</v>
      </c>
    </row>
    <row r="241" customFormat="false" ht="16.5" hidden="false" customHeight="false" outlineLevel="0" collapsed="false">
      <c r="A241" s="56" t="n">
        <v>45844.7083333333</v>
      </c>
      <c r="B241" s="57" t="n">
        <f aca="false">MOD(A241,1)</f>
        <v>0.708333333343035</v>
      </c>
      <c r="C241" s="0" t="n">
        <v>0</v>
      </c>
      <c r="D241" s="0" t="n">
        <v>489.585</v>
      </c>
      <c r="E241" s="0" t="n">
        <f aca="false">D241-0.155</f>
        <v>489.43</v>
      </c>
      <c r="F241" s="0" t="n">
        <v>489.545</v>
      </c>
      <c r="G241" s="0" t="n">
        <f aca="false">IF(E241 - F241 &lt; 0, 0, E241 - F241)</f>
        <v>0</v>
      </c>
      <c r="H241" s="0" t="n">
        <v>1.82</v>
      </c>
      <c r="I241" s="0" t="n">
        <f aca="false">1.82*30*(G241^1.5)</f>
        <v>0</v>
      </c>
      <c r="J241" s="0" t="n">
        <f aca="false">I241*60</f>
        <v>0</v>
      </c>
      <c r="K241" s="0" t="n">
        <f aca="false">(I241*86400)/24</f>
        <v>0</v>
      </c>
    </row>
    <row r="242" customFormat="false" ht="16.5" hidden="false" customHeight="false" outlineLevel="0" collapsed="false">
      <c r="A242" s="56" t="n">
        <v>45844.75</v>
      </c>
      <c r="B242" s="57" t="n">
        <f aca="false">MOD(A242,1)</f>
        <v>0.75</v>
      </c>
      <c r="C242" s="0" t="n">
        <v>0</v>
      </c>
      <c r="D242" s="0" t="n">
        <v>489.586</v>
      </c>
      <c r="E242" s="0" t="n">
        <f aca="false">D242-0.155</f>
        <v>489.431</v>
      </c>
      <c r="F242" s="0" t="n">
        <v>489.545</v>
      </c>
      <c r="G242" s="0" t="n">
        <f aca="false">IF(E242 - F242 &lt; 0, 0, E242 - F242)</f>
        <v>0</v>
      </c>
      <c r="H242" s="0" t="n">
        <v>1.82</v>
      </c>
      <c r="I242" s="0" t="n">
        <f aca="false">1.82*30*(G242^1.5)</f>
        <v>0</v>
      </c>
      <c r="J242" s="0" t="n">
        <f aca="false">I242*60</f>
        <v>0</v>
      </c>
      <c r="K242" s="0" t="n">
        <f aca="false">(I242*86400)/24</f>
        <v>0</v>
      </c>
    </row>
    <row r="243" customFormat="false" ht="16.5" hidden="false" customHeight="false" outlineLevel="0" collapsed="false">
      <c r="A243" s="56" t="n">
        <v>45844.7916666667</v>
      </c>
      <c r="B243" s="57" t="n">
        <f aca="false">MOD(A243,1)</f>
        <v>0.791666666656965</v>
      </c>
      <c r="C243" s="0" t="n">
        <v>0</v>
      </c>
      <c r="D243" s="0" t="n">
        <v>489.585</v>
      </c>
      <c r="E243" s="0" t="n">
        <f aca="false">D243-0.155</f>
        <v>489.43</v>
      </c>
      <c r="F243" s="0" t="n">
        <v>489.545</v>
      </c>
      <c r="G243" s="0" t="n">
        <f aca="false">IF(E243 - F243 &lt; 0, 0, E243 - F243)</f>
        <v>0</v>
      </c>
      <c r="H243" s="0" t="n">
        <v>1.82</v>
      </c>
      <c r="I243" s="0" t="n">
        <f aca="false">1.82*30*(G243^1.5)</f>
        <v>0</v>
      </c>
      <c r="J243" s="0" t="n">
        <f aca="false">I243*60</f>
        <v>0</v>
      </c>
      <c r="K243" s="0" t="n">
        <f aca="false">(I243*86400)/24</f>
        <v>0</v>
      </c>
    </row>
    <row r="244" customFormat="false" ht="16.5" hidden="false" customHeight="false" outlineLevel="0" collapsed="false">
      <c r="A244" s="56" t="n">
        <v>45844.8333333333</v>
      </c>
      <c r="B244" s="57" t="n">
        <f aca="false">MOD(A244,1)</f>
        <v>0.833333333343035</v>
      </c>
      <c r="C244" s="0" t="n">
        <v>0</v>
      </c>
      <c r="D244" s="0" t="n">
        <v>489.586</v>
      </c>
      <c r="E244" s="0" t="n">
        <f aca="false">D244-0.155</f>
        <v>489.431</v>
      </c>
      <c r="F244" s="0" t="n">
        <v>489.545</v>
      </c>
      <c r="G244" s="0" t="n">
        <f aca="false">IF(E244 - F244 &lt; 0, 0, E244 - F244)</f>
        <v>0</v>
      </c>
      <c r="H244" s="0" t="n">
        <v>1.82</v>
      </c>
      <c r="I244" s="0" t="n">
        <f aca="false">1.82*30*(G244^1.5)</f>
        <v>0</v>
      </c>
      <c r="J244" s="0" t="n">
        <f aca="false">I244*60</f>
        <v>0</v>
      </c>
      <c r="K244" s="0" t="n">
        <f aca="false">(I244*86400)/24</f>
        <v>0</v>
      </c>
    </row>
    <row r="245" customFormat="false" ht="16.5" hidden="false" customHeight="false" outlineLevel="0" collapsed="false">
      <c r="A245" s="56" t="n">
        <v>45844.875</v>
      </c>
      <c r="B245" s="57" t="n">
        <f aca="false">MOD(A245,1)</f>
        <v>0.875</v>
      </c>
      <c r="C245" s="0" t="n">
        <v>0</v>
      </c>
      <c r="D245" s="0" t="n">
        <v>489.586</v>
      </c>
      <c r="E245" s="0" t="n">
        <f aca="false">D245-0.155</f>
        <v>489.431</v>
      </c>
      <c r="F245" s="0" t="n">
        <v>489.545</v>
      </c>
      <c r="G245" s="0" t="n">
        <f aca="false">IF(E245 - F245 &lt; 0, 0, E245 - F245)</f>
        <v>0</v>
      </c>
      <c r="H245" s="0" t="n">
        <v>1.82</v>
      </c>
      <c r="I245" s="0" t="n">
        <f aca="false">1.82*30*(G245^1.5)</f>
        <v>0</v>
      </c>
      <c r="J245" s="0" t="n">
        <f aca="false">I245*60</f>
        <v>0</v>
      </c>
      <c r="K245" s="0" t="n">
        <f aca="false">(I245*86400)/24</f>
        <v>0</v>
      </c>
    </row>
    <row r="246" customFormat="false" ht="16.5" hidden="false" customHeight="false" outlineLevel="0" collapsed="false">
      <c r="A246" s="56" t="n">
        <v>45844.9166666667</v>
      </c>
      <c r="B246" s="57" t="n">
        <f aca="false">MOD(A246,1)</f>
        <v>0.916666666656965</v>
      </c>
      <c r="C246" s="0" t="n">
        <v>0</v>
      </c>
      <c r="D246" s="0" t="n">
        <v>489.586</v>
      </c>
      <c r="E246" s="0" t="n">
        <f aca="false">D246-0.155</f>
        <v>489.431</v>
      </c>
      <c r="F246" s="0" t="n">
        <v>489.545</v>
      </c>
      <c r="G246" s="0" t="n">
        <f aca="false">IF(E246 - F246 &lt; 0, 0, E246 - F246)</f>
        <v>0</v>
      </c>
      <c r="H246" s="0" t="n">
        <v>1.82</v>
      </c>
      <c r="I246" s="0" t="n">
        <f aca="false">1.82*30*(G246^1.5)</f>
        <v>0</v>
      </c>
      <c r="J246" s="0" t="n">
        <f aca="false">I246*60</f>
        <v>0</v>
      </c>
      <c r="K246" s="0" t="n">
        <f aca="false">(I246*86400)/24</f>
        <v>0</v>
      </c>
    </row>
    <row r="247" customFormat="false" ht="16.5" hidden="false" customHeight="false" outlineLevel="0" collapsed="false">
      <c r="A247" s="56" t="n">
        <v>45844.9583333333</v>
      </c>
      <c r="B247" s="57" t="n">
        <f aca="false">MOD(A247,1)</f>
        <v>0.958333333343035</v>
      </c>
      <c r="C247" s="0" t="n">
        <v>0</v>
      </c>
      <c r="D247" s="0" t="n">
        <v>489.586</v>
      </c>
      <c r="E247" s="0" t="n">
        <f aca="false">D247-0.155</f>
        <v>489.431</v>
      </c>
      <c r="F247" s="0" t="n">
        <v>489.545</v>
      </c>
      <c r="G247" s="0" t="n">
        <f aca="false">IF(E247 - F247 &lt; 0, 0, E247 - F247)</f>
        <v>0</v>
      </c>
      <c r="H247" s="0" t="n">
        <v>1.82</v>
      </c>
      <c r="I247" s="0" t="n">
        <f aca="false">1.82*30*(G247^1.5)</f>
        <v>0</v>
      </c>
      <c r="J247" s="0" t="n">
        <f aca="false">I247*60</f>
        <v>0</v>
      </c>
      <c r="K247" s="0" t="n">
        <f aca="false">(I247*86400)/24</f>
        <v>0</v>
      </c>
    </row>
    <row r="248" customFormat="false" ht="16.5" hidden="false" customHeight="false" outlineLevel="0" collapsed="false">
      <c r="A248" s="56" t="n">
        <v>45845</v>
      </c>
      <c r="B248" s="57" t="n">
        <f aca="false">MOD(A248,1)</f>
        <v>0</v>
      </c>
      <c r="C248" s="0" t="n">
        <v>0</v>
      </c>
      <c r="D248" s="0" t="n">
        <v>489.586</v>
      </c>
      <c r="E248" s="0" t="n">
        <f aca="false">D248-0.155</f>
        <v>489.431</v>
      </c>
      <c r="F248" s="0" t="n">
        <v>489.545</v>
      </c>
      <c r="G248" s="0" t="n">
        <f aca="false">IF(E248 - F248 &lt; 0, 0, E248 - F248)</f>
        <v>0</v>
      </c>
      <c r="H248" s="0" t="n">
        <v>1.82</v>
      </c>
      <c r="I248" s="0" t="n">
        <f aca="false">1.82*30*(G248^1.5)</f>
        <v>0</v>
      </c>
      <c r="J248" s="0" t="n">
        <f aca="false">I248*60</f>
        <v>0</v>
      </c>
      <c r="K248" s="0" t="n">
        <f aca="false">(I248*86400)/24</f>
        <v>0</v>
      </c>
    </row>
    <row r="249" customFormat="false" ht="16.5" hidden="false" customHeight="false" outlineLevel="0" collapsed="false">
      <c r="A249" s="56" t="n">
        <v>45845.0416666667</v>
      </c>
      <c r="B249" s="57" t="n">
        <f aca="false">MOD(A249,1)</f>
        <v>0.0416666666569654</v>
      </c>
      <c r="C249" s="0" t="n">
        <v>0</v>
      </c>
      <c r="D249" s="0" t="n">
        <v>489.586</v>
      </c>
      <c r="E249" s="0" t="n">
        <f aca="false">D249-0.155</f>
        <v>489.431</v>
      </c>
      <c r="F249" s="0" t="n">
        <v>489.545</v>
      </c>
      <c r="G249" s="0" t="n">
        <f aca="false">IF(E249 - F249 &lt; 0, 0, E249 - F249)</f>
        <v>0</v>
      </c>
      <c r="H249" s="0" t="n">
        <v>1.82</v>
      </c>
      <c r="I249" s="0" t="n">
        <f aca="false">1.82*30*(G249^1.5)</f>
        <v>0</v>
      </c>
      <c r="J249" s="0" t="n">
        <f aca="false">I249*60</f>
        <v>0</v>
      </c>
      <c r="K249" s="0" t="n">
        <f aca="false">(I249*86400)/24</f>
        <v>0</v>
      </c>
    </row>
    <row r="250" customFormat="false" ht="16.5" hidden="false" customHeight="false" outlineLevel="0" collapsed="false">
      <c r="A250" s="56" t="n">
        <v>45845.0833333333</v>
      </c>
      <c r="B250" s="57" t="n">
        <f aca="false">MOD(A250,1)</f>
        <v>0.0833333333430346</v>
      </c>
      <c r="C250" s="0" t="n">
        <v>0</v>
      </c>
      <c r="D250" s="0" t="n">
        <v>489.586</v>
      </c>
      <c r="E250" s="0" t="n">
        <f aca="false">D250-0.155</f>
        <v>489.431</v>
      </c>
      <c r="F250" s="0" t="n">
        <v>489.545</v>
      </c>
      <c r="G250" s="0" t="n">
        <f aca="false">IF(E250 - F250 &lt; 0, 0, E250 - F250)</f>
        <v>0</v>
      </c>
      <c r="H250" s="0" t="n">
        <v>1.82</v>
      </c>
      <c r="I250" s="0" t="n">
        <f aca="false">1.82*30*(G250^1.5)</f>
        <v>0</v>
      </c>
      <c r="J250" s="0" t="n">
        <f aca="false">I250*60</f>
        <v>0</v>
      </c>
      <c r="K250" s="0" t="n">
        <f aca="false">(I250*86400)/24</f>
        <v>0</v>
      </c>
    </row>
    <row r="251" customFormat="false" ht="16.5" hidden="false" customHeight="false" outlineLevel="0" collapsed="false">
      <c r="A251" s="56" t="n">
        <v>45845.125</v>
      </c>
      <c r="B251" s="57" t="n">
        <f aca="false">MOD(A251,1)</f>
        <v>0.125</v>
      </c>
      <c r="C251" s="0" t="n">
        <v>0</v>
      </c>
      <c r="D251" s="0" t="n">
        <v>489.586</v>
      </c>
      <c r="E251" s="0" t="n">
        <f aca="false">D251-0.155</f>
        <v>489.431</v>
      </c>
      <c r="F251" s="0" t="n">
        <v>489.545</v>
      </c>
      <c r="G251" s="0" t="n">
        <f aca="false">IF(E251 - F251 &lt; 0, 0, E251 - F251)</f>
        <v>0</v>
      </c>
      <c r="H251" s="0" t="n">
        <v>1.82</v>
      </c>
      <c r="I251" s="0" t="n">
        <f aca="false">1.82*30*(G251^1.5)</f>
        <v>0</v>
      </c>
      <c r="J251" s="0" t="n">
        <f aca="false">I251*60</f>
        <v>0</v>
      </c>
      <c r="K251" s="0" t="n">
        <f aca="false">(I251*86400)/24</f>
        <v>0</v>
      </c>
    </row>
    <row r="252" customFormat="false" ht="16.5" hidden="false" customHeight="false" outlineLevel="0" collapsed="false">
      <c r="A252" s="56" t="n">
        <v>45845.1666666667</v>
      </c>
      <c r="B252" s="57" t="n">
        <f aca="false">MOD(A252,1)</f>
        <v>0.166666666656965</v>
      </c>
      <c r="C252" s="0" t="n">
        <v>0</v>
      </c>
      <c r="D252" s="0" t="n">
        <v>489.586</v>
      </c>
      <c r="E252" s="0" t="n">
        <f aca="false">D252-0.155</f>
        <v>489.431</v>
      </c>
      <c r="F252" s="0" t="n">
        <v>489.545</v>
      </c>
      <c r="G252" s="0" t="n">
        <f aca="false">IF(E252 - F252 &lt; 0, 0, E252 - F252)</f>
        <v>0</v>
      </c>
      <c r="H252" s="0" t="n">
        <v>1.82</v>
      </c>
      <c r="I252" s="0" t="n">
        <f aca="false">1.82*30*(G252^1.5)</f>
        <v>0</v>
      </c>
      <c r="J252" s="0" t="n">
        <f aca="false">I252*60</f>
        <v>0</v>
      </c>
      <c r="K252" s="0" t="n">
        <f aca="false">(I252*86400)/24</f>
        <v>0</v>
      </c>
    </row>
    <row r="253" customFormat="false" ht="16.5" hidden="false" customHeight="false" outlineLevel="0" collapsed="false">
      <c r="A253" s="56" t="n">
        <v>45845.2083333333</v>
      </c>
      <c r="B253" s="57" t="n">
        <f aca="false">MOD(A253,1)</f>
        <v>0.208333333343035</v>
      </c>
      <c r="C253" s="0" t="n">
        <v>0</v>
      </c>
      <c r="D253" s="0" t="n">
        <v>489.586</v>
      </c>
      <c r="E253" s="0" t="n">
        <f aca="false">D253-0.155</f>
        <v>489.431</v>
      </c>
      <c r="F253" s="0" t="n">
        <v>489.545</v>
      </c>
      <c r="G253" s="0" t="n">
        <f aca="false">IF(E253 - F253 &lt; 0, 0, E253 - F253)</f>
        <v>0</v>
      </c>
      <c r="H253" s="0" t="n">
        <v>1.82</v>
      </c>
      <c r="I253" s="0" t="n">
        <f aca="false">1.82*30*(G253^1.5)</f>
        <v>0</v>
      </c>
      <c r="J253" s="0" t="n">
        <f aca="false">I253*60</f>
        <v>0</v>
      </c>
      <c r="K253" s="0" t="n">
        <f aca="false">(I253*86400)/24</f>
        <v>0</v>
      </c>
    </row>
    <row r="254" customFormat="false" ht="16.5" hidden="false" customHeight="false" outlineLevel="0" collapsed="false">
      <c r="A254" s="56" t="n">
        <v>45845.25</v>
      </c>
      <c r="B254" s="57" t="n">
        <f aca="false">MOD(A254,1)</f>
        <v>0.25</v>
      </c>
      <c r="C254" s="0" t="n">
        <v>0</v>
      </c>
      <c r="D254" s="0" t="n">
        <v>489.586</v>
      </c>
      <c r="E254" s="0" t="n">
        <f aca="false">D254-0.155</f>
        <v>489.431</v>
      </c>
      <c r="F254" s="0" t="n">
        <v>489.545</v>
      </c>
      <c r="G254" s="0" t="n">
        <f aca="false">IF(E254 - F254 &lt; 0, 0, E254 - F254)</f>
        <v>0</v>
      </c>
      <c r="H254" s="0" t="n">
        <v>1.82</v>
      </c>
      <c r="I254" s="0" t="n">
        <f aca="false">1.82*30*(G254^1.5)</f>
        <v>0</v>
      </c>
      <c r="J254" s="0" t="n">
        <f aca="false">I254*60</f>
        <v>0</v>
      </c>
      <c r="K254" s="0" t="n">
        <f aca="false">(I254*86400)/24</f>
        <v>0</v>
      </c>
    </row>
    <row r="255" customFormat="false" ht="16.5" hidden="false" customHeight="false" outlineLevel="0" collapsed="false">
      <c r="A255" s="56" t="n">
        <v>45845.2916666667</v>
      </c>
      <c r="B255" s="57" t="n">
        <f aca="false">MOD(A255,1)</f>
        <v>0.291666666656965</v>
      </c>
      <c r="C255" s="0" t="n">
        <v>0</v>
      </c>
      <c r="D255" s="0" t="n">
        <v>489.586</v>
      </c>
      <c r="E255" s="0" t="n">
        <f aca="false">D255-0.155</f>
        <v>489.431</v>
      </c>
      <c r="F255" s="0" t="n">
        <v>489.545</v>
      </c>
      <c r="G255" s="0" t="n">
        <f aca="false">IF(E255 - F255 &lt; 0, 0, E255 - F255)</f>
        <v>0</v>
      </c>
      <c r="H255" s="0" t="n">
        <v>1.82</v>
      </c>
      <c r="I255" s="0" t="n">
        <f aca="false">1.82*30*(G255^1.5)</f>
        <v>0</v>
      </c>
      <c r="J255" s="0" t="n">
        <f aca="false">I255*60</f>
        <v>0</v>
      </c>
      <c r="K255" s="0" t="n">
        <f aca="false">(I255*86400)/24</f>
        <v>0</v>
      </c>
    </row>
    <row r="256" customFormat="false" ht="16.5" hidden="false" customHeight="false" outlineLevel="0" collapsed="false">
      <c r="A256" s="56" t="n">
        <v>45845.3333333333</v>
      </c>
      <c r="B256" s="57" t="n">
        <f aca="false">MOD(A256,1)</f>
        <v>0.333333333343035</v>
      </c>
      <c r="C256" s="0" t="n">
        <v>0</v>
      </c>
      <c r="D256" s="0" t="n">
        <v>489.586</v>
      </c>
      <c r="E256" s="0" t="n">
        <f aca="false">D256-0.155</f>
        <v>489.431</v>
      </c>
      <c r="F256" s="0" t="n">
        <v>489.545</v>
      </c>
      <c r="G256" s="0" t="n">
        <f aca="false">IF(E256 - F256 &lt; 0, 0, E256 - F256)</f>
        <v>0</v>
      </c>
      <c r="H256" s="0" t="n">
        <v>1.82</v>
      </c>
      <c r="I256" s="0" t="n">
        <f aca="false">1.82*30*(G256^1.5)</f>
        <v>0</v>
      </c>
      <c r="J256" s="0" t="n">
        <f aca="false">I256*60</f>
        <v>0</v>
      </c>
      <c r="K256" s="0" t="n">
        <f aca="false">(I256*86400)/24</f>
        <v>0</v>
      </c>
    </row>
    <row r="257" customFormat="false" ht="16.5" hidden="false" customHeight="false" outlineLevel="0" collapsed="false">
      <c r="A257" s="56" t="n">
        <v>45845.375</v>
      </c>
      <c r="B257" s="57" t="n">
        <f aca="false">MOD(A257,1)</f>
        <v>0.375</v>
      </c>
      <c r="C257" s="0" t="n">
        <v>0</v>
      </c>
      <c r="D257" s="0" t="n">
        <v>489.585</v>
      </c>
      <c r="E257" s="0" t="n">
        <f aca="false">D257-0.155</f>
        <v>489.43</v>
      </c>
      <c r="F257" s="0" t="n">
        <v>489.545</v>
      </c>
      <c r="G257" s="0" t="n">
        <f aca="false">IF(E257 - F257 &lt; 0, 0, E257 - F257)</f>
        <v>0</v>
      </c>
      <c r="H257" s="0" t="n">
        <v>1.82</v>
      </c>
      <c r="I257" s="0" t="n">
        <f aca="false">1.82*30*(G257^1.5)</f>
        <v>0</v>
      </c>
      <c r="J257" s="0" t="n">
        <f aca="false">I257*60</f>
        <v>0</v>
      </c>
      <c r="K257" s="0" t="n">
        <f aca="false">(I257*86400)/24</f>
        <v>0</v>
      </c>
    </row>
    <row r="258" customFormat="false" ht="16.5" hidden="false" customHeight="false" outlineLevel="0" collapsed="false">
      <c r="A258" s="56" t="n">
        <v>45845.4166666667</v>
      </c>
      <c r="B258" s="57" t="n">
        <f aca="false">MOD(A258,1)</f>
        <v>0.416666666656965</v>
      </c>
      <c r="C258" s="0" t="n">
        <v>0</v>
      </c>
      <c r="D258" s="0" t="n">
        <v>489.586</v>
      </c>
      <c r="E258" s="0" t="n">
        <f aca="false">D258-0.155</f>
        <v>489.431</v>
      </c>
      <c r="F258" s="0" t="n">
        <v>489.545</v>
      </c>
      <c r="G258" s="0" t="n">
        <f aca="false">IF(E258 - F258 &lt; 0, 0, E258 - F258)</f>
        <v>0</v>
      </c>
      <c r="H258" s="0" t="n">
        <v>1.82</v>
      </c>
      <c r="I258" s="0" t="n">
        <f aca="false">1.82*30*(G258^1.5)</f>
        <v>0</v>
      </c>
      <c r="J258" s="0" t="n">
        <f aca="false">I258*60</f>
        <v>0</v>
      </c>
      <c r="K258" s="0" t="n">
        <f aca="false">(I258*86400)/24</f>
        <v>0</v>
      </c>
    </row>
    <row r="259" customFormat="false" ht="16.5" hidden="false" customHeight="false" outlineLevel="0" collapsed="false">
      <c r="A259" s="56" t="n">
        <v>45845.4583333333</v>
      </c>
      <c r="B259" s="57" t="n">
        <f aca="false">MOD(A259,1)</f>
        <v>0.458333333343035</v>
      </c>
      <c r="C259" s="0" t="n">
        <v>0</v>
      </c>
      <c r="D259" s="0" t="n">
        <v>489.585</v>
      </c>
      <c r="E259" s="0" t="n">
        <f aca="false">D259-0.155</f>
        <v>489.43</v>
      </c>
      <c r="F259" s="0" t="n">
        <v>489.545</v>
      </c>
      <c r="G259" s="0" t="n">
        <f aca="false">IF(E259 - F259 &lt; 0, 0, E259 - F259)</f>
        <v>0</v>
      </c>
      <c r="H259" s="0" t="n">
        <v>1.82</v>
      </c>
      <c r="I259" s="0" t="n">
        <f aca="false">1.82*30*(G259^1.5)</f>
        <v>0</v>
      </c>
      <c r="J259" s="0" t="n">
        <f aca="false">I259*60</f>
        <v>0</v>
      </c>
      <c r="K259" s="0" t="n">
        <f aca="false">(I259*86400)/24</f>
        <v>0</v>
      </c>
    </row>
    <row r="260" customFormat="false" ht="16.5" hidden="false" customHeight="false" outlineLevel="0" collapsed="false">
      <c r="A260" s="56" t="n">
        <v>45845.5</v>
      </c>
      <c r="B260" s="57" t="n">
        <f aca="false">MOD(A260,1)</f>
        <v>0.5</v>
      </c>
      <c r="C260" s="0" t="n">
        <v>0</v>
      </c>
      <c r="D260" s="0" t="n">
        <v>489.579</v>
      </c>
      <c r="E260" s="0" t="n">
        <f aca="false">D260-0.155</f>
        <v>489.424</v>
      </c>
      <c r="F260" s="0" t="n">
        <v>489.545</v>
      </c>
      <c r="G260" s="0" t="n">
        <f aca="false">IF(E260 - F260 &lt; 0, 0, E260 - F260)</f>
        <v>0</v>
      </c>
      <c r="H260" s="0" t="n">
        <v>1.82</v>
      </c>
      <c r="I260" s="0" t="n">
        <f aca="false">1.82*30*(G260^1.5)</f>
        <v>0</v>
      </c>
      <c r="J260" s="0" t="n">
        <f aca="false">I260*60</f>
        <v>0</v>
      </c>
      <c r="K260" s="0" t="n">
        <f aca="false">(I260*86400)/24</f>
        <v>0</v>
      </c>
    </row>
    <row r="261" customFormat="false" ht="16.5" hidden="false" customHeight="false" outlineLevel="0" collapsed="false">
      <c r="A261" s="56" t="n">
        <v>45845.5416666667</v>
      </c>
      <c r="B261" s="57" t="n">
        <f aca="false">MOD(A261,1)</f>
        <v>0.541666666656965</v>
      </c>
      <c r="C261" s="0" t="n">
        <v>0</v>
      </c>
      <c r="D261" s="0" t="n">
        <v>489.585</v>
      </c>
      <c r="E261" s="0" t="n">
        <f aca="false">D261-0.155</f>
        <v>489.43</v>
      </c>
      <c r="F261" s="0" t="n">
        <v>489.545</v>
      </c>
      <c r="G261" s="0" t="n">
        <f aca="false">IF(E261 - F261 &lt; 0, 0, E261 - F261)</f>
        <v>0</v>
      </c>
      <c r="H261" s="0" t="n">
        <v>1.82</v>
      </c>
      <c r="I261" s="0" t="n">
        <f aca="false">1.82*30*(G261^1.5)</f>
        <v>0</v>
      </c>
      <c r="J261" s="0" t="n">
        <f aca="false">I261*60</f>
        <v>0</v>
      </c>
      <c r="K261" s="0" t="n">
        <f aca="false">(I261*86400)/24</f>
        <v>0</v>
      </c>
    </row>
    <row r="262" customFormat="false" ht="16.5" hidden="false" customHeight="false" outlineLevel="0" collapsed="false">
      <c r="A262" s="56" t="n">
        <v>45845.5833333333</v>
      </c>
      <c r="B262" s="57" t="n">
        <f aca="false">MOD(A262,1)</f>
        <v>0.583333333343035</v>
      </c>
      <c r="C262" s="0" t="n">
        <v>0</v>
      </c>
      <c r="D262" s="0" t="n">
        <v>489.585</v>
      </c>
      <c r="E262" s="0" t="n">
        <f aca="false">D262-0.155</f>
        <v>489.43</v>
      </c>
      <c r="F262" s="0" t="n">
        <v>489.545</v>
      </c>
      <c r="G262" s="0" t="n">
        <f aca="false">IF(E262 - F262 &lt; 0, 0, E262 - F262)</f>
        <v>0</v>
      </c>
      <c r="H262" s="0" t="n">
        <v>1.82</v>
      </c>
      <c r="I262" s="0" t="n">
        <f aca="false">1.82*30*(G262^1.5)</f>
        <v>0</v>
      </c>
      <c r="J262" s="0" t="n">
        <f aca="false">I262*60</f>
        <v>0</v>
      </c>
      <c r="K262" s="0" t="n">
        <f aca="false">(I262*86400)/24</f>
        <v>0</v>
      </c>
    </row>
    <row r="263" customFormat="false" ht="16.5" hidden="false" customHeight="false" outlineLevel="0" collapsed="false">
      <c r="A263" s="56" t="n">
        <v>45845.625</v>
      </c>
      <c r="B263" s="57" t="n">
        <f aca="false">MOD(A263,1)</f>
        <v>0.625</v>
      </c>
      <c r="C263" s="0" t="n">
        <v>0</v>
      </c>
      <c r="D263" s="0" t="n">
        <v>489.585</v>
      </c>
      <c r="E263" s="0" t="n">
        <f aca="false">D263-0.155</f>
        <v>489.43</v>
      </c>
      <c r="F263" s="0" t="n">
        <v>489.545</v>
      </c>
      <c r="G263" s="0" t="n">
        <f aca="false">IF(E263 - F263 &lt; 0, 0, E263 - F263)</f>
        <v>0</v>
      </c>
      <c r="H263" s="0" t="n">
        <v>1.82</v>
      </c>
      <c r="I263" s="0" t="n">
        <f aca="false">1.82*30*(G263^1.5)</f>
        <v>0</v>
      </c>
      <c r="J263" s="0" t="n">
        <f aca="false">I263*60</f>
        <v>0</v>
      </c>
      <c r="K263" s="0" t="n">
        <f aca="false">(I263*86400)/24</f>
        <v>0</v>
      </c>
    </row>
    <row r="264" customFormat="false" ht="16.5" hidden="false" customHeight="false" outlineLevel="0" collapsed="false">
      <c r="A264" s="56" t="n">
        <v>45845.6666666667</v>
      </c>
      <c r="B264" s="57" t="n">
        <f aca="false">MOD(A264,1)</f>
        <v>0.666666666656965</v>
      </c>
      <c r="C264" s="0" t="n">
        <v>0</v>
      </c>
      <c r="D264" s="0" t="n">
        <v>489.585</v>
      </c>
      <c r="E264" s="0" t="n">
        <f aca="false">D264-0.155</f>
        <v>489.43</v>
      </c>
      <c r="F264" s="0" t="n">
        <v>489.545</v>
      </c>
      <c r="G264" s="0" t="n">
        <f aca="false">IF(E264 - F264 &lt; 0, 0, E264 - F264)</f>
        <v>0</v>
      </c>
      <c r="H264" s="0" t="n">
        <v>1.82</v>
      </c>
      <c r="I264" s="0" t="n">
        <f aca="false">1.82*30*(G264^1.5)</f>
        <v>0</v>
      </c>
      <c r="J264" s="0" t="n">
        <f aca="false">I264*60</f>
        <v>0</v>
      </c>
      <c r="K264" s="0" t="n">
        <f aca="false">(I264*86400)/24</f>
        <v>0</v>
      </c>
    </row>
    <row r="265" customFormat="false" ht="16.5" hidden="false" customHeight="false" outlineLevel="0" collapsed="false">
      <c r="A265" s="56" t="n">
        <v>45845.7083333333</v>
      </c>
      <c r="B265" s="57" t="n">
        <f aca="false">MOD(A265,1)</f>
        <v>0.708333333343035</v>
      </c>
      <c r="C265" s="0" t="n">
        <v>0</v>
      </c>
      <c r="D265" s="0" t="n">
        <v>489.586</v>
      </c>
      <c r="E265" s="0" t="n">
        <f aca="false">D265-0.155</f>
        <v>489.431</v>
      </c>
      <c r="F265" s="0" t="n">
        <v>489.545</v>
      </c>
      <c r="G265" s="0" t="n">
        <f aca="false">IF(E265 - F265 &lt; 0, 0, E265 - F265)</f>
        <v>0</v>
      </c>
      <c r="H265" s="0" t="n">
        <v>1.82</v>
      </c>
      <c r="I265" s="0" t="n">
        <f aca="false">1.82*30*(G265^1.5)</f>
        <v>0</v>
      </c>
      <c r="J265" s="0" t="n">
        <f aca="false">I265*60</f>
        <v>0</v>
      </c>
      <c r="K265" s="0" t="n">
        <f aca="false">(I265*86400)/24</f>
        <v>0</v>
      </c>
    </row>
    <row r="266" customFormat="false" ht="16.5" hidden="false" customHeight="false" outlineLevel="0" collapsed="false">
      <c r="A266" s="56" t="n">
        <v>45845.75</v>
      </c>
      <c r="B266" s="57" t="n">
        <f aca="false">MOD(A266,1)</f>
        <v>0.75</v>
      </c>
      <c r="C266" s="0" t="n">
        <v>0</v>
      </c>
      <c r="D266" s="0" t="n">
        <v>489.586</v>
      </c>
      <c r="E266" s="0" t="n">
        <f aca="false">D266-0.155</f>
        <v>489.431</v>
      </c>
      <c r="F266" s="0" t="n">
        <v>489.545</v>
      </c>
      <c r="G266" s="0" t="n">
        <f aca="false">IF(E266 - F266 &lt; 0, 0, E266 - F266)</f>
        <v>0</v>
      </c>
      <c r="H266" s="0" t="n">
        <v>1.82</v>
      </c>
      <c r="I266" s="0" t="n">
        <f aca="false">1.82*30*(G266^1.5)</f>
        <v>0</v>
      </c>
      <c r="J266" s="0" t="n">
        <f aca="false">I266*60</f>
        <v>0</v>
      </c>
      <c r="K266" s="0" t="n">
        <f aca="false">(I266*86400)/24</f>
        <v>0</v>
      </c>
    </row>
    <row r="267" customFormat="false" ht="16.5" hidden="false" customHeight="false" outlineLevel="0" collapsed="false">
      <c r="A267" s="56" t="n">
        <v>45845.7916666667</v>
      </c>
      <c r="B267" s="57" t="n">
        <f aca="false">MOD(A267,1)</f>
        <v>0.791666666656965</v>
      </c>
      <c r="C267" s="0" t="n">
        <v>0</v>
      </c>
      <c r="D267" s="0" t="n">
        <v>489.579</v>
      </c>
      <c r="E267" s="0" t="n">
        <f aca="false">D267-0.155</f>
        <v>489.424</v>
      </c>
      <c r="F267" s="0" t="n">
        <v>489.545</v>
      </c>
      <c r="G267" s="0" t="n">
        <f aca="false">IF(E267 - F267 &lt; 0, 0, E267 - F267)</f>
        <v>0</v>
      </c>
      <c r="H267" s="0" t="n">
        <v>1.82</v>
      </c>
      <c r="I267" s="0" t="n">
        <f aca="false">1.82*30*(G267^1.5)</f>
        <v>0</v>
      </c>
      <c r="J267" s="0" t="n">
        <f aca="false">I267*60</f>
        <v>0</v>
      </c>
      <c r="K267" s="0" t="n">
        <f aca="false">(I267*86400)/24</f>
        <v>0</v>
      </c>
    </row>
    <row r="268" customFormat="false" ht="16.5" hidden="false" customHeight="false" outlineLevel="0" collapsed="false">
      <c r="A268" s="56" t="n">
        <v>45845.8333333333</v>
      </c>
      <c r="B268" s="57" t="n">
        <f aca="false">MOD(A268,1)</f>
        <v>0.833333333343035</v>
      </c>
      <c r="C268" s="0" t="n">
        <v>0</v>
      </c>
      <c r="D268" s="0" t="n">
        <v>489.586</v>
      </c>
      <c r="E268" s="0" t="n">
        <f aca="false">D268-0.155</f>
        <v>489.431</v>
      </c>
      <c r="F268" s="0" t="n">
        <v>489.545</v>
      </c>
      <c r="G268" s="0" t="n">
        <f aca="false">IF(E268 - F268 &lt; 0, 0, E268 - F268)</f>
        <v>0</v>
      </c>
      <c r="H268" s="0" t="n">
        <v>1.82</v>
      </c>
      <c r="I268" s="0" t="n">
        <f aca="false">1.82*30*(G268^1.5)</f>
        <v>0</v>
      </c>
      <c r="J268" s="0" t="n">
        <f aca="false">I268*60</f>
        <v>0</v>
      </c>
      <c r="K268" s="0" t="n">
        <f aca="false">(I268*86400)/24</f>
        <v>0</v>
      </c>
    </row>
    <row r="269" customFormat="false" ht="16.5" hidden="false" customHeight="false" outlineLevel="0" collapsed="false">
      <c r="A269" s="56" t="n">
        <v>45845.875</v>
      </c>
      <c r="B269" s="57" t="n">
        <f aca="false">MOD(A269,1)</f>
        <v>0.875</v>
      </c>
      <c r="C269" s="0" t="n">
        <v>0</v>
      </c>
      <c r="D269" s="0" t="n">
        <v>489.586</v>
      </c>
      <c r="E269" s="0" t="n">
        <f aca="false">D269-0.155</f>
        <v>489.431</v>
      </c>
      <c r="F269" s="0" t="n">
        <v>489.545</v>
      </c>
      <c r="G269" s="0" t="n">
        <f aca="false">IF(E269 - F269 &lt; 0, 0, E269 - F269)</f>
        <v>0</v>
      </c>
      <c r="H269" s="0" t="n">
        <v>1.82</v>
      </c>
      <c r="I269" s="0" t="n">
        <f aca="false">1.82*30*(G269^1.5)</f>
        <v>0</v>
      </c>
      <c r="J269" s="0" t="n">
        <f aca="false">I269*60</f>
        <v>0</v>
      </c>
      <c r="K269" s="0" t="n">
        <f aca="false">(I269*86400)/24</f>
        <v>0</v>
      </c>
    </row>
    <row r="270" customFormat="false" ht="16.5" hidden="false" customHeight="false" outlineLevel="0" collapsed="false">
      <c r="A270" s="56" t="n">
        <v>45845.9166666667</v>
      </c>
      <c r="B270" s="57" t="n">
        <f aca="false">MOD(A270,1)</f>
        <v>0.916666666656965</v>
      </c>
      <c r="C270" s="0" t="n">
        <v>0</v>
      </c>
      <c r="D270" s="0" t="n">
        <v>489.586</v>
      </c>
      <c r="E270" s="0" t="n">
        <f aca="false">D270-0.155</f>
        <v>489.431</v>
      </c>
      <c r="F270" s="0" t="n">
        <v>489.545</v>
      </c>
      <c r="G270" s="0" t="n">
        <f aca="false">IF(E270 - F270 &lt; 0, 0, E270 - F270)</f>
        <v>0</v>
      </c>
      <c r="H270" s="0" t="n">
        <v>1.82</v>
      </c>
      <c r="I270" s="0" t="n">
        <f aca="false">1.82*30*(G270^1.5)</f>
        <v>0</v>
      </c>
      <c r="J270" s="0" t="n">
        <f aca="false">I270*60</f>
        <v>0</v>
      </c>
      <c r="K270" s="0" t="n">
        <f aca="false">(I270*86400)/24</f>
        <v>0</v>
      </c>
    </row>
    <row r="271" customFormat="false" ht="16.5" hidden="false" customHeight="false" outlineLevel="0" collapsed="false">
      <c r="A271" s="56" t="n">
        <v>45845.9583333333</v>
      </c>
      <c r="B271" s="57" t="n">
        <f aca="false">MOD(A271,1)</f>
        <v>0.958333333343035</v>
      </c>
      <c r="C271" s="0" t="n">
        <v>0</v>
      </c>
      <c r="D271" s="0" t="n">
        <v>489.586</v>
      </c>
      <c r="E271" s="0" t="n">
        <f aca="false">D271-0.155</f>
        <v>489.431</v>
      </c>
      <c r="F271" s="0" t="n">
        <v>489.545</v>
      </c>
      <c r="G271" s="0" t="n">
        <f aca="false">IF(E271 - F271 &lt; 0, 0, E271 - F271)</f>
        <v>0</v>
      </c>
      <c r="H271" s="0" t="n">
        <v>1.82</v>
      </c>
      <c r="I271" s="0" t="n">
        <f aca="false">1.82*30*(G271^1.5)</f>
        <v>0</v>
      </c>
      <c r="J271" s="0" t="n">
        <f aca="false">I271*60</f>
        <v>0</v>
      </c>
      <c r="K271" s="0" t="n">
        <f aca="false">(I271*86400)/24</f>
        <v>0</v>
      </c>
    </row>
    <row r="272" customFormat="false" ht="16.5" hidden="false" customHeight="false" outlineLevel="0" collapsed="false">
      <c r="A272" s="56" t="n">
        <v>45846</v>
      </c>
      <c r="B272" s="57" t="n">
        <f aca="false">MOD(A272,1)</f>
        <v>0</v>
      </c>
      <c r="C272" s="0" t="n">
        <v>0</v>
      </c>
      <c r="D272" s="0" t="n">
        <v>489.586</v>
      </c>
      <c r="E272" s="0" t="n">
        <f aca="false">D272-0.155</f>
        <v>489.431</v>
      </c>
      <c r="F272" s="0" t="n">
        <v>489.545</v>
      </c>
      <c r="G272" s="0" t="n">
        <f aca="false">IF(E272 - F272 &lt; 0, 0, E272 - F272)</f>
        <v>0</v>
      </c>
      <c r="H272" s="0" t="n">
        <v>1.82</v>
      </c>
      <c r="I272" s="0" t="n">
        <f aca="false">1.82*30*(G272^1.5)</f>
        <v>0</v>
      </c>
      <c r="J272" s="0" t="n">
        <f aca="false">I272*60</f>
        <v>0</v>
      </c>
      <c r="K272" s="0" t="n">
        <f aca="false">(I272*86400)/24</f>
        <v>0</v>
      </c>
    </row>
    <row r="273" customFormat="false" ht="16.5" hidden="false" customHeight="false" outlineLevel="0" collapsed="false">
      <c r="A273" s="56" t="n">
        <v>45846.0416666667</v>
      </c>
      <c r="B273" s="57" t="n">
        <f aca="false">MOD(A273,1)</f>
        <v>0.0416666666569654</v>
      </c>
      <c r="C273" s="0" t="n">
        <v>0</v>
      </c>
      <c r="D273" s="0" t="n">
        <v>489.579</v>
      </c>
      <c r="E273" s="0" t="n">
        <f aca="false">D273-0.155</f>
        <v>489.424</v>
      </c>
      <c r="F273" s="0" t="n">
        <v>489.545</v>
      </c>
      <c r="G273" s="0" t="n">
        <f aca="false">IF(E273 - F273 &lt; 0, 0, E273 - F273)</f>
        <v>0</v>
      </c>
      <c r="H273" s="0" t="n">
        <v>1.82</v>
      </c>
      <c r="I273" s="0" t="n">
        <f aca="false">1.82*30*(G273^1.5)</f>
        <v>0</v>
      </c>
      <c r="J273" s="0" t="n">
        <f aca="false">I273*60</f>
        <v>0</v>
      </c>
      <c r="K273" s="0" t="n">
        <f aca="false">(I273*86400)/24</f>
        <v>0</v>
      </c>
    </row>
    <row r="274" customFormat="false" ht="16.5" hidden="false" customHeight="false" outlineLevel="0" collapsed="false">
      <c r="A274" s="56" t="n">
        <v>45846.0833333333</v>
      </c>
      <c r="B274" s="57" t="n">
        <f aca="false">MOD(A274,1)</f>
        <v>0.0833333333430346</v>
      </c>
      <c r="C274" s="0" t="n">
        <v>0</v>
      </c>
      <c r="D274" s="0" t="n">
        <v>489.585</v>
      </c>
      <c r="E274" s="0" t="n">
        <f aca="false">D274-0.155</f>
        <v>489.43</v>
      </c>
      <c r="F274" s="0" t="n">
        <v>489.545</v>
      </c>
      <c r="G274" s="0" t="n">
        <f aca="false">IF(E274 - F274 &lt; 0, 0, E274 - F274)</f>
        <v>0</v>
      </c>
      <c r="H274" s="0" t="n">
        <v>1.82</v>
      </c>
      <c r="I274" s="0" t="n">
        <f aca="false">1.82*30*(G274^1.5)</f>
        <v>0</v>
      </c>
      <c r="J274" s="0" t="n">
        <f aca="false">I274*60</f>
        <v>0</v>
      </c>
      <c r="K274" s="0" t="n">
        <f aca="false">(I274*86400)/24</f>
        <v>0</v>
      </c>
    </row>
    <row r="275" customFormat="false" ht="16.5" hidden="false" customHeight="false" outlineLevel="0" collapsed="false">
      <c r="A275" s="56" t="n">
        <v>45846.125</v>
      </c>
      <c r="B275" s="57" t="n">
        <f aca="false">MOD(A275,1)</f>
        <v>0.125</v>
      </c>
      <c r="C275" s="0" t="n">
        <v>0</v>
      </c>
      <c r="D275" s="0" t="n">
        <v>489.586</v>
      </c>
      <c r="E275" s="0" t="n">
        <f aca="false">D275-0.155</f>
        <v>489.431</v>
      </c>
      <c r="F275" s="0" t="n">
        <v>489.545</v>
      </c>
      <c r="G275" s="0" t="n">
        <f aca="false">IF(E275 - F275 &lt; 0, 0, E275 - F275)</f>
        <v>0</v>
      </c>
      <c r="H275" s="0" t="n">
        <v>1.82</v>
      </c>
      <c r="I275" s="0" t="n">
        <f aca="false">1.82*30*(G275^1.5)</f>
        <v>0</v>
      </c>
      <c r="J275" s="0" t="n">
        <f aca="false">I275*60</f>
        <v>0</v>
      </c>
      <c r="K275" s="0" t="n">
        <f aca="false">(I275*86400)/24</f>
        <v>0</v>
      </c>
    </row>
    <row r="276" customFormat="false" ht="16.5" hidden="false" customHeight="false" outlineLevel="0" collapsed="false">
      <c r="A276" s="56" t="n">
        <v>45846.1666666667</v>
      </c>
      <c r="B276" s="57" t="n">
        <f aca="false">MOD(A276,1)</f>
        <v>0.166666666656965</v>
      </c>
      <c r="C276" s="0" t="n">
        <v>0</v>
      </c>
      <c r="D276" s="0" t="n">
        <v>489.586</v>
      </c>
      <c r="E276" s="0" t="n">
        <f aca="false">D276-0.155</f>
        <v>489.431</v>
      </c>
      <c r="F276" s="0" t="n">
        <v>489.545</v>
      </c>
      <c r="G276" s="0" t="n">
        <f aca="false">IF(E276 - F276 &lt; 0, 0, E276 - F276)</f>
        <v>0</v>
      </c>
      <c r="H276" s="0" t="n">
        <v>1.82</v>
      </c>
      <c r="I276" s="0" t="n">
        <f aca="false">1.82*30*(G276^1.5)</f>
        <v>0</v>
      </c>
      <c r="J276" s="0" t="n">
        <f aca="false">I276*60</f>
        <v>0</v>
      </c>
      <c r="K276" s="0" t="n">
        <f aca="false">(I276*86400)/24</f>
        <v>0</v>
      </c>
    </row>
    <row r="277" customFormat="false" ht="16.5" hidden="false" customHeight="false" outlineLevel="0" collapsed="false">
      <c r="A277" s="56" t="n">
        <v>45846.2083333333</v>
      </c>
      <c r="B277" s="57" t="n">
        <f aca="false">MOD(A277,1)</f>
        <v>0.208333333343035</v>
      </c>
      <c r="C277" s="0" t="n">
        <v>0</v>
      </c>
      <c r="D277" s="0" t="n">
        <v>489.586</v>
      </c>
      <c r="E277" s="0" t="n">
        <f aca="false">D277-0.155</f>
        <v>489.431</v>
      </c>
      <c r="F277" s="0" t="n">
        <v>489.545</v>
      </c>
      <c r="G277" s="0" t="n">
        <f aca="false">IF(E277 - F277 &lt; 0, 0, E277 - F277)</f>
        <v>0</v>
      </c>
      <c r="H277" s="0" t="n">
        <v>1.82</v>
      </c>
      <c r="I277" s="0" t="n">
        <f aca="false">1.82*30*(G277^1.5)</f>
        <v>0</v>
      </c>
      <c r="J277" s="0" t="n">
        <f aca="false">I277*60</f>
        <v>0</v>
      </c>
      <c r="K277" s="0" t="n">
        <f aca="false">(I277*86400)/24</f>
        <v>0</v>
      </c>
    </row>
    <row r="278" customFormat="false" ht="16.5" hidden="false" customHeight="false" outlineLevel="0" collapsed="false">
      <c r="A278" s="56" t="n">
        <v>45846.25</v>
      </c>
      <c r="B278" s="57" t="n">
        <f aca="false">MOD(A278,1)</f>
        <v>0.25</v>
      </c>
      <c r="C278" s="0" t="n">
        <v>0</v>
      </c>
      <c r="D278" s="0" t="n">
        <v>489.586</v>
      </c>
      <c r="E278" s="0" t="n">
        <f aca="false">D278-0.155</f>
        <v>489.431</v>
      </c>
      <c r="F278" s="0" t="n">
        <v>489.545</v>
      </c>
      <c r="G278" s="0" t="n">
        <f aca="false">IF(E278 - F278 &lt; 0, 0, E278 - F278)</f>
        <v>0</v>
      </c>
      <c r="H278" s="0" t="n">
        <v>1.82</v>
      </c>
      <c r="I278" s="0" t="n">
        <f aca="false">1.82*30*(G278^1.5)</f>
        <v>0</v>
      </c>
      <c r="J278" s="0" t="n">
        <f aca="false">I278*60</f>
        <v>0</v>
      </c>
      <c r="K278" s="0" t="n">
        <f aca="false">(I278*86400)/24</f>
        <v>0</v>
      </c>
    </row>
    <row r="279" customFormat="false" ht="16.5" hidden="false" customHeight="false" outlineLevel="0" collapsed="false">
      <c r="A279" s="56" t="n">
        <v>45846.2916666667</v>
      </c>
      <c r="B279" s="57" t="n">
        <f aca="false">MOD(A279,1)</f>
        <v>0.291666666656965</v>
      </c>
      <c r="C279" s="0" t="n">
        <v>0</v>
      </c>
      <c r="D279" s="0" t="n">
        <v>489.586</v>
      </c>
      <c r="E279" s="0" t="n">
        <f aca="false">D279-0.155</f>
        <v>489.431</v>
      </c>
      <c r="F279" s="0" t="n">
        <v>489.545</v>
      </c>
      <c r="G279" s="0" t="n">
        <f aca="false">IF(E279 - F279 &lt; 0, 0, E279 - F279)</f>
        <v>0</v>
      </c>
      <c r="H279" s="0" t="n">
        <v>1.82</v>
      </c>
      <c r="I279" s="0" t="n">
        <f aca="false">1.82*30*(G279^1.5)</f>
        <v>0</v>
      </c>
      <c r="J279" s="0" t="n">
        <f aca="false">I279*60</f>
        <v>0</v>
      </c>
      <c r="K279" s="0" t="n">
        <f aca="false">(I279*86400)/24</f>
        <v>0</v>
      </c>
    </row>
    <row r="280" customFormat="false" ht="16.5" hidden="false" customHeight="false" outlineLevel="0" collapsed="false">
      <c r="A280" s="56" t="n">
        <v>45846.3333333333</v>
      </c>
      <c r="B280" s="57" t="n">
        <f aca="false">MOD(A280,1)</f>
        <v>0.333333333343035</v>
      </c>
      <c r="C280" s="0" t="n">
        <v>0</v>
      </c>
      <c r="D280" s="0" t="n">
        <v>489.586</v>
      </c>
      <c r="E280" s="0" t="n">
        <f aca="false">D280-0.155</f>
        <v>489.431</v>
      </c>
      <c r="F280" s="0" t="n">
        <v>489.545</v>
      </c>
      <c r="G280" s="0" t="n">
        <f aca="false">IF(E280 - F280 &lt; 0, 0, E280 - F280)</f>
        <v>0</v>
      </c>
      <c r="H280" s="0" t="n">
        <v>1.82</v>
      </c>
      <c r="I280" s="0" t="n">
        <f aca="false">1.82*30*(G280^1.5)</f>
        <v>0</v>
      </c>
      <c r="J280" s="0" t="n">
        <f aca="false">I280*60</f>
        <v>0</v>
      </c>
      <c r="K280" s="0" t="n">
        <f aca="false">(I280*86400)/24</f>
        <v>0</v>
      </c>
    </row>
    <row r="281" customFormat="false" ht="16.5" hidden="false" customHeight="false" outlineLevel="0" collapsed="false">
      <c r="A281" s="56" t="n">
        <v>45846.375</v>
      </c>
      <c r="B281" s="57" t="n">
        <f aca="false">MOD(A281,1)</f>
        <v>0.375</v>
      </c>
      <c r="C281" s="0" t="n">
        <v>0</v>
      </c>
      <c r="D281" s="0" t="n">
        <v>489.586</v>
      </c>
      <c r="E281" s="0" t="n">
        <f aca="false">D281-0.155</f>
        <v>489.431</v>
      </c>
      <c r="F281" s="0" t="n">
        <v>489.545</v>
      </c>
      <c r="G281" s="0" t="n">
        <f aca="false">IF(E281 - F281 &lt; 0, 0, E281 - F281)</f>
        <v>0</v>
      </c>
      <c r="H281" s="0" t="n">
        <v>1.82</v>
      </c>
      <c r="I281" s="0" t="n">
        <f aca="false">1.82*30*(G281^1.5)</f>
        <v>0</v>
      </c>
      <c r="J281" s="0" t="n">
        <f aca="false">I281*60</f>
        <v>0</v>
      </c>
      <c r="K281" s="0" t="n">
        <f aca="false">(I281*86400)/24</f>
        <v>0</v>
      </c>
    </row>
    <row r="282" customFormat="false" ht="16.5" hidden="false" customHeight="false" outlineLevel="0" collapsed="false">
      <c r="A282" s="56" t="n">
        <v>45846.4166666667</v>
      </c>
      <c r="B282" s="57" t="n">
        <f aca="false">MOD(A282,1)</f>
        <v>0.416666666656965</v>
      </c>
      <c r="C282" s="0" t="n">
        <v>0</v>
      </c>
      <c r="D282" s="0" t="n">
        <v>489.579</v>
      </c>
      <c r="E282" s="0" t="n">
        <f aca="false">D282-0.155</f>
        <v>489.424</v>
      </c>
      <c r="F282" s="0" t="n">
        <v>489.545</v>
      </c>
      <c r="G282" s="0" t="n">
        <f aca="false">IF(E282 - F282 &lt; 0, 0, E282 - F282)</f>
        <v>0</v>
      </c>
      <c r="H282" s="0" t="n">
        <v>1.82</v>
      </c>
      <c r="I282" s="0" t="n">
        <f aca="false">1.82*30*(G282^1.5)</f>
        <v>0</v>
      </c>
      <c r="J282" s="0" t="n">
        <f aca="false">I282*60</f>
        <v>0</v>
      </c>
      <c r="K282" s="0" t="n">
        <f aca="false">(I282*86400)/24</f>
        <v>0</v>
      </c>
    </row>
    <row r="283" customFormat="false" ht="16.5" hidden="false" customHeight="false" outlineLevel="0" collapsed="false">
      <c r="A283" s="56" t="n">
        <v>45846.4583333333</v>
      </c>
      <c r="B283" s="57" t="n">
        <f aca="false">MOD(A283,1)</f>
        <v>0.458333333343035</v>
      </c>
      <c r="C283" s="0" t="n">
        <v>0</v>
      </c>
      <c r="D283" s="0" t="n">
        <v>489.585</v>
      </c>
      <c r="E283" s="0" t="n">
        <f aca="false">D283-0.155</f>
        <v>489.43</v>
      </c>
      <c r="F283" s="0" t="n">
        <v>489.545</v>
      </c>
      <c r="G283" s="0" t="n">
        <f aca="false">IF(E283 - F283 &lt; 0, 0, E283 - F283)</f>
        <v>0</v>
      </c>
      <c r="H283" s="0" t="n">
        <v>1.82</v>
      </c>
      <c r="I283" s="0" t="n">
        <f aca="false">1.82*30*(G283^1.5)</f>
        <v>0</v>
      </c>
      <c r="J283" s="0" t="n">
        <f aca="false">I283*60</f>
        <v>0</v>
      </c>
      <c r="K283" s="0" t="n">
        <f aca="false">(I283*86400)/24</f>
        <v>0</v>
      </c>
    </row>
    <row r="284" customFormat="false" ht="16.5" hidden="false" customHeight="false" outlineLevel="0" collapsed="false">
      <c r="A284" s="56" t="n">
        <v>45846.5</v>
      </c>
      <c r="B284" s="57" t="n">
        <f aca="false">MOD(A284,1)</f>
        <v>0.5</v>
      </c>
      <c r="C284" s="0" t="n">
        <v>0</v>
      </c>
      <c r="D284" s="0" t="n">
        <v>489.579</v>
      </c>
      <c r="E284" s="0" t="n">
        <f aca="false">D284-0.155</f>
        <v>489.424</v>
      </c>
      <c r="F284" s="0" t="n">
        <v>489.545</v>
      </c>
      <c r="G284" s="0" t="n">
        <f aca="false">IF(E284 - F284 &lt; 0, 0, E284 - F284)</f>
        <v>0</v>
      </c>
      <c r="H284" s="0" t="n">
        <v>1.82</v>
      </c>
      <c r="I284" s="0" t="n">
        <f aca="false">1.82*30*(G284^1.5)</f>
        <v>0</v>
      </c>
      <c r="J284" s="0" t="n">
        <f aca="false">I284*60</f>
        <v>0</v>
      </c>
      <c r="K284" s="0" t="n">
        <f aca="false">(I284*86400)/24</f>
        <v>0</v>
      </c>
    </row>
    <row r="285" customFormat="false" ht="16.5" hidden="false" customHeight="false" outlineLevel="0" collapsed="false">
      <c r="A285" s="56" t="n">
        <v>45846.5416666667</v>
      </c>
      <c r="B285" s="57" t="n">
        <f aca="false">MOD(A285,1)</f>
        <v>0.541666666656965</v>
      </c>
      <c r="C285" s="0" t="n">
        <v>0</v>
      </c>
      <c r="D285" s="0" t="n">
        <v>489.585</v>
      </c>
      <c r="E285" s="0" t="n">
        <f aca="false">D285-0.155</f>
        <v>489.43</v>
      </c>
      <c r="F285" s="0" t="n">
        <v>489.545</v>
      </c>
      <c r="G285" s="0" t="n">
        <f aca="false">IF(E285 - F285 &lt; 0, 0, E285 - F285)</f>
        <v>0</v>
      </c>
      <c r="H285" s="0" t="n">
        <v>1.82</v>
      </c>
      <c r="I285" s="0" t="n">
        <f aca="false">1.82*30*(G285^1.5)</f>
        <v>0</v>
      </c>
      <c r="J285" s="0" t="n">
        <f aca="false">I285*60</f>
        <v>0</v>
      </c>
      <c r="K285" s="0" t="n">
        <f aca="false">(I285*86400)/24</f>
        <v>0</v>
      </c>
    </row>
    <row r="286" customFormat="false" ht="16.5" hidden="false" customHeight="false" outlineLevel="0" collapsed="false">
      <c r="A286" s="56" t="n">
        <v>45846.5833333333</v>
      </c>
      <c r="B286" s="57" t="n">
        <f aca="false">MOD(A286,1)</f>
        <v>0.583333333343035</v>
      </c>
      <c r="C286" s="0" t="n">
        <v>0</v>
      </c>
      <c r="D286" s="0" t="n">
        <v>489.585</v>
      </c>
      <c r="E286" s="0" t="n">
        <f aca="false">D286-0.155</f>
        <v>489.43</v>
      </c>
      <c r="F286" s="0" t="n">
        <v>489.545</v>
      </c>
      <c r="G286" s="0" t="n">
        <f aca="false">IF(E286 - F286 &lt; 0, 0, E286 - F286)</f>
        <v>0</v>
      </c>
      <c r="H286" s="0" t="n">
        <v>1.82</v>
      </c>
      <c r="I286" s="0" t="n">
        <f aca="false">1.82*30*(G286^1.5)</f>
        <v>0</v>
      </c>
      <c r="J286" s="0" t="n">
        <f aca="false">I286*60</f>
        <v>0</v>
      </c>
      <c r="K286" s="0" t="n">
        <f aca="false">(I286*86400)/24</f>
        <v>0</v>
      </c>
    </row>
    <row r="287" customFormat="false" ht="16.5" hidden="false" customHeight="false" outlineLevel="0" collapsed="false">
      <c r="A287" s="56" t="n">
        <v>45846.625</v>
      </c>
      <c r="B287" s="57" t="n">
        <f aca="false">MOD(A287,1)</f>
        <v>0.625</v>
      </c>
      <c r="C287" s="0" t="n">
        <v>0</v>
      </c>
      <c r="D287" s="0" t="n">
        <v>489.585</v>
      </c>
      <c r="E287" s="0" t="n">
        <f aca="false">D287-0.155</f>
        <v>489.43</v>
      </c>
      <c r="F287" s="0" t="n">
        <v>489.545</v>
      </c>
      <c r="G287" s="0" t="n">
        <f aca="false">IF(E287 - F287 &lt; 0, 0, E287 - F287)</f>
        <v>0</v>
      </c>
      <c r="H287" s="0" t="n">
        <v>1.82</v>
      </c>
      <c r="I287" s="0" t="n">
        <f aca="false">1.82*30*(G287^1.5)</f>
        <v>0</v>
      </c>
      <c r="J287" s="0" t="n">
        <f aca="false">I287*60</f>
        <v>0</v>
      </c>
      <c r="K287" s="0" t="n">
        <f aca="false">(I287*86400)/24</f>
        <v>0</v>
      </c>
    </row>
    <row r="288" customFormat="false" ht="16.5" hidden="false" customHeight="false" outlineLevel="0" collapsed="false">
      <c r="A288" s="56" t="n">
        <v>45846.6666666667</v>
      </c>
      <c r="B288" s="57" t="n">
        <f aca="false">MOD(A288,1)</f>
        <v>0.666666666656965</v>
      </c>
      <c r="C288" s="0" t="n">
        <v>0</v>
      </c>
      <c r="D288" s="0" t="n">
        <v>489.579</v>
      </c>
      <c r="E288" s="0" t="n">
        <f aca="false">D288-0.155</f>
        <v>489.424</v>
      </c>
      <c r="F288" s="0" t="n">
        <v>489.545</v>
      </c>
      <c r="G288" s="0" t="n">
        <f aca="false">IF(E288 - F288 &lt; 0, 0, E288 - F288)</f>
        <v>0</v>
      </c>
      <c r="H288" s="0" t="n">
        <v>1.82</v>
      </c>
      <c r="I288" s="0" t="n">
        <f aca="false">1.82*30*(G288^1.5)</f>
        <v>0</v>
      </c>
      <c r="J288" s="0" t="n">
        <f aca="false">I288*60</f>
        <v>0</v>
      </c>
      <c r="K288" s="0" t="n">
        <f aca="false">(I288*86400)/24</f>
        <v>0</v>
      </c>
    </row>
    <row r="289" customFormat="false" ht="16.5" hidden="false" customHeight="false" outlineLevel="0" collapsed="false">
      <c r="A289" s="56" t="n">
        <v>45846.7083333333</v>
      </c>
      <c r="B289" s="57" t="n">
        <f aca="false">MOD(A289,1)</f>
        <v>0.708333333343035</v>
      </c>
      <c r="C289" s="0" t="n">
        <v>0</v>
      </c>
      <c r="D289" s="0" t="n">
        <v>489.579</v>
      </c>
      <c r="E289" s="0" t="n">
        <f aca="false">D289-0.155</f>
        <v>489.424</v>
      </c>
      <c r="F289" s="0" t="n">
        <v>489.545</v>
      </c>
      <c r="G289" s="0" t="n">
        <f aca="false">IF(E289 - F289 &lt; 0, 0, E289 - F289)</f>
        <v>0</v>
      </c>
      <c r="H289" s="0" t="n">
        <v>1.82</v>
      </c>
      <c r="I289" s="0" t="n">
        <f aca="false">1.82*30*(G289^1.5)</f>
        <v>0</v>
      </c>
      <c r="J289" s="0" t="n">
        <f aca="false">I289*60</f>
        <v>0</v>
      </c>
      <c r="K289" s="0" t="n">
        <f aca="false">(I289*86400)/24</f>
        <v>0</v>
      </c>
    </row>
    <row r="290" customFormat="false" ht="16.5" hidden="false" customHeight="false" outlineLevel="0" collapsed="false">
      <c r="A290" s="56" t="n">
        <v>45846.75</v>
      </c>
      <c r="B290" s="57" t="n">
        <f aca="false">MOD(A290,1)</f>
        <v>0.75</v>
      </c>
      <c r="C290" s="0" t="n">
        <v>0</v>
      </c>
      <c r="D290" s="0" t="n">
        <v>489.585</v>
      </c>
      <c r="E290" s="0" t="n">
        <f aca="false">D290-0.155</f>
        <v>489.43</v>
      </c>
      <c r="F290" s="0" t="n">
        <v>489.545</v>
      </c>
      <c r="G290" s="0" t="n">
        <f aca="false">IF(E290 - F290 &lt; 0, 0, E290 - F290)</f>
        <v>0</v>
      </c>
      <c r="H290" s="0" t="n">
        <v>1.82</v>
      </c>
      <c r="I290" s="0" t="n">
        <f aca="false">1.82*30*(G290^1.5)</f>
        <v>0</v>
      </c>
      <c r="J290" s="0" t="n">
        <f aca="false">I290*60</f>
        <v>0</v>
      </c>
      <c r="K290" s="0" t="n">
        <f aca="false">(I290*86400)/24</f>
        <v>0</v>
      </c>
    </row>
    <row r="291" customFormat="false" ht="16.5" hidden="false" customHeight="false" outlineLevel="0" collapsed="false">
      <c r="A291" s="56" t="n">
        <v>45846.7916666667</v>
      </c>
      <c r="B291" s="57" t="n">
        <f aca="false">MOD(A291,1)</f>
        <v>0.791666666656965</v>
      </c>
      <c r="C291" s="0" t="n">
        <v>0</v>
      </c>
      <c r="D291" s="0" t="n">
        <v>489.579</v>
      </c>
      <c r="E291" s="0" t="n">
        <f aca="false">D291-0.155</f>
        <v>489.424</v>
      </c>
      <c r="F291" s="0" t="n">
        <v>489.545</v>
      </c>
      <c r="G291" s="0" t="n">
        <f aca="false">IF(E291 - F291 &lt; 0, 0, E291 - F291)</f>
        <v>0</v>
      </c>
      <c r="H291" s="0" t="n">
        <v>1.82</v>
      </c>
      <c r="I291" s="0" t="n">
        <f aca="false">1.82*30*(G291^1.5)</f>
        <v>0</v>
      </c>
      <c r="J291" s="0" t="n">
        <f aca="false">I291*60</f>
        <v>0</v>
      </c>
      <c r="K291" s="0" t="n">
        <f aca="false">(I291*86400)/24</f>
        <v>0</v>
      </c>
    </row>
    <row r="292" customFormat="false" ht="16.5" hidden="false" customHeight="false" outlineLevel="0" collapsed="false">
      <c r="A292" s="56" t="n">
        <v>45846.8333333333</v>
      </c>
      <c r="B292" s="57" t="n">
        <f aca="false">MOD(A292,1)</f>
        <v>0.833333333343035</v>
      </c>
      <c r="C292" s="0" t="n">
        <v>0</v>
      </c>
      <c r="D292" s="0" t="n">
        <v>489.579</v>
      </c>
      <c r="E292" s="0" t="n">
        <f aca="false">D292-0.155</f>
        <v>489.424</v>
      </c>
      <c r="F292" s="0" t="n">
        <v>489.545</v>
      </c>
      <c r="G292" s="0" t="n">
        <f aca="false">IF(E292 - F292 &lt; 0, 0, E292 - F292)</f>
        <v>0</v>
      </c>
      <c r="H292" s="0" t="n">
        <v>1.82</v>
      </c>
      <c r="I292" s="0" t="n">
        <f aca="false">1.82*30*(G292^1.5)</f>
        <v>0</v>
      </c>
      <c r="J292" s="0" t="n">
        <f aca="false">I292*60</f>
        <v>0</v>
      </c>
      <c r="K292" s="0" t="n">
        <f aca="false">(I292*86400)/24</f>
        <v>0</v>
      </c>
    </row>
    <row r="293" customFormat="false" ht="16.5" hidden="false" customHeight="false" outlineLevel="0" collapsed="false">
      <c r="A293" s="56" t="n">
        <v>45846.875</v>
      </c>
      <c r="B293" s="57" t="n">
        <f aca="false">MOD(A293,1)</f>
        <v>0.875</v>
      </c>
      <c r="C293" s="0" t="n">
        <v>0</v>
      </c>
      <c r="D293" s="0" t="n">
        <v>489.583</v>
      </c>
      <c r="E293" s="0" t="n">
        <f aca="false">D293-0.155</f>
        <v>489.428</v>
      </c>
      <c r="F293" s="0" t="n">
        <v>489.545</v>
      </c>
      <c r="G293" s="0" t="n">
        <f aca="false">IF(E293 - F293 &lt; 0, 0, E293 - F293)</f>
        <v>0</v>
      </c>
      <c r="H293" s="0" t="n">
        <v>1.82</v>
      </c>
      <c r="I293" s="0" t="n">
        <f aca="false">1.82*30*(G293^1.5)</f>
        <v>0</v>
      </c>
      <c r="J293" s="0" t="n">
        <f aca="false">I293*60</f>
        <v>0</v>
      </c>
      <c r="K293" s="0" t="n">
        <f aca="false">(I293*86400)/24</f>
        <v>0</v>
      </c>
    </row>
    <row r="294" customFormat="false" ht="16.5" hidden="false" customHeight="false" outlineLevel="0" collapsed="false">
      <c r="A294" s="56" t="n">
        <v>45846.9166666667</v>
      </c>
      <c r="B294" s="57" t="n">
        <f aca="false">MOD(A294,1)</f>
        <v>0.916666666656965</v>
      </c>
      <c r="C294" s="0" t="n">
        <v>0</v>
      </c>
      <c r="D294" s="0" t="n">
        <v>489.586</v>
      </c>
      <c r="E294" s="0" t="n">
        <f aca="false">D294-0.155</f>
        <v>489.431</v>
      </c>
      <c r="F294" s="0" t="n">
        <v>489.545</v>
      </c>
      <c r="G294" s="0" t="n">
        <f aca="false">IF(E294 - F294 &lt; 0, 0, E294 - F294)</f>
        <v>0</v>
      </c>
      <c r="H294" s="0" t="n">
        <v>1.82</v>
      </c>
      <c r="I294" s="0" t="n">
        <f aca="false">1.82*30*(G294^1.5)</f>
        <v>0</v>
      </c>
      <c r="J294" s="0" t="n">
        <f aca="false">I294*60</f>
        <v>0</v>
      </c>
      <c r="K294" s="0" t="n">
        <f aca="false">(I294*86400)/24</f>
        <v>0</v>
      </c>
    </row>
    <row r="295" customFormat="false" ht="16.5" hidden="false" customHeight="false" outlineLevel="0" collapsed="false">
      <c r="A295" s="56" t="n">
        <v>45846.9583333333</v>
      </c>
      <c r="B295" s="57" t="n">
        <f aca="false">MOD(A295,1)</f>
        <v>0.958333333343035</v>
      </c>
      <c r="C295" s="0" t="n">
        <v>0</v>
      </c>
      <c r="D295" s="0" t="n">
        <v>489.586</v>
      </c>
      <c r="E295" s="0" t="n">
        <f aca="false">D295-0.155</f>
        <v>489.431</v>
      </c>
      <c r="F295" s="0" t="n">
        <v>489.545</v>
      </c>
      <c r="G295" s="0" t="n">
        <f aca="false">IF(E295 - F295 &lt; 0, 0, E295 - F295)</f>
        <v>0</v>
      </c>
      <c r="H295" s="0" t="n">
        <v>1.82</v>
      </c>
      <c r="I295" s="0" t="n">
        <f aca="false">1.82*30*(G295^1.5)</f>
        <v>0</v>
      </c>
      <c r="J295" s="0" t="n">
        <f aca="false">I295*60</f>
        <v>0</v>
      </c>
      <c r="K295" s="0" t="n">
        <f aca="false">(I295*86400)/24</f>
        <v>0</v>
      </c>
    </row>
    <row r="296" customFormat="false" ht="16.5" hidden="false" customHeight="false" outlineLevel="0" collapsed="false">
      <c r="A296" s="56" t="n">
        <v>45847</v>
      </c>
      <c r="B296" s="57" t="n">
        <f aca="false">MOD(A296,1)</f>
        <v>0</v>
      </c>
      <c r="C296" s="0" t="n">
        <v>0</v>
      </c>
      <c r="D296" s="0" t="n">
        <v>489.579</v>
      </c>
      <c r="E296" s="0" t="n">
        <f aca="false">D296-0.155</f>
        <v>489.424</v>
      </c>
      <c r="F296" s="0" t="n">
        <v>489.545</v>
      </c>
      <c r="G296" s="0" t="n">
        <f aca="false">IF(E296 - F296 &lt; 0, 0, E296 - F296)</f>
        <v>0</v>
      </c>
      <c r="H296" s="0" t="n">
        <v>1.82</v>
      </c>
      <c r="I296" s="0" t="n">
        <f aca="false">1.82*30*(G296^1.5)</f>
        <v>0</v>
      </c>
      <c r="J296" s="0" t="n">
        <f aca="false">I296*60</f>
        <v>0</v>
      </c>
      <c r="K296" s="0" t="n">
        <f aca="false">(I296*86400)/24</f>
        <v>0</v>
      </c>
    </row>
    <row r="297" customFormat="false" ht="16.5" hidden="false" customHeight="false" outlineLevel="0" collapsed="false">
      <c r="A297" s="56" t="n">
        <v>45847.0416666667</v>
      </c>
      <c r="B297" s="57" t="n">
        <f aca="false">MOD(A297,1)</f>
        <v>0.0416666666569654</v>
      </c>
      <c r="C297" s="0" t="n">
        <v>0</v>
      </c>
      <c r="D297" s="0" t="n">
        <v>489.579</v>
      </c>
      <c r="E297" s="0" t="n">
        <f aca="false">D297-0.155</f>
        <v>489.424</v>
      </c>
      <c r="F297" s="0" t="n">
        <v>489.545</v>
      </c>
      <c r="G297" s="0" t="n">
        <f aca="false">IF(E297 - F297 &lt; 0, 0, E297 - F297)</f>
        <v>0</v>
      </c>
      <c r="H297" s="0" t="n">
        <v>1.82</v>
      </c>
      <c r="I297" s="0" t="n">
        <f aca="false">1.82*30*(G297^1.5)</f>
        <v>0</v>
      </c>
      <c r="J297" s="0" t="n">
        <f aca="false">I297*60</f>
        <v>0</v>
      </c>
      <c r="K297" s="0" t="n">
        <f aca="false">(I297*86400)/24</f>
        <v>0</v>
      </c>
    </row>
    <row r="298" customFormat="false" ht="16.5" hidden="false" customHeight="false" outlineLevel="0" collapsed="false">
      <c r="A298" s="56" t="n">
        <v>45847.0833333333</v>
      </c>
      <c r="B298" s="57" t="n">
        <f aca="false">MOD(A298,1)</f>
        <v>0.0833333333430346</v>
      </c>
      <c r="C298" s="0" t="n">
        <v>0</v>
      </c>
      <c r="D298" s="0" t="n">
        <v>489.579</v>
      </c>
      <c r="E298" s="0" t="n">
        <f aca="false">D298-0.155</f>
        <v>489.424</v>
      </c>
      <c r="F298" s="0" t="n">
        <v>489.545</v>
      </c>
      <c r="G298" s="0" t="n">
        <f aca="false">IF(E298 - F298 &lt; 0, 0, E298 - F298)</f>
        <v>0</v>
      </c>
      <c r="H298" s="0" t="n">
        <v>1.82</v>
      </c>
      <c r="I298" s="0" t="n">
        <f aca="false">1.82*30*(G298^1.5)</f>
        <v>0</v>
      </c>
      <c r="J298" s="0" t="n">
        <f aca="false">I298*60</f>
        <v>0</v>
      </c>
      <c r="K298" s="0" t="n">
        <f aca="false">(I298*86400)/24</f>
        <v>0</v>
      </c>
    </row>
    <row r="299" customFormat="false" ht="16.5" hidden="false" customHeight="false" outlineLevel="0" collapsed="false">
      <c r="A299" s="56" t="n">
        <v>45847.125</v>
      </c>
      <c r="B299" s="57" t="n">
        <f aca="false">MOD(A299,1)</f>
        <v>0.125</v>
      </c>
      <c r="C299" s="0" t="n">
        <v>0</v>
      </c>
      <c r="D299" s="0" t="n">
        <v>489.579</v>
      </c>
      <c r="E299" s="0" t="n">
        <f aca="false">D299-0.155</f>
        <v>489.424</v>
      </c>
      <c r="F299" s="0" t="n">
        <v>489.545</v>
      </c>
      <c r="G299" s="0" t="n">
        <f aca="false">IF(E299 - F299 &lt; 0, 0, E299 - F299)</f>
        <v>0</v>
      </c>
      <c r="H299" s="0" t="n">
        <v>1.82</v>
      </c>
      <c r="I299" s="0" t="n">
        <f aca="false">1.82*30*(G299^1.5)</f>
        <v>0</v>
      </c>
      <c r="J299" s="0" t="n">
        <f aca="false">I299*60</f>
        <v>0</v>
      </c>
      <c r="K299" s="0" t="n">
        <f aca="false">(I299*86400)/24</f>
        <v>0</v>
      </c>
    </row>
    <row r="300" customFormat="false" ht="16.5" hidden="false" customHeight="false" outlineLevel="0" collapsed="false">
      <c r="A300" s="56" t="n">
        <v>45847.1666666667</v>
      </c>
      <c r="B300" s="57" t="n">
        <f aca="false">MOD(A300,1)</f>
        <v>0.166666666656965</v>
      </c>
      <c r="C300" s="0" t="n">
        <v>0</v>
      </c>
      <c r="D300" s="0" t="n">
        <v>489.579</v>
      </c>
      <c r="E300" s="0" t="n">
        <f aca="false">D300-0.155</f>
        <v>489.424</v>
      </c>
      <c r="F300" s="0" t="n">
        <v>489.545</v>
      </c>
      <c r="G300" s="0" t="n">
        <f aca="false">IF(E300 - F300 &lt; 0, 0, E300 - F300)</f>
        <v>0</v>
      </c>
      <c r="H300" s="0" t="n">
        <v>1.82</v>
      </c>
      <c r="I300" s="0" t="n">
        <f aca="false">1.82*30*(G300^1.5)</f>
        <v>0</v>
      </c>
      <c r="J300" s="0" t="n">
        <f aca="false">I300*60</f>
        <v>0</v>
      </c>
      <c r="K300" s="0" t="n">
        <f aca="false">(I300*86400)/24</f>
        <v>0</v>
      </c>
    </row>
    <row r="301" customFormat="false" ht="16.5" hidden="false" customHeight="false" outlineLevel="0" collapsed="false">
      <c r="A301" s="56" t="n">
        <v>45847.2083333333</v>
      </c>
      <c r="B301" s="57" t="n">
        <f aca="false">MOD(A301,1)</f>
        <v>0.208333333343035</v>
      </c>
      <c r="C301" s="0" t="n">
        <v>0</v>
      </c>
      <c r="D301" s="0" t="n">
        <v>489.579</v>
      </c>
      <c r="E301" s="0" t="n">
        <f aca="false">D301-0.155</f>
        <v>489.424</v>
      </c>
      <c r="F301" s="0" t="n">
        <v>489.545</v>
      </c>
      <c r="G301" s="0" t="n">
        <f aca="false">IF(E301 - F301 &lt; 0, 0, E301 - F301)</f>
        <v>0</v>
      </c>
      <c r="H301" s="0" t="n">
        <v>1.82</v>
      </c>
      <c r="I301" s="0" t="n">
        <f aca="false">1.82*30*(G301^1.5)</f>
        <v>0</v>
      </c>
      <c r="J301" s="0" t="n">
        <f aca="false">I301*60</f>
        <v>0</v>
      </c>
      <c r="K301" s="0" t="n">
        <f aca="false">(I301*86400)/24</f>
        <v>0</v>
      </c>
    </row>
    <row r="302" customFormat="false" ht="16.5" hidden="false" customHeight="false" outlineLevel="0" collapsed="false">
      <c r="A302" s="56" t="n">
        <v>45847.25</v>
      </c>
      <c r="B302" s="57" t="n">
        <f aca="false">MOD(A302,1)</f>
        <v>0.25</v>
      </c>
      <c r="C302" s="0" t="n">
        <v>0</v>
      </c>
      <c r="D302" s="0" t="n">
        <v>489.579</v>
      </c>
      <c r="E302" s="0" t="n">
        <f aca="false">D302-0.155</f>
        <v>489.424</v>
      </c>
      <c r="F302" s="0" t="n">
        <v>489.545</v>
      </c>
      <c r="G302" s="0" t="n">
        <f aca="false">IF(E302 - F302 &lt; 0, 0, E302 - F302)</f>
        <v>0</v>
      </c>
      <c r="H302" s="0" t="n">
        <v>1.82</v>
      </c>
      <c r="I302" s="0" t="n">
        <f aca="false">1.82*30*(G302^1.5)</f>
        <v>0</v>
      </c>
      <c r="J302" s="0" t="n">
        <f aca="false">I302*60</f>
        <v>0</v>
      </c>
      <c r="K302" s="0" t="n">
        <f aca="false">(I302*86400)/24</f>
        <v>0</v>
      </c>
    </row>
    <row r="303" customFormat="false" ht="16.5" hidden="false" customHeight="false" outlineLevel="0" collapsed="false">
      <c r="A303" s="56" t="n">
        <v>45847.2916666667</v>
      </c>
      <c r="B303" s="57" t="n">
        <f aca="false">MOD(A303,1)</f>
        <v>0.291666666656965</v>
      </c>
      <c r="C303" s="0" t="n">
        <v>0</v>
      </c>
      <c r="D303" s="0" t="n">
        <v>489.579</v>
      </c>
      <c r="E303" s="0" t="n">
        <f aca="false">D303-0.155</f>
        <v>489.424</v>
      </c>
      <c r="F303" s="0" t="n">
        <v>489.545</v>
      </c>
      <c r="G303" s="0" t="n">
        <f aca="false">IF(E303 - F303 &lt; 0, 0, E303 - F303)</f>
        <v>0</v>
      </c>
      <c r="H303" s="0" t="n">
        <v>1.82</v>
      </c>
      <c r="I303" s="0" t="n">
        <f aca="false">1.82*30*(G303^1.5)</f>
        <v>0</v>
      </c>
      <c r="J303" s="0" t="n">
        <f aca="false">I303*60</f>
        <v>0</v>
      </c>
      <c r="K303" s="0" t="n">
        <f aca="false">(I303*86400)/24</f>
        <v>0</v>
      </c>
    </row>
    <row r="304" customFormat="false" ht="16.5" hidden="false" customHeight="false" outlineLevel="0" collapsed="false">
      <c r="A304" s="56" t="n">
        <v>45847.3333333333</v>
      </c>
      <c r="B304" s="57" t="n">
        <f aca="false">MOD(A304,1)</f>
        <v>0.333333333343035</v>
      </c>
      <c r="C304" s="0" t="n">
        <v>0</v>
      </c>
      <c r="D304" s="0" t="n">
        <v>489.585</v>
      </c>
      <c r="E304" s="0" t="n">
        <f aca="false">D304-0.155</f>
        <v>489.43</v>
      </c>
      <c r="F304" s="0" t="n">
        <v>489.545</v>
      </c>
      <c r="G304" s="0" t="n">
        <f aca="false">IF(E304 - F304 &lt; 0, 0, E304 - F304)</f>
        <v>0</v>
      </c>
      <c r="H304" s="0" t="n">
        <v>1.82</v>
      </c>
      <c r="I304" s="0" t="n">
        <f aca="false">1.82*30*(G304^1.5)</f>
        <v>0</v>
      </c>
      <c r="J304" s="0" t="n">
        <f aca="false">I304*60</f>
        <v>0</v>
      </c>
      <c r="K304" s="0" t="n">
        <f aca="false">(I304*86400)/24</f>
        <v>0</v>
      </c>
    </row>
    <row r="305" customFormat="false" ht="16.5" hidden="false" customHeight="false" outlineLevel="0" collapsed="false">
      <c r="A305" s="56" t="n">
        <v>45847.375</v>
      </c>
      <c r="B305" s="57" t="n">
        <f aca="false">MOD(A305,1)</f>
        <v>0.375</v>
      </c>
      <c r="C305" s="0" t="n">
        <v>0</v>
      </c>
      <c r="D305" s="0" t="n">
        <v>489.585</v>
      </c>
      <c r="E305" s="0" t="n">
        <f aca="false">D305-0.155</f>
        <v>489.43</v>
      </c>
      <c r="F305" s="0" t="n">
        <v>489.545</v>
      </c>
      <c r="G305" s="0" t="n">
        <f aca="false">IF(E305 - F305 &lt; 0, 0, E305 - F305)</f>
        <v>0</v>
      </c>
      <c r="H305" s="0" t="n">
        <v>1.82</v>
      </c>
      <c r="I305" s="0" t="n">
        <f aca="false">1.82*30*(G305^1.5)</f>
        <v>0</v>
      </c>
      <c r="J305" s="0" t="n">
        <f aca="false">I305*60</f>
        <v>0</v>
      </c>
      <c r="K305" s="0" t="n">
        <f aca="false">(I305*86400)/24</f>
        <v>0</v>
      </c>
    </row>
    <row r="306" customFormat="false" ht="16.5" hidden="false" customHeight="false" outlineLevel="0" collapsed="false">
      <c r="A306" s="56" t="n">
        <v>45847.4166666667</v>
      </c>
      <c r="B306" s="57" t="n">
        <f aca="false">MOD(A306,1)</f>
        <v>0.416666666656965</v>
      </c>
      <c r="C306" s="0" t="n">
        <v>0</v>
      </c>
      <c r="D306" s="0" t="n">
        <v>489.579</v>
      </c>
      <c r="E306" s="0" t="n">
        <f aca="false">D306-0.155</f>
        <v>489.424</v>
      </c>
      <c r="F306" s="0" t="n">
        <v>489.545</v>
      </c>
      <c r="G306" s="0" t="n">
        <f aca="false">IF(E306 - F306 &lt; 0, 0, E306 - F306)</f>
        <v>0</v>
      </c>
      <c r="H306" s="0" t="n">
        <v>1.82</v>
      </c>
      <c r="I306" s="0" t="n">
        <f aca="false">1.82*30*(G306^1.5)</f>
        <v>0</v>
      </c>
      <c r="J306" s="0" t="n">
        <f aca="false">I306*60</f>
        <v>0</v>
      </c>
      <c r="K306" s="0" t="n">
        <f aca="false">(I306*86400)/24</f>
        <v>0</v>
      </c>
    </row>
    <row r="307" customFormat="false" ht="16.5" hidden="false" customHeight="false" outlineLevel="0" collapsed="false">
      <c r="A307" s="56" t="n">
        <v>45847.4583333333</v>
      </c>
      <c r="B307" s="57" t="n">
        <f aca="false">MOD(A307,1)</f>
        <v>0.458333333343035</v>
      </c>
      <c r="C307" s="0" t="n">
        <v>0</v>
      </c>
      <c r="D307" s="0" t="n">
        <v>489.579</v>
      </c>
      <c r="E307" s="0" t="n">
        <f aca="false">D307-0.155</f>
        <v>489.424</v>
      </c>
      <c r="F307" s="0" t="n">
        <v>489.545</v>
      </c>
      <c r="G307" s="0" t="n">
        <f aca="false">IF(E307 - F307 &lt; 0, 0, E307 - F307)</f>
        <v>0</v>
      </c>
      <c r="H307" s="0" t="n">
        <v>1.82</v>
      </c>
      <c r="I307" s="0" t="n">
        <f aca="false">1.82*30*(G307^1.5)</f>
        <v>0</v>
      </c>
      <c r="J307" s="0" t="n">
        <f aca="false">I307*60</f>
        <v>0</v>
      </c>
      <c r="K307" s="0" t="n">
        <f aca="false">(I307*86400)/24</f>
        <v>0</v>
      </c>
    </row>
    <row r="308" customFormat="false" ht="16.5" hidden="false" customHeight="false" outlineLevel="0" collapsed="false">
      <c r="A308" s="56" t="n">
        <v>45847.5</v>
      </c>
      <c r="B308" s="57" t="n">
        <f aca="false">MOD(A308,1)</f>
        <v>0.5</v>
      </c>
      <c r="C308" s="0" t="n">
        <v>0</v>
      </c>
      <c r="D308" s="0" t="n">
        <v>489.579</v>
      </c>
      <c r="E308" s="0" t="n">
        <f aca="false">D308-0.155</f>
        <v>489.424</v>
      </c>
      <c r="F308" s="0" t="n">
        <v>489.545</v>
      </c>
      <c r="G308" s="0" t="n">
        <f aca="false">IF(E308 - F308 &lt; 0, 0, E308 - F308)</f>
        <v>0</v>
      </c>
      <c r="H308" s="0" t="n">
        <v>1.82</v>
      </c>
      <c r="I308" s="0" t="n">
        <f aca="false">1.82*30*(G308^1.5)</f>
        <v>0</v>
      </c>
      <c r="J308" s="0" t="n">
        <f aca="false">I308*60</f>
        <v>0</v>
      </c>
      <c r="K308" s="0" t="n">
        <f aca="false">(I308*86400)/24</f>
        <v>0</v>
      </c>
    </row>
    <row r="309" customFormat="false" ht="16.5" hidden="false" customHeight="false" outlineLevel="0" collapsed="false">
      <c r="A309" s="56" t="n">
        <v>45847.5416666667</v>
      </c>
      <c r="B309" s="57" t="n">
        <f aca="false">MOD(A309,1)</f>
        <v>0.541666666656965</v>
      </c>
      <c r="C309" s="0" t="n">
        <v>0</v>
      </c>
      <c r="D309" s="0" t="n">
        <v>489.579</v>
      </c>
      <c r="E309" s="0" t="n">
        <f aca="false">D309-0.155</f>
        <v>489.424</v>
      </c>
      <c r="F309" s="0" t="n">
        <v>489.545</v>
      </c>
      <c r="G309" s="0" t="n">
        <f aca="false">IF(E309 - F309 &lt; 0, 0, E309 - F309)</f>
        <v>0</v>
      </c>
      <c r="H309" s="0" t="n">
        <v>1.82</v>
      </c>
      <c r="I309" s="0" t="n">
        <f aca="false">1.82*30*(G309^1.5)</f>
        <v>0</v>
      </c>
      <c r="J309" s="0" t="n">
        <f aca="false">I309*60</f>
        <v>0</v>
      </c>
      <c r="K309" s="0" t="n">
        <f aca="false">(I309*86400)/24</f>
        <v>0</v>
      </c>
    </row>
    <row r="310" customFormat="false" ht="16.5" hidden="false" customHeight="false" outlineLevel="0" collapsed="false">
      <c r="A310" s="56" t="n">
        <v>45847.5833333333</v>
      </c>
      <c r="B310" s="57" t="n">
        <f aca="false">MOD(A310,1)</f>
        <v>0.583333333343035</v>
      </c>
      <c r="C310" s="0" t="n">
        <v>0</v>
      </c>
      <c r="D310" s="0" t="n">
        <v>489.579</v>
      </c>
      <c r="E310" s="0" t="n">
        <f aca="false">D310-0.155</f>
        <v>489.424</v>
      </c>
      <c r="F310" s="0" t="n">
        <v>489.545</v>
      </c>
      <c r="G310" s="0" t="n">
        <f aca="false">IF(E310 - F310 &lt; 0, 0, E310 - F310)</f>
        <v>0</v>
      </c>
      <c r="H310" s="0" t="n">
        <v>1.82</v>
      </c>
      <c r="I310" s="0" t="n">
        <f aca="false">1.82*30*(G310^1.5)</f>
        <v>0</v>
      </c>
      <c r="J310" s="0" t="n">
        <f aca="false">I310*60</f>
        <v>0</v>
      </c>
      <c r="K310" s="0" t="n">
        <f aca="false">(I310*86400)/24</f>
        <v>0</v>
      </c>
    </row>
    <row r="311" customFormat="false" ht="16.5" hidden="false" customHeight="false" outlineLevel="0" collapsed="false">
      <c r="A311" s="56" t="n">
        <v>45847.625</v>
      </c>
      <c r="B311" s="57" t="n">
        <f aca="false">MOD(A311,1)</f>
        <v>0.625</v>
      </c>
      <c r="C311" s="0" t="n">
        <v>0</v>
      </c>
      <c r="D311" s="0" t="n">
        <v>489.572</v>
      </c>
      <c r="E311" s="0" t="n">
        <f aca="false">D311-0.155</f>
        <v>489.417</v>
      </c>
      <c r="F311" s="0" t="n">
        <v>489.545</v>
      </c>
      <c r="G311" s="0" t="n">
        <f aca="false">IF(E311 - F311 &lt; 0, 0, E311 - F311)</f>
        <v>0</v>
      </c>
      <c r="H311" s="0" t="n">
        <v>1.82</v>
      </c>
      <c r="I311" s="0" t="n">
        <f aca="false">1.82*30*(G311^1.5)</f>
        <v>0</v>
      </c>
      <c r="J311" s="0" t="n">
        <f aca="false">I311*60</f>
        <v>0</v>
      </c>
      <c r="K311" s="0" t="n">
        <f aca="false">(I311*86400)/24</f>
        <v>0</v>
      </c>
    </row>
    <row r="312" customFormat="false" ht="16.5" hidden="false" customHeight="false" outlineLevel="0" collapsed="false">
      <c r="A312" s="56" t="n">
        <v>45847.6666666667</v>
      </c>
      <c r="B312" s="57" t="n">
        <f aca="false">MOD(A312,1)</f>
        <v>0.666666666656965</v>
      </c>
      <c r="C312" s="0" t="n">
        <v>0.6</v>
      </c>
      <c r="D312" s="0" t="n">
        <v>489.572</v>
      </c>
      <c r="E312" s="0" t="n">
        <f aca="false">D312-0.155</f>
        <v>489.417</v>
      </c>
      <c r="F312" s="0" t="n">
        <v>489.545</v>
      </c>
      <c r="G312" s="0" t="n">
        <f aca="false">IF(E312 - F312 &lt; 0, 0, E312 - F312)</f>
        <v>0</v>
      </c>
      <c r="H312" s="0" t="n">
        <v>1.82</v>
      </c>
      <c r="I312" s="0" t="n">
        <f aca="false">1.82*30*(G312^1.5)</f>
        <v>0</v>
      </c>
      <c r="J312" s="0" t="n">
        <f aca="false">I312*60</f>
        <v>0</v>
      </c>
      <c r="K312" s="0" t="n">
        <f aca="false">(I312*86400)/24</f>
        <v>0</v>
      </c>
    </row>
    <row r="313" customFormat="false" ht="16.5" hidden="false" customHeight="false" outlineLevel="0" collapsed="false">
      <c r="A313" s="56" t="n">
        <v>45847.7083333333</v>
      </c>
      <c r="B313" s="57" t="n">
        <f aca="false">MOD(A313,1)</f>
        <v>0.708333333343035</v>
      </c>
      <c r="C313" s="0" t="n">
        <v>0</v>
      </c>
      <c r="D313" s="0" t="n">
        <v>489.572</v>
      </c>
      <c r="E313" s="0" t="n">
        <f aca="false">D313-0.155</f>
        <v>489.417</v>
      </c>
      <c r="F313" s="0" t="n">
        <v>489.545</v>
      </c>
      <c r="G313" s="0" t="n">
        <f aca="false">IF(E313 - F313 &lt; 0, 0, E313 - F313)</f>
        <v>0</v>
      </c>
      <c r="H313" s="0" t="n">
        <v>1.82</v>
      </c>
      <c r="I313" s="0" t="n">
        <f aca="false">1.82*30*(G313^1.5)</f>
        <v>0</v>
      </c>
      <c r="J313" s="0" t="n">
        <f aca="false">I313*60</f>
        <v>0</v>
      </c>
      <c r="K313" s="0" t="n">
        <f aca="false">(I313*86400)/24</f>
        <v>0</v>
      </c>
    </row>
    <row r="314" customFormat="false" ht="16.5" hidden="false" customHeight="false" outlineLevel="0" collapsed="false">
      <c r="A314" s="56" t="n">
        <v>45847.75</v>
      </c>
      <c r="B314" s="57" t="n">
        <f aca="false">MOD(A314,1)</f>
        <v>0.75</v>
      </c>
      <c r="C314" s="0" t="n">
        <v>0</v>
      </c>
      <c r="D314" s="0" t="n">
        <v>489.572</v>
      </c>
      <c r="E314" s="0" t="n">
        <f aca="false">D314-0.155</f>
        <v>489.417</v>
      </c>
      <c r="F314" s="0" t="n">
        <v>489.545</v>
      </c>
      <c r="G314" s="0" t="n">
        <f aca="false">IF(E314 - F314 &lt; 0, 0, E314 - F314)</f>
        <v>0</v>
      </c>
      <c r="H314" s="0" t="n">
        <v>1.82</v>
      </c>
      <c r="I314" s="0" t="n">
        <f aca="false">1.82*30*(G314^1.5)</f>
        <v>0</v>
      </c>
      <c r="J314" s="0" t="n">
        <f aca="false">I314*60</f>
        <v>0</v>
      </c>
      <c r="K314" s="0" t="n">
        <f aca="false">(I314*86400)/24</f>
        <v>0</v>
      </c>
    </row>
    <row r="315" customFormat="false" ht="16.5" hidden="false" customHeight="false" outlineLevel="0" collapsed="false">
      <c r="A315" s="56" t="n">
        <v>45847.7916666667</v>
      </c>
      <c r="B315" s="57" t="n">
        <f aca="false">MOD(A315,1)</f>
        <v>0.791666666656965</v>
      </c>
      <c r="C315" s="0" t="n">
        <v>0</v>
      </c>
      <c r="D315" s="0" t="n">
        <v>489.572</v>
      </c>
      <c r="E315" s="0" t="n">
        <f aca="false">D315-0.155</f>
        <v>489.417</v>
      </c>
      <c r="F315" s="0" t="n">
        <v>489.545</v>
      </c>
      <c r="G315" s="0" t="n">
        <f aca="false">IF(E315 - F315 &lt; 0, 0, E315 - F315)</f>
        <v>0</v>
      </c>
      <c r="H315" s="0" t="n">
        <v>1.82</v>
      </c>
      <c r="I315" s="0" t="n">
        <f aca="false">1.82*30*(G315^1.5)</f>
        <v>0</v>
      </c>
      <c r="J315" s="0" t="n">
        <f aca="false">I315*60</f>
        <v>0</v>
      </c>
      <c r="K315" s="0" t="n">
        <f aca="false">(I315*86400)/24</f>
        <v>0</v>
      </c>
    </row>
    <row r="316" customFormat="false" ht="16.5" hidden="false" customHeight="false" outlineLevel="0" collapsed="false">
      <c r="A316" s="56" t="n">
        <v>45847.8333333333</v>
      </c>
      <c r="B316" s="57" t="n">
        <f aca="false">MOD(A316,1)</f>
        <v>0.833333333343035</v>
      </c>
      <c r="C316" s="0" t="n">
        <v>0.2</v>
      </c>
      <c r="D316" s="0" t="n">
        <v>489.573</v>
      </c>
      <c r="E316" s="0" t="n">
        <f aca="false">D316-0.155</f>
        <v>489.418</v>
      </c>
      <c r="F316" s="0" t="n">
        <v>489.545</v>
      </c>
      <c r="G316" s="0" t="n">
        <f aca="false">IF(E316 - F316 &lt; 0, 0, E316 - F316)</f>
        <v>0</v>
      </c>
      <c r="H316" s="0" t="n">
        <v>1.82</v>
      </c>
      <c r="I316" s="0" t="n">
        <f aca="false">1.82*30*(G316^1.5)</f>
        <v>0</v>
      </c>
      <c r="J316" s="0" t="n">
        <f aca="false">I316*60</f>
        <v>0</v>
      </c>
      <c r="K316" s="0" t="n">
        <f aca="false">(I316*86400)/24</f>
        <v>0</v>
      </c>
    </row>
    <row r="317" customFormat="false" ht="16.5" hidden="false" customHeight="false" outlineLevel="0" collapsed="false">
      <c r="A317" s="56" t="n">
        <v>45847.875</v>
      </c>
      <c r="B317" s="57" t="n">
        <f aca="false">MOD(A317,1)</f>
        <v>0.875</v>
      </c>
      <c r="C317" s="0" t="n">
        <v>3.4</v>
      </c>
      <c r="D317" s="0" t="n">
        <v>489.579</v>
      </c>
      <c r="E317" s="0" t="n">
        <f aca="false">D317-0.155</f>
        <v>489.424</v>
      </c>
      <c r="F317" s="0" t="n">
        <v>489.545</v>
      </c>
      <c r="G317" s="0" t="n">
        <f aca="false">IF(E317 - F317 &lt; 0, 0, E317 - F317)</f>
        <v>0</v>
      </c>
      <c r="H317" s="0" t="n">
        <v>1.82</v>
      </c>
      <c r="I317" s="0" t="n">
        <f aca="false">1.82*30*(G317^1.5)</f>
        <v>0</v>
      </c>
      <c r="J317" s="0" t="n">
        <f aca="false">I317*60</f>
        <v>0</v>
      </c>
      <c r="K317" s="0" t="n">
        <f aca="false">(I317*86400)/24</f>
        <v>0</v>
      </c>
    </row>
    <row r="318" customFormat="false" ht="16.5" hidden="false" customHeight="false" outlineLevel="0" collapsed="false">
      <c r="A318" s="56" t="n">
        <v>45847.9166666667</v>
      </c>
      <c r="B318" s="57" t="n">
        <f aca="false">MOD(A318,1)</f>
        <v>0.916666666656965</v>
      </c>
      <c r="C318" s="0" t="n">
        <v>0</v>
      </c>
      <c r="D318" s="0" t="n">
        <v>489.579</v>
      </c>
      <c r="E318" s="0" t="n">
        <f aca="false">D318-0.155</f>
        <v>489.424</v>
      </c>
      <c r="F318" s="0" t="n">
        <v>489.545</v>
      </c>
      <c r="G318" s="0" t="n">
        <f aca="false">IF(E318 - F318 &lt; 0, 0, E318 - F318)</f>
        <v>0</v>
      </c>
      <c r="H318" s="0" t="n">
        <v>1.82</v>
      </c>
      <c r="I318" s="0" t="n">
        <f aca="false">1.82*30*(G318^1.5)</f>
        <v>0</v>
      </c>
      <c r="J318" s="0" t="n">
        <f aca="false">I318*60</f>
        <v>0</v>
      </c>
      <c r="K318" s="0" t="n">
        <f aca="false">(I318*86400)/24</f>
        <v>0</v>
      </c>
    </row>
    <row r="319" customFormat="false" ht="16.5" hidden="false" customHeight="false" outlineLevel="0" collapsed="false">
      <c r="A319" s="56" t="n">
        <v>45847.9583333333</v>
      </c>
      <c r="B319" s="57" t="n">
        <f aca="false">MOD(A319,1)</f>
        <v>0.958333333343035</v>
      </c>
      <c r="C319" s="0" t="n">
        <v>0</v>
      </c>
      <c r="D319" s="0" t="n">
        <v>489.579</v>
      </c>
      <c r="E319" s="0" t="n">
        <f aca="false">D319-0.155</f>
        <v>489.424</v>
      </c>
      <c r="F319" s="0" t="n">
        <v>489.545</v>
      </c>
      <c r="G319" s="0" t="n">
        <f aca="false">IF(E319 - F319 &lt; 0, 0, E319 - F319)</f>
        <v>0</v>
      </c>
      <c r="H319" s="0" t="n">
        <v>1.82</v>
      </c>
      <c r="I319" s="0" t="n">
        <f aca="false">1.82*30*(G319^1.5)</f>
        <v>0</v>
      </c>
      <c r="J319" s="0" t="n">
        <f aca="false">I319*60</f>
        <v>0</v>
      </c>
      <c r="K319" s="0" t="n">
        <f aca="false">(I319*86400)/24</f>
        <v>0</v>
      </c>
    </row>
    <row r="320" customFormat="false" ht="16.5" hidden="false" customHeight="false" outlineLevel="0" collapsed="false">
      <c r="A320" s="56" t="n">
        <v>45848</v>
      </c>
      <c r="B320" s="57" t="n">
        <f aca="false">MOD(A320,1)</f>
        <v>0</v>
      </c>
      <c r="C320" s="0" t="n">
        <v>0</v>
      </c>
      <c r="D320" s="0" t="n">
        <v>489.573</v>
      </c>
      <c r="E320" s="0" t="n">
        <f aca="false">D320-0.155</f>
        <v>489.418</v>
      </c>
      <c r="F320" s="0" t="n">
        <v>489.545</v>
      </c>
      <c r="G320" s="0" t="n">
        <f aca="false">IF(E320 - F320 &lt; 0, 0, E320 - F320)</f>
        <v>0</v>
      </c>
      <c r="H320" s="0" t="n">
        <v>1.82</v>
      </c>
      <c r="I320" s="0" t="n">
        <f aca="false">1.82*30*(G320^1.5)</f>
        <v>0</v>
      </c>
      <c r="J320" s="0" t="n">
        <f aca="false">I320*60</f>
        <v>0</v>
      </c>
      <c r="K320" s="0" t="n">
        <f aca="false">(I320*86400)/24</f>
        <v>0</v>
      </c>
    </row>
    <row r="321" customFormat="false" ht="16.5" hidden="false" customHeight="false" outlineLevel="0" collapsed="false">
      <c r="A321" s="56" t="n">
        <v>45848.0416666667</v>
      </c>
      <c r="B321" s="57" t="n">
        <f aca="false">MOD(A321,1)</f>
        <v>0.0416666666569654</v>
      </c>
      <c r="C321" s="0" t="n">
        <v>0</v>
      </c>
      <c r="D321" s="0" t="n">
        <v>489.573</v>
      </c>
      <c r="E321" s="0" t="n">
        <f aca="false">D321-0.155</f>
        <v>489.418</v>
      </c>
      <c r="F321" s="0" t="n">
        <v>489.545</v>
      </c>
      <c r="G321" s="0" t="n">
        <f aca="false">IF(E321 - F321 &lt; 0, 0, E321 - F321)</f>
        <v>0</v>
      </c>
      <c r="H321" s="0" t="n">
        <v>1.82</v>
      </c>
      <c r="I321" s="0" t="n">
        <f aca="false">1.82*30*(G321^1.5)</f>
        <v>0</v>
      </c>
      <c r="J321" s="0" t="n">
        <f aca="false">I321*60</f>
        <v>0</v>
      </c>
      <c r="K321" s="0" t="n">
        <f aca="false">(I321*86400)/24</f>
        <v>0</v>
      </c>
    </row>
    <row r="322" customFormat="false" ht="16.5" hidden="false" customHeight="false" outlineLevel="0" collapsed="false">
      <c r="A322" s="56" t="n">
        <v>45848.0833333333</v>
      </c>
      <c r="B322" s="57" t="n">
        <f aca="false">MOD(A322,1)</f>
        <v>0.0833333333430346</v>
      </c>
      <c r="C322" s="0" t="n">
        <v>0</v>
      </c>
      <c r="D322" s="0" t="n">
        <v>489.573</v>
      </c>
      <c r="E322" s="0" t="n">
        <f aca="false">D322-0.155</f>
        <v>489.418</v>
      </c>
      <c r="F322" s="0" t="n">
        <v>489.545</v>
      </c>
      <c r="G322" s="0" t="n">
        <f aca="false">IF(E322 - F322 &lt; 0, 0, E322 - F322)</f>
        <v>0</v>
      </c>
      <c r="H322" s="0" t="n">
        <v>1.82</v>
      </c>
      <c r="I322" s="0" t="n">
        <f aca="false">1.82*30*(G322^1.5)</f>
        <v>0</v>
      </c>
      <c r="J322" s="0" t="n">
        <f aca="false">I322*60</f>
        <v>0</v>
      </c>
      <c r="K322" s="0" t="n">
        <f aca="false">(I322*86400)/24</f>
        <v>0</v>
      </c>
    </row>
    <row r="323" customFormat="false" ht="16.5" hidden="false" customHeight="false" outlineLevel="0" collapsed="false">
      <c r="A323" s="56" t="n">
        <v>45848.125</v>
      </c>
      <c r="B323" s="57" t="n">
        <f aca="false">MOD(A323,1)</f>
        <v>0.125</v>
      </c>
      <c r="C323" s="0" t="n">
        <v>0</v>
      </c>
      <c r="D323" s="0" t="n">
        <v>489.573</v>
      </c>
      <c r="E323" s="0" t="n">
        <f aca="false">D323-0.155</f>
        <v>489.418</v>
      </c>
      <c r="F323" s="0" t="n">
        <v>489.545</v>
      </c>
      <c r="G323" s="0" t="n">
        <f aca="false">IF(E323 - F323 &lt; 0, 0, E323 - F323)</f>
        <v>0</v>
      </c>
      <c r="H323" s="0" t="n">
        <v>1.82</v>
      </c>
      <c r="I323" s="0" t="n">
        <f aca="false">1.82*30*(G323^1.5)</f>
        <v>0</v>
      </c>
      <c r="J323" s="0" t="n">
        <f aca="false">I323*60</f>
        <v>0</v>
      </c>
      <c r="K323" s="0" t="n">
        <f aca="false">(I323*86400)/24</f>
        <v>0</v>
      </c>
    </row>
    <row r="324" customFormat="false" ht="16.5" hidden="false" customHeight="false" outlineLevel="0" collapsed="false">
      <c r="A324" s="56" t="n">
        <v>45848.1666666667</v>
      </c>
      <c r="B324" s="57" t="n">
        <f aca="false">MOD(A324,1)</f>
        <v>0.166666666656965</v>
      </c>
      <c r="C324" s="0" t="n">
        <v>0</v>
      </c>
      <c r="D324" s="0" t="n">
        <v>489.573</v>
      </c>
      <c r="E324" s="0" t="n">
        <f aca="false">D324-0.155</f>
        <v>489.418</v>
      </c>
      <c r="F324" s="0" t="n">
        <v>489.545</v>
      </c>
      <c r="G324" s="0" t="n">
        <f aca="false">IF(E324 - F324 &lt; 0, 0, E324 - F324)</f>
        <v>0</v>
      </c>
      <c r="H324" s="0" t="n">
        <v>1.82</v>
      </c>
      <c r="I324" s="0" t="n">
        <f aca="false">1.82*30*(G324^1.5)</f>
        <v>0</v>
      </c>
      <c r="J324" s="0" t="n">
        <f aca="false">I324*60</f>
        <v>0</v>
      </c>
      <c r="K324" s="0" t="n">
        <f aca="false">(I324*86400)/24</f>
        <v>0</v>
      </c>
    </row>
    <row r="325" customFormat="false" ht="16.5" hidden="false" customHeight="false" outlineLevel="0" collapsed="false">
      <c r="A325" s="56" t="n">
        <v>45848.2083333333</v>
      </c>
      <c r="B325" s="57" t="n">
        <f aca="false">MOD(A325,1)</f>
        <v>0.208333333343035</v>
      </c>
      <c r="C325" s="0" t="n">
        <v>0</v>
      </c>
      <c r="D325" s="0" t="n">
        <v>489.573</v>
      </c>
      <c r="E325" s="0" t="n">
        <f aca="false">D325-0.155</f>
        <v>489.418</v>
      </c>
      <c r="F325" s="0" t="n">
        <v>489.545</v>
      </c>
      <c r="G325" s="0" t="n">
        <f aca="false">IF(E325 - F325 &lt; 0, 0, E325 - F325)</f>
        <v>0</v>
      </c>
      <c r="H325" s="0" t="n">
        <v>1.82</v>
      </c>
      <c r="I325" s="0" t="n">
        <f aca="false">1.82*30*(G325^1.5)</f>
        <v>0</v>
      </c>
      <c r="J325" s="0" t="n">
        <f aca="false">I325*60</f>
        <v>0</v>
      </c>
      <c r="K325" s="0" t="n">
        <f aca="false">(I325*86400)/24</f>
        <v>0</v>
      </c>
    </row>
    <row r="326" customFormat="false" ht="16.5" hidden="false" customHeight="false" outlineLevel="0" collapsed="false">
      <c r="A326" s="56" t="n">
        <v>45848.25</v>
      </c>
      <c r="B326" s="57" t="n">
        <f aca="false">MOD(A326,1)</f>
        <v>0.25</v>
      </c>
      <c r="C326" s="0" t="n">
        <v>0</v>
      </c>
      <c r="D326" s="0" t="n">
        <v>489.573</v>
      </c>
      <c r="E326" s="0" t="n">
        <f aca="false">D326-0.155</f>
        <v>489.418</v>
      </c>
      <c r="F326" s="0" t="n">
        <v>489.545</v>
      </c>
      <c r="G326" s="0" t="n">
        <f aca="false">IF(E326 - F326 &lt; 0, 0, E326 - F326)</f>
        <v>0</v>
      </c>
      <c r="H326" s="0" t="n">
        <v>1.82</v>
      </c>
      <c r="I326" s="0" t="n">
        <f aca="false">1.82*30*(G326^1.5)</f>
        <v>0</v>
      </c>
      <c r="J326" s="0" t="n">
        <f aca="false">I326*60</f>
        <v>0</v>
      </c>
      <c r="K326" s="0" t="n">
        <f aca="false">(I326*86400)/24</f>
        <v>0</v>
      </c>
    </row>
    <row r="327" customFormat="false" ht="16.5" hidden="false" customHeight="false" outlineLevel="0" collapsed="false">
      <c r="A327" s="56" t="n">
        <v>45848.2916666667</v>
      </c>
      <c r="B327" s="57" t="n">
        <f aca="false">MOD(A327,1)</f>
        <v>0.291666666656965</v>
      </c>
      <c r="C327" s="0" t="n">
        <v>0</v>
      </c>
      <c r="D327" s="0" t="n">
        <v>489.573</v>
      </c>
      <c r="E327" s="0" t="n">
        <f aca="false">D327-0.155</f>
        <v>489.418</v>
      </c>
      <c r="F327" s="0" t="n">
        <v>489.545</v>
      </c>
      <c r="G327" s="0" t="n">
        <f aca="false">IF(E327 - F327 &lt; 0, 0, E327 - F327)</f>
        <v>0</v>
      </c>
      <c r="H327" s="0" t="n">
        <v>1.82</v>
      </c>
      <c r="I327" s="0" t="n">
        <f aca="false">1.82*30*(G327^1.5)</f>
        <v>0</v>
      </c>
      <c r="J327" s="0" t="n">
        <f aca="false">I327*60</f>
        <v>0</v>
      </c>
      <c r="K327" s="0" t="n">
        <f aca="false">(I327*86400)/24</f>
        <v>0</v>
      </c>
    </row>
    <row r="328" customFormat="false" ht="16.5" hidden="false" customHeight="false" outlineLevel="0" collapsed="false">
      <c r="A328" s="56" t="n">
        <v>45848.3333333333</v>
      </c>
      <c r="B328" s="57" t="n">
        <f aca="false">MOD(A328,1)</f>
        <v>0.333333333343035</v>
      </c>
      <c r="C328" s="0" t="n">
        <v>0</v>
      </c>
      <c r="D328" s="0" t="n">
        <v>489.566</v>
      </c>
      <c r="E328" s="0" t="n">
        <f aca="false">D328-0.155</f>
        <v>489.411</v>
      </c>
      <c r="F328" s="0" t="n">
        <v>489.545</v>
      </c>
      <c r="G328" s="0" t="n">
        <f aca="false">IF(E328 - F328 &lt; 0, 0, E328 - F328)</f>
        <v>0</v>
      </c>
      <c r="H328" s="0" t="n">
        <v>1.82</v>
      </c>
      <c r="I328" s="0" t="n">
        <f aca="false">1.82*30*(G328^1.5)</f>
        <v>0</v>
      </c>
      <c r="J328" s="0" t="n">
        <f aca="false">I328*60</f>
        <v>0</v>
      </c>
      <c r="K328" s="0" t="n">
        <f aca="false">(I328*86400)/24</f>
        <v>0</v>
      </c>
    </row>
    <row r="329" customFormat="false" ht="16.5" hidden="false" customHeight="false" outlineLevel="0" collapsed="false">
      <c r="A329" s="56" t="n">
        <v>45848.375</v>
      </c>
      <c r="B329" s="57" t="n">
        <f aca="false">MOD(A329,1)</f>
        <v>0.375</v>
      </c>
      <c r="C329" s="0" t="n">
        <v>0</v>
      </c>
      <c r="D329" s="0" t="n">
        <v>489.566</v>
      </c>
      <c r="E329" s="0" t="n">
        <f aca="false">D329-0.155</f>
        <v>489.411</v>
      </c>
      <c r="F329" s="0" t="n">
        <v>489.545</v>
      </c>
      <c r="G329" s="0" t="n">
        <f aca="false">IF(E329 - F329 &lt; 0, 0, E329 - F329)</f>
        <v>0</v>
      </c>
      <c r="H329" s="0" t="n">
        <v>1.82</v>
      </c>
      <c r="I329" s="0" t="n">
        <f aca="false">1.82*30*(G329^1.5)</f>
        <v>0</v>
      </c>
      <c r="J329" s="0" t="n">
        <f aca="false">I329*60</f>
        <v>0</v>
      </c>
      <c r="K329" s="0" t="n">
        <f aca="false">(I329*86400)/24</f>
        <v>0</v>
      </c>
    </row>
    <row r="330" customFormat="false" ht="16.5" hidden="false" customHeight="false" outlineLevel="0" collapsed="false">
      <c r="A330" s="56" t="n">
        <v>45848.4166666667</v>
      </c>
      <c r="B330" s="57" t="n">
        <f aca="false">MOD(A330,1)</f>
        <v>0.416666666656965</v>
      </c>
      <c r="C330" s="0" t="n">
        <v>0</v>
      </c>
      <c r="D330" s="0" t="n">
        <v>489.565</v>
      </c>
      <c r="E330" s="0" t="n">
        <f aca="false">D330-0.155</f>
        <v>489.41</v>
      </c>
      <c r="F330" s="0" t="n">
        <v>489.545</v>
      </c>
      <c r="G330" s="0" t="n">
        <f aca="false">IF(E330 - F330 &lt; 0, 0, E330 - F330)</f>
        <v>0</v>
      </c>
      <c r="H330" s="0" t="n">
        <v>1.82</v>
      </c>
      <c r="I330" s="0" t="n">
        <f aca="false">1.82*30*(G330^1.5)</f>
        <v>0</v>
      </c>
      <c r="J330" s="0" t="n">
        <f aca="false">I330*60</f>
        <v>0</v>
      </c>
      <c r="K330" s="0" t="n">
        <f aca="false">(I330*86400)/24</f>
        <v>0</v>
      </c>
    </row>
    <row r="331" customFormat="false" ht="16.5" hidden="false" customHeight="false" outlineLevel="0" collapsed="false">
      <c r="A331" s="56" t="n">
        <v>45848.4583333333</v>
      </c>
      <c r="B331" s="57" t="n">
        <f aca="false">MOD(A331,1)</f>
        <v>0.458333333343035</v>
      </c>
      <c r="C331" s="0" t="n">
        <v>0</v>
      </c>
      <c r="D331" s="0" t="n">
        <v>489.566</v>
      </c>
      <c r="E331" s="0" t="n">
        <f aca="false">D331-0.155</f>
        <v>489.411</v>
      </c>
      <c r="F331" s="0" t="n">
        <v>489.545</v>
      </c>
      <c r="G331" s="0" t="n">
        <f aca="false">IF(E331 - F331 &lt; 0, 0, E331 - F331)</f>
        <v>0</v>
      </c>
      <c r="H331" s="0" t="n">
        <v>1.82</v>
      </c>
      <c r="I331" s="0" t="n">
        <f aca="false">1.82*30*(G331^1.5)</f>
        <v>0</v>
      </c>
      <c r="J331" s="0" t="n">
        <f aca="false">I331*60</f>
        <v>0</v>
      </c>
      <c r="K331" s="0" t="n">
        <f aca="false">(I331*86400)/24</f>
        <v>0</v>
      </c>
    </row>
    <row r="332" customFormat="false" ht="16.5" hidden="false" customHeight="false" outlineLevel="0" collapsed="false">
      <c r="A332" s="56" t="n">
        <v>45848.5</v>
      </c>
      <c r="B332" s="57" t="n">
        <f aca="false">MOD(A332,1)</f>
        <v>0.5</v>
      </c>
      <c r="C332" s="0" t="n">
        <v>0</v>
      </c>
      <c r="D332" s="0" t="n">
        <v>489.565</v>
      </c>
      <c r="E332" s="0" t="n">
        <f aca="false">D332-0.155</f>
        <v>489.41</v>
      </c>
      <c r="F332" s="0" t="n">
        <v>489.545</v>
      </c>
      <c r="G332" s="0" t="n">
        <f aca="false">IF(E332 - F332 &lt; 0, 0, E332 - F332)</f>
        <v>0</v>
      </c>
      <c r="H332" s="0" t="n">
        <v>1.82</v>
      </c>
      <c r="I332" s="0" t="n">
        <f aca="false">1.82*30*(G332^1.5)</f>
        <v>0</v>
      </c>
      <c r="J332" s="0" t="n">
        <f aca="false">I332*60</f>
        <v>0</v>
      </c>
      <c r="K332" s="0" t="n">
        <f aca="false">(I332*86400)/24</f>
        <v>0</v>
      </c>
    </row>
    <row r="333" customFormat="false" ht="16.5" hidden="false" customHeight="false" outlineLevel="0" collapsed="false">
      <c r="A333" s="56" t="n">
        <v>45848.5416666667</v>
      </c>
      <c r="B333" s="57" t="n">
        <f aca="false">MOD(A333,1)</f>
        <v>0.541666666656965</v>
      </c>
      <c r="C333" s="0" t="n">
        <v>0</v>
      </c>
      <c r="D333" s="0" t="n">
        <v>489.56</v>
      </c>
      <c r="E333" s="0" t="n">
        <f aca="false">D333-0.155</f>
        <v>489.405</v>
      </c>
      <c r="F333" s="0" t="n">
        <v>489.545</v>
      </c>
      <c r="G333" s="0" t="n">
        <f aca="false">IF(E333 - F333 &lt; 0, 0, E333 - F333)</f>
        <v>0</v>
      </c>
      <c r="H333" s="0" t="n">
        <v>1.82</v>
      </c>
      <c r="I333" s="0" t="n">
        <f aca="false">1.82*30*(G333^1.5)</f>
        <v>0</v>
      </c>
      <c r="J333" s="0" t="n">
        <f aca="false">I333*60</f>
        <v>0</v>
      </c>
      <c r="K333" s="0" t="n">
        <f aca="false">(I333*86400)/24</f>
        <v>0</v>
      </c>
    </row>
    <row r="334" customFormat="false" ht="16.5" hidden="false" customHeight="false" outlineLevel="0" collapsed="false">
      <c r="A334" s="56" t="n">
        <v>45848.5833333333</v>
      </c>
      <c r="B334" s="57" t="n">
        <f aca="false">MOD(A334,1)</f>
        <v>0.583333333343035</v>
      </c>
      <c r="C334" s="0" t="n">
        <v>0</v>
      </c>
      <c r="D334" s="0" t="n">
        <v>489.566</v>
      </c>
      <c r="E334" s="0" t="n">
        <f aca="false">D334-0.155</f>
        <v>489.411</v>
      </c>
      <c r="F334" s="0" t="n">
        <v>489.545</v>
      </c>
      <c r="G334" s="0" t="n">
        <f aca="false">IF(E334 - F334 &lt; 0, 0, E334 - F334)</f>
        <v>0</v>
      </c>
      <c r="H334" s="0" t="n">
        <v>1.82</v>
      </c>
      <c r="I334" s="0" t="n">
        <f aca="false">1.82*30*(G334^1.5)</f>
        <v>0</v>
      </c>
      <c r="J334" s="0" t="n">
        <f aca="false">I334*60</f>
        <v>0</v>
      </c>
      <c r="K334" s="0" t="n">
        <f aca="false">(I334*86400)/24</f>
        <v>0</v>
      </c>
    </row>
    <row r="335" customFormat="false" ht="16.5" hidden="false" customHeight="false" outlineLevel="0" collapsed="false">
      <c r="A335" s="56" t="n">
        <v>45848.625</v>
      </c>
      <c r="B335" s="57" t="n">
        <f aca="false">MOD(A335,1)</f>
        <v>0.625</v>
      </c>
      <c r="C335" s="0" t="n">
        <v>0</v>
      </c>
      <c r="D335" s="0" t="n">
        <v>489.56</v>
      </c>
      <c r="E335" s="0" t="n">
        <f aca="false">D335-0.155</f>
        <v>489.405</v>
      </c>
      <c r="F335" s="0" t="n">
        <v>489.545</v>
      </c>
      <c r="G335" s="0" t="n">
        <f aca="false">IF(E335 - F335 &lt; 0, 0, E335 - F335)</f>
        <v>0</v>
      </c>
      <c r="H335" s="0" t="n">
        <v>1.82</v>
      </c>
      <c r="I335" s="0" t="n">
        <f aca="false">1.82*30*(G335^1.5)</f>
        <v>0</v>
      </c>
      <c r="J335" s="0" t="n">
        <f aca="false">I335*60</f>
        <v>0</v>
      </c>
      <c r="K335" s="0" t="n">
        <f aca="false">(I335*86400)/24</f>
        <v>0</v>
      </c>
    </row>
    <row r="336" customFormat="false" ht="16.5" hidden="false" customHeight="false" outlineLevel="0" collapsed="false">
      <c r="A336" s="56" t="n">
        <v>45848.6666666667</v>
      </c>
      <c r="B336" s="57" t="n">
        <f aca="false">MOD(A336,1)</f>
        <v>0.666666666656965</v>
      </c>
      <c r="C336" s="0" t="n">
        <v>0</v>
      </c>
      <c r="D336" s="0" t="n">
        <v>489.56</v>
      </c>
      <c r="E336" s="0" t="n">
        <f aca="false">D336-0.155</f>
        <v>489.405</v>
      </c>
      <c r="F336" s="0" t="n">
        <v>489.545</v>
      </c>
      <c r="G336" s="0" t="n">
        <f aca="false">IF(E336 - F336 &lt; 0, 0, E336 - F336)</f>
        <v>0</v>
      </c>
      <c r="H336" s="0" t="n">
        <v>1.82</v>
      </c>
      <c r="I336" s="0" t="n">
        <f aca="false">1.82*30*(G336^1.5)</f>
        <v>0</v>
      </c>
      <c r="J336" s="0" t="n">
        <f aca="false">I336*60</f>
        <v>0</v>
      </c>
      <c r="K336" s="0" t="n">
        <f aca="false">(I336*86400)/24</f>
        <v>0</v>
      </c>
    </row>
    <row r="337" customFormat="false" ht="16.5" hidden="false" customHeight="false" outlineLevel="0" collapsed="false">
      <c r="A337" s="56" t="n">
        <v>45848.7083333333</v>
      </c>
      <c r="B337" s="57" t="n">
        <f aca="false">MOD(A337,1)</f>
        <v>0.708333333343035</v>
      </c>
      <c r="C337" s="0" t="n">
        <v>0</v>
      </c>
      <c r="D337" s="0" t="n">
        <v>489.56</v>
      </c>
      <c r="E337" s="0" t="n">
        <f aca="false">D337-0.155</f>
        <v>489.405</v>
      </c>
      <c r="F337" s="0" t="n">
        <v>489.545</v>
      </c>
      <c r="G337" s="0" t="n">
        <f aca="false">IF(E337 - F337 &lt; 0, 0, E337 - F337)</f>
        <v>0</v>
      </c>
      <c r="H337" s="0" t="n">
        <v>1.82</v>
      </c>
      <c r="I337" s="0" t="n">
        <f aca="false">1.82*30*(G337^1.5)</f>
        <v>0</v>
      </c>
      <c r="J337" s="0" t="n">
        <f aca="false">I337*60</f>
        <v>0</v>
      </c>
      <c r="K337" s="0" t="n">
        <f aca="false">(I337*86400)/24</f>
        <v>0</v>
      </c>
    </row>
    <row r="338" customFormat="false" ht="16.5" hidden="false" customHeight="false" outlineLevel="0" collapsed="false">
      <c r="A338" s="56" t="n">
        <v>45848.75</v>
      </c>
      <c r="B338" s="57" t="n">
        <f aca="false">MOD(A338,1)</f>
        <v>0.75</v>
      </c>
      <c r="C338" s="0" t="n">
        <v>0</v>
      </c>
      <c r="D338" s="0" t="n">
        <v>489.56</v>
      </c>
      <c r="E338" s="0" t="n">
        <f aca="false">D338-0.155</f>
        <v>489.405</v>
      </c>
      <c r="F338" s="0" t="n">
        <v>489.545</v>
      </c>
      <c r="G338" s="0" t="n">
        <f aca="false">IF(E338 - F338 &lt; 0, 0, E338 - F338)</f>
        <v>0</v>
      </c>
      <c r="H338" s="0" t="n">
        <v>1.82</v>
      </c>
      <c r="I338" s="0" t="n">
        <f aca="false">1.82*30*(G338^1.5)</f>
        <v>0</v>
      </c>
      <c r="J338" s="0" t="n">
        <f aca="false">I338*60</f>
        <v>0</v>
      </c>
      <c r="K338" s="0" t="n">
        <f aca="false">(I338*86400)/24</f>
        <v>0</v>
      </c>
    </row>
    <row r="339" customFormat="false" ht="16.5" hidden="false" customHeight="false" outlineLevel="0" collapsed="false">
      <c r="A339" s="56" t="n">
        <v>45848.7916666667</v>
      </c>
      <c r="B339" s="57" t="n">
        <f aca="false">MOD(A339,1)</f>
        <v>0.791666666656965</v>
      </c>
      <c r="C339" s="0" t="n">
        <v>0</v>
      </c>
      <c r="D339" s="0" t="n">
        <v>489.56</v>
      </c>
      <c r="E339" s="0" t="n">
        <f aca="false">D339-0.155</f>
        <v>489.405</v>
      </c>
      <c r="F339" s="0" t="n">
        <v>489.545</v>
      </c>
      <c r="G339" s="0" t="n">
        <f aca="false">IF(E339 - F339 &lt; 0, 0, E339 - F339)</f>
        <v>0</v>
      </c>
      <c r="H339" s="0" t="n">
        <v>1.82</v>
      </c>
      <c r="I339" s="0" t="n">
        <f aca="false">1.82*30*(G339^1.5)</f>
        <v>0</v>
      </c>
      <c r="J339" s="0" t="n">
        <f aca="false">I339*60</f>
        <v>0</v>
      </c>
      <c r="K339" s="0" t="n">
        <f aca="false">(I339*86400)/24</f>
        <v>0</v>
      </c>
    </row>
    <row r="340" customFormat="false" ht="16.5" hidden="false" customHeight="false" outlineLevel="0" collapsed="false">
      <c r="A340" s="56" t="n">
        <v>45848.8333333333</v>
      </c>
      <c r="B340" s="57" t="n">
        <f aca="false">MOD(A340,1)</f>
        <v>0.833333333343035</v>
      </c>
      <c r="C340" s="0" t="n">
        <v>0</v>
      </c>
      <c r="D340" s="0" t="n">
        <v>489.56</v>
      </c>
      <c r="E340" s="0" t="n">
        <f aca="false">D340-0.155</f>
        <v>489.405</v>
      </c>
      <c r="F340" s="0" t="n">
        <v>489.545</v>
      </c>
      <c r="G340" s="0" t="n">
        <f aca="false">IF(E340 - F340 &lt; 0, 0, E340 - F340)</f>
        <v>0</v>
      </c>
      <c r="H340" s="0" t="n">
        <v>1.82</v>
      </c>
      <c r="I340" s="0" t="n">
        <f aca="false">1.82*30*(G340^1.5)</f>
        <v>0</v>
      </c>
      <c r="J340" s="0" t="n">
        <f aca="false">I340*60</f>
        <v>0</v>
      </c>
      <c r="K340" s="0" t="n">
        <f aca="false">(I340*86400)/24</f>
        <v>0</v>
      </c>
    </row>
    <row r="341" customFormat="false" ht="16.5" hidden="false" customHeight="false" outlineLevel="0" collapsed="false">
      <c r="A341" s="56" t="n">
        <v>45848.875</v>
      </c>
      <c r="B341" s="57" t="n">
        <f aca="false">MOD(A341,1)</f>
        <v>0.875</v>
      </c>
      <c r="C341" s="0" t="n">
        <v>0</v>
      </c>
      <c r="D341" s="0" t="n">
        <v>489.553</v>
      </c>
      <c r="E341" s="0" t="n">
        <f aca="false">D341-0.155</f>
        <v>489.398</v>
      </c>
      <c r="F341" s="0" t="n">
        <v>489.545</v>
      </c>
      <c r="G341" s="0" t="n">
        <f aca="false">IF(E341 - F341 &lt; 0, 0, E341 - F341)</f>
        <v>0</v>
      </c>
      <c r="H341" s="0" t="n">
        <v>1.82</v>
      </c>
      <c r="I341" s="0" t="n">
        <f aca="false">1.82*30*(G341^1.5)</f>
        <v>0</v>
      </c>
      <c r="J341" s="0" t="n">
        <f aca="false">I341*60</f>
        <v>0</v>
      </c>
      <c r="K341" s="0" t="n">
        <f aca="false">(I341*86400)/24</f>
        <v>0</v>
      </c>
    </row>
    <row r="342" customFormat="false" ht="16.5" hidden="false" customHeight="false" outlineLevel="0" collapsed="false">
      <c r="A342" s="56" t="n">
        <v>45848.9166666667</v>
      </c>
      <c r="B342" s="57" t="n">
        <f aca="false">MOD(A342,1)</f>
        <v>0.916666666656965</v>
      </c>
      <c r="C342" s="0" t="n">
        <v>0</v>
      </c>
      <c r="D342" s="0" t="n">
        <v>489.553</v>
      </c>
      <c r="E342" s="0" t="n">
        <f aca="false">D342-0.155</f>
        <v>489.398</v>
      </c>
      <c r="F342" s="0" t="n">
        <v>489.545</v>
      </c>
      <c r="G342" s="0" t="n">
        <f aca="false">IF(E342 - F342 &lt; 0, 0, E342 - F342)</f>
        <v>0</v>
      </c>
      <c r="H342" s="0" t="n">
        <v>1.82</v>
      </c>
      <c r="I342" s="0" t="n">
        <f aca="false">1.82*30*(G342^1.5)</f>
        <v>0</v>
      </c>
      <c r="J342" s="0" t="n">
        <f aca="false">I342*60</f>
        <v>0</v>
      </c>
      <c r="K342" s="0" t="n">
        <f aca="false">(I342*86400)/24</f>
        <v>0</v>
      </c>
    </row>
    <row r="343" customFormat="false" ht="16.5" hidden="false" customHeight="false" outlineLevel="0" collapsed="false">
      <c r="A343" s="56" t="n">
        <v>45848.9583333333</v>
      </c>
      <c r="B343" s="57" t="n">
        <f aca="false">MOD(A343,1)</f>
        <v>0.958333333343035</v>
      </c>
      <c r="C343" s="0" t="n">
        <v>0</v>
      </c>
      <c r="D343" s="0" t="n">
        <v>489.553</v>
      </c>
      <c r="E343" s="0" t="n">
        <f aca="false">D343-0.155</f>
        <v>489.398</v>
      </c>
      <c r="F343" s="0" t="n">
        <v>489.545</v>
      </c>
      <c r="G343" s="0" t="n">
        <f aca="false">IF(E343 - F343 &lt; 0, 0, E343 - F343)</f>
        <v>0</v>
      </c>
      <c r="H343" s="0" t="n">
        <v>1.82</v>
      </c>
      <c r="I343" s="0" t="n">
        <f aca="false">1.82*30*(G343^1.5)</f>
        <v>0</v>
      </c>
      <c r="J343" s="0" t="n">
        <f aca="false">I343*60</f>
        <v>0</v>
      </c>
      <c r="K343" s="0" t="n">
        <f aca="false">(I343*86400)/24</f>
        <v>0</v>
      </c>
    </row>
    <row r="344" customFormat="false" ht="16.5" hidden="false" customHeight="false" outlineLevel="0" collapsed="false">
      <c r="A344" s="56" t="n">
        <v>45849</v>
      </c>
      <c r="B344" s="57" t="n">
        <f aca="false">MOD(A344,1)</f>
        <v>0</v>
      </c>
      <c r="C344" s="0" t="n">
        <v>0.2</v>
      </c>
      <c r="D344" s="0" t="n">
        <v>489.56</v>
      </c>
      <c r="E344" s="0" t="n">
        <f aca="false">D344-0.155</f>
        <v>489.405</v>
      </c>
      <c r="F344" s="0" t="n">
        <v>489.545</v>
      </c>
      <c r="G344" s="0" t="n">
        <f aca="false">IF(E344 - F344 &lt; 0, 0, E344 - F344)</f>
        <v>0</v>
      </c>
      <c r="H344" s="0" t="n">
        <v>1.82</v>
      </c>
      <c r="I344" s="0" t="n">
        <f aca="false">1.82*30*(G344^1.5)</f>
        <v>0</v>
      </c>
      <c r="J344" s="0" t="n">
        <f aca="false">I344*60</f>
        <v>0</v>
      </c>
      <c r="K344" s="0" t="n">
        <f aca="false">(I344*86400)/24</f>
        <v>0</v>
      </c>
    </row>
    <row r="345" customFormat="false" ht="16.5" hidden="false" customHeight="false" outlineLevel="0" collapsed="false">
      <c r="A345" s="56" t="n">
        <v>45849.0416666667</v>
      </c>
      <c r="B345" s="57" t="n">
        <f aca="false">MOD(A345,1)</f>
        <v>0.0416666666569654</v>
      </c>
      <c r="C345" s="0" t="n">
        <v>0</v>
      </c>
      <c r="D345" s="0" t="n">
        <v>489.553</v>
      </c>
      <c r="E345" s="0" t="n">
        <f aca="false">D345-0.155</f>
        <v>489.398</v>
      </c>
      <c r="F345" s="0" t="n">
        <v>489.545</v>
      </c>
      <c r="G345" s="0" t="n">
        <f aca="false">IF(E345 - F345 &lt; 0, 0, E345 - F345)</f>
        <v>0</v>
      </c>
      <c r="H345" s="0" t="n">
        <v>1.82</v>
      </c>
      <c r="I345" s="0" t="n">
        <f aca="false">1.82*30*(G345^1.5)</f>
        <v>0</v>
      </c>
      <c r="J345" s="0" t="n">
        <f aca="false">I345*60</f>
        <v>0</v>
      </c>
      <c r="K345" s="0" t="n">
        <f aca="false">(I345*86400)/24</f>
        <v>0</v>
      </c>
    </row>
    <row r="346" customFormat="false" ht="16.5" hidden="false" customHeight="false" outlineLevel="0" collapsed="false">
      <c r="A346" s="56" t="n">
        <v>45849.0833333333</v>
      </c>
      <c r="B346" s="57" t="n">
        <f aca="false">MOD(A346,1)</f>
        <v>0.0833333333430346</v>
      </c>
      <c r="C346" s="0" t="n">
        <v>0</v>
      </c>
      <c r="D346" s="0" t="n">
        <v>489.553</v>
      </c>
      <c r="E346" s="0" t="n">
        <f aca="false">D346-0.155</f>
        <v>489.398</v>
      </c>
      <c r="F346" s="0" t="n">
        <v>489.545</v>
      </c>
      <c r="G346" s="0" t="n">
        <f aca="false">IF(E346 - F346 &lt; 0, 0, E346 - F346)</f>
        <v>0</v>
      </c>
      <c r="H346" s="0" t="n">
        <v>1.82</v>
      </c>
      <c r="I346" s="0" t="n">
        <f aca="false">1.82*30*(G346^1.5)</f>
        <v>0</v>
      </c>
      <c r="J346" s="0" t="n">
        <f aca="false">I346*60</f>
        <v>0</v>
      </c>
      <c r="K346" s="0" t="n">
        <f aca="false">(I346*86400)/24</f>
        <v>0</v>
      </c>
    </row>
    <row r="347" customFormat="false" ht="16.5" hidden="false" customHeight="false" outlineLevel="0" collapsed="false">
      <c r="A347" s="56" t="n">
        <v>45849.125</v>
      </c>
      <c r="B347" s="57" t="n">
        <f aca="false">MOD(A347,1)</f>
        <v>0.125</v>
      </c>
      <c r="C347" s="0" t="n">
        <v>0</v>
      </c>
      <c r="D347" s="0" t="n">
        <v>489.553</v>
      </c>
      <c r="E347" s="0" t="n">
        <f aca="false">D347-0.155</f>
        <v>489.398</v>
      </c>
      <c r="F347" s="0" t="n">
        <v>489.545</v>
      </c>
      <c r="G347" s="0" t="n">
        <f aca="false">IF(E347 - F347 &lt; 0, 0, E347 - F347)</f>
        <v>0</v>
      </c>
      <c r="H347" s="0" t="n">
        <v>1.82</v>
      </c>
      <c r="I347" s="0" t="n">
        <f aca="false">1.82*30*(G347^1.5)</f>
        <v>0</v>
      </c>
      <c r="J347" s="0" t="n">
        <f aca="false">I347*60</f>
        <v>0</v>
      </c>
      <c r="K347" s="0" t="n">
        <f aca="false">(I347*86400)/24</f>
        <v>0</v>
      </c>
    </row>
    <row r="348" customFormat="false" ht="16.5" hidden="false" customHeight="false" outlineLevel="0" collapsed="false">
      <c r="A348" s="56" t="n">
        <v>45849.1666666667</v>
      </c>
      <c r="B348" s="57" t="n">
        <f aca="false">MOD(A348,1)</f>
        <v>0.166666666656965</v>
      </c>
      <c r="C348" s="0" t="n">
        <v>0</v>
      </c>
      <c r="D348" s="0" t="n">
        <v>489.547</v>
      </c>
      <c r="E348" s="0" t="n">
        <f aca="false">D348-0.155</f>
        <v>489.392</v>
      </c>
      <c r="F348" s="0" t="n">
        <v>489.545</v>
      </c>
      <c r="G348" s="0" t="n">
        <f aca="false">IF(E348 - F348 &lt; 0, 0, E348 - F348)</f>
        <v>0</v>
      </c>
      <c r="H348" s="0" t="n">
        <v>1.82</v>
      </c>
      <c r="I348" s="0" t="n">
        <f aca="false">1.82*30*(G348^1.5)</f>
        <v>0</v>
      </c>
      <c r="J348" s="0" t="n">
        <f aca="false">I348*60</f>
        <v>0</v>
      </c>
      <c r="K348" s="0" t="n">
        <f aca="false">(I348*86400)/24</f>
        <v>0</v>
      </c>
    </row>
    <row r="349" customFormat="false" ht="16.5" hidden="false" customHeight="false" outlineLevel="0" collapsed="false">
      <c r="A349" s="56" t="n">
        <v>45849.2083333333</v>
      </c>
      <c r="B349" s="57" t="n">
        <f aca="false">MOD(A349,1)</f>
        <v>0.208333333343035</v>
      </c>
      <c r="C349" s="0" t="n">
        <v>0</v>
      </c>
      <c r="D349" s="0" t="n">
        <v>489.547</v>
      </c>
      <c r="E349" s="0" t="n">
        <f aca="false">D349-0.155</f>
        <v>489.392</v>
      </c>
      <c r="F349" s="0" t="n">
        <v>489.545</v>
      </c>
      <c r="G349" s="0" t="n">
        <f aca="false">IF(E349 - F349 &lt; 0, 0, E349 - F349)</f>
        <v>0</v>
      </c>
      <c r="H349" s="0" t="n">
        <v>1.82</v>
      </c>
      <c r="I349" s="0" t="n">
        <f aca="false">1.82*30*(G349^1.5)</f>
        <v>0</v>
      </c>
      <c r="J349" s="0" t="n">
        <f aca="false">I349*60</f>
        <v>0</v>
      </c>
      <c r="K349" s="0" t="n">
        <f aca="false">(I349*86400)/24</f>
        <v>0</v>
      </c>
    </row>
    <row r="350" customFormat="false" ht="16.5" hidden="false" customHeight="false" outlineLevel="0" collapsed="false">
      <c r="A350" s="56" t="n">
        <v>45849.25</v>
      </c>
      <c r="B350" s="57" t="n">
        <f aca="false">MOD(A350,1)</f>
        <v>0.25</v>
      </c>
      <c r="C350" s="0" t="n">
        <v>0</v>
      </c>
      <c r="D350" s="0" t="n">
        <v>489.553</v>
      </c>
      <c r="E350" s="0" t="n">
        <f aca="false">D350-0.155</f>
        <v>489.398</v>
      </c>
      <c r="F350" s="0" t="n">
        <v>489.545</v>
      </c>
      <c r="G350" s="0" t="n">
        <f aca="false">IF(E350 - F350 &lt; 0, 0, E350 - F350)</f>
        <v>0</v>
      </c>
      <c r="H350" s="0" t="n">
        <v>1.82</v>
      </c>
      <c r="I350" s="0" t="n">
        <f aca="false">1.82*30*(G350^1.5)</f>
        <v>0</v>
      </c>
      <c r="J350" s="0" t="n">
        <f aca="false">I350*60</f>
        <v>0</v>
      </c>
      <c r="K350" s="0" t="n">
        <f aca="false">(I350*86400)/24</f>
        <v>0</v>
      </c>
    </row>
    <row r="351" customFormat="false" ht="16.5" hidden="false" customHeight="false" outlineLevel="0" collapsed="false">
      <c r="A351" s="56" t="n">
        <v>45849.2916666667</v>
      </c>
      <c r="B351" s="57" t="n">
        <f aca="false">MOD(A351,1)</f>
        <v>0.291666666656965</v>
      </c>
      <c r="C351" s="0" t="n">
        <v>0</v>
      </c>
      <c r="D351" s="0" t="n">
        <v>489.546</v>
      </c>
      <c r="E351" s="0" t="n">
        <f aca="false">D351-0.155</f>
        <v>489.391</v>
      </c>
      <c r="F351" s="0" t="n">
        <v>489.545</v>
      </c>
      <c r="G351" s="0" t="n">
        <f aca="false">IF(E351 - F351 &lt; 0, 0, E351 - F351)</f>
        <v>0</v>
      </c>
      <c r="H351" s="0" t="n">
        <v>1.82</v>
      </c>
      <c r="I351" s="0" t="n">
        <f aca="false">1.82*30*(G351^1.5)</f>
        <v>0</v>
      </c>
      <c r="J351" s="0" t="n">
        <f aca="false">I351*60</f>
        <v>0</v>
      </c>
      <c r="K351" s="0" t="n">
        <f aca="false">(I351*86400)/24</f>
        <v>0</v>
      </c>
    </row>
    <row r="352" customFormat="false" ht="16.5" hidden="false" customHeight="false" outlineLevel="0" collapsed="false">
      <c r="A352" s="56" t="n">
        <v>45849.3333333333</v>
      </c>
      <c r="B352" s="57" t="n">
        <f aca="false">MOD(A352,1)</f>
        <v>0.333333333343035</v>
      </c>
      <c r="C352" s="0" t="n">
        <v>0</v>
      </c>
      <c r="D352" s="0" t="n">
        <v>489.553</v>
      </c>
      <c r="E352" s="0" t="n">
        <f aca="false">D352-0.155</f>
        <v>489.398</v>
      </c>
      <c r="F352" s="0" t="n">
        <v>489.545</v>
      </c>
      <c r="G352" s="0" t="n">
        <f aca="false">IF(E352 - F352 &lt; 0, 0, E352 - F352)</f>
        <v>0</v>
      </c>
      <c r="H352" s="0" t="n">
        <v>1.82</v>
      </c>
      <c r="I352" s="0" t="n">
        <f aca="false">1.82*30*(G352^1.5)</f>
        <v>0</v>
      </c>
      <c r="J352" s="0" t="n">
        <f aca="false">I352*60</f>
        <v>0</v>
      </c>
      <c r="K352" s="0" t="n">
        <f aca="false">(I352*86400)/24</f>
        <v>0</v>
      </c>
    </row>
    <row r="353" customFormat="false" ht="16.5" hidden="false" customHeight="false" outlineLevel="0" collapsed="false">
      <c r="A353" s="56" t="n">
        <v>45849.375</v>
      </c>
      <c r="B353" s="57" t="n">
        <f aca="false">MOD(A353,1)</f>
        <v>0.375</v>
      </c>
      <c r="C353" s="0" t="n">
        <v>0</v>
      </c>
      <c r="D353" s="0" t="n">
        <v>489.546</v>
      </c>
      <c r="E353" s="0" t="n">
        <f aca="false">D353-0.155</f>
        <v>489.391</v>
      </c>
      <c r="F353" s="0" t="n">
        <v>489.545</v>
      </c>
      <c r="G353" s="0" t="n">
        <f aca="false">IF(E353 - F353 &lt; 0, 0, E353 - F353)</f>
        <v>0</v>
      </c>
      <c r="H353" s="0" t="n">
        <v>1.82</v>
      </c>
      <c r="I353" s="0" t="n">
        <f aca="false">1.82*30*(G353^1.5)</f>
        <v>0</v>
      </c>
      <c r="J353" s="0" t="n">
        <f aca="false">I353*60</f>
        <v>0</v>
      </c>
      <c r="K353" s="0" t="n">
        <f aca="false">(I353*86400)/24</f>
        <v>0</v>
      </c>
    </row>
    <row r="354" customFormat="false" ht="16.5" hidden="false" customHeight="false" outlineLevel="0" collapsed="false">
      <c r="A354" s="56" t="n">
        <v>45849.4166666667</v>
      </c>
      <c r="B354" s="57" t="n">
        <f aca="false">MOD(A354,1)</f>
        <v>0.416666666656965</v>
      </c>
      <c r="C354" s="0" t="n">
        <v>0</v>
      </c>
      <c r="D354" s="0" t="n">
        <v>489.546</v>
      </c>
      <c r="E354" s="0" t="n">
        <f aca="false">D354-0.155</f>
        <v>489.391</v>
      </c>
      <c r="F354" s="0" t="n">
        <v>489.545</v>
      </c>
      <c r="G354" s="0" t="n">
        <f aca="false">IF(E354 - F354 &lt; 0, 0, E354 - F354)</f>
        <v>0</v>
      </c>
      <c r="H354" s="0" t="n">
        <v>1.82</v>
      </c>
      <c r="I354" s="0" t="n">
        <f aca="false">1.82*30*(G354^1.5)</f>
        <v>0</v>
      </c>
      <c r="J354" s="0" t="n">
        <f aca="false">I354*60</f>
        <v>0</v>
      </c>
      <c r="K354" s="0" t="n">
        <f aca="false">(I354*86400)/24</f>
        <v>0</v>
      </c>
    </row>
    <row r="355" customFormat="false" ht="16.5" hidden="false" customHeight="false" outlineLevel="0" collapsed="false">
      <c r="A355" s="56" t="n">
        <v>45849.4583333333</v>
      </c>
      <c r="B355" s="57" t="n">
        <f aca="false">MOD(A355,1)</f>
        <v>0.458333333343035</v>
      </c>
      <c r="C355" s="0" t="n">
        <v>0</v>
      </c>
      <c r="D355" s="0" t="n">
        <v>489.546</v>
      </c>
      <c r="E355" s="0" t="n">
        <f aca="false">D355-0.155</f>
        <v>489.391</v>
      </c>
      <c r="F355" s="0" t="n">
        <v>489.545</v>
      </c>
      <c r="G355" s="0" t="n">
        <f aca="false">IF(E355 - F355 &lt; 0, 0, E355 - F355)</f>
        <v>0</v>
      </c>
      <c r="H355" s="0" t="n">
        <v>1.82</v>
      </c>
      <c r="I355" s="0" t="n">
        <f aca="false">1.82*30*(G355^1.5)</f>
        <v>0</v>
      </c>
      <c r="J355" s="0" t="n">
        <f aca="false">I355*60</f>
        <v>0</v>
      </c>
      <c r="K355" s="0" t="n">
        <f aca="false">(I355*86400)/24</f>
        <v>0</v>
      </c>
    </row>
    <row r="356" customFormat="false" ht="16.5" hidden="false" customHeight="false" outlineLevel="0" collapsed="false">
      <c r="A356" s="56" t="n">
        <v>45849.5</v>
      </c>
      <c r="B356" s="57" t="n">
        <f aca="false">MOD(A356,1)</f>
        <v>0.5</v>
      </c>
      <c r="C356" s="0" t="n">
        <v>0</v>
      </c>
      <c r="D356" s="0" t="n">
        <v>489.545</v>
      </c>
      <c r="E356" s="0" t="n">
        <f aca="false">D356-0.155</f>
        <v>489.39</v>
      </c>
      <c r="F356" s="0" t="n">
        <v>489.545</v>
      </c>
      <c r="G356" s="0" t="n">
        <f aca="false">IF(E356 - F356 &lt; 0, 0, E356 - F356)</f>
        <v>0</v>
      </c>
      <c r="H356" s="0" t="n">
        <v>1.82</v>
      </c>
      <c r="I356" s="0" t="n">
        <f aca="false">1.82*30*(G356^1.5)</f>
        <v>0</v>
      </c>
      <c r="J356" s="0" t="n">
        <f aca="false">I356*60</f>
        <v>0</v>
      </c>
      <c r="K356" s="0" t="n">
        <f aca="false">(I356*86400)/24</f>
        <v>0</v>
      </c>
    </row>
    <row r="357" customFormat="false" ht="16.5" hidden="false" customHeight="false" outlineLevel="0" collapsed="false">
      <c r="A357" s="56" t="n">
        <v>45849.5416666667</v>
      </c>
      <c r="B357" s="57" t="n">
        <f aca="false">MOD(A357,1)</f>
        <v>0.541666666656965</v>
      </c>
      <c r="C357" s="0" t="n">
        <v>0</v>
      </c>
      <c r="D357" s="0" t="n">
        <v>489.546</v>
      </c>
      <c r="E357" s="0" t="n">
        <f aca="false">D357-0.155</f>
        <v>489.391</v>
      </c>
      <c r="F357" s="0" t="n">
        <v>489.545</v>
      </c>
      <c r="G357" s="0" t="n">
        <f aca="false">IF(E357 - F357 &lt; 0, 0, E357 - F357)</f>
        <v>0</v>
      </c>
      <c r="H357" s="0" t="n">
        <v>1.82</v>
      </c>
      <c r="I357" s="0" t="n">
        <f aca="false">1.82*30*(G357^1.5)</f>
        <v>0</v>
      </c>
      <c r="J357" s="0" t="n">
        <f aca="false">I357*60</f>
        <v>0</v>
      </c>
      <c r="K357" s="0" t="n">
        <f aca="false">(I357*86400)/24</f>
        <v>0</v>
      </c>
    </row>
    <row r="358" customFormat="false" ht="16.5" hidden="false" customHeight="false" outlineLevel="0" collapsed="false">
      <c r="A358" s="56" t="n">
        <v>45849.5833333333</v>
      </c>
      <c r="B358" s="57" t="n">
        <f aca="false">MOD(A358,1)</f>
        <v>0.583333333343035</v>
      </c>
      <c r="C358" s="0" t="n">
        <v>0</v>
      </c>
      <c r="D358" s="0" t="n">
        <v>489.538</v>
      </c>
      <c r="E358" s="0" t="n">
        <f aca="false">D358-0.155</f>
        <v>489.383</v>
      </c>
      <c r="F358" s="0" t="n">
        <v>489.545</v>
      </c>
      <c r="G358" s="0" t="n">
        <f aca="false">IF(E358 - F358 &lt; 0, 0, E358 - F358)</f>
        <v>0</v>
      </c>
      <c r="H358" s="0" t="n">
        <v>1.82</v>
      </c>
      <c r="I358" s="0" t="n">
        <f aca="false">1.82*30*(G358^1.5)</f>
        <v>0</v>
      </c>
      <c r="J358" s="0" t="n">
        <f aca="false">I358*60</f>
        <v>0</v>
      </c>
      <c r="K358" s="0" t="n">
        <f aca="false">(I358*86400)/24</f>
        <v>0</v>
      </c>
    </row>
    <row r="359" customFormat="false" ht="16.5" hidden="false" customHeight="false" outlineLevel="0" collapsed="false">
      <c r="A359" s="56" t="n">
        <v>45849.625</v>
      </c>
      <c r="B359" s="57" t="n">
        <f aca="false">MOD(A359,1)</f>
        <v>0.625</v>
      </c>
      <c r="C359" s="0" t="n">
        <v>0</v>
      </c>
      <c r="D359" s="0" t="n">
        <v>489.539</v>
      </c>
      <c r="E359" s="0" t="n">
        <f aca="false">D359-0.155</f>
        <v>489.384</v>
      </c>
      <c r="F359" s="0" t="n">
        <v>489.545</v>
      </c>
      <c r="G359" s="0" t="n">
        <f aca="false">IF(E359 - F359 &lt; 0, 0, E359 - F359)</f>
        <v>0</v>
      </c>
      <c r="H359" s="0" t="n">
        <v>1.82</v>
      </c>
      <c r="I359" s="0" t="n">
        <f aca="false">1.82*30*(G359^1.5)</f>
        <v>0</v>
      </c>
      <c r="J359" s="0" t="n">
        <f aca="false">I359*60</f>
        <v>0</v>
      </c>
      <c r="K359" s="0" t="n">
        <f aca="false">(I359*86400)/24</f>
        <v>0</v>
      </c>
    </row>
    <row r="360" customFormat="false" ht="16.5" hidden="false" customHeight="false" outlineLevel="0" collapsed="false">
      <c r="A360" s="56" t="n">
        <v>45849.6666666667</v>
      </c>
      <c r="B360" s="57" t="n">
        <f aca="false">MOD(A360,1)</f>
        <v>0.666666666656965</v>
      </c>
      <c r="C360" s="0" t="n">
        <v>0</v>
      </c>
      <c r="D360" s="0" t="n">
        <v>489.539</v>
      </c>
      <c r="E360" s="0" t="n">
        <f aca="false">D360-0.155</f>
        <v>489.384</v>
      </c>
      <c r="F360" s="0" t="n">
        <v>489.545</v>
      </c>
      <c r="G360" s="0" t="n">
        <f aca="false">IF(E360 - F360 &lt; 0, 0, E360 - F360)</f>
        <v>0</v>
      </c>
      <c r="H360" s="0" t="n">
        <v>1.82</v>
      </c>
      <c r="I360" s="0" t="n">
        <f aca="false">1.82*30*(G360^1.5)</f>
        <v>0</v>
      </c>
      <c r="J360" s="0" t="n">
        <f aca="false">I360*60</f>
        <v>0</v>
      </c>
      <c r="K360" s="0" t="n">
        <f aca="false">(I360*86400)/24</f>
        <v>0</v>
      </c>
    </row>
    <row r="361" customFormat="false" ht="16.5" hidden="false" customHeight="false" outlineLevel="0" collapsed="false">
      <c r="A361" s="56" t="n">
        <v>45849.7083333333</v>
      </c>
      <c r="B361" s="57" t="n">
        <f aca="false">MOD(A361,1)</f>
        <v>0.708333333343035</v>
      </c>
      <c r="C361" s="0" t="n">
        <v>0</v>
      </c>
      <c r="D361" s="0" t="n">
        <v>489.546</v>
      </c>
      <c r="E361" s="0" t="n">
        <f aca="false">D361-0.155</f>
        <v>489.391</v>
      </c>
      <c r="F361" s="0" t="n">
        <v>489.545</v>
      </c>
      <c r="G361" s="0" t="n">
        <f aca="false">IF(E361 - F361 &lt; 0, 0, E361 - F361)</f>
        <v>0</v>
      </c>
      <c r="H361" s="0" t="n">
        <v>1.82</v>
      </c>
      <c r="I361" s="0" t="n">
        <f aca="false">1.82*30*(G361^1.5)</f>
        <v>0</v>
      </c>
      <c r="J361" s="0" t="n">
        <f aca="false">I361*60</f>
        <v>0</v>
      </c>
      <c r="K361" s="0" t="n">
        <f aca="false">(I361*86400)/24</f>
        <v>0</v>
      </c>
    </row>
    <row r="362" customFormat="false" ht="16.5" hidden="false" customHeight="false" outlineLevel="0" collapsed="false">
      <c r="A362" s="56" t="n">
        <v>45849.75</v>
      </c>
      <c r="B362" s="57" t="n">
        <f aca="false">MOD(A362,1)</f>
        <v>0.75</v>
      </c>
      <c r="C362" s="0" t="n">
        <v>0.4</v>
      </c>
      <c r="D362" s="0" t="n">
        <v>489.539</v>
      </c>
      <c r="E362" s="0" t="n">
        <f aca="false">D362-0.155</f>
        <v>489.384</v>
      </c>
      <c r="F362" s="0" t="n">
        <v>489.545</v>
      </c>
      <c r="G362" s="0" t="n">
        <f aca="false">IF(E362 - F362 &lt; 0, 0, E362 - F362)</f>
        <v>0</v>
      </c>
      <c r="H362" s="0" t="n">
        <v>1.82</v>
      </c>
      <c r="I362" s="0" t="n">
        <f aca="false">1.82*30*(G362^1.5)</f>
        <v>0</v>
      </c>
      <c r="J362" s="0" t="n">
        <f aca="false">I362*60</f>
        <v>0</v>
      </c>
      <c r="K362" s="0" t="n">
        <f aca="false">(I362*86400)/24</f>
        <v>0</v>
      </c>
    </row>
    <row r="363" customFormat="false" ht="16.5" hidden="false" customHeight="false" outlineLevel="0" collapsed="false">
      <c r="A363" s="56" t="n">
        <v>45849.7916666667</v>
      </c>
      <c r="B363" s="57" t="n">
        <f aca="false">MOD(A363,1)</f>
        <v>0.791666666656965</v>
      </c>
      <c r="C363" s="0" t="n">
        <v>1.6</v>
      </c>
      <c r="D363" s="0" t="n">
        <v>489.539</v>
      </c>
      <c r="E363" s="0" t="n">
        <f aca="false">D363-0.155</f>
        <v>489.384</v>
      </c>
      <c r="F363" s="0" t="n">
        <v>489.545</v>
      </c>
      <c r="G363" s="0" t="n">
        <f aca="false">IF(E363 - F363 &lt; 0, 0, E363 - F363)</f>
        <v>0</v>
      </c>
      <c r="H363" s="0" t="n">
        <v>1.82</v>
      </c>
      <c r="I363" s="0" t="n">
        <f aca="false">1.82*30*(G363^1.5)</f>
        <v>0</v>
      </c>
      <c r="J363" s="0" t="n">
        <f aca="false">I363*60</f>
        <v>0</v>
      </c>
      <c r="K363" s="0" t="n">
        <f aca="false">(I363*86400)/24</f>
        <v>0</v>
      </c>
    </row>
    <row r="364" customFormat="false" ht="16.5" hidden="false" customHeight="false" outlineLevel="0" collapsed="false">
      <c r="A364" s="56" t="n">
        <v>45849.8333333333</v>
      </c>
      <c r="B364" s="57" t="n">
        <f aca="false">MOD(A364,1)</f>
        <v>0.833333333343035</v>
      </c>
      <c r="C364" s="0" t="n">
        <v>0.8</v>
      </c>
      <c r="D364" s="0" t="n">
        <v>489.539</v>
      </c>
      <c r="E364" s="0" t="n">
        <f aca="false">D364-0.155</f>
        <v>489.384</v>
      </c>
      <c r="F364" s="0" t="n">
        <v>489.545</v>
      </c>
      <c r="G364" s="0" t="n">
        <f aca="false">IF(E364 - F364 &lt; 0, 0, E364 - F364)</f>
        <v>0</v>
      </c>
      <c r="H364" s="0" t="n">
        <v>1.82</v>
      </c>
      <c r="I364" s="0" t="n">
        <f aca="false">1.82*30*(G364^1.5)</f>
        <v>0</v>
      </c>
      <c r="J364" s="0" t="n">
        <f aca="false">I364*60</f>
        <v>0</v>
      </c>
      <c r="K364" s="0" t="n">
        <f aca="false">(I364*86400)/24</f>
        <v>0</v>
      </c>
    </row>
    <row r="365" customFormat="false" ht="16.5" hidden="false" customHeight="false" outlineLevel="0" collapsed="false">
      <c r="A365" s="56" t="n">
        <v>45849.875</v>
      </c>
      <c r="B365" s="57" t="n">
        <f aca="false">MOD(A365,1)</f>
        <v>0.875</v>
      </c>
      <c r="C365" s="0" t="n">
        <v>0.2</v>
      </c>
      <c r="D365" s="0" t="n">
        <v>489.547</v>
      </c>
      <c r="E365" s="0" t="n">
        <f aca="false">D365-0.155</f>
        <v>489.392</v>
      </c>
      <c r="F365" s="0" t="n">
        <v>489.545</v>
      </c>
      <c r="G365" s="0" t="n">
        <f aca="false">IF(E365 - F365 &lt; 0, 0, E365 - F365)</f>
        <v>0</v>
      </c>
      <c r="H365" s="0" t="n">
        <v>1.82</v>
      </c>
      <c r="I365" s="0" t="n">
        <f aca="false">1.82*30*(G365^1.5)</f>
        <v>0</v>
      </c>
      <c r="J365" s="0" t="n">
        <f aca="false">I365*60</f>
        <v>0</v>
      </c>
      <c r="K365" s="0" t="n">
        <f aca="false">(I365*86400)/24</f>
        <v>0</v>
      </c>
    </row>
    <row r="366" customFormat="false" ht="16.5" hidden="false" customHeight="false" outlineLevel="0" collapsed="false">
      <c r="A366" s="56" t="n">
        <v>45849.9166666667</v>
      </c>
      <c r="B366" s="57" t="n">
        <f aca="false">MOD(A366,1)</f>
        <v>0.916666666656965</v>
      </c>
      <c r="C366" s="0" t="n">
        <v>0</v>
      </c>
      <c r="D366" s="0" t="n">
        <v>489.54</v>
      </c>
      <c r="E366" s="0" t="n">
        <f aca="false">D366-0.155</f>
        <v>489.385</v>
      </c>
      <c r="F366" s="0" t="n">
        <v>489.545</v>
      </c>
      <c r="G366" s="0" t="n">
        <f aca="false">IF(E366 - F366 &lt; 0, 0, E366 - F366)</f>
        <v>0</v>
      </c>
      <c r="H366" s="0" t="n">
        <v>1.82</v>
      </c>
      <c r="I366" s="0" t="n">
        <f aca="false">1.82*30*(G366^1.5)</f>
        <v>0</v>
      </c>
      <c r="J366" s="0" t="n">
        <f aca="false">I366*60</f>
        <v>0</v>
      </c>
      <c r="K366" s="0" t="n">
        <f aca="false">(I366*86400)/24</f>
        <v>0</v>
      </c>
    </row>
    <row r="367" customFormat="false" ht="16.5" hidden="false" customHeight="false" outlineLevel="0" collapsed="false">
      <c r="A367" s="56" t="n">
        <v>45849.9583333333</v>
      </c>
      <c r="B367" s="57" t="n">
        <f aca="false">MOD(A367,1)</f>
        <v>0.958333333343035</v>
      </c>
      <c r="C367" s="0" t="n">
        <v>0</v>
      </c>
      <c r="D367" s="0" t="n">
        <v>489.539</v>
      </c>
      <c r="E367" s="0" t="n">
        <f aca="false">D367-0.155</f>
        <v>489.384</v>
      </c>
      <c r="F367" s="0" t="n">
        <v>489.545</v>
      </c>
      <c r="G367" s="0" t="n">
        <f aca="false">IF(E367 - F367 &lt; 0, 0, E367 - F367)</f>
        <v>0</v>
      </c>
      <c r="H367" s="0" t="n">
        <v>1.82</v>
      </c>
      <c r="I367" s="0" t="n">
        <f aca="false">1.82*30*(G367^1.5)</f>
        <v>0</v>
      </c>
      <c r="J367" s="0" t="n">
        <f aca="false">I367*60</f>
        <v>0</v>
      </c>
      <c r="K367" s="0" t="n">
        <f aca="false">(I367*86400)/24</f>
        <v>0</v>
      </c>
    </row>
    <row r="368" customFormat="false" ht="16.5" hidden="false" customHeight="false" outlineLevel="0" collapsed="false">
      <c r="A368" s="56" t="n">
        <v>45850</v>
      </c>
      <c r="B368" s="57" t="n">
        <f aca="false">MOD(A368,1)</f>
        <v>0</v>
      </c>
      <c r="C368" s="0" t="n">
        <v>0</v>
      </c>
      <c r="D368" s="0" t="n">
        <v>489.54</v>
      </c>
      <c r="E368" s="0" t="n">
        <f aca="false">D368-0.155</f>
        <v>489.385</v>
      </c>
      <c r="F368" s="0" t="n">
        <v>489.545</v>
      </c>
      <c r="G368" s="0" t="n">
        <f aca="false">IF(E368 - F368 &lt; 0, 0, E368 - F368)</f>
        <v>0</v>
      </c>
      <c r="H368" s="0" t="n">
        <v>1.82</v>
      </c>
      <c r="I368" s="0" t="n">
        <f aca="false">1.82*30*(G368^1.5)</f>
        <v>0</v>
      </c>
      <c r="J368" s="0" t="n">
        <f aca="false">I368*60</f>
        <v>0</v>
      </c>
      <c r="K368" s="0" t="n">
        <f aca="false">(I368*86400)/24</f>
        <v>0</v>
      </c>
    </row>
    <row r="369" customFormat="false" ht="16.5" hidden="false" customHeight="false" outlineLevel="0" collapsed="false">
      <c r="A369" s="56" t="n">
        <v>45850.0416666667</v>
      </c>
      <c r="B369" s="57" t="n">
        <f aca="false">MOD(A369,1)</f>
        <v>0.0416666666569654</v>
      </c>
      <c r="C369" s="0" t="n">
        <v>0</v>
      </c>
      <c r="D369" s="0" t="n">
        <v>489.539</v>
      </c>
      <c r="E369" s="0" t="n">
        <f aca="false">D369-0.155</f>
        <v>489.384</v>
      </c>
      <c r="F369" s="0" t="n">
        <v>489.545</v>
      </c>
      <c r="G369" s="0" t="n">
        <f aca="false">IF(E369 - F369 &lt; 0, 0, E369 - F369)</f>
        <v>0</v>
      </c>
      <c r="H369" s="0" t="n">
        <v>1.82</v>
      </c>
      <c r="I369" s="0" t="n">
        <f aca="false">1.82*30*(G369^1.5)</f>
        <v>0</v>
      </c>
      <c r="J369" s="0" t="n">
        <f aca="false">I369*60</f>
        <v>0</v>
      </c>
      <c r="K369" s="0" t="n">
        <f aca="false">(I369*86400)/24</f>
        <v>0</v>
      </c>
    </row>
    <row r="370" customFormat="false" ht="16.5" hidden="false" customHeight="false" outlineLevel="0" collapsed="false">
      <c r="A370" s="56" t="n">
        <v>45850.0833333333</v>
      </c>
      <c r="B370" s="57" t="n">
        <f aca="false">MOD(A370,1)</f>
        <v>0.0833333333430346</v>
      </c>
      <c r="C370" s="0" t="n">
        <v>0</v>
      </c>
      <c r="D370" s="0" t="n">
        <v>489.54</v>
      </c>
      <c r="E370" s="0" t="n">
        <f aca="false">D370-0.155</f>
        <v>489.385</v>
      </c>
      <c r="F370" s="0" t="n">
        <v>489.545</v>
      </c>
      <c r="G370" s="0" t="n">
        <f aca="false">IF(E370 - F370 &lt; 0, 0, E370 - F370)</f>
        <v>0</v>
      </c>
      <c r="H370" s="0" t="n">
        <v>1.82</v>
      </c>
      <c r="I370" s="0" t="n">
        <f aca="false">1.82*30*(G370^1.5)</f>
        <v>0</v>
      </c>
      <c r="J370" s="0" t="n">
        <f aca="false">I370*60</f>
        <v>0</v>
      </c>
      <c r="K370" s="0" t="n">
        <f aca="false">(I370*86400)/24</f>
        <v>0</v>
      </c>
    </row>
    <row r="371" customFormat="false" ht="16.5" hidden="false" customHeight="false" outlineLevel="0" collapsed="false">
      <c r="A371" s="56" t="n">
        <v>45850.125</v>
      </c>
      <c r="B371" s="57" t="n">
        <f aca="false">MOD(A371,1)</f>
        <v>0.125</v>
      </c>
      <c r="C371" s="0" t="n">
        <v>0</v>
      </c>
      <c r="D371" s="0" t="n">
        <v>489.533</v>
      </c>
      <c r="E371" s="0" t="n">
        <f aca="false">D371-0.155</f>
        <v>489.378</v>
      </c>
      <c r="F371" s="0" t="n">
        <v>489.545</v>
      </c>
      <c r="G371" s="0" t="n">
        <f aca="false">IF(E371 - F371 &lt; 0, 0, E371 - F371)</f>
        <v>0</v>
      </c>
      <c r="H371" s="0" t="n">
        <v>1.82</v>
      </c>
      <c r="I371" s="0" t="n">
        <f aca="false">1.82*30*(G371^1.5)</f>
        <v>0</v>
      </c>
      <c r="J371" s="0" t="n">
        <f aca="false">I371*60</f>
        <v>0</v>
      </c>
      <c r="K371" s="0" t="n">
        <f aca="false">(I371*86400)/24</f>
        <v>0</v>
      </c>
    </row>
    <row r="372" customFormat="false" ht="16.5" hidden="false" customHeight="false" outlineLevel="0" collapsed="false">
      <c r="A372" s="56" t="n">
        <v>45850.1666666667</v>
      </c>
      <c r="B372" s="57" t="n">
        <f aca="false">MOD(A372,1)</f>
        <v>0.166666666656965</v>
      </c>
      <c r="C372" s="0" t="n">
        <v>0</v>
      </c>
      <c r="D372" s="0" t="n">
        <v>489.533</v>
      </c>
      <c r="E372" s="0" t="n">
        <f aca="false">D372-0.155</f>
        <v>489.378</v>
      </c>
      <c r="F372" s="0" t="n">
        <v>489.545</v>
      </c>
      <c r="G372" s="0" t="n">
        <f aca="false">IF(E372 - F372 &lt; 0, 0, E372 - F372)</f>
        <v>0</v>
      </c>
      <c r="H372" s="0" t="n">
        <v>1.82</v>
      </c>
      <c r="I372" s="0" t="n">
        <f aca="false">1.82*30*(G372^1.5)</f>
        <v>0</v>
      </c>
      <c r="J372" s="0" t="n">
        <f aca="false">I372*60</f>
        <v>0</v>
      </c>
      <c r="K372" s="0" t="n">
        <f aca="false">(I372*86400)/24</f>
        <v>0</v>
      </c>
    </row>
    <row r="373" customFormat="false" ht="16.5" hidden="false" customHeight="false" outlineLevel="0" collapsed="false">
      <c r="A373" s="56" t="n">
        <v>45850.2083333333</v>
      </c>
      <c r="B373" s="57" t="n">
        <f aca="false">MOD(A373,1)</f>
        <v>0.208333333343035</v>
      </c>
      <c r="C373" s="0" t="n">
        <v>0</v>
      </c>
      <c r="D373" s="0" t="n">
        <v>489.533</v>
      </c>
      <c r="E373" s="0" t="n">
        <f aca="false">D373-0.155</f>
        <v>489.378</v>
      </c>
      <c r="F373" s="0" t="n">
        <v>489.545</v>
      </c>
      <c r="G373" s="0" t="n">
        <f aca="false">IF(E373 - F373 &lt; 0, 0, E373 - F373)</f>
        <v>0</v>
      </c>
      <c r="H373" s="0" t="n">
        <v>1.82</v>
      </c>
      <c r="I373" s="0" t="n">
        <f aca="false">1.82*30*(G373^1.5)</f>
        <v>0</v>
      </c>
      <c r="J373" s="0" t="n">
        <f aca="false">I373*60</f>
        <v>0</v>
      </c>
      <c r="K373" s="0" t="n">
        <f aca="false">(I373*86400)/24</f>
        <v>0</v>
      </c>
    </row>
    <row r="374" customFormat="false" ht="16.5" hidden="false" customHeight="false" outlineLevel="0" collapsed="false">
      <c r="A374" s="56" t="n">
        <v>45850.25</v>
      </c>
      <c r="B374" s="57" t="n">
        <f aca="false">MOD(A374,1)</f>
        <v>0.25</v>
      </c>
      <c r="C374" s="0" t="n">
        <v>0</v>
      </c>
      <c r="D374" s="0" t="n">
        <v>489.533</v>
      </c>
      <c r="E374" s="0" t="n">
        <f aca="false">D374-0.155</f>
        <v>489.378</v>
      </c>
      <c r="F374" s="0" t="n">
        <v>489.545</v>
      </c>
      <c r="G374" s="0" t="n">
        <f aca="false">IF(E374 - F374 &lt; 0, 0, E374 - F374)</f>
        <v>0</v>
      </c>
      <c r="H374" s="0" t="n">
        <v>1.82</v>
      </c>
      <c r="I374" s="0" t="n">
        <f aca="false">1.82*30*(G374^1.5)</f>
        <v>0</v>
      </c>
      <c r="J374" s="0" t="n">
        <f aca="false">I374*60</f>
        <v>0</v>
      </c>
      <c r="K374" s="0" t="n">
        <f aca="false">(I374*86400)/24</f>
        <v>0</v>
      </c>
    </row>
    <row r="375" customFormat="false" ht="16.5" hidden="false" customHeight="false" outlineLevel="0" collapsed="false">
      <c r="A375" s="56" t="n">
        <v>45850.2916666667</v>
      </c>
      <c r="B375" s="57" t="n">
        <f aca="false">MOD(A375,1)</f>
        <v>0.291666666656965</v>
      </c>
      <c r="C375" s="0" t="n">
        <v>2</v>
      </c>
      <c r="D375" s="0" t="n">
        <v>489.539</v>
      </c>
      <c r="E375" s="0" t="n">
        <f aca="false">D375-0.155</f>
        <v>489.384</v>
      </c>
      <c r="F375" s="0" t="n">
        <v>489.545</v>
      </c>
      <c r="G375" s="0" t="n">
        <f aca="false">IF(E375 - F375 &lt; 0, 0, E375 - F375)</f>
        <v>0</v>
      </c>
      <c r="H375" s="0" t="n">
        <v>1.82</v>
      </c>
      <c r="I375" s="0" t="n">
        <f aca="false">1.82*30*(G375^1.5)</f>
        <v>0</v>
      </c>
      <c r="J375" s="0" t="n">
        <f aca="false">I375*60</f>
        <v>0</v>
      </c>
      <c r="K375" s="0" t="n">
        <f aca="false">(I375*86400)/24</f>
        <v>0</v>
      </c>
    </row>
    <row r="376" customFormat="false" ht="16.5" hidden="false" customHeight="false" outlineLevel="0" collapsed="false">
      <c r="A376" s="56" t="n">
        <v>45850.3333333333</v>
      </c>
      <c r="B376" s="57" t="n">
        <f aca="false">MOD(A376,1)</f>
        <v>0.333333333343035</v>
      </c>
      <c r="C376" s="0" t="n">
        <v>1</v>
      </c>
      <c r="D376" s="0" t="n">
        <v>489.553</v>
      </c>
      <c r="E376" s="0" t="n">
        <f aca="false">D376-0.155</f>
        <v>489.398</v>
      </c>
      <c r="F376" s="0" t="n">
        <v>489.545</v>
      </c>
      <c r="G376" s="0" t="n">
        <f aca="false">IF(E376 - F376 &lt; 0, 0, E376 - F376)</f>
        <v>0</v>
      </c>
      <c r="H376" s="0" t="n">
        <v>1.82</v>
      </c>
      <c r="I376" s="0" t="n">
        <f aca="false">1.82*30*(G376^1.5)</f>
        <v>0</v>
      </c>
      <c r="J376" s="0" t="n">
        <f aca="false">I376*60</f>
        <v>0</v>
      </c>
      <c r="K376" s="0" t="n">
        <f aca="false">(I376*86400)/24</f>
        <v>0</v>
      </c>
    </row>
    <row r="377" customFormat="false" ht="16.5" hidden="false" customHeight="false" outlineLevel="0" collapsed="false">
      <c r="A377" s="56" t="n">
        <v>45850.375</v>
      </c>
      <c r="B377" s="57" t="n">
        <f aca="false">MOD(A377,1)</f>
        <v>0.375</v>
      </c>
      <c r="C377" s="0" t="n">
        <v>0</v>
      </c>
      <c r="D377" s="0" t="n">
        <v>489.553</v>
      </c>
      <c r="E377" s="0" t="n">
        <f aca="false">D377-0.155</f>
        <v>489.398</v>
      </c>
      <c r="F377" s="0" t="n">
        <v>489.545</v>
      </c>
      <c r="G377" s="0" t="n">
        <f aca="false">IF(E377 - F377 &lt; 0, 0, E377 - F377)</f>
        <v>0</v>
      </c>
      <c r="H377" s="0" t="n">
        <v>1.82</v>
      </c>
      <c r="I377" s="0" t="n">
        <f aca="false">1.82*30*(G377^1.5)</f>
        <v>0</v>
      </c>
      <c r="J377" s="0" t="n">
        <f aca="false">I377*60</f>
        <v>0</v>
      </c>
      <c r="K377" s="0" t="n">
        <f aca="false">(I377*86400)/24</f>
        <v>0</v>
      </c>
    </row>
    <row r="378" customFormat="false" ht="16.5" hidden="false" customHeight="false" outlineLevel="0" collapsed="false">
      <c r="A378" s="56" t="n">
        <v>45850.4166666667</v>
      </c>
      <c r="B378" s="57" t="n">
        <f aca="false">MOD(A378,1)</f>
        <v>0.416666666656965</v>
      </c>
      <c r="C378" s="0" t="n">
        <v>0</v>
      </c>
      <c r="D378" s="0" t="n">
        <v>489.56</v>
      </c>
      <c r="E378" s="0" t="n">
        <f aca="false">D378-0.155</f>
        <v>489.405</v>
      </c>
      <c r="F378" s="0" t="n">
        <v>489.545</v>
      </c>
      <c r="G378" s="0" t="n">
        <f aca="false">IF(E378 - F378 &lt; 0, 0, E378 - F378)</f>
        <v>0</v>
      </c>
      <c r="H378" s="0" t="n">
        <v>1.82</v>
      </c>
      <c r="I378" s="0" t="n">
        <f aca="false">1.82*30*(G378^1.5)</f>
        <v>0</v>
      </c>
      <c r="J378" s="0" t="n">
        <f aca="false">I378*60</f>
        <v>0</v>
      </c>
      <c r="K378" s="0" t="n">
        <f aca="false">(I378*86400)/24</f>
        <v>0</v>
      </c>
    </row>
    <row r="379" customFormat="false" ht="16.5" hidden="false" customHeight="false" outlineLevel="0" collapsed="false">
      <c r="A379" s="56" t="n">
        <v>45850.4583333333</v>
      </c>
      <c r="B379" s="57" t="n">
        <f aca="false">MOD(A379,1)</f>
        <v>0.458333333343035</v>
      </c>
      <c r="C379" s="0" t="n">
        <v>0</v>
      </c>
      <c r="D379" s="0" t="n">
        <v>489.56</v>
      </c>
      <c r="E379" s="0" t="n">
        <f aca="false">D379-0.155</f>
        <v>489.405</v>
      </c>
      <c r="F379" s="0" t="n">
        <v>489.545</v>
      </c>
      <c r="G379" s="0" t="n">
        <f aca="false">IF(E379 - F379 &lt; 0, 0, E379 - F379)</f>
        <v>0</v>
      </c>
      <c r="H379" s="0" t="n">
        <v>1.82</v>
      </c>
      <c r="I379" s="0" t="n">
        <f aca="false">1.82*30*(G379^1.5)</f>
        <v>0</v>
      </c>
      <c r="J379" s="0" t="n">
        <f aca="false">I379*60</f>
        <v>0</v>
      </c>
      <c r="K379" s="0" t="n">
        <f aca="false">(I379*86400)/24</f>
        <v>0</v>
      </c>
    </row>
    <row r="380" customFormat="false" ht="16.5" hidden="false" customHeight="false" outlineLevel="0" collapsed="false">
      <c r="A380" s="56" t="n">
        <v>45850.5</v>
      </c>
      <c r="B380" s="57" t="n">
        <f aca="false">MOD(A380,1)</f>
        <v>0.5</v>
      </c>
      <c r="C380" s="0" t="n">
        <v>0.8</v>
      </c>
      <c r="D380" s="0" t="n">
        <v>489.56</v>
      </c>
      <c r="E380" s="0" t="n">
        <f aca="false">D380-0.155</f>
        <v>489.405</v>
      </c>
      <c r="F380" s="0" t="n">
        <v>489.545</v>
      </c>
      <c r="G380" s="0" t="n">
        <f aca="false">IF(E380 - F380 &lt; 0, 0, E380 - F380)</f>
        <v>0</v>
      </c>
      <c r="H380" s="0" t="n">
        <v>1.82</v>
      </c>
      <c r="I380" s="0" t="n">
        <f aca="false">1.82*30*(G380^1.5)</f>
        <v>0</v>
      </c>
      <c r="J380" s="0" t="n">
        <f aca="false">I380*60</f>
        <v>0</v>
      </c>
      <c r="K380" s="0" t="n">
        <f aca="false">(I380*86400)/24</f>
        <v>0</v>
      </c>
    </row>
    <row r="381" customFormat="false" ht="16.5" hidden="false" customHeight="false" outlineLevel="0" collapsed="false">
      <c r="A381" s="56" t="n">
        <v>45850.5416666667</v>
      </c>
      <c r="B381" s="57" t="n">
        <f aca="false">MOD(A381,1)</f>
        <v>0.541666666656965</v>
      </c>
      <c r="C381" s="0" t="n">
        <v>0</v>
      </c>
      <c r="D381" s="0" t="n">
        <v>489.565</v>
      </c>
      <c r="E381" s="0" t="n">
        <f aca="false">D381-0.155</f>
        <v>489.41</v>
      </c>
      <c r="F381" s="0" t="n">
        <v>489.545</v>
      </c>
      <c r="G381" s="0" t="n">
        <f aca="false">IF(E381 - F381 &lt; 0, 0, E381 - F381)</f>
        <v>0</v>
      </c>
      <c r="H381" s="0" t="n">
        <v>1.82</v>
      </c>
      <c r="I381" s="0" t="n">
        <f aca="false">1.82*30*(G381^1.5)</f>
        <v>0</v>
      </c>
      <c r="J381" s="0" t="n">
        <f aca="false">I381*60</f>
        <v>0</v>
      </c>
      <c r="K381" s="0" t="n">
        <f aca="false">(I381*86400)/24</f>
        <v>0</v>
      </c>
    </row>
    <row r="382" customFormat="false" ht="16.5" hidden="false" customHeight="false" outlineLevel="0" collapsed="false">
      <c r="A382" s="56" t="n">
        <v>45850.5833333333</v>
      </c>
      <c r="B382" s="57" t="n">
        <f aca="false">MOD(A382,1)</f>
        <v>0.583333333343035</v>
      </c>
      <c r="C382" s="0" t="n">
        <v>2.2</v>
      </c>
      <c r="D382" s="0" t="n">
        <v>489.566</v>
      </c>
      <c r="E382" s="0" t="n">
        <f aca="false">D382-0.155</f>
        <v>489.411</v>
      </c>
      <c r="F382" s="0" t="n">
        <v>489.545</v>
      </c>
      <c r="G382" s="0" t="n">
        <f aca="false">IF(E382 - F382 &lt; 0, 0, E382 - F382)</f>
        <v>0</v>
      </c>
      <c r="H382" s="0" t="n">
        <v>1.82</v>
      </c>
      <c r="I382" s="0" t="n">
        <f aca="false">1.82*30*(G382^1.5)</f>
        <v>0</v>
      </c>
      <c r="J382" s="0" t="n">
        <f aca="false">I382*60</f>
        <v>0</v>
      </c>
      <c r="K382" s="0" t="n">
        <f aca="false">(I382*86400)/24</f>
        <v>0</v>
      </c>
    </row>
    <row r="383" customFormat="false" ht="16.5" hidden="false" customHeight="false" outlineLevel="0" collapsed="false">
      <c r="A383" s="56" t="n">
        <v>45850.625</v>
      </c>
      <c r="B383" s="57" t="n">
        <f aca="false">MOD(A383,1)</f>
        <v>0.625</v>
      </c>
      <c r="C383" s="0" t="n">
        <v>0.8</v>
      </c>
      <c r="D383" s="0" t="n">
        <v>489.573</v>
      </c>
      <c r="E383" s="0" t="n">
        <f aca="false">D383-0.155</f>
        <v>489.418</v>
      </c>
      <c r="F383" s="0" t="n">
        <v>489.545</v>
      </c>
      <c r="G383" s="0" t="n">
        <f aca="false">IF(E383 - F383 &lt; 0, 0, E383 - F383)</f>
        <v>0</v>
      </c>
      <c r="H383" s="0" t="n">
        <v>1.82</v>
      </c>
      <c r="I383" s="0" t="n">
        <f aca="false">1.82*30*(G383^1.5)</f>
        <v>0</v>
      </c>
      <c r="J383" s="0" t="n">
        <f aca="false">I383*60</f>
        <v>0</v>
      </c>
      <c r="K383" s="0" t="n">
        <f aca="false">(I383*86400)/24</f>
        <v>0</v>
      </c>
    </row>
    <row r="384" customFormat="false" ht="16.5" hidden="false" customHeight="false" outlineLevel="0" collapsed="false">
      <c r="A384" s="56" t="n">
        <v>45850.6666666667</v>
      </c>
      <c r="B384" s="57" t="n">
        <f aca="false">MOD(A384,1)</f>
        <v>0.666666666656965</v>
      </c>
      <c r="C384" s="0" t="n">
        <v>0</v>
      </c>
      <c r="D384" s="0" t="n">
        <v>489.579</v>
      </c>
      <c r="E384" s="0" t="n">
        <f aca="false">D384-0.155</f>
        <v>489.424</v>
      </c>
      <c r="F384" s="0" t="n">
        <v>489.545</v>
      </c>
      <c r="G384" s="0" t="n">
        <f aca="false">IF(E384 - F384 &lt; 0, 0, E384 - F384)</f>
        <v>0</v>
      </c>
      <c r="H384" s="0" t="n">
        <v>1.82</v>
      </c>
      <c r="I384" s="0" t="n">
        <f aca="false">1.82*30*(G384^1.5)</f>
        <v>0</v>
      </c>
      <c r="J384" s="0" t="n">
        <f aca="false">I384*60</f>
        <v>0</v>
      </c>
      <c r="K384" s="0" t="n">
        <f aca="false">(I384*86400)/24</f>
        <v>0</v>
      </c>
    </row>
    <row r="385" customFormat="false" ht="16.5" hidden="false" customHeight="false" outlineLevel="0" collapsed="false">
      <c r="A385" s="56" t="n">
        <v>45850.7083333333</v>
      </c>
      <c r="B385" s="57" t="n">
        <f aca="false">MOD(A385,1)</f>
        <v>0.708333333343035</v>
      </c>
      <c r="C385" s="0" t="n">
        <v>0</v>
      </c>
      <c r="D385" s="0" t="n">
        <v>489.579</v>
      </c>
      <c r="E385" s="0" t="n">
        <f aca="false">D385-0.155</f>
        <v>489.424</v>
      </c>
      <c r="F385" s="0" t="n">
        <v>489.545</v>
      </c>
      <c r="G385" s="0" t="n">
        <f aca="false">IF(E385 - F385 &lt; 0, 0, E385 - F385)</f>
        <v>0</v>
      </c>
      <c r="H385" s="0" t="n">
        <v>1.82</v>
      </c>
      <c r="I385" s="0" t="n">
        <f aca="false">1.82*30*(G385^1.5)</f>
        <v>0</v>
      </c>
      <c r="J385" s="0" t="n">
        <f aca="false">I385*60</f>
        <v>0</v>
      </c>
      <c r="K385" s="0" t="n">
        <f aca="false">(I385*86400)/24</f>
        <v>0</v>
      </c>
    </row>
    <row r="386" customFormat="false" ht="16.5" hidden="false" customHeight="false" outlineLevel="0" collapsed="false">
      <c r="A386" s="56" t="n">
        <v>45850.75</v>
      </c>
      <c r="B386" s="57" t="n">
        <f aca="false">MOD(A386,1)</f>
        <v>0.75</v>
      </c>
      <c r="C386" s="0" t="n">
        <v>0</v>
      </c>
      <c r="D386" s="0" t="n">
        <v>489.579</v>
      </c>
      <c r="E386" s="0" t="n">
        <f aca="false">D386-0.155</f>
        <v>489.424</v>
      </c>
      <c r="F386" s="0" t="n">
        <v>489.545</v>
      </c>
      <c r="G386" s="0" t="n">
        <f aca="false">IF(E386 - F386 &lt; 0, 0, E386 - F386)</f>
        <v>0</v>
      </c>
      <c r="H386" s="0" t="n">
        <v>1.82</v>
      </c>
      <c r="I386" s="0" t="n">
        <f aca="false">1.82*30*(G386^1.5)</f>
        <v>0</v>
      </c>
      <c r="J386" s="0" t="n">
        <f aca="false">I386*60</f>
        <v>0</v>
      </c>
      <c r="K386" s="0" t="n">
        <f aca="false">(I386*86400)/24</f>
        <v>0</v>
      </c>
    </row>
    <row r="387" customFormat="false" ht="16.5" hidden="false" customHeight="false" outlineLevel="0" collapsed="false">
      <c r="A387" s="56" t="n">
        <v>45850.7916666667</v>
      </c>
      <c r="B387" s="57" t="n">
        <f aca="false">MOD(A387,1)</f>
        <v>0.791666666656965</v>
      </c>
      <c r="C387" s="0" t="n">
        <v>0</v>
      </c>
      <c r="D387" s="0" t="n">
        <v>489.586</v>
      </c>
      <c r="E387" s="0" t="n">
        <f aca="false">D387-0.155</f>
        <v>489.431</v>
      </c>
      <c r="F387" s="0" t="n">
        <v>489.545</v>
      </c>
      <c r="G387" s="0" t="n">
        <f aca="false">IF(E387 - F387 &lt; 0, 0, E387 - F387)</f>
        <v>0</v>
      </c>
      <c r="H387" s="0" t="n">
        <v>1.82</v>
      </c>
      <c r="I387" s="0" t="n">
        <f aca="false">1.82*30*(G387^1.5)</f>
        <v>0</v>
      </c>
      <c r="J387" s="0" t="n">
        <f aca="false">I387*60</f>
        <v>0</v>
      </c>
      <c r="K387" s="0" t="n">
        <f aca="false">(I387*86400)/24</f>
        <v>0</v>
      </c>
    </row>
    <row r="388" customFormat="false" ht="16.5" hidden="false" customHeight="false" outlineLevel="0" collapsed="false">
      <c r="A388" s="56" t="n">
        <v>45850.8333333333</v>
      </c>
      <c r="B388" s="57" t="n">
        <f aca="false">MOD(A388,1)</f>
        <v>0.833333333343035</v>
      </c>
      <c r="C388" s="0" t="n">
        <v>0</v>
      </c>
      <c r="D388" s="0" t="n">
        <v>489.586</v>
      </c>
      <c r="E388" s="0" t="n">
        <f aca="false">D388-0.155</f>
        <v>489.431</v>
      </c>
      <c r="F388" s="0" t="n">
        <v>489.545</v>
      </c>
      <c r="G388" s="0" t="n">
        <f aca="false">IF(E388 - F388 &lt; 0, 0, E388 - F388)</f>
        <v>0</v>
      </c>
      <c r="H388" s="0" t="n">
        <v>1.82</v>
      </c>
      <c r="I388" s="0" t="n">
        <f aca="false">1.82*30*(G388^1.5)</f>
        <v>0</v>
      </c>
      <c r="J388" s="0" t="n">
        <f aca="false">I388*60</f>
        <v>0</v>
      </c>
      <c r="K388" s="0" t="n">
        <f aca="false">(I388*86400)/24</f>
        <v>0</v>
      </c>
    </row>
    <row r="389" customFormat="false" ht="16.5" hidden="false" customHeight="false" outlineLevel="0" collapsed="false">
      <c r="A389" s="56" t="n">
        <v>45850.875</v>
      </c>
      <c r="B389" s="57" t="n">
        <f aca="false">MOD(A389,1)</f>
        <v>0.875</v>
      </c>
      <c r="C389" s="0" t="n">
        <v>0</v>
      </c>
      <c r="D389" s="0" t="n">
        <v>489.586</v>
      </c>
      <c r="E389" s="0" t="n">
        <f aca="false">D389-0.155</f>
        <v>489.431</v>
      </c>
      <c r="F389" s="0" t="n">
        <v>489.545</v>
      </c>
      <c r="G389" s="0" t="n">
        <f aca="false">IF(E389 - F389 &lt; 0, 0, E389 - F389)</f>
        <v>0</v>
      </c>
      <c r="H389" s="0" t="n">
        <v>1.82</v>
      </c>
      <c r="I389" s="0" t="n">
        <f aca="false">1.82*30*(G389^1.5)</f>
        <v>0</v>
      </c>
      <c r="J389" s="0" t="n">
        <f aca="false">I389*60</f>
        <v>0</v>
      </c>
      <c r="K389" s="0" t="n">
        <f aca="false">(I389*86400)/24</f>
        <v>0</v>
      </c>
    </row>
    <row r="390" customFormat="false" ht="16.5" hidden="false" customHeight="false" outlineLevel="0" collapsed="false">
      <c r="A390" s="56" t="n">
        <v>45850.9166666667</v>
      </c>
      <c r="B390" s="57" t="n">
        <f aca="false">MOD(A390,1)</f>
        <v>0.916666666656965</v>
      </c>
      <c r="C390" s="0" t="n">
        <v>0</v>
      </c>
      <c r="D390" s="0" t="n">
        <v>489.586</v>
      </c>
      <c r="E390" s="0" t="n">
        <f aca="false">D390-0.155</f>
        <v>489.431</v>
      </c>
      <c r="F390" s="0" t="n">
        <v>489.545</v>
      </c>
      <c r="G390" s="0" t="n">
        <f aca="false">IF(E390 - F390 &lt; 0, 0, E390 - F390)</f>
        <v>0</v>
      </c>
      <c r="H390" s="0" t="n">
        <v>1.82</v>
      </c>
      <c r="I390" s="0" t="n">
        <f aca="false">1.82*30*(G390^1.5)</f>
        <v>0</v>
      </c>
      <c r="J390" s="0" t="n">
        <f aca="false">I390*60</f>
        <v>0</v>
      </c>
      <c r="K390" s="0" t="n">
        <f aca="false">(I390*86400)/24</f>
        <v>0</v>
      </c>
    </row>
    <row r="391" customFormat="false" ht="16.5" hidden="false" customHeight="false" outlineLevel="0" collapsed="false">
      <c r="A391" s="56" t="n">
        <v>45850.9583333333</v>
      </c>
      <c r="B391" s="57" t="n">
        <f aca="false">MOD(A391,1)</f>
        <v>0.958333333343035</v>
      </c>
      <c r="C391" s="0" t="n">
        <v>1</v>
      </c>
      <c r="D391" s="0" t="n">
        <v>489.586</v>
      </c>
      <c r="E391" s="0" t="n">
        <f aca="false">D391-0.155</f>
        <v>489.431</v>
      </c>
      <c r="F391" s="0" t="n">
        <v>489.545</v>
      </c>
      <c r="G391" s="0" t="n">
        <f aca="false">IF(E391 - F391 &lt; 0, 0, E391 - F391)</f>
        <v>0</v>
      </c>
      <c r="H391" s="0" t="n">
        <v>1.82</v>
      </c>
      <c r="I391" s="0" t="n">
        <f aca="false">1.82*30*(G391^1.5)</f>
        <v>0</v>
      </c>
      <c r="J391" s="0" t="n">
        <f aca="false">I391*60</f>
        <v>0</v>
      </c>
      <c r="K391" s="0" t="n">
        <f aca="false">(I391*86400)/24</f>
        <v>0</v>
      </c>
    </row>
    <row r="392" customFormat="false" ht="16.5" hidden="false" customHeight="false" outlineLevel="0" collapsed="false">
      <c r="A392" s="56" t="n">
        <v>45851</v>
      </c>
      <c r="B392" s="57" t="n">
        <f aca="false">MOD(A392,1)</f>
        <v>0</v>
      </c>
      <c r="C392" s="0" t="n">
        <v>0.2</v>
      </c>
      <c r="D392" s="0" t="n">
        <v>489.593</v>
      </c>
      <c r="E392" s="0" t="n">
        <f aca="false">D392-0.155</f>
        <v>489.438</v>
      </c>
      <c r="F392" s="0" t="n">
        <v>489.545</v>
      </c>
      <c r="G392" s="0" t="n">
        <f aca="false">IF(E392 - F392 &lt; 0, 0, E392 - F392)</f>
        <v>0</v>
      </c>
      <c r="H392" s="0" t="n">
        <v>1.82</v>
      </c>
      <c r="I392" s="0" t="n">
        <f aca="false">1.82*30*(G392^1.5)</f>
        <v>0</v>
      </c>
      <c r="J392" s="0" t="n">
        <f aca="false">I392*60</f>
        <v>0</v>
      </c>
      <c r="K392" s="0" t="n">
        <f aca="false">(I392*86400)/24</f>
        <v>0</v>
      </c>
    </row>
    <row r="393" customFormat="false" ht="16.5" hidden="false" customHeight="false" outlineLevel="0" collapsed="false">
      <c r="A393" s="56" t="n">
        <v>45851.0416666667</v>
      </c>
      <c r="B393" s="57" t="n">
        <f aca="false">MOD(A393,1)</f>
        <v>0.0416666666569654</v>
      </c>
      <c r="C393" s="0" t="n">
        <v>0.4</v>
      </c>
      <c r="D393" s="0" t="n">
        <v>489.592</v>
      </c>
      <c r="E393" s="0" t="n">
        <f aca="false">D393-0.155</f>
        <v>489.437</v>
      </c>
      <c r="F393" s="0" t="n">
        <v>489.545</v>
      </c>
      <c r="G393" s="0" t="n">
        <f aca="false">IF(E393 - F393 &lt; 0, 0, E393 - F393)</f>
        <v>0</v>
      </c>
      <c r="H393" s="0" t="n">
        <v>1.82</v>
      </c>
      <c r="I393" s="0" t="n">
        <f aca="false">1.82*30*(G393^1.5)</f>
        <v>0</v>
      </c>
      <c r="J393" s="0" t="n">
        <f aca="false">I393*60</f>
        <v>0</v>
      </c>
      <c r="K393" s="0" t="n">
        <f aca="false">(I393*86400)/24</f>
        <v>0</v>
      </c>
    </row>
    <row r="394" customFormat="false" ht="16.5" hidden="false" customHeight="false" outlineLevel="0" collapsed="false">
      <c r="A394" s="56" t="n">
        <v>45851.0833333333</v>
      </c>
      <c r="B394" s="57" t="n">
        <f aca="false">MOD(A394,1)</f>
        <v>0.0833333333430346</v>
      </c>
      <c r="C394" s="0" t="n">
        <v>0.2</v>
      </c>
      <c r="D394" s="0" t="n">
        <v>489.598</v>
      </c>
      <c r="E394" s="0" t="n">
        <f aca="false">D394-0.155</f>
        <v>489.443</v>
      </c>
      <c r="F394" s="0" t="n">
        <v>489.545</v>
      </c>
      <c r="G394" s="0" t="n">
        <f aca="false">IF(E394 - F394 &lt; 0, 0, E394 - F394)</f>
        <v>0</v>
      </c>
      <c r="H394" s="0" t="n">
        <v>1.82</v>
      </c>
      <c r="I394" s="0" t="n">
        <f aca="false">1.82*30*(G394^1.5)</f>
        <v>0</v>
      </c>
      <c r="J394" s="0" t="n">
        <f aca="false">I394*60</f>
        <v>0</v>
      </c>
      <c r="K394" s="0" t="n">
        <f aca="false">(I394*86400)/24</f>
        <v>0</v>
      </c>
    </row>
    <row r="395" customFormat="false" ht="16.5" hidden="false" customHeight="false" outlineLevel="0" collapsed="false">
      <c r="A395" s="56" t="n">
        <v>45851.125</v>
      </c>
      <c r="B395" s="57" t="n">
        <f aca="false">MOD(A395,1)</f>
        <v>0.125</v>
      </c>
      <c r="C395" s="0" t="n">
        <v>0</v>
      </c>
      <c r="D395" s="0" t="n">
        <v>489.598</v>
      </c>
      <c r="E395" s="0" t="n">
        <f aca="false">D395-0.155</f>
        <v>489.443</v>
      </c>
      <c r="F395" s="0" t="n">
        <v>489.545</v>
      </c>
      <c r="G395" s="0" t="n">
        <f aca="false">IF(E395 - F395 &lt; 0, 0, E395 - F395)</f>
        <v>0</v>
      </c>
      <c r="H395" s="0" t="n">
        <v>1.82</v>
      </c>
      <c r="I395" s="0" t="n">
        <f aca="false">1.82*30*(G395^1.5)</f>
        <v>0</v>
      </c>
      <c r="J395" s="0" t="n">
        <f aca="false">I395*60</f>
        <v>0</v>
      </c>
      <c r="K395" s="0" t="n">
        <f aca="false">(I395*86400)/24</f>
        <v>0</v>
      </c>
    </row>
    <row r="396" customFormat="false" ht="16.5" hidden="false" customHeight="false" outlineLevel="0" collapsed="false">
      <c r="A396" s="56" t="n">
        <v>45851.1666666667</v>
      </c>
      <c r="B396" s="57" t="n">
        <f aca="false">MOD(A396,1)</f>
        <v>0.166666666656965</v>
      </c>
      <c r="C396" s="0" t="n">
        <v>0</v>
      </c>
      <c r="D396" s="0" t="n">
        <v>489.598</v>
      </c>
      <c r="E396" s="0" t="n">
        <f aca="false">D396-0.155</f>
        <v>489.443</v>
      </c>
      <c r="F396" s="0" t="n">
        <v>489.545</v>
      </c>
      <c r="G396" s="0" t="n">
        <f aca="false">IF(E396 - F396 &lt; 0, 0, E396 - F396)</f>
        <v>0</v>
      </c>
      <c r="H396" s="0" t="n">
        <v>1.82</v>
      </c>
      <c r="I396" s="0" t="n">
        <f aca="false">1.82*30*(G396^1.5)</f>
        <v>0</v>
      </c>
      <c r="J396" s="0" t="n">
        <f aca="false">I396*60</f>
        <v>0</v>
      </c>
      <c r="K396" s="0" t="n">
        <f aca="false">(I396*86400)/24</f>
        <v>0</v>
      </c>
    </row>
    <row r="397" customFormat="false" ht="16.5" hidden="false" customHeight="false" outlineLevel="0" collapsed="false">
      <c r="A397" s="56" t="n">
        <v>45851.2083333333</v>
      </c>
      <c r="B397" s="57" t="n">
        <f aca="false">MOD(A397,1)</f>
        <v>0.208333333343035</v>
      </c>
      <c r="C397" s="0" t="n">
        <v>0</v>
      </c>
      <c r="D397" s="0" t="n">
        <v>489.598</v>
      </c>
      <c r="E397" s="0" t="n">
        <f aca="false">D397-0.155</f>
        <v>489.443</v>
      </c>
      <c r="F397" s="0" t="n">
        <v>489.545</v>
      </c>
      <c r="G397" s="0" t="n">
        <f aca="false">IF(E397 - F397 &lt; 0, 0, E397 - F397)</f>
        <v>0</v>
      </c>
      <c r="H397" s="0" t="n">
        <v>1.82</v>
      </c>
      <c r="I397" s="0" t="n">
        <f aca="false">1.82*30*(G397^1.5)</f>
        <v>0</v>
      </c>
      <c r="J397" s="0" t="n">
        <f aca="false">I397*60</f>
        <v>0</v>
      </c>
      <c r="K397" s="0" t="n">
        <f aca="false">(I397*86400)/24</f>
        <v>0</v>
      </c>
    </row>
    <row r="398" customFormat="false" ht="16.5" hidden="false" customHeight="false" outlineLevel="0" collapsed="false">
      <c r="A398" s="56" t="n">
        <v>45851.25</v>
      </c>
      <c r="B398" s="57" t="n">
        <f aca="false">MOD(A398,1)</f>
        <v>0.25</v>
      </c>
      <c r="C398" s="0" t="n">
        <v>0</v>
      </c>
      <c r="D398" s="0" t="n">
        <v>489.598</v>
      </c>
      <c r="E398" s="0" t="n">
        <f aca="false">D398-0.155</f>
        <v>489.443</v>
      </c>
      <c r="F398" s="0" t="n">
        <v>489.545</v>
      </c>
      <c r="G398" s="0" t="n">
        <f aca="false">IF(E398 - F398 &lt; 0, 0, E398 - F398)</f>
        <v>0</v>
      </c>
      <c r="H398" s="0" t="n">
        <v>1.82</v>
      </c>
      <c r="I398" s="0" t="n">
        <f aca="false">1.82*30*(G398^1.5)</f>
        <v>0</v>
      </c>
      <c r="J398" s="0" t="n">
        <f aca="false">I398*60</f>
        <v>0</v>
      </c>
      <c r="K398" s="0" t="n">
        <f aca="false">(I398*86400)/24</f>
        <v>0</v>
      </c>
    </row>
    <row r="399" customFormat="false" ht="16.5" hidden="false" customHeight="false" outlineLevel="0" collapsed="false">
      <c r="A399" s="56" t="n">
        <v>45851.2916666667</v>
      </c>
      <c r="B399" s="57" t="n">
        <f aca="false">MOD(A399,1)</f>
        <v>0.291666666656965</v>
      </c>
      <c r="C399" s="0" t="n">
        <v>0</v>
      </c>
      <c r="D399" s="0" t="n">
        <v>489.598</v>
      </c>
      <c r="E399" s="0" t="n">
        <f aca="false">D399-0.155</f>
        <v>489.443</v>
      </c>
      <c r="F399" s="0" t="n">
        <v>489.545</v>
      </c>
      <c r="G399" s="0" t="n">
        <f aca="false">IF(E399 - F399 &lt; 0, 0, E399 - F399)</f>
        <v>0</v>
      </c>
      <c r="H399" s="0" t="n">
        <v>1.82</v>
      </c>
      <c r="I399" s="0" t="n">
        <f aca="false">1.82*30*(G399^1.5)</f>
        <v>0</v>
      </c>
      <c r="J399" s="0" t="n">
        <f aca="false">I399*60</f>
        <v>0</v>
      </c>
      <c r="K399" s="0" t="n">
        <f aca="false">(I399*86400)/24</f>
        <v>0</v>
      </c>
    </row>
    <row r="400" customFormat="false" ht="16.5" hidden="false" customHeight="false" outlineLevel="0" collapsed="false">
      <c r="A400" s="56" t="n">
        <v>45851.3333333333</v>
      </c>
      <c r="B400" s="57" t="n">
        <f aca="false">MOD(A400,1)</f>
        <v>0.333333333343035</v>
      </c>
      <c r="C400" s="0" t="n">
        <v>0</v>
      </c>
      <c r="D400" s="0" t="n">
        <v>489.597</v>
      </c>
      <c r="E400" s="0" t="n">
        <f aca="false">D400-0.155</f>
        <v>489.442</v>
      </c>
      <c r="F400" s="0" t="n">
        <v>489.545</v>
      </c>
      <c r="G400" s="0" t="n">
        <f aca="false">IF(E400 - F400 &lt; 0, 0, E400 - F400)</f>
        <v>0</v>
      </c>
      <c r="H400" s="0" t="n">
        <v>1.82</v>
      </c>
      <c r="I400" s="0" t="n">
        <f aca="false">1.82*30*(G400^1.5)</f>
        <v>0</v>
      </c>
      <c r="J400" s="0" t="n">
        <f aca="false">I400*60</f>
        <v>0</v>
      </c>
      <c r="K400" s="0" t="n">
        <f aca="false">(I400*86400)/24</f>
        <v>0</v>
      </c>
    </row>
    <row r="401" customFormat="false" ht="16.5" hidden="false" customHeight="false" outlineLevel="0" collapsed="false">
      <c r="A401" s="56" t="n">
        <v>45851.375</v>
      </c>
      <c r="B401" s="57" t="n">
        <f aca="false">MOD(A401,1)</f>
        <v>0.375</v>
      </c>
      <c r="C401" s="0" t="n">
        <v>0</v>
      </c>
      <c r="D401" s="0" t="n">
        <v>489.597</v>
      </c>
      <c r="E401" s="0" t="n">
        <f aca="false">D401-0.155</f>
        <v>489.442</v>
      </c>
      <c r="F401" s="0" t="n">
        <v>489.545</v>
      </c>
      <c r="G401" s="0" t="n">
        <f aca="false">IF(E401 - F401 &lt; 0, 0, E401 - F401)</f>
        <v>0</v>
      </c>
      <c r="H401" s="0" t="n">
        <v>1.82</v>
      </c>
      <c r="I401" s="0" t="n">
        <f aca="false">1.82*30*(G401^1.5)</f>
        <v>0</v>
      </c>
      <c r="J401" s="0" t="n">
        <f aca="false">I401*60</f>
        <v>0</v>
      </c>
      <c r="K401" s="0" t="n">
        <f aca="false">(I401*86400)/24</f>
        <v>0</v>
      </c>
    </row>
    <row r="402" customFormat="false" ht="16.5" hidden="false" customHeight="false" outlineLevel="0" collapsed="false">
      <c r="A402" s="56" t="n">
        <v>45851.4166666667</v>
      </c>
      <c r="B402" s="57" t="n">
        <f aca="false">MOD(A402,1)</f>
        <v>0.416666666656965</v>
      </c>
      <c r="C402" s="0" t="n">
        <v>0</v>
      </c>
      <c r="D402" s="0" t="n">
        <v>489.597</v>
      </c>
      <c r="E402" s="0" t="n">
        <f aca="false">D402-0.155</f>
        <v>489.442</v>
      </c>
      <c r="F402" s="0" t="n">
        <v>489.545</v>
      </c>
      <c r="G402" s="0" t="n">
        <f aca="false">IF(E402 - F402 &lt; 0, 0, E402 - F402)</f>
        <v>0</v>
      </c>
      <c r="H402" s="0" t="n">
        <v>1.82</v>
      </c>
      <c r="I402" s="0" t="n">
        <f aca="false">1.82*30*(G402^1.5)</f>
        <v>0</v>
      </c>
      <c r="J402" s="0" t="n">
        <f aca="false">I402*60</f>
        <v>0</v>
      </c>
      <c r="K402" s="0" t="n">
        <f aca="false">(I402*86400)/24</f>
        <v>0</v>
      </c>
    </row>
    <row r="403" customFormat="false" ht="16.5" hidden="false" customHeight="false" outlineLevel="0" collapsed="false">
      <c r="A403" s="56" t="n">
        <v>45851.4583333333</v>
      </c>
      <c r="B403" s="57" t="n">
        <f aca="false">MOD(A403,1)</f>
        <v>0.458333333343035</v>
      </c>
      <c r="C403" s="0" t="n">
        <v>0</v>
      </c>
      <c r="D403" s="0" t="n">
        <v>489.597</v>
      </c>
      <c r="E403" s="0" t="n">
        <f aca="false">D403-0.155</f>
        <v>489.442</v>
      </c>
      <c r="F403" s="0" t="n">
        <v>489.545</v>
      </c>
      <c r="G403" s="0" t="n">
        <f aca="false">IF(E403 - F403 &lt; 0, 0, E403 - F403)</f>
        <v>0</v>
      </c>
      <c r="H403" s="0" t="n">
        <v>1.82</v>
      </c>
      <c r="I403" s="0" t="n">
        <f aca="false">1.82*30*(G403^1.5)</f>
        <v>0</v>
      </c>
      <c r="J403" s="0" t="n">
        <f aca="false">I403*60</f>
        <v>0</v>
      </c>
      <c r="K403" s="0" t="n">
        <f aca="false">(I403*86400)/24</f>
        <v>0</v>
      </c>
    </row>
    <row r="404" customFormat="false" ht="16.5" hidden="false" customHeight="false" outlineLevel="0" collapsed="false">
      <c r="A404" s="56" t="n">
        <v>45851.5</v>
      </c>
      <c r="B404" s="57" t="n">
        <f aca="false">MOD(A404,1)</f>
        <v>0.5</v>
      </c>
      <c r="C404" s="0" t="n">
        <v>0</v>
      </c>
      <c r="D404" s="0" t="n">
        <v>489.597</v>
      </c>
      <c r="E404" s="0" t="n">
        <f aca="false">D404-0.155</f>
        <v>489.442</v>
      </c>
      <c r="F404" s="0" t="n">
        <v>489.545</v>
      </c>
      <c r="G404" s="0" t="n">
        <f aca="false">IF(E404 - F404 &lt; 0, 0, E404 - F404)</f>
        <v>0</v>
      </c>
      <c r="H404" s="0" t="n">
        <v>1.82</v>
      </c>
      <c r="I404" s="0" t="n">
        <f aca="false">1.82*30*(G404^1.5)</f>
        <v>0</v>
      </c>
      <c r="J404" s="0" t="n">
        <f aca="false">I404*60</f>
        <v>0</v>
      </c>
      <c r="K404" s="0" t="n">
        <f aca="false">(I404*86400)/24</f>
        <v>0</v>
      </c>
    </row>
    <row r="405" customFormat="false" ht="16.5" hidden="false" customHeight="false" outlineLevel="0" collapsed="false">
      <c r="A405" s="56" t="n">
        <v>45851.5416666667</v>
      </c>
      <c r="B405" s="57" t="n">
        <f aca="false">MOD(A405,1)</f>
        <v>0.541666666656965</v>
      </c>
      <c r="C405" s="0" t="n">
        <v>0</v>
      </c>
      <c r="D405" s="0" t="n">
        <v>489.597</v>
      </c>
      <c r="E405" s="0" t="n">
        <f aca="false">D405-0.155</f>
        <v>489.442</v>
      </c>
      <c r="F405" s="0" t="n">
        <v>489.545</v>
      </c>
      <c r="G405" s="0" t="n">
        <f aca="false">IF(E405 - F405 &lt; 0, 0, E405 - F405)</f>
        <v>0</v>
      </c>
      <c r="H405" s="0" t="n">
        <v>1.82</v>
      </c>
      <c r="I405" s="0" t="n">
        <f aca="false">1.82*30*(G405^1.5)</f>
        <v>0</v>
      </c>
      <c r="J405" s="0" t="n">
        <f aca="false">I405*60</f>
        <v>0</v>
      </c>
      <c r="K405" s="0" t="n">
        <f aca="false">(I405*86400)/24</f>
        <v>0</v>
      </c>
    </row>
    <row r="406" customFormat="false" ht="16.5" hidden="false" customHeight="false" outlineLevel="0" collapsed="false">
      <c r="A406" s="56" t="n">
        <v>45851.5833333333</v>
      </c>
      <c r="B406" s="57" t="n">
        <f aca="false">MOD(A406,1)</f>
        <v>0.583333333343035</v>
      </c>
      <c r="C406" s="0" t="n">
        <v>0</v>
      </c>
      <c r="D406" s="0" t="n">
        <v>489.597</v>
      </c>
      <c r="E406" s="0" t="n">
        <f aca="false">D406-0.155</f>
        <v>489.442</v>
      </c>
      <c r="F406" s="0" t="n">
        <v>489.545</v>
      </c>
      <c r="G406" s="0" t="n">
        <f aca="false">IF(E406 - F406 &lt; 0, 0, E406 - F406)</f>
        <v>0</v>
      </c>
      <c r="H406" s="0" t="n">
        <v>1.82</v>
      </c>
      <c r="I406" s="0" t="n">
        <f aca="false">1.82*30*(G406^1.5)</f>
        <v>0</v>
      </c>
      <c r="J406" s="0" t="n">
        <f aca="false">I406*60</f>
        <v>0</v>
      </c>
      <c r="K406" s="0" t="n">
        <f aca="false">(I406*86400)/24</f>
        <v>0</v>
      </c>
    </row>
    <row r="407" customFormat="false" ht="16.5" hidden="false" customHeight="false" outlineLevel="0" collapsed="false">
      <c r="A407" s="56" t="n">
        <v>45851.625</v>
      </c>
      <c r="B407" s="57" t="n">
        <f aca="false">MOD(A407,1)</f>
        <v>0.625</v>
      </c>
      <c r="C407" s="0" t="n">
        <v>0</v>
      </c>
      <c r="D407" s="0" t="n">
        <v>489.597</v>
      </c>
      <c r="E407" s="0" t="n">
        <f aca="false">D407-0.155</f>
        <v>489.442</v>
      </c>
      <c r="F407" s="0" t="n">
        <v>489.545</v>
      </c>
      <c r="G407" s="0" t="n">
        <f aca="false">IF(E407 - F407 &lt; 0, 0, E407 - F407)</f>
        <v>0</v>
      </c>
      <c r="H407" s="0" t="n">
        <v>1.82</v>
      </c>
      <c r="I407" s="0" t="n">
        <f aca="false">1.82*30*(G407^1.5)</f>
        <v>0</v>
      </c>
      <c r="J407" s="0" t="n">
        <f aca="false">I407*60</f>
        <v>0</v>
      </c>
      <c r="K407" s="0" t="n">
        <f aca="false">(I407*86400)/24</f>
        <v>0</v>
      </c>
    </row>
    <row r="408" customFormat="false" ht="16.5" hidden="false" customHeight="false" outlineLevel="0" collapsed="false">
      <c r="A408" s="56" t="n">
        <v>45851.6666666667</v>
      </c>
      <c r="B408" s="57" t="n">
        <f aca="false">MOD(A408,1)</f>
        <v>0.666666666656965</v>
      </c>
      <c r="C408" s="0" t="n">
        <v>0</v>
      </c>
      <c r="D408" s="0" t="n">
        <v>489.597</v>
      </c>
      <c r="E408" s="0" t="n">
        <f aca="false">D408-0.155</f>
        <v>489.442</v>
      </c>
      <c r="F408" s="0" t="n">
        <v>489.545</v>
      </c>
      <c r="G408" s="0" t="n">
        <f aca="false">IF(E408 - F408 &lt; 0, 0, E408 - F408)</f>
        <v>0</v>
      </c>
      <c r="H408" s="0" t="n">
        <v>1.82</v>
      </c>
      <c r="I408" s="0" t="n">
        <f aca="false">1.82*30*(G408^1.5)</f>
        <v>0</v>
      </c>
      <c r="J408" s="0" t="n">
        <f aca="false">I408*60</f>
        <v>0</v>
      </c>
      <c r="K408" s="0" t="n">
        <f aca="false">(I408*86400)/24</f>
        <v>0</v>
      </c>
    </row>
    <row r="409" customFormat="false" ht="16.5" hidden="false" customHeight="false" outlineLevel="0" collapsed="false">
      <c r="A409" s="56" t="n">
        <v>45851.7083333333</v>
      </c>
      <c r="B409" s="57" t="n">
        <f aca="false">MOD(A409,1)</f>
        <v>0.708333333343035</v>
      </c>
      <c r="C409" s="0" t="n">
        <v>0</v>
      </c>
      <c r="D409" s="0" t="n">
        <v>489.597</v>
      </c>
      <c r="E409" s="0" t="n">
        <f aca="false">D409-0.155</f>
        <v>489.442</v>
      </c>
      <c r="F409" s="0" t="n">
        <v>489.545</v>
      </c>
      <c r="G409" s="0" t="n">
        <f aca="false">IF(E409 - F409 &lt; 0, 0, E409 - F409)</f>
        <v>0</v>
      </c>
      <c r="H409" s="0" t="n">
        <v>1.82</v>
      </c>
      <c r="I409" s="0" t="n">
        <f aca="false">1.82*30*(G409^1.5)</f>
        <v>0</v>
      </c>
      <c r="J409" s="0" t="n">
        <f aca="false">I409*60</f>
        <v>0</v>
      </c>
      <c r="K409" s="0" t="n">
        <f aca="false">(I409*86400)/24</f>
        <v>0</v>
      </c>
    </row>
    <row r="410" customFormat="false" ht="16.5" hidden="false" customHeight="false" outlineLevel="0" collapsed="false">
      <c r="A410" s="56" t="n">
        <v>45851.75</v>
      </c>
      <c r="B410" s="57" t="n">
        <f aca="false">MOD(A410,1)</f>
        <v>0.75</v>
      </c>
      <c r="C410" s="0" t="n">
        <v>0</v>
      </c>
      <c r="D410" s="0" t="n">
        <v>489.598</v>
      </c>
      <c r="E410" s="0" t="n">
        <f aca="false">D410-0.155</f>
        <v>489.443</v>
      </c>
      <c r="F410" s="0" t="n">
        <v>489.545</v>
      </c>
      <c r="G410" s="0" t="n">
        <f aca="false">IF(E410 - F410 &lt; 0, 0, E410 - F410)</f>
        <v>0</v>
      </c>
      <c r="H410" s="0" t="n">
        <v>1.82</v>
      </c>
      <c r="I410" s="0" t="n">
        <f aca="false">1.82*30*(G410^1.5)</f>
        <v>0</v>
      </c>
      <c r="J410" s="0" t="n">
        <f aca="false">I410*60</f>
        <v>0</v>
      </c>
      <c r="K410" s="0" t="n">
        <f aca="false">(I410*86400)/24</f>
        <v>0</v>
      </c>
    </row>
    <row r="411" customFormat="false" ht="16.5" hidden="false" customHeight="false" outlineLevel="0" collapsed="false">
      <c r="A411" s="56" t="n">
        <v>45851.7916666667</v>
      </c>
      <c r="B411" s="57" t="n">
        <f aca="false">MOD(A411,1)</f>
        <v>0.791666666656965</v>
      </c>
      <c r="C411" s="0" t="n">
        <v>0</v>
      </c>
      <c r="D411" s="0" t="n">
        <v>489.597</v>
      </c>
      <c r="E411" s="0" t="n">
        <f aca="false">D411-0.155</f>
        <v>489.442</v>
      </c>
      <c r="F411" s="0" t="n">
        <v>489.545</v>
      </c>
      <c r="G411" s="0" t="n">
        <f aca="false">IF(E411 - F411 &lt; 0, 0, E411 - F411)</f>
        <v>0</v>
      </c>
      <c r="H411" s="0" t="n">
        <v>1.82</v>
      </c>
      <c r="I411" s="0" t="n">
        <f aca="false">1.82*30*(G411^1.5)</f>
        <v>0</v>
      </c>
      <c r="J411" s="0" t="n">
        <f aca="false">I411*60</f>
        <v>0</v>
      </c>
      <c r="K411" s="0" t="n">
        <f aca="false">(I411*86400)/24</f>
        <v>0</v>
      </c>
    </row>
    <row r="412" customFormat="false" ht="16.5" hidden="false" customHeight="false" outlineLevel="0" collapsed="false">
      <c r="A412" s="56" t="n">
        <v>45851.8333333333</v>
      </c>
      <c r="B412" s="57" t="n">
        <f aca="false">MOD(A412,1)</f>
        <v>0.833333333343035</v>
      </c>
      <c r="C412" s="0" t="n">
        <v>0</v>
      </c>
      <c r="D412" s="0" t="n">
        <v>489.592</v>
      </c>
      <c r="E412" s="0" t="n">
        <f aca="false">D412-0.155</f>
        <v>489.437</v>
      </c>
      <c r="F412" s="0" t="n">
        <v>489.545</v>
      </c>
      <c r="G412" s="0" t="n">
        <f aca="false">IF(E412 - F412 &lt; 0, 0, E412 - F412)</f>
        <v>0</v>
      </c>
      <c r="H412" s="0" t="n">
        <v>1.82</v>
      </c>
      <c r="I412" s="0" t="n">
        <f aca="false">1.82*30*(G412^1.5)</f>
        <v>0</v>
      </c>
      <c r="J412" s="0" t="n">
        <f aca="false">I412*60</f>
        <v>0</v>
      </c>
      <c r="K412" s="0" t="n">
        <f aca="false">(I412*86400)/24</f>
        <v>0</v>
      </c>
    </row>
    <row r="413" customFormat="false" ht="16.5" hidden="false" customHeight="false" outlineLevel="0" collapsed="false">
      <c r="A413" s="56" t="n">
        <v>45851.875</v>
      </c>
      <c r="B413" s="57" t="n">
        <f aca="false">MOD(A413,1)</f>
        <v>0.875</v>
      </c>
      <c r="C413" s="0" t="n">
        <v>0</v>
      </c>
      <c r="D413" s="0" t="n">
        <v>489.598</v>
      </c>
      <c r="E413" s="0" t="n">
        <f aca="false">D413-0.155</f>
        <v>489.443</v>
      </c>
      <c r="F413" s="0" t="n">
        <v>489.545</v>
      </c>
      <c r="G413" s="0" t="n">
        <f aca="false">IF(E413 - F413 &lt; 0, 0, E413 - F413)</f>
        <v>0</v>
      </c>
      <c r="H413" s="0" t="n">
        <v>1.82</v>
      </c>
      <c r="I413" s="0" t="n">
        <f aca="false">1.82*30*(G413^1.5)</f>
        <v>0</v>
      </c>
      <c r="J413" s="0" t="n">
        <f aca="false">I413*60</f>
        <v>0</v>
      </c>
      <c r="K413" s="0" t="n">
        <f aca="false">(I413*86400)/24</f>
        <v>0</v>
      </c>
    </row>
    <row r="414" customFormat="false" ht="16.5" hidden="false" customHeight="false" outlineLevel="0" collapsed="false">
      <c r="A414" s="56" t="n">
        <v>45851.9166666667</v>
      </c>
      <c r="B414" s="57" t="n">
        <f aca="false">MOD(A414,1)</f>
        <v>0.916666666656965</v>
      </c>
      <c r="C414" s="0" t="n">
        <v>0</v>
      </c>
      <c r="D414" s="0" t="n">
        <v>489.597</v>
      </c>
      <c r="E414" s="0" t="n">
        <f aca="false">D414-0.155</f>
        <v>489.442</v>
      </c>
      <c r="F414" s="0" t="n">
        <v>489.545</v>
      </c>
      <c r="G414" s="0" t="n">
        <f aca="false">IF(E414 - F414 &lt; 0, 0, E414 - F414)</f>
        <v>0</v>
      </c>
      <c r="H414" s="0" t="n">
        <v>1.82</v>
      </c>
      <c r="I414" s="0" t="n">
        <f aca="false">1.82*30*(G414^1.5)</f>
        <v>0</v>
      </c>
      <c r="J414" s="0" t="n">
        <f aca="false">I414*60</f>
        <v>0</v>
      </c>
      <c r="K414" s="0" t="n">
        <f aca="false">(I414*86400)/24</f>
        <v>0</v>
      </c>
    </row>
    <row r="415" customFormat="false" ht="16.5" hidden="false" customHeight="false" outlineLevel="0" collapsed="false">
      <c r="A415" s="56" t="n">
        <v>45851.9583333333</v>
      </c>
      <c r="B415" s="57" t="n">
        <f aca="false">MOD(A415,1)</f>
        <v>0.958333333343035</v>
      </c>
      <c r="C415" s="0" t="n">
        <v>0</v>
      </c>
      <c r="D415" s="0" t="n">
        <v>489.592</v>
      </c>
      <c r="E415" s="0" t="n">
        <f aca="false">D415-0.155</f>
        <v>489.437</v>
      </c>
      <c r="F415" s="0" t="n">
        <v>489.545</v>
      </c>
      <c r="G415" s="0" t="n">
        <f aca="false">IF(E415 - F415 &lt; 0, 0, E415 - F415)</f>
        <v>0</v>
      </c>
      <c r="H415" s="0" t="n">
        <v>1.82</v>
      </c>
      <c r="I415" s="0" t="n">
        <f aca="false">1.82*30*(G415^1.5)</f>
        <v>0</v>
      </c>
      <c r="J415" s="0" t="n">
        <f aca="false">I415*60</f>
        <v>0</v>
      </c>
      <c r="K415" s="0" t="n">
        <f aca="false">(I415*86400)/24</f>
        <v>0</v>
      </c>
    </row>
    <row r="416" customFormat="false" ht="16.5" hidden="false" customHeight="false" outlineLevel="0" collapsed="false">
      <c r="A416" s="56" t="n">
        <v>45852</v>
      </c>
      <c r="B416" s="57" t="n">
        <f aca="false">MOD(A416,1)</f>
        <v>0</v>
      </c>
      <c r="C416" s="0" t="n">
        <v>0</v>
      </c>
      <c r="D416" s="0" t="n">
        <v>489.592</v>
      </c>
      <c r="E416" s="0" t="n">
        <f aca="false">D416-0.155</f>
        <v>489.437</v>
      </c>
      <c r="F416" s="0" t="n">
        <v>489.545</v>
      </c>
      <c r="G416" s="0" t="n">
        <f aca="false">IF(E416 - F416 &lt; 0, 0, E416 - F416)</f>
        <v>0</v>
      </c>
      <c r="H416" s="0" t="n">
        <v>1.82</v>
      </c>
      <c r="I416" s="0" t="n">
        <f aca="false">1.82*30*(G416^1.5)</f>
        <v>0</v>
      </c>
      <c r="J416" s="0" t="n">
        <f aca="false">I416*60</f>
        <v>0</v>
      </c>
      <c r="K416" s="0" t="n">
        <f aca="false">(I416*86400)/24</f>
        <v>0</v>
      </c>
    </row>
    <row r="417" customFormat="false" ht="16.5" hidden="false" customHeight="false" outlineLevel="0" collapsed="false">
      <c r="A417" s="56" t="n">
        <v>45852.0416666667</v>
      </c>
      <c r="B417" s="57" t="n">
        <f aca="false">MOD(A417,1)</f>
        <v>0.0416666666569654</v>
      </c>
      <c r="C417" s="0" t="n">
        <v>0</v>
      </c>
      <c r="D417" s="0" t="n">
        <v>489.592</v>
      </c>
      <c r="E417" s="0" t="n">
        <f aca="false">D417-0.155</f>
        <v>489.437</v>
      </c>
      <c r="F417" s="0" t="n">
        <v>489.545</v>
      </c>
      <c r="G417" s="0" t="n">
        <f aca="false">IF(E417 - F417 &lt; 0, 0, E417 - F417)</f>
        <v>0</v>
      </c>
      <c r="H417" s="0" t="n">
        <v>1.82</v>
      </c>
      <c r="I417" s="0" t="n">
        <f aca="false">1.82*30*(G417^1.5)</f>
        <v>0</v>
      </c>
      <c r="J417" s="0" t="n">
        <f aca="false">I417*60</f>
        <v>0</v>
      </c>
      <c r="K417" s="0" t="n">
        <f aca="false">(I417*86400)/24</f>
        <v>0</v>
      </c>
    </row>
    <row r="418" customFormat="false" ht="16.5" hidden="false" customHeight="false" outlineLevel="0" collapsed="false">
      <c r="A418" s="56" t="n">
        <v>45852.0833333333</v>
      </c>
      <c r="B418" s="57" t="n">
        <f aca="false">MOD(A418,1)</f>
        <v>0.0833333333430346</v>
      </c>
      <c r="C418" s="0" t="n">
        <v>0</v>
      </c>
      <c r="D418" s="0" t="n">
        <v>489.593</v>
      </c>
      <c r="E418" s="0" t="n">
        <f aca="false">D418-0.155</f>
        <v>489.438</v>
      </c>
      <c r="F418" s="0" t="n">
        <v>489.545</v>
      </c>
      <c r="G418" s="0" t="n">
        <f aca="false">IF(E418 - F418 &lt; 0, 0, E418 - F418)</f>
        <v>0</v>
      </c>
      <c r="H418" s="0" t="n">
        <v>1.82</v>
      </c>
      <c r="I418" s="0" t="n">
        <f aca="false">1.82*30*(G418^1.5)</f>
        <v>0</v>
      </c>
      <c r="J418" s="0" t="n">
        <f aca="false">I418*60</f>
        <v>0</v>
      </c>
      <c r="K418" s="0" t="n">
        <f aca="false">(I418*86400)/24</f>
        <v>0</v>
      </c>
    </row>
    <row r="419" customFormat="false" ht="16.5" hidden="false" customHeight="false" outlineLevel="0" collapsed="false">
      <c r="A419" s="56" t="n">
        <v>45852.125</v>
      </c>
      <c r="B419" s="57" t="n">
        <f aca="false">MOD(A419,1)</f>
        <v>0.125</v>
      </c>
      <c r="C419" s="0" t="n">
        <v>0</v>
      </c>
      <c r="D419" s="0" t="n">
        <v>489.592</v>
      </c>
      <c r="E419" s="0" t="n">
        <f aca="false">D419-0.155</f>
        <v>489.437</v>
      </c>
      <c r="F419" s="0" t="n">
        <v>489.545</v>
      </c>
      <c r="G419" s="0" t="n">
        <f aca="false">IF(E419 - F419 &lt; 0, 0, E419 - F419)</f>
        <v>0</v>
      </c>
      <c r="H419" s="0" t="n">
        <v>1.82</v>
      </c>
      <c r="I419" s="0" t="n">
        <f aca="false">1.82*30*(G419^1.5)</f>
        <v>0</v>
      </c>
      <c r="J419" s="0" t="n">
        <f aca="false">I419*60</f>
        <v>0</v>
      </c>
      <c r="K419" s="0" t="n">
        <f aca="false">(I419*86400)/24</f>
        <v>0</v>
      </c>
    </row>
    <row r="420" customFormat="false" ht="16.5" hidden="false" customHeight="false" outlineLevel="0" collapsed="false">
      <c r="A420" s="56" t="n">
        <v>45852.1666666667</v>
      </c>
      <c r="B420" s="57" t="n">
        <f aca="false">MOD(A420,1)</f>
        <v>0.166666666656965</v>
      </c>
      <c r="C420" s="0" t="n">
        <v>0</v>
      </c>
      <c r="D420" s="0" t="n">
        <v>489.598</v>
      </c>
      <c r="E420" s="0" t="n">
        <f aca="false">D420-0.155</f>
        <v>489.443</v>
      </c>
      <c r="F420" s="0" t="n">
        <v>489.545</v>
      </c>
      <c r="G420" s="0" t="n">
        <f aca="false">IF(E420 - F420 &lt; 0, 0, E420 - F420)</f>
        <v>0</v>
      </c>
      <c r="H420" s="0" t="n">
        <v>1.82</v>
      </c>
      <c r="I420" s="0" t="n">
        <f aca="false">1.82*30*(G420^1.5)</f>
        <v>0</v>
      </c>
      <c r="J420" s="0" t="n">
        <f aca="false">I420*60</f>
        <v>0</v>
      </c>
      <c r="K420" s="0" t="n">
        <f aca="false">(I420*86400)/24</f>
        <v>0</v>
      </c>
    </row>
    <row r="421" customFormat="false" ht="16.5" hidden="false" customHeight="false" outlineLevel="0" collapsed="false">
      <c r="A421" s="56" t="n">
        <v>45852.2083333333</v>
      </c>
      <c r="B421" s="57" t="n">
        <f aca="false">MOD(A421,1)</f>
        <v>0.208333333343035</v>
      </c>
      <c r="C421" s="0" t="n">
        <v>0</v>
      </c>
      <c r="D421" s="0" t="n">
        <v>489.593</v>
      </c>
      <c r="E421" s="0" t="n">
        <f aca="false">D421-0.155</f>
        <v>489.438</v>
      </c>
      <c r="F421" s="0" t="n">
        <v>489.545</v>
      </c>
      <c r="G421" s="0" t="n">
        <f aca="false">IF(E421 - F421 &lt; 0, 0, E421 - F421)</f>
        <v>0</v>
      </c>
      <c r="H421" s="0" t="n">
        <v>1.82</v>
      </c>
      <c r="I421" s="0" t="n">
        <f aca="false">1.82*30*(G421^1.5)</f>
        <v>0</v>
      </c>
      <c r="J421" s="0" t="n">
        <f aca="false">I421*60</f>
        <v>0</v>
      </c>
      <c r="K421" s="0" t="n">
        <f aca="false">(I421*86400)/24</f>
        <v>0</v>
      </c>
    </row>
    <row r="422" customFormat="false" ht="16.5" hidden="false" customHeight="false" outlineLevel="0" collapsed="false">
      <c r="A422" s="56" t="n">
        <v>45852.25</v>
      </c>
      <c r="B422" s="57" t="n">
        <f aca="false">MOD(A422,1)</f>
        <v>0.25</v>
      </c>
      <c r="C422" s="0" t="n">
        <v>0</v>
      </c>
      <c r="D422" s="0" t="n">
        <v>489.592</v>
      </c>
      <c r="E422" s="0" t="n">
        <f aca="false">D422-0.155</f>
        <v>489.437</v>
      </c>
      <c r="F422" s="0" t="n">
        <v>489.545</v>
      </c>
      <c r="G422" s="0" t="n">
        <f aca="false">IF(E422 - F422 &lt; 0, 0, E422 - F422)</f>
        <v>0</v>
      </c>
      <c r="H422" s="0" t="n">
        <v>1.82</v>
      </c>
      <c r="I422" s="0" t="n">
        <f aca="false">1.82*30*(G422^1.5)</f>
        <v>0</v>
      </c>
      <c r="J422" s="0" t="n">
        <f aca="false">I422*60</f>
        <v>0</v>
      </c>
      <c r="K422" s="0" t="n">
        <f aca="false">(I422*86400)/24</f>
        <v>0</v>
      </c>
    </row>
    <row r="423" customFormat="false" ht="16.5" hidden="false" customHeight="false" outlineLevel="0" collapsed="false">
      <c r="A423" s="56" t="n">
        <v>45852.2916666667</v>
      </c>
      <c r="B423" s="57" t="n">
        <f aca="false">MOD(A423,1)</f>
        <v>0.291666666656965</v>
      </c>
      <c r="C423" s="0" t="n">
        <v>0</v>
      </c>
      <c r="D423" s="0" t="n">
        <v>489.592</v>
      </c>
      <c r="E423" s="0" t="n">
        <f aca="false">D423-0.155</f>
        <v>489.437</v>
      </c>
      <c r="F423" s="0" t="n">
        <v>489.545</v>
      </c>
      <c r="G423" s="0" t="n">
        <f aca="false">IF(E423 - F423 &lt; 0, 0, E423 - F423)</f>
        <v>0</v>
      </c>
      <c r="H423" s="0" t="n">
        <v>1.82</v>
      </c>
      <c r="I423" s="0" t="n">
        <f aca="false">1.82*30*(G423^1.5)</f>
        <v>0</v>
      </c>
      <c r="J423" s="0" t="n">
        <f aca="false">I423*60</f>
        <v>0</v>
      </c>
      <c r="K423" s="0" t="n">
        <f aca="false">(I423*86400)/24</f>
        <v>0</v>
      </c>
    </row>
    <row r="424" customFormat="false" ht="16.5" hidden="false" customHeight="false" outlineLevel="0" collapsed="false">
      <c r="A424" s="56" t="n">
        <v>45852.3333333333</v>
      </c>
      <c r="B424" s="57" t="n">
        <f aca="false">MOD(A424,1)</f>
        <v>0.333333333343035</v>
      </c>
      <c r="C424" s="0" t="n">
        <v>0</v>
      </c>
      <c r="D424" s="0" t="n">
        <v>489.591</v>
      </c>
      <c r="E424" s="0" t="n">
        <f aca="false">D424-0.155</f>
        <v>489.436</v>
      </c>
      <c r="F424" s="0" t="n">
        <v>489.545</v>
      </c>
      <c r="G424" s="0" t="n">
        <f aca="false">IF(E424 - F424 &lt; 0, 0, E424 - F424)</f>
        <v>0</v>
      </c>
      <c r="H424" s="0" t="n">
        <v>1.82</v>
      </c>
      <c r="I424" s="0" t="n">
        <f aca="false">1.82*30*(G424^1.5)</f>
        <v>0</v>
      </c>
      <c r="J424" s="0" t="n">
        <f aca="false">I424*60</f>
        <v>0</v>
      </c>
      <c r="K424" s="0" t="n">
        <f aca="false">(I424*86400)/24</f>
        <v>0</v>
      </c>
    </row>
    <row r="425" customFormat="false" ht="16.5" hidden="false" customHeight="false" outlineLevel="0" collapsed="false">
      <c r="A425" s="56" t="n">
        <v>45852.375</v>
      </c>
      <c r="B425" s="57" t="n">
        <f aca="false">MOD(A425,1)</f>
        <v>0.375</v>
      </c>
      <c r="C425" s="0" t="n">
        <v>0</v>
      </c>
      <c r="D425" s="0" t="n">
        <v>489.591</v>
      </c>
      <c r="E425" s="0" t="n">
        <f aca="false">D425-0.155</f>
        <v>489.436</v>
      </c>
      <c r="F425" s="0" t="n">
        <v>489.545</v>
      </c>
      <c r="G425" s="0" t="n">
        <f aca="false">IF(E425 - F425 &lt; 0, 0, E425 - F425)</f>
        <v>0</v>
      </c>
      <c r="H425" s="0" t="n">
        <v>1.82</v>
      </c>
      <c r="I425" s="0" t="n">
        <f aca="false">1.82*30*(G425^1.5)</f>
        <v>0</v>
      </c>
      <c r="J425" s="0" t="n">
        <f aca="false">I425*60</f>
        <v>0</v>
      </c>
      <c r="K425" s="0" t="n">
        <f aca="false">(I425*86400)/24</f>
        <v>0</v>
      </c>
    </row>
    <row r="426" customFormat="false" ht="16.5" hidden="false" customHeight="false" outlineLevel="0" collapsed="false">
      <c r="A426" s="56" t="n">
        <v>45852.4166666667</v>
      </c>
      <c r="B426" s="57" t="n">
        <f aca="false">MOD(A426,1)</f>
        <v>0.416666666656965</v>
      </c>
      <c r="C426" s="0" t="n">
        <v>0</v>
      </c>
      <c r="D426" s="0" t="n">
        <v>489.591</v>
      </c>
      <c r="E426" s="0" t="n">
        <f aca="false">D426-0.155</f>
        <v>489.436</v>
      </c>
      <c r="F426" s="0" t="n">
        <v>489.545</v>
      </c>
      <c r="G426" s="0" t="n">
        <f aca="false">IF(E426 - F426 &lt; 0, 0, E426 - F426)</f>
        <v>0</v>
      </c>
      <c r="H426" s="0" t="n">
        <v>1.82</v>
      </c>
      <c r="I426" s="0" t="n">
        <f aca="false">1.82*30*(G426^1.5)</f>
        <v>0</v>
      </c>
      <c r="J426" s="0" t="n">
        <f aca="false">I426*60</f>
        <v>0</v>
      </c>
      <c r="K426" s="0" t="n">
        <f aca="false">(I426*86400)/24</f>
        <v>0</v>
      </c>
    </row>
    <row r="427" customFormat="false" ht="16.5" hidden="false" customHeight="false" outlineLevel="0" collapsed="false">
      <c r="A427" s="56" t="n">
        <v>45852.4583333333</v>
      </c>
      <c r="B427" s="57" t="n">
        <f aca="false">MOD(A427,1)</f>
        <v>0.458333333343035</v>
      </c>
      <c r="C427" s="0" t="n">
        <v>0</v>
      </c>
      <c r="D427" s="0" t="n">
        <v>489.591</v>
      </c>
      <c r="E427" s="0" t="n">
        <f aca="false">D427-0.155</f>
        <v>489.436</v>
      </c>
      <c r="F427" s="0" t="n">
        <v>489.545</v>
      </c>
      <c r="G427" s="0" t="n">
        <f aca="false">IF(E427 - F427 &lt; 0, 0, E427 - F427)</f>
        <v>0</v>
      </c>
      <c r="H427" s="0" t="n">
        <v>1.82</v>
      </c>
      <c r="I427" s="0" t="n">
        <f aca="false">1.82*30*(G427^1.5)</f>
        <v>0</v>
      </c>
      <c r="J427" s="0" t="n">
        <f aca="false">I427*60</f>
        <v>0</v>
      </c>
      <c r="K427" s="0" t="n">
        <f aca="false">(I427*86400)/24</f>
        <v>0</v>
      </c>
    </row>
    <row r="428" customFormat="false" ht="16.5" hidden="false" customHeight="false" outlineLevel="0" collapsed="false">
      <c r="A428" s="56" t="n">
        <v>45852.5</v>
      </c>
      <c r="B428" s="57" t="n">
        <f aca="false">MOD(A428,1)</f>
        <v>0.5</v>
      </c>
      <c r="C428" s="0" t="n">
        <v>0</v>
      </c>
      <c r="D428" s="0" t="n">
        <v>489.591</v>
      </c>
      <c r="E428" s="0" t="n">
        <f aca="false">D428-0.155</f>
        <v>489.436</v>
      </c>
      <c r="F428" s="0" t="n">
        <v>489.545</v>
      </c>
      <c r="G428" s="0" t="n">
        <f aca="false">IF(E428 - F428 &lt; 0, 0, E428 - F428)</f>
        <v>0</v>
      </c>
      <c r="H428" s="0" t="n">
        <v>1.82</v>
      </c>
      <c r="I428" s="0" t="n">
        <f aca="false">1.82*30*(G428^1.5)</f>
        <v>0</v>
      </c>
      <c r="J428" s="0" t="n">
        <f aca="false">I428*60</f>
        <v>0</v>
      </c>
      <c r="K428" s="0" t="n">
        <f aca="false">(I428*86400)/24</f>
        <v>0</v>
      </c>
    </row>
    <row r="429" customFormat="false" ht="16.5" hidden="false" customHeight="false" outlineLevel="0" collapsed="false">
      <c r="A429" s="56" t="n">
        <v>45852.5416666667</v>
      </c>
      <c r="B429" s="57" t="n">
        <f aca="false">MOD(A429,1)</f>
        <v>0.541666666656965</v>
      </c>
      <c r="C429" s="0" t="n">
        <v>0</v>
      </c>
      <c r="D429" s="0" t="n">
        <v>489.585</v>
      </c>
      <c r="E429" s="0" t="n">
        <f aca="false">D429-0.155</f>
        <v>489.43</v>
      </c>
      <c r="F429" s="0" t="n">
        <v>489.545</v>
      </c>
      <c r="G429" s="0" t="n">
        <f aca="false">IF(E429 - F429 &lt; 0, 0, E429 - F429)</f>
        <v>0</v>
      </c>
      <c r="H429" s="0" t="n">
        <v>1.82</v>
      </c>
      <c r="I429" s="0" t="n">
        <f aca="false">1.82*30*(G429^1.5)</f>
        <v>0</v>
      </c>
      <c r="J429" s="0" t="n">
        <f aca="false">I429*60</f>
        <v>0</v>
      </c>
      <c r="K429" s="0" t="n">
        <f aca="false">(I429*86400)/24</f>
        <v>0</v>
      </c>
    </row>
    <row r="430" customFormat="false" ht="16.5" hidden="false" customHeight="false" outlineLevel="0" collapsed="false">
      <c r="A430" s="56" t="n">
        <v>45852.5833333333</v>
      </c>
      <c r="B430" s="57" t="n">
        <f aca="false">MOD(A430,1)</f>
        <v>0.583333333343035</v>
      </c>
      <c r="C430" s="0" t="n">
        <v>0</v>
      </c>
      <c r="D430" s="0" t="n">
        <v>489.591</v>
      </c>
      <c r="E430" s="0" t="n">
        <f aca="false">D430-0.155</f>
        <v>489.436</v>
      </c>
      <c r="F430" s="0" t="n">
        <v>489.545</v>
      </c>
      <c r="G430" s="0" t="n">
        <f aca="false">IF(E430 - F430 &lt; 0, 0, E430 - F430)</f>
        <v>0</v>
      </c>
      <c r="H430" s="0" t="n">
        <v>1.82</v>
      </c>
      <c r="I430" s="0" t="n">
        <f aca="false">1.82*30*(G430^1.5)</f>
        <v>0</v>
      </c>
      <c r="J430" s="0" t="n">
        <f aca="false">I430*60</f>
        <v>0</v>
      </c>
      <c r="K430" s="0" t="n">
        <f aca="false">(I430*86400)/24</f>
        <v>0</v>
      </c>
    </row>
    <row r="431" customFormat="false" ht="16.5" hidden="false" customHeight="false" outlineLevel="0" collapsed="false">
      <c r="A431" s="56" t="n">
        <v>45852.625</v>
      </c>
      <c r="B431" s="57" t="n">
        <f aca="false">MOD(A431,1)</f>
        <v>0.625</v>
      </c>
      <c r="C431" s="0" t="n">
        <v>0</v>
      </c>
      <c r="D431" s="0" t="n">
        <v>489.585</v>
      </c>
      <c r="E431" s="0" t="n">
        <f aca="false">D431-0.155</f>
        <v>489.43</v>
      </c>
      <c r="F431" s="0" t="n">
        <v>489.545</v>
      </c>
      <c r="G431" s="0" t="n">
        <f aca="false">IF(E431 - F431 &lt; 0, 0, E431 - F431)</f>
        <v>0</v>
      </c>
      <c r="H431" s="0" t="n">
        <v>1.82</v>
      </c>
      <c r="I431" s="0" t="n">
        <f aca="false">1.82*30*(G431^1.5)</f>
        <v>0</v>
      </c>
      <c r="J431" s="0" t="n">
        <f aca="false">I431*60</f>
        <v>0</v>
      </c>
      <c r="K431" s="0" t="n">
        <f aca="false">(I431*86400)/24</f>
        <v>0</v>
      </c>
    </row>
    <row r="432" customFormat="false" ht="16.5" hidden="false" customHeight="false" outlineLevel="0" collapsed="false">
      <c r="A432" s="56" t="n">
        <v>45852.6666666667</v>
      </c>
      <c r="B432" s="57" t="n">
        <f aca="false">MOD(A432,1)</f>
        <v>0.666666666656965</v>
      </c>
      <c r="C432" s="0" t="n">
        <v>0</v>
      </c>
      <c r="D432" s="0" t="n">
        <v>489.585</v>
      </c>
      <c r="E432" s="0" t="n">
        <f aca="false">D432-0.155</f>
        <v>489.43</v>
      </c>
      <c r="F432" s="0" t="n">
        <v>489.545</v>
      </c>
      <c r="G432" s="0" t="n">
        <f aca="false">IF(E432 - F432 &lt; 0, 0, E432 - F432)</f>
        <v>0</v>
      </c>
      <c r="H432" s="0" t="n">
        <v>1.82</v>
      </c>
      <c r="I432" s="0" t="n">
        <f aca="false">1.82*30*(G432^1.5)</f>
        <v>0</v>
      </c>
      <c r="J432" s="0" t="n">
        <f aca="false">I432*60</f>
        <v>0</v>
      </c>
      <c r="K432" s="0" t="n">
        <f aca="false">(I432*86400)/24</f>
        <v>0</v>
      </c>
    </row>
    <row r="433" customFormat="false" ht="16.5" hidden="false" customHeight="false" outlineLevel="0" collapsed="false">
      <c r="A433" s="56" t="n">
        <v>45852.7083333333</v>
      </c>
      <c r="B433" s="57" t="n">
        <f aca="false">MOD(A433,1)</f>
        <v>0.708333333343035</v>
      </c>
      <c r="C433" s="0" t="n">
        <v>0</v>
      </c>
      <c r="D433" s="0" t="n">
        <v>489.585</v>
      </c>
      <c r="E433" s="0" t="n">
        <f aca="false">D433-0.155</f>
        <v>489.43</v>
      </c>
      <c r="F433" s="0" t="n">
        <v>489.545</v>
      </c>
      <c r="G433" s="0" t="n">
        <f aca="false">IF(E433 - F433 &lt; 0, 0, E433 - F433)</f>
        <v>0</v>
      </c>
      <c r="H433" s="0" t="n">
        <v>1.82</v>
      </c>
      <c r="I433" s="0" t="n">
        <f aca="false">1.82*30*(G433^1.5)</f>
        <v>0</v>
      </c>
      <c r="J433" s="0" t="n">
        <f aca="false">I433*60</f>
        <v>0</v>
      </c>
      <c r="K433" s="0" t="n">
        <f aca="false">(I433*86400)/24</f>
        <v>0</v>
      </c>
    </row>
    <row r="434" customFormat="false" ht="16.5" hidden="false" customHeight="false" outlineLevel="0" collapsed="false">
      <c r="A434" s="56" t="n">
        <v>45852.75</v>
      </c>
      <c r="B434" s="57" t="n">
        <f aca="false">MOD(A434,1)</f>
        <v>0.75</v>
      </c>
      <c r="C434" s="0" t="n">
        <v>0</v>
      </c>
      <c r="D434" s="0" t="n">
        <v>489.592</v>
      </c>
      <c r="E434" s="0" t="n">
        <f aca="false">D434-0.155</f>
        <v>489.437</v>
      </c>
      <c r="F434" s="0" t="n">
        <v>489.545</v>
      </c>
      <c r="G434" s="0" t="n">
        <f aca="false">IF(E434 - F434 &lt; 0, 0, E434 - F434)</f>
        <v>0</v>
      </c>
      <c r="H434" s="0" t="n">
        <v>1.82</v>
      </c>
      <c r="I434" s="0" t="n">
        <f aca="false">1.82*30*(G434^1.5)</f>
        <v>0</v>
      </c>
      <c r="J434" s="0" t="n">
        <f aca="false">I434*60</f>
        <v>0</v>
      </c>
      <c r="K434" s="0" t="n">
        <f aca="false">(I434*86400)/24</f>
        <v>0</v>
      </c>
    </row>
    <row r="435" customFormat="false" ht="16.5" hidden="false" customHeight="false" outlineLevel="0" collapsed="false">
      <c r="A435" s="56" t="n">
        <v>45852.7916666667</v>
      </c>
      <c r="B435" s="57" t="n">
        <f aca="false">MOD(A435,1)</f>
        <v>0.791666666656965</v>
      </c>
      <c r="C435" s="0" t="n">
        <v>0</v>
      </c>
      <c r="D435" s="0" t="n">
        <v>489.586</v>
      </c>
      <c r="E435" s="0" t="n">
        <f aca="false">D435-0.155</f>
        <v>489.431</v>
      </c>
      <c r="F435" s="0" t="n">
        <v>489.545</v>
      </c>
      <c r="G435" s="0" t="n">
        <f aca="false">IF(E435 - F435 &lt; 0, 0, E435 - F435)</f>
        <v>0</v>
      </c>
      <c r="H435" s="0" t="n">
        <v>1.82</v>
      </c>
      <c r="I435" s="0" t="n">
        <f aca="false">1.82*30*(G435^1.5)</f>
        <v>0</v>
      </c>
      <c r="J435" s="0" t="n">
        <f aca="false">I435*60</f>
        <v>0</v>
      </c>
      <c r="K435" s="0" t="n">
        <f aca="false">(I435*86400)/24</f>
        <v>0</v>
      </c>
    </row>
    <row r="436" customFormat="false" ht="16.5" hidden="false" customHeight="false" outlineLevel="0" collapsed="false">
      <c r="A436" s="56" t="n">
        <v>45852.8333333333</v>
      </c>
      <c r="B436" s="57" t="n">
        <f aca="false">MOD(A436,1)</f>
        <v>0.833333333343035</v>
      </c>
      <c r="C436" s="0" t="n">
        <v>0</v>
      </c>
      <c r="D436" s="0" t="n">
        <v>489.585</v>
      </c>
      <c r="E436" s="0" t="n">
        <f aca="false">D436-0.155</f>
        <v>489.43</v>
      </c>
      <c r="F436" s="0" t="n">
        <v>489.545</v>
      </c>
      <c r="G436" s="0" t="n">
        <f aca="false">IF(E436 - F436 &lt; 0, 0, E436 - F436)</f>
        <v>0</v>
      </c>
      <c r="H436" s="0" t="n">
        <v>1.82</v>
      </c>
      <c r="I436" s="0" t="n">
        <f aca="false">1.82*30*(G436^1.5)</f>
        <v>0</v>
      </c>
      <c r="J436" s="0" t="n">
        <f aca="false">I436*60</f>
        <v>0</v>
      </c>
      <c r="K436" s="0" t="n">
        <f aca="false">(I436*86400)/24</f>
        <v>0</v>
      </c>
    </row>
    <row r="437" customFormat="false" ht="16.5" hidden="false" customHeight="false" outlineLevel="0" collapsed="false">
      <c r="A437" s="56" t="n">
        <v>45852.875</v>
      </c>
      <c r="B437" s="57" t="n">
        <f aca="false">MOD(A437,1)</f>
        <v>0.875</v>
      </c>
      <c r="C437" s="0" t="n">
        <v>0</v>
      </c>
      <c r="D437" s="0" t="n">
        <v>489.586</v>
      </c>
      <c r="E437" s="0" t="n">
        <f aca="false">D437-0.155</f>
        <v>489.431</v>
      </c>
      <c r="F437" s="0" t="n">
        <v>489.545</v>
      </c>
      <c r="G437" s="0" t="n">
        <f aca="false">IF(E437 - F437 &lt; 0, 0, E437 - F437)</f>
        <v>0</v>
      </c>
      <c r="H437" s="0" t="n">
        <v>1.82</v>
      </c>
      <c r="I437" s="0" t="n">
        <f aca="false">1.82*30*(G437^1.5)</f>
        <v>0</v>
      </c>
      <c r="J437" s="0" t="n">
        <f aca="false">I437*60</f>
        <v>0</v>
      </c>
      <c r="K437" s="0" t="n">
        <f aca="false">(I437*86400)/24</f>
        <v>0</v>
      </c>
    </row>
    <row r="438" customFormat="false" ht="16.5" hidden="false" customHeight="false" outlineLevel="0" collapsed="false">
      <c r="A438" s="56" t="n">
        <v>45852.9166666667</v>
      </c>
      <c r="B438" s="57" t="n">
        <f aca="false">MOD(A438,1)</f>
        <v>0.916666666656965</v>
      </c>
      <c r="C438" s="0" t="n">
        <v>0</v>
      </c>
      <c r="D438" s="0" t="n">
        <v>489.586</v>
      </c>
      <c r="E438" s="0" t="n">
        <f aca="false">D438-0.155</f>
        <v>489.431</v>
      </c>
      <c r="F438" s="0" t="n">
        <v>489.545</v>
      </c>
      <c r="G438" s="0" t="n">
        <f aca="false">IF(E438 - F438 &lt; 0, 0, E438 - F438)</f>
        <v>0</v>
      </c>
      <c r="H438" s="0" t="n">
        <v>1.82</v>
      </c>
      <c r="I438" s="0" t="n">
        <f aca="false">1.82*30*(G438^1.5)</f>
        <v>0</v>
      </c>
      <c r="J438" s="0" t="n">
        <f aca="false">I438*60</f>
        <v>0</v>
      </c>
      <c r="K438" s="0" t="n">
        <f aca="false">(I438*86400)/24</f>
        <v>0</v>
      </c>
    </row>
    <row r="439" customFormat="false" ht="16.5" hidden="false" customHeight="false" outlineLevel="0" collapsed="false">
      <c r="A439" s="56" t="n">
        <v>45852.9583333333</v>
      </c>
      <c r="B439" s="57" t="n">
        <f aca="false">MOD(A439,1)</f>
        <v>0.958333333343035</v>
      </c>
      <c r="C439" s="0" t="n">
        <v>0</v>
      </c>
      <c r="D439" s="0" t="n">
        <v>489.586</v>
      </c>
      <c r="E439" s="0" t="n">
        <f aca="false">D439-0.155</f>
        <v>489.431</v>
      </c>
      <c r="F439" s="0" t="n">
        <v>489.545</v>
      </c>
      <c r="G439" s="0" t="n">
        <f aca="false">IF(E439 - F439 &lt; 0, 0, E439 - F439)</f>
        <v>0</v>
      </c>
      <c r="H439" s="0" t="n">
        <v>1.82</v>
      </c>
      <c r="I439" s="0" t="n">
        <f aca="false">1.82*30*(G439^1.5)</f>
        <v>0</v>
      </c>
      <c r="J439" s="0" t="n">
        <f aca="false">I439*60</f>
        <v>0</v>
      </c>
      <c r="K439" s="0" t="n">
        <f aca="false">(I439*86400)/24</f>
        <v>0</v>
      </c>
    </row>
    <row r="440" customFormat="false" ht="16.5" hidden="false" customHeight="false" outlineLevel="0" collapsed="false">
      <c r="A440" s="56" t="n">
        <v>45853</v>
      </c>
      <c r="B440" s="57" t="n">
        <f aca="false">MOD(A440,1)</f>
        <v>0</v>
      </c>
      <c r="C440" s="0" t="n">
        <v>0</v>
      </c>
      <c r="D440" s="0" t="n">
        <v>489.585</v>
      </c>
      <c r="E440" s="0" t="n">
        <f aca="false">D440-0.155</f>
        <v>489.43</v>
      </c>
      <c r="F440" s="0" t="n">
        <v>489.545</v>
      </c>
      <c r="G440" s="0" t="n">
        <f aca="false">IF(E440 - F440 &lt; 0, 0, E440 - F440)</f>
        <v>0</v>
      </c>
      <c r="H440" s="0" t="n">
        <v>1.82</v>
      </c>
      <c r="I440" s="0" t="n">
        <f aca="false">1.82*30*(G440^1.5)</f>
        <v>0</v>
      </c>
      <c r="J440" s="0" t="n">
        <f aca="false">I440*60</f>
        <v>0</v>
      </c>
      <c r="K440" s="0" t="n">
        <f aca="false">(I440*86400)/24</f>
        <v>0</v>
      </c>
    </row>
    <row r="441" customFormat="false" ht="16.5" hidden="false" customHeight="false" outlineLevel="0" collapsed="false">
      <c r="A441" s="56" t="n">
        <v>45853.0416666667</v>
      </c>
      <c r="B441" s="57" t="n">
        <f aca="false">MOD(A441,1)</f>
        <v>0.0416666666569654</v>
      </c>
      <c r="C441" s="0" t="n">
        <v>0</v>
      </c>
      <c r="D441" s="0" t="n">
        <v>489.586</v>
      </c>
      <c r="E441" s="0" t="n">
        <f aca="false">D441-0.155</f>
        <v>489.431</v>
      </c>
      <c r="F441" s="0" t="n">
        <v>489.545</v>
      </c>
      <c r="G441" s="0" t="n">
        <f aca="false">IF(E441 - F441 &lt; 0, 0, E441 - F441)</f>
        <v>0</v>
      </c>
      <c r="H441" s="0" t="n">
        <v>1.82</v>
      </c>
      <c r="I441" s="0" t="n">
        <f aca="false">1.82*30*(G441^1.5)</f>
        <v>0</v>
      </c>
      <c r="J441" s="0" t="n">
        <f aca="false">I441*60</f>
        <v>0</v>
      </c>
      <c r="K441" s="0" t="n">
        <f aca="false">(I441*86400)/24</f>
        <v>0</v>
      </c>
    </row>
    <row r="442" customFormat="false" ht="16.5" hidden="false" customHeight="false" outlineLevel="0" collapsed="false">
      <c r="A442" s="56" t="n">
        <v>45853.0833333333</v>
      </c>
      <c r="B442" s="57" t="n">
        <f aca="false">MOD(A442,1)</f>
        <v>0.0833333333430346</v>
      </c>
      <c r="C442" s="0" t="n">
        <v>0</v>
      </c>
      <c r="D442" s="0" t="n">
        <v>489.586</v>
      </c>
      <c r="E442" s="0" t="n">
        <f aca="false">D442-0.155</f>
        <v>489.431</v>
      </c>
      <c r="F442" s="0" t="n">
        <v>489.545</v>
      </c>
      <c r="G442" s="0" t="n">
        <f aca="false">IF(E442 - F442 &lt; 0, 0, E442 - F442)</f>
        <v>0</v>
      </c>
      <c r="H442" s="0" t="n">
        <v>1.82</v>
      </c>
      <c r="I442" s="0" t="n">
        <f aca="false">1.82*30*(G442^1.5)</f>
        <v>0</v>
      </c>
      <c r="J442" s="0" t="n">
        <f aca="false">I442*60</f>
        <v>0</v>
      </c>
      <c r="K442" s="0" t="n">
        <f aca="false">(I442*86400)/24</f>
        <v>0</v>
      </c>
    </row>
    <row r="443" customFormat="false" ht="16.5" hidden="false" customHeight="false" outlineLevel="0" collapsed="false">
      <c r="A443" s="56" t="n">
        <v>45853.125</v>
      </c>
      <c r="B443" s="57" t="n">
        <f aca="false">MOD(A443,1)</f>
        <v>0.125</v>
      </c>
      <c r="C443" s="0" t="n">
        <v>0</v>
      </c>
      <c r="D443" s="0" t="n">
        <v>489.579</v>
      </c>
      <c r="E443" s="0" t="n">
        <f aca="false">D443-0.155</f>
        <v>489.424</v>
      </c>
      <c r="F443" s="0" t="n">
        <v>489.545</v>
      </c>
      <c r="G443" s="0" t="n">
        <f aca="false">IF(E443 - F443 &lt; 0, 0, E443 - F443)</f>
        <v>0</v>
      </c>
      <c r="H443" s="0" t="n">
        <v>1.82</v>
      </c>
      <c r="I443" s="0" t="n">
        <f aca="false">1.82*30*(G443^1.5)</f>
        <v>0</v>
      </c>
      <c r="J443" s="0" t="n">
        <f aca="false">I443*60</f>
        <v>0</v>
      </c>
      <c r="K443" s="0" t="n">
        <f aca="false">(I443*86400)/24</f>
        <v>0</v>
      </c>
    </row>
    <row r="444" customFormat="false" ht="16.5" hidden="false" customHeight="false" outlineLevel="0" collapsed="false">
      <c r="A444" s="56" t="n">
        <v>45853.1666666667</v>
      </c>
      <c r="B444" s="57" t="n">
        <f aca="false">MOD(A444,1)</f>
        <v>0.166666666656965</v>
      </c>
      <c r="C444" s="0" t="n">
        <v>0</v>
      </c>
      <c r="D444" s="0" t="n">
        <v>489.586</v>
      </c>
      <c r="E444" s="0" t="n">
        <f aca="false">D444-0.155</f>
        <v>489.431</v>
      </c>
      <c r="F444" s="0" t="n">
        <v>489.545</v>
      </c>
      <c r="G444" s="0" t="n">
        <f aca="false">IF(E444 - F444 &lt; 0, 0, E444 - F444)</f>
        <v>0</v>
      </c>
      <c r="H444" s="0" t="n">
        <v>1.82</v>
      </c>
      <c r="I444" s="0" t="n">
        <f aca="false">1.82*30*(G444^1.5)</f>
        <v>0</v>
      </c>
      <c r="J444" s="0" t="n">
        <f aca="false">I444*60</f>
        <v>0</v>
      </c>
      <c r="K444" s="0" t="n">
        <f aca="false">(I444*86400)/24</f>
        <v>0</v>
      </c>
    </row>
    <row r="445" customFormat="false" ht="16.5" hidden="false" customHeight="false" outlineLevel="0" collapsed="false">
      <c r="A445" s="56" t="n">
        <v>45853.2083333333</v>
      </c>
      <c r="B445" s="57" t="n">
        <f aca="false">MOD(A445,1)</f>
        <v>0.208333333343035</v>
      </c>
      <c r="C445" s="0" t="n">
        <v>0</v>
      </c>
      <c r="D445" s="0" t="n">
        <v>489.579</v>
      </c>
      <c r="E445" s="0" t="n">
        <f aca="false">D445-0.155</f>
        <v>489.424</v>
      </c>
      <c r="F445" s="0" t="n">
        <v>489.545</v>
      </c>
      <c r="G445" s="0" t="n">
        <f aca="false">IF(E445 - F445 &lt; 0, 0, E445 - F445)</f>
        <v>0</v>
      </c>
      <c r="H445" s="0" t="n">
        <v>1.82</v>
      </c>
      <c r="I445" s="0" t="n">
        <f aca="false">1.82*30*(G445^1.5)</f>
        <v>0</v>
      </c>
      <c r="J445" s="0" t="n">
        <f aca="false">I445*60</f>
        <v>0</v>
      </c>
      <c r="K445" s="0" t="n">
        <f aca="false">(I445*86400)/24</f>
        <v>0</v>
      </c>
    </row>
    <row r="446" customFormat="false" ht="16.5" hidden="false" customHeight="false" outlineLevel="0" collapsed="false">
      <c r="A446" s="56" t="n">
        <v>45853.25</v>
      </c>
      <c r="B446" s="57" t="n">
        <f aca="false">MOD(A446,1)</f>
        <v>0.25</v>
      </c>
      <c r="C446" s="0" t="n">
        <v>0</v>
      </c>
      <c r="D446" s="0" t="n">
        <v>489.586</v>
      </c>
      <c r="E446" s="0" t="n">
        <f aca="false">D446-0.155</f>
        <v>489.431</v>
      </c>
      <c r="F446" s="0" t="n">
        <v>489.545</v>
      </c>
      <c r="G446" s="0" t="n">
        <f aca="false">IF(E446 - F446 &lt; 0, 0, E446 - F446)</f>
        <v>0</v>
      </c>
      <c r="H446" s="0" t="n">
        <v>1.82</v>
      </c>
      <c r="I446" s="0" t="n">
        <f aca="false">1.82*30*(G446^1.5)</f>
        <v>0</v>
      </c>
      <c r="J446" s="0" t="n">
        <f aca="false">I446*60</f>
        <v>0</v>
      </c>
      <c r="K446" s="0" t="n">
        <f aca="false">(I446*86400)/24</f>
        <v>0</v>
      </c>
    </row>
    <row r="447" customFormat="false" ht="16.5" hidden="false" customHeight="false" outlineLevel="0" collapsed="false">
      <c r="A447" s="56" t="n">
        <v>45853.2916666667</v>
      </c>
      <c r="B447" s="57" t="n">
        <f aca="false">MOD(A447,1)</f>
        <v>0.291666666656965</v>
      </c>
      <c r="C447" s="0" t="n">
        <v>0</v>
      </c>
      <c r="D447" s="0" t="n">
        <v>489.579</v>
      </c>
      <c r="E447" s="0" t="n">
        <f aca="false">D447-0.155</f>
        <v>489.424</v>
      </c>
      <c r="F447" s="0" t="n">
        <v>489.545</v>
      </c>
      <c r="G447" s="0" t="n">
        <f aca="false">IF(E447 - F447 &lt; 0, 0, E447 - F447)</f>
        <v>0</v>
      </c>
      <c r="H447" s="0" t="n">
        <v>1.82</v>
      </c>
      <c r="I447" s="0" t="n">
        <f aca="false">1.82*30*(G447^1.5)</f>
        <v>0</v>
      </c>
      <c r="J447" s="0" t="n">
        <f aca="false">I447*60</f>
        <v>0</v>
      </c>
      <c r="K447" s="0" t="n">
        <f aca="false">(I447*86400)/24</f>
        <v>0</v>
      </c>
    </row>
    <row r="448" customFormat="false" ht="16.5" hidden="false" customHeight="false" outlineLevel="0" collapsed="false">
      <c r="A448" s="56" t="n">
        <v>45853.3333333333</v>
      </c>
      <c r="B448" s="57" t="n">
        <f aca="false">MOD(A448,1)</f>
        <v>0.333333333343035</v>
      </c>
      <c r="C448" s="0" t="n">
        <v>0</v>
      </c>
      <c r="D448" s="0" t="n">
        <v>489.579</v>
      </c>
      <c r="E448" s="0" t="n">
        <f aca="false">D448-0.155</f>
        <v>489.424</v>
      </c>
      <c r="F448" s="0" t="n">
        <v>489.545</v>
      </c>
      <c r="G448" s="0" t="n">
        <f aca="false">IF(E448 - F448 &lt; 0, 0, E448 - F448)</f>
        <v>0</v>
      </c>
      <c r="H448" s="0" t="n">
        <v>1.82</v>
      </c>
      <c r="I448" s="0" t="n">
        <f aca="false">1.82*30*(G448^1.5)</f>
        <v>0</v>
      </c>
      <c r="J448" s="0" t="n">
        <f aca="false">I448*60</f>
        <v>0</v>
      </c>
      <c r="K448" s="0" t="n">
        <f aca="false">(I448*86400)/24</f>
        <v>0</v>
      </c>
    </row>
    <row r="449" customFormat="false" ht="16.5" hidden="false" customHeight="false" outlineLevel="0" collapsed="false">
      <c r="A449" s="56" t="n">
        <v>45853.375</v>
      </c>
      <c r="B449" s="57" t="n">
        <f aca="false">MOD(A449,1)</f>
        <v>0.375</v>
      </c>
      <c r="C449" s="0" t="n">
        <v>0</v>
      </c>
      <c r="D449" s="0" t="n">
        <v>489.579</v>
      </c>
      <c r="E449" s="0" t="n">
        <f aca="false">D449-0.155</f>
        <v>489.424</v>
      </c>
      <c r="F449" s="0" t="n">
        <v>489.545</v>
      </c>
      <c r="G449" s="0" t="n">
        <f aca="false">IF(E449 - F449 &lt; 0, 0, E449 - F449)</f>
        <v>0</v>
      </c>
      <c r="H449" s="0" t="n">
        <v>1.82</v>
      </c>
      <c r="I449" s="0" t="n">
        <f aca="false">1.82*30*(G449^1.5)</f>
        <v>0</v>
      </c>
      <c r="J449" s="0" t="n">
        <f aca="false">I449*60</f>
        <v>0</v>
      </c>
      <c r="K449" s="0" t="n">
        <f aca="false">(I449*86400)/24</f>
        <v>0</v>
      </c>
    </row>
    <row r="450" customFormat="false" ht="16.5" hidden="false" customHeight="false" outlineLevel="0" collapsed="false">
      <c r="A450" s="56" t="n">
        <v>45853.4166666667</v>
      </c>
      <c r="B450" s="57" t="n">
        <f aca="false">MOD(A450,1)</f>
        <v>0.416666666656965</v>
      </c>
      <c r="C450" s="0" t="n">
        <v>0</v>
      </c>
      <c r="D450" s="0" t="n">
        <v>489.579</v>
      </c>
      <c r="E450" s="0" t="n">
        <f aca="false">D450-0.155</f>
        <v>489.424</v>
      </c>
      <c r="F450" s="0" t="n">
        <v>489.545</v>
      </c>
      <c r="G450" s="0" t="n">
        <f aca="false">IF(E450 - F450 &lt; 0, 0, E450 - F450)</f>
        <v>0</v>
      </c>
      <c r="H450" s="0" t="n">
        <v>1.82</v>
      </c>
      <c r="I450" s="0" t="n">
        <f aca="false">1.82*30*(G450^1.5)</f>
        <v>0</v>
      </c>
      <c r="J450" s="0" t="n">
        <f aca="false">I450*60</f>
        <v>0</v>
      </c>
      <c r="K450" s="0" t="n">
        <f aca="false">(I450*86400)/24</f>
        <v>0</v>
      </c>
    </row>
    <row r="451" customFormat="false" ht="16.5" hidden="false" customHeight="false" outlineLevel="0" collapsed="false">
      <c r="A451" s="56" t="n">
        <v>45853.4583333333</v>
      </c>
      <c r="B451" s="57" t="n">
        <f aca="false">MOD(A451,1)</f>
        <v>0.458333333343035</v>
      </c>
      <c r="C451" s="0" t="n">
        <v>0</v>
      </c>
      <c r="D451" s="0" t="n">
        <v>489.579</v>
      </c>
      <c r="E451" s="0" t="n">
        <f aca="false">D451-0.155</f>
        <v>489.424</v>
      </c>
      <c r="F451" s="0" t="n">
        <v>489.545</v>
      </c>
      <c r="G451" s="0" t="n">
        <f aca="false">IF(E451 - F451 &lt; 0, 0, E451 - F451)</f>
        <v>0</v>
      </c>
      <c r="H451" s="0" t="n">
        <v>1.82</v>
      </c>
      <c r="I451" s="0" t="n">
        <f aca="false">1.82*30*(G451^1.5)</f>
        <v>0</v>
      </c>
      <c r="J451" s="0" t="n">
        <f aca="false">I451*60</f>
        <v>0</v>
      </c>
      <c r="K451" s="0" t="n">
        <f aca="false">(I451*86400)/24</f>
        <v>0</v>
      </c>
    </row>
    <row r="452" customFormat="false" ht="16.5" hidden="false" customHeight="false" outlineLevel="0" collapsed="false">
      <c r="A452" s="56" t="n">
        <v>45853.5</v>
      </c>
      <c r="B452" s="57" t="n">
        <f aca="false">MOD(A452,1)</f>
        <v>0.5</v>
      </c>
      <c r="C452" s="0" t="n">
        <v>0</v>
      </c>
      <c r="D452" s="0" t="n">
        <v>489.579</v>
      </c>
      <c r="E452" s="0" t="n">
        <f aca="false">D452-0.155</f>
        <v>489.424</v>
      </c>
      <c r="F452" s="0" t="n">
        <v>489.545</v>
      </c>
      <c r="G452" s="0" t="n">
        <f aca="false">IF(E452 - F452 &lt; 0, 0, E452 - F452)</f>
        <v>0</v>
      </c>
      <c r="H452" s="0" t="n">
        <v>1.82</v>
      </c>
      <c r="I452" s="0" t="n">
        <f aca="false">1.82*30*(G452^1.5)</f>
        <v>0</v>
      </c>
      <c r="J452" s="0" t="n">
        <f aca="false">I452*60</f>
        <v>0</v>
      </c>
      <c r="K452" s="0" t="n">
        <f aca="false">(I452*86400)/24</f>
        <v>0</v>
      </c>
    </row>
    <row r="453" customFormat="false" ht="16.5" hidden="false" customHeight="false" outlineLevel="0" collapsed="false">
      <c r="A453" s="56" t="n">
        <v>45853.5416666667</v>
      </c>
      <c r="B453" s="57" t="n">
        <f aca="false">MOD(A453,1)</f>
        <v>0.541666666656965</v>
      </c>
      <c r="C453" s="0" t="n">
        <v>0</v>
      </c>
      <c r="D453" s="0" t="n">
        <v>489.579</v>
      </c>
      <c r="E453" s="0" t="n">
        <f aca="false">D453-0.155</f>
        <v>489.424</v>
      </c>
      <c r="F453" s="0" t="n">
        <v>489.545</v>
      </c>
      <c r="G453" s="0" t="n">
        <f aca="false">IF(E453 - F453 &lt; 0, 0, E453 - F453)</f>
        <v>0</v>
      </c>
      <c r="H453" s="0" t="n">
        <v>1.82</v>
      </c>
      <c r="I453" s="0" t="n">
        <f aca="false">1.82*30*(G453^1.5)</f>
        <v>0</v>
      </c>
      <c r="J453" s="0" t="n">
        <f aca="false">I453*60</f>
        <v>0</v>
      </c>
      <c r="K453" s="0" t="n">
        <f aca="false">(I453*86400)/24</f>
        <v>0</v>
      </c>
    </row>
    <row r="454" customFormat="false" ht="16.5" hidden="false" customHeight="false" outlineLevel="0" collapsed="false">
      <c r="A454" s="56" t="n">
        <v>45853.5833333333</v>
      </c>
      <c r="B454" s="57" t="n">
        <f aca="false">MOD(A454,1)</f>
        <v>0.583333333343035</v>
      </c>
      <c r="C454" s="0" t="n">
        <v>0</v>
      </c>
      <c r="D454" s="0" t="n">
        <v>489.579</v>
      </c>
      <c r="E454" s="0" t="n">
        <f aca="false">D454-0.155</f>
        <v>489.424</v>
      </c>
      <c r="F454" s="0" t="n">
        <v>489.545</v>
      </c>
      <c r="G454" s="0" t="n">
        <f aca="false">IF(E454 - F454 &lt; 0, 0, E454 - F454)</f>
        <v>0</v>
      </c>
      <c r="H454" s="0" t="n">
        <v>1.82</v>
      </c>
      <c r="I454" s="0" t="n">
        <f aca="false">1.82*30*(G454^1.5)</f>
        <v>0</v>
      </c>
      <c r="J454" s="0" t="n">
        <f aca="false">I454*60</f>
        <v>0</v>
      </c>
      <c r="K454" s="0" t="n">
        <f aca="false">(I454*86400)/24</f>
        <v>0</v>
      </c>
    </row>
    <row r="455" customFormat="false" ht="16.5" hidden="false" customHeight="false" outlineLevel="0" collapsed="false">
      <c r="A455" s="56" t="n">
        <v>45853.625</v>
      </c>
      <c r="B455" s="57" t="n">
        <f aca="false">MOD(A455,1)</f>
        <v>0.625</v>
      </c>
      <c r="C455" s="0" t="n">
        <v>0</v>
      </c>
      <c r="D455" s="0" t="n">
        <v>489.573</v>
      </c>
      <c r="E455" s="0" t="n">
        <f aca="false">D455-0.155</f>
        <v>489.418</v>
      </c>
      <c r="F455" s="0" t="n">
        <v>489.545</v>
      </c>
      <c r="G455" s="0" t="n">
        <f aca="false">IF(E455 - F455 &lt; 0, 0, E455 - F455)</f>
        <v>0</v>
      </c>
      <c r="H455" s="0" t="n">
        <v>1.82</v>
      </c>
      <c r="I455" s="0" t="n">
        <f aca="false">1.82*30*(G455^1.5)</f>
        <v>0</v>
      </c>
      <c r="J455" s="0" t="n">
        <f aca="false">I455*60</f>
        <v>0</v>
      </c>
      <c r="K455" s="0" t="n">
        <f aca="false">(I455*86400)/24</f>
        <v>0</v>
      </c>
    </row>
    <row r="456" customFormat="false" ht="16.5" hidden="false" customHeight="false" outlineLevel="0" collapsed="false">
      <c r="A456" s="56" t="n">
        <v>45853.6666666667</v>
      </c>
      <c r="B456" s="57" t="n">
        <f aca="false">MOD(A456,1)</f>
        <v>0.666666666656965</v>
      </c>
      <c r="C456" s="0" t="n">
        <v>0</v>
      </c>
      <c r="D456" s="0" t="n">
        <v>489.566</v>
      </c>
      <c r="E456" s="0" t="n">
        <f aca="false">D456-0.155</f>
        <v>489.411</v>
      </c>
      <c r="F456" s="0" t="n">
        <v>489.545</v>
      </c>
      <c r="G456" s="0" t="n">
        <f aca="false">IF(E456 - F456 &lt; 0, 0, E456 - F456)</f>
        <v>0</v>
      </c>
      <c r="H456" s="0" t="n">
        <v>1.82</v>
      </c>
      <c r="I456" s="0" t="n">
        <f aca="false">1.82*30*(G456^1.5)</f>
        <v>0</v>
      </c>
      <c r="J456" s="0" t="n">
        <f aca="false">I456*60</f>
        <v>0</v>
      </c>
      <c r="K456" s="0" t="n">
        <f aca="false">(I456*86400)/24</f>
        <v>0</v>
      </c>
    </row>
    <row r="457" customFormat="false" ht="16.5" hidden="false" customHeight="false" outlineLevel="0" collapsed="false">
      <c r="A457" s="56" t="n">
        <v>45853.7083333333</v>
      </c>
      <c r="B457" s="57" t="n">
        <f aca="false">MOD(A457,1)</f>
        <v>0.708333333343035</v>
      </c>
      <c r="C457" s="0" t="n">
        <v>0.8</v>
      </c>
      <c r="D457" s="0" t="n">
        <v>489.579</v>
      </c>
      <c r="E457" s="0" t="n">
        <f aca="false">D457-0.155</f>
        <v>489.424</v>
      </c>
      <c r="F457" s="0" t="n">
        <v>489.545</v>
      </c>
      <c r="G457" s="0" t="n">
        <f aca="false">IF(E457 - F457 &lt; 0, 0, E457 - F457)</f>
        <v>0</v>
      </c>
      <c r="H457" s="0" t="n">
        <v>1.82</v>
      </c>
      <c r="I457" s="0" t="n">
        <f aca="false">1.82*30*(G457^1.5)</f>
        <v>0</v>
      </c>
      <c r="J457" s="0" t="n">
        <f aca="false">I457*60</f>
        <v>0</v>
      </c>
      <c r="K457" s="0" t="n">
        <f aca="false">(I457*86400)/24</f>
        <v>0</v>
      </c>
    </row>
    <row r="458" customFormat="false" ht="16.5" hidden="false" customHeight="false" outlineLevel="0" collapsed="false">
      <c r="A458" s="56" t="n">
        <v>45853.75</v>
      </c>
      <c r="B458" s="57" t="n">
        <f aca="false">MOD(A458,1)</f>
        <v>0.75</v>
      </c>
      <c r="C458" s="0" t="n">
        <v>0</v>
      </c>
      <c r="D458" s="0" t="n">
        <v>489.573</v>
      </c>
      <c r="E458" s="0" t="n">
        <f aca="false">D458-0.155</f>
        <v>489.418</v>
      </c>
      <c r="F458" s="0" t="n">
        <v>489.545</v>
      </c>
      <c r="G458" s="0" t="n">
        <f aca="false">IF(E458 - F458 &lt; 0, 0, E458 - F458)</f>
        <v>0</v>
      </c>
      <c r="H458" s="0" t="n">
        <v>1.82</v>
      </c>
      <c r="I458" s="0" t="n">
        <f aca="false">1.82*30*(G458^1.5)</f>
        <v>0</v>
      </c>
      <c r="J458" s="0" t="n">
        <f aca="false">I458*60</f>
        <v>0</v>
      </c>
      <c r="K458" s="0" t="n">
        <f aca="false">(I458*86400)/24</f>
        <v>0</v>
      </c>
    </row>
    <row r="459" customFormat="false" ht="16.5" hidden="false" customHeight="false" outlineLevel="0" collapsed="false">
      <c r="A459" s="56" t="n">
        <v>45853.7916666667</v>
      </c>
      <c r="B459" s="57" t="n">
        <f aca="false">MOD(A459,1)</f>
        <v>0.791666666656965</v>
      </c>
      <c r="C459" s="0" t="n">
        <v>0.4</v>
      </c>
      <c r="D459" s="0" t="n">
        <v>489.573</v>
      </c>
      <c r="E459" s="0" t="n">
        <f aca="false">D459-0.155</f>
        <v>489.418</v>
      </c>
      <c r="F459" s="0" t="n">
        <v>489.545</v>
      </c>
      <c r="G459" s="0" t="n">
        <f aca="false">IF(E459 - F459 &lt; 0, 0, E459 - F459)</f>
        <v>0</v>
      </c>
      <c r="H459" s="0" t="n">
        <v>1.82</v>
      </c>
      <c r="I459" s="0" t="n">
        <f aca="false">1.82*30*(G459^1.5)</f>
        <v>0</v>
      </c>
      <c r="J459" s="0" t="n">
        <f aca="false">I459*60</f>
        <v>0</v>
      </c>
      <c r="K459" s="0" t="n">
        <f aca="false">(I459*86400)/24</f>
        <v>0</v>
      </c>
    </row>
    <row r="460" customFormat="false" ht="16.5" hidden="false" customHeight="false" outlineLevel="0" collapsed="false">
      <c r="A460" s="56" t="n">
        <v>45853.8333333333</v>
      </c>
      <c r="B460" s="57" t="n">
        <f aca="false">MOD(A460,1)</f>
        <v>0.833333333343035</v>
      </c>
      <c r="C460" s="0" t="n">
        <v>0</v>
      </c>
      <c r="D460" s="0" t="n">
        <v>489.573</v>
      </c>
      <c r="E460" s="0" t="n">
        <f aca="false">D460-0.155</f>
        <v>489.418</v>
      </c>
      <c r="F460" s="0" t="n">
        <v>489.545</v>
      </c>
      <c r="G460" s="0" t="n">
        <f aca="false">IF(E460 - F460 &lt; 0, 0, E460 - F460)</f>
        <v>0</v>
      </c>
      <c r="H460" s="0" t="n">
        <v>1.82</v>
      </c>
      <c r="I460" s="0" t="n">
        <f aca="false">1.82*30*(G460^1.5)</f>
        <v>0</v>
      </c>
      <c r="J460" s="0" t="n">
        <f aca="false">I460*60</f>
        <v>0</v>
      </c>
      <c r="K460" s="0" t="n">
        <f aca="false">(I460*86400)/24</f>
        <v>0</v>
      </c>
    </row>
    <row r="461" customFormat="false" ht="16.5" hidden="false" customHeight="false" outlineLevel="0" collapsed="false">
      <c r="A461" s="56" t="n">
        <v>45853.875</v>
      </c>
      <c r="B461" s="57" t="n">
        <f aca="false">MOD(A461,1)</f>
        <v>0.875</v>
      </c>
      <c r="C461" s="0" t="n">
        <v>3.6</v>
      </c>
      <c r="D461" s="0" t="n">
        <v>489.579</v>
      </c>
      <c r="E461" s="0" t="n">
        <f aca="false">D461-0.155</f>
        <v>489.424</v>
      </c>
      <c r="F461" s="0" t="n">
        <v>489.545</v>
      </c>
      <c r="G461" s="0" t="n">
        <f aca="false">IF(E461 - F461 &lt; 0, 0, E461 - F461)</f>
        <v>0</v>
      </c>
      <c r="H461" s="0" t="n">
        <v>1.82</v>
      </c>
      <c r="I461" s="0" t="n">
        <f aca="false">1.82*30*(G461^1.5)</f>
        <v>0</v>
      </c>
      <c r="J461" s="0" t="n">
        <f aca="false">I461*60</f>
        <v>0</v>
      </c>
      <c r="K461" s="0" t="n">
        <f aca="false">(I461*86400)/24</f>
        <v>0</v>
      </c>
    </row>
    <row r="462" customFormat="false" ht="16.5" hidden="false" customHeight="false" outlineLevel="0" collapsed="false">
      <c r="A462" s="56" t="n">
        <v>45853.9166666667</v>
      </c>
      <c r="B462" s="57" t="n">
        <f aca="false">MOD(A462,1)</f>
        <v>0.916666666656965</v>
      </c>
      <c r="C462" s="0" t="n">
        <v>4</v>
      </c>
      <c r="D462" s="0" t="n">
        <v>489.617</v>
      </c>
      <c r="E462" s="0" t="n">
        <f aca="false">D462-0.155</f>
        <v>489.462</v>
      </c>
      <c r="F462" s="0" t="n">
        <v>489.545</v>
      </c>
      <c r="G462" s="0" t="n">
        <f aca="false">IF(E462 - F462 &lt; 0, 0, E462 - F462)</f>
        <v>0</v>
      </c>
      <c r="H462" s="0" t="n">
        <v>1.82</v>
      </c>
      <c r="I462" s="0" t="n">
        <f aca="false">1.82*30*(G462^1.5)</f>
        <v>0</v>
      </c>
      <c r="J462" s="0" t="n">
        <f aca="false">I462*60</f>
        <v>0</v>
      </c>
      <c r="K462" s="0" t="n">
        <f aca="false">(I462*86400)/24</f>
        <v>0</v>
      </c>
    </row>
    <row r="463" customFormat="false" ht="16.5" hidden="false" customHeight="false" outlineLevel="0" collapsed="false">
      <c r="A463" s="56" t="n">
        <v>45853.9583333333</v>
      </c>
      <c r="B463" s="57" t="n">
        <f aca="false">MOD(A463,1)</f>
        <v>0.958333333343035</v>
      </c>
      <c r="C463" s="0" t="n">
        <v>1.2</v>
      </c>
      <c r="D463" s="0" t="n">
        <v>489.689</v>
      </c>
      <c r="E463" s="0" t="n">
        <f aca="false">D463-0.155</f>
        <v>489.534</v>
      </c>
      <c r="F463" s="0" t="n">
        <v>489.545</v>
      </c>
      <c r="G463" s="0" t="n">
        <f aca="false">IF(E463 - F463 &lt; 0, 0, E463 - F463)</f>
        <v>0</v>
      </c>
      <c r="H463" s="0" t="n">
        <v>1.82</v>
      </c>
      <c r="I463" s="0" t="n">
        <f aca="false">1.82*30*(G463^1.5)</f>
        <v>0</v>
      </c>
      <c r="J463" s="0" t="n">
        <f aca="false">I463*60</f>
        <v>0</v>
      </c>
      <c r="K463" s="0" t="n">
        <f aca="false">(I463*86400)/24</f>
        <v>0</v>
      </c>
    </row>
    <row r="464" customFormat="false" ht="16.5" hidden="false" customHeight="false" outlineLevel="0" collapsed="false">
      <c r="A464" s="56" t="n">
        <v>45854</v>
      </c>
      <c r="B464" s="57" t="n">
        <f aca="false">MOD(A464,1)</f>
        <v>0</v>
      </c>
      <c r="C464" s="0" t="n">
        <v>1.6</v>
      </c>
      <c r="D464" s="0" t="n">
        <v>489.804</v>
      </c>
      <c r="E464" s="0" t="n">
        <f aca="false">D464-0.155</f>
        <v>489.649</v>
      </c>
      <c r="F464" s="0" t="n">
        <v>489.545</v>
      </c>
      <c r="G464" s="0" t="n">
        <f aca="false">IF(E464 - F464 &lt; 0, 0, E464 - F464)</f>
        <v>0.103999999999985</v>
      </c>
      <c r="H464" s="0" t="n">
        <v>1.82</v>
      </c>
      <c r="I464" s="0" t="n">
        <f aca="false">1.82*30*(G464^1.5)</f>
        <v>1.83122897591714</v>
      </c>
      <c r="J464" s="0" t="n">
        <f aca="false">I464*60</f>
        <v>109.873738555029</v>
      </c>
      <c r="K464" s="0" t="n">
        <f aca="false">(I464*86400)/24</f>
        <v>6592.42431330171</v>
      </c>
    </row>
    <row r="465" customFormat="false" ht="16.5" hidden="false" customHeight="false" outlineLevel="0" collapsed="false">
      <c r="A465" s="56" t="n">
        <v>45854.0416666667</v>
      </c>
      <c r="B465" s="57" t="n">
        <f aca="false">MOD(A465,1)</f>
        <v>0.0416666666569654</v>
      </c>
      <c r="C465" s="0" t="n">
        <v>0.4</v>
      </c>
      <c r="D465" s="0" t="n">
        <v>489.842</v>
      </c>
      <c r="E465" s="0" t="n">
        <f aca="false">D465-0.155</f>
        <v>489.687</v>
      </c>
      <c r="F465" s="0" t="n">
        <v>489.545</v>
      </c>
      <c r="G465" s="0" t="n">
        <f aca="false">IF(E465 - F465 &lt; 0, 0, E465 - F465)</f>
        <v>0.141999999999996</v>
      </c>
      <c r="H465" s="0" t="n">
        <v>1.82</v>
      </c>
      <c r="I465" s="0" t="n">
        <f aca="false">1.82*30*(G465^1.5)</f>
        <v>2.92162962301508</v>
      </c>
      <c r="J465" s="0" t="n">
        <f aca="false">I465*60</f>
        <v>175.297777380905</v>
      </c>
      <c r="K465" s="0" t="n">
        <f aca="false">(I465*86400)/24</f>
        <v>10517.8666428543</v>
      </c>
    </row>
    <row r="466" customFormat="false" ht="16.5" hidden="false" customHeight="false" outlineLevel="0" collapsed="false">
      <c r="A466" s="56" t="n">
        <v>45854.0833333333</v>
      </c>
      <c r="B466" s="57" t="n">
        <f aca="false">MOD(A466,1)</f>
        <v>0.0833333333430346</v>
      </c>
      <c r="C466" s="0" t="n">
        <v>0.4</v>
      </c>
      <c r="D466" s="0" t="n">
        <v>489.862</v>
      </c>
      <c r="E466" s="0" t="n">
        <f aca="false">D466-0.155</f>
        <v>489.707</v>
      </c>
      <c r="F466" s="0" t="n">
        <v>489.545</v>
      </c>
      <c r="G466" s="0" t="n">
        <f aca="false">IF(E466 - F466 &lt; 0, 0, E466 - F466)</f>
        <v>0.162000000000035</v>
      </c>
      <c r="H466" s="0" t="n">
        <v>1.82</v>
      </c>
      <c r="I466" s="0" t="n">
        <f aca="false">1.82*30*(G466^1.5)</f>
        <v>3.56012432542574</v>
      </c>
      <c r="J466" s="0" t="n">
        <f aca="false">I466*60</f>
        <v>213.607459525545</v>
      </c>
      <c r="K466" s="0" t="n">
        <f aca="false">(I466*86400)/24</f>
        <v>12816.4475715327</v>
      </c>
    </row>
    <row r="467" customFormat="false" ht="16.5" hidden="false" customHeight="false" outlineLevel="0" collapsed="false">
      <c r="A467" s="56" t="n">
        <v>45854.125</v>
      </c>
      <c r="B467" s="57" t="n">
        <f aca="false">MOD(A467,1)</f>
        <v>0.125</v>
      </c>
      <c r="C467" s="0" t="n">
        <v>0</v>
      </c>
      <c r="D467" s="0" t="n">
        <v>489.869</v>
      </c>
      <c r="E467" s="0" t="n">
        <f aca="false">D467-0.155</f>
        <v>489.714</v>
      </c>
      <c r="F467" s="0" t="n">
        <v>489.545</v>
      </c>
      <c r="G467" s="0" t="n">
        <f aca="false">IF(E467 - F467 &lt; 0, 0, E467 - F467)</f>
        <v>0.16900000000004</v>
      </c>
      <c r="H467" s="0" t="n">
        <v>1.82</v>
      </c>
      <c r="I467" s="0" t="n">
        <f aca="false">1.82*30*(G467^1.5)</f>
        <v>3.79334811458823</v>
      </c>
      <c r="J467" s="0" t="n">
        <f aca="false">I467*60</f>
        <v>227.600886875294</v>
      </c>
      <c r="K467" s="0" t="n">
        <f aca="false">(I467*86400)/24</f>
        <v>13656.0532125176</v>
      </c>
    </row>
    <row r="468" customFormat="false" ht="16.5" hidden="false" customHeight="false" outlineLevel="0" collapsed="false">
      <c r="A468" s="56" t="n">
        <v>45854.1666666667</v>
      </c>
      <c r="B468" s="57" t="n">
        <f aca="false">MOD(A468,1)</f>
        <v>0.166666666656965</v>
      </c>
      <c r="C468" s="0" t="n">
        <v>0</v>
      </c>
      <c r="D468" s="0" t="n">
        <v>489.869</v>
      </c>
      <c r="E468" s="0" t="n">
        <f aca="false">D468-0.155</f>
        <v>489.714</v>
      </c>
      <c r="F468" s="0" t="n">
        <v>489.545</v>
      </c>
      <c r="G468" s="0" t="n">
        <f aca="false">IF(E468 - F468 &lt; 0, 0, E468 - F468)</f>
        <v>0.16900000000004</v>
      </c>
      <c r="H468" s="0" t="n">
        <v>1.82</v>
      </c>
      <c r="I468" s="0" t="n">
        <f aca="false">1.82*30*(G468^1.5)</f>
        <v>3.79334811458823</v>
      </c>
      <c r="J468" s="0" t="n">
        <f aca="false">I468*60</f>
        <v>227.600886875294</v>
      </c>
      <c r="K468" s="0" t="n">
        <f aca="false">(I468*86400)/24</f>
        <v>13656.0532125176</v>
      </c>
    </row>
    <row r="469" customFormat="false" ht="16.5" hidden="false" customHeight="false" outlineLevel="0" collapsed="false">
      <c r="A469" s="56" t="n">
        <v>45854.2083333333</v>
      </c>
      <c r="B469" s="57" t="n">
        <f aca="false">MOD(A469,1)</f>
        <v>0.208333333343035</v>
      </c>
      <c r="C469" s="0" t="n">
        <v>0</v>
      </c>
      <c r="D469" s="0" t="n">
        <v>489.869</v>
      </c>
      <c r="E469" s="0" t="n">
        <f aca="false">D469-0.155</f>
        <v>489.714</v>
      </c>
      <c r="F469" s="0" t="n">
        <v>489.545</v>
      </c>
      <c r="G469" s="0" t="n">
        <f aca="false">IF(E469 - F469 &lt; 0, 0, E469 - F469)</f>
        <v>0.16900000000004</v>
      </c>
      <c r="H469" s="0" t="n">
        <v>1.82</v>
      </c>
      <c r="I469" s="0" t="n">
        <f aca="false">1.82*30*(G469^1.5)</f>
        <v>3.79334811458823</v>
      </c>
      <c r="J469" s="0" t="n">
        <f aca="false">I469*60</f>
        <v>227.600886875294</v>
      </c>
      <c r="K469" s="0" t="n">
        <f aca="false">(I469*86400)/24</f>
        <v>13656.0532125176</v>
      </c>
    </row>
    <row r="470" customFormat="false" ht="16.5" hidden="false" customHeight="false" outlineLevel="0" collapsed="false">
      <c r="A470" s="56" t="n">
        <v>45854.25</v>
      </c>
      <c r="B470" s="57" t="n">
        <f aca="false">MOD(A470,1)</f>
        <v>0.25</v>
      </c>
      <c r="C470" s="0" t="n">
        <v>0</v>
      </c>
      <c r="D470" s="0" t="n">
        <v>489.869</v>
      </c>
      <c r="E470" s="0" t="n">
        <f aca="false">D470-0.155</f>
        <v>489.714</v>
      </c>
      <c r="F470" s="0" t="n">
        <v>489.545</v>
      </c>
      <c r="G470" s="0" t="n">
        <f aca="false">IF(E470 - F470 &lt; 0, 0, E470 - F470)</f>
        <v>0.16900000000004</v>
      </c>
      <c r="H470" s="0" t="n">
        <v>1.82</v>
      </c>
      <c r="I470" s="0" t="n">
        <f aca="false">1.82*30*(G470^1.5)</f>
        <v>3.79334811458823</v>
      </c>
      <c r="J470" s="0" t="n">
        <f aca="false">I470*60</f>
        <v>227.600886875294</v>
      </c>
      <c r="K470" s="0" t="n">
        <f aca="false">(I470*86400)/24</f>
        <v>13656.0532125176</v>
      </c>
    </row>
    <row r="471" customFormat="false" ht="16.5" hidden="false" customHeight="false" outlineLevel="0" collapsed="false">
      <c r="A471" s="56" t="n">
        <v>45854.2916666667</v>
      </c>
      <c r="B471" s="57" t="n">
        <f aca="false">MOD(A471,1)</f>
        <v>0.291666666656965</v>
      </c>
      <c r="C471" s="0" t="n">
        <v>0</v>
      </c>
      <c r="D471" s="0" t="n">
        <v>489.862</v>
      </c>
      <c r="E471" s="0" t="n">
        <f aca="false">D471-0.155</f>
        <v>489.707</v>
      </c>
      <c r="F471" s="0" t="n">
        <v>489.545</v>
      </c>
      <c r="G471" s="0" t="n">
        <f aca="false">IF(E471 - F471 &lt; 0, 0, E471 - F471)</f>
        <v>0.162000000000035</v>
      </c>
      <c r="H471" s="0" t="n">
        <v>1.82</v>
      </c>
      <c r="I471" s="0" t="n">
        <f aca="false">1.82*30*(G471^1.5)</f>
        <v>3.56012432542574</v>
      </c>
      <c r="J471" s="0" t="n">
        <f aca="false">I471*60</f>
        <v>213.607459525545</v>
      </c>
      <c r="K471" s="0" t="n">
        <f aca="false">(I471*86400)/24</f>
        <v>12816.4475715327</v>
      </c>
    </row>
    <row r="472" customFormat="false" ht="16.5" hidden="false" customHeight="false" outlineLevel="0" collapsed="false">
      <c r="A472" s="56" t="n">
        <v>45854.3333333333</v>
      </c>
      <c r="B472" s="57" t="n">
        <f aca="false">MOD(A472,1)</f>
        <v>0.333333333343035</v>
      </c>
      <c r="C472" s="0" t="n">
        <v>0</v>
      </c>
      <c r="D472" s="0" t="n">
        <v>489.855</v>
      </c>
      <c r="E472" s="0" t="n">
        <f aca="false">D472-0.155</f>
        <v>489.7</v>
      </c>
      <c r="F472" s="0" t="n">
        <v>489.545</v>
      </c>
      <c r="G472" s="0" t="n">
        <f aca="false">IF(E472 - F472 &lt; 0, 0, E472 - F472)</f>
        <v>0.15500000000003</v>
      </c>
      <c r="H472" s="0" t="n">
        <v>1.82</v>
      </c>
      <c r="I472" s="0" t="n">
        <f aca="false">1.82*30*(G472^1.5)</f>
        <v>3.33188643188905</v>
      </c>
      <c r="J472" s="0" t="n">
        <f aca="false">I472*60</f>
        <v>199.913185913343</v>
      </c>
      <c r="K472" s="0" t="n">
        <f aca="false">(I472*86400)/24</f>
        <v>11994.7911548006</v>
      </c>
    </row>
    <row r="473" customFormat="false" ht="16.5" hidden="false" customHeight="false" outlineLevel="0" collapsed="false">
      <c r="A473" s="56" t="n">
        <v>45854.375</v>
      </c>
      <c r="B473" s="57" t="n">
        <f aca="false">MOD(A473,1)</f>
        <v>0.375</v>
      </c>
      <c r="C473" s="0" t="n">
        <v>0.6</v>
      </c>
      <c r="D473" s="0" t="n">
        <v>489.855</v>
      </c>
      <c r="E473" s="0" t="n">
        <f aca="false">D473-0.155</f>
        <v>489.7</v>
      </c>
      <c r="F473" s="0" t="n">
        <v>489.545</v>
      </c>
      <c r="G473" s="0" t="n">
        <f aca="false">IF(E473 - F473 &lt; 0, 0, E473 - F473)</f>
        <v>0.15500000000003</v>
      </c>
      <c r="H473" s="0" t="n">
        <v>1.82</v>
      </c>
      <c r="I473" s="0" t="n">
        <f aca="false">1.82*30*(G473^1.5)</f>
        <v>3.33188643188905</v>
      </c>
      <c r="J473" s="0" t="n">
        <f aca="false">I473*60</f>
        <v>199.913185913343</v>
      </c>
      <c r="K473" s="0" t="n">
        <f aca="false">(I473*86400)/24</f>
        <v>11994.7911548006</v>
      </c>
    </row>
    <row r="474" customFormat="false" ht="16.5" hidden="false" customHeight="false" outlineLevel="0" collapsed="false">
      <c r="A474" s="56" t="n">
        <v>45854.4166666667</v>
      </c>
      <c r="B474" s="57" t="n">
        <f aca="false">MOD(A474,1)</f>
        <v>0.416666666656965</v>
      </c>
      <c r="C474" s="0" t="n">
        <v>0.4</v>
      </c>
      <c r="D474" s="0" t="n">
        <v>489.852</v>
      </c>
      <c r="E474" s="0" t="n">
        <f aca="false">D474-0.155</f>
        <v>489.697</v>
      </c>
      <c r="F474" s="0" t="n">
        <v>489.545</v>
      </c>
      <c r="G474" s="0" t="n">
        <f aca="false">IF(E474 - F474 &lt; 0, 0, E474 - F474)</f>
        <v>0.151999999999987</v>
      </c>
      <c r="H474" s="0" t="n">
        <v>1.82</v>
      </c>
      <c r="I474" s="0" t="n">
        <f aca="false">1.82*30*(G474^1.5)</f>
        <v>3.23562382505712</v>
      </c>
      <c r="J474" s="0" t="n">
        <f aca="false">I474*60</f>
        <v>194.137429503427</v>
      </c>
      <c r="K474" s="0" t="n">
        <f aca="false">(I474*86400)/24</f>
        <v>11648.2457702056</v>
      </c>
    </row>
    <row r="475" customFormat="false" ht="16.5" hidden="false" customHeight="false" outlineLevel="0" collapsed="false">
      <c r="A475" s="56" t="n">
        <v>45854.4583333333</v>
      </c>
      <c r="B475" s="57" t="n">
        <f aca="false">MOD(A475,1)</f>
        <v>0.458333333343035</v>
      </c>
      <c r="C475" s="0" t="n">
        <v>0</v>
      </c>
      <c r="D475" s="0" t="n">
        <v>489.848</v>
      </c>
      <c r="E475" s="0" t="n">
        <f aca="false">D475-0.155</f>
        <v>489.693</v>
      </c>
      <c r="F475" s="0" t="n">
        <v>489.545</v>
      </c>
      <c r="G475" s="0" t="n">
        <f aca="false">IF(E475 - F475 &lt; 0, 0, E475 - F475)</f>
        <v>0.148000000000025</v>
      </c>
      <c r="H475" s="0" t="n">
        <v>1.82</v>
      </c>
      <c r="I475" s="0" t="n">
        <f aca="false">1.82*30*(G475^1.5)</f>
        <v>3.10874583051185</v>
      </c>
      <c r="J475" s="0" t="n">
        <f aca="false">I475*60</f>
        <v>186.524749830711</v>
      </c>
      <c r="K475" s="0" t="n">
        <f aca="false">(I475*86400)/24</f>
        <v>11191.4849898427</v>
      </c>
    </row>
    <row r="476" customFormat="false" ht="16.5" hidden="false" customHeight="false" outlineLevel="0" collapsed="false">
      <c r="A476" s="56" t="n">
        <v>45854.5</v>
      </c>
      <c r="B476" s="57" t="n">
        <f aca="false">MOD(A476,1)</f>
        <v>0.5</v>
      </c>
      <c r="C476" s="0" t="n">
        <v>0</v>
      </c>
      <c r="D476" s="0" t="n">
        <v>489.842</v>
      </c>
      <c r="E476" s="0" t="n">
        <f aca="false">D476-0.155</f>
        <v>489.687</v>
      </c>
      <c r="F476" s="0" t="n">
        <v>489.545</v>
      </c>
      <c r="G476" s="0" t="n">
        <f aca="false">IF(E476 - F476 &lt; 0, 0, E476 - F476)</f>
        <v>0.141999999999996</v>
      </c>
      <c r="H476" s="0" t="n">
        <v>1.82</v>
      </c>
      <c r="I476" s="0" t="n">
        <f aca="false">1.82*30*(G476^1.5)</f>
        <v>2.92162962301508</v>
      </c>
      <c r="J476" s="0" t="n">
        <f aca="false">I476*60</f>
        <v>175.297777380905</v>
      </c>
      <c r="K476" s="0" t="n">
        <f aca="false">(I476*86400)/24</f>
        <v>10517.8666428543</v>
      </c>
    </row>
    <row r="477" customFormat="false" ht="16.5" hidden="false" customHeight="false" outlineLevel="0" collapsed="false">
      <c r="A477" s="56" t="n">
        <v>45854.5416666667</v>
      </c>
      <c r="B477" s="57" t="n">
        <f aca="false">MOD(A477,1)</f>
        <v>0.541666666656965</v>
      </c>
      <c r="C477" s="0" t="n">
        <v>0</v>
      </c>
      <c r="D477" s="0" t="n">
        <v>489.835</v>
      </c>
      <c r="E477" s="0" t="n">
        <f aca="false">D477-0.155</f>
        <v>489.68</v>
      </c>
      <c r="F477" s="0" t="n">
        <v>489.545</v>
      </c>
      <c r="G477" s="0" t="n">
        <f aca="false">IF(E477 - F477 &lt; 0, 0, E477 - F477)</f>
        <v>0.134999999999991</v>
      </c>
      <c r="H477" s="0" t="n">
        <v>1.82</v>
      </c>
      <c r="I477" s="0" t="n">
        <f aca="false">1.82*30*(G477^1.5)</f>
        <v>2.70827833410795</v>
      </c>
      <c r="J477" s="0" t="n">
        <f aca="false">I477*60</f>
        <v>162.496700046477</v>
      </c>
      <c r="K477" s="0" t="n">
        <f aca="false">(I477*86400)/24</f>
        <v>9749.80200278861</v>
      </c>
    </row>
    <row r="478" customFormat="false" ht="16.5" hidden="false" customHeight="false" outlineLevel="0" collapsed="false">
      <c r="A478" s="56" t="n">
        <v>45854.5833333333</v>
      </c>
      <c r="B478" s="57" t="n">
        <f aca="false">MOD(A478,1)</f>
        <v>0.583333333343035</v>
      </c>
      <c r="C478" s="0" t="n">
        <v>0</v>
      </c>
      <c r="D478" s="0" t="n">
        <v>489.835</v>
      </c>
      <c r="E478" s="0" t="n">
        <f aca="false">D478-0.155</f>
        <v>489.68</v>
      </c>
      <c r="F478" s="0" t="n">
        <v>489.545</v>
      </c>
      <c r="G478" s="0" t="n">
        <f aca="false">IF(E478 - F478 &lt; 0, 0, E478 - F478)</f>
        <v>0.134999999999991</v>
      </c>
      <c r="H478" s="0" t="n">
        <v>1.82</v>
      </c>
      <c r="I478" s="0" t="n">
        <f aca="false">1.82*30*(G478^1.5)</f>
        <v>2.70827833410795</v>
      </c>
      <c r="J478" s="0" t="n">
        <f aca="false">I478*60</f>
        <v>162.496700046477</v>
      </c>
      <c r="K478" s="0" t="n">
        <f aca="false">(I478*86400)/24</f>
        <v>9749.80200278861</v>
      </c>
    </row>
    <row r="479" customFormat="false" ht="16.5" hidden="false" customHeight="false" outlineLevel="0" collapsed="false">
      <c r="A479" s="56" t="n">
        <v>45854.625</v>
      </c>
      <c r="B479" s="57" t="n">
        <f aca="false">MOD(A479,1)</f>
        <v>0.625</v>
      </c>
      <c r="C479" s="0" t="n">
        <v>0</v>
      </c>
      <c r="D479" s="0" t="n">
        <v>489.829</v>
      </c>
      <c r="E479" s="0" t="n">
        <f aca="false">D479-0.155</f>
        <v>489.674</v>
      </c>
      <c r="F479" s="0" t="n">
        <v>489.545</v>
      </c>
      <c r="G479" s="0" t="n">
        <f aca="false">IF(E479 - F479 &lt; 0, 0, E479 - F479)</f>
        <v>0.129000000000019</v>
      </c>
      <c r="H479" s="0" t="n">
        <v>1.82</v>
      </c>
      <c r="I479" s="0" t="n">
        <f aca="false">1.82*30*(G479^1.5)</f>
        <v>2.52974769082666</v>
      </c>
      <c r="J479" s="0" t="n">
        <f aca="false">I479*60</f>
        <v>151.7848614496</v>
      </c>
      <c r="K479" s="0" t="n">
        <f aca="false">(I479*86400)/24</f>
        <v>9107.09168697599</v>
      </c>
    </row>
    <row r="480" customFormat="false" ht="16.5" hidden="false" customHeight="false" outlineLevel="0" collapsed="false">
      <c r="A480" s="56" t="n">
        <v>45854.6666666667</v>
      </c>
      <c r="B480" s="57" t="n">
        <f aca="false">MOD(A480,1)</f>
        <v>0.666666666656965</v>
      </c>
      <c r="C480" s="0" t="n">
        <v>0</v>
      </c>
      <c r="D480" s="0" t="n">
        <v>489.829</v>
      </c>
      <c r="E480" s="0" t="n">
        <f aca="false">D480-0.155</f>
        <v>489.674</v>
      </c>
      <c r="F480" s="0" t="n">
        <v>489.545</v>
      </c>
      <c r="G480" s="0" t="n">
        <f aca="false">IF(E480 - F480 &lt; 0, 0, E480 - F480)</f>
        <v>0.129000000000019</v>
      </c>
      <c r="H480" s="0" t="n">
        <v>1.82</v>
      </c>
      <c r="I480" s="0" t="n">
        <f aca="false">1.82*30*(G480^1.5)</f>
        <v>2.52974769082666</v>
      </c>
      <c r="J480" s="0" t="n">
        <f aca="false">I480*60</f>
        <v>151.7848614496</v>
      </c>
      <c r="K480" s="0" t="n">
        <f aca="false">(I480*86400)/24</f>
        <v>9107.09168697599</v>
      </c>
    </row>
    <row r="481" customFormat="false" ht="16.5" hidden="false" customHeight="false" outlineLevel="0" collapsed="false">
      <c r="A481" s="56" t="n">
        <v>45854.7083333333</v>
      </c>
      <c r="B481" s="57" t="n">
        <f aca="false">MOD(A481,1)</f>
        <v>0.708333333343035</v>
      </c>
      <c r="C481" s="0" t="n">
        <v>0</v>
      </c>
      <c r="D481" s="0" t="n">
        <v>489.822</v>
      </c>
      <c r="E481" s="0" t="n">
        <f aca="false">D481-0.155</f>
        <v>489.667</v>
      </c>
      <c r="F481" s="0" t="n">
        <v>489.545</v>
      </c>
      <c r="G481" s="0" t="n">
        <f aca="false">IF(E481 - F481 &lt; 0, 0, E481 - F481)</f>
        <v>0.122000000000014</v>
      </c>
      <c r="H481" s="0" t="n">
        <v>1.82</v>
      </c>
      <c r="I481" s="0" t="n">
        <f aca="false">1.82*30*(G481^1.5)</f>
        <v>2.32665713496464</v>
      </c>
      <c r="J481" s="0" t="n">
        <f aca="false">I481*60</f>
        <v>139.599428097879</v>
      </c>
      <c r="K481" s="0" t="n">
        <f aca="false">(I481*86400)/24</f>
        <v>8375.96568587271</v>
      </c>
    </row>
    <row r="482" customFormat="false" ht="16.5" hidden="false" customHeight="false" outlineLevel="0" collapsed="false">
      <c r="A482" s="56" t="n">
        <v>45854.75</v>
      </c>
      <c r="B482" s="57" t="n">
        <f aca="false">MOD(A482,1)</f>
        <v>0.75</v>
      </c>
      <c r="C482" s="0" t="n">
        <v>0</v>
      </c>
      <c r="D482" s="0" t="n">
        <v>489.816</v>
      </c>
      <c r="E482" s="0" t="n">
        <f aca="false">D482-0.155</f>
        <v>489.661</v>
      </c>
      <c r="F482" s="0" t="n">
        <v>489.545</v>
      </c>
      <c r="G482" s="0" t="n">
        <f aca="false">IF(E482 - F482 &lt; 0, 0, E482 - F482)</f>
        <v>0.115999999999985</v>
      </c>
      <c r="H482" s="0" t="n">
        <v>1.82</v>
      </c>
      <c r="I482" s="0" t="n">
        <f aca="false">1.82*30*(G482^1.5)</f>
        <v>2.15714642974422</v>
      </c>
      <c r="J482" s="0" t="n">
        <f aca="false">I482*60</f>
        <v>129.428785784653</v>
      </c>
      <c r="K482" s="0" t="n">
        <f aca="false">(I482*86400)/24</f>
        <v>7765.7271470792</v>
      </c>
    </row>
    <row r="483" customFormat="false" ht="16.5" hidden="false" customHeight="false" outlineLevel="0" collapsed="false">
      <c r="A483" s="56" t="n">
        <v>45854.7916666667</v>
      </c>
      <c r="B483" s="57" t="n">
        <f aca="false">MOD(A483,1)</f>
        <v>0.791666666656965</v>
      </c>
      <c r="C483" s="0" t="n">
        <v>0</v>
      </c>
      <c r="D483" s="0" t="n">
        <v>489.81</v>
      </c>
      <c r="E483" s="0" t="n">
        <f aca="false">D483-0.155</f>
        <v>489.655</v>
      </c>
      <c r="F483" s="0" t="n">
        <v>489.545</v>
      </c>
      <c r="G483" s="0" t="n">
        <f aca="false">IF(E483 - F483 &lt; 0, 0, E483 - F483)</f>
        <v>0.110000000000014</v>
      </c>
      <c r="H483" s="0" t="n">
        <v>1.82</v>
      </c>
      <c r="I483" s="0" t="n">
        <f aca="false">1.82*30*(G483^1.5)</f>
        <v>1.99196484908782</v>
      </c>
      <c r="J483" s="0" t="n">
        <f aca="false">I483*60</f>
        <v>119.517890945269</v>
      </c>
      <c r="K483" s="0" t="n">
        <f aca="false">(I483*86400)/24</f>
        <v>7171.07345671617</v>
      </c>
    </row>
    <row r="484" customFormat="false" ht="16.5" hidden="false" customHeight="false" outlineLevel="0" collapsed="false">
      <c r="A484" s="56" t="n">
        <v>45854.8333333333</v>
      </c>
      <c r="B484" s="57" t="n">
        <f aca="false">MOD(A484,1)</f>
        <v>0.833333333343035</v>
      </c>
      <c r="C484" s="0" t="n">
        <v>0</v>
      </c>
      <c r="D484" s="0" t="n">
        <v>489.81</v>
      </c>
      <c r="E484" s="0" t="n">
        <f aca="false">D484-0.155</f>
        <v>489.655</v>
      </c>
      <c r="F484" s="0" t="n">
        <v>489.545</v>
      </c>
      <c r="G484" s="0" t="n">
        <f aca="false">IF(E484 - F484 &lt; 0, 0, E484 - F484)</f>
        <v>0.110000000000014</v>
      </c>
      <c r="H484" s="0" t="n">
        <v>1.82</v>
      </c>
      <c r="I484" s="0" t="n">
        <f aca="false">1.82*30*(G484^1.5)</f>
        <v>1.99196484908782</v>
      </c>
      <c r="J484" s="0" t="n">
        <f aca="false">I484*60</f>
        <v>119.517890945269</v>
      </c>
      <c r="K484" s="0" t="n">
        <f aca="false">(I484*86400)/24</f>
        <v>7171.07345671617</v>
      </c>
    </row>
    <row r="485" customFormat="false" ht="16.5" hidden="false" customHeight="false" outlineLevel="0" collapsed="false">
      <c r="A485" s="56" t="n">
        <v>45854.875</v>
      </c>
      <c r="B485" s="57" t="n">
        <f aca="false">MOD(A485,1)</f>
        <v>0.875</v>
      </c>
      <c r="C485" s="0" t="n">
        <v>0</v>
      </c>
      <c r="D485" s="0" t="n">
        <v>489.803</v>
      </c>
      <c r="E485" s="0" t="n">
        <f aca="false">D485-0.155</f>
        <v>489.648</v>
      </c>
      <c r="F485" s="0" t="n">
        <v>489.545</v>
      </c>
      <c r="G485" s="0" t="n">
        <f aca="false">IF(E485 - F485 &lt; 0, 0, E485 - F485)</f>
        <v>0.103000000000009</v>
      </c>
      <c r="H485" s="0" t="n">
        <v>1.82</v>
      </c>
      <c r="I485" s="0" t="n">
        <f aca="false">1.82*30*(G485^1.5)</f>
        <v>1.80488061193</v>
      </c>
      <c r="J485" s="0" t="n">
        <f aca="false">I485*60</f>
        <v>108.2928367158</v>
      </c>
      <c r="K485" s="0" t="n">
        <f aca="false">(I485*86400)/24</f>
        <v>6497.57020294801</v>
      </c>
    </row>
    <row r="486" customFormat="false" ht="16.5" hidden="false" customHeight="false" outlineLevel="0" collapsed="false">
      <c r="A486" s="56" t="n">
        <v>45854.9166666667</v>
      </c>
      <c r="B486" s="57" t="n">
        <f aca="false">MOD(A486,1)</f>
        <v>0.916666666656965</v>
      </c>
      <c r="C486" s="0" t="n">
        <v>0</v>
      </c>
      <c r="D486" s="0" t="n">
        <v>489.798</v>
      </c>
      <c r="E486" s="0" t="n">
        <f aca="false">D486-0.155</f>
        <v>489.643</v>
      </c>
      <c r="F486" s="0" t="n">
        <v>489.545</v>
      </c>
      <c r="G486" s="0" t="n">
        <f aca="false">IF(E486 - F486 &lt; 0, 0, E486 - F486)</f>
        <v>0.0980000000000132</v>
      </c>
      <c r="H486" s="0" t="n">
        <v>1.82</v>
      </c>
      <c r="I486" s="0" t="n">
        <f aca="false">1.82*30*(G486^1.5)</f>
        <v>1.67506535476116</v>
      </c>
      <c r="J486" s="0" t="n">
        <f aca="false">I486*60</f>
        <v>100.50392128567</v>
      </c>
      <c r="K486" s="0" t="n">
        <f aca="false">(I486*86400)/24</f>
        <v>6030.23527714018</v>
      </c>
    </row>
    <row r="487" customFormat="false" ht="16.5" hidden="false" customHeight="false" outlineLevel="0" collapsed="false">
      <c r="A487" s="56" t="n">
        <v>45854.9583333333</v>
      </c>
      <c r="B487" s="57" t="n">
        <f aca="false">MOD(A487,1)</f>
        <v>0.958333333343035</v>
      </c>
      <c r="C487" s="0" t="n">
        <v>0.4</v>
      </c>
      <c r="D487" s="0" t="n">
        <v>489.798</v>
      </c>
      <c r="E487" s="0" t="n">
        <f aca="false">D487-0.155</f>
        <v>489.643</v>
      </c>
      <c r="F487" s="0" t="n">
        <v>489.545</v>
      </c>
      <c r="G487" s="0" t="n">
        <f aca="false">IF(E487 - F487 &lt; 0, 0, E487 - F487)</f>
        <v>0.0980000000000132</v>
      </c>
      <c r="H487" s="0" t="n">
        <v>1.82</v>
      </c>
      <c r="I487" s="0" t="n">
        <f aca="false">1.82*30*(G487^1.5)</f>
        <v>1.67506535476116</v>
      </c>
      <c r="J487" s="0" t="n">
        <f aca="false">I487*60</f>
        <v>100.50392128567</v>
      </c>
      <c r="K487" s="0" t="n">
        <f aca="false">(I487*86400)/24</f>
        <v>6030.23527714018</v>
      </c>
    </row>
    <row r="488" customFormat="false" ht="16.5" hidden="false" customHeight="false" outlineLevel="0" collapsed="false">
      <c r="A488" s="56" t="n">
        <v>45855</v>
      </c>
      <c r="B488" s="57" t="n">
        <f aca="false">MOD(A488,1)</f>
        <v>0</v>
      </c>
      <c r="C488" s="0" t="n">
        <v>0</v>
      </c>
      <c r="D488" s="0" t="n">
        <v>489.792</v>
      </c>
      <c r="E488" s="0" t="n">
        <f aca="false">D488-0.155</f>
        <v>489.637</v>
      </c>
      <c r="F488" s="0" t="n">
        <v>489.545</v>
      </c>
      <c r="G488" s="0" t="n">
        <f aca="false">IF(E488 - F488 &lt; 0, 0, E488 - F488)</f>
        <v>0.0919999999999845</v>
      </c>
      <c r="H488" s="0" t="n">
        <v>1.82</v>
      </c>
      <c r="I488" s="0" t="n">
        <f aca="false">1.82*30*(G488^1.5)</f>
        <v>1.52361199722201</v>
      </c>
      <c r="J488" s="0" t="n">
        <f aca="false">I488*60</f>
        <v>91.4167198333204</v>
      </c>
      <c r="K488" s="0" t="n">
        <f aca="false">(I488*86400)/24</f>
        <v>5485.00318999922</v>
      </c>
    </row>
    <row r="489" customFormat="false" ht="16.5" hidden="false" customHeight="false" outlineLevel="0" collapsed="false">
      <c r="A489" s="56" t="n">
        <v>45855.0416666667</v>
      </c>
      <c r="B489" s="57" t="n">
        <f aca="false">MOD(A489,1)</f>
        <v>0.0416666666569654</v>
      </c>
      <c r="C489" s="0" t="n">
        <v>0</v>
      </c>
      <c r="D489" s="0" t="n">
        <v>489.792</v>
      </c>
      <c r="E489" s="0" t="n">
        <f aca="false">D489-0.155</f>
        <v>489.637</v>
      </c>
      <c r="F489" s="0" t="n">
        <v>489.545</v>
      </c>
      <c r="G489" s="0" t="n">
        <f aca="false">IF(E489 - F489 &lt; 0, 0, E489 - F489)</f>
        <v>0.0919999999999845</v>
      </c>
      <c r="H489" s="0" t="n">
        <v>1.82</v>
      </c>
      <c r="I489" s="0" t="n">
        <f aca="false">1.82*30*(G489^1.5)</f>
        <v>1.52361199722201</v>
      </c>
      <c r="J489" s="0" t="n">
        <f aca="false">I489*60</f>
        <v>91.4167198333204</v>
      </c>
      <c r="K489" s="0" t="n">
        <f aca="false">(I489*86400)/24</f>
        <v>5485.00318999922</v>
      </c>
    </row>
    <row r="490" customFormat="false" ht="16.5" hidden="false" customHeight="false" outlineLevel="0" collapsed="false">
      <c r="A490" s="56" t="n">
        <v>45855.0833333333</v>
      </c>
      <c r="B490" s="57" t="n">
        <f aca="false">MOD(A490,1)</f>
        <v>0.0833333333430346</v>
      </c>
      <c r="C490" s="0" t="n">
        <v>0</v>
      </c>
      <c r="D490" s="0" t="n">
        <v>489.785</v>
      </c>
      <c r="E490" s="0" t="n">
        <f aca="false">D490-0.155</f>
        <v>489.63</v>
      </c>
      <c r="F490" s="0" t="n">
        <v>489.545</v>
      </c>
      <c r="G490" s="0" t="n">
        <f aca="false">IF(E490 - F490 &lt; 0, 0, E490 - F490)</f>
        <v>0.0850000000000364</v>
      </c>
      <c r="H490" s="0" t="n">
        <v>1.82</v>
      </c>
      <c r="I490" s="0" t="n">
        <f aca="false">1.82*30*(G490^1.5)</f>
        <v>1.35307238719972</v>
      </c>
      <c r="J490" s="0" t="n">
        <f aca="false">I490*60</f>
        <v>81.1843432319832</v>
      </c>
      <c r="K490" s="0" t="n">
        <f aca="false">(I490*86400)/24</f>
        <v>4871.06059391899</v>
      </c>
    </row>
    <row r="491" customFormat="false" ht="16.5" hidden="false" customHeight="false" outlineLevel="0" collapsed="false">
      <c r="A491" s="56" t="n">
        <v>45855.125</v>
      </c>
      <c r="B491" s="57" t="n">
        <f aca="false">MOD(A491,1)</f>
        <v>0.125</v>
      </c>
      <c r="C491" s="0" t="n">
        <v>0</v>
      </c>
      <c r="D491" s="0" t="n">
        <v>489.778</v>
      </c>
      <c r="E491" s="0" t="n">
        <f aca="false">D491-0.155</f>
        <v>489.623</v>
      </c>
      <c r="F491" s="0" t="n">
        <v>489.545</v>
      </c>
      <c r="G491" s="0" t="n">
        <f aca="false">IF(E491 - F491 &lt; 0, 0, E491 - F491)</f>
        <v>0.0780000000000314</v>
      </c>
      <c r="H491" s="0" t="n">
        <v>1.82</v>
      </c>
      <c r="I491" s="0" t="n">
        <f aca="false">1.82*30*(G491^1.5)</f>
        <v>1.18941810996878</v>
      </c>
      <c r="J491" s="0" t="n">
        <f aca="false">I491*60</f>
        <v>71.3650865981269</v>
      </c>
      <c r="K491" s="0" t="n">
        <f aca="false">(I491*86400)/24</f>
        <v>4281.90519588761</v>
      </c>
    </row>
    <row r="492" customFormat="false" ht="16.5" hidden="false" customHeight="false" outlineLevel="0" collapsed="false">
      <c r="A492" s="56" t="n">
        <v>45855.1666666667</v>
      </c>
      <c r="B492" s="57" t="n">
        <f aca="false">MOD(A492,1)</f>
        <v>0.166666666656965</v>
      </c>
      <c r="C492" s="0" t="n">
        <v>0</v>
      </c>
      <c r="D492" s="0" t="n">
        <v>489.772</v>
      </c>
      <c r="E492" s="0" t="n">
        <f aca="false">D492-0.155</f>
        <v>489.617</v>
      </c>
      <c r="F492" s="0" t="n">
        <v>489.545</v>
      </c>
      <c r="G492" s="0" t="n">
        <f aca="false">IF(E492 - F492 &lt; 0, 0, E492 - F492)</f>
        <v>0.0720000000000027</v>
      </c>
      <c r="H492" s="0" t="n">
        <v>1.82</v>
      </c>
      <c r="I492" s="0" t="n">
        <f aca="false">1.82*30*(G492^1.5)</f>
        <v>1.05485165197772</v>
      </c>
      <c r="J492" s="0" t="n">
        <f aca="false">I492*60</f>
        <v>63.2910991186633</v>
      </c>
      <c r="K492" s="0" t="n">
        <f aca="false">(I492*86400)/24</f>
        <v>3797.4659471198</v>
      </c>
    </row>
    <row r="493" customFormat="false" ht="16.5" hidden="false" customHeight="false" outlineLevel="0" collapsed="false">
      <c r="A493" s="56" t="n">
        <v>45855.2083333333</v>
      </c>
      <c r="B493" s="57" t="n">
        <f aca="false">MOD(A493,1)</f>
        <v>0.208333333343035</v>
      </c>
      <c r="C493" s="0" t="n">
        <v>0</v>
      </c>
      <c r="D493" s="0" t="n">
        <v>489.772</v>
      </c>
      <c r="E493" s="0" t="n">
        <f aca="false">D493-0.155</f>
        <v>489.617</v>
      </c>
      <c r="F493" s="0" t="n">
        <v>489.545</v>
      </c>
      <c r="G493" s="0" t="n">
        <f aca="false">IF(E493 - F493 &lt; 0, 0, E493 - F493)</f>
        <v>0.0720000000000027</v>
      </c>
      <c r="H493" s="0" t="n">
        <v>1.82</v>
      </c>
      <c r="I493" s="0" t="n">
        <f aca="false">1.82*30*(G493^1.5)</f>
        <v>1.05485165197772</v>
      </c>
      <c r="J493" s="0" t="n">
        <f aca="false">I493*60</f>
        <v>63.2910991186633</v>
      </c>
      <c r="K493" s="0" t="n">
        <f aca="false">(I493*86400)/24</f>
        <v>3797.4659471198</v>
      </c>
    </row>
    <row r="494" customFormat="false" ht="16.5" hidden="false" customHeight="false" outlineLevel="0" collapsed="false">
      <c r="A494" s="56" t="n">
        <v>45855.25</v>
      </c>
      <c r="B494" s="57" t="n">
        <f aca="false">MOD(A494,1)</f>
        <v>0.25</v>
      </c>
      <c r="C494" s="0" t="n">
        <v>0</v>
      </c>
      <c r="D494" s="0" t="n">
        <v>489.772</v>
      </c>
      <c r="E494" s="0" t="n">
        <f aca="false">D494-0.155</f>
        <v>489.617</v>
      </c>
      <c r="F494" s="0" t="n">
        <v>489.545</v>
      </c>
      <c r="G494" s="0" t="n">
        <f aca="false">IF(E494 - F494 &lt; 0, 0, E494 - F494)</f>
        <v>0.0720000000000027</v>
      </c>
      <c r="H494" s="0" t="n">
        <v>1.82</v>
      </c>
      <c r="I494" s="0" t="n">
        <f aca="false">1.82*30*(G494^1.5)</f>
        <v>1.05485165197772</v>
      </c>
      <c r="J494" s="0" t="n">
        <f aca="false">I494*60</f>
        <v>63.2910991186633</v>
      </c>
      <c r="K494" s="0" t="n">
        <f aca="false">(I494*86400)/24</f>
        <v>3797.4659471198</v>
      </c>
    </row>
    <row r="495" customFormat="false" ht="16.5" hidden="false" customHeight="false" outlineLevel="0" collapsed="false">
      <c r="A495" s="56" t="n">
        <v>45855.2916666667</v>
      </c>
      <c r="B495" s="57" t="n">
        <f aca="false">MOD(A495,1)</f>
        <v>0.291666666656965</v>
      </c>
      <c r="C495" s="0" t="n">
        <v>1</v>
      </c>
      <c r="D495" s="0" t="n">
        <v>489.766</v>
      </c>
      <c r="E495" s="0" t="n">
        <f aca="false">D495-0.155</f>
        <v>489.611</v>
      </c>
      <c r="F495" s="0" t="n">
        <v>489.545</v>
      </c>
      <c r="G495" s="0" t="n">
        <f aca="false">IF(E495 - F495 &lt; 0, 0, E495 - F495)</f>
        <v>0.0660000000000309</v>
      </c>
      <c r="H495" s="0" t="n">
        <v>1.82</v>
      </c>
      <c r="I495" s="0" t="n">
        <f aca="false">1.82*30*(G495^1.5)</f>
        <v>0.925781602410204</v>
      </c>
      <c r="J495" s="0" t="n">
        <f aca="false">I495*60</f>
        <v>55.5468961446122</v>
      </c>
      <c r="K495" s="0" t="n">
        <f aca="false">(I495*86400)/24</f>
        <v>3332.81376867673</v>
      </c>
    </row>
    <row r="496" customFormat="false" ht="16.5" hidden="false" customHeight="false" outlineLevel="0" collapsed="false">
      <c r="A496" s="56" t="n">
        <v>45855.3333333333</v>
      </c>
      <c r="B496" s="57" t="n">
        <f aca="false">MOD(A496,1)</f>
        <v>0.333333333343035</v>
      </c>
      <c r="C496" s="0" t="n">
        <v>0.2</v>
      </c>
      <c r="D496" s="0" t="n">
        <v>489.766</v>
      </c>
      <c r="E496" s="0" t="n">
        <f aca="false">D496-0.155</f>
        <v>489.611</v>
      </c>
      <c r="F496" s="0" t="n">
        <v>489.545</v>
      </c>
      <c r="G496" s="0" t="n">
        <f aca="false">IF(E496 - F496 &lt; 0, 0, E496 - F496)</f>
        <v>0.0660000000000309</v>
      </c>
      <c r="H496" s="0" t="n">
        <v>1.82</v>
      </c>
      <c r="I496" s="0" t="n">
        <f aca="false">1.82*30*(G496^1.5)</f>
        <v>0.925781602410204</v>
      </c>
      <c r="J496" s="0" t="n">
        <f aca="false">I496*60</f>
        <v>55.5468961446122</v>
      </c>
      <c r="K496" s="0" t="n">
        <f aca="false">(I496*86400)/24</f>
        <v>3332.81376867673</v>
      </c>
    </row>
    <row r="497" customFormat="false" ht="16.5" hidden="false" customHeight="false" outlineLevel="0" collapsed="false">
      <c r="A497" s="56" t="n">
        <v>45855.375</v>
      </c>
      <c r="B497" s="57" t="n">
        <f aca="false">MOD(A497,1)</f>
        <v>0.375</v>
      </c>
      <c r="C497" s="0" t="n">
        <v>0.2</v>
      </c>
      <c r="D497" s="0" t="n">
        <v>489.766</v>
      </c>
      <c r="E497" s="0" t="n">
        <f aca="false">D497-0.155</f>
        <v>489.611</v>
      </c>
      <c r="F497" s="0" t="n">
        <v>489.545</v>
      </c>
      <c r="G497" s="0" t="n">
        <f aca="false">IF(E497 - F497 &lt; 0, 0, E497 - F497)</f>
        <v>0.0660000000000309</v>
      </c>
      <c r="H497" s="0" t="n">
        <v>1.82</v>
      </c>
      <c r="I497" s="0" t="n">
        <f aca="false">1.82*30*(G497^1.5)</f>
        <v>0.925781602410204</v>
      </c>
      <c r="J497" s="0" t="n">
        <f aca="false">I497*60</f>
        <v>55.5468961446122</v>
      </c>
      <c r="K497" s="0" t="n">
        <f aca="false">(I497*86400)/24</f>
        <v>3332.81376867673</v>
      </c>
    </row>
    <row r="498" customFormat="false" ht="16.5" hidden="false" customHeight="false" outlineLevel="0" collapsed="false">
      <c r="A498" s="56" t="n">
        <v>45855.4166666667</v>
      </c>
      <c r="B498" s="57" t="n">
        <f aca="false">MOD(A498,1)</f>
        <v>0.416666666656965</v>
      </c>
      <c r="C498" s="0" t="n">
        <v>0.2</v>
      </c>
      <c r="D498" s="0" t="n">
        <v>489.766</v>
      </c>
      <c r="E498" s="0" t="n">
        <f aca="false">D498-0.155</f>
        <v>489.611</v>
      </c>
      <c r="F498" s="0" t="n">
        <v>489.545</v>
      </c>
      <c r="G498" s="0" t="n">
        <f aca="false">IF(E498 - F498 &lt; 0, 0, E498 - F498)</f>
        <v>0.0660000000000309</v>
      </c>
      <c r="H498" s="0" t="n">
        <v>1.82</v>
      </c>
      <c r="I498" s="0" t="n">
        <f aca="false">1.82*30*(G498^1.5)</f>
        <v>0.925781602410204</v>
      </c>
      <c r="J498" s="0" t="n">
        <f aca="false">I498*60</f>
        <v>55.5468961446122</v>
      </c>
      <c r="K498" s="0" t="n">
        <f aca="false">(I498*86400)/24</f>
        <v>3332.81376867673</v>
      </c>
    </row>
    <row r="499" customFormat="false" ht="16.5" hidden="false" customHeight="false" outlineLevel="0" collapsed="false">
      <c r="A499" s="56" t="n">
        <v>45855.4583333333</v>
      </c>
      <c r="B499" s="57" t="n">
        <f aca="false">MOD(A499,1)</f>
        <v>0.458333333343035</v>
      </c>
      <c r="C499" s="0" t="n">
        <v>0</v>
      </c>
      <c r="D499" s="0" t="n">
        <v>489.759</v>
      </c>
      <c r="E499" s="0" t="n">
        <f aca="false">D499-0.155</f>
        <v>489.604</v>
      </c>
      <c r="F499" s="0" t="n">
        <v>489.545</v>
      </c>
      <c r="G499" s="0" t="n">
        <f aca="false">IF(E499 - F499 &lt; 0, 0, E499 - F499)</f>
        <v>0.0590000000000259</v>
      </c>
      <c r="H499" s="0" t="n">
        <v>1.82</v>
      </c>
      <c r="I499" s="0" t="n">
        <f aca="false">1.82*30*(G499^1.5)</f>
        <v>0.782475341234985</v>
      </c>
      <c r="J499" s="0" t="n">
        <f aca="false">I499*60</f>
        <v>46.9485204740991</v>
      </c>
      <c r="K499" s="0" t="n">
        <f aca="false">(I499*86400)/24</f>
        <v>2816.91122844595</v>
      </c>
    </row>
    <row r="500" customFormat="false" ht="16.5" hidden="false" customHeight="false" outlineLevel="0" collapsed="false">
      <c r="A500" s="56" t="n">
        <v>45855.5</v>
      </c>
      <c r="B500" s="57" t="n">
        <f aca="false">MOD(A500,1)</f>
        <v>0.5</v>
      </c>
      <c r="C500" s="0" t="n">
        <v>0</v>
      </c>
      <c r="D500" s="0" t="n">
        <v>489.752</v>
      </c>
      <c r="E500" s="0" t="n">
        <f aca="false">D500-0.155</f>
        <v>489.597</v>
      </c>
      <c r="F500" s="0" t="n">
        <v>489.545</v>
      </c>
      <c r="G500" s="0" t="n">
        <f aca="false">IF(E500 - F500 &lt; 0, 0, E500 - F500)</f>
        <v>0.0520000000000209</v>
      </c>
      <c r="H500" s="0" t="n">
        <v>1.82</v>
      </c>
      <c r="I500" s="0" t="n">
        <f aca="false">1.82*30*(G500^1.5)</f>
        <v>0.647437213388685</v>
      </c>
      <c r="J500" s="0" t="n">
        <f aca="false">I500*60</f>
        <v>38.8462328033211</v>
      </c>
      <c r="K500" s="0" t="n">
        <f aca="false">(I500*86400)/24</f>
        <v>2330.77396819927</v>
      </c>
    </row>
    <row r="501" customFormat="false" ht="16.5" hidden="false" customHeight="false" outlineLevel="0" collapsed="false">
      <c r="A501" s="56" t="n">
        <v>45855.5416666667</v>
      </c>
      <c r="B501" s="57" t="n">
        <f aca="false">MOD(A501,1)</f>
        <v>0.541666666656965</v>
      </c>
      <c r="C501" s="0" t="n">
        <v>0</v>
      </c>
      <c r="D501" s="0" t="n">
        <v>489.752</v>
      </c>
      <c r="E501" s="0" t="n">
        <f aca="false">D501-0.155</f>
        <v>489.597</v>
      </c>
      <c r="F501" s="0" t="n">
        <v>489.545</v>
      </c>
      <c r="G501" s="0" t="n">
        <f aca="false">IF(E501 - F501 &lt; 0, 0, E501 - F501)</f>
        <v>0.0520000000000209</v>
      </c>
      <c r="H501" s="0" t="n">
        <v>1.82</v>
      </c>
      <c r="I501" s="0" t="n">
        <f aca="false">1.82*30*(G501^1.5)</f>
        <v>0.647437213388685</v>
      </c>
      <c r="J501" s="0" t="n">
        <f aca="false">I501*60</f>
        <v>38.8462328033211</v>
      </c>
      <c r="K501" s="0" t="n">
        <f aca="false">(I501*86400)/24</f>
        <v>2330.77396819927</v>
      </c>
    </row>
    <row r="502" customFormat="false" ht="16.5" hidden="false" customHeight="false" outlineLevel="0" collapsed="false">
      <c r="A502" s="56" t="n">
        <v>45855.5833333333</v>
      </c>
      <c r="B502" s="57" t="n">
        <f aca="false">MOD(A502,1)</f>
        <v>0.583333333343035</v>
      </c>
      <c r="C502" s="0" t="n">
        <v>0</v>
      </c>
      <c r="D502" s="0" t="n">
        <v>489.745</v>
      </c>
      <c r="E502" s="0" t="n">
        <f aca="false">D502-0.155</f>
        <v>489.59</v>
      </c>
      <c r="F502" s="0" t="n">
        <v>489.545</v>
      </c>
      <c r="G502" s="0" t="n">
        <f aca="false">IF(E502 - F502 &lt; 0, 0, E502 - F502)</f>
        <v>0.0450000000000159</v>
      </c>
      <c r="H502" s="0" t="n">
        <v>1.82</v>
      </c>
      <c r="I502" s="0" t="n">
        <f aca="false">1.82*30*(G502^1.5)</f>
        <v>0.521208408412881</v>
      </c>
      <c r="J502" s="0" t="n">
        <f aca="false">I502*60</f>
        <v>31.2725045047728</v>
      </c>
      <c r="K502" s="0" t="n">
        <f aca="false">(I502*86400)/24</f>
        <v>1876.35027028637</v>
      </c>
    </row>
    <row r="503" customFormat="false" ht="16.5" hidden="false" customHeight="false" outlineLevel="0" collapsed="false">
      <c r="A503" s="56" t="n">
        <v>45855.625</v>
      </c>
      <c r="B503" s="57" t="n">
        <f aca="false">MOD(A503,1)</f>
        <v>0.625</v>
      </c>
      <c r="C503" s="0" t="n">
        <v>0</v>
      </c>
      <c r="D503" s="0" t="n">
        <v>489.745</v>
      </c>
      <c r="E503" s="0" t="n">
        <f aca="false">D503-0.155</f>
        <v>489.59</v>
      </c>
      <c r="F503" s="0" t="n">
        <v>489.545</v>
      </c>
      <c r="G503" s="0" t="n">
        <f aca="false">IF(E503 - F503 &lt; 0, 0, E503 - F503)</f>
        <v>0.0450000000000159</v>
      </c>
      <c r="H503" s="0" t="n">
        <v>1.82</v>
      </c>
      <c r="I503" s="0" t="n">
        <f aca="false">1.82*30*(G503^1.5)</f>
        <v>0.521208408412881</v>
      </c>
      <c r="J503" s="0" t="n">
        <f aca="false">I503*60</f>
        <v>31.2725045047728</v>
      </c>
      <c r="K503" s="0" t="n">
        <f aca="false">(I503*86400)/24</f>
        <v>1876.35027028637</v>
      </c>
    </row>
    <row r="504" customFormat="false" ht="16.5" hidden="false" customHeight="false" outlineLevel="0" collapsed="false">
      <c r="A504" s="56" t="n">
        <v>45855.6666666667</v>
      </c>
      <c r="B504" s="57" t="n">
        <f aca="false">MOD(A504,1)</f>
        <v>0.666666666656965</v>
      </c>
      <c r="C504" s="0" t="n">
        <v>0</v>
      </c>
      <c r="D504" s="0" t="n">
        <v>489.745</v>
      </c>
      <c r="E504" s="0" t="n">
        <f aca="false">D504-0.155</f>
        <v>489.59</v>
      </c>
      <c r="F504" s="0" t="n">
        <v>489.545</v>
      </c>
      <c r="G504" s="0" t="n">
        <f aca="false">IF(E504 - F504 &lt; 0, 0, E504 - F504)</f>
        <v>0.0450000000000159</v>
      </c>
      <c r="H504" s="0" t="n">
        <v>1.82</v>
      </c>
      <c r="I504" s="0" t="n">
        <f aca="false">1.82*30*(G504^1.5)</f>
        <v>0.521208408412881</v>
      </c>
      <c r="J504" s="0" t="n">
        <f aca="false">I504*60</f>
        <v>31.2725045047728</v>
      </c>
      <c r="K504" s="0" t="n">
        <f aca="false">(I504*86400)/24</f>
        <v>1876.35027028637</v>
      </c>
    </row>
    <row r="505" customFormat="false" ht="16.5" hidden="false" customHeight="false" outlineLevel="0" collapsed="false">
      <c r="A505" s="56" t="n">
        <v>45855.7083333333</v>
      </c>
      <c r="B505" s="57" t="n">
        <f aca="false">MOD(A505,1)</f>
        <v>0.708333333343035</v>
      </c>
      <c r="C505" s="0" t="n">
        <v>0</v>
      </c>
      <c r="D505" s="0" t="n">
        <v>489.739</v>
      </c>
      <c r="E505" s="0" t="n">
        <f aca="false">D505-0.155</f>
        <v>489.584</v>
      </c>
      <c r="F505" s="0" t="n">
        <v>489.545</v>
      </c>
      <c r="G505" s="0" t="n">
        <f aca="false">IF(E505 - F505 &lt; 0, 0, E505 - F505)</f>
        <v>0.0389999999999873</v>
      </c>
      <c r="H505" s="0" t="n">
        <v>1.82</v>
      </c>
      <c r="I505" s="0" t="n">
        <f aca="false">1.82*30*(G505^1.5)</f>
        <v>0.420522805612046</v>
      </c>
      <c r="J505" s="0" t="n">
        <f aca="false">I505*60</f>
        <v>25.2313683367228</v>
      </c>
      <c r="K505" s="0" t="n">
        <f aca="false">(I505*86400)/24</f>
        <v>1513.88210020337</v>
      </c>
    </row>
    <row r="506" customFormat="false" ht="16.5" hidden="false" customHeight="false" outlineLevel="0" collapsed="false">
      <c r="A506" s="56" t="n">
        <v>45855.75</v>
      </c>
      <c r="B506" s="57" t="n">
        <f aca="false">MOD(A506,1)</f>
        <v>0.75</v>
      </c>
      <c r="C506" s="0" t="n">
        <v>0</v>
      </c>
      <c r="D506" s="0" t="n">
        <v>489.739</v>
      </c>
      <c r="E506" s="0" t="n">
        <f aca="false">D506-0.155</f>
        <v>489.584</v>
      </c>
      <c r="F506" s="0" t="n">
        <v>489.545</v>
      </c>
      <c r="G506" s="0" t="n">
        <f aca="false">IF(E506 - F506 &lt; 0, 0, E506 - F506)</f>
        <v>0.0389999999999873</v>
      </c>
      <c r="H506" s="0" t="n">
        <v>1.82</v>
      </c>
      <c r="I506" s="0" t="n">
        <f aca="false">1.82*30*(G506^1.5)</f>
        <v>0.420522805612046</v>
      </c>
      <c r="J506" s="0" t="n">
        <f aca="false">I506*60</f>
        <v>25.2313683367228</v>
      </c>
      <c r="K506" s="0" t="n">
        <f aca="false">(I506*86400)/24</f>
        <v>1513.88210020337</v>
      </c>
    </row>
    <row r="507" customFormat="false" ht="16.5" hidden="false" customHeight="false" outlineLevel="0" collapsed="false">
      <c r="A507" s="56" t="n">
        <v>45855.7916666667</v>
      </c>
      <c r="B507" s="57" t="n">
        <f aca="false">MOD(A507,1)</f>
        <v>0.791666666656965</v>
      </c>
      <c r="C507" s="0" t="n">
        <v>0</v>
      </c>
      <c r="D507" s="0" t="n">
        <v>489.733</v>
      </c>
      <c r="E507" s="0" t="n">
        <f aca="false">D507-0.155</f>
        <v>489.578</v>
      </c>
      <c r="F507" s="0" t="n">
        <v>489.545</v>
      </c>
      <c r="G507" s="0" t="n">
        <f aca="false">IF(E507 - F507 &lt; 0, 0, E507 - F507)</f>
        <v>0.0330000000000155</v>
      </c>
      <c r="H507" s="0" t="n">
        <v>1.82</v>
      </c>
      <c r="I507" s="0" t="n">
        <f aca="false">1.82*30*(G507^1.5)</f>
        <v>0.327313224481002</v>
      </c>
      <c r="J507" s="0" t="n">
        <f aca="false">I507*60</f>
        <v>19.6387934688601</v>
      </c>
      <c r="K507" s="0" t="n">
        <f aca="false">(I507*86400)/24</f>
        <v>1178.32760813161</v>
      </c>
    </row>
    <row r="508" customFormat="false" ht="16.5" hidden="false" customHeight="false" outlineLevel="0" collapsed="false">
      <c r="A508" s="56" t="n">
        <v>45855.8333333333</v>
      </c>
      <c r="B508" s="57" t="n">
        <f aca="false">MOD(A508,1)</f>
        <v>0.833333333343035</v>
      </c>
      <c r="C508" s="0" t="n">
        <v>0</v>
      </c>
      <c r="D508" s="0" t="n">
        <v>489.733</v>
      </c>
      <c r="E508" s="0" t="n">
        <f aca="false">D508-0.155</f>
        <v>489.578</v>
      </c>
      <c r="F508" s="0" t="n">
        <v>489.545</v>
      </c>
      <c r="G508" s="0" t="n">
        <f aca="false">IF(E508 - F508 &lt; 0, 0, E508 - F508)</f>
        <v>0.0330000000000155</v>
      </c>
      <c r="H508" s="0" t="n">
        <v>1.82</v>
      </c>
      <c r="I508" s="0" t="n">
        <f aca="false">1.82*30*(G508^1.5)</f>
        <v>0.327313224481002</v>
      </c>
      <c r="J508" s="0" t="n">
        <f aca="false">I508*60</f>
        <v>19.6387934688601</v>
      </c>
      <c r="K508" s="0" t="n">
        <f aca="false">(I508*86400)/24</f>
        <v>1178.32760813161</v>
      </c>
    </row>
    <row r="509" customFormat="false" ht="16.5" hidden="false" customHeight="false" outlineLevel="0" collapsed="false">
      <c r="A509" s="56" t="n">
        <v>45855.875</v>
      </c>
      <c r="B509" s="57" t="n">
        <f aca="false">MOD(A509,1)</f>
        <v>0.875</v>
      </c>
      <c r="C509" s="0" t="n">
        <v>0</v>
      </c>
      <c r="D509" s="0" t="n">
        <v>489.726</v>
      </c>
      <c r="E509" s="0" t="n">
        <f aca="false">D509-0.155</f>
        <v>489.571</v>
      </c>
      <c r="F509" s="0" t="n">
        <v>489.545</v>
      </c>
      <c r="G509" s="0" t="n">
        <f aca="false">IF(E509 - F509 &lt; 0, 0, E509 - F509)</f>
        <v>0.0260000000000105</v>
      </c>
      <c r="H509" s="0" t="n">
        <v>1.82</v>
      </c>
      <c r="I509" s="0" t="n">
        <f aca="false">1.82*30*(G509^1.5)</f>
        <v>0.228903621989831</v>
      </c>
      <c r="J509" s="0" t="n">
        <f aca="false">I509*60</f>
        <v>13.7342173193898</v>
      </c>
      <c r="K509" s="0" t="n">
        <f aca="false">(I509*86400)/24</f>
        <v>824.05303916339</v>
      </c>
    </row>
    <row r="510" customFormat="false" ht="16.5" hidden="false" customHeight="false" outlineLevel="0" collapsed="false">
      <c r="A510" s="56" t="n">
        <v>45855.9166666667</v>
      </c>
      <c r="B510" s="57" t="n">
        <f aca="false">MOD(A510,1)</f>
        <v>0.916666666656965</v>
      </c>
      <c r="C510" s="0" t="n">
        <v>0</v>
      </c>
      <c r="D510" s="0" t="n">
        <v>489.726</v>
      </c>
      <c r="E510" s="0" t="n">
        <f aca="false">D510-0.155</f>
        <v>489.571</v>
      </c>
      <c r="F510" s="0" t="n">
        <v>489.545</v>
      </c>
      <c r="G510" s="0" t="n">
        <f aca="false">IF(E510 - F510 &lt; 0, 0, E510 - F510)</f>
        <v>0.0260000000000105</v>
      </c>
      <c r="H510" s="0" t="n">
        <v>1.82</v>
      </c>
      <c r="I510" s="0" t="n">
        <f aca="false">1.82*30*(G510^1.5)</f>
        <v>0.228903621989831</v>
      </c>
      <c r="J510" s="0" t="n">
        <f aca="false">I510*60</f>
        <v>13.7342173193898</v>
      </c>
      <c r="K510" s="0" t="n">
        <f aca="false">(I510*86400)/24</f>
        <v>824.05303916339</v>
      </c>
    </row>
    <row r="511" customFormat="false" ht="16.5" hidden="false" customHeight="false" outlineLevel="0" collapsed="false">
      <c r="A511" s="56" t="n">
        <v>45855.9583333333</v>
      </c>
      <c r="B511" s="57" t="n">
        <f aca="false">MOD(A511,1)</f>
        <v>0.958333333343035</v>
      </c>
      <c r="C511" s="0" t="n">
        <v>0</v>
      </c>
      <c r="D511" s="0" t="n">
        <v>489.72</v>
      </c>
      <c r="E511" s="0" t="n">
        <f aca="false">D511-0.155</f>
        <v>489.565</v>
      </c>
      <c r="F511" s="0" t="n">
        <v>489.545</v>
      </c>
      <c r="G511" s="0" t="n">
        <f aca="false">IF(E511 - F511 &lt; 0, 0, E511 - F511)</f>
        <v>0.0200000000000387</v>
      </c>
      <c r="H511" s="0" t="n">
        <v>1.82</v>
      </c>
      <c r="I511" s="0" t="n">
        <f aca="false">1.82*30*(G511^1.5)</f>
        <v>0.15443212101159</v>
      </c>
      <c r="J511" s="0" t="n">
        <f aca="false">I511*60</f>
        <v>9.26592726069538</v>
      </c>
      <c r="K511" s="0" t="n">
        <f aca="false">(I511*86400)/24</f>
        <v>555.955635641723</v>
      </c>
    </row>
    <row r="512" customFormat="false" ht="16.5" hidden="false" customHeight="false" outlineLevel="0" collapsed="false">
      <c r="A512" s="56" t="n">
        <v>45856</v>
      </c>
      <c r="B512" s="57" t="n">
        <f aca="false">MOD(A512,1)</f>
        <v>0</v>
      </c>
      <c r="C512" s="0" t="n">
        <v>0</v>
      </c>
      <c r="D512" s="0" t="n">
        <v>489.72</v>
      </c>
      <c r="E512" s="0" t="n">
        <f aca="false">D512-0.155</f>
        <v>489.565</v>
      </c>
      <c r="F512" s="0" t="n">
        <v>489.545</v>
      </c>
      <c r="G512" s="0" t="n">
        <f aca="false">IF(E512 - F512 &lt; 0, 0, E512 - F512)</f>
        <v>0.0200000000000387</v>
      </c>
      <c r="H512" s="0" t="n">
        <v>1.82</v>
      </c>
      <c r="I512" s="0" t="n">
        <f aca="false">1.82*30*(G512^1.5)</f>
        <v>0.15443212101159</v>
      </c>
      <c r="J512" s="0" t="n">
        <f aca="false">I512*60</f>
        <v>9.26592726069538</v>
      </c>
      <c r="K512" s="0" t="n">
        <f aca="false">(I512*86400)/24</f>
        <v>555.955635641723</v>
      </c>
    </row>
    <row r="513" customFormat="false" ht="16.5" hidden="false" customHeight="false" outlineLevel="0" collapsed="false">
      <c r="A513" s="56" t="n">
        <v>45856.0416666667</v>
      </c>
      <c r="B513" s="57" t="n">
        <f aca="false">MOD(A513,1)</f>
        <v>0.0416666666569654</v>
      </c>
      <c r="C513" s="0" t="n">
        <v>0</v>
      </c>
      <c r="D513" s="0" t="n">
        <v>489.721</v>
      </c>
      <c r="E513" s="0" t="n">
        <f aca="false">D513-0.155</f>
        <v>489.566</v>
      </c>
      <c r="F513" s="0" t="n">
        <v>489.545</v>
      </c>
      <c r="G513" s="0" t="n">
        <f aca="false">IF(E513 - F513 &lt; 0, 0, E513 - F513)</f>
        <v>0.021000000000015</v>
      </c>
      <c r="H513" s="0" t="n">
        <v>1.82</v>
      </c>
      <c r="I513" s="0" t="n">
        <f aca="false">1.82*30*(G513^1.5)</f>
        <v>0.166158125771986</v>
      </c>
      <c r="J513" s="0" t="n">
        <f aca="false">I513*60</f>
        <v>9.96948754631917</v>
      </c>
      <c r="K513" s="0" t="n">
        <f aca="false">(I513*86400)/24</f>
        <v>598.16925277915</v>
      </c>
    </row>
    <row r="514" customFormat="false" ht="16.5" hidden="false" customHeight="false" outlineLevel="0" collapsed="false">
      <c r="A514" s="56" t="n">
        <v>45856.0833333333</v>
      </c>
      <c r="B514" s="57" t="n">
        <f aca="false">MOD(A514,1)</f>
        <v>0.0833333333430346</v>
      </c>
      <c r="C514" s="0" t="n">
        <v>0</v>
      </c>
      <c r="D514" s="0" t="n">
        <v>489.72</v>
      </c>
      <c r="E514" s="0" t="n">
        <f aca="false">D514-0.155</f>
        <v>489.565</v>
      </c>
      <c r="F514" s="0" t="n">
        <v>489.545</v>
      </c>
      <c r="G514" s="0" t="n">
        <f aca="false">IF(E514 - F514 &lt; 0, 0, E514 - F514)</f>
        <v>0.0200000000000387</v>
      </c>
      <c r="H514" s="0" t="n">
        <v>1.82</v>
      </c>
      <c r="I514" s="0" t="n">
        <f aca="false">1.82*30*(G514^1.5)</f>
        <v>0.15443212101159</v>
      </c>
      <c r="J514" s="0" t="n">
        <f aca="false">I514*60</f>
        <v>9.26592726069538</v>
      </c>
      <c r="K514" s="0" t="n">
        <f aca="false">(I514*86400)/24</f>
        <v>555.955635641723</v>
      </c>
    </row>
    <row r="515" customFormat="false" ht="16.5" hidden="false" customHeight="false" outlineLevel="0" collapsed="false">
      <c r="A515" s="56" t="n">
        <v>45856.125</v>
      </c>
      <c r="B515" s="57" t="n">
        <f aca="false">MOD(A515,1)</f>
        <v>0.125</v>
      </c>
      <c r="C515" s="0" t="n">
        <v>0</v>
      </c>
      <c r="D515" s="0" t="n">
        <v>489.714</v>
      </c>
      <c r="E515" s="0" t="n">
        <f aca="false">D515-0.155</f>
        <v>489.559</v>
      </c>
      <c r="F515" s="0" t="n">
        <v>489.545</v>
      </c>
      <c r="G515" s="0" t="n">
        <f aca="false">IF(E515 - F515 &lt; 0, 0, E515 - F515)</f>
        <v>0.01400000000001</v>
      </c>
      <c r="H515" s="0" t="n">
        <v>1.82</v>
      </c>
      <c r="I515" s="0" t="n">
        <f aca="false">1.82*30*(G515^1.5)</f>
        <v>0.0904450277241239</v>
      </c>
      <c r="J515" s="0" t="n">
        <f aca="false">I515*60</f>
        <v>5.42670166344743</v>
      </c>
      <c r="K515" s="0" t="n">
        <f aca="false">(I515*86400)/24</f>
        <v>325.602099806846</v>
      </c>
    </row>
    <row r="516" customFormat="false" ht="16.5" hidden="false" customHeight="false" outlineLevel="0" collapsed="false">
      <c r="A516" s="56" t="n">
        <v>45856.1666666667</v>
      </c>
      <c r="B516" s="57" t="n">
        <f aca="false">MOD(A516,1)</f>
        <v>0.166666666656965</v>
      </c>
      <c r="C516" s="0" t="n">
        <v>0</v>
      </c>
      <c r="D516" s="0" t="n">
        <v>489.714</v>
      </c>
      <c r="E516" s="0" t="n">
        <f aca="false">D516-0.155</f>
        <v>489.559</v>
      </c>
      <c r="F516" s="0" t="n">
        <v>489.545</v>
      </c>
      <c r="G516" s="0" t="n">
        <f aca="false">IF(E516 - F516 &lt; 0, 0, E516 - F516)</f>
        <v>0.01400000000001</v>
      </c>
      <c r="H516" s="0" t="n">
        <v>1.82</v>
      </c>
      <c r="I516" s="0" t="n">
        <f aca="false">1.82*30*(G516^1.5)</f>
        <v>0.0904450277241239</v>
      </c>
      <c r="J516" s="0" t="n">
        <f aca="false">I516*60</f>
        <v>5.42670166344743</v>
      </c>
      <c r="K516" s="0" t="n">
        <f aca="false">(I516*86400)/24</f>
        <v>325.602099806846</v>
      </c>
    </row>
    <row r="517" customFormat="false" ht="16.5" hidden="false" customHeight="false" outlineLevel="0" collapsed="false">
      <c r="A517" s="56" t="n">
        <v>45856.2083333333</v>
      </c>
      <c r="B517" s="57" t="n">
        <f aca="false">MOD(A517,1)</f>
        <v>0.208333333343035</v>
      </c>
      <c r="C517" s="0" t="n">
        <v>0</v>
      </c>
      <c r="D517" s="0" t="n">
        <v>489.707</v>
      </c>
      <c r="E517" s="0" t="n">
        <f aca="false">D517-0.155</f>
        <v>489.552</v>
      </c>
      <c r="F517" s="0" t="n">
        <v>489.545</v>
      </c>
      <c r="G517" s="0" t="n">
        <f aca="false">IF(E517 - F517 &lt; 0, 0, E517 - F517)</f>
        <v>0.007000000000005</v>
      </c>
      <c r="H517" s="0" t="n">
        <v>1.82</v>
      </c>
      <c r="I517" s="0" t="n">
        <f aca="false">1.82*30*(G517^1.5)</f>
        <v>0.0319771462141666</v>
      </c>
      <c r="J517" s="0" t="n">
        <f aca="false">I517*60</f>
        <v>1.91862877285</v>
      </c>
      <c r="K517" s="0" t="n">
        <f aca="false">(I517*86400)/24</f>
        <v>115.117726371</v>
      </c>
    </row>
    <row r="518" customFormat="false" ht="16.5" hidden="false" customHeight="false" outlineLevel="0" collapsed="false">
      <c r="A518" s="56" t="n">
        <v>45856.25</v>
      </c>
      <c r="B518" s="57" t="n">
        <f aca="false">MOD(A518,1)</f>
        <v>0.25</v>
      </c>
      <c r="C518" s="0" t="n">
        <v>0</v>
      </c>
      <c r="D518" s="0" t="n">
        <v>489.707</v>
      </c>
      <c r="E518" s="0" t="n">
        <f aca="false">D518-0.155</f>
        <v>489.552</v>
      </c>
      <c r="F518" s="0" t="n">
        <v>489.545</v>
      </c>
      <c r="G518" s="0" t="n">
        <f aca="false">IF(E518 - F518 &lt; 0, 0, E518 - F518)</f>
        <v>0.007000000000005</v>
      </c>
      <c r="H518" s="0" t="n">
        <v>1.82</v>
      </c>
      <c r="I518" s="0" t="n">
        <f aca="false">1.82*30*(G518^1.5)</f>
        <v>0.0319771462141666</v>
      </c>
      <c r="J518" s="0" t="n">
        <f aca="false">I518*60</f>
        <v>1.91862877285</v>
      </c>
      <c r="K518" s="0" t="n">
        <f aca="false">(I518*86400)/24</f>
        <v>115.117726371</v>
      </c>
    </row>
    <row r="519" customFormat="false" ht="16.5" hidden="false" customHeight="false" outlineLevel="0" collapsed="false">
      <c r="A519" s="56" t="n">
        <v>45856.2916666667</v>
      </c>
      <c r="B519" s="57" t="n">
        <f aca="false">MOD(A519,1)</f>
        <v>0.291666666656965</v>
      </c>
      <c r="C519" s="0" t="n">
        <v>0</v>
      </c>
      <c r="D519" s="0" t="n">
        <v>489.701</v>
      </c>
      <c r="E519" s="0" t="n">
        <f aca="false">D519-0.155</f>
        <v>489.546</v>
      </c>
      <c r="F519" s="0" t="n">
        <v>489.545</v>
      </c>
      <c r="G519" s="0" t="n">
        <f aca="false">IF(E519 - F519 &lt; 0, 0, E519 - F519)</f>
        <v>0.0010000000000332</v>
      </c>
      <c r="H519" s="0" t="n">
        <v>1.82</v>
      </c>
      <c r="I519" s="0" t="n">
        <f aca="false">1.82*30*(G519^1.5)</f>
        <v>0.00172660360253791</v>
      </c>
      <c r="J519" s="0" t="n">
        <f aca="false">I519*60</f>
        <v>0.103596216152275</v>
      </c>
      <c r="K519" s="0" t="n">
        <f aca="false">(I519*86400)/24</f>
        <v>6.21577296913648</v>
      </c>
    </row>
    <row r="520" customFormat="false" ht="16.5" hidden="false" customHeight="false" outlineLevel="0" collapsed="false">
      <c r="A520" s="56" t="n">
        <v>45856.3333333333</v>
      </c>
      <c r="B520" s="57" t="n">
        <f aca="false">MOD(A520,1)</f>
        <v>0.333333333343035</v>
      </c>
      <c r="C520" s="0" t="n">
        <v>0</v>
      </c>
      <c r="D520" s="0" t="n">
        <v>489.701</v>
      </c>
      <c r="E520" s="0" t="n">
        <f aca="false">D520-0.155</f>
        <v>489.546</v>
      </c>
      <c r="F520" s="0" t="n">
        <v>489.545</v>
      </c>
      <c r="G520" s="0" t="n">
        <f aca="false">IF(E520 - F520 &lt; 0, 0, E520 - F520)</f>
        <v>0.0010000000000332</v>
      </c>
      <c r="H520" s="0" t="n">
        <v>1.82</v>
      </c>
      <c r="I520" s="0" t="n">
        <f aca="false">1.82*30*(G520^1.5)</f>
        <v>0.00172660360253791</v>
      </c>
      <c r="J520" s="0" t="n">
        <f aca="false">I520*60</f>
        <v>0.103596216152275</v>
      </c>
      <c r="K520" s="0" t="n">
        <f aca="false">(I520*86400)/24</f>
        <v>6.21577296913648</v>
      </c>
    </row>
    <row r="521" customFormat="false" ht="16.5" hidden="false" customHeight="false" outlineLevel="0" collapsed="false">
      <c r="A521" s="56" t="n">
        <v>45856.375</v>
      </c>
      <c r="B521" s="57" t="n">
        <f aca="false">MOD(A521,1)</f>
        <v>0.375</v>
      </c>
      <c r="C521" s="0" t="n">
        <v>0</v>
      </c>
      <c r="D521" s="0" t="n">
        <v>489.701</v>
      </c>
      <c r="E521" s="0" t="n">
        <f aca="false">D521-0.155</f>
        <v>489.546</v>
      </c>
      <c r="F521" s="0" t="n">
        <v>489.545</v>
      </c>
      <c r="G521" s="0" t="n">
        <f aca="false">IF(E521 - F521 &lt; 0, 0, E521 - F521)</f>
        <v>0.0010000000000332</v>
      </c>
      <c r="H521" s="0" t="n">
        <v>1.82</v>
      </c>
      <c r="I521" s="0" t="n">
        <f aca="false">1.82*30*(G521^1.5)</f>
        <v>0.00172660360253791</v>
      </c>
      <c r="J521" s="0" t="n">
        <f aca="false">I521*60</f>
        <v>0.103596216152275</v>
      </c>
      <c r="K521" s="0" t="n">
        <f aca="false">(I521*86400)/24</f>
        <v>6.21577296913648</v>
      </c>
    </row>
    <row r="522" customFormat="false" ht="16.5" hidden="false" customHeight="false" outlineLevel="0" collapsed="false">
      <c r="A522" s="56" t="n">
        <v>45856.4166666667</v>
      </c>
      <c r="B522" s="57" t="n">
        <f aca="false">MOD(A522,1)</f>
        <v>0.416666666656965</v>
      </c>
      <c r="C522" s="0" t="n">
        <v>0</v>
      </c>
      <c r="D522" s="0" t="n">
        <v>489.694</v>
      </c>
      <c r="E522" s="0" t="n">
        <f aca="false">D522-0.155</f>
        <v>489.539</v>
      </c>
      <c r="F522" s="0" t="n">
        <v>489.545</v>
      </c>
      <c r="G522" s="0" t="n">
        <f aca="false">IF(E522 - F522 &lt; 0, 0, E522 - F522)</f>
        <v>0</v>
      </c>
      <c r="H522" s="0" t="n">
        <v>1.82</v>
      </c>
      <c r="I522" s="0" t="n">
        <f aca="false">1.82*30*(G522^1.5)</f>
        <v>0</v>
      </c>
      <c r="J522" s="0" t="n">
        <f aca="false">I522*60</f>
        <v>0</v>
      </c>
      <c r="K522" s="0" t="n">
        <f aca="false">(I522*86400)/24</f>
        <v>0</v>
      </c>
    </row>
    <row r="523" customFormat="false" ht="16.5" hidden="false" customHeight="false" outlineLevel="0" collapsed="false">
      <c r="A523" s="56" t="n">
        <v>45856.4583333333</v>
      </c>
      <c r="B523" s="57" t="n">
        <f aca="false">MOD(A523,1)</f>
        <v>0.458333333343035</v>
      </c>
      <c r="C523" s="0" t="n">
        <v>0</v>
      </c>
      <c r="D523" s="0" t="n">
        <v>489.694</v>
      </c>
      <c r="E523" s="0" t="n">
        <f aca="false">D523-0.155</f>
        <v>489.539</v>
      </c>
      <c r="F523" s="0" t="n">
        <v>489.545</v>
      </c>
      <c r="G523" s="0" t="n">
        <f aca="false">IF(E523 - F523 &lt; 0, 0, E523 - F523)</f>
        <v>0</v>
      </c>
      <c r="H523" s="0" t="n">
        <v>1.82</v>
      </c>
      <c r="I523" s="0" t="n">
        <f aca="false">1.82*30*(G523^1.5)</f>
        <v>0</v>
      </c>
      <c r="J523" s="0" t="n">
        <f aca="false">I523*60</f>
        <v>0</v>
      </c>
      <c r="K523" s="0" t="n">
        <f aca="false">(I523*86400)/24</f>
        <v>0</v>
      </c>
    </row>
    <row r="524" customFormat="false" ht="16.5" hidden="false" customHeight="false" outlineLevel="0" collapsed="false">
      <c r="A524" s="56" t="n">
        <v>45856.5</v>
      </c>
      <c r="B524" s="57" t="n">
        <f aca="false">MOD(A524,1)</f>
        <v>0.5</v>
      </c>
      <c r="C524" s="0" t="n">
        <v>0</v>
      </c>
      <c r="D524" s="0" t="n">
        <v>489.694</v>
      </c>
      <c r="E524" s="0" t="n">
        <f aca="false">D524-0.155</f>
        <v>489.539</v>
      </c>
      <c r="F524" s="0" t="n">
        <v>489.545</v>
      </c>
      <c r="G524" s="0" t="n">
        <f aca="false">IF(E524 - F524 &lt; 0, 0, E524 - F524)</f>
        <v>0</v>
      </c>
      <c r="H524" s="0" t="n">
        <v>1.82</v>
      </c>
      <c r="I524" s="0" t="n">
        <f aca="false">1.82*30*(G524^1.5)</f>
        <v>0</v>
      </c>
      <c r="J524" s="0" t="n">
        <f aca="false">I524*60</f>
        <v>0</v>
      </c>
      <c r="K524" s="0" t="n">
        <f aca="false">(I524*86400)/24</f>
        <v>0</v>
      </c>
    </row>
    <row r="525" customFormat="false" ht="16.5" hidden="false" customHeight="false" outlineLevel="0" collapsed="false">
      <c r="A525" s="56" t="n">
        <v>45856.5416666667</v>
      </c>
      <c r="B525" s="57" t="n">
        <f aca="false">MOD(A525,1)</f>
        <v>0.541666666656965</v>
      </c>
      <c r="C525" s="0" t="n">
        <v>0</v>
      </c>
      <c r="D525" s="0" t="n">
        <v>489.688</v>
      </c>
      <c r="E525" s="0" t="n">
        <f aca="false">D525-0.155</f>
        <v>489.533</v>
      </c>
      <c r="F525" s="0" t="n">
        <v>489.545</v>
      </c>
      <c r="G525" s="0" t="n">
        <f aca="false">IF(E525 - F525 &lt; 0, 0, E525 - F525)</f>
        <v>0</v>
      </c>
      <c r="H525" s="0" t="n">
        <v>1.82</v>
      </c>
      <c r="I525" s="0" t="n">
        <f aca="false">1.82*30*(G525^1.5)</f>
        <v>0</v>
      </c>
      <c r="J525" s="0" t="n">
        <f aca="false">I525*60</f>
        <v>0</v>
      </c>
      <c r="K525" s="0" t="n">
        <f aca="false">(I525*86400)/24</f>
        <v>0</v>
      </c>
    </row>
    <row r="526" customFormat="false" ht="16.5" hidden="false" customHeight="false" outlineLevel="0" collapsed="false">
      <c r="A526" s="56" t="n">
        <v>45856.5833333333</v>
      </c>
      <c r="B526" s="57" t="n">
        <f aca="false">MOD(A526,1)</f>
        <v>0.583333333343035</v>
      </c>
      <c r="C526" s="0" t="n">
        <v>0</v>
      </c>
      <c r="D526" s="0" t="n">
        <v>489.688</v>
      </c>
      <c r="E526" s="0" t="n">
        <f aca="false">D526-0.155</f>
        <v>489.533</v>
      </c>
      <c r="F526" s="0" t="n">
        <v>489.545</v>
      </c>
      <c r="G526" s="0" t="n">
        <f aca="false">IF(E526 - F526 &lt; 0, 0, E526 - F526)</f>
        <v>0</v>
      </c>
      <c r="H526" s="0" t="n">
        <v>1.82</v>
      </c>
      <c r="I526" s="0" t="n">
        <f aca="false">1.82*30*(G526^1.5)</f>
        <v>0</v>
      </c>
      <c r="J526" s="0" t="n">
        <f aca="false">I526*60</f>
        <v>0</v>
      </c>
      <c r="K526" s="0" t="n">
        <f aca="false">(I526*86400)/24</f>
        <v>0</v>
      </c>
    </row>
    <row r="527" customFormat="false" ht="16.5" hidden="false" customHeight="false" outlineLevel="0" collapsed="false">
      <c r="A527" s="56" t="n">
        <v>45856.625</v>
      </c>
      <c r="B527" s="57" t="n">
        <f aca="false">MOD(A527,1)</f>
        <v>0.625</v>
      </c>
      <c r="C527" s="0" t="n">
        <v>0</v>
      </c>
      <c r="D527" s="0" t="n">
        <v>489.689</v>
      </c>
      <c r="E527" s="0" t="n">
        <f aca="false">D527-0.155</f>
        <v>489.534</v>
      </c>
      <c r="F527" s="0" t="n">
        <v>489.545</v>
      </c>
      <c r="G527" s="0" t="n">
        <f aca="false">IF(E527 - F527 &lt; 0, 0, E527 - F527)</f>
        <v>0</v>
      </c>
      <c r="H527" s="0" t="n">
        <v>1.82</v>
      </c>
      <c r="I527" s="0" t="n">
        <f aca="false">1.82*30*(G527^1.5)</f>
        <v>0</v>
      </c>
      <c r="J527" s="0" t="n">
        <f aca="false">I527*60</f>
        <v>0</v>
      </c>
      <c r="K527" s="0" t="n">
        <f aca="false">(I527*86400)/24</f>
        <v>0</v>
      </c>
    </row>
    <row r="528" customFormat="false" ht="16.5" hidden="false" customHeight="false" outlineLevel="0" collapsed="false">
      <c r="A528" s="56" t="n">
        <v>45856.6666666667</v>
      </c>
      <c r="B528" s="57" t="n">
        <f aca="false">MOD(A528,1)</f>
        <v>0.666666666656965</v>
      </c>
      <c r="C528" s="0" t="n">
        <v>0</v>
      </c>
      <c r="D528" s="0" t="n">
        <v>489.682</v>
      </c>
      <c r="E528" s="0" t="n">
        <f aca="false">D528-0.155</f>
        <v>489.527</v>
      </c>
      <c r="F528" s="0" t="n">
        <v>489.545</v>
      </c>
      <c r="G528" s="0" t="n">
        <f aca="false">IF(E528 - F528 &lt; 0, 0, E528 - F528)</f>
        <v>0</v>
      </c>
      <c r="H528" s="0" t="n">
        <v>1.82</v>
      </c>
      <c r="I528" s="0" t="n">
        <f aca="false">1.82*30*(G528^1.5)</f>
        <v>0</v>
      </c>
      <c r="J528" s="0" t="n">
        <f aca="false">I528*60</f>
        <v>0</v>
      </c>
      <c r="K528" s="0" t="n">
        <f aca="false">(I528*86400)/24</f>
        <v>0</v>
      </c>
    </row>
    <row r="529" customFormat="false" ht="16.5" hidden="false" customHeight="false" outlineLevel="0" collapsed="false">
      <c r="A529" s="56" t="n">
        <v>45856.7083333333</v>
      </c>
      <c r="B529" s="57" t="n">
        <f aca="false">MOD(A529,1)</f>
        <v>0.708333333343035</v>
      </c>
      <c r="C529" s="0" t="n">
        <v>0</v>
      </c>
      <c r="D529" s="0" t="n">
        <v>489.682</v>
      </c>
      <c r="E529" s="0" t="n">
        <f aca="false">D529-0.155</f>
        <v>489.527</v>
      </c>
      <c r="F529" s="0" t="n">
        <v>489.545</v>
      </c>
      <c r="G529" s="0" t="n">
        <f aca="false">IF(E529 - F529 &lt; 0, 0, E529 - F529)</f>
        <v>0</v>
      </c>
      <c r="H529" s="0" t="n">
        <v>1.82</v>
      </c>
      <c r="I529" s="0" t="n">
        <f aca="false">1.82*30*(G529^1.5)</f>
        <v>0</v>
      </c>
      <c r="J529" s="0" t="n">
        <f aca="false">I529*60</f>
        <v>0</v>
      </c>
      <c r="K529" s="0" t="n">
        <f aca="false">(I529*86400)/24</f>
        <v>0</v>
      </c>
    </row>
    <row r="530" customFormat="false" ht="16.5" hidden="false" customHeight="false" outlineLevel="0" collapsed="false">
      <c r="A530" s="56" t="n">
        <v>45856.75</v>
      </c>
      <c r="B530" s="57" t="n">
        <f aca="false">MOD(A530,1)</f>
        <v>0.75</v>
      </c>
      <c r="C530" s="0" t="n">
        <v>0</v>
      </c>
      <c r="D530" s="0" t="n">
        <v>489.682</v>
      </c>
      <c r="E530" s="0" t="n">
        <f aca="false">D530-0.155</f>
        <v>489.527</v>
      </c>
      <c r="F530" s="0" t="n">
        <v>489.545</v>
      </c>
      <c r="G530" s="0" t="n">
        <f aca="false">IF(E530 - F530 &lt; 0, 0, E530 - F530)</f>
        <v>0</v>
      </c>
      <c r="H530" s="0" t="n">
        <v>1.82</v>
      </c>
      <c r="I530" s="0" t="n">
        <f aca="false">1.82*30*(G530^1.5)</f>
        <v>0</v>
      </c>
      <c r="J530" s="0" t="n">
        <f aca="false">I530*60</f>
        <v>0</v>
      </c>
      <c r="K530" s="0" t="n">
        <f aca="false">(I530*86400)/24</f>
        <v>0</v>
      </c>
    </row>
    <row r="531" customFormat="false" ht="16.5" hidden="false" customHeight="false" outlineLevel="0" collapsed="false">
      <c r="A531" s="56" t="n">
        <v>45856.7916666667</v>
      </c>
      <c r="B531" s="57" t="n">
        <f aca="false">MOD(A531,1)</f>
        <v>0.791666666656965</v>
      </c>
      <c r="C531" s="0" t="n">
        <v>0</v>
      </c>
      <c r="D531" s="0" t="n">
        <v>489.675</v>
      </c>
      <c r="E531" s="0" t="n">
        <f aca="false">D531-0.155</f>
        <v>489.52</v>
      </c>
      <c r="F531" s="0" t="n">
        <v>489.545</v>
      </c>
      <c r="G531" s="0" t="n">
        <f aca="false">IF(E531 - F531 &lt; 0, 0, E531 - F531)</f>
        <v>0</v>
      </c>
      <c r="H531" s="0" t="n">
        <v>1.82</v>
      </c>
      <c r="I531" s="0" t="n">
        <f aca="false">1.82*30*(G531^1.5)</f>
        <v>0</v>
      </c>
      <c r="J531" s="0" t="n">
        <f aca="false">I531*60</f>
        <v>0</v>
      </c>
      <c r="K531" s="0" t="n">
        <f aca="false">(I531*86400)/24</f>
        <v>0</v>
      </c>
    </row>
    <row r="532" customFormat="false" ht="16.5" hidden="false" customHeight="false" outlineLevel="0" collapsed="false">
      <c r="A532" s="56" t="n">
        <v>45856.8333333333</v>
      </c>
      <c r="B532" s="57" t="n">
        <f aca="false">MOD(A532,1)</f>
        <v>0.833333333343035</v>
      </c>
      <c r="C532" s="0" t="n">
        <v>0</v>
      </c>
      <c r="D532" s="0" t="n">
        <v>489.675</v>
      </c>
      <c r="E532" s="0" t="n">
        <f aca="false">D532-0.155</f>
        <v>489.52</v>
      </c>
      <c r="F532" s="0" t="n">
        <v>489.545</v>
      </c>
      <c r="G532" s="0" t="n">
        <f aca="false">IF(E532 - F532 &lt; 0, 0, E532 - F532)</f>
        <v>0</v>
      </c>
      <c r="H532" s="0" t="n">
        <v>1.82</v>
      </c>
      <c r="I532" s="0" t="n">
        <f aca="false">1.82*30*(G532^1.5)</f>
        <v>0</v>
      </c>
      <c r="J532" s="0" t="n">
        <f aca="false">I532*60</f>
        <v>0</v>
      </c>
      <c r="K532" s="0" t="n">
        <f aca="false">(I532*86400)/24</f>
        <v>0</v>
      </c>
    </row>
    <row r="533" customFormat="false" ht="16.5" hidden="false" customHeight="false" outlineLevel="0" collapsed="false">
      <c r="A533" s="56" t="n">
        <v>45856.875</v>
      </c>
      <c r="B533" s="57" t="n">
        <f aca="false">MOD(A533,1)</f>
        <v>0.875</v>
      </c>
      <c r="C533" s="0" t="n">
        <v>0</v>
      </c>
      <c r="D533" s="0" t="n">
        <v>489.669</v>
      </c>
      <c r="E533" s="0" t="n">
        <f aca="false">D533-0.155</f>
        <v>489.514</v>
      </c>
      <c r="F533" s="0" t="n">
        <v>489.545</v>
      </c>
      <c r="G533" s="0" t="n">
        <f aca="false">IF(E533 - F533 &lt; 0, 0, E533 - F533)</f>
        <v>0</v>
      </c>
      <c r="H533" s="0" t="n">
        <v>1.82</v>
      </c>
      <c r="I533" s="0" t="n">
        <f aca="false">1.82*30*(G533^1.5)</f>
        <v>0</v>
      </c>
      <c r="J533" s="0" t="n">
        <f aca="false">I533*60</f>
        <v>0</v>
      </c>
      <c r="K533" s="0" t="n">
        <f aca="false">(I533*86400)/24</f>
        <v>0</v>
      </c>
    </row>
    <row r="534" customFormat="false" ht="16.5" hidden="false" customHeight="false" outlineLevel="0" collapsed="false">
      <c r="A534" s="56" t="n">
        <v>45856.9166666667</v>
      </c>
      <c r="B534" s="57" t="n">
        <f aca="false">MOD(A534,1)</f>
        <v>0.916666666656965</v>
      </c>
      <c r="C534" s="0" t="n">
        <v>0</v>
      </c>
      <c r="D534" s="0" t="n">
        <v>489.669</v>
      </c>
      <c r="E534" s="0" t="n">
        <f aca="false">D534-0.155</f>
        <v>489.514</v>
      </c>
      <c r="F534" s="0" t="n">
        <v>489.545</v>
      </c>
      <c r="G534" s="0" t="n">
        <f aca="false">IF(E534 - F534 &lt; 0, 0, E534 - F534)</f>
        <v>0</v>
      </c>
      <c r="H534" s="0" t="n">
        <v>1.82</v>
      </c>
      <c r="I534" s="0" t="n">
        <f aca="false">1.82*30*(G534^1.5)</f>
        <v>0</v>
      </c>
      <c r="J534" s="0" t="n">
        <f aca="false">I534*60</f>
        <v>0</v>
      </c>
      <c r="K534" s="0" t="n">
        <f aca="false">(I534*86400)/24</f>
        <v>0</v>
      </c>
    </row>
    <row r="535" customFormat="false" ht="16.5" hidden="false" customHeight="false" outlineLevel="0" collapsed="false">
      <c r="A535" s="56" t="n">
        <v>45856.9583333333</v>
      </c>
      <c r="B535" s="57" t="n">
        <f aca="false">MOD(A535,1)</f>
        <v>0.958333333343035</v>
      </c>
      <c r="C535" s="0" t="n">
        <v>0</v>
      </c>
      <c r="D535" s="0" t="n">
        <v>489.669</v>
      </c>
      <c r="E535" s="0" t="n">
        <f aca="false">D535-0.155</f>
        <v>489.514</v>
      </c>
      <c r="F535" s="0" t="n">
        <v>489.545</v>
      </c>
      <c r="G535" s="0" t="n">
        <f aca="false">IF(E535 - F535 &lt; 0, 0, E535 - F535)</f>
        <v>0</v>
      </c>
      <c r="H535" s="0" t="n">
        <v>1.82</v>
      </c>
      <c r="I535" s="0" t="n">
        <f aca="false">1.82*30*(G535^1.5)</f>
        <v>0</v>
      </c>
      <c r="J535" s="0" t="n">
        <f aca="false">I535*60</f>
        <v>0</v>
      </c>
      <c r="K535" s="0" t="n">
        <f aca="false">(I535*86400)/24</f>
        <v>0</v>
      </c>
    </row>
    <row r="536" customFormat="false" ht="16.5" hidden="false" customHeight="false" outlineLevel="0" collapsed="false">
      <c r="A536" s="56" t="n">
        <v>45857</v>
      </c>
      <c r="B536" s="57" t="n">
        <f aca="false">MOD(A536,1)</f>
        <v>0</v>
      </c>
      <c r="C536" s="0" t="n">
        <v>0</v>
      </c>
      <c r="D536" s="0" t="n">
        <v>489.669</v>
      </c>
      <c r="E536" s="0" t="n">
        <f aca="false">D536-0.155</f>
        <v>489.514</v>
      </c>
      <c r="F536" s="0" t="n">
        <v>489.545</v>
      </c>
      <c r="G536" s="0" t="n">
        <f aca="false">IF(E536 - F536 &lt; 0, 0, E536 - F536)</f>
        <v>0</v>
      </c>
      <c r="H536" s="0" t="n">
        <v>1.82</v>
      </c>
      <c r="I536" s="0" t="n">
        <f aca="false">1.82*30*(G536^1.5)</f>
        <v>0</v>
      </c>
      <c r="J536" s="0" t="n">
        <f aca="false">I536*60</f>
        <v>0</v>
      </c>
      <c r="K536" s="0" t="n">
        <f aca="false">(I536*86400)/24</f>
        <v>0</v>
      </c>
    </row>
    <row r="537" customFormat="false" ht="16.5" hidden="false" customHeight="false" outlineLevel="0" collapsed="false">
      <c r="A537" s="56" t="n">
        <v>45857.0416666667</v>
      </c>
      <c r="B537" s="57" t="n">
        <f aca="false">MOD(A537,1)</f>
        <v>0.0416666666569654</v>
      </c>
      <c r="C537" s="0" t="n">
        <v>0</v>
      </c>
      <c r="D537" s="0" t="n">
        <v>489.669</v>
      </c>
      <c r="E537" s="0" t="n">
        <f aca="false">D537-0.155</f>
        <v>489.514</v>
      </c>
      <c r="F537" s="0" t="n">
        <v>489.545</v>
      </c>
      <c r="G537" s="0" t="n">
        <f aca="false">IF(E537 - F537 &lt; 0, 0, E537 - F537)</f>
        <v>0</v>
      </c>
      <c r="H537" s="0" t="n">
        <v>1.82</v>
      </c>
      <c r="I537" s="0" t="n">
        <f aca="false">1.82*30*(G537^1.5)</f>
        <v>0</v>
      </c>
      <c r="J537" s="0" t="n">
        <f aca="false">I537*60</f>
        <v>0</v>
      </c>
      <c r="K537" s="0" t="n">
        <f aca="false">(I537*86400)/24</f>
        <v>0</v>
      </c>
    </row>
    <row r="538" customFormat="false" ht="16.5" hidden="false" customHeight="false" outlineLevel="0" collapsed="false">
      <c r="A538" s="56" t="n">
        <v>45857.0833333333</v>
      </c>
      <c r="B538" s="57" t="n">
        <f aca="false">MOD(A538,1)</f>
        <v>0.0833333333430346</v>
      </c>
      <c r="C538" s="0" t="n">
        <v>0</v>
      </c>
      <c r="D538" s="0" t="n">
        <v>489.663</v>
      </c>
      <c r="E538" s="0" t="n">
        <f aca="false">D538-0.155</f>
        <v>489.508</v>
      </c>
      <c r="F538" s="0" t="n">
        <v>489.545</v>
      </c>
      <c r="G538" s="0" t="n">
        <f aca="false">IF(E538 - F538 &lt; 0, 0, E538 - F538)</f>
        <v>0</v>
      </c>
      <c r="H538" s="0" t="n">
        <v>1.82</v>
      </c>
      <c r="I538" s="0" t="n">
        <f aca="false">1.82*30*(G538^1.5)</f>
        <v>0</v>
      </c>
      <c r="J538" s="0" t="n">
        <f aca="false">I538*60</f>
        <v>0</v>
      </c>
      <c r="K538" s="0" t="n">
        <f aca="false">(I538*86400)/24</f>
        <v>0</v>
      </c>
    </row>
    <row r="539" customFormat="false" ht="16.5" hidden="false" customHeight="false" outlineLevel="0" collapsed="false">
      <c r="A539" s="56" t="n">
        <v>45857.125</v>
      </c>
      <c r="B539" s="57" t="n">
        <f aca="false">MOD(A539,1)</f>
        <v>0.125</v>
      </c>
      <c r="C539" s="0" t="n">
        <v>0</v>
      </c>
      <c r="D539" s="0" t="n">
        <v>489.662</v>
      </c>
      <c r="E539" s="0" t="n">
        <f aca="false">D539-0.155</f>
        <v>489.507</v>
      </c>
      <c r="F539" s="0" t="n">
        <v>489.545</v>
      </c>
      <c r="G539" s="0" t="n">
        <f aca="false">IF(E539 - F539 &lt; 0, 0, E539 - F539)</f>
        <v>0</v>
      </c>
      <c r="H539" s="0" t="n">
        <v>1.82</v>
      </c>
      <c r="I539" s="0" t="n">
        <f aca="false">1.82*30*(G539^1.5)</f>
        <v>0</v>
      </c>
      <c r="J539" s="0" t="n">
        <f aca="false">I539*60</f>
        <v>0</v>
      </c>
      <c r="K539" s="0" t="n">
        <f aca="false">(I539*86400)/24</f>
        <v>0</v>
      </c>
    </row>
    <row r="540" customFormat="false" ht="16.5" hidden="false" customHeight="false" outlineLevel="0" collapsed="false">
      <c r="A540" s="56" t="n">
        <v>45857.1666666667</v>
      </c>
      <c r="B540" s="57" t="n">
        <f aca="false">MOD(A540,1)</f>
        <v>0.166666666656965</v>
      </c>
      <c r="C540" s="0" t="n">
        <v>0</v>
      </c>
      <c r="D540" s="0" t="n">
        <v>489.663</v>
      </c>
      <c r="E540" s="0" t="n">
        <f aca="false">D540-0.155</f>
        <v>489.508</v>
      </c>
      <c r="F540" s="0" t="n">
        <v>489.545</v>
      </c>
      <c r="G540" s="0" t="n">
        <f aca="false">IF(E540 - F540 &lt; 0, 0, E540 - F540)</f>
        <v>0</v>
      </c>
      <c r="H540" s="0" t="n">
        <v>1.82</v>
      </c>
      <c r="I540" s="0" t="n">
        <f aca="false">1.82*30*(G540^1.5)</f>
        <v>0</v>
      </c>
      <c r="J540" s="0" t="n">
        <f aca="false">I540*60</f>
        <v>0</v>
      </c>
      <c r="K540" s="0" t="n">
        <f aca="false">(I540*86400)/24</f>
        <v>0</v>
      </c>
    </row>
    <row r="541" customFormat="false" ht="16.5" hidden="false" customHeight="false" outlineLevel="0" collapsed="false">
      <c r="A541" s="56" t="n">
        <v>45857.2083333333</v>
      </c>
      <c r="B541" s="57" t="n">
        <f aca="false">MOD(A541,1)</f>
        <v>0.208333333343035</v>
      </c>
      <c r="C541" s="0" t="n">
        <v>0</v>
      </c>
      <c r="D541" s="0" t="n">
        <v>489.663</v>
      </c>
      <c r="E541" s="0" t="n">
        <f aca="false">D541-0.155</f>
        <v>489.508</v>
      </c>
      <c r="F541" s="0" t="n">
        <v>489.545</v>
      </c>
      <c r="G541" s="0" t="n">
        <f aca="false">IF(E541 - F541 &lt; 0, 0, E541 - F541)</f>
        <v>0</v>
      </c>
      <c r="H541" s="0" t="n">
        <v>1.82</v>
      </c>
      <c r="I541" s="0" t="n">
        <f aca="false">1.82*30*(G541^1.5)</f>
        <v>0</v>
      </c>
      <c r="J541" s="0" t="n">
        <f aca="false">I541*60</f>
        <v>0</v>
      </c>
      <c r="K541" s="0" t="n">
        <f aca="false">(I541*86400)/24</f>
        <v>0</v>
      </c>
    </row>
    <row r="542" customFormat="false" ht="16.5" hidden="false" customHeight="false" outlineLevel="0" collapsed="false">
      <c r="A542" s="56" t="n">
        <v>45857.25</v>
      </c>
      <c r="B542" s="57" t="n">
        <f aca="false">MOD(A542,1)</f>
        <v>0.25</v>
      </c>
      <c r="C542" s="0" t="n">
        <v>0</v>
      </c>
      <c r="D542" s="0" t="n">
        <v>489.657</v>
      </c>
      <c r="E542" s="0" t="n">
        <f aca="false">D542-0.155</f>
        <v>489.502</v>
      </c>
      <c r="F542" s="0" t="n">
        <v>489.545</v>
      </c>
      <c r="G542" s="0" t="n">
        <f aca="false">IF(E542 - F542 &lt; 0, 0, E542 - F542)</f>
        <v>0</v>
      </c>
      <c r="H542" s="0" t="n">
        <v>1.82</v>
      </c>
      <c r="I542" s="0" t="n">
        <f aca="false">1.82*30*(G542^1.5)</f>
        <v>0</v>
      </c>
      <c r="J542" s="0" t="n">
        <f aca="false">I542*60</f>
        <v>0</v>
      </c>
      <c r="K542" s="0" t="n">
        <f aca="false">(I542*86400)/24</f>
        <v>0</v>
      </c>
    </row>
    <row r="543" customFormat="false" ht="16.5" hidden="false" customHeight="false" outlineLevel="0" collapsed="false">
      <c r="A543" s="56" t="n">
        <v>45857.2916666667</v>
      </c>
      <c r="B543" s="57" t="n">
        <f aca="false">MOD(A543,1)</f>
        <v>0.291666666656965</v>
      </c>
      <c r="C543" s="0" t="n">
        <v>0</v>
      </c>
      <c r="D543" s="0" t="n">
        <v>489.656</v>
      </c>
      <c r="E543" s="0" t="n">
        <f aca="false">D543-0.155</f>
        <v>489.501</v>
      </c>
      <c r="F543" s="0" t="n">
        <v>489.545</v>
      </c>
      <c r="G543" s="0" t="n">
        <f aca="false">IF(E543 - F543 &lt; 0, 0, E543 - F543)</f>
        <v>0</v>
      </c>
      <c r="H543" s="0" t="n">
        <v>1.82</v>
      </c>
      <c r="I543" s="0" t="n">
        <f aca="false">1.82*30*(G543^1.5)</f>
        <v>0</v>
      </c>
      <c r="J543" s="0" t="n">
        <f aca="false">I543*60</f>
        <v>0</v>
      </c>
      <c r="K543" s="0" t="n">
        <f aca="false">(I543*86400)/24</f>
        <v>0</v>
      </c>
    </row>
    <row r="544" customFormat="false" ht="16.5" hidden="false" customHeight="false" outlineLevel="0" collapsed="false">
      <c r="A544" s="56" t="n">
        <v>45857.3333333333</v>
      </c>
      <c r="B544" s="57" t="n">
        <f aca="false">MOD(A544,1)</f>
        <v>0.333333333343035</v>
      </c>
      <c r="C544" s="0" t="n">
        <v>0</v>
      </c>
      <c r="D544" s="0" t="n">
        <v>489.649</v>
      </c>
      <c r="E544" s="0" t="n">
        <f aca="false">D544-0.155</f>
        <v>489.494</v>
      </c>
      <c r="F544" s="0" t="n">
        <v>489.545</v>
      </c>
      <c r="G544" s="0" t="n">
        <f aca="false">IF(E544 - F544 &lt; 0, 0, E544 - F544)</f>
        <v>0</v>
      </c>
      <c r="H544" s="0" t="n">
        <v>1.82</v>
      </c>
      <c r="I544" s="0" t="n">
        <f aca="false">1.82*30*(G544^1.5)</f>
        <v>0</v>
      </c>
      <c r="J544" s="0" t="n">
        <f aca="false">I544*60</f>
        <v>0</v>
      </c>
      <c r="K544" s="0" t="n">
        <f aca="false">(I544*86400)/24</f>
        <v>0</v>
      </c>
    </row>
    <row r="545" customFormat="false" ht="16.5" hidden="false" customHeight="false" outlineLevel="0" collapsed="false">
      <c r="A545" s="56" t="n">
        <v>45857.375</v>
      </c>
      <c r="B545" s="57" t="n">
        <f aca="false">MOD(A545,1)</f>
        <v>0.375</v>
      </c>
      <c r="C545" s="0" t="n">
        <v>0</v>
      </c>
      <c r="D545" s="0" t="n">
        <v>489.648</v>
      </c>
      <c r="E545" s="0" t="n">
        <f aca="false">D545-0.155</f>
        <v>489.493</v>
      </c>
      <c r="F545" s="0" t="n">
        <v>489.545</v>
      </c>
      <c r="G545" s="0" t="n">
        <f aca="false">IF(E545 - F545 &lt; 0, 0, E545 - F545)</f>
        <v>0</v>
      </c>
      <c r="H545" s="0" t="n">
        <v>1.82</v>
      </c>
      <c r="I545" s="0" t="n">
        <f aca="false">1.82*30*(G545^1.5)</f>
        <v>0</v>
      </c>
      <c r="J545" s="0" t="n">
        <f aca="false">I545*60</f>
        <v>0</v>
      </c>
      <c r="K545" s="0" t="n">
        <f aca="false">(I545*86400)/24</f>
        <v>0</v>
      </c>
    </row>
    <row r="546" customFormat="false" ht="16.5" hidden="false" customHeight="false" outlineLevel="0" collapsed="false">
      <c r="A546" s="56" t="n">
        <v>45857.4166666667</v>
      </c>
      <c r="B546" s="57" t="n">
        <f aca="false">MOD(A546,1)</f>
        <v>0.416666666656965</v>
      </c>
      <c r="C546" s="0" t="n">
        <v>0</v>
      </c>
      <c r="D546" s="0" t="n">
        <v>489.649</v>
      </c>
      <c r="E546" s="0" t="n">
        <f aca="false">D546-0.155</f>
        <v>489.494</v>
      </c>
      <c r="F546" s="0" t="n">
        <v>489.545</v>
      </c>
      <c r="G546" s="0" t="n">
        <f aca="false">IF(E546 - F546 &lt; 0, 0, E546 - F546)</f>
        <v>0</v>
      </c>
      <c r="H546" s="0" t="n">
        <v>1.82</v>
      </c>
      <c r="I546" s="0" t="n">
        <f aca="false">1.82*30*(G546^1.5)</f>
        <v>0</v>
      </c>
      <c r="J546" s="0" t="n">
        <f aca="false">I546*60</f>
        <v>0</v>
      </c>
      <c r="K546" s="0" t="n">
        <f aca="false">(I546*86400)/24</f>
        <v>0</v>
      </c>
    </row>
    <row r="547" customFormat="false" ht="16.5" hidden="false" customHeight="false" outlineLevel="0" collapsed="false">
      <c r="A547" s="56" t="n">
        <v>45857.4583333333</v>
      </c>
      <c r="B547" s="57" t="n">
        <f aca="false">MOD(A547,1)</f>
        <v>0.458333333343035</v>
      </c>
      <c r="C547" s="0" t="n">
        <v>0</v>
      </c>
      <c r="D547" s="0" t="n">
        <v>489.648</v>
      </c>
      <c r="E547" s="0" t="n">
        <f aca="false">D547-0.155</f>
        <v>489.493</v>
      </c>
      <c r="F547" s="0" t="n">
        <v>489.545</v>
      </c>
      <c r="G547" s="0" t="n">
        <f aca="false">IF(E547 - F547 &lt; 0, 0, E547 - F547)</f>
        <v>0</v>
      </c>
      <c r="H547" s="0" t="n">
        <v>1.82</v>
      </c>
      <c r="I547" s="0" t="n">
        <f aca="false">1.82*30*(G547^1.5)</f>
        <v>0</v>
      </c>
      <c r="J547" s="0" t="n">
        <f aca="false">I547*60</f>
        <v>0</v>
      </c>
      <c r="K547" s="0" t="n">
        <f aca="false">(I547*86400)/24</f>
        <v>0</v>
      </c>
    </row>
    <row r="548" customFormat="false" ht="16.5" hidden="false" customHeight="false" outlineLevel="0" collapsed="false">
      <c r="A548" s="56" t="n">
        <v>45857.5</v>
      </c>
      <c r="B548" s="57" t="n">
        <f aca="false">MOD(A548,1)</f>
        <v>0.5</v>
      </c>
      <c r="C548" s="0" t="n">
        <v>0</v>
      </c>
      <c r="D548" s="0" t="n">
        <v>489.649</v>
      </c>
      <c r="E548" s="0" t="n">
        <f aca="false">D548-0.155</f>
        <v>489.494</v>
      </c>
      <c r="F548" s="0" t="n">
        <v>489.545</v>
      </c>
      <c r="G548" s="0" t="n">
        <f aca="false">IF(E548 - F548 &lt; 0, 0, E548 - F548)</f>
        <v>0</v>
      </c>
      <c r="H548" s="0" t="n">
        <v>1.82</v>
      </c>
      <c r="I548" s="0" t="n">
        <f aca="false">1.82*30*(G548^1.5)</f>
        <v>0</v>
      </c>
      <c r="J548" s="0" t="n">
        <f aca="false">I548*60</f>
        <v>0</v>
      </c>
      <c r="K548" s="0" t="n">
        <f aca="false">(I548*86400)/24</f>
        <v>0</v>
      </c>
    </row>
    <row r="549" customFormat="false" ht="16.5" hidden="false" customHeight="false" outlineLevel="0" collapsed="false">
      <c r="A549" s="56" t="n">
        <v>45857.5416666667</v>
      </c>
      <c r="B549" s="57" t="n">
        <f aca="false">MOD(A549,1)</f>
        <v>0.541666666656965</v>
      </c>
      <c r="C549" s="0" t="n">
        <v>0</v>
      </c>
      <c r="D549" s="0" t="n">
        <v>489.649</v>
      </c>
      <c r="E549" s="0" t="n">
        <f aca="false">D549-0.155</f>
        <v>489.494</v>
      </c>
      <c r="F549" s="0" t="n">
        <v>489.545</v>
      </c>
      <c r="G549" s="0" t="n">
        <f aca="false">IF(E549 - F549 &lt; 0, 0, E549 - F549)</f>
        <v>0</v>
      </c>
      <c r="H549" s="0" t="n">
        <v>1.82</v>
      </c>
      <c r="I549" s="0" t="n">
        <f aca="false">1.82*30*(G549^1.5)</f>
        <v>0</v>
      </c>
      <c r="J549" s="0" t="n">
        <f aca="false">I549*60</f>
        <v>0</v>
      </c>
      <c r="K549" s="0" t="n">
        <f aca="false">(I549*86400)/24</f>
        <v>0</v>
      </c>
    </row>
    <row r="550" customFormat="false" ht="16.5" hidden="false" customHeight="false" outlineLevel="0" collapsed="false">
      <c r="A550" s="56" t="n">
        <v>45857.5833333333</v>
      </c>
      <c r="B550" s="57" t="n">
        <f aca="false">MOD(A550,1)</f>
        <v>0.583333333343035</v>
      </c>
      <c r="C550" s="0" t="n">
        <v>0</v>
      </c>
      <c r="D550" s="0" t="n">
        <v>489.649</v>
      </c>
      <c r="E550" s="0" t="n">
        <f aca="false">D550-0.155</f>
        <v>489.494</v>
      </c>
      <c r="F550" s="0" t="n">
        <v>489.545</v>
      </c>
      <c r="G550" s="0" t="n">
        <f aca="false">IF(E550 - F550 &lt; 0, 0, E550 - F550)</f>
        <v>0</v>
      </c>
      <c r="H550" s="0" t="n">
        <v>1.82</v>
      </c>
      <c r="I550" s="0" t="n">
        <f aca="false">1.82*30*(G550^1.5)</f>
        <v>0</v>
      </c>
      <c r="J550" s="0" t="n">
        <f aca="false">I550*60</f>
        <v>0</v>
      </c>
      <c r="K550" s="0" t="n">
        <f aca="false">(I550*86400)/24</f>
        <v>0</v>
      </c>
    </row>
    <row r="551" customFormat="false" ht="16.5" hidden="false" customHeight="false" outlineLevel="0" collapsed="false">
      <c r="A551" s="56" t="n">
        <v>45857.625</v>
      </c>
      <c r="B551" s="57" t="n">
        <f aca="false">MOD(A551,1)</f>
        <v>0.625</v>
      </c>
      <c r="C551" s="0" t="n">
        <v>0</v>
      </c>
      <c r="D551" s="0" t="n">
        <v>489.649</v>
      </c>
      <c r="E551" s="0" t="n">
        <f aca="false">D551-0.155</f>
        <v>489.494</v>
      </c>
      <c r="F551" s="0" t="n">
        <v>489.545</v>
      </c>
      <c r="G551" s="0" t="n">
        <f aca="false">IF(E551 - F551 &lt; 0, 0, E551 - F551)</f>
        <v>0</v>
      </c>
      <c r="H551" s="0" t="n">
        <v>1.82</v>
      </c>
      <c r="I551" s="0" t="n">
        <f aca="false">1.82*30*(G551^1.5)</f>
        <v>0</v>
      </c>
      <c r="J551" s="0" t="n">
        <f aca="false">I551*60</f>
        <v>0</v>
      </c>
      <c r="K551" s="0" t="n">
        <f aca="false">(I551*86400)/24</f>
        <v>0</v>
      </c>
    </row>
    <row r="552" customFormat="false" ht="16.5" hidden="false" customHeight="false" outlineLevel="0" collapsed="false">
      <c r="A552" s="56" t="n">
        <v>45857.6666666667</v>
      </c>
      <c r="B552" s="57" t="n">
        <f aca="false">MOD(A552,1)</f>
        <v>0.666666666656965</v>
      </c>
      <c r="C552" s="0" t="n">
        <v>0</v>
      </c>
      <c r="D552" s="0" t="n">
        <v>489.642</v>
      </c>
      <c r="E552" s="0" t="n">
        <f aca="false">D552-0.155</f>
        <v>489.487</v>
      </c>
      <c r="F552" s="0" t="n">
        <v>489.545</v>
      </c>
      <c r="G552" s="0" t="n">
        <f aca="false">IF(E552 - F552 &lt; 0, 0, E552 - F552)</f>
        <v>0</v>
      </c>
      <c r="H552" s="0" t="n">
        <v>1.82</v>
      </c>
      <c r="I552" s="0" t="n">
        <f aca="false">1.82*30*(G552^1.5)</f>
        <v>0</v>
      </c>
      <c r="J552" s="0" t="n">
        <f aca="false">I552*60</f>
        <v>0</v>
      </c>
      <c r="K552" s="0" t="n">
        <f aca="false">(I552*86400)/24</f>
        <v>0</v>
      </c>
    </row>
    <row r="553" customFormat="false" ht="16.5" hidden="false" customHeight="false" outlineLevel="0" collapsed="false">
      <c r="A553" s="56" t="n">
        <v>45857.7083333333</v>
      </c>
      <c r="B553" s="57" t="n">
        <f aca="false">MOD(A553,1)</f>
        <v>0.708333333343035</v>
      </c>
      <c r="C553" s="0" t="n">
        <v>0</v>
      </c>
      <c r="D553" s="0" t="n">
        <v>489.643</v>
      </c>
      <c r="E553" s="0" t="n">
        <f aca="false">D553-0.155</f>
        <v>489.488</v>
      </c>
      <c r="F553" s="0" t="n">
        <v>489.545</v>
      </c>
      <c r="G553" s="0" t="n">
        <f aca="false">IF(E553 - F553 &lt; 0, 0, E553 - F553)</f>
        <v>0</v>
      </c>
      <c r="H553" s="0" t="n">
        <v>1.82</v>
      </c>
      <c r="I553" s="0" t="n">
        <f aca="false">1.82*30*(G553^1.5)</f>
        <v>0</v>
      </c>
      <c r="J553" s="0" t="n">
        <f aca="false">I553*60</f>
        <v>0</v>
      </c>
      <c r="K553" s="0" t="n">
        <f aca="false">(I553*86400)/24</f>
        <v>0</v>
      </c>
    </row>
    <row r="554" customFormat="false" ht="16.5" hidden="false" customHeight="false" outlineLevel="0" collapsed="false">
      <c r="A554" s="56" t="n">
        <v>45857.75</v>
      </c>
      <c r="B554" s="57" t="n">
        <f aca="false">MOD(A554,1)</f>
        <v>0.75</v>
      </c>
      <c r="C554" s="0" t="n">
        <v>0</v>
      </c>
      <c r="D554" s="0" t="n">
        <v>489.643</v>
      </c>
      <c r="E554" s="0" t="n">
        <f aca="false">D554-0.155</f>
        <v>489.488</v>
      </c>
      <c r="F554" s="0" t="n">
        <v>489.545</v>
      </c>
      <c r="G554" s="0" t="n">
        <f aca="false">IF(E554 - F554 &lt; 0, 0, E554 - F554)</f>
        <v>0</v>
      </c>
      <c r="H554" s="0" t="n">
        <v>1.82</v>
      </c>
      <c r="I554" s="0" t="n">
        <f aca="false">1.82*30*(G554^1.5)</f>
        <v>0</v>
      </c>
      <c r="J554" s="0" t="n">
        <f aca="false">I554*60</f>
        <v>0</v>
      </c>
      <c r="K554" s="0" t="n">
        <f aca="false">(I554*86400)/24</f>
        <v>0</v>
      </c>
    </row>
    <row r="555" customFormat="false" ht="16.5" hidden="false" customHeight="false" outlineLevel="0" collapsed="false">
      <c r="A555" s="56" t="n">
        <v>45857.7916666667</v>
      </c>
      <c r="B555" s="57" t="n">
        <f aca="false">MOD(A555,1)</f>
        <v>0.791666666656965</v>
      </c>
      <c r="C555" s="0" t="n">
        <v>0</v>
      </c>
      <c r="D555" s="0" t="n">
        <v>489.636</v>
      </c>
      <c r="E555" s="0" t="n">
        <f aca="false">D555-0.155</f>
        <v>489.481</v>
      </c>
      <c r="F555" s="0" t="n">
        <v>489.545</v>
      </c>
      <c r="G555" s="0" t="n">
        <f aca="false">IF(E555 - F555 &lt; 0, 0, E555 - F555)</f>
        <v>0</v>
      </c>
      <c r="H555" s="0" t="n">
        <v>1.82</v>
      </c>
      <c r="I555" s="0" t="n">
        <f aca="false">1.82*30*(G555^1.5)</f>
        <v>0</v>
      </c>
      <c r="J555" s="0" t="n">
        <f aca="false">I555*60</f>
        <v>0</v>
      </c>
      <c r="K555" s="0" t="n">
        <f aca="false">(I555*86400)/24</f>
        <v>0</v>
      </c>
    </row>
    <row r="556" customFormat="false" ht="16.5" hidden="false" customHeight="false" outlineLevel="0" collapsed="false">
      <c r="A556" s="56" t="n">
        <v>45857.8333333333</v>
      </c>
      <c r="B556" s="57" t="n">
        <f aca="false">MOD(A556,1)</f>
        <v>0.833333333343035</v>
      </c>
      <c r="C556" s="0" t="n">
        <v>0</v>
      </c>
      <c r="D556" s="0" t="n">
        <v>489.636</v>
      </c>
      <c r="E556" s="0" t="n">
        <f aca="false">D556-0.155</f>
        <v>489.481</v>
      </c>
      <c r="F556" s="0" t="n">
        <v>489.545</v>
      </c>
      <c r="G556" s="0" t="n">
        <f aca="false">IF(E556 - F556 &lt; 0, 0, E556 - F556)</f>
        <v>0</v>
      </c>
      <c r="H556" s="0" t="n">
        <v>1.82</v>
      </c>
      <c r="I556" s="0" t="n">
        <f aca="false">1.82*30*(G556^1.5)</f>
        <v>0</v>
      </c>
      <c r="J556" s="0" t="n">
        <f aca="false">I556*60</f>
        <v>0</v>
      </c>
      <c r="K556" s="0" t="n">
        <f aca="false">(I556*86400)/24</f>
        <v>0</v>
      </c>
    </row>
    <row r="557" customFormat="false" ht="16.5" hidden="false" customHeight="false" outlineLevel="0" collapsed="false">
      <c r="A557" s="56" t="n">
        <v>45857.875</v>
      </c>
      <c r="B557" s="57" t="n">
        <f aca="false">MOD(A557,1)</f>
        <v>0.875</v>
      </c>
      <c r="C557" s="0" t="n">
        <v>0</v>
      </c>
      <c r="D557" s="0" t="n">
        <v>489.629</v>
      </c>
      <c r="E557" s="0" t="n">
        <f aca="false">D557-0.155</f>
        <v>489.474</v>
      </c>
      <c r="F557" s="0" t="n">
        <v>489.545</v>
      </c>
      <c r="G557" s="0" t="n">
        <f aca="false">IF(E557 - F557 &lt; 0, 0, E557 - F557)</f>
        <v>0</v>
      </c>
      <c r="H557" s="0" t="n">
        <v>1.82</v>
      </c>
      <c r="I557" s="0" t="n">
        <f aca="false">1.82*30*(G557^1.5)</f>
        <v>0</v>
      </c>
      <c r="J557" s="0" t="n">
        <f aca="false">I557*60</f>
        <v>0</v>
      </c>
      <c r="K557" s="0" t="n">
        <f aca="false">(I557*86400)/24</f>
        <v>0</v>
      </c>
    </row>
    <row r="558" customFormat="false" ht="16.5" hidden="false" customHeight="false" outlineLevel="0" collapsed="false">
      <c r="A558" s="56" t="n">
        <v>45857.9166666667</v>
      </c>
      <c r="B558" s="57" t="n">
        <f aca="false">MOD(A558,1)</f>
        <v>0.916666666656965</v>
      </c>
      <c r="C558" s="0" t="n">
        <v>0</v>
      </c>
      <c r="D558" s="0" t="n">
        <v>489.629</v>
      </c>
      <c r="E558" s="0" t="n">
        <f aca="false">D558-0.155</f>
        <v>489.474</v>
      </c>
      <c r="F558" s="0" t="n">
        <v>489.545</v>
      </c>
      <c r="G558" s="0" t="n">
        <f aca="false">IF(E558 - F558 &lt; 0, 0, E558 - F558)</f>
        <v>0</v>
      </c>
      <c r="H558" s="0" t="n">
        <v>1.82</v>
      </c>
      <c r="I558" s="0" t="n">
        <f aca="false">1.82*30*(G558^1.5)</f>
        <v>0</v>
      </c>
      <c r="J558" s="0" t="n">
        <f aca="false">I558*60</f>
        <v>0</v>
      </c>
      <c r="K558" s="0" t="n">
        <f aca="false">(I558*86400)/24</f>
        <v>0</v>
      </c>
    </row>
    <row r="559" customFormat="false" ht="16.5" hidden="false" customHeight="false" outlineLevel="0" collapsed="false">
      <c r="A559" s="56" t="n">
        <v>45857.9583333333</v>
      </c>
      <c r="B559" s="57" t="n">
        <f aca="false">MOD(A559,1)</f>
        <v>0.958333333343035</v>
      </c>
      <c r="C559" s="0" t="n">
        <v>0</v>
      </c>
      <c r="D559" s="0" t="n">
        <v>489.629</v>
      </c>
      <c r="E559" s="0" t="n">
        <f aca="false">D559-0.155</f>
        <v>489.474</v>
      </c>
      <c r="F559" s="0" t="n">
        <v>489.545</v>
      </c>
      <c r="G559" s="0" t="n">
        <f aca="false">IF(E559 - F559 &lt; 0, 0, E559 - F559)</f>
        <v>0</v>
      </c>
      <c r="H559" s="0" t="n">
        <v>1.82</v>
      </c>
      <c r="I559" s="0" t="n">
        <f aca="false">1.82*30*(G559^1.5)</f>
        <v>0</v>
      </c>
      <c r="J559" s="0" t="n">
        <f aca="false">I559*60</f>
        <v>0</v>
      </c>
      <c r="K559" s="0" t="n">
        <f aca="false">(I559*86400)/24</f>
        <v>0</v>
      </c>
    </row>
    <row r="560" customFormat="false" ht="16.5" hidden="false" customHeight="false" outlineLevel="0" collapsed="false">
      <c r="A560" s="56" t="n">
        <v>45858</v>
      </c>
      <c r="B560" s="57" t="n">
        <f aca="false">MOD(A560,1)</f>
        <v>0</v>
      </c>
      <c r="C560" s="0" t="n">
        <v>0</v>
      </c>
      <c r="D560" s="0" t="n">
        <v>489.629</v>
      </c>
      <c r="E560" s="0" t="n">
        <f aca="false">D560-0.155</f>
        <v>489.474</v>
      </c>
      <c r="F560" s="0" t="n">
        <v>489.545</v>
      </c>
      <c r="G560" s="0" t="n">
        <f aca="false">IF(E560 - F560 &lt; 0, 0, E560 - F560)</f>
        <v>0</v>
      </c>
      <c r="H560" s="0" t="n">
        <v>1.82</v>
      </c>
      <c r="I560" s="0" t="n">
        <f aca="false">1.82*30*(G560^1.5)</f>
        <v>0</v>
      </c>
      <c r="J560" s="0" t="n">
        <f aca="false">I560*60</f>
        <v>0</v>
      </c>
      <c r="K560" s="0" t="n">
        <f aca="false">(I560*86400)/24</f>
        <v>0</v>
      </c>
    </row>
    <row r="561" customFormat="false" ht="16.5" hidden="false" customHeight="false" outlineLevel="0" collapsed="false">
      <c r="A561" s="56" t="n">
        <v>45858.0416666667</v>
      </c>
      <c r="B561" s="57" t="n">
        <f aca="false">MOD(A561,1)</f>
        <v>0.0416666666569654</v>
      </c>
      <c r="C561" s="0" t="n">
        <v>0</v>
      </c>
      <c r="D561" s="0" t="n">
        <v>489.629</v>
      </c>
      <c r="E561" s="0" t="n">
        <f aca="false">D561-0.155</f>
        <v>489.474</v>
      </c>
      <c r="F561" s="0" t="n">
        <v>489.545</v>
      </c>
      <c r="G561" s="0" t="n">
        <f aca="false">IF(E561 - F561 &lt; 0, 0, E561 - F561)</f>
        <v>0</v>
      </c>
      <c r="H561" s="0" t="n">
        <v>1.82</v>
      </c>
      <c r="I561" s="0" t="n">
        <f aca="false">1.82*30*(G561^1.5)</f>
        <v>0</v>
      </c>
      <c r="J561" s="0" t="n">
        <f aca="false">I561*60</f>
        <v>0</v>
      </c>
      <c r="K561" s="0" t="n">
        <f aca="false">(I561*86400)/24</f>
        <v>0</v>
      </c>
    </row>
    <row r="562" customFormat="false" ht="16.5" hidden="false" customHeight="false" outlineLevel="0" collapsed="false">
      <c r="A562" s="56" t="n">
        <v>45858.0833333333</v>
      </c>
      <c r="B562" s="57" t="n">
        <f aca="false">MOD(A562,1)</f>
        <v>0.0833333333430346</v>
      </c>
      <c r="C562" s="0" t="n">
        <v>0</v>
      </c>
      <c r="D562" s="0" t="n">
        <v>489.624</v>
      </c>
      <c r="E562" s="0" t="n">
        <f aca="false">D562-0.155</f>
        <v>489.469</v>
      </c>
      <c r="F562" s="0" t="n">
        <v>489.545</v>
      </c>
      <c r="G562" s="0" t="n">
        <f aca="false">IF(E562 - F562 &lt; 0, 0, E562 - F562)</f>
        <v>0</v>
      </c>
      <c r="H562" s="0" t="n">
        <v>1.82</v>
      </c>
      <c r="I562" s="0" t="n">
        <f aca="false">1.82*30*(G562^1.5)</f>
        <v>0</v>
      </c>
      <c r="J562" s="0" t="n">
        <f aca="false">I562*60</f>
        <v>0</v>
      </c>
      <c r="K562" s="0" t="n">
        <f aca="false">(I562*86400)/24</f>
        <v>0</v>
      </c>
    </row>
    <row r="563" customFormat="false" ht="16.5" hidden="false" customHeight="false" outlineLevel="0" collapsed="false">
      <c r="A563" s="56" t="n">
        <v>45858.125</v>
      </c>
      <c r="B563" s="57" t="n">
        <f aca="false">MOD(A563,1)</f>
        <v>0.125</v>
      </c>
      <c r="C563" s="0" t="n">
        <v>0</v>
      </c>
      <c r="D563" s="0" t="n">
        <v>489.624</v>
      </c>
      <c r="E563" s="0" t="n">
        <f aca="false">D563-0.155</f>
        <v>489.469</v>
      </c>
      <c r="F563" s="0" t="n">
        <v>489.545</v>
      </c>
      <c r="G563" s="0" t="n">
        <f aca="false">IF(E563 - F563 &lt; 0, 0, E563 - F563)</f>
        <v>0</v>
      </c>
      <c r="H563" s="0" t="n">
        <v>1.82</v>
      </c>
      <c r="I563" s="0" t="n">
        <f aca="false">1.82*30*(G563^1.5)</f>
        <v>0</v>
      </c>
      <c r="J563" s="0" t="n">
        <f aca="false">I563*60</f>
        <v>0</v>
      </c>
      <c r="K563" s="0" t="n">
        <f aca="false">(I563*86400)/24</f>
        <v>0</v>
      </c>
    </row>
    <row r="564" customFormat="false" ht="16.5" hidden="false" customHeight="false" outlineLevel="0" collapsed="false">
      <c r="A564" s="56" t="n">
        <v>45858.1666666667</v>
      </c>
      <c r="B564" s="57" t="n">
        <f aca="false">MOD(A564,1)</f>
        <v>0.166666666656965</v>
      </c>
      <c r="C564" s="0" t="n">
        <v>0</v>
      </c>
      <c r="D564" s="0" t="n">
        <v>489.624</v>
      </c>
      <c r="E564" s="0" t="n">
        <f aca="false">D564-0.155</f>
        <v>489.469</v>
      </c>
      <c r="F564" s="0" t="n">
        <v>489.545</v>
      </c>
      <c r="G564" s="0" t="n">
        <f aca="false">IF(E564 - F564 &lt; 0, 0, E564 - F564)</f>
        <v>0</v>
      </c>
      <c r="H564" s="0" t="n">
        <v>1.82</v>
      </c>
      <c r="I564" s="0" t="n">
        <f aca="false">1.82*30*(G564^1.5)</f>
        <v>0</v>
      </c>
      <c r="J564" s="0" t="n">
        <f aca="false">I564*60</f>
        <v>0</v>
      </c>
      <c r="K564" s="0" t="n">
        <f aca="false">(I564*86400)/24</f>
        <v>0</v>
      </c>
    </row>
    <row r="565" customFormat="false" ht="16.5" hidden="false" customHeight="false" outlineLevel="0" collapsed="false">
      <c r="A565" s="56" t="n">
        <v>45858.2083333333</v>
      </c>
      <c r="B565" s="57" t="n">
        <f aca="false">MOD(A565,1)</f>
        <v>0.208333333343035</v>
      </c>
      <c r="C565" s="0" t="n">
        <v>0</v>
      </c>
      <c r="D565" s="0" t="n">
        <v>489.624</v>
      </c>
      <c r="E565" s="0" t="n">
        <f aca="false">D565-0.155</f>
        <v>489.469</v>
      </c>
      <c r="F565" s="0" t="n">
        <v>489.545</v>
      </c>
      <c r="G565" s="0" t="n">
        <f aca="false">IF(E565 - F565 &lt; 0, 0, E565 - F565)</f>
        <v>0</v>
      </c>
      <c r="H565" s="0" t="n">
        <v>1.82</v>
      </c>
      <c r="I565" s="0" t="n">
        <f aca="false">1.82*30*(G565^1.5)</f>
        <v>0</v>
      </c>
      <c r="J565" s="0" t="n">
        <f aca="false">I565*60</f>
        <v>0</v>
      </c>
      <c r="K565" s="0" t="n">
        <f aca="false">(I565*86400)/24</f>
        <v>0</v>
      </c>
    </row>
    <row r="566" customFormat="false" ht="16.5" hidden="false" customHeight="false" outlineLevel="0" collapsed="false">
      <c r="A566" s="56" t="n">
        <v>45858.25</v>
      </c>
      <c r="B566" s="57" t="n">
        <f aca="false">MOD(A566,1)</f>
        <v>0.25</v>
      </c>
      <c r="C566" s="0" t="n">
        <v>0</v>
      </c>
      <c r="D566" s="0" t="n">
        <v>489.617</v>
      </c>
      <c r="E566" s="0" t="n">
        <f aca="false">D566-0.155</f>
        <v>489.462</v>
      </c>
      <c r="F566" s="0" t="n">
        <v>489.545</v>
      </c>
      <c r="G566" s="0" t="n">
        <f aca="false">IF(E566 - F566 &lt; 0, 0, E566 - F566)</f>
        <v>0</v>
      </c>
      <c r="H566" s="0" t="n">
        <v>1.82</v>
      </c>
      <c r="I566" s="0" t="n">
        <f aca="false">1.82*30*(G566^1.5)</f>
        <v>0</v>
      </c>
      <c r="J566" s="0" t="n">
        <f aca="false">I566*60</f>
        <v>0</v>
      </c>
      <c r="K566" s="0" t="n">
        <f aca="false">(I566*86400)/24</f>
        <v>0</v>
      </c>
    </row>
    <row r="567" customFormat="false" ht="16.5" hidden="false" customHeight="false" outlineLevel="0" collapsed="false">
      <c r="A567" s="56" t="n">
        <v>45858.2916666667</v>
      </c>
      <c r="B567" s="57" t="n">
        <f aca="false">MOD(A567,1)</f>
        <v>0.291666666656965</v>
      </c>
      <c r="C567" s="0" t="n">
        <v>0</v>
      </c>
      <c r="D567" s="0" t="n">
        <v>489.617</v>
      </c>
      <c r="E567" s="0" t="n">
        <f aca="false">D567-0.155</f>
        <v>489.462</v>
      </c>
      <c r="F567" s="0" t="n">
        <v>489.545</v>
      </c>
      <c r="G567" s="0" t="n">
        <f aca="false">IF(E567 - F567 &lt; 0, 0, E567 - F567)</f>
        <v>0</v>
      </c>
      <c r="H567" s="0" t="n">
        <v>1.82</v>
      </c>
      <c r="I567" s="0" t="n">
        <f aca="false">1.82*30*(G567^1.5)</f>
        <v>0</v>
      </c>
      <c r="J567" s="0" t="n">
        <f aca="false">I567*60</f>
        <v>0</v>
      </c>
      <c r="K567" s="0" t="n">
        <f aca="false">(I567*86400)/24</f>
        <v>0</v>
      </c>
    </row>
    <row r="568" customFormat="false" ht="16.5" hidden="false" customHeight="false" outlineLevel="0" collapsed="false">
      <c r="A568" s="56" t="n">
        <v>45858.3333333333</v>
      </c>
      <c r="B568" s="57" t="n">
        <f aca="false">MOD(A568,1)</f>
        <v>0.333333333343035</v>
      </c>
      <c r="C568" s="0" t="n">
        <v>2.2</v>
      </c>
      <c r="D568" s="0" t="n">
        <v>489.617</v>
      </c>
      <c r="E568" s="0" t="n">
        <f aca="false">D568-0.155</f>
        <v>489.462</v>
      </c>
      <c r="F568" s="0" t="n">
        <v>489.545</v>
      </c>
      <c r="G568" s="0" t="n">
        <f aca="false">IF(E568 - F568 &lt; 0, 0, E568 - F568)</f>
        <v>0</v>
      </c>
      <c r="H568" s="0" t="n">
        <v>1.82</v>
      </c>
      <c r="I568" s="0" t="n">
        <f aca="false">1.82*30*(G568^1.5)</f>
        <v>0</v>
      </c>
      <c r="J568" s="0" t="n">
        <f aca="false">I568*60</f>
        <v>0</v>
      </c>
      <c r="K568" s="0" t="n">
        <f aca="false">(I568*86400)/24</f>
        <v>0</v>
      </c>
    </row>
    <row r="569" customFormat="false" ht="16.5" hidden="false" customHeight="false" outlineLevel="0" collapsed="false">
      <c r="A569" s="56" t="n">
        <v>45858.375</v>
      </c>
      <c r="B569" s="57" t="n">
        <f aca="false">MOD(A569,1)</f>
        <v>0.375</v>
      </c>
      <c r="C569" s="0" t="n">
        <v>8.6</v>
      </c>
      <c r="D569" s="0" t="n">
        <v>489.63</v>
      </c>
      <c r="E569" s="0" t="n">
        <f aca="false">D569-0.155</f>
        <v>489.475</v>
      </c>
      <c r="F569" s="0" t="n">
        <v>489.545</v>
      </c>
      <c r="G569" s="0" t="n">
        <f aca="false">IF(E569 - F569 &lt; 0, 0, E569 - F569)</f>
        <v>0</v>
      </c>
      <c r="H569" s="0" t="n">
        <v>1.82</v>
      </c>
      <c r="I569" s="0" t="n">
        <f aca="false">1.82*30*(G569^1.5)</f>
        <v>0</v>
      </c>
      <c r="J569" s="0" t="n">
        <f aca="false">I569*60</f>
        <v>0</v>
      </c>
      <c r="K569" s="0" t="n">
        <f aca="false">(I569*86400)/24</f>
        <v>0</v>
      </c>
    </row>
    <row r="570" customFormat="false" ht="16.5" hidden="false" customHeight="false" outlineLevel="0" collapsed="false">
      <c r="A570" s="56" t="n">
        <v>45858.4166666667</v>
      </c>
      <c r="B570" s="57" t="n">
        <f aca="false">MOD(A570,1)</f>
        <v>0.416666666656965</v>
      </c>
      <c r="C570" s="0" t="n">
        <v>0</v>
      </c>
      <c r="D570" s="0" t="n">
        <v>489.63</v>
      </c>
      <c r="E570" s="0" t="n">
        <f aca="false">D570-0.155</f>
        <v>489.475</v>
      </c>
      <c r="F570" s="0" t="n">
        <v>489.545</v>
      </c>
      <c r="G570" s="0" t="n">
        <f aca="false">IF(E570 - F570 &lt; 0, 0, E570 - F570)</f>
        <v>0</v>
      </c>
      <c r="H570" s="0" t="n">
        <v>1.82</v>
      </c>
      <c r="I570" s="0" t="n">
        <f aca="false">1.82*30*(G570^1.5)</f>
        <v>0</v>
      </c>
      <c r="J570" s="0" t="n">
        <f aca="false">I570*60</f>
        <v>0</v>
      </c>
      <c r="K570" s="0" t="n">
        <f aca="false">(I570*86400)/24</f>
        <v>0</v>
      </c>
    </row>
    <row r="571" customFormat="false" ht="16.5" hidden="false" customHeight="false" outlineLevel="0" collapsed="false">
      <c r="A571" s="56" t="n">
        <v>45858.4583333333</v>
      </c>
      <c r="B571" s="57" t="n">
        <f aca="false">MOD(A571,1)</f>
        <v>0.458333333343035</v>
      </c>
      <c r="C571" s="0" t="n">
        <v>0</v>
      </c>
      <c r="D571" s="0" t="n">
        <v>489.629</v>
      </c>
      <c r="E571" s="0" t="n">
        <f aca="false">D571-0.155</f>
        <v>489.474</v>
      </c>
      <c r="F571" s="0" t="n">
        <v>489.545</v>
      </c>
      <c r="G571" s="0" t="n">
        <f aca="false">IF(E571 - F571 &lt; 0, 0, E571 - F571)</f>
        <v>0</v>
      </c>
      <c r="H571" s="0" t="n">
        <v>1.82</v>
      </c>
      <c r="I571" s="0" t="n">
        <f aca="false">1.82*30*(G571^1.5)</f>
        <v>0</v>
      </c>
      <c r="J571" s="0" t="n">
        <f aca="false">I571*60</f>
        <v>0</v>
      </c>
      <c r="K571" s="0" t="n">
        <f aca="false">(I571*86400)/24</f>
        <v>0</v>
      </c>
    </row>
    <row r="572" customFormat="false" ht="16.5" hidden="false" customHeight="false" outlineLevel="0" collapsed="false">
      <c r="A572" s="56" t="n">
        <v>45858.5</v>
      </c>
      <c r="B572" s="57" t="n">
        <f aca="false">MOD(A572,1)</f>
        <v>0.5</v>
      </c>
      <c r="C572" s="0" t="n">
        <v>0</v>
      </c>
      <c r="D572" s="0" t="n">
        <v>489.635</v>
      </c>
      <c r="E572" s="0" t="n">
        <f aca="false">D572-0.155</f>
        <v>489.48</v>
      </c>
      <c r="F572" s="0" t="n">
        <v>489.545</v>
      </c>
      <c r="G572" s="0" t="n">
        <f aca="false">IF(E572 - F572 &lt; 0, 0, E572 - F572)</f>
        <v>0</v>
      </c>
      <c r="H572" s="0" t="n">
        <v>1.82</v>
      </c>
      <c r="I572" s="0" t="n">
        <f aca="false">1.82*30*(G572^1.5)</f>
        <v>0</v>
      </c>
      <c r="J572" s="0" t="n">
        <f aca="false">I572*60</f>
        <v>0</v>
      </c>
      <c r="K572" s="0" t="n">
        <f aca="false">(I572*86400)/24</f>
        <v>0</v>
      </c>
    </row>
    <row r="573" customFormat="false" ht="16.5" hidden="false" customHeight="false" outlineLevel="0" collapsed="false">
      <c r="A573" s="56" t="n">
        <v>45858.5416666667</v>
      </c>
      <c r="B573" s="57" t="n">
        <f aca="false">MOD(A573,1)</f>
        <v>0.541666666656965</v>
      </c>
      <c r="C573" s="0" t="n">
        <v>0</v>
      </c>
      <c r="D573" s="0" t="n">
        <v>489.629</v>
      </c>
      <c r="E573" s="0" t="n">
        <f aca="false">D573-0.155</f>
        <v>489.474</v>
      </c>
      <c r="F573" s="0" t="n">
        <v>489.545</v>
      </c>
      <c r="G573" s="0" t="n">
        <f aca="false">IF(E573 - F573 &lt; 0, 0, E573 - F573)</f>
        <v>0</v>
      </c>
      <c r="H573" s="0" t="n">
        <v>1.82</v>
      </c>
      <c r="I573" s="0" t="n">
        <f aca="false">1.82*30*(G573^1.5)</f>
        <v>0</v>
      </c>
      <c r="J573" s="0" t="n">
        <f aca="false">I573*60</f>
        <v>0</v>
      </c>
      <c r="K573" s="0" t="n">
        <f aca="false">(I573*86400)/24</f>
        <v>0</v>
      </c>
    </row>
    <row r="574" customFormat="false" ht="16.5" hidden="false" customHeight="false" outlineLevel="0" collapsed="false">
      <c r="A574" s="56" t="n">
        <v>45858.5833333333</v>
      </c>
      <c r="B574" s="57" t="n">
        <f aca="false">MOD(A574,1)</f>
        <v>0.583333333343035</v>
      </c>
      <c r="C574" s="0" t="n">
        <v>0</v>
      </c>
      <c r="D574" s="0" t="n">
        <v>489.636</v>
      </c>
      <c r="E574" s="0" t="n">
        <f aca="false">D574-0.155</f>
        <v>489.481</v>
      </c>
      <c r="F574" s="0" t="n">
        <v>489.545</v>
      </c>
      <c r="G574" s="0" t="n">
        <f aca="false">IF(E574 - F574 &lt; 0, 0, E574 - F574)</f>
        <v>0</v>
      </c>
      <c r="H574" s="0" t="n">
        <v>1.82</v>
      </c>
      <c r="I574" s="0" t="n">
        <f aca="false">1.82*30*(G574^1.5)</f>
        <v>0</v>
      </c>
      <c r="J574" s="0" t="n">
        <f aca="false">I574*60</f>
        <v>0</v>
      </c>
      <c r="K574" s="0" t="n">
        <f aca="false">(I574*86400)/24</f>
        <v>0</v>
      </c>
    </row>
    <row r="575" customFormat="false" ht="16.5" hidden="false" customHeight="false" outlineLevel="0" collapsed="false">
      <c r="A575" s="56" t="n">
        <v>45858.625</v>
      </c>
      <c r="B575" s="57" t="n">
        <f aca="false">MOD(A575,1)</f>
        <v>0.625</v>
      </c>
      <c r="C575" s="0" t="n">
        <v>0</v>
      </c>
      <c r="D575" s="0" t="n">
        <v>489.636</v>
      </c>
      <c r="E575" s="0" t="n">
        <f aca="false">D575-0.155</f>
        <v>489.481</v>
      </c>
      <c r="F575" s="0" t="n">
        <v>489.545</v>
      </c>
      <c r="G575" s="0" t="n">
        <f aca="false">IF(E575 - F575 &lt; 0, 0, E575 - F575)</f>
        <v>0</v>
      </c>
      <c r="H575" s="0" t="n">
        <v>1.82</v>
      </c>
      <c r="I575" s="0" t="n">
        <f aca="false">1.82*30*(G575^1.5)</f>
        <v>0</v>
      </c>
      <c r="J575" s="0" t="n">
        <f aca="false">I575*60</f>
        <v>0</v>
      </c>
      <c r="K575" s="0" t="n">
        <f aca="false">(I575*86400)/24</f>
        <v>0</v>
      </c>
    </row>
    <row r="576" customFormat="false" ht="16.5" hidden="false" customHeight="false" outlineLevel="0" collapsed="false">
      <c r="A576" s="56" t="n">
        <v>45858.6666666667</v>
      </c>
      <c r="B576" s="57" t="n">
        <f aca="false">MOD(A576,1)</f>
        <v>0.666666666656965</v>
      </c>
      <c r="C576" s="0" t="n">
        <v>0</v>
      </c>
      <c r="D576" s="0" t="n">
        <v>489.636</v>
      </c>
      <c r="E576" s="0" t="n">
        <f aca="false">D576-0.155</f>
        <v>489.481</v>
      </c>
      <c r="F576" s="0" t="n">
        <v>489.545</v>
      </c>
      <c r="G576" s="0" t="n">
        <f aca="false">IF(E576 - F576 &lt; 0, 0, E576 - F576)</f>
        <v>0</v>
      </c>
      <c r="H576" s="0" t="n">
        <v>1.82</v>
      </c>
      <c r="I576" s="0" t="n">
        <f aca="false">1.82*30*(G576^1.5)</f>
        <v>0</v>
      </c>
      <c r="J576" s="0" t="n">
        <f aca="false">I576*60</f>
        <v>0</v>
      </c>
      <c r="K576" s="0" t="n">
        <f aca="false">(I576*86400)/24</f>
        <v>0</v>
      </c>
    </row>
    <row r="577" customFormat="false" ht="16.5" hidden="false" customHeight="false" outlineLevel="0" collapsed="false">
      <c r="A577" s="56" t="n">
        <v>45858.7083333333</v>
      </c>
      <c r="B577" s="57" t="n">
        <f aca="false">MOD(A577,1)</f>
        <v>0.708333333343035</v>
      </c>
      <c r="C577" s="0" t="n">
        <v>0</v>
      </c>
      <c r="D577" s="0" t="n">
        <v>489.636</v>
      </c>
      <c r="E577" s="0" t="n">
        <f aca="false">D577-0.155</f>
        <v>489.481</v>
      </c>
      <c r="F577" s="0" t="n">
        <v>489.545</v>
      </c>
      <c r="G577" s="0" t="n">
        <f aca="false">IF(E577 - F577 &lt; 0, 0, E577 - F577)</f>
        <v>0</v>
      </c>
      <c r="H577" s="0" t="n">
        <v>1.82</v>
      </c>
      <c r="I577" s="0" t="n">
        <f aca="false">1.82*30*(G577^1.5)</f>
        <v>0</v>
      </c>
      <c r="J577" s="0" t="n">
        <f aca="false">I577*60</f>
        <v>0</v>
      </c>
      <c r="K577" s="0" t="n">
        <f aca="false">(I577*86400)/24</f>
        <v>0</v>
      </c>
    </row>
    <row r="578" customFormat="false" ht="16.5" hidden="false" customHeight="false" outlineLevel="0" collapsed="false">
      <c r="A578" s="56" t="n">
        <v>45858.75</v>
      </c>
      <c r="B578" s="57" t="n">
        <f aca="false">MOD(A578,1)</f>
        <v>0.75</v>
      </c>
      <c r="C578" s="0" t="n">
        <v>0</v>
      </c>
      <c r="D578" s="0" t="n">
        <v>489.629</v>
      </c>
      <c r="E578" s="0" t="n">
        <f aca="false">D578-0.155</f>
        <v>489.474</v>
      </c>
      <c r="F578" s="0" t="n">
        <v>489.545</v>
      </c>
      <c r="G578" s="0" t="n">
        <f aca="false">IF(E578 - F578 &lt; 0, 0, E578 - F578)</f>
        <v>0</v>
      </c>
      <c r="H578" s="0" t="n">
        <v>1.82</v>
      </c>
      <c r="I578" s="0" t="n">
        <f aca="false">1.82*30*(G578^1.5)</f>
        <v>0</v>
      </c>
      <c r="J578" s="0" t="n">
        <f aca="false">I578*60</f>
        <v>0</v>
      </c>
      <c r="K578" s="0" t="n">
        <f aca="false">(I578*86400)/24</f>
        <v>0</v>
      </c>
    </row>
    <row r="579" customFormat="false" ht="16.5" hidden="false" customHeight="false" outlineLevel="0" collapsed="false">
      <c r="A579" s="56" t="n">
        <v>45858.7916666667</v>
      </c>
      <c r="B579" s="57" t="n">
        <f aca="false">MOD(A579,1)</f>
        <v>0.791666666656965</v>
      </c>
      <c r="C579" s="0" t="n">
        <v>0</v>
      </c>
      <c r="D579" s="0" t="n">
        <v>489.629</v>
      </c>
      <c r="E579" s="0" t="n">
        <f aca="false">D579-0.155</f>
        <v>489.474</v>
      </c>
      <c r="F579" s="0" t="n">
        <v>489.545</v>
      </c>
      <c r="G579" s="0" t="n">
        <f aca="false">IF(E579 - F579 &lt; 0, 0, E579 - F579)</f>
        <v>0</v>
      </c>
      <c r="H579" s="0" t="n">
        <v>1.82</v>
      </c>
      <c r="I579" s="0" t="n">
        <f aca="false">1.82*30*(G579^1.5)</f>
        <v>0</v>
      </c>
      <c r="J579" s="0" t="n">
        <f aca="false">I579*60</f>
        <v>0</v>
      </c>
      <c r="K579" s="0" t="n">
        <f aca="false">(I579*86400)/24</f>
        <v>0</v>
      </c>
    </row>
    <row r="580" customFormat="false" ht="16.5" hidden="false" customHeight="false" outlineLevel="0" collapsed="false">
      <c r="A580" s="56" t="n">
        <v>45858.8333333333</v>
      </c>
      <c r="B580" s="57" t="n">
        <f aca="false">MOD(A580,1)</f>
        <v>0.833333333343035</v>
      </c>
      <c r="C580" s="0" t="n">
        <v>0</v>
      </c>
      <c r="D580" s="0" t="n">
        <v>489.629</v>
      </c>
      <c r="E580" s="0" t="n">
        <f aca="false">D580-0.155</f>
        <v>489.474</v>
      </c>
      <c r="F580" s="0" t="n">
        <v>489.545</v>
      </c>
      <c r="G580" s="0" t="n">
        <f aca="false">IF(E580 - F580 &lt; 0, 0, E580 - F580)</f>
        <v>0</v>
      </c>
      <c r="H580" s="0" t="n">
        <v>1.82</v>
      </c>
      <c r="I580" s="0" t="n">
        <f aca="false">1.82*30*(G580^1.5)</f>
        <v>0</v>
      </c>
      <c r="J580" s="0" t="n">
        <f aca="false">I580*60</f>
        <v>0</v>
      </c>
      <c r="K580" s="0" t="n">
        <f aca="false">(I580*86400)/24</f>
        <v>0</v>
      </c>
    </row>
    <row r="581" customFormat="false" ht="16.5" hidden="false" customHeight="false" outlineLevel="0" collapsed="false">
      <c r="A581" s="56" t="n">
        <v>45858.875</v>
      </c>
      <c r="B581" s="57" t="n">
        <f aca="false">MOD(A581,1)</f>
        <v>0.875</v>
      </c>
      <c r="C581" s="0" t="n">
        <v>0</v>
      </c>
      <c r="D581" s="0" t="n">
        <v>489.629</v>
      </c>
      <c r="E581" s="0" t="n">
        <f aca="false">D581-0.155</f>
        <v>489.474</v>
      </c>
      <c r="F581" s="0" t="n">
        <v>489.545</v>
      </c>
      <c r="G581" s="0" t="n">
        <f aca="false">IF(E581 - F581 &lt; 0, 0, E581 - F581)</f>
        <v>0</v>
      </c>
      <c r="H581" s="0" t="n">
        <v>1.82</v>
      </c>
      <c r="I581" s="0" t="n">
        <f aca="false">1.82*30*(G581^1.5)</f>
        <v>0</v>
      </c>
      <c r="J581" s="0" t="n">
        <f aca="false">I581*60</f>
        <v>0</v>
      </c>
      <c r="K581" s="0" t="n">
        <f aca="false">(I581*86400)/24</f>
        <v>0</v>
      </c>
    </row>
    <row r="582" customFormat="false" ht="16.5" hidden="false" customHeight="false" outlineLevel="0" collapsed="false">
      <c r="A582" s="56" t="n">
        <v>45858.9166666667</v>
      </c>
      <c r="B582" s="57" t="n">
        <f aca="false">MOD(A582,1)</f>
        <v>0.916666666656965</v>
      </c>
      <c r="C582" s="0" t="n">
        <v>0</v>
      </c>
      <c r="D582" s="0" t="n">
        <v>489.624</v>
      </c>
      <c r="E582" s="0" t="n">
        <f aca="false">D582-0.155</f>
        <v>489.469</v>
      </c>
      <c r="F582" s="0" t="n">
        <v>489.545</v>
      </c>
      <c r="G582" s="0" t="n">
        <f aca="false">IF(E582 - F582 &lt; 0, 0, E582 - F582)</f>
        <v>0</v>
      </c>
      <c r="H582" s="0" t="n">
        <v>1.82</v>
      </c>
      <c r="I582" s="0" t="n">
        <f aca="false">1.82*30*(G582^1.5)</f>
        <v>0</v>
      </c>
      <c r="J582" s="0" t="n">
        <f aca="false">I582*60</f>
        <v>0</v>
      </c>
      <c r="K582" s="0" t="n">
        <f aca="false">(I582*86400)/24</f>
        <v>0</v>
      </c>
    </row>
    <row r="583" customFormat="false" ht="16.5" hidden="false" customHeight="false" outlineLevel="0" collapsed="false">
      <c r="A583" s="56" t="n">
        <v>45858.9583333333</v>
      </c>
      <c r="B583" s="57" t="n">
        <f aca="false">MOD(A583,1)</f>
        <v>0.958333333343035</v>
      </c>
      <c r="C583" s="0" t="n">
        <v>0</v>
      </c>
      <c r="D583" s="0" t="n">
        <v>489.624</v>
      </c>
      <c r="E583" s="0" t="n">
        <f aca="false">D583-0.155</f>
        <v>489.469</v>
      </c>
      <c r="F583" s="0" t="n">
        <v>489.545</v>
      </c>
      <c r="G583" s="0" t="n">
        <f aca="false">IF(E583 - F583 &lt; 0, 0, E583 - F583)</f>
        <v>0</v>
      </c>
      <c r="H583" s="0" t="n">
        <v>1.82</v>
      </c>
      <c r="I583" s="0" t="n">
        <f aca="false">1.82*30*(G583^1.5)</f>
        <v>0</v>
      </c>
      <c r="J583" s="0" t="n">
        <f aca="false">I583*60</f>
        <v>0</v>
      </c>
      <c r="K583" s="0" t="n">
        <f aca="false">(I583*86400)/24</f>
        <v>0</v>
      </c>
    </row>
    <row r="584" customFormat="false" ht="16.5" hidden="false" customHeight="false" outlineLevel="0" collapsed="false">
      <c r="A584" s="56" t="n">
        <v>45859</v>
      </c>
      <c r="B584" s="57" t="n">
        <f aca="false">MOD(A584,1)</f>
        <v>0</v>
      </c>
      <c r="C584" s="0" t="n">
        <v>0</v>
      </c>
      <c r="D584" s="0" t="n">
        <v>489.624</v>
      </c>
      <c r="E584" s="0" t="n">
        <f aca="false">D584-0.155</f>
        <v>489.469</v>
      </c>
      <c r="F584" s="0" t="n">
        <v>489.545</v>
      </c>
      <c r="G584" s="0" t="n">
        <f aca="false">IF(E584 - F584 &lt; 0, 0, E584 - F584)</f>
        <v>0</v>
      </c>
      <c r="H584" s="0" t="n">
        <v>1.82</v>
      </c>
      <c r="I584" s="0" t="n">
        <f aca="false">1.82*30*(G584^1.5)</f>
        <v>0</v>
      </c>
      <c r="J584" s="0" t="n">
        <f aca="false">I584*60</f>
        <v>0</v>
      </c>
      <c r="K584" s="0" t="n">
        <f aca="false">(I584*86400)/24</f>
        <v>0</v>
      </c>
    </row>
    <row r="585" customFormat="false" ht="16.5" hidden="false" customHeight="false" outlineLevel="0" collapsed="false">
      <c r="A585" s="56" t="n">
        <v>45859.0416666667</v>
      </c>
      <c r="B585" s="57" t="n">
        <f aca="false">MOD(A585,1)</f>
        <v>0.0416666666569654</v>
      </c>
      <c r="C585" s="0" t="n">
        <v>0</v>
      </c>
      <c r="D585" s="0" t="n">
        <v>489.624</v>
      </c>
      <c r="E585" s="0" t="n">
        <f aca="false">D585-0.155</f>
        <v>489.469</v>
      </c>
      <c r="F585" s="0" t="n">
        <v>489.545</v>
      </c>
      <c r="G585" s="0" t="n">
        <f aca="false">IF(E585 - F585 &lt; 0, 0, E585 - F585)</f>
        <v>0</v>
      </c>
      <c r="H585" s="0" t="n">
        <v>1.82</v>
      </c>
      <c r="I585" s="0" t="n">
        <f aca="false">1.82*30*(G585^1.5)</f>
        <v>0</v>
      </c>
      <c r="J585" s="0" t="n">
        <f aca="false">I585*60</f>
        <v>0</v>
      </c>
      <c r="K585" s="0" t="n">
        <f aca="false">(I585*86400)/24</f>
        <v>0</v>
      </c>
    </row>
    <row r="586" customFormat="false" ht="16.5" hidden="false" customHeight="false" outlineLevel="0" collapsed="false">
      <c r="A586" s="56" t="n">
        <v>45859.0833333333</v>
      </c>
      <c r="B586" s="57" t="n">
        <f aca="false">MOD(A586,1)</f>
        <v>0.0833333333430346</v>
      </c>
      <c r="C586" s="0" t="n">
        <v>0</v>
      </c>
      <c r="D586" s="0" t="n">
        <v>489.624</v>
      </c>
      <c r="E586" s="0" t="n">
        <f aca="false">D586-0.155</f>
        <v>489.469</v>
      </c>
      <c r="F586" s="0" t="n">
        <v>489.545</v>
      </c>
      <c r="G586" s="0" t="n">
        <f aca="false">IF(E586 - F586 &lt; 0, 0, E586 - F586)</f>
        <v>0</v>
      </c>
      <c r="H586" s="0" t="n">
        <v>1.82</v>
      </c>
      <c r="I586" s="0" t="n">
        <f aca="false">1.82*30*(G586^1.5)</f>
        <v>0</v>
      </c>
      <c r="J586" s="0" t="n">
        <f aca="false">I586*60</f>
        <v>0</v>
      </c>
      <c r="K586" s="0" t="n">
        <f aca="false">(I586*86400)/24</f>
        <v>0</v>
      </c>
    </row>
    <row r="587" customFormat="false" ht="16.5" hidden="false" customHeight="false" outlineLevel="0" collapsed="false">
      <c r="A587" s="56" t="n">
        <v>45859.125</v>
      </c>
      <c r="B587" s="57" t="n">
        <f aca="false">MOD(A587,1)</f>
        <v>0.125</v>
      </c>
      <c r="C587" s="0" t="n">
        <v>0</v>
      </c>
      <c r="D587" s="0" t="n">
        <v>489.617</v>
      </c>
      <c r="E587" s="0" t="n">
        <f aca="false">D587-0.155</f>
        <v>489.462</v>
      </c>
      <c r="F587" s="0" t="n">
        <v>489.545</v>
      </c>
      <c r="G587" s="0" t="n">
        <f aca="false">IF(E587 - F587 &lt; 0, 0, E587 - F587)</f>
        <v>0</v>
      </c>
      <c r="H587" s="0" t="n">
        <v>1.82</v>
      </c>
      <c r="I587" s="0" t="n">
        <f aca="false">1.82*30*(G587^1.5)</f>
        <v>0</v>
      </c>
      <c r="J587" s="0" t="n">
        <f aca="false">I587*60</f>
        <v>0</v>
      </c>
      <c r="K587" s="0" t="n">
        <f aca="false">(I587*86400)/24</f>
        <v>0</v>
      </c>
    </row>
    <row r="588" customFormat="false" ht="16.5" hidden="false" customHeight="false" outlineLevel="0" collapsed="false">
      <c r="A588" s="56" t="n">
        <v>45859.1666666667</v>
      </c>
      <c r="B588" s="57" t="n">
        <f aca="false">MOD(A588,1)</f>
        <v>0.166666666656965</v>
      </c>
      <c r="C588" s="0" t="n">
        <v>0</v>
      </c>
      <c r="D588" s="0" t="n">
        <v>489.617</v>
      </c>
      <c r="E588" s="0" t="n">
        <f aca="false">D588-0.155</f>
        <v>489.462</v>
      </c>
      <c r="F588" s="0" t="n">
        <v>489.545</v>
      </c>
      <c r="G588" s="0" t="n">
        <f aca="false">IF(E588 - F588 &lt; 0, 0, E588 - F588)</f>
        <v>0</v>
      </c>
      <c r="H588" s="0" t="n">
        <v>1.82</v>
      </c>
      <c r="I588" s="0" t="n">
        <f aca="false">1.82*30*(G588^1.5)</f>
        <v>0</v>
      </c>
      <c r="J588" s="0" t="n">
        <f aca="false">I588*60</f>
        <v>0</v>
      </c>
      <c r="K588" s="0" t="n">
        <f aca="false">(I588*86400)/24</f>
        <v>0</v>
      </c>
    </row>
    <row r="589" customFormat="false" ht="16.5" hidden="false" customHeight="false" outlineLevel="0" collapsed="false">
      <c r="A589" s="56" t="n">
        <v>45859.2083333333</v>
      </c>
      <c r="B589" s="57" t="n">
        <f aca="false">MOD(A589,1)</f>
        <v>0.208333333343035</v>
      </c>
      <c r="C589" s="0" t="n">
        <v>0</v>
      </c>
      <c r="D589" s="0" t="n">
        <v>489.617</v>
      </c>
      <c r="E589" s="0" t="n">
        <f aca="false">D589-0.155</f>
        <v>489.462</v>
      </c>
      <c r="F589" s="0" t="n">
        <v>489.545</v>
      </c>
      <c r="G589" s="0" t="n">
        <f aca="false">IF(E589 - F589 &lt; 0, 0, E589 - F589)</f>
        <v>0</v>
      </c>
      <c r="H589" s="0" t="n">
        <v>1.82</v>
      </c>
      <c r="I589" s="0" t="n">
        <f aca="false">1.82*30*(G589^1.5)</f>
        <v>0</v>
      </c>
      <c r="J589" s="0" t="n">
        <f aca="false">I589*60</f>
        <v>0</v>
      </c>
      <c r="K589" s="0" t="n">
        <f aca="false">(I589*86400)/24</f>
        <v>0</v>
      </c>
    </row>
    <row r="590" customFormat="false" ht="16.5" hidden="false" customHeight="false" outlineLevel="0" collapsed="false">
      <c r="A590" s="56" t="n">
        <v>45859.25</v>
      </c>
      <c r="B590" s="57" t="n">
        <f aca="false">MOD(A590,1)</f>
        <v>0.25</v>
      </c>
      <c r="C590" s="0" t="n">
        <v>0</v>
      </c>
      <c r="D590" s="0" t="n">
        <v>489.617</v>
      </c>
      <c r="E590" s="0" t="n">
        <f aca="false">D590-0.155</f>
        <v>489.462</v>
      </c>
      <c r="F590" s="0" t="n">
        <v>489.545</v>
      </c>
      <c r="G590" s="0" t="n">
        <f aca="false">IF(E590 - F590 &lt; 0, 0, E590 - F590)</f>
        <v>0</v>
      </c>
      <c r="H590" s="0" t="n">
        <v>1.82</v>
      </c>
      <c r="I590" s="0" t="n">
        <f aca="false">1.82*30*(G590^1.5)</f>
        <v>0</v>
      </c>
      <c r="J590" s="0" t="n">
        <f aca="false">I590*60</f>
        <v>0</v>
      </c>
      <c r="K590" s="0" t="n">
        <f aca="false">(I590*86400)/24</f>
        <v>0</v>
      </c>
    </row>
    <row r="591" customFormat="false" ht="16.5" hidden="false" customHeight="false" outlineLevel="0" collapsed="false">
      <c r="A591" s="56" t="n">
        <v>45859.2916666667</v>
      </c>
      <c r="B591" s="57" t="n">
        <f aca="false">MOD(A591,1)</f>
        <v>0.291666666656965</v>
      </c>
      <c r="C591" s="0" t="n">
        <v>0</v>
      </c>
      <c r="D591" s="0" t="n">
        <v>489.617</v>
      </c>
      <c r="E591" s="0" t="n">
        <f aca="false">D591-0.155</f>
        <v>489.462</v>
      </c>
      <c r="F591" s="0" t="n">
        <v>489.545</v>
      </c>
      <c r="G591" s="0" t="n">
        <f aca="false">IF(E591 - F591 &lt; 0, 0, E591 - F591)</f>
        <v>0</v>
      </c>
      <c r="H591" s="0" t="n">
        <v>1.82</v>
      </c>
      <c r="I591" s="0" t="n">
        <f aca="false">1.82*30*(G591^1.5)</f>
        <v>0</v>
      </c>
      <c r="J591" s="0" t="n">
        <f aca="false">I591*60</f>
        <v>0</v>
      </c>
      <c r="K591" s="0" t="n">
        <f aca="false">(I591*86400)/24</f>
        <v>0</v>
      </c>
    </row>
    <row r="592" customFormat="false" ht="16.5" hidden="false" customHeight="false" outlineLevel="0" collapsed="false">
      <c r="A592" s="56" t="n">
        <v>45859.3333333333</v>
      </c>
      <c r="B592" s="57" t="n">
        <f aca="false">MOD(A592,1)</f>
        <v>0.333333333343035</v>
      </c>
      <c r="C592" s="0" t="n">
        <v>0</v>
      </c>
      <c r="D592" s="0" t="n">
        <v>489.617</v>
      </c>
      <c r="E592" s="0" t="n">
        <f aca="false">D592-0.155</f>
        <v>489.462</v>
      </c>
      <c r="F592" s="0" t="n">
        <v>489.545</v>
      </c>
      <c r="G592" s="0" t="n">
        <f aca="false">IF(E592 - F592 &lt; 0, 0, E592 - F592)</f>
        <v>0</v>
      </c>
      <c r="H592" s="0" t="n">
        <v>1.82</v>
      </c>
      <c r="I592" s="0" t="n">
        <f aca="false">1.82*30*(G592^1.5)</f>
        <v>0</v>
      </c>
      <c r="J592" s="0" t="n">
        <f aca="false">I592*60</f>
        <v>0</v>
      </c>
      <c r="K592" s="0" t="n">
        <f aca="false">(I592*86400)/24</f>
        <v>0</v>
      </c>
    </row>
    <row r="593" customFormat="false" ht="16.5" hidden="false" customHeight="false" outlineLevel="0" collapsed="false">
      <c r="A593" s="56" t="n">
        <v>45859.375</v>
      </c>
      <c r="B593" s="57" t="n">
        <f aca="false">MOD(A593,1)</f>
        <v>0.375</v>
      </c>
      <c r="C593" s="0" t="n">
        <v>0</v>
      </c>
      <c r="D593" s="0" t="n">
        <v>489.617</v>
      </c>
      <c r="E593" s="0" t="n">
        <f aca="false">D593-0.155</f>
        <v>489.462</v>
      </c>
      <c r="F593" s="0" t="n">
        <v>489.545</v>
      </c>
      <c r="G593" s="0" t="n">
        <f aca="false">IF(E593 - F593 &lt; 0, 0, E593 - F593)</f>
        <v>0</v>
      </c>
      <c r="H593" s="0" t="n">
        <v>1.82</v>
      </c>
      <c r="I593" s="0" t="n">
        <f aca="false">1.82*30*(G593^1.5)</f>
        <v>0</v>
      </c>
      <c r="J593" s="0" t="n">
        <f aca="false">I593*60</f>
        <v>0</v>
      </c>
      <c r="K593" s="0" t="n">
        <f aca="false">(I593*86400)/24</f>
        <v>0</v>
      </c>
    </row>
    <row r="594" customFormat="false" ht="16.5" hidden="false" customHeight="false" outlineLevel="0" collapsed="false">
      <c r="A594" s="56" t="n">
        <v>45859.4166666667</v>
      </c>
      <c r="B594" s="57" t="n">
        <f aca="false">MOD(A594,1)</f>
        <v>0.416666666656965</v>
      </c>
      <c r="C594" s="0" t="n">
        <v>0</v>
      </c>
      <c r="D594" s="0" t="n">
        <v>489.611</v>
      </c>
      <c r="E594" s="0" t="n">
        <f aca="false">D594-0.155</f>
        <v>489.456</v>
      </c>
      <c r="F594" s="0" t="n">
        <v>489.545</v>
      </c>
      <c r="G594" s="0" t="n">
        <f aca="false">IF(E594 - F594 &lt; 0, 0, E594 - F594)</f>
        <v>0</v>
      </c>
      <c r="H594" s="0" t="n">
        <v>1.82</v>
      </c>
      <c r="I594" s="0" t="n">
        <f aca="false">1.82*30*(G594^1.5)</f>
        <v>0</v>
      </c>
      <c r="J594" s="0" t="n">
        <f aca="false">I594*60</f>
        <v>0</v>
      </c>
      <c r="K594" s="0" t="n">
        <f aca="false">(I594*86400)/24</f>
        <v>0</v>
      </c>
    </row>
    <row r="595" customFormat="false" ht="16.5" hidden="false" customHeight="false" outlineLevel="0" collapsed="false">
      <c r="A595" s="56" t="n">
        <v>45859.4583333333</v>
      </c>
      <c r="B595" s="57" t="n">
        <f aca="false">MOD(A595,1)</f>
        <v>0.458333333343035</v>
      </c>
      <c r="C595" s="0" t="n">
        <v>0</v>
      </c>
      <c r="D595" s="0" t="n">
        <v>489.617</v>
      </c>
      <c r="E595" s="0" t="n">
        <f aca="false">D595-0.155</f>
        <v>489.462</v>
      </c>
      <c r="F595" s="0" t="n">
        <v>489.545</v>
      </c>
      <c r="G595" s="0" t="n">
        <f aca="false">IF(E595 - F595 &lt; 0, 0, E595 - F595)</f>
        <v>0</v>
      </c>
      <c r="H595" s="0" t="n">
        <v>1.82</v>
      </c>
      <c r="I595" s="0" t="n">
        <f aca="false">1.82*30*(G595^1.5)</f>
        <v>0</v>
      </c>
      <c r="J595" s="0" t="n">
        <f aca="false">I595*60</f>
        <v>0</v>
      </c>
      <c r="K595" s="0" t="n">
        <f aca="false">(I595*86400)/24</f>
        <v>0</v>
      </c>
    </row>
    <row r="596" customFormat="false" ht="16.5" hidden="false" customHeight="false" outlineLevel="0" collapsed="false">
      <c r="A596" s="56" t="n">
        <v>45859.5</v>
      </c>
      <c r="B596" s="57" t="n">
        <f aca="false">MOD(A596,1)</f>
        <v>0.5</v>
      </c>
      <c r="C596" s="0" t="n">
        <v>0</v>
      </c>
      <c r="D596" s="0" t="n">
        <v>489.616</v>
      </c>
      <c r="E596" s="0" t="n">
        <f aca="false">D596-0.155</f>
        <v>489.461</v>
      </c>
      <c r="F596" s="0" t="n">
        <v>489.545</v>
      </c>
      <c r="G596" s="0" t="n">
        <f aca="false">IF(E596 - F596 &lt; 0, 0, E596 - F596)</f>
        <v>0</v>
      </c>
      <c r="H596" s="0" t="n">
        <v>1.82</v>
      </c>
      <c r="I596" s="0" t="n">
        <f aca="false">1.82*30*(G596^1.5)</f>
        <v>0</v>
      </c>
      <c r="J596" s="0" t="n">
        <f aca="false">I596*60</f>
        <v>0</v>
      </c>
      <c r="K596" s="0" t="n">
        <f aca="false">(I596*86400)/24</f>
        <v>0</v>
      </c>
    </row>
    <row r="597" customFormat="false" ht="16.5" hidden="false" customHeight="false" outlineLevel="0" collapsed="false">
      <c r="A597" s="56" t="n">
        <v>45859.5416666667</v>
      </c>
      <c r="B597" s="57" t="n">
        <f aca="false">MOD(A597,1)</f>
        <v>0.541666666656965</v>
      </c>
      <c r="C597" s="0" t="n">
        <v>0</v>
      </c>
      <c r="D597" s="0" t="n">
        <v>489.611</v>
      </c>
      <c r="E597" s="0" t="n">
        <f aca="false">D597-0.155</f>
        <v>489.456</v>
      </c>
      <c r="F597" s="0" t="n">
        <v>489.545</v>
      </c>
      <c r="G597" s="0" t="n">
        <f aca="false">IF(E597 - F597 &lt; 0, 0, E597 - F597)</f>
        <v>0</v>
      </c>
      <c r="H597" s="0" t="n">
        <v>1.82</v>
      </c>
      <c r="I597" s="0" t="n">
        <f aca="false">1.82*30*(G597^1.5)</f>
        <v>0</v>
      </c>
      <c r="J597" s="0" t="n">
        <f aca="false">I597*60</f>
        <v>0</v>
      </c>
      <c r="K597" s="0" t="n">
        <f aca="false">(I597*86400)/24</f>
        <v>0</v>
      </c>
    </row>
    <row r="598" customFormat="false" ht="16.5" hidden="false" customHeight="false" outlineLevel="0" collapsed="false">
      <c r="A598" s="56" t="n">
        <v>45859.5833333333</v>
      </c>
      <c r="B598" s="57" t="n">
        <f aca="false">MOD(A598,1)</f>
        <v>0.583333333343035</v>
      </c>
      <c r="C598" s="0" t="n">
        <v>0</v>
      </c>
      <c r="D598" s="0" t="n">
        <v>489.611</v>
      </c>
      <c r="E598" s="0" t="n">
        <f aca="false">D598-0.155</f>
        <v>489.456</v>
      </c>
      <c r="F598" s="0" t="n">
        <v>489.545</v>
      </c>
      <c r="G598" s="0" t="n">
        <f aca="false">IF(E598 - F598 &lt; 0, 0, E598 - F598)</f>
        <v>0</v>
      </c>
      <c r="H598" s="0" t="n">
        <v>1.82</v>
      </c>
      <c r="I598" s="0" t="n">
        <f aca="false">1.82*30*(G598^1.5)</f>
        <v>0</v>
      </c>
      <c r="J598" s="0" t="n">
        <f aca="false">I598*60</f>
        <v>0</v>
      </c>
      <c r="K598" s="0" t="n">
        <f aca="false">(I598*86400)/24</f>
        <v>0</v>
      </c>
    </row>
    <row r="599" customFormat="false" ht="16.5" hidden="false" customHeight="false" outlineLevel="0" collapsed="false">
      <c r="A599" s="56" t="n">
        <v>45859.625</v>
      </c>
      <c r="B599" s="57" t="n">
        <f aca="false">MOD(A599,1)</f>
        <v>0.625</v>
      </c>
      <c r="C599" s="0" t="n">
        <v>0</v>
      </c>
      <c r="D599" s="0" t="n">
        <v>489.611</v>
      </c>
      <c r="E599" s="0" t="n">
        <f aca="false">D599-0.155</f>
        <v>489.456</v>
      </c>
      <c r="F599" s="0" t="n">
        <v>489.545</v>
      </c>
      <c r="G599" s="0" t="n">
        <f aca="false">IF(E599 - F599 &lt; 0, 0, E599 - F599)</f>
        <v>0</v>
      </c>
      <c r="H599" s="0" t="n">
        <v>1.82</v>
      </c>
      <c r="I599" s="0" t="n">
        <f aca="false">1.82*30*(G599^1.5)</f>
        <v>0</v>
      </c>
      <c r="J599" s="0" t="n">
        <f aca="false">I599*60</f>
        <v>0</v>
      </c>
      <c r="K599" s="0" t="n">
        <f aca="false">(I599*86400)/24</f>
        <v>0</v>
      </c>
    </row>
    <row r="600" customFormat="false" ht="16.5" hidden="false" customHeight="false" outlineLevel="0" collapsed="false">
      <c r="A600" s="56" t="n">
        <v>45859.6666666667</v>
      </c>
      <c r="B600" s="57" t="n">
        <f aca="false">MOD(A600,1)</f>
        <v>0.666666666656965</v>
      </c>
      <c r="C600" s="0" t="n">
        <v>0</v>
      </c>
      <c r="D600" s="0" t="n">
        <v>489.611</v>
      </c>
      <c r="E600" s="0" t="n">
        <f aca="false">D600-0.155</f>
        <v>489.456</v>
      </c>
      <c r="F600" s="0" t="n">
        <v>489.545</v>
      </c>
      <c r="G600" s="0" t="n">
        <f aca="false">IF(E600 - F600 &lt; 0, 0, E600 - F600)</f>
        <v>0</v>
      </c>
      <c r="H600" s="0" t="n">
        <v>1.82</v>
      </c>
      <c r="I600" s="0" t="n">
        <f aca="false">1.82*30*(G600^1.5)</f>
        <v>0</v>
      </c>
      <c r="J600" s="0" t="n">
        <f aca="false">I600*60</f>
        <v>0</v>
      </c>
      <c r="K600" s="0" t="n">
        <f aca="false">(I600*86400)/24</f>
        <v>0</v>
      </c>
    </row>
    <row r="601" customFormat="false" ht="16.5" hidden="false" customHeight="false" outlineLevel="0" collapsed="false">
      <c r="A601" s="56" t="n">
        <v>45859.7083333333</v>
      </c>
      <c r="B601" s="57" t="n">
        <f aca="false">MOD(A601,1)</f>
        <v>0.708333333343035</v>
      </c>
      <c r="C601" s="0" t="n">
        <v>0</v>
      </c>
      <c r="D601" s="0" t="n">
        <v>489.611</v>
      </c>
      <c r="E601" s="0" t="n">
        <f aca="false">D601-0.155</f>
        <v>489.456</v>
      </c>
      <c r="F601" s="0" t="n">
        <v>489.545</v>
      </c>
      <c r="G601" s="0" t="n">
        <f aca="false">IF(E601 - F601 &lt; 0, 0, E601 - F601)</f>
        <v>0</v>
      </c>
      <c r="H601" s="0" t="n">
        <v>1.82</v>
      </c>
      <c r="I601" s="0" t="n">
        <f aca="false">1.82*30*(G601^1.5)</f>
        <v>0</v>
      </c>
      <c r="J601" s="0" t="n">
        <f aca="false">I601*60</f>
        <v>0</v>
      </c>
      <c r="K601" s="0" t="n">
        <f aca="false">(I601*86400)/24</f>
        <v>0</v>
      </c>
    </row>
    <row r="602" customFormat="false" ht="16.5" hidden="false" customHeight="false" outlineLevel="0" collapsed="false">
      <c r="A602" s="56" t="n">
        <v>45859.75</v>
      </c>
      <c r="B602" s="57" t="n">
        <f aca="false">MOD(A602,1)</f>
        <v>0.75</v>
      </c>
      <c r="C602" s="0" t="n">
        <v>0</v>
      </c>
      <c r="D602" s="0" t="n">
        <v>489.611</v>
      </c>
      <c r="E602" s="0" t="n">
        <f aca="false">D602-0.155</f>
        <v>489.456</v>
      </c>
      <c r="F602" s="0" t="n">
        <v>489.545</v>
      </c>
      <c r="G602" s="0" t="n">
        <f aca="false">IF(E602 - F602 &lt; 0, 0, E602 - F602)</f>
        <v>0</v>
      </c>
      <c r="H602" s="0" t="n">
        <v>1.82</v>
      </c>
      <c r="I602" s="0" t="n">
        <f aca="false">1.82*30*(G602^1.5)</f>
        <v>0</v>
      </c>
      <c r="J602" s="0" t="n">
        <f aca="false">I602*60</f>
        <v>0</v>
      </c>
      <c r="K602" s="0" t="n">
        <f aca="false">(I602*86400)/24</f>
        <v>0</v>
      </c>
    </row>
    <row r="603" customFormat="false" ht="16.5" hidden="false" customHeight="false" outlineLevel="0" collapsed="false">
      <c r="A603" s="56" t="n">
        <v>45859.7916666667</v>
      </c>
      <c r="B603" s="57" t="n">
        <f aca="false">MOD(A603,1)</f>
        <v>0.791666666656965</v>
      </c>
      <c r="C603" s="0" t="n">
        <v>0</v>
      </c>
      <c r="D603" s="0" t="n">
        <v>489.611</v>
      </c>
      <c r="E603" s="0" t="n">
        <f aca="false">D603-0.155</f>
        <v>489.456</v>
      </c>
      <c r="F603" s="0" t="n">
        <v>489.545</v>
      </c>
      <c r="G603" s="0" t="n">
        <f aca="false">IF(E603 - F603 &lt; 0, 0, E603 - F603)</f>
        <v>0</v>
      </c>
      <c r="H603" s="0" t="n">
        <v>1.82</v>
      </c>
      <c r="I603" s="0" t="n">
        <f aca="false">1.82*30*(G603^1.5)</f>
        <v>0</v>
      </c>
      <c r="J603" s="0" t="n">
        <f aca="false">I603*60</f>
        <v>0</v>
      </c>
      <c r="K603" s="0" t="n">
        <f aca="false">(I603*86400)/24</f>
        <v>0</v>
      </c>
    </row>
    <row r="604" customFormat="false" ht="16.5" hidden="false" customHeight="false" outlineLevel="0" collapsed="false">
      <c r="A604" s="56" t="n">
        <v>45859.8333333333</v>
      </c>
      <c r="B604" s="57" t="n">
        <f aca="false">MOD(A604,1)</f>
        <v>0.833333333343035</v>
      </c>
      <c r="C604" s="0" t="n">
        <v>0</v>
      </c>
      <c r="D604" s="0" t="n">
        <v>489.604</v>
      </c>
      <c r="E604" s="0" t="n">
        <f aca="false">D604-0.155</f>
        <v>489.449</v>
      </c>
      <c r="F604" s="0" t="n">
        <v>489.545</v>
      </c>
      <c r="G604" s="0" t="n">
        <f aca="false">IF(E604 - F604 &lt; 0, 0, E604 - F604)</f>
        <v>0</v>
      </c>
      <c r="H604" s="0" t="n">
        <v>1.82</v>
      </c>
      <c r="I604" s="0" t="n">
        <f aca="false">1.82*30*(G604^1.5)</f>
        <v>0</v>
      </c>
      <c r="J604" s="0" t="n">
        <f aca="false">I604*60</f>
        <v>0</v>
      </c>
      <c r="K604" s="0" t="n">
        <f aca="false">(I604*86400)/24</f>
        <v>0</v>
      </c>
    </row>
    <row r="605" customFormat="false" ht="16.5" hidden="false" customHeight="false" outlineLevel="0" collapsed="false">
      <c r="A605" s="56" t="n">
        <v>45859.875</v>
      </c>
      <c r="B605" s="57" t="n">
        <f aca="false">MOD(A605,1)</f>
        <v>0.875</v>
      </c>
      <c r="C605" s="0" t="n">
        <v>0</v>
      </c>
      <c r="D605" s="0" t="n">
        <v>489.604</v>
      </c>
      <c r="E605" s="0" t="n">
        <f aca="false">D605-0.155</f>
        <v>489.449</v>
      </c>
      <c r="F605" s="0" t="n">
        <v>489.545</v>
      </c>
      <c r="G605" s="0" t="n">
        <f aca="false">IF(E605 - F605 &lt; 0, 0, E605 - F605)</f>
        <v>0</v>
      </c>
      <c r="H605" s="0" t="n">
        <v>1.82</v>
      </c>
      <c r="I605" s="0" t="n">
        <f aca="false">1.82*30*(G605^1.5)</f>
        <v>0</v>
      </c>
      <c r="J605" s="0" t="n">
        <f aca="false">I605*60</f>
        <v>0</v>
      </c>
      <c r="K605" s="0" t="n">
        <f aca="false">(I605*86400)/24</f>
        <v>0</v>
      </c>
    </row>
    <row r="606" customFormat="false" ht="16.5" hidden="false" customHeight="false" outlineLevel="0" collapsed="false">
      <c r="A606" s="56" t="n">
        <v>45859.9166666667</v>
      </c>
      <c r="B606" s="57" t="n">
        <f aca="false">MOD(A606,1)</f>
        <v>0.916666666656965</v>
      </c>
      <c r="C606" s="0" t="n">
        <v>0</v>
      </c>
      <c r="D606" s="0" t="n">
        <v>489.604</v>
      </c>
      <c r="E606" s="0" t="n">
        <f aca="false">D606-0.155</f>
        <v>489.449</v>
      </c>
      <c r="F606" s="0" t="n">
        <v>489.545</v>
      </c>
      <c r="G606" s="0" t="n">
        <f aca="false">IF(E606 - F606 &lt; 0, 0, E606 - F606)</f>
        <v>0</v>
      </c>
      <c r="H606" s="0" t="n">
        <v>1.82</v>
      </c>
      <c r="I606" s="0" t="n">
        <f aca="false">1.82*30*(G606^1.5)</f>
        <v>0</v>
      </c>
      <c r="J606" s="0" t="n">
        <f aca="false">I606*60</f>
        <v>0</v>
      </c>
      <c r="K606" s="0" t="n">
        <f aca="false">(I606*86400)/24</f>
        <v>0</v>
      </c>
    </row>
    <row r="607" customFormat="false" ht="16.5" hidden="false" customHeight="false" outlineLevel="0" collapsed="false">
      <c r="A607" s="56" t="n">
        <v>45859.9583333333</v>
      </c>
      <c r="B607" s="57" t="n">
        <f aca="false">MOD(A607,1)</f>
        <v>0.958333333343035</v>
      </c>
      <c r="C607" s="0" t="n">
        <v>0</v>
      </c>
      <c r="D607" s="0" t="n">
        <v>489.604</v>
      </c>
      <c r="E607" s="0" t="n">
        <f aca="false">D607-0.155</f>
        <v>489.449</v>
      </c>
      <c r="F607" s="0" t="n">
        <v>489.545</v>
      </c>
      <c r="G607" s="0" t="n">
        <f aca="false">IF(E607 - F607 &lt; 0, 0, E607 - F607)</f>
        <v>0</v>
      </c>
      <c r="H607" s="0" t="n">
        <v>1.82</v>
      </c>
      <c r="I607" s="0" t="n">
        <f aca="false">1.82*30*(G607^1.5)</f>
        <v>0</v>
      </c>
      <c r="J607" s="0" t="n">
        <f aca="false">I607*60</f>
        <v>0</v>
      </c>
      <c r="K607" s="0" t="n">
        <f aca="false">(I607*86400)/24</f>
        <v>0</v>
      </c>
    </row>
    <row r="608" customFormat="false" ht="16.5" hidden="false" customHeight="false" outlineLevel="0" collapsed="false">
      <c r="A608" s="56" t="n">
        <v>45860</v>
      </c>
      <c r="B608" s="57" t="n">
        <f aca="false">MOD(A608,1)</f>
        <v>0</v>
      </c>
      <c r="C608" s="0" t="n">
        <v>0</v>
      </c>
      <c r="D608" s="0" t="n">
        <v>489.598</v>
      </c>
      <c r="E608" s="0" t="n">
        <f aca="false">D608-0.155</f>
        <v>489.443</v>
      </c>
      <c r="F608" s="0" t="n">
        <v>489.545</v>
      </c>
      <c r="G608" s="0" t="n">
        <f aca="false">IF(E608 - F608 &lt; 0, 0, E608 - F608)</f>
        <v>0</v>
      </c>
      <c r="H608" s="0" t="n">
        <v>1.82</v>
      </c>
      <c r="I608" s="0" t="n">
        <f aca="false">1.82*30*(G608^1.5)</f>
        <v>0</v>
      </c>
      <c r="J608" s="0" t="n">
        <f aca="false">I608*60</f>
        <v>0</v>
      </c>
      <c r="K608" s="0" t="n">
        <f aca="false">(I608*86400)/24</f>
        <v>0</v>
      </c>
    </row>
    <row r="609" customFormat="false" ht="16.5" hidden="false" customHeight="false" outlineLevel="0" collapsed="false">
      <c r="A609" s="56" t="n">
        <v>45860.0416666667</v>
      </c>
      <c r="B609" s="57" t="n">
        <f aca="false">MOD(A609,1)</f>
        <v>0.0416666666569654</v>
      </c>
      <c r="C609" s="0" t="n">
        <v>0</v>
      </c>
      <c r="D609" s="0" t="n">
        <v>489.597</v>
      </c>
      <c r="E609" s="0" t="n">
        <f aca="false">D609-0.155</f>
        <v>489.442</v>
      </c>
      <c r="F609" s="0" t="n">
        <v>489.545</v>
      </c>
      <c r="G609" s="0" t="n">
        <f aca="false">IF(E609 - F609 &lt; 0, 0, E609 - F609)</f>
        <v>0</v>
      </c>
      <c r="H609" s="0" t="n">
        <v>1.82</v>
      </c>
      <c r="I609" s="0" t="n">
        <f aca="false">1.82*30*(G609^1.5)</f>
        <v>0</v>
      </c>
      <c r="J609" s="0" t="n">
        <f aca="false">I609*60</f>
        <v>0</v>
      </c>
      <c r="K609" s="0" t="n">
        <f aca="false">(I609*86400)/24</f>
        <v>0</v>
      </c>
    </row>
    <row r="610" customFormat="false" ht="16.5" hidden="false" customHeight="false" outlineLevel="0" collapsed="false">
      <c r="A610" s="56" t="n">
        <v>45860.0833333333</v>
      </c>
      <c r="B610" s="57" t="n">
        <f aca="false">MOD(A610,1)</f>
        <v>0.0833333333430346</v>
      </c>
      <c r="C610" s="0" t="n">
        <v>0</v>
      </c>
      <c r="D610" s="0" t="n">
        <v>489.604</v>
      </c>
      <c r="E610" s="0" t="n">
        <f aca="false">D610-0.155</f>
        <v>489.449</v>
      </c>
      <c r="F610" s="0" t="n">
        <v>489.545</v>
      </c>
      <c r="G610" s="0" t="n">
        <f aca="false">IF(E610 - F610 &lt; 0, 0, E610 - F610)</f>
        <v>0</v>
      </c>
      <c r="H610" s="0" t="n">
        <v>1.82</v>
      </c>
      <c r="I610" s="0" t="n">
        <f aca="false">1.82*30*(G610^1.5)</f>
        <v>0</v>
      </c>
      <c r="J610" s="0" t="n">
        <f aca="false">I610*60</f>
        <v>0</v>
      </c>
      <c r="K610" s="0" t="n">
        <f aca="false">(I610*86400)/24</f>
        <v>0</v>
      </c>
    </row>
    <row r="611" customFormat="false" ht="16.5" hidden="false" customHeight="false" outlineLevel="0" collapsed="false">
      <c r="A611" s="56" t="n">
        <v>45860.125</v>
      </c>
      <c r="B611" s="57" t="n">
        <f aca="false">MOD(A611,1)</f>
        <v>0.125</v>
      </c>
      <c r="C611" s="0" t="n">
        <v>0</v>
      </c>
      <c r="D611" s="0" t="n">
        <v>489.598</v>
      </c>
      <c r="E611" s="0" t="n">
        <f aca="false">D611-0.155</f>
        <v>489.443</v>
      </c>
      <c r="F611" s="0" t="n">
        <v>489.545</v>
      </c>
      <c r="G611" s="0" t="n">
        <f aca="false">IF(E611 - F611 &lt; 0, 0, E611 - F611)</f>
        <v>0</v>
      </c>
      <c r="H611" s="0" t="n">
        <v>1.82</v>
      </c>
      <c r="I611" s="0" t="n">
        <f aca="false">1.82*30*(G611^1.5)</f>
        <v>0</v>
      </c>
      <c r="J611" s="0" t="n">
        <f aca="false">I611*60</f>
        <v>0</v>
      </c>
      <c r="K611" s="0" t="n">
        <f aca="false">(I611*86400)/24</f>
        <v>0</v>
      </c>
    </row>
    <row r="612" customFormat="false" ht="16.5" hidden="false" customHeight="false" outlineLevel="0" collapsed="false">
      <c r="A612" s="56" t="n">
        <v>45860.1666666667</v>
      </c>
      <c r="B612" s="57" t="n">
        <f aca="false">MOD(A612,1)</f>
        <v>0.166666666656965</v>
      </c>
      <c r="C612" s="0" t="n">
        <v>0</v>
      </c>
      <c r="D612" s="0" t="n">
        <v>489.598</v>
      </c>
      <c r="E612" s="0" t="n">
        <f aca="false">D612-0.155</f>
        <v>489.443</v>
      </c>
      <c r="F612" s="0" t="n">
        <v>489.545</v>
      </c>
      <c r="G612" s="0" t="n">
        <f aca="false">IF(E612 - F612 &lt; 0, 0, E612 - F612)</f>
        <v>0</v>
      </c>
      <c r="H612" s="0" t="n">
        <v>1.82</v>
      </c>
      <c r="I612" s="0" t="n">
        <f aca="false">1.82*30*(G612^1.5)</f>
        <v>0</v>
      </c>
      <c r="J612" s="0" t="n">
        <f aca="false">I612*60</f>
        <v>0</v>
      </c>
      <c r="K612" s="0" t="n">
        <f aca="false">(I612*86400)/24</f>
        <v>0</v>
      </c>
    </row>
    <row r="613" customFormat="false" ht="16.5" hidden="false" customHeight="false" outlineLevel="0" collapsed="false">
      <c r="A613" s="56" t="n">
        <v>45860.2083333333</v>
      </c>
      <c r="B613" s="57" t="n">
        <f aca="false">MOD(A613,1)</f>
        <v>0.208333333343035</v>
      </c>
      <c r="C613" s="0" t="n">
        <v>0</v>
      </c>
      <c r="D613" s="0" t="n">
        <v>489.597</v>
      </c>
      <c r="E613" s="0" t="n">
        <f aca="false">D613-0.155</f>
        <v>489.442</v>
      </c>
      <c r="F613" s="0" t="n">
        <v>489.545</v>
      </c>
      <c r="G613" s="0" t="n">
        <f aca="false">IF(E613 - F613 &lt; 0, 0, E613 - F613)</f>
        <v>0</v>
      </c>
      <c r="H613" s="0" t="n">
        <v>1.82</v>
      </c>
      <c r="I613" s="0" t="n">
        <f aca="false">1.82*30*(G613^1.5)</f>
        <v>0</v>
      </c>
      <c r="J613" s="0" t="n">
        <f aca="false">I613*60</f>
        <v>0</v>
      </c>
      <c r="K613" s="0" t="n">
        <f aca="false">(I613*86400)/24</f>
        <v>0</v>
      </c>
    </row>
    <row r="614" customFormat="false" ht="16.5" hidden="false" customHeight="false" outlineLevel="0" collapsed="false">
      <c r="A614" s="56" t="n">
        <v>45860.25</v>
      </c>
      <c r="B614" s="57" t="n">
        <f aca="false">MOD(A614,1)</f>
        <v>0.25</v>
      </c>
      <c r="C614" s="0" t="n">
        <v>0</v>
      </c>
      <c r="D614" s="0" t="n">
        <v>489.592</v>
      </c>
      <c r="E614" s="0" t="n">
        <f aca="false">D614-0.155</f>
        <v>489.437</v>
      </c>
      <c r="F614" s="0" t="n">
        <v>489.545</v>
      </c>
      <c r="G614" s="0" t="n">
        <f aca="false">IF(E614 - F614 &lt; 0, 0, E614 - F614)</f>
        <v>0</v>
      </c>
      <c r="H614" s="0" t="n">
        <v>1.82</v>
      </c>
      <c r="I614" s="0" t="n">
        <f aca="false">1.82*30*(G614^1.5)</f>
        <v>0</v>
      </c>
      <c r="J614" s="0" t="n">
        <f aca="false">I614*60</f>
        <v>0</v>
      </c>
      <c r="K614" s="0" t="n">
        <f aca="false">(I614*86400)/24</f>
        <v>0</v>
      </c>
    </row>
    <row r="615" customFormat="false" ht="16.5" hidden="false" customHeight="false" outlineLevel="0" collapsed="false">
      <c r="A615" s="56" t="n">
        <v>45860.2916666667</v>
      </c>
      <c r="B615" s="57" t="n">
        <f aca="false">MOD(A615,1)</f>
        <v>0.291666666656965</v>
      </c>
      <c r="C615" s="0" t="n">
        <v>0</v>
      </c>
      <c r="D615" s="0" t="n">
        <v>489.592</v>
      </c>
      <c r="E615" s="0" t="n">
        <f aca="false">D615-0.155</f>
        <v>489.437</v>
      </c>
      <c r="F615" s="0" t="n">
        <v>489.545</v>
      </c>
      <c r="G615" s="0" t="n">
        <f aca="false">IF(E615 - F615 &lt; 0, 0, E615 - F615)</f>
        <v>0</v>
      </c>
      <c r="H615" s="0" t="n">
        <v>1.82</v>
      </c>
      <c r="I615" s="0" t="n">
        <f aca="false">1.82*30*(G615^1.5)</f>
        <v>0</v>
      </c>
      <c r="J615" s="0" t="n">
        <f aca="false">I615*60</f>
        <v>0</v>
      </c>
      <c r="K615" s="0" t="n">
        <f aca="false">(I615*86400)/24</f>
        <v>0</v>
      </c>
    </row>
    <row r="616" customFormat="false" ht="16.5" hidden="false" customHeight="false" outlineLevel="0" collapsed="false">
      <c r="A616" s="56" t="n">
        <v>45860.3333333333</v>
      </c>
      <c r="B616" s="57" t="n">
        <f aca="false">MOD(A616,1)</f>
        <v>0.333333333343035</v>
      </c>
      <c r="C616" s="0" t="n">
        <v>0.2</v>
      </c>
      <c r="D616" s="0" t="n">
        <v>489.592</v>
      </c>
      <c r="E616" s="0" t="n">
        <f aca="false">D616-0.155</f>
        <v>489.437</v>
      </c>
      <c r="F616" s="0" t="n">
        <v>489.545</v>
      </c>
      <c r="G616" s="0" t="n">
        <f aca="false">IF(E616 - F616 &lt; 0, 0, E616 - F616)</f>
        <v>0</v>
      </c>
      <c r="H616" s="0" t="n">
        <v>1.82</v>
      </c>
      <c r="I616" s="0" t="n">
        <f aca="false">1.82*30*(G616^1.5)</f>
        <v>0</v>
      </c>
      <c r="J616" s="0" t="n">
        <f aca="false">I616*60</f>
        <v>0</v>
      </c>
      <c r="K616" s="0" t="n">
        <f aca="false">(I616*86400)/24</f>
        <v>0</v>
      </c>
    </row>
    <row r="617" customFormat="false" ht="16.5" hidden="false" customHeight="false" outlineLevel="0" collapsed="false">
      <c r="A617" s="56" t="n">
        <v>45860.375</v>
      </c>
      <c r="B617" s="57" t="n">
        <f aca="false">MOD(A617,1)</f>
        <v>0.375</v>
      </c>
      <c r="C617" s="0" t="n">
        <v>0.6</v>
      </c>
      <c r="D617" s="0" t="n">
        <v>489.592</v>
      </c>
      <c r="E617" s="0" t="n">
        <f aca="false">D617-0.155</f>
        <v>489.437</v>
      </c>
      <c r="F617" s="0" t="n">
        <v>489.545</v>
      </c>
      <c r="G617" s="0" t="n">
        <f aca="false">IF(E617 - F617 &lt; 0, 0, E617 - F617)</f>
        <v>0</v>
      </c>
      <c r="H617" s="0" t="n">
        <v>1.82</v>
      </c>
      <c r="I617" s="0" t="n">
        <f aca="false">1.82*30*(G617^1.5)</f>
        <v>0</v>
      </c>
      <c r="J617" s="0" t="n">
        <f aca="false">I617*60</f>
        <v>0</v>
      </c>
      <c r="K617" s="0" t="n">
        <f aca="false">(I617*86400)/24</f>
        <v>0</v>
      </c>
    </row>
    <row r="618" customFormat="false" ht="16.5" hidden="false" customHeight="false" outlineLevel="0" collapsed="false">
      <c r="A618" s="56" t="n">
        <v>45860.4166666667</v>
      </c>
      <c r="B618" s="57" t="n">
        <f aca="false">MOD(A618,1)</f>
        <v>0.416666666656965</v>
      </c>
      <c r="C618" s="0" t="n">
        <v>0.2</v>
      </c>
      <c r="D618" s="0" t="n">
        <v>489.597</v>
      </c>
      <c r="E618" s="0" t="n">
        <f aca="false">D618-0.155</f>
        <v>489.442</v>
      </c>
      <c r="F618" s="0" t="n">
        <v>489.545</v>
      </c>
      <c r="G618" s="0" t="n">
        <f aca="false">IF(E618 - F618 &lt; 0, 0, E618 - F618)</f>
        <v>0</v>
      </c>
      <c r="H618" s="0" t="n">
        <v>1.82</v>
      </c>
      <c r="I618" s="0" t="n">
        <f aca="false">1.82*30*(G618^1.5)</f>
        <v>0</v>
      </c>
      <c r="J618" s="0" t="n">
        <f aca="false">I618*60</f>
        <v>0</v>
      </c>
      <c r="K618" s="0" t="n">
        <f aca="false">(I618*86400)/24</f>
        <v>0</v>
      </c>
    </row>
    <row r="619" customFormat="false" ht="16.5" hidden="false" customHeight="false" outlineLevel="0" collapsed="false">
      <c r="A619" s="56" t="n">
        <v>45860.4583333333</v>
      </c>
      <c r="B619" s="57" t="n">
        <f aca="false">MOD(A619,1)</f>
        <v>0.458333333343035</v>
      </c>
      <c r="C619" s="0" t="n">
        <v>0</v>
      </c>
      <c r="D619" s="0" t="n">
        <v>489.592</v>
      </c>
      <c r="E619" s="0" t="n">
        <f aca="false">D619-0.155</f>
        <v>489.437</v>
      </c>
      <c r="F619" s="0" t="n">
        <v>489.545</v>
      </c>
      <c r="G619" s="0" t="n">
        <f aca="false">IF(E619 - F619 &lt; 0, 0, E619 - F619)</f>
        <v>0</v>
      </c>
      <c r="H619" s="0" t="n">
        <v>1.82</v>
      </c>
      <c r="I619" s="0" t="n">
        <f aca="false">1.82*30*(G619^1.5)</f>
        <v>0</v>
      </c>
      <c r="J619" s="0" t="n">
        <f aca="false">I619*60</f>
        <v>0</v>
      </c>
      <c r="K619" s="0" t="n">
        <f aca="false">(I619*86400)/24</f>
        <v>0</v>
      </c>
    </row>
    <row r="620" customFormat="false" ht="16.5" hidden="false" customHeight="false" outlineLevel="0" collapsed="false">
      <c r="A620" s="56" t="n">
        <v>45860.5</v>
      </c>
      <c r="B620" s="57" t="n">
        <f aca="false">MOD(A620,1)</f>
        <v>0.5</v>
      </c>
      <c r="C620" s="0" t="n">
        <v>0.8</v>
      </c>
      <c r="D620" s="0" t="n">
        <v>489.592</v>
      </c>
      <c r="E620" s="0" t="n">
        <f aca="false">D620-0.155</f>
        <v>489.437</v>
      </c>
      <c r="F620" s="0" t="n">
        <v>489.545</v>
      </c>
      <c r="G620" s="0" t="n">
        <f aca="false">IF(E620 - F620 &lt; 0, 0, E620 - F620)</f>
        <v>0</v>
      </c>
      <c r="H620" s="0" t="n">
        <v>1.82</v>
      </c>
      <c r="I620" s="0" t="n">
        <f aca="false">1.82*30*(G620^1.5)</f>
        <v>0</v>
      </c>
      <c r="J620" s="0" t="n">
        <f aca="false">I620*60</f>
        <v>0</v>
      </c>
      <c r="K620" s="0" t="n">
        <f aca="false">(I620*86400)/24</f>
        <v>0</v>
      </c>
    </row>
    <row r="621" customFormat="false" ht="16.5" hidden="false" customHeight="false" outlineLevel="0" collapsed="false">
      <c r="A621" s="56" t="n">
        <v>45860.5416666667</v>
      </c>
      <c r="B621" s="57" t="n">
        <f aca="false">MOD(A621,1)</f>
        <v>0.541666666656965</v>
      </c>
      <c r="C621" s="0" t="n">
        <v>0.2</v>
      </c>
      <c r="D621" s="0" t="n">
        <v>489.592</v>
      </c>
      <c r="E621" s="0" t="n">
        <f aca="false">D621-0.155</f>
        <v>489.437</v>
      </c>
      <c r="F621" s="0" t="n">
        <v>489.545</v>
      </c>
      <c r="G621" s="0" t="n">
        <f aca="false">IF(E621 - F621 &lt; 0, 0, E621 - F621)</f>
        <v>0</v>
      </c>
      <c r="H621" s="0" t="n">
        <v>1.82</v>
      </c>
      <c r="I621" s="0" t="n">
        <f aca="false">1.82*30*(G621^1.5)</f>
        <v>0</v>
      </c>
      <c r="J621" s="0" t="n">
        <f aca="false">I621*60</f>
        <v>0</v>
      </c>
      <c r="K621" s="0" t="n">
        <f aca="false">(I621*86400)/24</f>
        <v>0</v>
      </c>
    </row>
    <row r="622" customFormat="false" ht="16.5" hidden="false" customHeight="false" outlineLevel="0" collapsed="false">
      <c r="A622" s="56" t="n">
        <v>45860.5833333333</v>
      </c>
      <c r="B622" s="57" t="n">
        <f aca="false">MOD(A622,1)</f>
        <v>0.583333333343035</v>
      </c>
      <c r="C622" s="0" t="n">
        <v>0.8</v>
      </c>
      <c r="D622" s="0" t="n">
        <v>489.598</v>
      </c>
      <c r="E622" s="0" t="n">
        <f aca="false">D622-0.155</f>
        <v>489.443</v>
      </c>
      <c r="F622" s="0" t="n">
        <v>489.545</v>
      </c>
      <c r="G622" s="0" t="n">
        <f aca="false">IF(E622 - F622 &lt; 0, 0, E622 - F622)</f>
        <v>0</v>
      </c>
      <c r="H622" s="0" t="n">
        <v>1.82</v>
      </c>
      <c r="I622" s="0" t="n">
        <f aca="false">1.82*30*(G622^1.5)</f>
        <v>0</v>
      </c>
      <c r="J622" s="0" t="n">
        <f aca="false">I622*60</f>
        <v>0</v>
      </c>
      <c r="K622" s="0" t="n">
        <f aca="false">(I622*86400)/24</f>
        <v>0</v>
      </c>
    </row>
    <row r="623" customFormat="false" ht="16.5" hidden="false" customHeight="false" outlineLevel="0" collapsed="false">
      <c r="A623" s="56" t="n">
        <v>45860.625</v>
      </c>
      <c r="B623" s="57" t="n">
        <f aca="false">MOD(A623,1)</f>
        <v>0.625</v>
      </c>
      <c r="C623" s="0" t="n">
        <v>1.2</v>
      </c>
      <c r="D623" s="0" t="n">
        <v>489.597</v>
      </c>
      <c r="E623" s="0" t="n">
        <f aca="false">D623-0.155</f>
        <v>489.442</v>
      </c>
      <c r="F623" s="0" t="n">
        <v>489.545</v>
      </c>
      <c r="G623" s="0" t="n">
        <f aca="false">IF(E623 - F623 &lt; 0, 0, E623 - F623)</f>
        <v>0</v>
      </c>
      <c r="H623" s="0" t="n">
        <v>1.82</v>
      </c>
      <c r="I623" s="0" t="n">
        <f aca="false">1.82*30*(G623^1.5)</f>
        <v>0</v>
      </c>
      <c r="J623" s="0" t="n">
        <f aca="false">I623*60</f>
        <v>0</v>
      </c>
      <c r="K623" s="0" t="n">
        <f aca="false">(I623*86400)/24</f>
        <v>0</v>
      </c>
    </row>
    <row r="624" customFormat="false" ht="16.5" hidden="false" customHeight="false" outlineLevel="0" collapsed="false">
      <c r="A624" s="56" t="n">
        <v>45860.6666666667</v>
      </c>
      <c r="B624" s="57" t="n">
        <f aca="false">MOD(A624,1)</f>
        <v>0.666666666656965</v>
      </c>
      <c r="C624" s="0" t="n">
        <v>1.4</v>
      </c>
      <c r="D624" s="0" t="n">
        <v>489.605</v>
      </c>
      <c r="E624" s="0" t="n">
        <f aca="false">D624-0.155</f>
        <v>489.45</v>
      </c>
      <c r="F624" s="0" t="n">
        <v>489.545</v>
      </c>
      <c r="G624" s="0" t="n">
        <f aca="false">IF(E624 - F624 &lt; 0, 0, E624 - F624)</f>
        <v>0</v>
      </c>
      <c r="H624" s="0" t="n">
        <v>1.82</v>
      </c>
      <c r="I624" s="0" t="n">
        <f aca="false">1.82*30*(G624^1.5)</f>
        <v>0</v>
      </c>
      <c r="J624" s="0" t="n">
        <f aca="false">I624*60</f>
        <v>0</v>
      </c>
      <c r="K624" s="0" t="n">
        <f aca="false">(I624*86400)/24</f>
        <v>0</v>
      </c>
    </row>
    <row r="625" customFormat="false" ht="16.5" hidden="false" customHeight="false" outlineLevel="0" collapsed="false">
      <c r="A625" s="56" t="n">
        <v>45860.7083333333</v>
      </c>
      <c r="B625" s="57" t="n">
        <f aca="false">MOD(A625,1)</f>
        <v>0.708333333343035</v>
      </c>
      <c r="C625" s="0" t="n">
        <v>0.4</v>
      </c>
      <c r="D625" s="0" t="n">
        <v>489.598</v>
      </c>
      <c r="E625" s="0" t="n">
        <f aca="false">D625-0.155</f>
        <v>489.443</v>
      </c>
      <c r="F625" s="0" t="n">
        <v>489.545</v>
      </c>
      <c r="G625" s="0" t="n">
        <f aca="false">IF(E625 - F625 &lt; 0, 0, E625 - F625)</f>
        <v>0</v>
      </c>
      <c r="H625" s="0" t="n">
        <v>1.82</v>
      </c>
      <c r="I625" s="0" t="n">
        <f aca="false">1.82*30*(G625^1.5)</f>
        <v>0</v>
      </c>
      <c r="J625" s="0" t="n">
        <f aca="false">I625*60</f>
        <v>0</v>
      </c>
      <c r="K625" s="0" t="n">
        <f aca="false">(I625*86400)/24</f>
        <v>0</v>
      </c>
    </row>
    <row r="626" customFormat="false" ht="16.5" hidden="false" customHeight="false" outlineLevel="0" collapsed="false">
      <c r="A626" s="56" t="n">
        <v>45860.75</v>
      </c>
      <c r="B626" s="57" t="n">
        <f aca="false">MOD(A626,1)</f>
        <v>0.75</v>
      </c>
      <c r="C626" s="0" t="n">
        <v>0.2</v>
      </c>
      <c r="D626" s="0" t="n">
        <v>489.602</v>
      </c>
      <c r="E626" s="0" t="n">
        <f aca="false">D626-0.155</f>
        <v>489.447</v>
      </c>
      <c r="F626" s="0" t="n">
        <v>489.545</v>
      </c>
      <c r="G626" s="0" t="n">
        <f aca="false">IF(E626 - F626 &lt; 0, 0, E626 - F626)</f>
        <v>0</v>
      </c>
      <c r="H626" s="0" t="n">
        <v>1.82</v>
      </c>
      <c r="I626" s="0" t="n">
        <f aca="false">1.82*30*(G626^1.5)</f>
        <v>0</v>
      </c>
      <c r="J626" s="0" t="n">
        <f aca="false">I626*60</f>
        <v>0</v>
      </c>
      <c r="K626" s="0" t="n">
        <f aca="false">(I626*86400)/24</f>
        <v>0</v>
      </c>
    </row>
    <row r="627" customFormat="false" ht="16.5" hidden="false" customHeight="false" outlineLevel="0" collapsed="false">
      <c r="A627" s="56" t="n">
        <v>45860.7916666667</v>
      </c>
      <c r="B627" s="57" t="n">
        <f aca="false">MOD(A627,1)</f>
        <v>0.791666666656965</v>
      </c>
      <c r="C627" s="0" t="n">
        <v>0</v>
      </c>
      <c r="D627" s="0" t="n">
        <v>489.604</v>
      </c>
      <c r="E627" s="0" t="n">
        <f aca="false">D627-0.155</f>
        <v>489.449</v>
      </c>
      <c r="F627" s="0" t="n">
        <v>489.545</v>
      </c>
      <c r="G627" s="0" t="n">
        <f aca="false">IF(E627 - F627 &lt; 0, 0, E627 - F627)</f>
        <v>0</v>
      </c>
      <c r="H627" s="0" t="n">
        <v>1.82</v>
      </c>
      <c r="I627" s="0" t="n">
        <f aca="false">1.82*30*(G627^1.5)</f>
        <v>0</v>
      </c>
      <c r="J627" s="0" t="n">
        <f aca="false">I627*60</f>
        <v>0</v>
      </c>
      <c r="K627" s="0" t="n">
        <f aca="false">(I627*86400)/24</f>
        <v>0</v>
      </c>
    </row>
    <row r="628" customFormat="false" ht="16.5" hidden="false" customHeight="false" outlineLevel="0" collapsed="false">
      <c r="A628" s="56" t="n">
        <v>45860.8333333333</v>
      </c>
      <c r="B628" s="57" t="n">
        <f aca="false">MOD(A628,1)</f>
        <v>0.833333333343035</v>
      </c>
      <c r="C628" s="0" t="n">
        <v>0</v>
      </c>
      <c r="D628" s="0" t="n">
        <v>489.605</v>
      </c>
      <c r="E628" s="0" t="n">
        <f aca="false">D628-0.155</f>
        <v>489.45</v>
      </c>
      <c r="F628" s="0" t="n">
        <v>489.545</v>
      </c>
      <c r="G628" s="0" t="n">
        <f aca="false">IF(E628 - F628 &lt; 0, 0, E628 - F628)</f>
        <v>0</v>
      </c>
      <c r="H628" s="0" t="n">
        <v>1.82</v>
      </c>
      <c r="I628" s="0" t="n">
        <f aca="false">1.82*30*(G628^1.5)</f>
        <v>0</v>
      </c>
      <c r="J628" s="0" t="n">
        <f aca="false">I628*60</f>
        <v>0</v>
      </c>
      <c r="K628" s="0" t="n">
        <f aca="false">(I628*86400)/24</f>
        <v>0</v>
      </c>
    </row>
    <row r="629" customFormat="false" ht="16.5" hidden="false" customHeight="false" outlineLevel="0" collapsed="false">
      <c r="A629" s="56" t="n">
        <v>45860.875</v>
      </c>
      <c r="B629" s="57" t="n">
        <f aca="false">MOD(A629,1)</f>
        <v>0.875</v>
      </c>
      <c r="C629" s="0" t="n">
        <v>0.2</v>
      </c>
      <c r="D629" s="0" t="n">
        <v>489.605</v>
      </c>
      <c r="E629" s="0" t="n">
        <f aca="false">D629-0.155</f>
        <v>489.45</v>
      </c>
      <c r="F629" s="0" t="n">
        <v>489.545</v>
      </c>
      <c r="G629" s="0" t="n">
        <f aca="false">IF(E629 - F629 &lt; 0, 0, E629 - F629)</f>
        <v>0</v>
      </c>
      <c r="H629" s="0" t="n">
        <v>1.82</v>
      </c>
      <c r="I629" s="0" t="n">
        <f aca="false">1.82*30*(G629^1.5)</f>
        <v>0</v>
      </c>
      <c r="J629" s="0" t="n">
        <f aca="false">I629*60</f>
        <v>0</v>
      </c>
      <c r="K629" s="0" t="n">
        <f aca="false">(I629*86400)/24</f>
        <v>0</v>
      </c>
    </row>
    <row r="630" customFormat="false" ht="16.5" hidden="false" customHeight="false" outlineLevel="0" collapsed="false">
      <c r="A630" s="56" t="n">
        <v>45860.9166666667</v>
      </c>
      <c r="B630" s="57" t="n">
        <f aca="false">MOD(A630,1)</f>
        <v>0.916666666656965</v>
      </c>
      <c r="C630" s="0" t="n">
        <v>0.2</v>
      </c>
      <c r="D630" s="0" t="n">
        <v>489.605</v>
      </c>
      <c r="E630" s="0" t="n">
        <f aca="false">D630-0.155</f>
        <v>489.45</v>
      </c>
      <c r="F630" s="0" t="n">
        <v>489.545</v>
      </c>
      <c r="G630" s="0" t="n">
        <f aca="false">IF(E630 - F630 &lt; 0, 0, E630 - F630)</f>
        <v>0</v>
      </c>
      <c r="H630" s="0" t="n">
        <v>1.82</v>
      </c>
      <c r="I630" s="0" t="n">
        <f aca="false">1.82*30*(G630^1.5)</f>
        <v>0</v>
      </c>
      <c r="J630" s="0" t="n">
        <f aca="false">I630*60</f>
        <v>0</v>
      </c>
      <c r="K630" s="0" t="n">
        <f aca="false">(I630*86400)/24</f>
        <v>0</v>
      </c>
    </row>
    <row r="631" customFormat="false" ht="16.5" hidden="false" customHeight="false" outlineLevel="0" collapsed="false">
      <c r="A631" s="56" t="n">
        <v>45860.9583333333</v>
      </c>
      <c r="B631" s="57" t="n">
        <f aca="false">MOD(A631,1)</f>
        <v>0.958333333343035</v>
      </c>
      <c r="C631" s="0" t="n">
        <v>1</v>
      </c>
      <c r="D631" s="0" t="n">
        <v>489.611</v>
      </c>
      <c r="E631" s="0" t="n">
        <f aca="false">D631-0.155</f>
        <v>489.456</v>
      </c>
      <c r="F631" s="0" t="n">
        <v>489.545</v>
      </c>
      <c r="G631" s="0" t="n">
        <f aca="false">IF(E631 - F631 &lt; 0, 0, E631 - F631)</f>
        <v>0</v>
      </c>
      <c r="H631" s="0" t="n">
        <v>1.82</v>
      </c>
      <c r="I631" s="0" t="n">
        <f aca="false">1.82*30*(G631^1.5)</f>
        <v>0</v>
      </c>
      <c r="J631" s="0" t="n">
        <f aca="false">I631*60</f>
        <v>0</v>
      </c>
      <c r="K631" s="0" t="n">
        <f aca="false">(I631*86400)/24</f>
        <v>0</v>
      </c>
    </row>
    <row r="632" customFormat="false" ht="16.5" hidden="false" customHeight="false" outlineLevel="0" collapsed="false">
      <c r="A632" s="56" t="n">
        <v>45861</v>
      </c>
      <c r="B632" s="57" t="n">
        <f aca="false">MOD(A632,1)</f>
        <v>0</v>
      </c>
      <c r="C632" s="0" t="n">
        <v>0.4</v>
      </c>
      <c r="D632" s="0" t="n">
        <v>489.611</v>
      </c>
      <c r="E632" s="0" t="n">
        <f aca="false">D632-0.155</f>
        <v>489.456</v>
      </c>
      <c r="F632" s="0" t="n">
        <v>489.545</v>
      </c>
      <c r="G632" s="0" t="n">
        <f aca="false">IF(E632 - F632 &lt; 0, 0, E632 - F632)</f>
        <v>0</v>
      </c>
      <c r="H632" s="0" t="n">
        <v>1.82</v>
      </c>
      <c r="I632" s="0" t="n">
        <f aca="false">1.82*30*(G632^1.5)</f>
        <v>0</v>
      </c>
      <c r="J632" s="0" t="n">
        <f aca="false">I632*60</f>
        <v>0</v>
      </c>
      <c r="K632" s="0" t="n">
        <f aca="false">(I632*86400)/24</f>
        <v>0</v>
      </c>
    </row>
    <row r="633" customFormat="false" ht="16.5" hidden="false" customHeight="false" outlineLevel="0" collapsed="false">
      <c r="A633" s="56" t="n">
        <v>45861.0416666667</v>
      </c>
      <c r="B633" s="57" t="n">
        <f aca="false">MOD(A633,1)</f>
        <v>0.0416666666569654</v>
      </c>
      <c r="C633" s="0" t="n">
        <v>0.4</v>
      </c>
      <c r="D633" s="0" t="n">
        <v>489.611</v>
      </c>
      <c r="E633" s="0" t="n">
        <f aca="false">D633-0.155</f>
        <v>489.456</v>
      </c>
      <c r="F633" s="0" t="n">
        <v>489.545</v>
      </c>
      <c r="G633" s="0" t="n">
        <f aca="false">IF(E633 - F633 &lt; 0, 0, E633 - F633)</f>
        <v>0</v>
      </c>
      <c r="H633" s="0" t="n">
        <v>1.82</v>
      </c>
      <c r="I633" s="0" t="n">
        <f aca="false">1.82*30*(G633^1.5)</f>
        <v>0</v>
      </c>
      <c r="J633" s="0" t="n">
        <f aca="false">I633*60</f>
        <v>0</v>
      </c>
      <c r="K633" s="0" t="n">
        <f aca="false">(I633*86400)/24</f>
        <v>0</v>
      </c>
    </row>
    <row r="634" customFormat="false" ht="16.5" hidden="false" customHeight="false" outlineLevel="0" collapsed="false">
      <c r="A634" s="56" t="n">
        <v>45861.0833333333</v>
      </c>
      <c r="B634" s="57" t="n">
        <f aca="false">MOD(A634,1)</f>
        <v>0.0833333333430346</v>
      </c>
      <c r="C634" s="0" t="n">
        <v>3.8</v>
      </c>
      <c r="D634" s="0" t="n">
        <v>489.617</v>
      </c>
      <c r="E634" s="0" t="n">
        <f aca="false">D634-0.155</f>
        <v>489.462</v>
      </c>
      <c r="F634" s="0" t="n">
        <v>489.545</v>
      </c>
      <c r="G634" s="0" t="n">
        <f aca="false">IF(E634 - F634 &lt; 0, 0, E634 - F634)</f>
        <v>0</v>
      </c>
      <c r="H634" s="0" t="n">
        <v>1.82</v>
      </c>
      <c r="I634" s="0" t="n">
        <f aca="false">1.82*30*(G634^1.5)</f>
        <v>0</v>
      </c>
      <c r="J634" s="0" t="n">
        <f aca="false">I634*60</f>
        <v>0</v>
      </c>
      <c r="K634" s="0" t="n">
        <f aca="false">(I634*86400)/24</f>
        <v>0</v>
      </c>
    </row>
    <row r="635" customFormat="false" ht="16.5" hidden="false" customHeight="false" outlineLevel="0" collapsed="false">
      <c r="A635" s="56" t="n">
        <v>45861.125</v>
      </c>
      <c r="B635" s="57" t="n">
        <f aca="false">MOD(A635,1)</f>
        <v>0.125</v>
      </c>
      <c r="C635" s="0" t="n">
        <v>3.4</v>
      </c>
      <c r="D635" s="0" t="n">
        <v>489.636</v>
      </c>
      <c r="E635" s="0" t="n">
        <f aca="false">D635-0.155</f>
        <v>489.481</v>
      </c>
      <c r="F635" s="0" t="n">
        <v>489.545</v>
      </c>
      <c r="G635" s="0" t="n">
        <f aca="false">IF(E635 - F635 &lt; 0, 0, E635 - F635)</f>
        <v>0</v>
      </c>
      <c r="H635" s="0" t="n">
        <v>1.82</v>
      </c>
      <c r="I635" s="0" t="n">
        <f aca="false">1.82*30*(G635^1.5)</f>
        <v>0</v>
      </c>
      <c r="J635" s="0" t="n">
        <f aca="false">I635*60</f>
        <v>0</v>
      </c>
      <c r="K635" s="0" t="n">
        <f aca="false">(I635*86400)/24</f>
        <v>0</v>
      </c>
    </row>
    <row r="636" customFormat="false" ht="16.5" hidden="false" customHeight="false" outlineLevel="0" collapsed="false">
      <c r="A636" s="56" t="n">
        <v>45861.1666666667</v>
      </c>
      <c r="B636" s="57" t="n">
        <f aca="false">MOD(A636,1)</f>
        <v>0.166666666656965</v>
      </c>
      <c r="C636" s="0" t="n">
        <v>1.8</v>
      </c>
      <c r="D636" s="0" t="n">
        <v>489.657</v>
      </c>
      <c r="E636" s="0" t="n">
        <f aca="false">D636-0.155</f>
        <v>489.502</v>
      </c>
      <c r="F636" s="0" t="n">
        <v>489.545</v>
      </c>
      <c r="G636" s="0" t="n">
        <f aca="false">IF(E636 - F636 &lt; 0, 0, E636 - F636)</f>
        <v>0</v>
      </c>
      <c r="H636" s="0" t="n">
        <v>1.82</v>
      </c>
      <c r="I636" s="0" t="n">
        <f aca="false">1.82*30*(G636^1.5)</f>
        <v>0</v>
      </c>
      <c r="J636" s="0" t="n">
        <f aca="false">I636*60</f>
        <v>0</v>
      </c>
      <c r="K636" s="0" t="n">
        <f aca="false">(I636*86400)/24</f>
        <v>0</v>
      </c>
    </row>
    <row r="637" customFormat="false" ht="16.5" hidden="false" customHeight="false" outlineLevel="0" collapsed="false">
      <c r="A637" s="56" t="n">
        <v>45861.2083333333</v>
      </c>
      <c r="B637" s="57" t="n">
        <f aca="false">MOD(A637,1)</f>
        <v>0.208333333343035</v>
      </c>
      <c r="C637" s="0" t="n">
        <v>5.4</v>
      </c>
      <c r="D637" s="0" t="n">
        <v>489.689</v>
      </c>
      <c r="E637" s="0" t="n">
        <f aca="false">D637-0.155</f>
        <v>489.534</v>
      </c>
      <c r="F637" s="0" t="n">
        <v>489.545</v>
      </c>
      <c r="G637" s="0" t="n">
        <f aca="false">IF(E637 - F637 &lt; 0, 0, E637 - F637)</f>
        <v>0</v>
      </c>
      <c r="H637" s="0" t="n">
        <v>1.82</v>
      </c>
      <c r="I637" s="0" t="n">
        <f aca="false">1.82*30*(G637^1.5)</f>
        <v>0</v>
      </c>
      <c r="J637" s="0" t="n">
        <f aca="false">I637*60</f>
        <v>0</v>
      </c>
      <c r="K637" s="0" t="n">
        <f aca="false">(I637*86400)/24</f>
        <v>0</v>
      </c>
    </row>
    <row r="638" customFormat="false" ht="16.5" hidden="false" customHeight="false" outlineLevel="0" collapsed="false">
      <c r="A638" s="56" t="n">
        <v>45861.25</v>
      </c>
      <c r="B638" s="57" t="n">
        <f aca="false">MOD(A638,1)</f>
        <v>0.25</v>
      </c>
      <c r="C638" s="0" t="n">
        <v>4.2</v>
      </c>
      <c r="D638" s="0" t="n">
        <v>489.766</v>
      </c>
      <c r="E638" s="0" t="n">
        <f aca="false">D638-0.155</f>
        <v>489.611</v>
      </c>
      <c r="F638" s="0" t="n">
        <v>489.545</v>
      </c>
      <c r="G638" s="0" t="n">
        <f aca="false">IF(E638 - F638 &lt; 0, 0, E638 - F638)</f>
        <v>0.0660000000000309</v>
      </c>
      <c r="H638" s="0" t="n">
        <v>1.82</v>
      </c>
      <c r="I638" s="0" t="n">
        <f aca="false">1.82*30*(G638^1.5)</f>
        <v>0.925781602410204</v>
      </c>
      <c r="J638" s="0" t="n">
        <f aca="false">I638*60</f>
        <v>55.5468961446122</v>
      </c>
      <c r="K638" s="0" t="n">
        <f aca="false">(I638*86400)/24</f>
        <v>3332.81376867673</v>
      </c>
    </row>
    <row r="639" customFormat="false" ht="16.5" hidden="false" customHeight="false" outlineLevel="0" collapsed="false">
      <c r="A639" s="56" t="n">
        <v>45861.2916666667</v>
      </c>
      <c r="B639" s="57" t="n">
        <f aca="false">MOD(A639,1)</f>
        <v>0.291666666656965</v>
      </c>
      <c r="C639" s="0" t="n">
        <v>3.6</v>
      </c>
      <c r="D639" s="0" t="n">
        <v>489.848</v>
      </c>
      <c r="E639" s="0" t="n">
        <f aca="false">D639-0.155</f>
        <v>489.693</v>
      </c>
      <c r="F639" s="0" t="n">
        <v>489.545</v>
      </c>
      <c r="G639" s="0" t="n">
        <f aca="false">IF(E639 - F639 &lt; 0, 0, E639 - F639)</f>
        <v>0.148000000000025</v>
      </c>
      <c r="H639" s="0" t="n">
        <v>1.82</v>
      </c>
      <c r="I639" s="0" t="n">
        <f aca="false">1.82*30*(G639^1.5)</f>
        <v>3.10874583051185</v>
      </c>
      <c r="J639" s="0" t="n">
        <f aca="false">I639*60</f>
        <v>186.524749830711</v>
      </c>
      <c r="K639" s="0" t="n">
        <f aca="false">(I639*86400)/24</f>
        <v>11191.4849898427</v>
      </c>
    </row>
    <row r="640" customFormat="false" ht="16.5" hidden="false" customHeight="false" outlineLevel="0" collapsed="false">
      <c r="A640" s="56" t="n">
        <v>45861.3333333333</v>
      </c>
      <c r="B640" s="57" t="n">
        <f aca="false">MOD(A640,1)</f>
        <v>0.333333333343035</v>
      </c>
      <c r="C640" s="0" t="n">
        <v>5.6</v>
      </c>
      <c r="D640" s="0" t="n">
        <v>489.939</v>
      </c>
      <c r="E640" s="0" t="n">
        <f aca="false">D640-0.155</f>
        <v>489.784</v>
      </c>
      <c r="F640" s="0" t="n">
        <v>489.545</v>
      </c>
      <c r="G640" s="0" t="n">
        <f aca="false">IF(E640 - F640 &lt; 0, 0, E640 - F640)</f>
        <v>0.239000000000033</v>
      </c>
      <c r="H640" s="0" t="n">
        <v>1.82</v>
      </c>
      <c r="I640" s="0" t="n">
        <f aca="false">1.82*30*(G640^1.5)</f>
        <v>6.37954189938876</v>
      </c>
      <c r="J640" s="0" t="n">
        <f aca="false">I640*60</f>
        <v>382.772513963326</v>
      </c>
      <c r="K640" s="0" t="n">
        <f aca="false">(I640*86400)/24</f>
        <v>22966.3508377995</v>
      </c>
    </row>
    <row r="641" customFormat="false" ht="16.5" hidden="false" customHeight="false" outlineLevel="0" collapsed="false">
      <c r="A641" s="56" t="n">
        <v>45861.375</v>
      </c>
      <c r="B641" s="57" t="n">
        <f aca="false">MOD(A641,1)</f>
        <v>0.375</v>
      </c>
      <c r="C641" s="0" t="n">
        <v>3.2</v>
      </c>
      <c r="D641" s="0" t="n">
        <v>490.038</v>
      </c>
      <c r="E641" s="0" t="n">
        <f aca="false">D641-0.155</f>
        <v>489.883</v>
      </c>
      <c r="F641" s="0" t="n">
        <v>489.545</v>
      </c>
      <c r="G641" s="0" t="n">
        <f aca="false">IF(E641 - F641 &lt; 0, 0, E641 - F641)</f>
        <v>0.338000000000022</v>
      </c>
      <c r="H641" s="0" t="n">
        <v>1.82</v>
      </c>
      <c r="I641" s="0" t="n">
        <f aca="false">1.82*30*(G641^1.5)</f>
        <v>10.7292087009035</v>
      </c>
      <c r="J641" s="0" t="n">
        <f aca="false">I641*60</f>
        <v>643.752522054208</v>
      </c>
      <c r="K641" s="0" t="n">
        <f aca="false">(I641*86400)/24</f>
        <v>38625.1513232525</v>
      </c>
    </row>
    <row r="642" customFormat="false" ht="16.5" hidden="false" customHeight="false" outlineLevel="0" collapsed="false">
      <c r="A642" s="56" t="n">
        <v>45861.4166666667</v>
      </c>
      <c r="B642" s="57" t="n">
        <f aca="false">MOD(A642,1)</f>
        <v>0.416666666656965</v>
      </c>
      <c r="C642" s="0" t="n">
        <v>1.4</v>
      </c>
      <c r="D642" s="0" t="n">
        <v>490.104</v>
      </c>
      <c r="E642" s="0" t="n">
        <f aca="false">D642-0.155</f>
        <v>489.949</v>
      </c>
      <c r="F642" s="0" t="n">
        <v>489.545</v>
      </c>
      <c r="G642" s="0" t="n">
        <f aca="false">IF(E642 - F642 &lt; 0, 0, E642 - F642)</f>
        <v>0.403999999999996</v>
      </c>
      <c r="H642" s="0" t="n">
        <v>1.82</v>
      </c>
      <c r="I642" s="0" t="n">
        <f aca="false">1.82*30*(G642^1.5)</f>
        <v>14.0205383729097</v>
      </c>
      <c r="J642" s="0" t="n">
        <f aca="false">I642*60</f>
        <v>841.232302374585</v>
      </c>
      <c r="K642" s="0" t="n">
        <f aca="false">(I642*86400)/24</f>
        <v>50473.9381424751</v>
      </c>
    </row>
    <row r="643" customFormat="false" ht="16.5" hidden="false" customHeight="false" outlineLevel="0" collapsed="false">
      <c r="A643" s="56" t="n">
        <v>45861.4583333333</v>
      </c>
      <c r="B643" s="57" t="n">
        <f aca="false">MOD(A643,1)</f>
        <v>0.458333333343035</v>
      </c>
      <c r="C643" s="0" t="n">
        <v>2.2</v>
      </c>
      <c r="D643" s="0" t="n">
        <v>490.154</v>
      </c>
      <c r="E643" s="0" t="n">
        <f aca="false">D643-0.155</f>
        <v>489.999</v>
      </c>
      <c r="F643" s="0" t="n">
        <v>489.545</v>
      </c>
      <c r="G643" s="0" t="n">
        <f aca="false">IF(E643 - F643 &lt; 0, 0, E643 - F643)</f>
        <v>0.454000000000008</v>
      </c>
      <c r="H643" s="0" t="n">
        <v>1.82</v>
      </c>
      <c r="I643" s="0" t="n">
        <f aca="false">1.82*30*(G643^1.5)</f>
        <v>16.7023054591351</v>
      </c>
      <c r="J643" s="0" t="n">
        <f aca="false">I643*60</f>
        <v>1002.13832754811</v>
      </c>
      <c r="K643" s="0" t="n">
        <f aca="false">(I643*86400)/24</f>
        <v>60128.2996528864</v>
      </c>
    </row>
    <row r="644" customFormat="false" ht="16.5" hidden="false" customHeight="false" outlineLevel="0" collapsed="false">
      <c r="A644" s="56" t="n">
        <v>45861.5</v>
      </c>
      <c r="B644" s="57" t="n">
        <f aca="false">MOD(A644,1)</f>
        <v>0.5</v>
      </c>
      <c r="C644" s="0" t="n">
        <v>0.4</v>
      </c>
      <c r="D644" s="0" t="n">
        <v>490.173</v>
      </c>
      <c r="E644" s="0" t="n">
        <f aca="false">D644-0.155</f>
        <v>490.018</v>
      </c>
      <c r="F644" s="0" t="n">
        <v>489.545</v>
      </c>
      <c r="G644" s="0" t="n">
        <f aca="false">IF(E644 - F644 &lt; 0, 0, E644 - F644)</f>
        <v>0.473000000000013</v>
      </c>
      <c r="H644" s="0" t="n">
        <v>1.82</v>
      </c>
      <c r="I644" s="0" t="n">
        <f aca="false">1.82*30*(G644^1.5)</f>
        <v>17.7616927765274</v>
      </c>
      <c r="J644" s="0" t="n">
        <f aca="false">I644*60</f>
        <v>1065.70156659165</v>
      </c>
      <c r="K644" s="0" t="n">
        <f aca="false">(I644*86400)/24</f>
        <v>63942.0939954987</v>
      </c>
    </row>
    <row r="645" customFormat="false" ht="16.5" hidden="false" customHeight="false" outlineLevel="0" collapsed="false">
      <c r="A645" s="56" t="n">
        <v>45861.5416666667</v>
      </c>
      <c r="B645" s="57" t="n">
        <f aca="false">MOD(A645,1)</f>
        <v>0.541666666656965</v>
      </c>
      <c r="C645" s="0" t="n">
        <v>0.8</v>
      </c>
      <c r="D645" s="0" t="n">
        <v>490.177</v>
      </c>
      <c r="E645" s="0" t="n">
        <f aca="false">D645-0.155</f>
        <v>490.022</v>
      </c>
      <c r="F645" s="0" t="n">
        <v>489.545</v>
      </c>
      <c r="G645" s="0" t="n">
        <f aca="false">IF(E645 - F645 &lt; 0, 0, E645 - F645)</f>
        <v>0.477000000000032</v>
      </c>
      <c r="H645" s="0" t="n">
        <v>1.82</v>
      </c>
      <c r="I645" s="0" t="n">
        <f aca="false">1.82*30*(G645^1.5)</f>
        <v>17.987475328304</v>
      </c>
      <c r="J645" s="0" t="n">
        <f aca="false">I645*60</f>
        <v>1079.24851969824</v>
      </c>
      <c r="K645" s="0" t="n">
        <f aca="false">(I645*86400)/24</f>
        <v>64754.9111818945</v>
      </c>
    </row>
    <row r="646" customFormat="false" ht="16.5" hidden="false" customHeight="false" outlineLevel="0" collapsed="false">
      <c r="A646" s="56" t="n">
        <v>45861.5833333333</v>
      </c>
      <c r="B646" s="57" t="n">
        <f aca="false">MOD(A646,1)</f>
        <v>0.583333333343035</v>
      </c>
      <c r="C646" s="0" t="n">
        <v>0.6</v>
      </c>
      <c r="D646" s="0" t="n">
        <v>490.174</v>
      </c>
      <c r="E646" s="0" t="n">
        <f aca="false">D646-0.155</f>
        <v>490.019</v>
      </c>
      <c r="F646" s="0" t="n">
        <v>489.545</v>
      </c>
      <c r="G646" s="0" t="n">
        <f aca="false">IF(E646 - F646 &lt; 0, 0, E646 - F646)</f>
        <v>0.47399999999999</v>
      </c>
      <c r="H646" s="0" t="n">
        <v>1.82</v>
      </c>
      <c r="I646" s="0" t="n">
        <f aca="false">1.82*30*(G646^1.5)</f>
        <v>17.8180492583172</v>
      </c>
      <c r="J646" s="0" t="n">
        <f aca="false">I646*60</f>
        <v>1069.08295549903</v>
      </c>
      <c r="K646" s="0" t="n">
        <f aca="false">(I646*86400)/24</f>
        <v>64144.977329942</v>
      </c>
    </row>
    <row r="647" customFormat="false" ht="16.5" hidden="false" customHeight="false" outlineLevel="0" collapsed="false">
      <c r="A647" s="56" t="n">
        <v>45861.625</v>
      </c>
      <c r="B647" s="57" t="n">
        <f aca="false">MOD(A647,1)</f>
        <v>0.625</v>
      </c>
      <c r="C647" s="0" t="n">
        <v>0.8</v>
      </c>
      <c r="D647" s="0" t="n">
        <v>490.16</v>
      </c>
      <c r="E647" s="0" t="n">
        <f aca="false">D647-0.155</f>
        <v>490.005</v>
      </c>
      <c r="F647" s="0" t="n">
        <v>489.545</v>
      </c>
      <c r="G647" s="0" t="n">
        <f aca="false">IF(E647 - F647 &lt; 0, 0, E647 - F647)</f>
        <v>0.460000000000036</v>
      </c>
      <c r="H647" s="0" t="n">
        <v>1.82</v>
      </c>
      <c r="I647" s="0" t="n">
        <f aca="false">1.82*30*(G647^1.5)</f>
        <v>17.0344999856194</v>
      </c>
      <c r="J647" s="0" t="n">
        <f aca="false">I647*60</f>
        <v>1022.06999913717</v>
      </c>
      <c r="K647" s="0" t="n">
        <f aca="false">(I647*86400)/24</f>
        <v>61324.19994823</v>
      </c>
    </row>
    <row r="648" customFormat="false" ht="16.5" hidden="false" customHeight="false" outlineLevel="0" collapsed="false">
      <c r="A648" s="56" t="n">
        <v>45861.6666666667</v>
      </c>
      <c r="B648" s="57" t="n">
        <f aca="false">MOD(A648,1)</f>
        <v>0.666666666656965</v>
      </c>
      <c r="C648" s="0" t="n">
        <v>0.6</v>
      </c>
      <c r="D648" s="0" t="n">
        <v>490.147</v>
      </c>
      <c r="E648" s="0" t="n">
        <f aca="false">D648-0.155</f>
        <v>489.992</v>
      </c>
      <c r="F648" s="0" t="n">
        <v>489.545</v>
      </c>
      <c r="G648" s="0" t="n">
        <f aca="false">IF(E648 - F648 &lt; 0, 0, E648 - F648)</f>
        <v>0.447000000000003</v>
      </c>
      <c r="H648" s="0" t="n">
        <v>1.82</v>
      </c>
      <c r="I648" s="0" t="n">
        <f aca="false">1.82*30*(G648^1.5)</f>
        <v>16.3175114984695</v>
      </c>
      <c r="J648" s="0" t="n">
        <f aca="false">I648*60</f>
        <v>979.050689908171</v>
      </c>
      <c r="K648" s="0" t="n">
        <f aca="false">(I648*86400)/24</f>
        <v>58743.0413944903</v>
      </c>
    </row>
    <row r="649" customFormat="false" ht="16.5" hidden="false" customHeight="false" outlineLevel="0" collapsed="false">
      <c r="A649" s="56" t="n">
        <v>45861.7083333333</v>
      </c>
      <c r="B649" s="57" t="n">
        <f aca="false">MOD(A649,1)</f>
        <v>0.708333333343035</v>
      </c>
      <c r="C649" s="0" t="n">
        <v>0.4</v>
      </c>
      <c r="D649" s="0" t="n">
        <v>490.141</v>
      </c>
      <c r="E649" s="0" t="n">
        <f aca="false">D649-0.155</f>
        <v>489.986</v>
      </c>
      <c r="F649" s="0" t="n">
        <v>489.545</v>
      </c>
      <c r="G649" s="0" t="n">
        <f aca="false">IF(E649 - F649 &lt; 0, 0, E649 - F649)</f>
        <v>0.441000000000031</v>
      </c>
      <c r="H649" s="0" t="n">
        <v>1.82</v>
      </c>
      <c r="I649" s="0" t="n">
        <f aca="false">1.82*30*(G649^1.5)</f>
        <v>15.9900759623091</v>
      </c>
      <c r="J649" s="0" t="n">
        <f aca="false">I649*60</f>
        <v>959.404557738543</v>
      </c>
      <c r="K649" s="0" t="n">
        <f aca="false">(I649*86400)/24</f>
        <v>57564.2734643126</v>
      </c>
    </row>
    <row r="650" customFormat="false" ht="16.5" hidden="false" customHeight="false" outlineLevel="0" collapsed="false">
      <c r="A650" s="56" t="n">
        <v>45861.75</v>
      </c>
      <c r="B650" s="57" t="n">
        <f aca="false">MOD(A650,1)</f>
        <v>0.75</v>
      </c>
      <c r="C650" s="0" t="n">
        <v>0.6</v>
      </c>
      <c r="D650" s="0" t="n">
        <v>490.122</v>
      </c>
      <c r="E650" s="0" t="n">
        <f aca="false">D650-0.155</f>
        <v>489.967</v>
      </c>
      <c r="F650" s="0" t="n">
        <v>489.545</v>
      </c>
      <c r="G650" s="0" t="n">
        <f aca="false">IF(E650 - F650 &lt; 0, 0, E650 - F650)</f>
        <v>0.422000000000025</v>
      </c>
      <c r="H650" s="0" t="n">
        <v>1.82</v>
      </c>
      <c r="I650" s="0" t="n">
        <f aca="false">1.82*30*(G650^1.5)</f>
        <v>14.9679153765553</v>
      </c>
      <c r="J650" s="0" t="n">
        <f aca="false">I650*60</f>
        <v>898.074922593318</v>
      </c>
      <c r="K650" s="0" t="n">
        <f aca="false">(I650*86400)/24</f>
        <v>53884.4953555991</v>
      </c>
    </row>
    <row r="651" customFormat="false" ht="16.5" hidden="false" customHeight="false" outlineLevel="0" collapsed="false">
      <c r="A651" s="56" t="n">
        <v>45861.7916666667</v>
      </c>
      <c r="B651" s="57" t="n">
        <f aca="false">MOD(A651,1)</f>
        <v>0.791666666656965</v>
      </c>
      <c r="C651" s="0" t="n">
        <v>0</v>
      </c>
      <c r="D651" s="0" t="n">
        <v>490.104</v>
      </c>
      <c r="E651" s="0" t="n">
        <f aca="false">D651-0.155</f>
        <v>489.949</v>
      </c>
      <c r="F651" s="0" t="n">
        <v>489.545</v>
      </c>
      <c r="G651" s="0" t="n">
        <f aca="false">IF(E651 - F651 &lt; 0, 0, E651 - F651)</f>
        <v>0.403999999999996</v>
      </c>
      <c r="H651" s="0" t="n">
        <v>1.82</v>
      </c>
      <c r="I651" s="0" t="n">
        <f aca="false">1.82*30*(G651^1.5)</f>
        <v>14.0205383729097</v>
      </c>
      <c r="J651" s="0" t="n">
        <f aca="false">I651*60</f>
        <v>841.232302374585</v>
      </c>
      <c r="K651" s="0" t="n">
        <f aca="false">(I651*86400)/24</f>
        <v>50473.9381424751</v>
      </c>
    </row>
    <row r="652" customFormat="false" ht="16.5" hidden="false" customHeight="false" outlineLevel="0" collapsed="false">
      <c r="A652" s="56" t="n">
        <v>45861.8333333333</v>
      </c>
      <c r="B652" s="57" t="n">
        <f aca="false">MOD(A652,1)</f>
        <v>0.833333333343035</v>
      </c>
      <c r="C652" s="0" t="n">
        <v>0</v>
      </c>
      <c r="D652" s="0" t="n">
        <v>490.084</v>
      </c>
      <c r="E652" s="0" t="n">
        <f aca="false">D652-0.155</f>
        <v>489.929</v>
      </c>
      <c r="F652" s="0" t="n">
        <v>489.545</v>
      </c>
      <c r="G652" s="0" t="n">
        <f aca="false">IF(E652 - F652 &lt; 0, 0, E652 - F652)</f>
        <v>0.384000000000015</v>
      </c>
      <c r="H652" s="0" t="n">
        <v>1.82</v>
      </c>
      <c r="I652" s="0" t="n">
        <f aca="false">1.82*30*(G652^1.5)</f>
        <v>12.9924028847884</v>
      </c>
      <c r="J652" s="0" t="n">
        <f aca="false">I652*60</f>
        <v>779.544173087307</v>
      </c>
      <c r="K652" s="0" t="n">
        <f aca="false">(I652*86400)/24</f>
        <v>46772.6503852384</v>
      </c>
    </row>
    <row r="653" customFormat="false" ht="16.5" hidden="false" customHeight="false" outlineLevel="0" collapsed="false">
      <c r="A653" s="56" t="n">
        <v>45861.875</v>
      </c>
      <c r="B653" s="57" t="n">
        <f aca="false">MOD(A653,1)</f>
        <v>0.875</v>
      </c>
      <c r="C653" s="0" t="n">
        <v>0.2</v>
      </c>
      <c r="D653" s="0" t="n">
        <v>490.07</v>
      </c>
      <c r="E653" s="0" t="n">
        <f aca="false">D653-0.155</f>
        <v>489.915</v>
      </c>
      <c r="F653" s="0" t="n">
        <v>489.545</v>
      </c>
      <c r="G653" s="0" t="n">
        <f aca="false">IF(E653 - F653 &lt; 0, 0, E653 - F653)</f>
        <v>0.370000000000005</v>
      </c>
      <c r="H653" s="0" t="n">
        <v>1.82</v>
      </c>
      <c r="I653" s="0" t="n">
        <f aca="false">1.82*30*(G653^1.5)</f>
        <v>12.2883968637087</v>
      </c>
      <c r="J653" s="0" t="n">
        <f aca="false">I653*60</f>
        <v>737.303811822521</v>
      </c>
      <c r="K653" s="0" t="n">
        <f aca="false">(I653*86400)/24</f>
        <v>44238.2287093513</v>
      </c>
    </row>
    <row r="654" customFormat="false" ht="16.5" hidden="false" customHeight="false" outlineLevel="0" collapsed="false">
      <c r="A654" s="56" t="n">
        <v>45861.9166666667</v>
      </c>
      <c r="B654" s="57" t="n">
        <f aca="false">MOD(A654,1)</f>
        <v>0.916666666656965</v>
      </c>
      <c r="C654" s="0" t="n">
        <v>0</v>
      </c>
      <c r="D654" s="0" t="n">
        <v>490.057</v>
      </c>
      <c r="E654" s="0" t="n">
        <f aca="false">D654-0.155</f>
        <v>489.902</v>
      </c>
      <c r="F654" s="0" t="n">
        <v>489.545</v>
      </c>
      <c r="G654" s="0" t="n">
        <f aca="false">IF(E654 - F654 &lt; 0, 0, E654 - F654)</f>
        <v>0.357000000000028</v>
      </c>
      <c r="H654" s="0" t="n">
        <v>1.82</v>
      </c>
      <c r="I654" s="0" t="n">
        <f aca="false">1.82*30*(G654^1.5)</f>
        <v>11.6464875529024</v>
      </c>
      <c r="J654" s="0" t="n">
        <f aca="false">I654*60</f>
        <v>698.789253174147</v>
      </c>
      <c r="K654" s="0" t="n">
        <f aca="false">(I654*86400)/24</f>
        <v>41927.3551904488</v>
      </c>
    </row>
    <row r="655" customFormat="false" ht="16.5" hidden="false" customHeight="false" outlineLevel="0" collapsed="false">
      <c r="A655" s="56" t="n">
        <v>45861.9583333333</v>
      </c>
      <c r="B655" s="57" t="n">
        <f aca="false">MOD(A655,1)</f>
        <v>0.958333333343035</v>
      </c>
      <c r="C655" s="0" t="n">
        <v>0</v>
      </c>
      <c r="D655" s="0" t="n">
        <v>490.037</v>
      </c>
      <c r="E655" s="0" t="n">
        <f aca="false">D655-0.155</f>
        <v>489.882</v>
      </c>
      <c r="F655" s="0" t="n">
        <v>489.545</v>
      </c>
      <c r="G655" s="0" t="n">
        <f aca="false">IF(E655 - F655 &lt; 0, 0, E655 - F655)</f>
        <v>0.336999999999989</v>
      </c>
      <c r="H655" s="0" t="n">
        <v>1.82</v>
      </c>
      <c r="I655" s="0" t="n">
        <f aca="false">1.82*30*(G655^1.5)</f>
        <v>10.6816291048449</v>
      </c>
      <c r="J655" s="0" t="n">
        <f aca="false">I655*60</f>
        <v>640.897746290692</v>
      </c>
      <c r="K655" s="0" t="n">
        <f aca="false">(I655*86400)/24</f>
        <v>38453.8647774415</v>
      </c>
    </row>
    <row r="656" customFormat="false" ht="16.5" hidden="false" customHeight="false" outlineLevel="0" collapsed="false">
      <c r="A656" s="56" t="n">
        <v>45862</v>
      </c>
      <c r="B656" s="57" t="n">
        <f aca="false">MOD(A656,1)</f>
        <v>0</v>
      </c>
      <c r="C656" s="0" t="n">
        <v>0</v>
      </c>
      <c r="D656" s="0" t="n">
        <v>490.025</v>
      </c>
      <c r="E656" s="0" t="n">
        <f aca="false">D656-0.155</f>
        <v>489.87</v>
      </c>
      <c r="F656" s="0" t="n">
        <v>489.545</v>
      </c>
      <c r="G656" s="0" t="n">
        <f aca="false">IF(E656 - F656 &lt; 0, 0, E656 - F656)</f>
        <v>0.324999999999989</v>
      </c>
      <c r="H656" s="0" t="n">
        <v>1.82</v>
      </c>
      <c r="I656" s="0" t="n">
        <f aca="false">1.82*30*(G656^1.5)</f>
        <v>10.1162064591916</v>
      </c>
      <c r="J656" s="0" t="n">
        <f aca="false">I656*60</f>
        <v>606.972387551494</v>
      </c>
      <c r="K656" s="0" t="n">
        <f aca="false">(I656*86400)/24</f>
        <v>36418.3432530897</v>
      </c>
    </row>
    <row r="657" customFormat="false" ht="16.5" hidden="false" customHeight="false" outlineLevel="0" collapsed="false">
      <c r="A657" s="56" t="n">
        <v>45862.0416666667</v>
      </c>
      <c r="B657" s="57" t="n">
        <f aca="false">MOD(A657,1)</f>
        <v>0.0416666666569654</v>
      </c>
      <c r="C657" s="0" t="n">
        <v>0.2</v>
      </c>
      <c r="D657" s="0" t="n">
        <v>490.012</v>
      </c>
      <c r="E657" s="0" t="n">
        <f aca="false">D657-0.155</f>
        <v>489.857</v>
      </c>
      <c r="F657" s="0" t="n">
        <v>489.545</v>
      </c>
      <c r="G657" s="0" t="n">
        <f aca="false">IF(E657 - F657 &lt; 0, 0, E657 - F657)</f>
        <v>0.312000000000012</v>
      </c>
      <c r="H657" s="0" t="n">
        <v>1.82</v>
      </c>
      <c r="I657" s="0" t="n">
        <f aca="false">1.82*30*(G657^1.5)</f>
        <v>9.51534487974505</v>
      </c>
      <c r="J657" s="0" t="n">
        <f aca="false">I657*60</f>
        <v>570.920692784703</v>
      </c>
      <c r="K657" s="0" t="n">
        <f aca="false">(I657*86400)/24</f>
        <v>34255.2415670822</v>
      </c>
    </row>
    <row r="658" customFormat="false" ht="16.5" hidden="false" customHeight="false" outlineLevel="0" collapsed="false">
      <c r="A658" s="56" t="n">
        <v>45862.0833333333</v>
      </c>
      <c r="B658" s="57" t="n">
        <f aca="false">MOD(A658,1)</f>
        <v>0.0833333333430346</v>
      </c>
      <c r="C658" s="0" t="n">
        <v>0.2</v>
      </c>
      <c r="D658" s="0" t="n">
        <v>490.005</v>
      </c>
      <c r="E658" s="0" t="n">
        <f aca="false">D658-0.155</f>
        <v>489.85</v>
      </c>
      <c r="F658" s="0" t="n">
        <v>489.545</v>
      </c>
      <c r="G658" s="0" t="n">
        <f aca="false">IF(E658 - F658 &lt; 0, 0, E658 - F658)</f>
        <v>0.305000000000007</v>
      </c>
      <c r="H658" s="0" t="n">
        <v>1.82</v>
      </c>
      <c r="I658" s="0" t="n">
        <f aca="false">1.82*30*(G658^1.5)</f>
        <v>9.19691985096128</v>
      </c>
      <c r="J658" s="0" t="n">
        <f aca="false">I658*60</f>
        <v>551.815191057677</v>
      </c>
      <c r="K658" s="0" t="n">
        <f aca="false">(I658*86400)/24</f>
        <v>33108.9114634606</v>
      </c>
    </row>
    <row r="659" customFormat="false" ht="16.5" hidden="false" customHeight="false" outlineLevel="0" collapsed="false">
      <c r="A659" s="56" t="n">
        <v>45862.125</v>
      </c>
      <c r="B659" s="57" t="n">
        <f aca="false">MOD(A659,1)</f>
        <v>0.125</v>
      </c>
      <c r="C659" s="0" t="n">
        <v>0.6</v>
      </c>
      <c r="D659" s="0" t="n">
        <v>489.993</v>
      </c>
      <c r="E659" s="0" t="n">
        <f aca="false">D659-0.155</f>
        <v>489.838</v>
      </c>
      <c r="F659" s="0" t="n">
        <v>489.545</v>
      </c>
      <c r="G659" s="0" t="n">
        <f aca="false">IF(E659 - F659 &lt; 0, 0, E659 - F659)</f>
        <v>0.293000000000006</v>
      </c>
      <c r="H659" s="0" t="n">
        <v>1.82</v>
      </c>
      <c r="I659" s="0" t="n">
        <f aca="false">1.82*30*(G659^1.5)</f>
        <v>8.65952505730683</v>
      </c>
      <c r="J659" s="0" t="n">
        <f aca="false">I659*60</f>
        <v>519.57150343841</v>
      </c>
      <c r="K659" s="0" t="n">
        <f aca="false">(I659*86400)/24</f>
        <v>31174.2902063046</v>
      </c>
    </row>
    <row r="660" customFormat="false" ht="16.5" hidden="false" customHeight="false" outlineLevel="0" collapsed="false">
      <c r="A660" s="56" t="n">
        <v>45862.1666666667</v>
      </c>
      <c r="B660" s="57" t="n">
        <f aca="false">MOD(A660,1)</f>
        <v>0.166666666656965</v>
      </c>
      <c r="C660" s="0" t="n">
        <v>0</v>
      </c>
      <c r="D660" s="0" t="n">
        <v>489.979</v>
      </c>
      <c r="E660" s="0" t="n">
        <f aca="false">D660-0.155</f>
        <v>489.824</v>
      </c>
      <c r="F660" s="0" t="n">
        <v>489.545</v>
      </c>
      <c r="G660" s="0" t="n">
        <f aca="false">IF(E660 - F660 &lt; 0, 0, E660 - F660)</f>
        <v>0.278999999999996</v>
      </c>
      <c r="H660" s="0" t="n">
        <v>1.82</v>
      </c>
      <c r="I660" s="0" t="n">
        <f aca="false">1.82*30*(G660^1.5)</f>
        <v>8.04635051941173</v>
      </c>
      <c r="J660" s="0" t="n">
        <f aca="false">I660*60</f>
        <v>482.781031164704</v>
      </c>
      <c r="K660" s="0" t="n">
        <f aca="false">(I660*86400)/24</f>
        <v>28966.8618698822</v>
      </c>
    </row>
    <row r="661" customFormat="false" ht="16.5" hidden="false" customHeight="false" outlineLevel="0" collapsed="false">
      <c r="A661" s="56" t="n">
        <v>45862.2083333333</v>
      </c>
      <c r="B661" s="57" t="n">
        <f aca="false">MOD(A661,1)</f>
        <v>0.208333333343035</v>
      </c>
      <c r="C661" s="0" t="n">
        <v>0</v>
      </c>
      <c r="D661" s="0" t="n">
        <v>489.966</v>
      </c>
      <c r="E661" s="0" t="n">
        <f aca="false">D661-0.155</f>
        <v>489.811</v>
      </c>
      <c r="F661" s="0" t="n">
        <v>489.545</v>
      </c>
      <c r="G661" s="0" t="n">
        <f aca="false">IF(E661 - F661 &lt; 0, 0, E661 - F661)</f>
        <v>0.26600000000002</v>
      </c>
      <c r="H661" s="0" t="n">
        <v>1.82</v>
      </c>
      <c r="I661" s="0" t="n">
        <f aca="false">1.82*30*(G661^1.5)</f>
        <v>7.49057398010142</v>
      </c>
      <c r="J661" s="0" t="n">
        <f aca="false">I661*60</f>
        <v>449.434438806085</v>
      </c>
      <c r="K661" s="0" t="n">
        <f aca="false">(I661*86400)/24</f>
        <v>26966.0663283651</v>
      </c>
    </row>
    <row r="662" customFormat="false" ht="16.5" hidden="false" customHeight="false" outlineLevel="0" collapsed="false">
      <c r="A662" s="56" t="n">
        <v>45862.25</v>
      </c>
      <c r="B662" s="57" t="n">
        <f aca="false">MOD(A662,1)</f>
        <v>0.25</v>
      </c>
      <c r="C662" s="0" t="n">
        <v>0.4</v>
      </c>
      <c r="D662" s="0" t="n">
        <v>489.959</v>
      </c>
      <c r="E662" s="0" t="n">
        <f aca="false">D662-0.155</f>
        <v>489.804</v>
      </c>
      <c r="F662" s="0" t="n">
        <v>489.545</v>
      </c>
      <c r="G662" s="0" t="n">
        <f aca="false">IF(E662 - F662 &lt; 0, 0, E662 - F662)</f>
        <v>0.259000000000015</v>
      </c>
      <c r="H662" s="0" t="n">
        <v>1.82</v>
      </c>
      <c r="I662" s="0" t="n">
        <f aca="false">1.82*30*(G662^1.5)</f>
        <v>7.19684731223671</v>
      </c>
      <c r="J662" s="0" t="n">
        <f aca="false">I662*60</f>
        <v>431.810838734203</v>
      </c>
      <c r="K662" s="0" t="n">
        <f aca="false">(I662*86400)/24</f>
        <v>25908.6503240522</v>
      </c>
    </row>
    <row r="663" customFormat="false" ht="16.5" hidden="false" customHeight="false" outlineLevel="0" collapsed="false">
      <c r="A663" s="56" t="n">
        <v>45862.2916666667</v>
      </c>
      <c r="B663" s="57" t="n">
        <f aca="false">MOD(A663,1)</f>
        <v>0.291666666656965</v>
      </c>
      <c r="C663" s="0" t="n">
        <v>0</v>
      </c>
      <c r="D663" s="0" t="n">
        <v>489.945</v>
      </c>
      <c r="E663" s="0" t="n">
        <f aca="false">D663-0.155</f>
        <v>489.79</v>
      </c>
      <c r="F663" s="0" t="n">
        <v>489.545</v>
      </c>
      <c r="G663" s="0" t="n">
        <f aca="false">IF(E663 - F663 &lt; 0, 0, E663 - F663)</f>
        <v>0.245000000000005</v>
      </c>
      <c r="H663" s="0" t="n">
        <v>1.82</v>
      </c>
      <c r="I663" s="0" t="n">
        <f aca="false">1.82*30*(G663^1.5)</f>
        <v>6.6212771883529</v>
      </c>
      <c r="J663" s="0" t="n">
        <f aca="false">I663*60</f>
        <v>397.276631301174</v>
      </c>
      <c r="K663" s="0" t="n">
        <f aca="false">(I663*86400)/24</f>
        <v>23836.5978780704</v>
      </c>
    </row>
    <row r="664" customFormat="false" ht="16.5" hidden="false" customHeight="false" outlineLevel="0" collapsed="false">
      <c r="A664" s="56" t="n">
        <v>45862.3333333333</v>
      </c>
      <c r="B664" s="57" t="n">
        <f aca="false">MOD(A664,1)</f>
        <v>0.333333333343035</v>
      </c>
      <c r="C664" s="0" t="n">
        <v>0</v>
      </c>
      <c r="D664" s="0" t="n">
        <v>489.939</v>
      </c>
      <c r="E664" s="0" t="n">
        <f aca="false">D664-0.155</f>
        <v>489.784</v>
      </c>
      <c r="F664" s="0" t="n">
        <v>489.545</v>
      </c>
      <c r="G664" s="0" t="n">
        <f aca="false">IF(E664 - F664 &lt; 0, 0, E664 - F664)</f>
        <v>0.239000000000033</v>
      </c>
      <c r="H664" s="0" t="n">
        <v>1.82</v>
      </c>
      <c r="I664" s="0" t="n">
        <f aca="false">1.82*30*(G664^1.5)</f>
        <v>6.37954189938876</v>
      </c>
      <c r="J664" s="0" t="n">
        <f aca="false">I664*60</f>
        <v>382.772513963326</v>
      </c>
      <c r="K664" s="0" t="n">
        <f aca="false">(I664*86400)/24</f>
        <v>22966.3508377995</v>
      </c>
    </row>
    <row r="665" customFormat="false" ht="16.5" hidden="false" customHeight="false" outlineLevel="0" collapsed="false">
      <c r="A665" s="56" t="n">
        <v>45862.375</v>
      </c>
      <c r="B665" s="57" t="n">
        <f aca="false">MOD(A665,1)</f>
        <v>0.375</v>
      </c>
      <c r="C665" s="0" t="n">
        <v>0</v>
      </c>
      <c r="D665" s="0" t="n">
        <v>489.932</v>
      </c>
      <c r="E665" s="0" t="n">
        <f aca="false">D665-0.155</f>
        <v>489.777</v>
      </c>
      <c r="F665" s="0" t="n">
        <v>489.545</v>
      </c>
      <c r="G665" s="0" t="n">
        <f aca="false">IF(E665 - F665 &lt; 0, 0, E665 - F665)</f>
        <v>0.232000000000028</v>
      </c>
      <c r="H665" s="0" t="n">
        <v>1.82</v>
      </c>
      <c r="I665" s="0" t="n">
        <f aca="false">1.82*30*(G665^1.5)</f>
        <v>6.10133147394021</v>
      </c>
      <c r="J665" s="0" t="n">
        <f aca="false">I665*60</f>
        <v>366.079888436412</v>
      </c>
      <c r="K665" s="0" t="n">
        <f aca="false">(I665*86400)/24</f>
        <v>21964.7933061847</v>
      </c>
    </row>
    <row r="666" customFormat="false" ht="16.5" hidden="false" customHeight="false" outlineLevel="0" collapsed="false">
      <c r="A666" s="56" t="n">
        <v>45862.4166666667</v>
      </c>
      <c r="B666" s="57" t="n">
        <f aca="false">MOD(A666,1)</f>
        <v>0.416666666656965</v>
      </c>
      <c r="C666" s="0" t="n">
        <v>0</v>
      </c>
      <c r="D666" s="0" t="n">
        <v>489.919</v>
      </c>
      <c r="E666" s="0" t="n">
        <f aca="false">D666-0.155</f>
        <v>489.764</v>
      </c>
      <c r="F666" s="0" t="n">
        <v>489.545</v>
      </c>
      <c r="G666" s="0" t="n">
        <f aca="false">IF(E666 - F666 &lt; 0, 0, E666 - F666)</f>
        <v>0.218999999999994</v>
      </c>
      <c r="H666" s="0" t="n">
        <v>1.82</v>
      </c>
      <c r="I666" s="0" t="n">
        <f aca="false">1.82*30*(G666^1.5)</f>
        <v>5.59575659160023</v>
      </c>
      <c r="J666" s="0" t="n">
        <f aca="false">I666*60</f>
        <v>335.745395496014</v>
      </c>
      <c r="K666" s="0" t="n">
        <f aca="false">(I666*86400)/24</f>
        <v>20144.7237297608</v>
      </c>
    </row>
    <row r="667" customFormat="false" ht="16.5" hidden="false" customHeight="false" outlineLevel="0" collapsed="false">
      <c r="A667" s="56" t="n">
        <v>45862.4583333333</v>
      </c>
      <c r="B667" s="57" t="n">
        <f aca="false">MOD(A667,1)</f>
        <v>0.458333333343035</v>
      </c>
      <c r="C667" s="0" t="n">
        <v>0</v>
      </c>
      <c r="D667" s="0" t="n">
        <v>489.913</v>
      </c>
      <c r="E667" s="0" t="n">
        <f aca="false">D667-0.155</f>
        <v>489.758</v>
      </c>
      <c r="F667" s="0" t="n">
        <v>489.545</v>
      </c>
      <c r="G667" s="0" t="n">
        <f aca="false">IF(E667 - F667 &lt; 0, 0, E667 - F667)</f>
        <v>0.213000000000022</v>
      </c>
      <c r="H667" s="0" t="n">
        <v>1.82</v>
      </c>
      <c r="I667" s="0" t="n">
        <f aca="false">1.82*30*(G667^1.5)</f>
        <v>5.36737634534127</v>
      </c>
      <c r="J667" s="0" t="n">
        <f aca="false">I667*60</f>
        <v>322.042580720476</v>
      </c>
      <c r="K667" s="0" t="n">
        <f aca="false">(I667*86400)/24</f>
        <v>19322.5548432286</v>
      </c>
    </row>
    <row r="668" customFormat="false" ht="16.5" hidden="false" customHeight="false" outlineLevel="0" collapsed="false">
      <c r="A668" s="56" t="n">
        <v>45862.5</v>
      </c>
      <c r="B668" s="57" t="n">
        <f aca="false">MOD(A668,1)</f>
        <v>0.5</v>
      </c>
      <c r="C668" s="0" t="n">
        <v>0</v>
      </c>
      <c r="D668" s="0" t="n">
        <v>489.907</v>
      </c>
      <c r="E668" s="0" t="n">
        <f aca="false">D668-0.155</f>
        <v>489.752</v>
      </c>
      <c r="F668" s="0" t="n">
        <v>489.545</v>
      </c>
      <c r="G668" s="0" t="n">
        <f aca="false">IF(E668 - F668 &lt; 0, 0, E668 - F668)</f>
        <v>0.206999999999994</v>
      </c>
      <c r="H668" s="0" t="n">
        <v>1.82</v>
      </c>
      <c r="I668" s="0" t="n">
        <f aca="false">1.82*30*(G668^1.5)</f>
        <v>5.14219049062533</v>
      </c>
      <c r="J668" s="0" t="n">
        <f aca="false">I668*60</f>
        <v>308.53142943752</v>
      </c>
      <c r="K668" s="0" t="n">
        <f aca="false">(I668*86400)/24</f>
        <v>18511.8857662512</v>
      </c>
    </row>
    <row r="669" customFormat="false" ht="16.5" hidden="false" customHeight="false" outlineLevel="0" collapsed="false">
      <c r="A669" s="56" t="n">
        <v>45862.5416666667</v>
      </c>
      <c r="B669" s="57" t="n">
        <f aca="false">MOD(A669,1)</f>
        <v>0.541666666656965</v>
      </c>
      <c r="C669" s="0" t="n">
        <v>0</v>
      </c>
      <c r="D669" s="0" t="n">
        <v>489.9</v>
      </c>
      <c r="E669" s="0" t="n">
        <f aca="false">D669-0.155</f>
        <v>489.745</v>
      </c>
      <c r="F669" s="0" t="n">
        <v>489.545</v>
      </c>
      <c r="G669" s="0" t="n">
        <f aca="false">IF(E669 - F669 &lt; 0, 0, E669 - F669)</f>
        <v>0.199999999999989</v>
      </c>
      <c r="H669" s="0" t="n">
        <v>1.82</v>
      </c>
      <c r="I669" s="0" t="n">
        <f aca="false">1.82*30*(G669^1.5)</f>
        <v>4.88357246285912</v>
      </c>
      <c r="J669" s="0" t="n">
        <f aca="false">I669*60</f>
        <v>293.014347771548</v>
      </c>
      <c r="K669" s="0" t="n">
        <f aca="false">(I669*86400)/24</f>
        <v>17580.8608662929</v>
      </c>
    </row>
    <row r="670" customFormat="false" ht="16.5" hidden="false" customHeight="false" outlineLevel="0" collapsed="false">
      <c r="A670" s="56" t="n">
        <v>45862.5833333333</v>
      </c>
      <c r="B670" s="57" t="n">
        <f aca="false">MOD(A670,1)</f>
        <v>0.583333333343035</v>
      </c>
      <c r="C670" s="0" t="n">
        <v>0</v>
      </c>
      <c r="D670" s="0" t="n">
        <v>489.894</v>
      </c>
      <c r="E670" s="0" t="n">
        <f aca="false">D670-0.155</f>
        <v>489.739</v>
      </c>
      <c r="F670" s="0" t="n">
        <v>489.545</v>
      </c>
      <c r="G670" s="0" t="n">
        <f aca="false">IF(E670 - F670 &lt; 0, 0, E670 - F670)</f>
        <v>0.194000000000017</v>
      </c>
      <c r="H670" s="0" t="n">
        <v>1.82</v>
      </c>
      <c r="I670" s="0" t="n">
        <f aca="false">1.82*30*(G670^1.5)</f>
        <v>4.66546824289328</v>
      </c>
      <c r="J670" s="0" t="n">
        <f aca="false">I670*60</f>
        <v>279.928094573597</v>
      </c>
      <c r="K670" s="0" t="n">
        <f aca="false">(I670*86400)/24</f>
        <v>16795.6856744158</v>
      </c>
    </row>
    <row r="671" customFormat="false" ht="16.5" hidden="false" customHeight="false" outlineLevel="0" collapsed="false">
      <c r="A671" s="56" t="n">
        <v>45862.625</v>
      </c>
      <c r="B671" s="57" t="n">
        <f aca="false">MOD(A671,1)</f>
        <v>0.625</v>
      </c>
      <c r="C671" s="0" t="n">
        <v>1.8</v>
      </c>
      <c r="D671" s="0" t="n">
        <v>489.888</v>
      </c>
      <c r="E671" s="0" t="n">
        <f aca="false">D671-0.155</f>
        <v>489.733</v>
      </c>
      <c r="F671" s="0" t="n">
        <v>489.545</v>
      </c>
      <c r="G671" s="0" t="n">
        <f aca="false">IF(E671 - F671 &lt; 0, 0, E671 - F671)</f>
        <v>0.187999999999988</v>
      </c>
      <c r="H671" s="0" t="n">
        <v>1.82</v>
      </c>
      <c r="I671" s="0" t="n">
        <f aca="false">1.82*30*(G671^1.5)</f>
        <v>4.45071122176178</v>
      </c>
      <c r="J671" s="0" t="n">
        <f aca="false">I671*60</f>
        <v>267.042673305707</v>
      </c>
      <c r="K671" s="0" t="n">
        <f aca="false">(I671*86400)/24</f>
        <v>16022.5603983424</v>
      </c>
    </row>
    <row r="672" customFormat="false" ht="16.5" hidden="false" customHeight="false" outlineLevel="0" collapsed="false">
      <c r="A672" s="56" t="n">
        <v>45862.6666666667</v>
      </c>
      <c r="B672" s="57" t="n">
        <f aca="false">MOD(A672,1)</f>
        <v>0.666666666656965</v>
      </c>
      <c r="C672" s="0" t="n">
        <v>0.2</v>
      </c>
      <c r="D672" s="0" t="n">
        <v>489.888</v>
      </c>
      <c r="E672" s="0" t="n">
        <f aca="false">D672-0.155</f>
        <v>489.733</v>
      </c>
      <c r="F672" s="0" t="n">
        <v>489.545</v>
      </c>
      <c r="G672" s="0" t="n">
        <f aca="false">IF(E672 - F672 &lt; 0, 0, E672 - F672)</f>
        <v>0.187999999999988</v>
      </c>
      <c r="H672" s="0" t="n">
        <v>1.82</v>
      </c>
      <c r="I672" s="0" t="n">
        <f aca="false">1.82*30*(G672^1.5)</f>
        <v>4.45071122176178</v>
      </c>
      <c r="J672" s="0" t="n">
        <f aca="false">I672*60</f>
        <v>267.042673305707</v>
      </c>
      <c r="K672" s="0" t="n">
        <f aca="false">(I672*86400)/24</f>
        <v>16022.5603983424</v>
      </c>
    </row>
    <row r="673" customFormat="false" ht="16.5" hidden="false" customHeight="false" outlineLevel="0" collapsed="false">
      <c r="A673" s="56" t="n">
        <v>45862.7083333333</v>
      </c>
      <c r="B673" s="57" t="n">
        <f aca="false">MOD(A673,1)</f>
        <v>0.708333333343035</v>
      </c>
      <c r="C673" s="0" t="n">
        <v>0</v>
      </c>
      <c r="D673" s="0" t="n">
        <v>489.881</v>
      </c>
      <c r="E673" s="0" t="n">
        <f aca="false">D673-0.155</f>
        <v>489.726</v>
      </c>
      <c r="F673" s="0" t="n">
        <v>489.545</v>
      </c>
      <c r="G673" s="0" t="n">
        <f aca="false">IF(E673 - F673 &lt; 0, 0, E673 - F673)</f>
        <v>0.180999999999983</v>
      </c>
      <c r="H673" s="0" t="n">
        <v>1.82</v>
      </c>
      <c r="I673" s="0" t="n">
        <f aca="false">1.82*30*(G673^1.5)</f>
        <v>4.20446270997319</v>
      </c>
      <c r="J673" s="0" t="n">
        <f aca="false">I673*60</f>
        <v>252.267762598391</v>
      </c>
      <c r="K673" s="0" t="n">
        <f aca="false">(I673*86400)/24</f>
        <v>15136.0657559035</v>
      </c>
    </row>
    <row r="674" customFormat="false" ht="16.5" hidden="false" customHeight="false" outlineLevel="0" collapsed="false">
      <c r="A674" s="56" t="n">
        <v>45862.75</v>
      </c>
      <c r="B674" s="57" t="n">
        <f aca="false">MOD(A674,1)</f>
        <v>0.75</v>
      </c>
      <c r="C674" s="0" t="n">
        <v>0</v>
      </c>
      <c r="D674" s="0" t="n">
        <v>489.875</v>
      </c>
      <c r="E674" s="0" t="n">
        <f aca="false">D674-0.155</f>
        <v>489.72</v>
      </c>
      <c r="F674" s="0" t="n">
        <v>489.545</v>
      </c>
      <c r="G674" s="0" t="n">
        <f aca="false">IF(E674 - F674 &lt; 0, 0, E674 - F674)</f>
        <v>0.175000000000011</v>
      </c>
      <c r="H674" s="0" t="n">
        <v>1.82</v>
      </c>
      <c r="I674" s="0" t="n">
        <f aca="false">1.82*30*(G674^1.5)</f>
        <v>3.99714327676694</v>
      </c>
      <c r="J674" s="0" t="n">
        <f aca="false">I674*60</f>
        <v>239.828596606016</v>
      </c>
      <c r="K674" s="0" t="n">
        <f aca="false">(I674*86400)/24</f>
        <v>14389.715796361</v>
      </c>
    </row>
    <row r="675" customFormat="false" ht="16.5" hidden="false" customHeight="false" outlineLevel="0" collapsed="false">
      <c r="A675" s="56" t="n">
        <v>45862.7916666667</v>
      </c>
      <c r="B675" s="57" t="n">
        <f aca="false">MOD(A675,1)</f>
        <v>0.791666666656965</v>
      </c>
      <c r="C675" s="0" t="n">
        <v>0</v>
      </c>
      <c r="D675" s="0" t="n">
        <v>489.869</v>
      </c>
      <c r="E675" s="0" t="n">
        <f aca="false">D675-0.155</f>
        <v>489.714</v>
      </c>
      <c r="F675" s="0" t="n">
        <v>489.545</v>
      </c>
      <c r="G675" s="0" t="n">
        <f aca="false">IF(E675 - F675 &lt; 0, 0, E675 - F675)</f>
        <v>0.16900000000004</v>
      </c>
      <c r="H675" s="0" t="n">
        <v>1.82</v>
      </c>
      <c r="I675" s="0" t="n">
        <f aca="false">1.82*30*(G675^1.5)</f>
        <v>3.79334811458823</v>
      </c>
      <c r="J675" s="0" t="n">
        <f aca="false">I675*60</f>
        <v>227.600886875294</v>
      </c>
      <c r="K675" s="0" t="n">
        <f aca="false">(I675*86400)/24</f>
        <v>13656.0532125176</v>
      </c>
    </row>
    <row r="676" customFormat="false" ht="16.5" hidden="false" customHeight="false" outlineLevel="0" collapsed="false">
      <c r="A676" s="56" t="n">
        <v>45862.8333333333</v>
      </c>
      <c r="B676" s="57" t="n">
        <f aca="false">MOD(A676,1)</f>
        <v>0.833333333343035</v>
      </c>
      <c r="C676" s="0" t="n">
        <v>0</v>
      </c>
      <c r="D676" s="0" t="n">
        <v>489.869</v>
      </c>
      <c r="E676" s="0" t="n">
        <f aca="false">D676-0.155</f>
        <v>489.714</v>
      </c>
      <c r="F676" s="0" t="n">
        <v>489.545</v>
      </c>
      <c r="G676" s="0" t="n">
        <f aca="false">IF(E676 - F676 &lt; 0, 0, E676 - F676)</f>
        <v>0.16900000000004</v>
      </c>
      <c r="H676" s="0" t="n">
        <v>1.82</v>
      </c>
      <c r="I676" s="0" t="n">
        <f aca="false">1.82*30*(G676^1.5)</f>
        <v>3.79334811458823</v>
      </c>
      <c r="J676" s="0" t="n">
        <f aca="false">I676*60</f>
        <v>227.600886875294</v>
      </c>
      <c r="K676" s="0" t="n">
        <f aca="false">(I676*86400)/24</f>
        <v>13656.0532125176</v>
      </c>
    </row>
    <row r="677" customFormat="false" ht="16.5" hidden="false" customHeight="false" outlineLevel="0" collapsed="false">
      <c r="A677" s="56" t="n">
        <v>45862.875</v>
      </c>
      <c r="B677" s="57" t="n">
        <f aca="false">MOD(A677,1)</f>
        <v>0.875</v>
      </c>
      <c r="C677" s="0" t="n">
        <v>0</v>
      </c>
      <c r="D677" s="0" t="n">
        <v>489.862</v>
      </c>
      <c r="E677" s="0" t="n">
        <f aca="false">D677-0.155</f>
        <v>489.707</v>
      </c>
      <c r="F677" s="0" t="n">
        <v>489.545</v>
      </c>
      <c r="G677" s="0" t="n">
        <f aca="false">IF(E677 - F677 &lt; 0, 0, E677 - F677)</f>
        <v>0.162000000000035</v>
      </c>
      <c r="H677" s="0" t="n">
        <v>1.82</v>
      </c>
      <c r="I677" s="0" t="n">
        <f aca="false">1.82*30*(G677^1.5)</f>
        <v>3.56012432542574</v>
      </c>
      <c r="J677" s="0" t="n">
        <f aca="false">I677*60</f>
        <v>213.607459525545</v>
      </c>
      <c r="K677" s="0" t="n">
        <f aca="false">(I677*86400)/24</f>
        <v>12816.4475715327</v>
      </c>
    </row>
    <row r="678" customFormat="false" ht="16.5" hidden="false" customHeight="false" outlineLevel="0" collapsed="false">
      <c r="A678" s="56" t="n">
        <v>45862.9166666667</v>
      </c>
      <c r="B678" s="57" t="n">
        <f aca="false">MOD(A678,1)</f>
        <v>0.916666666656965</v>
      </c>
      <c r="C678" s="0" t="n">
        <v>0</v>
      </c>
      <c r="D678" s="0" t="n">
        <v>489.855</v>
      </c>
      <c r="E678" s="0" t="n">
        <f aca="false">D678-0.155</f>
        <v>489.7</v>
      </c>
      <c r="F678" s="0" t="n">
        <v>489.545</v>
      </c>
      <c r="G678" s="0" t="n">
        <f aca="false">IF(E678 - F678 &lt; 0, 0, E678 - F678)</f>
        <v>0.15500000000003</v>
      </c>
      <c r="H678" s="0" t="n">
        <v>1.82</v>
      </c>
      <c r="I678" s="0" t="n">
        <f aca="false">1.82*30*(G678^1.5)</f>
        <v>3.33188643188905</v>
      </c>
      <c r="J678" s="0" t="n">
        <f aca="false">I678*60</f>
        <v>199.913185913343</v>
      </c>
      <c r="K678" s="0" t="n">
        <f aca="false">(I678*86400)/24</f>
        <v>11994.7911548006</v>
      </c>
    </row>
    <row r="679" customFormat="false" ht="16.5" hidden="false" customHeight="false" outlineLevel="0" collapsed="false">
      <c r="A679" s="56" t="n">
        <v>45862.9583333333</v>
      </c>
      <c r="B679" s="57" t="n">
        <f aca="false">MOD(A679,1)</f>
        <v>0.958333333343035</v>
      </c>
      <c r="C679" s="0" t="n">
        <v>0</v>
      </c>
      <c r="D679" s="0" t="n">
        <v>489.848</v>
      </c>
      <c r="E679" s="0" t="n">
        <f aca="false">D679-0.155</f>
        <v>489.693</v>
      </c>
      <c r="F679" s="0" t="n">
        <v>489.545</v>
      </c>
      <c r="G679" s="0" t="n">
        <f aca="false">IF(E679 - F679 &lt; 0, 0, E679 - F679)</f>
        <v>0.148000000000025</v>
      </c>
      <c r="H679" s="0" t="n">
        <v>1.82</v>
      </c>
      <c r="I679" s="0" t="n">
        <f aca="false">1.82*30*(G679^1.5)</f>
        <v>3.10874583051185</v>
      </c>
      <c r="J679" s="0" t="n">
        <f aca="false">I679*60</f>
        <v>186.524749830711</v>
      </c>
      <c r="K679" s="0" t="n">
        <f aca="false">(I679*86400)/24</f>
        <v>11191.4849898427</v>
      </c>
    </row>
    <row r="680" customFormat="false" ht="16.5" hidden="false" customHeight="false" outlineLevel="0" collapsed="false">
      <c r="A680" s="56" t="n">
        <v>45863</v>
      </c>
      <c r="B680" s="57" t="n">
        <f aca="false">MOD(A680,1)</f>
        <v>0</v>
      </c>
      <c r="C680" s="0" t="n">
        <v>0</v>
      </c>
      <c r="D680" s="0" t="n">
        <v>489.848</v>
      </c>
      <c r="E680" s="0" t="n">
        <f aca="false">D680-0.155</f>
        <v>489.693</v>
      </c>
      <c r="F680" s="0" t="n">
        <v>489.545</v>
      </c>
      <c r="G680" s="0" t="n">
        <f aca="false">IF(E680 - F680 &lt; 0, 0, E680 - F680)</f>
        <v>0.148000000000025</v>
      </c>
      <c r="H680" s="0" t="n">
        <v>1.82</v>
      </c>
      <c r="I680" s="0" t="n">
        <f aca="false">1.82*30*(G680^1.5)</f>
        <v>3.10874583051185</v>
      </c>
      <c r="J680" s="0" t="n">
        <f aca="false">I680*60</f>
        <v>186.524749830711</v>
      </c>
      <c r="K680" s="0" t="n">
        <f aca="false">(I680*86400)/24</f>
        <v>11191.4849898427</v>
      </c>
    </row>
    <row r="681" customFormat="false" ht="16.5" hidden="false" customHeight="false" outlineLevel="0" collapsed="false">
      <c r="A681" s="56" t="n">
        <v>45863.0416666667</v>
      </c>
      <c r="B681" s="57" t="n">
        <f aca="false">MOD(A681,1)</f>
        <v>0.0416666666569654</v>
      </c>
      <c r="C681" s="0" t="n">
        <v>0</v>
      </c>
      <c r="D681" s="0" t="n">
        <v>489.848</v>
      </c>
      <c r="E681" s="0" t="n">
        <f aca="false">D681-0.155</f>
        <v>489.693</v>
      </c>
      <c r="F681" s="0" t="n">
        <v>489.545</v>
      </c>
      <c r="G681" s="0" t="n">
        <f aca="false">IF(E681 - F681 &lt; 0, 0, E681 - F681)</f>
        <v>0.148000000000025</v>
      </c>
      <c r="H681" s="0" t="n">
        <v>1.82</v>
      </c>
      <c r="I681" s="0" t="n">
        <f aca="false">1.82*30*(G681^1.5)</f>
        <v>3.10874583051185</v>
      </c>
      <c r="J681" s="0" t="n">
        <f aca="false">I681*60</f>
        <v>186.524749830711</v>
      </c>
      <c r="K681" s="0" t="n">
        <f aca="false">(I681*86400)/24</f>
        <v>11191.4849898427</v>
      </c>
    </row>
    <row r="682" customFormat="false" ht="16.5" hidden="false" customHeight="false" outlineLevel="0" collapsed="false">
      <c r="A682" s="56" t="n">
        <v>45863.0833333333</v>
      </c>
      <c r="B682" s="57" t="n">
        <f aca="false">MOD(A682,1)</f>
        <v>0.0833333333430346</v>
      </c>
      <c r="C682" s="0" t="n">
        <v>0</v>
      </c>
      <c r="D682" s="0" t="n">
        <v>489.842</v>
      </c>
      <c r="E682" s="0" t="n">
        <f aca="false">D682-0.155</f>
        <v>489.687</v>
      </c>
      <c r="F682" s="0" t="n">
        <v>489.545</v>
      </c>
      <c r="G682" s="0" t="n">
        <f aca="false">IF(E682 - F682 &lt; 0, 0, E682 - F682)</f>
        <v>0.141999999999996</v>
      </c>
      <c r="H682" s="0" t="n">
        <v>1.82</v>
      </c>
      <c r="I682" s="0" t="n">
        <f aca="false">1.82*30*(G682^1.5)</f>
        <v>2.92162962301508</v>
      </c>
      <c r="J682" s="0" t="n">
        <f aca="false">I682*60</f>
        <v>175.297777380905</v>
      </c>
      <c r="K682" s="0" t="n">
        <f aca="false">(I682*86400)/24</f>
        <v>10517.8666428543</v>
      </c>
    </row>
    <row r="683" customFormat="false" ht="16.5" hidden="false" customHeight="false" outlineLevel="0" collapsed="false">
      <c r="A683" s="56" t="n">
        <v>45863.125</v>
      </c>
      <c r="B683" s="57" t="n">
        <f aca="false">MOD(A683,1)</f>
        <v>0.125</v>
      </c>
      <c r="C683" s="0" t="n">
        <v>0.6</v>
      </c>
      <c r="D683" s="0" t="n">
        <v>489.835</v>
      </c>
      <c r="E683" s="0" t="n">
        <f aca="false">D683-0.155</f>
        <v>489.68</v>
      </c>
      <c r="F683" s="0" t="n">
        <v>489.545</v>
      </c>
      <c r="G683" s="0" t="n">
        <f aca="false">IF(E683 - F683 &lt; 0, 0, E683 - F683)</f>
        <v>0.134999999999991</v>
      </c>
      <c r="H683" s="0" t="n">
        <v>1.82</v>
      </c>
      <c r="I683" s="0" t="n">
        <f aca="false">1.82*30*(G683^1.5)</f>
        <v>2.70827833410795</v>
      </c>
      <c r="J683" s="0" t="n">
        <f aca="false">I683*60</f>
        <v>162.496700046477</v>
      </c>
      <c r="K683" s="0" t="n">
        <f aca="false">(I683*86400)/24</f>
        <v>9749.80200278861</v>
      </c>
    </row>
    <row r="684" customFormat="false" ht="16.5" hidden="false" customHeight="false" outlineLevel="0" collapsed="false">
      <c r="A684" s="56" t="n">
        <v>45863.1666666667</v>
      </c>
      <c r="B684" s="57" t="n">
        <f aca="false">MOD(A684,1)</f>
        <v>0.166666666656965</v>
      </c>
      <c r="C684" s="0" t="n">
        <v>0.6</v>
      </c>
      <c r="D684" s="0" t="n">
        <v>489.835</v>
      </c>
      <c r="E684" s="0" t="n">
        <f aca="false">D684-0.155</f>
        <v>489.68</v>
      </c>
      <c r="F684" s="0" t="n">
        <v>489.545</v>
      </c>
      <c r="G684" s="0" t="n">
        <f aca="false">IF(E684 - F684 &lt; 0, 0, E684 - F684)</f>
        <v>0.134999999999991</v>
      </c>
      <c r="H684" s="0" t="n">
        <v>1.82</v>
      </c>
      <c r="I684" s="0" t="n">
        <f aca="false">1.82*30*(G684^1.5)</f>
        <v>2.70827833410795</v>
      </c>
      <c r="J684" s="0" t="n">
        <f aca="false">I684*60</f>
        <v>162.496700046477</v>
      </c>
      <c r="K684" s="0" t="n">
        <f aca="false">(I684*86400)/24</f>
        <v>9749.80200278861</v>
      </c>
    </row>
    <row r="685" customFormat="false" ht="16.5" hidden="false" customHeight="false" outlineLevel="0" collapsed="false">
      <c r="A685" s="56" t="n">
        <v>45863.2083333333</v>
      </c>
      <c r="B685" s="57" t="n">
        <f aca="false">MOD(A685,1)</f>
        <v>0.208333333343035</v>
      </c>
      <c r="C685" s="0" t="n">
        <v>0.6</v>
      </c>
      <c r="D685" s="0" t="n">
        <v>489.835</v>
      </c>
      <c r="E685" s="0" t="n">
        <f aca="false">D685-0.155</f>
        <v>489.68</v>
      </c>
      <c r="F685" s="0" t="n">
        <v>489.545</v>
      </c>
      <c r="G685" s="0" t="n">
        <f aca="false">IF(E685 - F685 &lt; 0, 0, E685 - F685)</f>
        <v>0.134999999999991</v>
      </c>
      <c r="H685" s="0" t="n">
        <v>1.82</v>
      </c>
      <c r="I685" s="0" t="n">
        <f aca="false">1.82*30*(G685^1.5)</f>
        <v>2.70827833410795</v>
      </c>
      <c r="J685" s="0" t="n">
        <f aca="false">I685*60</f>
        <v>162.496700046477</v>
      </c>
      <c r="K685" s="0" t="n">
        <f aca="false">(I685*86400)/24</f>
        <v>9749.80200278861</v>
      </c>
    </row>
    <row r="686" customFormat="false" ht="16.5" hidden="false" customHeight="false" outlineLevel="0" collapsed="false">
      <c r="A686" s="56" t="n">
        <v>45863.25</v>
      </c>
      <c r="B686" s="57" t="n">
        <f aca="false">MOD(A686,1)</f>
        <v>0.25</v>
      </c>
      <c r="C686" s="0" t="n">
        <v>0.2</v>
      </c>
      <c r="D686" s="0" t="n">
        <v>489.83</v>
      </c>
      <c r="E686" s="0" t="n">
        <f aca="false">D686-0.155</f>
        <v>489.675</v>
      </c>
      <c r="F686" s="0" t="n">
        <v>489.545</v>
      </c>
      <c r="G686" s="0" t="n">
        <f aca="false">IF(E686 - F686 &lt; 0, 0, E686 - F686)</f>
        <v>0.129999999999995</v>
      </c>
      <c r="H686" s="0" t="n">
        <v>1.82</v>
      </c>
      <c r="I686" s="0" t="n">
        <f aca="false">1.82*30*(G686^1.5)</f>
        <v>2.55922029532421</v>
      </c>
      <c r="J686" s="0" t="n">
        <f aca="false">I686*60</f>
        <v>153.553217719452</v>
      </c>
      <c r="K686" s="0" t="n">
        <f aca="false">(I686*86400)/24</f>
        <v>9213.19306316714</v>
      </c>
    </row>
    <row r="687" customFormat="false" ht="16.5" hidden="false" customHeight="false" outlineLevel="0" collapsed="false">
      <c r="A687" s="56" t="n">
        <v>45863.2916666667</v>
      </c>
      <c r="B687" s="57" t="n">
        <f aca="false">MOD(A687,1)</f>
        <v>0.291666666656965</v>
      </c>
      <c r="C687" s="0" t="n">
        <v>0</v>
      </c>
      <c r="D687" s="0" t="n">
        <v>489.829</v>
      </c>
      <c r="E687" s="0" t="n">
        <f aca="false">D687-0.155</f>
        <v>489.674</v>
      </c>
      <c r="F687" s="0" t="n">
        <v>489.545</v>
      </c>
      <c r="G687" s="0" t="n">
        <f aca="false">IF(E687 - F687 &lt; 0, 0, E687 - F687)</f>
        <v>0.129000000000019</v>
      </c>
      <c r="H687" s="0" t="n">
        <v>1.82</v>
      </c>
      <c r="I687" s="0" t="n">
        <f aca="false">1.82*30*(G687^1.5)</f>
        <v>2.52974769082666</v>
      </c>
      <c r="J687" s="0" t="n">
        <f aca="false">I687*60</f>
        <v>151.7848614496</v>
      </c>
      <c r="K687" s="0" t="n">
        <f aca="false">(I687*86400)/24</f>
        <v>9107.09168697599</v>
      </c>
    </row>
    <row r="688" customFormat="false" ht="16.5" hidden="false" customHeight="false" outlineLevel="0" collapsed="false">
      <c r="A688" s="56" t="n">
        <v>45863.3333333333</v>
      </c>
      <c r="B688" s="57" t="n">
        <f aca="false">MOD(A688,1)</f>
        <v>0.333333333343035</v>
      </c>
      <c r="C688" s="0" t="n">
        <v>0</v>
      </c>
      <c r="D688" s="0" t="n">
        <v>489.829</v>
      </c>
      <c r="E688" s="0" t="n">
        <f aca="false">D688-0.155</f>
        <v>489.674</v>
      </c>
      <c r="F688" s="0" t="n">
        <v>489.545</v>
      </c>
      <c r="G688" s="0" t="n">
        <f aca="false">IF(E688 - F688 &lt; 0, 0, E688 - F688)</f>
        <v>0.129000000000019</v>
      </c>
      <c r="H688" s="0" t="n">
        <v>1.82</v>
      </c>
      <c r="I688" s="0" t="n">
        <f aca="false">1.82*30*(G688^1.5)</f>
        <v>2.52974769082666</v>
      </c>
      <c r="J688" s="0" t="n">
        <f aca="false">I688*60</f>
        <v>151.7848614496</v>
      </c>
      <c r="K688" s="0" t="n">
        <f aca="false">(I688*86400)/24</f>
        <v>9107.09168697599</v>
      </c>
    </row>
    <row r="689" customFormat="false" ht="16.5" hidden="false" customHeight="false" outlineLevel="0" collapsed="false">
      <c r="A689" s="56" t="n">
        <v>45863.375</v>
      </c>
      <c r="B689" s="57" t="n">
        <f aca="false">MOD(A689,1)</f>
        <v>0.375</v>
      </c>
      <c r="C689" s="0" t="n">
        <v>0</v>
      </c>
      <c r="D689" s="0" t="n">
        <v>489.822</v>
      </c>
      <c r="E689" s="0" t="n">
        <f aca="false">D689-0.155</f>
        <v>489.667</v>
      </c>
      <c r="F689" s="0" t="n">
        <v>489.545</v>
      </c>
      <c r="G689" s="0" t="n">
        <f aca="false">IF(E689 - F689 &lt; 0, 0, E689 - F689)</f>
        <v>0.122000000000014</v>
      </c>
      <c r="H689" s="0" t="n">
        <v>1.82</v>
      </c>
      <c r="I689" s="0" t="n">
        <f aca="false">1.82*30*(G689^1.5)</f>
        <v>2.32665713496464</v>
      </c>
      <c r="J689" s="0" t="n">
        <f aca="false">I689*60</f>
        <v>139.599428097879</v>
      </c>
      <c r="K689" s="0" t="n">
        <f aca="false">(I689*86400)/24</f>
        <v>8375.96568587271</v>
      </c>
    </row>
    <row r="690" customFormat="false" ht="16.5" hidden="false" customHeight="false" outlineLevel="0" collapsed="false">
      <c r="A690" s="56" t="n">
        <v>45863.4166666667</v>
      </c>
      <c r="B690" s="57" t="n">
        <f aca="false">MOD(A690,1)</f>
        <v>0.416666666656965</v>
      </c>
      <c r="C690" s="0" t="n">
        <v>0</v>
      </c>
      <c r="D690" s="0" t="n">
        <v>489.822</v>
      </c>
      <c r="E690" s="0" t="n">
        <f aca="false">D690-0.155</f>
        <v>489.667</v>
      </c>
      <c r="F690" s="0" t="n">
        <v>489.545</v>
      </c>
      <c r="G690" s="0" t="n">
        <f aca="false">IF(E690 - F690 &lt; 0, 0, E690 - F690)</f>
        <v>0.122000000000014</v>
      </c>
      <c r="H690" s="0" t="n">
        <v>1.82</v>
      </c>
      <c r="I690" s="0" t="n">
        <f aca="false">1.82*30*(G690^1.5)</f>
        <v>2.32665713496464</v>
      </c>
      <c r="J690" s="0" t="n">
        <f aca="false">I690*60</f>
        <v>139.599428097879</v>
      </c>
      <c r="K690" s="0" t="n">
        <f aca="false">(I690*86400)/24</f>
        <v>8375.96568587271</v>
      </c>
    </row>
    <row r="691" customFormat="false" ht="16.5" hidden="false" customHeight="false" outlineLevel="0" collapsed="false">
      <c r="A691" s="56" t="n">
        <v>45863.4583333333</v>
      </c>
      <c r="B691" s="57" t="n">
        <f aca="false">MOD(A691,1)</f>
        <v>0.458333333343035</v>
      </c>
      <c r="C691" s="0" t="n">
        <v>0</v>
      </c>
      <c r="D691" s="0" t="n">
        <v>489.816</v>
      </c>
      <c r="E691" s="0" t="n">
        <f aca="false">D691-0.155</f>
        <v>489.661</v>
      </c>
      <c r="F691" s="0" t="n">
        <v>489.545</v>
      </c>
      <c r="G691" s="0" t="n">
        <f aca="false">IF(E691 - F691 &lt; 0, 0, E691 - F691)</f>
        <v>0.115999999999985</v>
      </c>
      <c r="H691" s="0" t="n">
        <v>1.82</v>
      </c>
      <c r="I691" s="0" t="n">
        <f aca="false">1.82*30*(G691^1.5)</f>
        <v>2.15714642974422</v>
      </c>
      <c r="J691" s="0" t="n">
        <f aca="false">I691*60</f>
        <v>129.428785784653</v>
      </c>
      <c r="K691" s="0" t="n">
        <f aca="false">(I691*86400)/24</f>
        <v>7765.7271470792</v>
      </c>
    </row>
    <row r="692" customFormat="false" ht="16.5" hidden="false" customHeight="false" outlineLevel="0" collapsed="false">
      <c r="A692" s="56" t="n">
        <v>45863.5</v>
      </c>
      <c r="B692" s="57" t="n">
        <f aca="false">MOD(A692,1)</f>
        <v>0.5</v>
      </c>
      <c r="C692" s="0" t="n">
        <v>0</v>
      </c>
      <c r="D692" s="0" t="n">
        <v>489.816</v>
      </c>
      <c r="E692" s="0" t="n">
        <f aca="false">D692-0.155</f>
        <v>489.661</v>
      </c>
      <c r="F692" s="0" t="n">
        <v>489.545</v>
      </c>
      <c r="G692" s="0" t="n">
        <f aca="false">IF(E692 - F692 &lt; 0, 0, E692 - F692)</f>
        <v>0.115999999999985</v>
      </c>
      <c r="H692" s="0" t="n">
        <v>1.82</v>
      </c>
      <c r="I692" s="0" t="n">
        <f aca="false">1.82*30*(G692^1.5)</f>
        <v>2.15714642974422</v>
      </c>
      <c r="J692" s="0" t="n">
        <f aca="false">I692*60</f>
        <v>129.428785784653</v>
      </c>
      <c r="K692" s="0" t="n">
        <f aca="false">(I692*86400)/24</f>
        <v>7765.7271470792</v>
      </c>
    </row>
    <row r="693" customFormat="false" ht="16.5" hidden="false" customHeight="false" outlineLevel="0" collapsed="false">
      <c r="A693" s="56" t="n">
        <v>45863.5416666667</v>
      </c>
      <c r="B693" s="57" t="n">
        <f aca="false">MOD(A693,1)</f>
        <v>0.541666666656965</v>
      </c>
      <c r="C693" s="0" t="n">
        <v>0</v>
      </c>
      <c r="D693" s="0" t="n">
        <v>489.816</v>
      </c>
      <c r="E693" s="0" t="n">
        <f aca="false">D693-0.155</f>
        <v>489.661</v>
      </c>
      <c r="F693" s="0" t="n">
        <v>489.545</v>
      </c>
      <c r="G693" s="0" t="n">
        <f aca="false">IF(E693 - F693 &lt; 0, 0, E693 - F693)</f>
        <v>0.115999999999985</v>
      </c>
      <c r="H693" s="0" t="n">
        <v>1.82</v>
      </c>
      <c r="I693" s="0" t="n">
        <f aca="false">1.82*30*(G693^1.5)</f>
        <v>2.15714642974422</v>
      </c>
      <c r="J693" s="0" t="n">
        <f aca="false">I693*60</f>
        <v>129.428785784653</v>
      </c>
      <c r="K693" s="0" t="n">
        <f aca="false">(I693*86400)/24</f>
        <v>7765.7271470792</v>
      </c>
    </row>
    <row r="694" customFormat="false" ht="16.5" hidden="false" customHeight="false" outlineLevel="0" collapsed="false">
      <c r="A694" s="56" t="n">
        <v>45863.5833333333</v>
      </c>
      <c r="B694" s="57" t="n">
        <f aca="false">MOD(A694,1)</f>
        <v>0.583333333343035</v>
      </c>
      <c r="C694" s="0" t="n">
        <v>0</v>
      </c>
      <c r="D694" s="0" t="n">
        <v>489.809</v>
      </c>
      <c r="E694" s="0" t="n">
        <f aca="false">D694-0.155</f>
        <v>489.654</v>
      </c>
      <c r="F694" s="0" t="n">
        <v>489.545</v>
      </c>
      <c r="G694" s="0" t="n">
        <f aca="false">IF(E694 - F694 &lt; 0, 0, E694 - F694)</f>
        <v>0.109000000000037</v>
      </c>
      <c r="H694" s="0" t="n">
        <v>1.82</v>
      </c>
      <c r="I694" s="0" t="n">
        <f aca="false">1.82*30*(G694^1.5)</f>
        <v>1.96486352036063</v>
      </c>
      <c r="J694" s="0" t="n">
        <f aca="false">I694*60</f>
        <v>117.891811221638</v>
      </c>
      <c r="K694" s="0" t="n">
        <f aca="false">(I694*86400)/24</f>
        <v>7073.50867329826</v>
      </c>
    </row>
    <row r="695" customFormat="false" ht="16.5" hidden="false" customHeight="false" outlineLevel="0" collapsed="false">
      <c r="A695" s="56" t="n">
        <v>45863.625</v>
      </c>
      <c r="B695" s="57" t="n">
        <f aca="false">MOD(A695,1)</f>
        <v>0.625</v>
      </c>
      <c r="C695" s="0" t="n">
        <v>0</v>
      </c>
      <c r="D695" s="0" t="n">
        <v>489.803</v>
      </c>
      <c r="E695" s="0" t="n">
        <f aca="false">D695-0.155</f>
        <v>489.648</v>
      </c>
      <c r="F695" s="0" t="n">
        <v>489.545</v>
      </c>
      <c r="G695" s="0" t="n">
        <f aca="false">IF(E695 - F695 &lt; 0, 0, E695 - F695)</f>
        <v>0.103000000000009</v>
      </c>
      <c r="H695" s="0" t="n">
        <v>1.82</v>
      </c>
      <c r="I695" s="0" t="n">
        <f aca="false">1.82*30*(G695^1.5)</f>
        <v>1.80488061193</v>
      </c>
      <c r="J695" s="0" t="n">
        <f aca="false">I695*60</f>
        <v>108.2928367158</v>
      </c>
      <c r="K695" s="0" t="n">
        <f aca="false">(I695*86400)/24</f>
        <v>6497.57020294801</v>
      </c>
    </row>
    <row r="696" customFormat="false" ht="16.5" hidden="false" customHeight="false" outlineLevel="0" collapsed="false">
      <c r="A696" s="56" t="n">
        <v>45863.6666666667</v>
      </c>
      <c r="B696" s="57" t="n">
        <f aca="false">MOD(A696,1)</f>
        <v>0.666666666656965</v>
      </c>
      <c r="C696" s="0" t="n">
        <v>0</v>
      </c>
      <c r="D696" s="0" t="n">
        <v>489.803</v>
      </c>
      <c r="E696" s="0" t="n">
        <f aca="false">D696-0.155</f>
        <v>489.648</v>
      </c>
      <c r="F696" s="0" t="n">
        <v>489.545</v>
      </c>
      <c r="G696" s="0" t="n">
        <f aca="false">IF(E696 - F696 &lt; 0, 0, E696 - F696)</f>
        <v>0.103000000000009</v>
      </c>
      <c r="H696" s="0" t="n">
        <v>1.82</v>
      </c>
      <c r="I696" s="0" t="n">
        <f aca="false">1.82*30*(G696^1.5)</f>
        <v>1.80488061193</v>
      </c>
      <c r="J696" s="0" t="n">
        <f aca="false">I696*60</f>
        <v>108.2928367158</v>
      </c>
      <c r="K696" s="0" t="n">
        <f aca="false">(I696*86400)/24</f>
        <v>6497.57020294801</v>
      </c>
    </row>
    <row r="697" customFormat="false" ht="16.5" hidden="false" customHeight="false" outlineLevel="0" collapsed="false">
      <c r="A697" s="56" t="n">
        <v>45863.7083333333</v>
      </c>
      <c r="B697" s="57" t="n">
        <f aca="false">MOD(A697,1)</f>
        <v>0.708333333343035</v>
      </c>
      <c r="C697" s="0" t="n">
        <v>0</v>
      </c>
      <c r="D697" s="0" t="n">
        <v>489.798</v>
      </c>
      <c r="E697" s="0" t="n">
        <f aca="false">D697-0.155</f>
        <v>489.643</v>
      </c>
      <c r="F697" s="0" t="n">
        <v>489.545</v>
      </c>
      <c r="G697" s="0" t="n">
        <f aca="false">IF(E697 - F697 &lt; 0, 0, E697 - F697)</f>
        <v>0.0980000000000132</v>
      </c>
      <c r="H697" s="0" t="n">
        <v>1.82</v>
      </c>
      <c r="I697" s="0" t="n">
        <f aca="false">1.82*30*(G697^1.5)</f>
        <v>1.67506535476116</v>
      </c>
      <c r="J697" s="0" t="n">
        <f aca="false">I697*60</f>
        <v>100.50392128567</v>
      </c>
      <c r="K697" s="0" t="n">
        <f aca="false">(I697*86400)/24</f>
        <v>6030.23527714018</v>
      </c>
    </row>
    <row r="698" customFormat="false" ht="16.5" hidden="false" customHeight="false" outlineLevel="0" collapsed="false">
      <c r="A698" s="56" t="n">
        <v>45863.75</v>
      </c>
      <c r="B698" s="57" t="n">
        <f aca="false">MOD(A698,1)</f>
        <v>0.75</v>
      </c>
      <c r="C698" s="0" t="n">
        <v>0</v>
      </c>
      <c r="D698" s="0" t="n">
        <v>489.803</v>
      </c>
      <c r="E698" s="0" t="n">
        <f aca="false">D698-0.155</f>
        <v>489.648</v>
      </c>
      <c r="F698" s="0" t="n">
        <v>489.545</v>
      </c>
      <c r="G698" s="0" t="n">
        <f aca="false">IF(E698 - F698 &lt; 0, 0, E698 - F698)</f>
        <v>0.103000000000009</v>
      </c>
      <c r="H698" s="0" t="n">
        <v>1.82</v>
      </c>
      <c r="I698" s="0" t="n">
        <f aca="false">1.82*30*(G698^1.5)</f>
        <v>1.80488061193</v>
      </c>
      <c r="J698" s="0" t="n">
        <f aca="false">I698*60</f>
        <v>108.2928367158</v>
      </c>
      <c r="K698" s="0" t="n">
        <f aca="false">(I698*86400)/24</f>
        <v>6497.57020294801</v>
      </c>
    </row>
    <row r="699" customFormat="false" ht="16.5" hidden="false" customHeight="false" outlineLevel="0" collapsed="false">
      <c r="A699" s="56" t="n">
        <v>45863.7916666667</v>
      </c>
      <c r="B699" s="57" t="n">
        <f aca="false">MOD(A699,1)</f>
        <v>0.791666666656965</v>
      </c>
      <c r="C699" s="0" t="n">
        <v>0</v>
      </c>
      <c r="D699" s="0" t="n">
        <v>489.798</v>
      </c>
      <c r="E699" s="0" t="n">
        <f aca="false">D699-0.155</f>
        <v>489.643</v>
      </c>
      <c r="F699" s="0" t="n">
        <v>489.545</v>
      </c>
      <c r="G699" s="0" t="n">
        <f aca="false">IF(E699 - F699 &lt; 0, 0, E699 - F699)</f>
        <v>0.0980000000000132</v>
      </c>
      <c r="H699" s="0" t="n">
        <v>1.82</v>
      </c>
      <c r="I699" s="0" t="n">
        <f aca="false">1.82*30*(G699^1.5)</f>
        <v>1.67506535476116</v>
      </c>
      <c r="J699" s="0" t="n">
        <f aca="false">I699*60</f>
        <v>100.50392128567</v>
      </c>
      <c r="K699" s="0" t="n">
        <f aca="false">(I699*86400)/24</f>
        <v>6030.23527714018</v>
      </c>
    </row>
    <row r="700" customFormat="false" ht="16.5" hidden="false" customHeight="false" outlineLevel="0" collapsed="false">
      <c r="A700" s="56" t="n">
        <v>45863.8333333333</v>
      </c>
      <c r="B700" s="57" t="n">
        <f aca="false">MOD(A700,1)</f>
        <v>0.833333333343035</v>
      </c>
      <c r="C700" s="0" t="n">
        <v>0.6</v>
      </c>
      <c r="D700" s="0" t="n">
        <v>489.798</v>
      </c>
      <c r="E700" s="0" t="n">
        <f aca="false">D700-0.155</f>
        <v>489.643</v>
      </c>
      <c r="F700" s="0" t="n">
        <v>489.545</v>
      </c>
      <c r="G700" s="0" t="n">
        <f aca="false">IF(E700 - F700 &lt; 0, 0, E700 - F700)</f>
        <v>0.0980000000000132</v>
      </c>
      <c r="H700" s="0" t="n">
        <v>1.82</v>
      </c>
      <c r="I700" s="0" t="n">
        <f aca="false">1.82*30*(G700^1.5)</f>
        <v>1.67506535476116</v>
      </c>
      <c r="J700" s="0" t="n">
        <f aca="false">I700*60</f>
        <v>100.50392128567</v>
      </c>
      <c r="K700" s="0" t="n">
        <f aca="false">(I700*86400)/24</f>
        <v>6030.23527714018</v>
      </c>
    </row>
    <row r="701" customFormat="false" ht="16.5" hidden="false" customHeight="false" outlineLevel="0" collapsed="false">
      <c r="A701" s="56" t="n">
        <v>45863.875</v>
      </c>
      <c r="B701" s="57" t="n">
        <f aca="false">MOD(A701,1)</f>
        <v>0.875</v>
      </c>
      <c r="C701" s="0" t="n">
        <v>0.2</v>
      </c>
      <c r="D701" s="0" t="n">
        <v>489.791</v>
      </c>
      <c r="E701" s="0" t="n">
        <f aca="false">D701-0.155</f>
        <v>489.636</v>
      </c>
      <c r="F701" s="0" t="n">
        <v>489.545</v>
      </c>
      <c r="G701" s="0" t="n">
        <f aca="false">IF(E701 - F701 &lt; 0, 0, E701 - F701)</f>
        <v>0.0910000000000082</v>
      </c>
      <c r="H701" s="0" t="n">
        <v>1.82</v>
      </c>
      <c r="I701" s="0" t="n">
        <f aca="false">1.82*30*(G701^1.5)</f>
        <v>1.49883812413503</v>
      </c>
      <c r="J701" s="0" t="n">
        <f aca="false">I701*60</f>
        <v>89.9302874481016</v>
      </c>
      <c r="K701" s="0" t="n">
        <f aca="false">(I701*86400)/24</f>
        <v>5395.8172468861</v>
      </c>
    </row>
    <row r="702" customFormat="false" ht="16.5" hidden="false" customHeight="false" outlineLevel="0" collapsed="false">
      <c r="A702" s="56" t="n">
        <v>45863.9166666667</v>
      </c>
      <c r="B702" s="57" t="n">
        <f aca="false">MOD(A702,1)</f>
        <v>0.916666666656965</v>
      </c>
      <c r="C702" s="0" t="n">
        <v>0.8</v>
      </c>
      <c r="D702" s="0" t="n">
        <v>489.798</v>
      </c>
      <c r="E702" s="0" t="n">
        <f aca="false">D702-0.155</f>
        <v>489.643</v>
      </c>
      <c r="F702" s="0" t="n">
        <v>489.545</v>
      </c>
      <c r="G702" s="0" t="n">
        <f aca="false">IF(E702 - F702 &lt; 0, 0, E702 - F702)</f>
        <v>0.0980000000000132</v>
      </c>
      <c r="H702" s="0" t="n">
        <v>1.82</v>
      </c>
      <c r="I702" s="0" t="n">
        <f aca="false">1.82*30*(G702^1.5)</f>
        <v>1.67506535476116</v>
      </c>
      <c r="J702" s="0" t="n">
        <f aca="false">I702*60</f>
        <v>100.50392128567</v>
      </c>
      <c r="K702" s="0" t="n">
        <f aca="false">(I702*86400)/24</f>
        <v>6030.23527714018</v>
      </c>
    </row>
    <row r="703" customFormat="false" ht="16.5" hidden="false" customHeight="false" outlineLevel="0" collapsed="false">
      <c r="A703" s="56" t="n">
        <v>45863.9583333333</v>
      </c>
      <c r="B703" s="57" t="n">
        <f aca="false">MOD(A703,1)</f>
        <v>0.958333333343035</v>
      </c>
      <c r="C703" s="0" t="n">
        <v>0.6</v>
      </c>
      <c r="D703" s="0" t="n">
        <v>489.792</v>
      </c>
      <c r="E703" s="0" t="n">
        <f aca="false">D703-0.155</f>
        <v>489.637</v>
      </c>
      <c r="F703" s="0" t="n">
        <v>489.545</v>
      </c>
      <c r="G703" s="0" t="n">
        <f aca="false">IF(E703 - F703 &lt; 0, 0, E703 - F703)</f>
        <v>0.0919999999999845</v>
      </c>
      <c r="H703" s="0" t="n">
        <v>1.82</v>
      </c>
      <c r="I703" s="0" t="n">
        <f aca="false">1.82*30*(G703^1.5)</f>
        <v>1.52361199722201</v>
      </c>
      <c r="J703" s="0" t="n">
        <f aca="false">I703*60</f>
        <v>91.4167198333204</v>
      </c>
      <c r="K703" s="0" t="n">
        <f aca="false">(I703*86400)/24</f>
        <v>5485.00318999922</v>
      </c>
    </row>
    <row r="704" customFormat="false" ht="16.5" hidden="false" customHeight="false" outlineLevel="0" collapsed="false">
      <c r="A704" s="56" t="n">
        <v>45864</v>
      </c>
      <c r="B704" s="57" t="n">
        <f aca="false">MOD(A704,1)</f>
        <v>0</v>
      </c>
      <c r="C704" s="0" t="n">
        <v>0</v>
      </c>
      <c r="D704" s="0" t="n">
        <v>489.792</v>
      </c>
      <c r="E704" s="0" t="n">
        <f aca="false">D704-0.155</f>
        <v>489.637</v>
      </c>
      <c r="F704" s="0" t="n">
        <v>489.545</v>
      </c>
      <c r="G704" s="0" t="n">
        <f aca="false">IF(E704 - F704 &lt; 0, 0, E704 - F704)</f>
        <v>0.0919999999999845</v>
      </c>
      <c r="H704" s="0" t="n">
        <v>1.82</v>
      </c>
      <c r="I704" s="0" t="n">
        <f aca="false">1.82*30*(G704^1.5)</f>
        <v>1.52361199722201</v>
      </c>
      <c r="J704" s="0" t="n">
        <f aca="false">I704*60</f>
        <v>91.4167198333204</v>
      </c>
      <c r="K704" s="0" t="n">
        <f aca="false">(I704*86400)/24</f>
        <v>5485.00318999922</v>
      </c>
    </row>
    <row r="705" customFormat="false" ht="16.5" hidden="false" customHeight="false" outlineLevel="0" collapsed="false">
      <c r="A705" s="56" t="n">
        <v>45864.0416666667</v>
      </c>
      <c r="B705" s="57" t="n">
        <f aca="false">MOD(A705,1)</f>
        <v>0.0416666666569654</v>
      </c>
      <c r="C705" s="0" t="n">
        <v>0.2</v>
      </c>
      <c r="D705" s="0" t="n">
        <v>489.792</v>
      </c>
      <c r="E705" s="0" t="n">
        <f aca="false">D705-0.155</f>
        <v>489.637</v>
      </c>
      <c r="F705" s="0" t="n">
        <v>489.545</v>
      </c>
      <c r="G705" s="0" t="n">
        <f aca="false">IF(E705 - F705 &lt; 0, 0, E705 - F705)</f>
        <v>0.0919999999999845</v>
      </c>
      <c r="H705" s="0" t="n">
        <v>1.82</v>
      </c>
      <c r="I705" s="0" t="n">
        <f aca="false">1.82*30*(G705^1.5)</f>
        <v>1.52361199722201</v>
      </c>
      <c r="J705" s="0" t="n">
        <f aca="false">I705*60</f>
        <v>91.4167198333204</v>
      </c>
      <c r="K705" s="0" t="n">
        <f aca="false">(I705*86400)/24</f>
        <v>5485.00318999922</v>
      </c>
    </row>
    <row r="706" customFormat="false" ht="16.5" hidden="false" customHeight="false" outlineLevel="0" collapsed="false">
      <c r="A706" s="56" t="n">
        <v>45864.0833333333</v>
      </c>
      <c r="B706" s="57" t="n">
        <f aca="false">MOD(A706,1)</f>
        <v>0.0833333333430346</v>
      </c>
      <c r="C706" s="0" t="n">
        <v>0</v>
      </c>
      <c r="D706" s="0" t="n">
        <v>489.785</v>
      </c>
      <c r="E706" s="0" t="n">
        <f aca="false">D706-0.155</f>
        <v>489.63</v>
      </c>
      <c r="F706" s="0" t="n">
        <v>489.545</v>
      </c>
      <c r="G706" s="0" t="n">
        <f aca="false">IF(E706 - F706 &lt; 0, 0, E706 - F706)</f>
        <v>0.0850000000000364</v>
      </c>
      <c r="H706" s="0" t="n">
        <v>1.82</v>
      </c>
      <c r="I706" s="0" t="n">
        <f aca="false">1.82*30*(G706^1.5)</f>
        <v>1.35307238719972</v>
      </c>
      <c r="J706" s="0" t="n">
        <f aca="false">I706*60</f>
        <v>81.1843432319832</v>
      </c>
      <c r="K706" s="0" t="n">
        <f aca="false">(I706*86400)/24</f>
        <v>4871.06059391899</v>
      </c>
    </row>
    <row r="707" customFormat="false" ht="16.5" hidden="false" customHeight="false" outlineLevel="0" collapsed="false">
      <c r="A707" s="56" t="n">
        <v>45864.125</v>
      </c>
      <c r="B707" s="57" t="n">
        <f aca="false">MOD(A707,1)</f>
        <v>0.125</v>
      </c>
      <c r="C707" s="0" t="n">
        <v>0</v>
      </c>
      <c r="D707" s="0" t="n">
        <v>489.792</v>
      </c>
      <c r="E707" s="0" t="n">
        <f aca="false">D707-0.155</f>
        <v>489.637</v>
      </c>
      <c r="F707" s="0" t="n">
        <v>489.545</v>
      </c>
      <c r="G707" s="0" t="n">
        <f aca="false">IF(E707 - F707 &lt; 0, 0, E707 - F707)</f>
        <v>0.0919999999999845</v>
      </c>
      <c r="H707" s="0" t="n">
        <v>1.82</v>
      </c>
      <c r="I707" s="0" t="n">
        <f aca="false">1.82*30*(G707^1.5)</f>
        <v>1.52361199722201</v>
      </c>
      <c r="J707" s="0" t="n">
        <f aca="false">I707*60</f>
        <v>91.4167198333204</v>
      </c>
      <c r="K707" s="0" t="n">
        <f aca="false">(I707*86400)/24</f>
        <v>5485.00318999922</v>
      </c>
    </row>
    <row r="708" customFormat="false" ht="16.5" hidden="false" customHeight="false" outlineLevel="0" collapsed="false">
      <c r="A708" s="56" t="n">
        <v>45864.1666666667</v>
      </c>
      <c r="B708" s="57" t="n">
        <f aca="false">MOD(A708,1)</f>
        <v>0.166666666656965</v>
      </c>
      <c r="C708" s="0" t="n">
        <v>0</v>
      </c>
      <c r="D708" s="0" t="n">
        <v>489.785</v>
      </c>
      <c r="E708" s="0" t="n">
        <f aca="false">D708-0.155</f>
        <v>489.63</v>
      </c>
      <c r="F708" s="0" t="n">
        <v>489.545</v>
      </c>
      <c r="G708" s="0" t="n">
        <f aca="false">IF(E708 - F708 &lt; 0, 0, E708 - F708)</f>
        <v>0.0850000000000364</v>
      </c>
      <c r="H708" s="0" t="n">
        <v>1.82</v>
      </c>
      <c r="I708" s="0" t="n">
        <f aca="false">1.82*30*(G708^1.5)</f>
        <v>1.35307238719972</v>
      </c>
      <c r="J708" s="0" t="n">
        <f aca="false">I708*60</f>
        <v>81.1843432319832</v>
      </c>
      <c r="K708" s="0" t="n">
        <f aca="false">(I708*86400)/24</f>
        <v>4871.06059391899</v>
      </c>
    </row>
    <row r="709" customFormat="false" ht="16.5" hidden="false" customHeight="false" outlineLevel="0" collapsed="false">
      <c r="A709" s="56" t="n">
        <v>45864.2083333333</v>
      </c>
      <c r="B709" s="57" t="n">
        <f aca="false">MOD(A709,1)</f>
        <v>0.208333333343035</v>
      </c>
      <c r="C709" s="0" t="n">
        <v>0</v>
      </c>
      <c r="D709" s="0" t="n">
        <v>489.785</v>
      </c>
      <c r="E709" s="0" t="n">
        <f aca="false">D709-0.155</f>
        <v>489.63</v>
      </c>
      <c r="F709" s="0" t="n">
        <v>489.545</v>
      </c>
      <c r="G709" s="0" t="n">
        <f aca="false">IF(E709 - F709 &lt; 0, 0, E709 - F709)</f>
        <v>0.0850000000000364</v>
      </c>
      <c r="H709" s="0" t="n">
        <v>1.82</v>
      </c>
      <c r="I709" s="0" t="n">
        <f aca="false">1.82*30*(G709^1.5)</f>
        <v>1.35307238719972</v>
      </c>
      <c r="J709" s="0" t="n">
        <f aca="false">I709*60</f>
        <v>81.1843432319832</v>
      </c>
      <c r="K709" s="0" t="n">
        <f aca="false">(I709*86400)/24</f>
        <v>4871.06059391899</v>
      </c>
    </row>
    <row r="710" customFormat="false" ht="16.5" hidden="false" customHeight="false" outlineLevel="0" collapsed="false">
      <c r="A710" s="56" t="n">
        <v>45864.25</v>
      </c>
      <c r="B710" s="57" t="n">
        <f aca="false">MOD(A710,1)</f>
        <v>0.25</v>
      </c>
      <c r="C710" s="0" t="n">
        <v>0</v>
      </c>
      <c r="D710" s="0" t="n">
        <v>489.785</v>
      </c>
      <c r="E710" s="0" t="n">
        <f aca="false">D710-0.155</f>
        <v>489.63</v>
      </c>
      <c r="F710" s="0" t="n">
        <v>489.545</v>
      </c>
      <c r="G710" s="0" t="n">
        <f aca="false">IF(E710 - F710 &lt; 0, 0, E710 - F710)</f>
        <v>0.0850000000000364</v>
      </c>
      <c r="H710" s="0" t="n">
        <v>1.82</v>
      </c>
      <c r="I710" s="0" t="n">
        <f aca="false">1.82*30*(G710^1.5)</f>
        <v>1.35307238719972</v>
      </c>
      <c r="J710" s="0" t="n">
        <f aca="false">I710*60</f>
        <v>81.1843432319832</v>
      </c>
      <c r="K710" s="0" t="n">
        <f aca="false">(I710*86400)/24</f>
        <v>4871.06059391899</v>
      </c>
    </row>
    <row r="711" customFormat="false" ht="16.5" hidden="false" customHeight="false" outlineLevel="0" collapsed="false">
      <c r="A711" s="56" t="n">
        <v>45864.2916666667</v>
      </c>
      <c r="B711" s="57" t="n">
        <f aca="false">MOD(A711,1)</f>
        <v>0.291666666656965</v>
      </c>
      <c r="C711" s="0" t="n">
        <v>0</v>
      </c>
      <c r="D711" s="0" t="n">
        <v>489.785</v>
      </c>
      <c r="E711" s="0" t="n">
        <f aca="false">D711-0.155</f>
        <v>489.63</v>
      </c>
      <c r="F711" s="0" t="n">
        <v>489.545</v>
      </c>
      <c r="G711" s="0" t="n">
        <f aca="false">IF(E711 - F711 &lt; 0, 0, E711 - F711)</f>
        <v>0.0850000000000364</v>
      </c>
      <c r="H711" s="0" t="n">
        <v>1.82</v>
      </c>
      <c r="I711" s="0" t="n">
        <f aca="false">1.82*30*(G711^1.5)</f>
        <v>1.35307238719972</v>
      </c>
      <c r="J711" s="0" t="n">
        <f aca="false">I711*60</f>
        <v>81.1843432319832</v>
      </c>
      <c r="K711" s="0" t="n">
        <f aca="false">(I711*86400)/24</f>
        <v>4871.06059391899</v>
      </c>
    </row>
    <row r="712" customFormat="false" ht="16.5" hidden="false" customHeight="false" outlineLevel="0" collapsed="false">
      <c r="A712" s="56" t="n">
        <v>45864.3333333333</v>
      </c>
      <c r="B712" s="57" t="n">
        <f aca="false">MOD(A712,1)</f>
        <v>0.333333333343035</v>
      </c>
      <c r="C712" s="0" t="n">
        <v>0</v>
      </c>
      <c r="D712" s="0" t="n">
        <v>489.785</v>
      </c>
      <c r="E712" s="0" t="n">
        <f aca="false">D712-0.155</f>
        <v>489.63</v>
      </c>
      <c r="F712" s="0" t="n">
        <v>489.545</v>
      </c>
      <c r="G712" s="0" t="n">
        <f aca="false">IF(E712 - F712 &lt; 0, 0, E712 - F712)</f>
        <v>0.0850000000000364</v>
      </c>
      <c r="H712" s="0" t="n">
        <v>1.82</v>
      </c>
      <c r="I712" s="0" t="n">
        <f aca="false">1.82*30*(G712^1.5)</f>
        <v>1.35307238719972</v>
      </c>
      <c r="J712" s="0" t="n">
        <f aca="false">I712*60</f>
        <v>81.1843432319832</v>
      </c>
      <c r="K712" s="0" t="n">
        <f aca="false">(I712*86400)/24</f>
        <v>4871.06059391899</v>
      </c>
    </row>
    <row r="713" customFormat="false" ht="16.5" hidden="false" customHeight="false" outlineLevel="0" collapsed="false">
      <c r="A713" s="56" t="n">
        <v>45864.375</v>
      </c>
      <c r="B713" s="57" t="n">
        <f aca="false">MOD(A713,1)</f>
        <v>0.375</v>
      </c>
      <c r="C713" s="0" t="n">
        <v>0</v>
      </c>
      <c r="D713" s="0" t="n">
        <v>489.778</v>
      </c>
      <c r="E713" s="0" t="n">
        <f aca="false">D713-0.155</f>
        <v>489.623</v>
      </c>
      <c r="F713" s="0" t="n">
        <v>489.545</v>
      </c>
      <c r="G713" s="0" t="n">
        <f aca="false">IF(E713 - F713 &lt; 0, 0, E713 - F713)</f>
        <v>0.0780000000000314</v>
      </c>
      <c r="H713" s="0" t="n">
        <v>1.82</v>
      </c>
      <c r="I713" s="0" t="n">
        <f aca="false">1.82*30*(G713^1.5)</f>
        <v>1.18941810996878</v>
      </c>
      <c r="J713" s="0" t="n">
        <f aca="false">I713*60</f>
        <v>71.3650865981269</v>
      </c>
      <c r="K713" s="0" t="n">
        <f aca="false">(I713*86400)/24</f>
        <v>4281.90519588761</v>
      </c>
    </row>
    <row r="714" customFormat="false" ht="16.5" hidden="false" customHeight="false" outlineLevel="0" collapsed="false">
      <c r="A714" s="56" t="n">
        <v>45864.4166666667</v>
      </c>
      <c r="B714" s="57" t="n">
        <f aca="false">MOD(A714,1)</f>
        <v>0.416666666656965</v>
      </c>
      <c r="C714" s="0" t="n">
        <v>0</v>
      </c>
      <c r="D714" s="0" t="n">
        <v>489.778</v>
      </c>
      <c r="E714" s="0" t="n">
        <f aca="false">D714-0.155</f>
        <v>489.623</v>
      </c>
      <c r="F714" s="0" t="n">
        <v>489.545</v>
      </c>
      <c r="G714" s="0" t="n">
        <f aca="false">IF(E714 - F714 &lt; 0, 0, E714 - F714)</f>
        <v>0.0780000000000314</v>
      </c>
      <c r="H714" s="0" t="n">
        <v>1.82</v>
      </c>
      <c r="I714" s="0" t="n">
        <f aca="false">1.82*30*(G714^1.5)</f>
        <v>1.18941810996878</v>
      </c>
      <c r="J714" s="0" t="n">
        <f aca="false">I714*60</f>
        <v>71.3650865981269</v>
      </c>
      <c r="K714" s="0" t="n">
        <f aca="false">(I714*86400)/24</f>
        <v>4281.90519588761</v>
      </c>
    </row>
    <row r="715" customFormat="false" ht="16.5" hidden="false" customHeight="false" outlineLevel="0" collapsed="false">
      <c r="A715" s="56" t="n">
        <v>45864.4583333333</v>
      </c>
      <c r="B715" s="57" t="n">
        <f aca="false">MOD(A715,1)</f>
        <v>0.458333333343035</v>
      </c>
      <c r="C715" s="0" t="n">
        <v>0</v>
      </c>
      <c r="D715" s="0" t="n">
        <v>489.771</v>
      </c>
      <c r="E715" s="0" t="n">
        <f aca="false">D715-0.155</f>
        <v>489.616</v>
      </c>
      <c r="F715" s="0" t="n">
        <v>489.545</v>
      </c>
      <c r="G715" s="0" t="n">
        <f aca="false">IF(E715 - F715 &lt; 0, 0, E715 - F715)</f>
        <v>0.0710000000000264</v>
      </c>
      <c r="H715" s="0" t="n">
        <v>1.82</v>
      </c>
      <c r="I715" s="0" t="n">
        <f aca="false">1.82*30*(G715^1.5)</f>
        <v>1.03295205927535</v>
      </c>
      <c r="J715" s="0" t="n">
        <f aca="false">I715*60</f>
        <v>61.9771235565211</v>
      </c>
      <c r="K715" s="0" t="n">
        <f aca="false">(I715*86400)/24</f>
        <v>3718.62741339127</v>
      </c>
    </row>
    <row r="716" customFormat="false" ht="16.5" hidden="false" customHeight="false" outlineLevel="0" collapsed="false">
      <c r="A716" s="56" t="n">
        <v>45864.5</v>
      </c>
      <c r="B716" s="57" t="n">
        <f aca="false">MOD(A716,1)</f>
        <v>0.5</v>
      </c>
      <c r="C716" s="0" t="n">
        <v>0</v>
      </c>
      <c r="D716" s="0" t="n">
        <v>489.771</v>
      </c>
      <c r="E716" s="0" t="n">
        <f aca="false">D716-0.155</f>
        <v>489.616</v>
      </c>
      <c r="F716" s="0" t="n">
        <v>489.545</v>
      </c>
      <c r="G716" s="0" t="n">
        <f aca="false">IF(E716 - F716 &lt; 0, 0, E716 - F716)</f>
        <v>0.0710000000000264</v>
      </c>
      <c r="H716" s="0" t="n">
        <v>1.82</v>
      </c>
      <c r="I716" s="0" t="n">
        <f aca="false">1.82*30*(G716^1.5)</f>
        <v>1.03295205927535</v>
      </c>
      <c r="J716" s="0" t="n">
        <f aca="false">I716*60</f>
        <v>61.9771235565211</v>
      </c>
      <c r="K716" s="0" t="n">
        <f aca="false">(I716*86400)/24</f>
        <v>3718.62741339127</v>
      </c>
    </row>
    <row r="717" customFormat="false" ht="16.5" hidden="false" customHeight="false" outlineLevel="0" collapsed="false">
      <c r="A717" s="56" t="n">
        <v>45864.5416666667</v>
      </c>
      <c r="B717" s="57" t="n">
        <f aca="false">MOD(A717,1)</f>
        <v>0.541666666656965</v>
      </c>
      <c r="C717" s="0" t="n">
        <v>0</v>
      </c>
      <c r="D717" s="0" t="n">
        <v>489.771</v>
      </c>
      <c r="E717" s="0" t="n">
        <f aca="false">D717-0.155</f>
        <v>489.616</v>
      </c>
      <c r="F717" s="0" t="n">
        <v>489.545</v>
      </c>
      <c r="G717" s="0" t="n">
        <f aca="false">IF(E717 - F717 &lt; 0, 0, E717 - F717)</f>
        <v>0.0710000000000264</v>
      </c>
      <c r="H717" s="0" t="n">
        <v>1.82</v>
      </c>
      <c r="I717" s="0" t="n">
        <f aca="false">1.82*30*(G717^1.5)</f>
        <v>1.03295205927535</v>
      </c>
      <c r="J717" s="0" t="n">
        <f aca="false">I717*60</f>
        <v>61.9771235565211</v>
      </c>
      <c r="K717" s="0" t="n">
        <f aca="false">(I717*86400)/24</f>
        <v>3718.62741339127</v>
      </c>
    </row>
    <row r="718" customFormat="false" ht="16.5" hidden="false" customHeight="false" outlineLevel="0" collapsed="false">
      <c r="A718" s="56" t="n">
        <v>45864.5833333333</v>
      </c>
      <c r="B718" s="57" t="n">
        <f aca="false">MOD(A718,1)</f>
        <v>0.583333333343035</v>
      </c>
      <c r="C718" s="0" t="n">
        <v>0</v>
      </c>
      <c r="D718" s="0" t="n">
        <v>489.765</v>
      </c>
      <c r="E718" s="0" t="n">
        <f aca="false">D718-0.155</f>
        <v>489.61</v>
      </c>
      <c r="F718" s="0" t="n">
        <v>489.545</v>
      </c>
      <c r="G718" s="0" t="n">
        <f aca="false">IF(E718 - F718 &lt; 0, 0, E718 - F718)</f>
        <v>0.0649999999999977</v>
      </c>
      <c r="H718" s="0" t="n">
        <v>1.82</v>
      </c>
      <c r="I718" s="0" t="n">
        <f aca="false">1.82*30*(G718^1.5)</f>
        <v>0.904821012686992</v>
      </c>
      <c r="J718" s="0" t="n">
        <f aca="false">I718*60</f>
        <v>54.2892607612195</v>
      </c>
      <c r="K718" s="0" t="n">
        <f aca="false">(I718*86400)/24</f>
        <v>3257.35564567317</v>
      </c>
    </row>
    <row r="719" customFormat="false" ht="16.5" hidden="false" customHeight="false" outlineLevel="0" collapsed="false">
      <c r="A719" s="56" t="n">
        <v>45864.625</v>
      </c>
      <c r="B719" s="57" t="n">
        <f aca="false">MOD(A719,1)</f>
        <v>0.625</v>
      </c>
      <c r="C719" s="0" t="n">
        <v>0</v>
      </c>
      <c r="D719" s="0" t="n">
        <v>489.765</v>
      </c>
      <c r="E719" s="0" t="n">
        <f aca="false">D719-0.155</f>
        <v>489.61</v>
      </c>
      <c r="F719" s="0" t="n">
        <v>489.545</v>
      </c>
      <c r="G719" s="0" t="n">
        <f aca="false">IF(E719 - F719 &lt; 0, 0, E719 - F719)</f>
        <v>0.0649999999999977</v>
      </c>
      <c r="H719" s="0" t="n">
        <v>1.82</v>
      </c>
      <c r="I719" s="0" t="n">
        <f aca="false">1.82*30*(G719^1.5)</f>
        <v>0.904821012686992</v>
      </c>
      <c r="J719" s="0" t="n">
        <f aca="false">I719*60</f>
        <v>54.2892607612195</v>
      </c>
      <c r="K719" s="0" t="n">
        <f aca="false">(I719*86400)/24</f>
        <v>3257.35564567317</v>
      </c>
    </row>
    <row r="720" customFormat="false" ht="16.5" hidden="false" customHeight="false" outlineLevel="0" collapsed="false">
      <c r="A720" s="56" t="n">
        <v>45864.6666666667</v>
      </c>
      <c r="B720" s="57" t="n">
        <f aca="false">MOD(A720,1)</f>
        <v>0.666666666656965</v>
      </c>
      <c r="C720" s="0" t="n">
        <v>0</v>
      </c>
      <c r="D720" s="0" t="n">
        <v>489.765</v>
      </c>
      <c r="E720" s="0" t="n">
        <f aca="false">D720-0.155</f>
        <v>489.61</v>
      </c>
      <c r="F720" s="0" t="n">
        <v>489.545</v>
      </c>
      <c r="G720" s="0" t="n">
        <f aca="false">IF(E720 - F720 &lt; 0, 0, E720 - F720)</f>
        <v>0.0649999999999977</v>
      </c>
      <c r="H720" s="0" t="n">
        <v>1.82</v>
      </c>
      <c r="I720" s="0" t="n">
        <f aca="false">1.82*30*(G720^1.5)</f>
        <v>0.904821012686992</v>
      </c>
      <c r="J720" s="0" t="n">
        <f aca="false">I720*60</f>
        <v>54.2892607612195</v>
      </c>
      <c r="K720" s="0" t="n">
        <f aca="false">(I720*86400)/24</f>
        <v>3257.35564567317</v>
      </c>
    </row>
    <row r="721" customFormat="false" ht="16.5" hidden="false" customHeight="false" outlineLevel="0" collapsed="false">
      <c r="A721" s="56" t="n">
        <v>45864.7083333333</v>
      </c>
      <c r="B721" s="57" t="n">
        <f aca="false">MOD(A721,1)</f>
        <v>0.708333333343035</v>
      </c>
      <c r="C721" s="0" t="n">
        <v>0</v>
      </c>
      <c r="D721" s="0" t="n">
        <v>489.765</v>
      </c>
      <c r="E721" s="0" t="n">
        <f aca="false">D721-0.155</f>
        <v>489.61</v>
      </c>
      <c r="F721" s="0" t="n">
        <v>489.545</v>
      </c>
      <c r="G721" s="0" t="n">
        <f aca="false">IF(E721 - F721 &lt; 0, 0, E721 - F721)</f>
        <v>0.0649999999999977</v>
      </c>
      <c r="H721" s="0" t="n">
        <v>1.82</v>
      </c>
      <c r="I721" s="0" t="n">
        <f aca="false">1.82*30*(G721^1.5)</f>
        <v>0.904821012686992</v>
      </c>
      <c r="J721" s="0" t="n">
        <f aca="false">I721*60</f>
        <v>54.2892607612195</v>
      </c>
      <c r="K721" s="0" t="n">
        <f aca="false">(I721*86400)/24</f>
        <v>3257.35564567317</v>
      </c>
    </row>
    <row r="722" customFormat="false" ht="16.5" hidden="false" customHeight="false" outlineLevel="0" collapsed="false">
      <c r="A722" s="56" t="n">
        <v>45864.75</v>
      </c>
      <c r="B722" s="57" t="n">
        <f aca="false">MOD(A722,1)</f>
        <v>0.75</v>
      </c>
      <c r="C722" s="0" t="n">
        <v>0</v>
      </c>
      <c r="D722" s="0" t="n">
        <v>489.758</v>
      </c>
      <c r="E722" s="0" t="n">
        <f aca="false">D722-0.155</f>
        <v>489.603</v>
      </c>
      <c r="F722" s="0" t="n">
        <v>489.545</v>
      </c>
      <c r="G722" s="0" t="n">
        <f aca="false">IF(E722 - F722 &lt; 0, 0, E722 - F722)</f>
        <v>0.0579999999999927</v>
      </c>
      <c r="H722" s="0" t="n">
        <v>1.82</v>
      </c>
      <c r="I722" s="0" t="n">
        <f aca="false">1.82*30*(G722^1.5)</f>
        <v>0.762666434242245</v>
      </c>
      <c r="J722" s="0" t="n">
        <f aca="false">I722*60</f>
        <v>45.7599860545347</v>
      </c>
      <c r="K722" s="0" t="n">
        <f aca="false">(I722*86400)/24</f>
        <v>2745.59916327208</v>
      </c>
    </row>
    <row r="723" customFormat="false" ht="16.5" hidden="false" customHeight="false" outlineLevel="0" collapsed="false">
      <c r="A723" s="56" t="n">
        <v>45864.7916666667</v>
      </c>
      <c r="B723" s="57" t="n">
        <f aca="false">MOD(A723,1)</f>
        <v>0.791666666656965</v>
      </c>
      <c r="C723" s="0" t="n">
        <v>0</v>
      </c>
      <c r="D723" s="0" t="n">
        <v>489.759</v>
      </c>
      <c r="E723" s="0" t="n">
        <f aca="false">D723-0.155</f>
        <v>489.604</v>
      </c>
      <c r="F723" s="0" t="n">
        <v>489.545</v>
      </c>
      <c r="G723" s="0" t="n">
        <f aca="false">IF(E723 - F723 &lt; 0, 0, E723 - F723)</f>
        <v>0.0590000000000259</v>
      </c>
      <c r="H723" s="0" t="n">
        <v>1.82</v>
      </c>
      <c r="I723" s="0" t="n">
        <f aca="false">1.82*30*(G723^1.5)</f>
        <v>0.782475341234985</v>
      </c>
      <c r="J723" s="0" t="n">
        <f aca="false">I723*60</f>
        <v>46.9485204740991</v>
      </c>
      <c r="K723" s="0" t="n">
        <f aca="false">(I723*86400)/24</f>
        <v>2816.91122844595</v>
      </c>
    </row>
    <row r="724" customFormat="false" ht="16.5" hidden="false" customHeight="false" outlineLevel="0" collapsed="false">
      <c r="A724" s="56" t="n">
        <v>45864.8333333333</v>
      </c>
      <c r="B724" s="57" t="n">
        <f aca="false">MOD(A724,1)</f>
        <v>0.833333333343035</v>
      </c>
      <c r="C724" s="0" t="n">
        <v>0</v>
      </c>
      <c r="D724" s="0" t="n">
        <v>489.758</v>
      </c>
      <c r="E724" s="0" t="n">
        <f aca="false">D724-0.155</f>
        <v>489.603</v>
      </c>
      <c r="F724" s="0" t="n">
        <v>489.545</v>
      </c>
      <c r="G724" s="0" t="n">
        <f aca="false">IF(E724 - F724 &lt; 0, 0, E724 - F724)</f>
        <v>0.0579999999999927</v>
      </c>
      <c r="H724" s="0" t="n">
        <v>1.82</v>
      </c>
      <c r="I724" s="0" t="n">
        <f aca="false">1.82*30*(G724^1.5)</f>
        <v>0.762666434242245</v>
      </c>
      <c r="J724" s="0" t="n">
        <f aca="false">I724*60</f>
        <v>45.7599860545347</v>
      </c>
      <c r="K724" s="0" t="n">
        <f aca="false">(I724*86400)/24</f>
        <v>2745.59916327208</v>
      </c>
    </row>
    <row r="725" customFormat="false" ht="16.5" hidden="false" customHeight="false" outlineLevel="0" collapsed="false">
      <c r="A725" s="56" t="n">
        <v>45864.875</v>
      </c>
      <c r="B725" s="57" t="n">
        <f aca="false">MOD(A725,1)</f>
        <v>0.875</v>
      </c>
      <c r="C725" s="0" t="n">
        <v>0</v>
      </c>
      <c r="D725" s="0" t="n">
        <v>489.758</v>
      </c>
      <c r="E725" s="0" t="n">
        <f aca="false">D725-0.155</f>
        <v>489.603</v>
      </c>
      <c r="F725" s="0" t="n">
        <v>489.545</v>
      </c>
      <c r="G725" s="0" t="n">
        <f aca="false">IF(E725 - F725 &lt; 0, 0, E725 - F725)</f>
        <v>0.0579999999999927</v>
      </c>
      <c r="H725" s="0" t="n">
        <v>1.82</v>
      </c>
      <c r="I725" s="0" t="n">
        <f aca="false">1.82*30*(G725^1.5)</f>
        <v>0.762666434242245</v>
      </c>
      <c r="J725" s="0" t="n">
        <f aca="false">I725*60</f>
        <v>45.7599860545347</v>
      </c>
      <c r="K725" s="0" t="n">
        <f aca="false">(I725*86400)/24</f>
        <v>2745.59916327208</v>
      </c>
    </row>
    <row r="726" customFormat="false" ht="16.5" hidden="false" customHeight="false" outlineLevel="0" collapsed="false">
      <c r="A726" s="56" t="n">
        <v>45864.9166666667</v>
      </c>
      <c r="B726" s="57" t="n">
        <f aca="false">MOD(A726,1)</f>
        <v>0.916666666656965</v>
      </c>
      <c r="C726" s="0" t="n">
        <v>0</v>
      </c>
      <c r="D726" s="0" t="n">
        <v>489.758</v>
      </c>
      <c r="E726" s="0" t="n">
        <f aca="false">D726-0.155</f>
        <v>489.603</v>
      </c>
      <c r="F726" s="0" t="n">
        <v>489.545</v>
      </c>
      <c r="G726" s="0" t="n">
        <f aca="false">IF(E726 - F726 &lt; 0, 0, E726 - F726)</f>
        <v>0.0579999999999927</v>
      </c>
      <c r="H726" s="0" t="n">
        <v>1.82</v>
      </c>
      <c r="I726" s="0" t="n">
        <f aca="false">1.82*30*(G726^1.5)</f>
        <v>0.762666434242245</v>
      </c>
      <c r="J726" s="0" t="n">
        <f aca="false">I726*60</f>
        <v>45.7599860545347</v>
      </c>
      <c r="K726" s="0" t="n">
        <f aca="false">(I726*86400)/24</f>
        <v>2745.59916327208</v>
      </c>
    </row>
    <row r="727" customFormat="false" ht="16.5" hidden="false" customHeight="false" outlineLevel="0" collapsed="false">
      <c r="A727" s="56" t="n">
        <v>45864.9583333333</v>
      </c>
      <c r="B727" s="57" t="n">
        <f aca="false">MOD(A727,1)</f>
        <v>0.958333333343035</v>
      </c>
      <c r="C727" s="0" t="n">
        <v>0</v>
      </c>
      <c r="D727" s="0" t="n">
        <v>489.758</v>
      </c>
      <c r="E727" s="0" t="n">
        <f aca="false">D727-0.155</f>
        <v>489.603</v>
      </c>
      <c r="F727" s="0" t="n">
        <v>489.545</v>
      </c>
      <c r="G727" s="0" t="n">
        <f aca="false">IF(E727 - F727 &lt; 0, 0, E727 - F727)</f>
        <v>0.0579999999999927</v>
      </c>
      <c r="H727" s="0" t="n">
        <v>1.82</v>
      </c>
      <c r="I727" s="0" t="n">
        <f aca="false">1.82*30*(G727^1.5)</f>
        <v>0.762666434242245</v>
      </c>
      <c r="J727" s="0" t="n">
        <f aca="false">I727*60</f>
        <v>45.7599860545347</v>
      </c>
      <c r="K727" s="0" t="n">
        <f aca="false">(I727*86400)/24</f>
        <v>2745.59916327208</v>
      </c>
    </row>
    <row r="728" customFormat="false" ht="16.5" hidden="false" customHeight="false" outlineLevel="0" collapsed="false">
      <c r="A728" s="56" t="n">
        <v>45865</v>
      </c>
      <c r="B728" s="57" t="n">
        <f aca="false">MOD(A728,1)</f>
        <v>0</v>
      </c>
      <c r="C728" s="0" t="n">
        <v>0</v>
      </c>
      <c r="D728" s="0" t="n">
        <v>489.753</v>
      </c>
      <c r="E728" s="0" t="n">
        <f aca="false">D728-0.155</f>
        <v>489.598</v>
      </c>
      <c r="F728" s="0" t="n">
        <v>489.545</v>
      </c>
      <c r="G728" s="0" t="n">
        <f aca="false">IF(E728 - F728 &lt; 0, 0, E728 - F728)</f>
        <v>0.0529999999999973</v>
      </c>
      <c r="H728" s="0" t="n">
        <v>1.82</v>
      </c>
      <c r="I728" s="0" t="n">
        <f aca="false">1.82*30*(G728^1.5)</f>
        <v>0.666202789937067</v>
      </c>
      <c r="J728" s="0" t="n">
        <f aca="false">I728*60</f>
        <v>39.972167396224</v>
      </c>
      <c r="K728" s="0" t="n">
        <f aca="false">(I728*86400)/24</f>
        <v>2398.33004377344</v>
      </c>
    </row>
    <row r="729" customFormat="false" ht="16.5" hidden="false" customHeight="false" outlineLevel="0" collapsed="false">
      <c r="A729" s="56" t="n">
        <v>45865.0416666667</v>
      </c>
      <c r="B729" s="57" t="n">
        <f aca="false">MOD(A729,1)</f>
        <v>0.0416666666569654</v>
      </c>
      <c r="C729" s="0" t="n">
        <v>0</v>
      </c>
      <c r="D729" s="0" t="n">
        <v>489.752</v>
      </c>
      <c r="E729" s="0" t="n">
        <f aca="false">D729-0.155</f>
        <v>489.597</v>
      </c>
      <c r="F729" s="0" t="n">
        <v>489.545</v>
      </c>
      <c r="G729" s="0" t="n">
        <f aca="false">IF(E729 - F729 &lt; 0, 0, E729 - F729)</f>
        <v>0.0520000000000209</v>
      </c>
      <c r="H729" s="0" t="n">
        <v>1.82</v>
      </c>
      <c r="I729" s="0" t="n">
        <f aca="false">1.82*30*(G729^1.5)</f>
        <v>0.647437213388685</v>
      </c>
      <c r="J729" s="0" t="n">
        <f aca="false">I729*60</f>
        <v>38.8462328033211</v>
      </c>
      <c r="K729" s="0" t="n">
        <f aca="false">(I729*86400)/24</f>
        <v>2330.77396819927</v>
      </c>
    </row>
    <row r="730" customFormat="false" ht="16.5" hidden="false" customHeight="false" outlineLevel="0" collapsed="false">
      <c r="A730" s="56" t="n">
        <v>45865.0833333333</v>
      </c>
      <c r="B730" s="57" t="n">
        <f aca="false">MOD(A730,1)</f>
        <v>0.0833333333430346</v>
      </c>
      <c r="C730" s="0" t="n">
        <v>0</v>
      </c>
      <c r="D730" s="0" t="n">
        <v>489.745</v>
      </c>
      <c r="E730" s="0" t="n">
        <f aca="false">D730-0.155</f>
        <v>489.59</v>
      </c>
      <c r="F730" s="0" t="n">
        <v>489.545</v>
      </c>
      <c r="G730" s="0" t="n">
        <f aca="false">IF(E730 - F730 &lt; 0, 0, E730 - F730)</f>
        <v>0.0450000000000159</v>
      </c>
      <c r="H730" s="0" t="n">
        <v>1.82</v>
      </c>
      <c r="I730" s="0" t="n">
        <f aca="false">1.82*30*(G730^1.5)</f>
        <v>0.521208408412881</v>
      </c>
      <c r="J730" s="0" t="n">
        <f aca="false">I730*60</f>
        <v>31.2725045047728</v>
      </c>
      <c r="K730" s="0" t="n">
        <f aca="false">(I730*86400)/24</f>
        <v>1876.35027028637</v>
      </c>
    </row>
    <row r="731" customFormat="false" ht="16.5" hidden="false" customHeight="false" outlineLevel="0" collapsed="false">
      <c r="A731" s="56" t="n">
        <v>45865.125</v>
      </c>
      <c r="B731" s="57" t="n">
        <f aca="false">MOD(A731,1)</f>
        <v>0.125</v>
      </c>
      <c r="C731" s="0" t="n">
        <v>0</v>
      </c>
      <c r="D731" s="0" t="n">
        <v>489.745</v>
      </c>
      <c r="E731" s="0" t="n">
        <f aca="false">D731-0.155</f>
        <v>489.59</v>
      </c>
      <c r="F731" s="0" t="n">
        <v>489.545</v>
      </c>
      <c r="G731" s="0" t="n">
        <f aca="false">IF(E731 - F731 &lt; 0, 0, E731 - F731)</f>
        <v>0.0450000000000159</v>
      </c>
      <c r="H731" s="0" t="n">
        <v>1.82</v>
      </c>
      <c r="I731" s="0" t="n">
        <f aca="false">1.82*30*(G731^1.5)</f>
        <v>0.521208408412881</v>
      </c>
      <c r="J731" s="0" t="n">
        <f aca="false">I731*60</f>
        <v>31.2725045047728</v>
      </c>
      <c r="K731" s="0" t="n">
        <f aca="false">(I731*86400)/24</f>
        <v>1876.35027028637</v>
      </c>
    </row>
    <row r="732" customFormat="false" ht="16.5" hidden="false" customHeight="false" outlineLevel="0" collapsed="false">
      <c r="A732" s="56" t="n">
        <v>45865.1666666667</v>
      </c>
      <c r="B732" s="57" t="n">
        <f aca="false">MOD(A732,1)</f>
        <v>0.166666666656965</v>
      </c>
      <c r="C732" s="0" t="n">
        <v>0</v>
      </c>
      <c r="D732" s="0" t="n">
        <v>489.745</v>
      </c>
      <c r="E732" s="0" t="n">
        <f aca="false">D732-0.155</f>
        <v>489.59</v>
      </c>
      <c r="F732" s="0" t="n">
        <v>489.545</v>
      </c>
      <c r="G732" s="0" t="n">
        <f aca="false">IF(E732 - F732 &lt; 0, 0, E732 - F732)</f>
        <v>0.0450000000000159</v>
      </c>
      <c r="H732" s="0" t="n">
        <v>1.82</v>
      </c>
      <c r="I732" s="0" t="n">
        <f aca="false">1.82*30*(G732^1.5)</f>
        <v>0.521208408412881</v>
      </c>
      <c r="J732" s="0" t="n">
        <f aca="false">I732*60</f>
        <v>31.2725045047728</v>
      </c>
      <c r="K732" s="0" t="n">
        <f aca="false">(I732*86400)/24</f>
        <v>1876.35027028637</v>
      </c>
    </row>
    <row r="733" customFormat="false" ht="16.5" hidden="false" customHeight="false" outlineLevel="0" collapsed="false">
      <c r="A733" s="56" t="n">
        <v>45865.2083333333</v>
      </c>
      <c r="B733" s="57" t="n">
        <f aca="false">MOD(A733,1)</f>
        <v>0.208333333343035</v>
      </c>
      <c r="C733" s="0" t="n">
        <v>0</v>
      </c>
      <c r="D733" s="0" t="n">
        <v>489.745</v>
      </c>
      <c r="E733" s="0" t="n">
        <f aca="false">D733-0.155</f>
        <v>489.59</v>
      </c>
      <c r="F733" s="0" t="n">
        <v>489.545</v>
      </c>
      <c r="G733" s="0" t="n">
        <f aca="false">IF(E733 - F733 &lt; 0, 0, E733 - F733)</f>
        <v>0.0450000000000159</v>
      </c>
      <c r="H733" s="0" t="n">
        <v>1.82</v>
      </c>
      <c r="I733" s="0" t="n">
        <f aca="false">1.82*30*(G733^1.5)</f>
        <v>0.521208408412881</v>
      </c>
      <c r="J733" s="0" t="n">
        <f aca="false">I733*60</f>
        <v>31.2725045047728</v>
      </c>
      <c r="K733" s="0" t="n">
        <f aca="false">(I733*86400)/24</f>
        <v>1876.35027028637</v>
      </c>
    </row>
    <row r="734" customFormat="false" ht="16.5" hidden="false" customHeight="false" outlineLevel="0" collapsed="false">
      <c r="A734" s="56" t="n">
        <v>45865.25</v>
      </c>
      <c r="B734" s="57" t="n">
        <f aca="false">MOD(A734,1)</f>
        <v>0.25</v>
      </c>
      <c r="C734" s="0" t="n">
        <v>0</v>
      </c>
      <c r="D734" s="0" t="n">
        <v>489.745</v>
      </c>
      <c r="E734" s="0" t="n">
        <f aca="false">D734-0.155</f>
        <v>489.59</v>
      </c>
      <c r="F734" s="0" t="n">
        <v>489.545</v>
      </c>
      <c r="G734" s="0" t="n">
        <f aca="false">IF(E734 - F734 &lt; 0, 0, E734 - F734)</f>
        <v>0.0450000000000159</v>
      </c>
      <c r="H734" s="0" t="n">
        <v>1.82</v>
      </c>
      <c r="I734" s="0" t="n">
        <f aca="false">1.82*30*(G734^1.5)</f>
        <v>0.521208408412881</v>
      </c>
      <c r="J734" s="0" t="n">
        <f aca="false">I734*60</f>
        <v>31.2725045047728</v>
      </c>
      <c r="K734" s="0" t="n">
        <f aca="false">(I734*86400)/24</f>
        <v>1876.35027028637</v>
      </c>
    </row>
    <row r="735" customFormat="false" ht="16.5" hidden="false" customHeight="false" outlineLevel="0" collapsed="false">
      <c r="A735" s="56" t="n">
        <v>45865.2916666667</v>
      </c>
      <c r="B735" s="57" t="n">
        <f aca="false">MOD(A735,1)</f>
        <v>0.291666666656965</v>
      </c>
      <c r="C735" s="0" t="n">
        <v>0</v>
      </c>
      <c r="D735" s="0" t="n">
        <v>489.745</v>
      </c>
      <c r="E735" s="0" t="n">
        <f aca="false">D735-0.155</f>
        <v>489.59</v>
      </c>
      <c r="F735" s="0" t="n">
        <v>489.545</v>
      </c>
      <c r="G735" s="0" t="n">
        <f aca="false">IF(E735 - F735 &lt; 0, 0, E735 - F735)</f>
        <v>0.0450000000000159</v>
      </c>
      <c r="H735" s="0" t="n">
        <v>1.82</v>
      </c>
      <c r="I735" s="0" t="n">
        <f aca="false">1.82*30*(G735^1.5)</f>
        <v>0.521208408412881</v>
      </c>
      <c r="J735" s="0" t="n">
        <f aca="false">I735*60</f>
        <v>31.2725045047728</v>
      </c>
      <c r="K735" s="0" t="n">
        <f aca="false">(I735*86400)/24</f>
        <v>1876.35027028637</v>
      </c>
    </row>
    <row r="736" customFormat="false" ht="16.5" hidden="false" customHeight="false" outlineLevel="0" collapsed="false">
      <c r="A736" s="56" t="n">
        <v>45865.3333333333</v>
      </c>
      <c r="B736" s="57" t="n">
        <f aca="false">MOD(A736,1)</f>
        <v>0.333333333343035</v>
      </c>
      <c r="C736" s="0" t="n">
        <v>0</v>
      </c>
      <c r="D736" s="0" t="n">
        <v>489.745</v>
      </c>
      <c r="E736" s="0" t="n">
        <f aca="false">D736-0.155</f>
        <v>489.59</v>
      </c>
      <c r="F736" s="0" t="n">
        <v>489.545</v>
      </c>
      <c r="G736" s="0" t="n">
        <f aca="false">IF(E736 - F736 &lt; 0, 0, E736 - F736)</f>
        <v>0.0450000000000159</v>
      </c>
      <c r="H736" s="0" t="n">
        <v>1.82</v>
      </c>
      <c r="I736" s="0" t="n">
        <f aca="false">1.82*30*(G736^1.5)</f>
        <v>0.521208408412881</v>
      </c>
      <c r="J736" s="0" t="n">
        <f aca="false">I736*60</f>
        <v>31.2725045047728</v>
      </c>
      <c r="K736" s="0" t="n">
        <f aca="false">(I736*86400)/24</f>
        <v>1876.35027028637</v>
      </c>
    </row>
    <row r="737" customFormat="false" ht="16.5" hidden="false" customHeight="false" outlineLevel="0" collapsed="false">
      <c r="A737" s="56" t="n">
        <v>45865.375</v>
      </c>
      <c r="B737" s="57" t="n">
        <f aca="false">MOD(A737,1)</f>
        <v>0.375</v>
      </c>
      <c r="C737" s="0" t="n">
        <v>0</v>
      </c>
      <c r="D737" s="0" t="n">
        <v>489.739</v>
      </c>
      <c r="E737" s="0" t="n">
        <f aca="false">D737-0.155</f>
        <v>489.584</v>
      </c>
      <c r="F737" s="0" t="n">
        <v>489.545</v>
      </c>
      <c r="G737" s="0" t="n">
        <f aca="false">IF(E737 - F737 &lt; 0, 0, E737 - F737)</f>
        <v>0.0389999999999873</v>
      </c>
      <c r="H737" s="0" t="n">
        <v>1.82</v>
      </c>
      <c r="I737" s="0" t="n">
        <f aca="false">1.82*30*(G737^1.5)</f>
        <v>0.420522805612046</v>
      </c>
      <c r="J737" s="0" t="n">
        <f aca="false">I737*60</f>
        <v>25.2313683367228</v>
      </c>
      <c r="K737" s="0" t="n">
        <f aca="false">(I737*86400)/24</f>
        <v>1513.88210020337</v>
      </c>
    </row>
    <row r="738" customFormat="false" ht="16.5" hidden="false" customHeight="false" outlineLevel="0" collapsed="false">
      <c r="A738" s="56" t="n">
        <v>45865.4166666667</v>
      </c>
      <c r="B738" s="57" t="n">
        <f aca="false">MOD(A738,1)</f>
        <v>0.416666666656965</v>
      </c>
      <c r="C738" s="0" t="n">
        <v>0</v>
      </c>
      <c r="D738" s="0" t="n">
        <v>489.739</v>
      </c>
      <c r="E738" s="0" t="n">
        <f aca="false">D738-0.155</f>
        <v>489.584</v>
      </c>
      <c r="F738" s="0" t="n">
        <v>489.545</v>
      </c>
      <c r="G738" s="0" t="n">
        <f aca="false">IF(E738 - F738 &lt; 0, 0, E738 - F738)</f>
        <v>0.0389999999999873</v>
      </c>
      <c r="H738" s="0" t="n">
        <v>1.82</v>
      </c>
      <c r="I738" s="0" t="n">
        <f aca="false">1.82*30*(G738^1.5)</f>
        <v>0.420522805612046</v>
      </c>
      <c r="J738" s="0" t="n">
        <f aca="false">I738*60</f>
        <v>25.2313683367228</v>
      </c>
      <c r="K738" s="0" t="n">
        <f aca="false">(I738*86400)/24</f>
        <v>1513.88210020337</v>
      </c>
    </row>
    <row r="739" customFormat="false" ht="16.5" hidden="false" customHeight="false" outlineLevel="0" collapsed="false">
      <c r="A739" s="56" t="n">
        <v>45865.4583333333</v>
      </c>
      <c r="B739" s="57" t="n">
        <f aca="false">MOD(A739,1)</f>
        <v>0.458333333343035</v>
      </c>
      <c r="C739" s="0" t="n">
        <v>0</v>
      </c>
      <c r="D739" s="0" t="n">
        <v>489.738</v>
      </c>
      <c r="E739" s="0" t="n">
        <f aca="false">D739-0.155</f>
        <v>489.583</v>
      </c>
      <c r="F739" s="0" t="n">
        <v>489.545</v>
      </c>
      <c r="G739" s="0" t="n">
        <f aca="false">IF(E739 - F739 &lt; 0, 0, E739 - F739)</f>
        <v>0.0380000000000109</v>
      </c>
      <c r="H739" s="0" t="n">
        <v>1.82</v>
      </c>
      <c r="I739" s="0" t="n">
        <f aca="false">1.82*30*(G739^1.5)</f>
        <v>0.404452978132367</v>
      </c>
      <c r="J739" s="0" t="n">
        <f aca="false">I739*60</f>
        <v>24.267178687942</v>
      </c>
      <c r="K739" s="0" t="n">
        <f aca="false">(I739*86400)/24</f>
        <v>1456.03072127652</v>
      </c>
    </row>
    <row r="740" customFormat="false" ht="16.5" hidden="false" customHeight="false" outlineLevel="0" collapsed="false">
      <c r="A740" s="56" t="n">
        <v>45865.5</v>
      </c>
      <c r="B740" s="57" t="n">
        <f aca="false">MOD(A740,1)</f>
        <v>0.5</v>
      </c>
      <c r="C740" s="0" t="n">
        <v>0</v>
      </c>
      <c r="D740" s="0" t="n">
        <v>489.739</v>
      </c>
      <c r="E740" s="0" t="n">
        <f aca="false">D740-0.155</f>
        <v>489.584</v>
      </c>
      <c r="F740" s="0" t="n">
        <v>489.545</v>
      </c>
      <c r="G740" s="0" t="n">
        <f aca="false">IF(E740 - F740 &lt; 0, 0, E740 - F740)</f>
        <v>0.0389999999999873</v>
      </c>
      <c r="H740" s="0" t="n">
        <v>1.82</v>
      </c>
      <c r="I740" s="0" t="n">
        <f aca="false">1.82*30*(G740^1.5)</f>
        <v>0.420522805612046</v>
      </c>
      <c r="J740" s="0" t="n">
        <f aca="false">I740*60</f>
        <v>25.2313683367228</v>
      </c>
      <c r="K740" s="0" t="n">
        <f aca="false">(I740*86400)/24</f>
        <v>1513.88210020337</v>
      </c>
    </row>
    <row r="741" customFormat="false" ht="16.5" hidden="false" customHeight="false" outlineLevel="0" collapsed="false">
      <c r="A741" s="56" t="n">
        <v>45865.5416666667</v>
      </c>
      <c r="B741" s="57" t="n">
        <f aca="false">MOD(A741,1)</f>
        <v>0.541666666656965</v>
      </c>
      <c r="C741" s="0" t="n">
        <v>0</v>
      </c>
      <c r="D741" s="0" t="n">
        <v>489.732</v>
      </c>
      <c r="E741" s="0" t="n">
        <f aca="false">D741-0.155</f>
        <v>489.577</v>
      </c>
      <c r="F741" s="0" t="n">
        <v>489.545</v>
      </c>
      <c r="G741" s="0" t="n">
        <f aca="false">IF(E741 - F741 &lt; 0, 0, E741 - F741)</f>
        <v>0.0320000000000391</v>
      </c>
      <c r="H741" s="0" t="n">
        <v>1.82</v>
      </c>
      <c r="I741" s="0" t="n">
        <f aca="false">1.82*30*(G741^1.5)</f>
        <v>0.312548637623584</v>
      </c>
      <c r="J741" s="0" t="n">
        <f aca="false">I741*60</f>
        <v>18.752918257415</v>
      </c>
      <c r="K741" s="0" t="n">
        <f aca="false">(I741*86400)/24</f>
        <v>1125.1750954449</v>
      </c>
    </row>
    <row r="742" customFormat="false" ht="16.5" hidden="false" customHeight="false" outlineLevel="0" collapsed="false">
      <c r="A742" s="56" t="n">
        <v>45865.5833333333</v>
      </c>
      <c r="B742" s="57" t="n">
        <f aca="false">MOD(A742,1)</f>
        <v>0.583333333343035</v>
      </c>
      <c r="C742" s="0" t="n">
        <v>0</v>
      </c>
      <c r="D742" s="0" t="n">
        <v>489.732</v>
      </c>
      <c r="E742" s="0" t="n">
        <f aca="false">D742-0.155</f>
        <v>489.577</v>
      </c>
      <c r="F742" s="0" t="n">
        <v>489.545</v>
      </c>
      <c r="G742" s="0" t="n">
        <f aca="false">IF(E742 - F742 &lt; 0, 0, E742 - F742)</f>
        <v>0.0320000000000391</v>
      </c>
      <c r="H742" s="0" t="n">
        <v>1.82</v>
      </c>
      <c r="I742" s="0" t="n">
        <f aca="false">1.82*30*(G742^1.5)</f>
        <v>0.312548637623584</v>
      </c>
      <c r="J742" s="0" t="n">
        <f aca="false">I742*60</f>
        <v>18.752918257415</v>
      </c>
      <c r="K742" s="0" t="n">
        <f aca="false">(I742*86400)/24</f>
        <v>1125.1750954449</v>
      </c>
    </row>
    <row r="743" customFormat="false" ht="16.5" hidden="false" customHeight="false" outlineLevel="0" collapsed="false">
      <c r="A743" s="56" t="n">
        <v>45865.625</v>
      </c>
      <c r="B743" s="57" t="n">
        <f aca="false">MOD(A743,1)</f>
        <v>0.625</v>
      </c>
      <c r="C743" s="0" t="n">
        <v>8.8</v>
      </c>
      <c r="D743" s="0" t="n">
        <v>489.739</v>
      </c>
      <c r="E743" s="0" t="n">
        <f aca="false">D743-0.155</f>
        <v>489.584</v>
      </c>
      <c r="F743" s="0" t="n">
        <v>489.545</v>
      </c>
      <c r="G743" s="0" t="n">
        <f aca="false">IF(E743 - F743 &lt; 0, 0, E743 - F743)</f>
        <v>0.0389999999999873</v>
      </c>
      <c r="H743" s="0" t="n">
        <v>1.82</v>
      </c>
      <c r="I743" s="0" t="n">
        <f aca="false">1.82*30*(G743^1.5)</f>
        <v>0.420522805612046</v>
      </c>
      <c r="J743" s="0" t="n">
        <f aca="false">I743*60</f>
        <v>25.2313683367228</v>
      </c>
      <c r="K743" s="0" t="n">
        <f aca="false">(I743*86400)/24</f>
        <v>1513.88210020337</v>
      </c>
    </row>
    <row r="744" customFormat="false" ht="16.5" hidden="false" customHeight="false" outlineLevel="0" collapsed="false">
      <c r="A744" s="56" t="n">
        <v>45865.6666666667</v>
      </c>
      <c r="B744" s="57" t="n">
        <f aca="false">MOD(A744,1)</f>
        <v>0.666666666656965</v>
      </c>
      <c r="C744" s="0" t="n">
        <v>12</v>
      </c>
      <c r="D744" s="0" t="n">
        <v>489.778</v>
      </c>
      <c r="E744" s="0" t="n">
        <f aca="false">D744-0.155</f>
        <v>489.623</v>
      </c>
      <c r="F744" s="0" t="n">
        <v>489.545</v>
      </c>
      <c r="G744" s="0" t="n">
        <f aca="false">IF(E744 - F744 &lt; 0, 0, E744 - F744)</f>
        <v>0.0780000000000314</v>
      </c>
      <c r="H744" s="0" t="n">
        <v>1.82</v>
      </c>
      <c r="I744" s="0" t="n">
        <f aca="false">1.82*30*(G744^1.5)</f>
        <v>1.18941810996878</v>
      </c>
      <c r="J744" s="0" t="n">
        <f aca="false">I744*60</f>
        <v>71.3650865981269</v>
      </c>
      <c r="K744" s="0" t="n">
        <f aca="false">(I744*86400)/24</f>
        <v>4281.90519588761</v>
      </c>
    </row>
    <row r="745" customFormat="false" ht="16.5" hidden="false" customHeight="false" outlineLevel="0" collapsed="false">
      <c r="A745" s="56" t="n">
        <v>45865.7083333333</v>
      </c>
      <c r="B745" s="57" t="n">
        <f aca="false">MOD(A745,1)</f>
        <v>0.708333333343035</v>
      </c>
      <c r="C745" s="0" t="n">
        <v>0.8</v>
      </c>
      <c r="D745" s="0" t="n">
        <v>489.855</v>
      </c>
      <c r="E745" s="0" t="n">
        <f aca="false">D745-0.155</f>
        <v>489.7</v>
      </c>
      <c r="F745" s="0" t="n">
        <v>489.545</v>
      </c>
      <c r="G745" s="0" t="n">
        <f aca="false">IF(E745 - F745 &lt; 0, 0, E745 - F745)</f>
        <v>0.15500000000003</v>
      </c>
      <c r="H745" s="0" t="n">
        <v>1.82</v>
      </c>
      <c r="I745" s="0" t="n">
        <f aca="false">1.82*30*(G745^1.5)</f>
        <v>3.33188643188905</v>
      </c>
      <c r="J745" s="0" t="n">
        <f aca="false">I745*60</f>
        <v>199.913185913343</v>
      </c>
      <c r="K745" s="0" t="n">
        <f aca="false">(I745*86400)/24</f>
        <v>11994.7911548006</v>
      </c>
    </row>
    <row r="746" customFormat="false" ht="16.5" hidden="false" customHeight="false" outlineLevel="0" collapsed="false">
      <c r="A746" s="56" t="n">
        <v>45865.75</v>
      </c>
      <c r="B746" s="57" t="n">
        <f aca="false">MOD(A746,1)</f>
        <v>0.75</v>
      </c>
      <c r="C746" s="0" t="n">
        <v>0</v>
      </c>
      <c r="D746" s="0" t="n">
        <v>489.9</v>
      </c>
      <c r="E746" s="0" t="n">
        <f aca="false">D746-0.155</f>
        <v>489.745</v>
      </c>
      <c r="F746" s="0" t="n">
        <v>489.545</v>
      </c>
      <c r="G746" s="0" t="n">
        <f aca="false">IF(E746 - F746 &lt; 0, 0, E746 - F746)</f>
        <v>0.199999999999989</v>
      </c>
      <c r="H746" s="0" t="n">
        <v>1.82</v>
      </c>
      <c r="I746" s="0" t="n">
        <f aca="false">1.82*30*(G746^1.5)</f>
        <v>4.88357246285912</v>
      </c>
      <c r="J746" s="0" t="n">
        <f aca="false">I746*60</f>
        <v>293.014347771548</v>
      </c>
      <c r="K746" s="0" t="n">
        <f aca="false">(I746*86400)/24</f>
        <v>17580.8608662929</v>
      </c>
    </row>
    <row r="747" customFormat="false" ht="16.5" hidden="false" customHeight="false" outlineLevel="0" collapsed="false">
      <c r="A747" s="56" t="n">
        <v>45865.7916666667</v>
      </c>
      <c r="B747" s="57" t="n">
        <f aca="false">MOD(A747,1)</f>
        <v>0.791666666656965</v>
      </c>
      <c r="C747" s="0" t="n">
        <v>0</v>
      </c>
      <c r="D747" s="0" t="n">
        <v>489.914</v>
      </c>
      <c r="E747" s="0" t="n">
        <f aca="false">D747-0.155</f>
        <v>489.759</v>
      </c>
      <c r="F747" s="0" t="n">
        <v>489.545</v>
      </c>
      <c r="G747" s="0" t="n">
        <f aca="false">IF(E747 - F747 &lt; 0, 0, E747 - F747)</f>
        <v>0.213999999999999</v>
      </c>
      <c r="H747" s="0" t="n">
        <v>1.82</v>
      </c>
      <c r="I747" s="0" t="n">
        <f aca="false">1.82*30*(G747^1.5)</f>
        <v>5.4052191000032</v>
      </c>
      <c r="J747" s="0" t="n">
        <f aca="false">I747*60</f>
        <v>324.313146000192</v>
      </c>
      <c r="K747" s="0" t="n">
        <f aca="false">(I747*86400)/24</f>
        <v>19458.7887600115</v>
      </c>
    </row>
    <row r="748" customFormat="false" ht="16.5" hidden="false" customHeight="false" outlineLevel="0" collapsed="false">
      <c r="A748" s="56" t="n">
        <v>45865.8333333333</v>
      </c>
      <c r="B748" s="57" t="n">
        <f aca="false">MOD(A748,1)</f>
        <v>0.833333333343035</v>
      </c>
      <c r="C748" s="0" t="n">
        <v>0</v>
      </c>
      <c r="D748" s="0" t="n">
        <v>489.932</v>
      </c>
      <c r="E748" s="0" t="n">
        <f aca="false">D748-0.155</f>
        <v>489.777</v>
      </c>
      <c r="F748" s="0" t="n">
        <v>489.545</v>
      </c>
      <c r="G748" s="0" t="n">
        <f aca="false">IF(E748 - F748 &lt; 0, 0, E748 - F748)</f>
        <v>0.232000000000028</v>
      </c>
      <c r="H748" s="0" t="n">
        <v>1.82</v>
      </c>
      <c r="I748" s="0" t="n">
        <f aca="false">1.82*30*(G748^1.5)</f>
        <v>6.10133147394021</v>
      </c>
      <c r="J748" s="0" t="n">
        <f aca="false">I748*60</f>
        <v>366.079888436412</v>
      </c>
      <c r="K748" s="0" t="n">
        <f aca="false">(I748*86400)/24</f>
        <v>21964.7933061847</v>
      </c>
    </row>
    <row r="749" customFormat="false" ht="16.5" hidden="false" customHeight="false" outlineLevel="0" collapsed="false">
      <c r="A749" s="56" t="n">
        <v>45865.875</v>
      </c>
      <c r="B749" s="57" t="n">
        <f aca="false">MOD(A749,1)</f>
        <v>0.875</v>
      </c>
      <c r="C749" s="0" t="n">
        <v>0</v>
      </c>
      <c r="D749" s="0" t="n">
        <v>489.933</v>
      </c>
      <c r="E749" s="0" t="n">
        <f aca="false">D749-0.155</f>
        <v>489.778</v>
      </c>
      <c r="F749" s="0" t="n">
        <v>489.545</v>
      </c>
      <c r="G749" s="0" t="n">
        <f aca="false">IF(E749 - F749 &lt; 0, 0, E749 - F749)</f>
        <v>0.233000000000004</v>
      </c>
      <c r="H749" s="0" t="n">
        <v>1.82</v>
      </c>
      <c r="I749" s="0" t="n">
        <f aca="false">1.82*30*(G749^1.5)</f>
        <v>6.14082221619564</v>
      </c>
      <c r="J749" s="0" t="n">
        <f aca="false">I749*60</f>
        <v>368.449332971739</v>
      </c>
      <c r="K749" s="0" t="n">
        <f aca="false">(I749*86400)/24</f>
        <v>22106.9599783043</v>
      </c>
    </row>
    <row r="750" customFormat="false" ht="16.5" hidden="false" customHeight="false" outlineLevel="0" collapsed="false">
      <c r="A750" s="56" t="n">
        <v>45865.9166666667</v>
      </c>
      <c r="B750" s="57" t="n">
        <f aca="false">MOD(A750,1)</f>
        <v>0.916666666656965</v>
      </c>
      <c r="C750" s="0" t="n">
        <v>0.4</v>
      </c>
      <c r="D750" s="0" t="n">
        <v>489.933</v>
      </c>
      <c r="E750" s="0" t="n">
        <f aca="false">D750-0.155</f>
        <v>489.778</v>
      </c>
      <c r="F750" s="0" t="n">
        <v>489.545</v>
      </c>
      <c r="G750" s="0" t="n">
        <f aca="false">IF(E750 - F750 &lt; 0, 0, E750 - F750)</f>
        <v>0.233000000000004</v>
      </c>
      <c r="H750" s="0" t="n">
        <v>1.82</v>
      </c>
      <c r="I750" s="0" t="n">
        <f aca="false">1.82*30*(G750^1.5)</f>
        <v>6.14082221619564</v>
      </c>
      <c r="J750" s="0" t="n">
        <f aca="false">I750*60</f>
        <v>368.449332971739</v>
      </c>
      <c r="K750" s="0" t="n">
        <f aca="false">(I750*86400)/24</f>
        <v>22106.9599783043</v>
      </c>
    </row>
    <row r="751" customFormat="false" ht="16.5" hidden="false" customHeight="false" outlineLevel="0" collapsed="false">
      <c r="A751" s="56" t="n">
        <v>45865.9583333333</v>
      </c>
      <c r="B751" s="57" t="n">
        <f aca="false">MOD(A751,1)</f>
        <v>0.958333333343035</v>
      </c>
      <c r="C751" s="0" t="n">
        <v>0</v>
      </c>
      <c r="D751" s="0" t="n">
        <v>489.939</v>
      </c>
      <c r="E751" s="0" t="n">
        <f aca="false">D751-0.155</f>
        <v>489.784</v>
      </c>
      <c r="F751" s="0" t="n">
        <v>489.545</v>
      </c>
      <c r="G751" s="0" t="n">
        <f aca="false">IF(E751 - F751 &lt; 0, 0, E751 - F751)</f>
        <v>0.239000000000033</v>
      </c>
      <c r="H751" s="0" t="n">
        <v>1.82</v>
      </c>
      <c r="I751" s="0" t="n">
        <f aca="false">1.82*30*(G751^1.5)</f>
        <v>6.37954189938876</v>
      </c>
      <c r="J751" s="0" t="n">
        <f aca="false">I751*60</f>
        <v>382.772513963326</v>
      </c>
      <c r="K751" s="0" t="n">
        <f aca="false">(I751*86400)/24</f>
        <v>22966.3508377995</v>
      </c>
    </row>
    <row r="752" customFormat="false" ht="16.5" hidden="false" customHeight="false" outlineLevel="0" collapsed="false">
      <c r="A752" s="56" t="n">
        <v>45866</v>
      </c>
      <c r="B752" s="57" t="n">
        <f aca="false">MOD(A752,1)</f>
        <v>0</v>
      </c>
      <c r="C752" s="0" t="n">
        <v>0</v>
      </c>
      <c r="D752" s="0" t="n">
        <v>489.932</v>
      </c>
      <c r="E752" s="0" t="n">
        <f aca="false">D752-0.155</f>
        <v>489.777</v>
      </c>
      <c r="F752" s="0" t="n">
        <v>489.545</v>
      </c>
      <c r="G752" s="0" t="n">
        <f aca="false">IF(E752 - F752 &lt; 0, 0, E752 - F752)</f>
        <v>0.232000000000028</v>
      </c>
      <c r="H752" s="0" t="n">
        <v>1.82</v>
      </c>
      <c r="I752" s="0" t="n">
        <f aca="false">1.82*30*(G752^1.5)</f>
        <v>6.10133147394021</v>
      </c>
      <c r="J752" s="0" t="n">
        <f aca="false">I752*60</f>
        <v>366.079888436412</v>
      </c>
      <c r="K752" s="0" t="n">
        <f aca="false">(I752*86400)/24</f>
        <v>21964.7933061847</v>
      </c>
    </row>
    <row r="753" customFormat="false" ht="16.5" hidden="false" customHeight="false" outlineLevel="0" collapsed="false">
      <c r="A753" s="56" t="n">
        <v>45866.0416666667</v>
      </c>
      <c r="B753" s="57" t="n">
        <f aca="false">MOD(A753,1)</f>
        <v>0.0416666666569654</v>
      </c>
      <c r="C753" s="0" t="n">
        <v>2.6</v>
      </c>
      <c r="D753" s="0" t="n">
        <v>489.932</v>
      </c>
      <c r="E753" s="0" t="n">
        <f aca="false">D753-0.155</f>
        <v>489.777</v>
      </c>
      <c r="F753" s="0" t="n">
        <v>489.545</v>
      </c>
      <c r="G753" s="0" t="n">
        <f aca="false">IF(E753 - F753 &lt; 0, 0, E753 - F753)</f>
        <v>0.232000000000028</v>
      </c>
      <c r="H753" s="0" t="n">
        <v>1.82</v>
      </c>
      <c r="I753" s="0" t="n">
        <f aca="false">1.82*30*(G753^1.5)</f>
        <v>6.10133147394021</v>
      </c>
      <c r="J753" s="0" t="n">
        <f aca="false">I753*60</f>
        <v>366.079888436412</v>
      </c>
      <c r="K753" s="0" t="n">
        <f aca="false">(I753*86400)/24</f>
        <v>21964.7933061847</v>
      </c>
    </row>
    <row r="754" customFormat="false" ht="16.5" hidden="false" customHeight="false" outlineLevel="0" collapsed="false">
      <c r="A754" s="56" t="n">
        <v>45866.0833333333</v>
      </c>
      <c r="B754" s="57" t="n">
        <f aca="false">MOD(A754,1)</f>
        <v>0.0833333333430346</v>
      </c>
      <c r="C754" s="0" t="n">
        <v>0.2</v>
      </c>
      <c r="D754" s="0" t="n">
        <v>489.933</v>
      </c>
      <c r="E754" s="0" t="n">
        <f aca="false">D754-0.155</f>
        <v>489.778</v>
      </c>
      <c r="F754" s="0" t="n">
        <v>489.545</v>
      </c>
      <c r="G754" s="0" t="n">
        <f aca="false">IF(E754 - F754 &lt; 0, 0, E754 - F754)</f>
        <v>0.233000000000004</v>
      </c>
      <c r="H754" s="0" t="n">
        <v>1.82</v>
      </c>
      <c r="I754" s="0" t="n">
        <f aca="false">1.82*30*(G754^1.5)</f>
        <v>6.14082221619564</v>
      </c>
      <c r="J754" s="0" t="n">
        <f aca="false">I754*60</f>
        <v>368.449332971739</v>
      </c>
      <c r="K754" s="0" t="n">
        <f aca="false">(I754*86400)/24</f>
        <v>22106.9599783043</v>
      </c>
    </row>
    <row r="755" customFormat="false" ht="16.5" hidden="false" customHeight="false" outlineLevel="0" collapsed="false">
      <c r="A755" s="56" t="n">
        <v>45866.125</v>
      </c>
      <c r="B755" s="57" t="n">
        <f aca="false">MOD(A755,1)</f>
        <v>0.125</v>
      </c>
      <c r="C755" s="0" t="n">
        <v>0.6</v>
      </c>
      <c r="D755" s="0" t="n">
        <v>489.932</v>
      </c>
      <c r="E755" s="0" t="n">
        <f aca="false">D755-0.155</f>
        <v>489.777</v>
      </c>
      <c r="F755" s="0" t="n">
        <v>489.545</v>
      </c>
      <c r="G755" s="0" t="n">
        <f aca="false">IF(E755 - F755 &lt; 0, 0, E755 - F755)</f>
        <v>0.232000000000028</v>
      </c>
      <c r="H755" s="0" t="n">
        <v>1.82</v>
      </c>
      <c r="I755" s="0" t="n">
        <f aca="false">1.82*30*(G755^1.5)</f>
        <v>6.10133147394021</v>
      </c>
      <c r="J755" s="0" t="n">
        <f aca="false">I755*60</f>
        <v>366.079888436412</v>
      </c>
      <c r="K755" s="0" t="n">
        <f aca="false">(I755*86400)/24</f>
        <v>21964.7933061847</v>
      </c>
    </row>
    <row r="756" customFormat="false" ht="16.5" hidden="false" customHeight="false" outlineLevel="0" collapsed="false">
      <c r="A756" s="56" t="n">
        <v>45866.1666666667</v>
      </c>
      <c r="B756" s="57" t="n">
        <f aca="false">MOD(A756,1)</f>
        <v>0.166666666656965</v>
      </c>
      <c r="C756" s="0" t="n">
        <v>0.2</v>
      </c>
      <c r="D756" s="0" t="n">
        <v>489.926</v>
      </c>
      <c r="E756" s="0" t="n">
        <f aca="false">D756-0.155</f>
        <v>489.771</v>
      </c>
      <c r="F756" s="0" t="n">
        <v>489.545</v>
      </c>
      <c r="G756" s="0" t="n">
        <f aca="false">IF(E756 - F756 &lt; 0, 0, E756 - F756)</f>
        <v>0.225999999999999</v>
      </c>
      <c r="H756" s="0" t="n">
        <v>1.82</v>
      </c>
      <c r="I756" s="0" t="n">
        <f aca="false">1.82*30*(G756^1.5)</f>
        <v>5.86617887249951</v>
      </c>
      <c r="J756" s="0" t="n">
        <f aca="false">I756*60</f>
        <v>351.97073234997</v>
      </c>
      <c r="K756" s="0" t="n">
        <f aca="false">(I756*86400)/24</f>
        <v>21118.2439409982</v>
      </c>
    </row>
    <row r="757" customFormat="false" ht="16.5" hidden="false" customHeight="false" outlineLevel="0" collapsed="false">
      <c r="A757" s="56" t="n">
        <v>45866.2083333333</v>
      </c>
      <c r="B757" s="57" t="n">
        <f aca="false">MOD(A757,1)</f>
        <v>0.208333333343035</v>
      </c>
      <c r="C757" s="0" t="n">
        <v>1.2</v>
      </c>
      <c r="D757" s="0" t="n">
        <v>489.92</v>
      </c>
      <c r="E757" s="0" t="n">
        <f aca="false">D757-0.155</f>
        <v>489.765</v>
      </c>
      <c r="F757" s="0" t="n">
        <v>489.545</v>
      </c>
      <c r="G757" s="0" t="n">
        <f aca="false">IF(E757 - F757 &lt; 0, 0, E757 - F757)</f>
        <v>0.220000000000027</v>
      </c>
      <c r="H757" s="0" t="n">
        <v>1.82</v>
      </c>
      <c r="I757" s="0" t="n">
        <f aca="false">1.82*30*(G757^1.5)</f>
        <v>5.63412741070095</v>
      </c>
      <c r="J757" s="0" t="n">
        <f aca="false">I757*60</f>
        <v>338.047644642057</v>
      </c>
      <c r="K757" s="0" t="n">
        <f aca="false">(I757*86400)/24</f>
        <v>20282.8586785234</v>
      </c>
    </row>
    <row r="758" customFormat="false" ht="16.5" hidden="false" customHeight="false" outlineLevel="0" collapsed="false">
      <c r="A758" s="56" t="n">
        <v>45866.25</v>
      </c>
      <c r="B758" s="57" t="n">
        <f aca="false">MOD(A758,1)</f>
        <v>0.25</v>
      </c>
      <c r="C758" s="0" t="n">
        <v>0.2</v>
      </c>
      <c r="D758" s="0" t="n">
        <v>489.92</v>
      </c>
      <c r="E758" s="0" t="n">
        <f aca="false">D758-0.155</f>
        <v>489.765</v>
      </c>
      <c r="F758" s="0" t="n">
        <v>489.545</v>
      </c>
      <c r="G758" s="0" t="n">
        <f aca="false">IF(E758 - F758 &lt; 0, 0, E758 - F758)</f>
        <v>0.220000000000027</v>
      </c>
      <c r="H758" s="0" t="n">
        <v>1.82</v>
      </c>
      <c r="I758" s="0" t="n">
        <f aca="false">1.82*30*(G758^1.5)</f>
        <v>5.63412741070095</v>
      </c>
      <c r="J758" s="0" t="n">
        <f aca="false">I758*60</f>
        <v>338.047644642057</v>
      </c>
      <c r="K758" s="0" t="n">
        <f aca="false">(I758*86400)/24</f>
        <v>20282.8586785234</v>
      </c>
    </row>
    <row r="759" customFormat="false" ht="16.5" hidden="false" customHeight="false" outlineLevel="0" collapsed="false">
      <c r="A759" s="56" t="n">
        <v>45866.2916666667</v>
      </c>
      <c r="B759" s="57" t="n">
        <f aca="false">MOD(A759,1)</f>
        <v>0.291666666656965</v>
      </c>
      <c r="C759" s="0" t="n">
        <v>0</v>
      </c>
      <c r="D759" s="0" t="n">
        <v>489.92</v>
      </c>
      <c r="E759" s="0" t="n">
        <f aca="false">D759-0.155</f>
        <v>489.765</v>
      </c>
      <c r="F759" s="0" t="n">
        <v>489.545</v>
      </c>
      <c r="G759" s="0" t="n">
        <f aca="false">IF(E759 - F759 &lt; 0, 0, E759 - F759)</f>
        <v>0.220000000000027</v>
      </c>
      <c r="H759" s="0" t="n">
        <v>1.82</v>
      </c>
      <c r="I759" s="0" t="n">
        <f aca="false">1.82*30*(G759^1.5)</f>
        <v>5.63412741070095</v>
      </c>
      <c r="J759" s="0" t="n">
        <f aca="false">I759*60</f>
        <v>338.047644642057</v>
      </c>
      <c r="K759" s="0" t="n">
        <f aca="false">(I759*86400)/24</f>
        <v>20282.8586785234</v>
      </c>
    </row>
    <row r="760" customFormat="false" ht="16.5" hidden="false" customHeight="false" outlineLevel="0" collapsed="false">
      <c r="A760" s="56" t="n">
        <v>45866.3333333333</v>
      </c>
      <c r="B760" s="57" t="n">
        <f aca="false">MOD(A760,1)</f>
        <v>0.333333333343035</v>
      </c>
      <c r="C760" s="0" t="n">
        <v>0</v>
      </c>
      <c r="D760" s="0" t="n">
        <v>489.913</v>
      </c>
      <c r="E760" s="0" t="n">
        <f aca="false">D760-0.155</f>
        <v>489.758</v>
      </c>
      <c r="F760" s="0" t="n">
        <v>489.545</v>
      </c>
      <c r="G760" s="0" t="n">
        <f aca="false">IF(E760 - F760 &lt; 0, 0, E760 - F760)</f>
        <v>0.213000000000022</v>
      </c>
      <c r="H760" s="0" t="n">
        <v>1.82</v>
      </c>
      <c r="I760" s="0" t="n">
        <f aca="false">1.82*30*(G760^1.5)</f>
        <v>5.36737634534127</v>
      </c>
      <c r="J760" s="0" t="n">
        <f aca="false">I760*60</f>
        <v>322.042580720476</v>
      </c>
      <c r="K760" s="0" t="n">
        <f aca="false">(I760*86400)/24</f>
        <v>19322.5548432286</v>
      </c>
    </row>
    <row r="761" customFormat="false" ht="16.5" hidden="false" customHeight="false" outlineLevel="0" collapsed="false">
      <c r="A761" s="56" t="n">
        <v>45866.375</v>
      </c>
      <c r="B761" s="57" t="n">
        <f aca="false">MOD(A761,1)</f>
        <v>0.375</v>
      </c>
      <c r="C761" s="0" t="n">
        <v>0</v>
      </c>
      <c r="D761" s="0" t="n">
        <v>489.908</v>
      </c>
      <c r="E761" s="0" t="n">
        <f aca="false">D761-0.155</f>
        <v>489.753</v>
      </c>
      <c r="F761" s="0" t="n">
        <v>489.545</v>
      </c>
      <c r="G761" s="0" t="n">
        <f aca="false">IF(E761 - F761 &lt; 0, 0, E761 - F761)</f>
        <v>0.208000000000027</v>
      </c>
      <c r="H761" s="0" t="n">
        <v>1.82</v>
      </c>
      <c r="I761" s="0" t="n">
        <f aca="false">1.82*30*(G761^1.5)</f>
        <v>5.17949770710736</v>
      </c>
      <c r="J761" s="0" t="n">
        <f aca="false">I761*60</f>
        <v>310.769862426442</v>
      </c>
      <c r="K761" s="0" t="n">
        <f aca="false">(I761*86400)/24</f>
        <v>18646.1917455865</v>
      </c>
    </row>
    <row r="762" customFormat="false" ht="16.5" hidden="false" customHeight="false" outlineLevel="0" collapsed="false">
      <c r="A762" s="56" t="n">
        <v>45866.4166666667</v>
      </c>
      <c r="B762" s="57" t="n">
        <f aca="false">MOD(A762,1)</f>
        <v>0.416666666656965</v>
      </c>
      <c r="C762" s="0" t="n">
        <v>0</v>
      </c>
      <c r="D762" s="0" t="n">
        <v>489.907</v>
      </c>
      <c r="E762" s="0" t="n">
        <f aca="false">D762-0.155</f>
        <v>489.752</v>
      </c>
      <c r="F762" s="0" t="n">
        <v>489.545</v>
      </c>
      <c r="G762" s="0" t="n">
        <f aca="false">IF(E762 - F762 &lt; 0, 0, E762 - F762)</f>
        <v>0.206999999999994</v>
      </c>
      <c r="H762" s="0" t="n">
        <v>1.82</v>
      </c>
      <c r="I762" s="0" t="n">
        <f aca="false">1.82*30*(G762^1.5)</f>
        <v>5.14219049062533</v>
      </c>
      <c r="J762" s="0" t="n">
        <f aca="false">I762*60</f>
        <v>308.53142943752</v>
      </c>
      <c r="K762" s="0" t="n">
        <f aca="false">(I762*86400)/24</f>
        <v>18511.8857662512</v>
      </c>
    </row>
    <row r="763" customFormat="false" ht="16.5" hidden="false" customHeight="false" outlineLevel="0" collapsed="false">
      <c r="A763" s="56" t="n">
        <v>45866.4583333333</v>
      </c>
      <c r="B763" s="57" t="n">
        <f aca="false">MOD(A763,1)</f>
        <v>0.458333333343035</v>
      </c>
      <c r="C763" s="0" t="n">
        <v>0</v>
      </c>
      <c r="D763" s="0" t="n">
        <v>489.9</v>
      </c>
      <c r="E763" s="0" t="n">
        <f aca="false">D763-0.155</f>
        <v>489.745</v>
      </c>
      <c r="F763" s="0" t="n">
        <v>489.545</v>
      </c>
      <c r="G763" s="0" t="n">
        <f aca="false">IF(E763 - F763 &lt; 0, 0, E763 - F763)</f>
        <v>0.199999999999989</v>
      </c>
      <c r="H763" s="0" t="n">
        <v>1.82</v>
      </c>
      <c r="I763" s="0" t="n">
        <f aca="false">1.82*30*(G763^1.5)</f>
        <v>4.88357246285912</v>
      </c>
      <c r="J763" s="0" t="n">
        <f aca="false">I763*60</f>
        <v>293.014347771548</v>
      </c>
      <c r="K763" s="0" t="n">
        <f aca="false">(I763*86400)/24</f>
        <v>17580.8608662929</v>
      </c>
    </row>
    <row r="764" customFormat="false" ht="16.5" hidden="false" customHeight="false" outlineLevel="0" collapsed="false">
      <c r="A764" s="56" t="n">
        <v>45866.5</v>
      </c>
      <c r="B764" s="57" t="n">
        <f aca="false">MOD(A764,1)</f>
        <v>0.5</v>
      </c>
      <c r="C764" s="0" t="n">
        <v>0</v>
      </c>
      <c r="D764" s="0" t="n">
        <v>489.894</v>
      </c>
      <c r="E764" s="0" t="n">
        <f aca="false">D764-0.155</f>
        <v>489.739</v>
      </c>
      <c r="F764" s="0" t="n">
        <v>489.545</v>
      </c>
      <c r="G764" s="0" t="n">
        <f aca="false">IF(E764 - F764 &lt; 0, 0, E764 - F764)</f>
        <v>0.194000000000017</v>
      </c>
      <c r="H764" s="0" t="n">
        <v>1.82</v>
      </c>
      <c r="I764" s="0" t="n">
        <f aca="false">1.82*30*(G764^1.5)</f>
        <v>4.66546824289328</v>
      </c>
      <c r="J764" s="0" t="n">
        <f aca="false">I764*60</f>
        <v>279.928094573597</v>
      </c>
      <c r="K764" s="0" t="n">
        <f aca="false">(I764*86400)/24</f>
        <v>16795.6856744158</v>
      </c>
    </row>
    <row r="765" customFormat="false" ht="16.5" hidden="false" customHeight="false" outlineLevel="0" collapsed="false">
      <c r="A765" s="56" t="n">
        <v>45866.5416666667</v>
      </c>
      <c r="B765" s="57" t="n">
        <f aca="false">MOD(A765,1)</f>
        <v>0.541666666656965</v>
      </c>
      <c r="C765" s="0" t="n">
        <v>0.2</v>
      </c>
      <c r="D765" s="0" t="n">
        <v>489.894</v>
      </c>
      <c r="E765" s="0" t="n">
        <f aca="false">D765-0.155</f>
        <v>489.739</v>
      </c>
      <c r="F765" s="0" t="n">
        <v>489.545</v>
      </c>
      <c r="G765" s="0" t="n">
        <f aca="false">IF(E765 - F765 &lt; 0, 0, E765 - F765)</f>
        <v>0.194000000000017</v>
      </c>
      <c r="H765" s="0" t="n">
        <v>1.82</v>
      </c>
      <c r="I765" s="0" t="n">
        <f aca="false">1.82*30*(G765^1.5)</f>
        <v>4.66546824289328</v>
      </c>
      <c r="J765" s="0" t="n">
        <f aca="false">I765*60</f>
        <v>279.928094573597</v>
      </c>
      <c r="K765" s="0" t="n">
        <f aca="false">(I765*86400)/24</f>
        <v>16795.6856744158</v>
      </c>
    </row>
    <row r="766" customFormat="false" ht="16.5" hidden="false" customHeight="false" outlineLevel="0" collapsed="false">
      <c r="A766" s="56" t="n">
        <v>45866.5833333333</v>
      </c>
      <c r="B766" s="57" t="n">
        <f aca="false">MOD(A766,1)</f>
        <v>0.583333333343035</v>
      </c>
      <c r="C766" s="0" t="n">
        <v>0</v>
      </c>
      <c r="D766" s="0" t="n">
        <v>489.888</v>
      </c>
      <c r="E766" s="0" t="n">
        <f aca="false">D766-0.155</f>
        <v>489.733</v>
      </c>
      <c r="F766" s="0" t="n">
        <v>489.545</v>
      </c>
      <c r="G766" s="0" t="n">
        <f aca="false">IF(E766 - F766 &lt; 0, 0, E766 - F766)</f>
        <v>0.187999999999988</v>
      </c>
      <c r="H766" s="0" t="n">
        <v>1.82</v>
      </c>
      <c r="I766" s="0" t="n">
        <f aca="false">1.82*30*(G766^1.5)</f>
        <v>4.45071122176178</v>
      </c>
      <c r="J766" s="0" t="n">
        <f aca="false">I766*60</f>
        <v>267.042673305707</v>
      </c>
      <c r="K766" s="0" t="n">
        <f aca="false">(I766*86400)/24</f>
        <v>16022.5603983424</v>
      </c>
    </row>
    <row r="767" customFormat="false" ht="16.5" hidden="false" customHeight="false" outlineLevel="0" collapsed="false">
      <c r="A767" s="56" t="n">
        <v>45866.625</v>
      </c>
      <c r="B767" s="57" t="n">
        <f aca="false">MOD(A767,1)</f>
        <v>0.625</v>
      </c>
      <c r="C767" s="0" t="n">
        <v>0</v>
      </c>
      <c r="D767" s="0" t="n">
        <v>489.888</v>
      </c>
      <c r="E767" s="0" t="n">
        <f aca="false">D767-0.155</f>
        <v>489.733</v>
      </c>
      <c r="F767" s="0" t="n">
        <v>489.545</v>
      </c>
      <c r="G767" s="0" t="n">
        <f aca="false">IF(E767 - F767 &lt; 0, 0, E767 - F767)</f>
        <v>0.187999999999988</v>
      </c>
      <c r="H767" s="0" t="n">
        <v>1.82</v>
      </c>
      <c r="I767" s="0" t="n">
        <f aca="false">1.82*30*(G767^1.5)</f>
        <v>4.45071122176178</v>
      </c>
      <c r="J767" s="0" t="n">
        <f aca="false">I767*60</f>
        <v>267.042673305707</v>
      </c>
      <c r="K767" s="0" t="n">
        <f aca="false">(I767*86400)/24</f>
        <v>16022.5603983424</v>
      </c>
    </row>
    <row r="768" customFormat="false" ht="16.5" hidden="false" customHeight="false" outlineLevel="0" collapsed="false">
      <c r="A768" s="56" t="n">
        <v>45866.6666666667</v>
      </c>
      <c r="B768" s="57" t="n">
        <f aca="false">MOD(A768,1)</f>
        <v>0.666666666656965</v>
      </c>
      <c r="C768" s="0" t="n">
        <v>0</v>
      </c>
      <c r="D768" s="0" t="n">
        <v>489.881</v>
      </c>
      <c r="E768" s="0" t="n">
        <f aca="false">D768-0.155</f>
        <v>489.726</v>
      </c>
      <c r="F768" s="0" t="n">
        <v>489.545</v>
      </c>
      <c r="G768" s="0" t="n">
        <f aca="false">IF(E768 - F768 &lt; 0, 0, E768 - F768)</f>
        <v>0.180999999999983</v>
      </c>
      <c r="H768" s="0" t="n">
        <v>1.82</v>
      </c>
      <c r="I768" s="0" t="n">
        <f aca="false">1.82*30*(G768^1.5)</f>
        <v>4.20446270997319</v>
      </c>
      <c r="J768" s="0" t="n">
        <f aca="false">I768*60</f>
        <v>252.267762598391</v>
      </c>
      <c r="K768" s="0" t="n">
        <f aca="false">(I768*86400)/24</f>
        <v>15136.0657559035</v>
      </c>
    </row>
    <row r="769" customFormat="false" ht="16.5" hidden="false" customHeight="false" outlineLevel="0" collapsed="false">
      <c r="A769" s="56" t="n">
        <v>45866.7083333333</v>
      </c>
      <c r="B769" s="57" t="n">
        <f aca="false">MOD(A769,1)</f>
        <v>0.708333333343035</v>
      </c>
      <c r="C769" s="0" t="n">
        <v>0</v>
      </c>
      <c r="D769" s="0" t="n">
        <v>489.875</v>
      </c>
      <c r="E769" s="0" t="n">
        <f aca="false">D769-0.155</f>
        <v>489.72</v>
      </c>
      <c r="F769" s="0" t="n">
        <v>489.545</v>
      </c>
      <c r="G769" s="0" t="n">
        <f aca="false">IF(E769 - F769 &lt; 0, 0, E769 - F769)</f>
        <v>0.175000000000011</v>
      </c>
      <c r="H769" s="0" t="n">
        <v>1.82</v>
      </c>
      <c r="I769" s="0" t="n">
        <f aca="false">1.82*30*(G769^1.5)</f>
        <v>3.99714327676694</v>
      </c>
      <c r="J769" s="0" t="n">
        <f aca="false">I769*60</f>
        <v>239.828596606016</v>
      </c>
      <c r="K769" s="0" t="n">
        <f aca="false">(I769*86400)/24</f>
        <v>14389.715796361</v>
      </c>
    </row>
    <row r="770" customFormat="false" ht="16.5" hidden="false" customHeight="false" outlineLevel="0" collapsed="false">
      <c r="A770" s="56" t="n">
        <v>45866.75</v>
      </c>
      <c r="B770" s="57" t="n">
        <f aca="false">MOD(A770,1)</f>
        <v>0.75</v>
      </c>
      <c r="C770" s="0" t="n">
        <v>0</v>
      </c>
      <c r="D770" s="0" t="n">
        <v>489.875</v>
      </c>
      <c r="E770" s="0" t="n">
        <f aca="false">D770-0.155</f>
        <v>489.72</v>
      </c>
      <c r="F770" s="0" t="n">
        <v>489.545</v>
      </c>
      <c r="G770" s="0" t="n">
        <f aca="false">IF(E770 - F770 &lt; 0, 0, E770 - F770)</f>
        <v>0.175000000000011</v>
      </c>
      <c r="H770" s="0" t="n">
        <v>1.82</v>
      </c>
      <c r="I770" s="0" t="n">
        <f aca="false">1.82*30*(G770^1.5)</f>
        <v>3.99714327676694</v>
      </c>
      <c r="J770" s="0" t="n">
        <f aca="false">I770*60</f>
        <v>239.828596606016</v>
      </c>
      <c r="K770" s="0" t="n">
        <f aca="false">(I770*86400)/24</f>
        <v>14389.715796361</v>
      </c>
    </row>
    <row r="771" customFormat="false" ht="16.5" hidden="false" customHeight="false" outlineLevel="0" collapsed="false">
      <c r="A771" s="56" t="n">
        <v>45866.7916666667</v>
      </c>
      <c r="B771" s="57" t="n">
        <f aca="false">MOD(A771,1)</f>
        <v>0.791666666656965</v>
      </c>
      <c r="C771" s="0" t="n">
        <v>0</v>
      </c>
      <c r="D771" s="0" t="n">
        <v>489.868</v>
      </c>
      <c r="E771" s="0" t="n">
        <f aca="false">D771-0.155</f>
        <v>489.713</v>
      </c>
      <c r="F771" s="0" t="n">
        <v>489.545</v>
      </c>
      <c r="G771" s="0" t="n">
        <f aca="false">IF(E771 - F771 &lt; 0, 0, E771 - F771)</f>
        <v>0.168000000000006</v>
      </c>
      <c r="H771" s="0" t="n">
        <v>1.82</v>
      </c>
      <c r="I771" s="0" t="n">
        <f aca="false">1.82*30*(G771^1.5)</f>
        <v>3.75972919943998</v>
      </c>
      <c r="J771" s="0" t="n">
        <f aca="false">I771*60</f>
        <v>225.583751966399</v>
      </c>
      <c r="K771" s="0" t="n">
        <f aca="false">(I771*86400)/24</f>
        <v>13535.0251179839</v>
      </c>
    </row>
    <row r="772" customFormat="false" ht="16.5" hidden="false" customHeight="false" outlineLevel="0" collapsed="false">
      <c r="A772" s="56" t="n">
        <v>45866.8333333333</v>
      </c>
      <c r="B772" s="57" t="n">
        <f aca="false">MOD(A772,1)</f>
        <v>0.833333333343035</v>
      </c>
      <c r="C772" s="0" t="n">
        <v>0</v>
      </c>
      <c r="D772" s="0" t="n">
        <v>489.868</v>
      </c>
      <c r="E772" s="0" t="n">
        <f aca="false">D772-0.155</f>
        <v>489.713</v>
      </c>
      <c r="F772" s="0" t="n">
        <v>489.545</v>
      </c>
      <c r="G772" s="0" t="n">
        <f aca="false">IF(E772 - F772 &lt; 0, 0, E772 - F772)</f>
        <v>0.168000000000006</v>
      </c>
      <c r="H772" s="0" t="n">
        <v>1.82</v>
      </c>
      <c r="I772" s="0" t="n">
        <f aca="false">1.82*30*(G772^1.5)</f>
        <v>3.75972919943998</v>
      </c>
      <c r="J772" s="0" t="n">
        <f aca="false">I772*60</f>
        <v>225.583751966399</v>
      </c>
      <c r="K772" s="0" t="n">
        <f aca="false">(I772*86400)/24</f>
        <v>13535.0251179839</v>
      </c>
    </row>
    <row r="773" customFormat="false" ht="16.5" hidden="false" customHeight="false" outlineLevel="0" collapsed="false">
      <c r="A773" s="56" t="n">
        <v>45866.875</v>
      </c>
      <c r="B773" s="57" t="n">
        <f aca="false">MOD(A773,1)</f>
        <v>0.875</v>
      </c>
      <c r="C773" s="0" t="n">
        <v>0</v>
      </c>
      <c r="D773" s="0" t="n">
        <v>489.862</v>
      </c>
      <c r="E773" s="0" t="n">
        <f aca="false">D773-0.155</f>
        <v>489.707</v>
      </c>
      <c r="F773" s="0" t="n">
        <v>489.545</v>
      </c>
      <c r="G773" s="0" t="n">
        <f aca="false">IF(E773 - F773 &lt; 0, 0, E773 - F773)</f>
        <v>0.162000000000035</v>
      </c>
      <c r="H773" s="0" t="n">
        <v>1.82</v>
      </c>
      <c r="I773" s="0" t="n">
        <f aca="false">1.82*30*(G773^1.5)</f>
        <v>3.56012432542574</v>
      </c>
      <c r="J773" s="0" t="n">
        <f aca="false">I773*60</f>
        <v>213.607459525545</v>
      </c>
      <c r="K773" s="0" t="n">
        <f aca="false">(I773*86400)/24</f>
        <v>12816.4475715327</v>
      </c>
    </row>
    <row r="774" customFormat="false" ht="16.5" hidden="false" customHeight="false" outlineLevel="0" collapsed="false">
      <c r="A774" s="56" t="n">
        <v>45866.9166666667</v>
      </c>
      <c r="B774" s="57" t="n">
        <f aca="false">MOD(A774,1)</f>
        <v>0.916666666656965</v>
      </c>
      <c r="C774" s="0" t="n">
        <v>0</v>
      </c>
      <c r="D774" s="0" t="n">
        <v>489.862</v>
      </c>
      <c r="E774" s="0" t="n">
        <f aca="false">D774-0.155</f>
        <v>489.707</v>
      </c>
      <c r="F774" s="0" t="n">
        <v>489.545</v>
      </c>
      <c r="G774" s="0" t="n">
        <f aca="false">IF(E774 - F774 &lt; 0, 0, E774 - F774)</f>
        <v>0.162000000000035</v>
      </c>
      <c r="H774" s="0" t="n">
        <v>1.82</v>
      </c>
      <c r="I774" s="0" t="n">
        <f aca="false">1.82*30*(G774^1.5)</f>
        <v>3.56012432542574</v>
      </c>
      <c r="J774" s="0" t="n">
        <f aca="false">I774*60</f>
        <v>213.607459525545</v>
      </c>
      <c r="K774" s="0" t="n">
        <f aca="false">(I774*86400)/24</f>
        <v>12816.4475715327</v>
      </c>
    </row>
    <row r="775" customFormat="false" ht="16.5" hidden="false" customHeight="false" outlineLevel="0" collapsed="false">
      <c r="A775" s="56" t="n">
        <v>45866.9583333333</v>
      </c>
      <c r="B775" s="57" t="n">
        <f aca="false">MOD(A775,1)</f>
        <v>0.958333333343035</v>
      </c>
      <c r="C775" s="0" t="n">
        <v>0</v>
      </c>
      <c r="D775" s="0" t="n">
        <v>489.855</v>
      </c>
      <c r="E775" s="0" t="n">
        <f aca="false">D775-0.155</f>
        <v>489.7</v>
      </c>
      <c r="F775" s="0" t="n">
        <v>489.545</v>
      </c>
      <c r="G775" s="0" t="n">
        <f aca="false">IF(E775 - F775 &lt; 0, 0, E775 - F775)</f>
        <v>0.15500000000003</v>
      </c>
      <c r="H775" s="0" t="n">
        <v>1.82</v>
      </c>
      <c r="I775" s="0" t="n">
        <f aca="false">1.82*30*(G775^1.5)</f>
        <v>3.33188643188905</v>
      </c>
      <c r="J775" s="0" t="n">
        <f aca="false">I775*60</f>
        <v>199.913185913343</v>
      </c>
      <c r="K775" s="0" t="n">
        <f aca="false">(I775*86400)/24</f>
        <v>11994.7911548006</v>
      </c>
    </row>
    <row r="776" customFormat="false" ht="16.5" hidden="false" customHeight="false" outlineLevel="0" collapsed="false">
      <c r="A776" s="56" t="n">
        <v>45867</v>
      </c>
      <c r="B776" s="57" t="n">
        <f aca="false">MOD(A776,1)</f>
        <v>0</v>
      </c>
      <c r="C776" s="0" t="n">
        <v>0</v>
      </c>
      <c r="D776" s="0" t="n">
        <v>489.848</v>
      </c>
      <c r="E776" s="0" t="n">
        <f aca="false">D776-0.155</f>
        <v>489.693</v>
      </c>
      <c r="F776" s="0" t="n">
        <v>489.545</v>
      </c>
      <c r="G776" s="0" t="n">
        <f aca="false">IF(E776 - F776 &lt; 0, 0, E776 - F776)</f>
        <v>0.148000000000025</v>
      </c>
      <c r="H776" s="0" t="n">
        <v>1.82</v>
      </c>
      <c r="I776" s="0" t="n">
        <f aca="false">1.82*30*(G776^1.5)</f>
        <v>3.10874583051185</v>
      </c>
      <c r="J776" s="0" t="n">
        <f aca="false">I776*60</f>
        <v>186.524749830711</v>
      </c>
      <c r="K776" s="0" t="n">
        <f aca="false">(I776*86400)/24</f>
        <v>11191.4849898427</v>
      </c>
    </row>
    <row r="777" customFormat="false" ht="16.5" hidden="false" customHeight="false" outlineLevel="0" collapsed="false">
      <c r="A777" s="56" t="n">
        <v>45867.0416666667</v>
      </c>
      <c r="B777" s="57" t="n">
        <f aca="false">MOD(A777,1)</f>
        <v>0.0416666666569654</v>
      </c>
      <c r="C777" s="0" t="n">
        <v>0</v>
      </c>
      <c r="D777" s="0" t="n">
        <v>489.848</v>
      </c>
      <c r="E777" s="0" t="n">
        <f aca="false">D777-0.155</f>
        <v>489.693</v>
      </c>
      <c r="F777" s="0" t="n">
        <v>489.545</v>
      </c>
      <c r="G777" s="0" t="n">
        <f aca="false">IF(E777 - F777 &lt; 0, 0, E777 - F777)</f>
        <v>0.148000000000025</v>
      </c>
      <c r="H777" s="0" t="n">
        <v>1.82</v>
      </c>
      <c r="I777" s="0" t="n">
        <f aca="false">1.82*30*(G777^1.5)</f>
        <v>3.10874583051185</v>
      </c>
      <c r="J777" s="0" t="n">
        <f aca="false">I777*60</f>
        <v>186.524749830711</v>
      </c>
      <c r="K777" s="0" t="n">
        <f aca="false">(I777*86400)/24</f>
        <v>11191.4849898427</v>
      </c>
    </row>
    <row r="778" customFormat="false" ht="16.5" hidden="false" customHeight="false" outlineLevel="0" collapsed="false">
      <c r="A778" s="56" t="n">
        <v>45867.0833333333</v>
      </c>
      <c r="B778" s="57" t="n">
        <f aca="false">MOD(A778,1)</f>
        <v>0.0833333333430346</v>
      </c>
      <c r="C778" s="0" t="n">
        <v>0</v>
      </c>
      <c r="D778" s="0" t="n">
        <v>489.842</v>
      </c>
      <c r="E778" s="0" t="n">
        <f aca="false">D778-0.155</f>
        <v>489.687</v>
      </c>
      <c r="F778" s="0" t="n">
        <v>489.545</v>
      </c>
      <c r="G778" s="0" t="n">
        <f aca="false">IF(E778 - F778 &lt; 0, 0, E778 - F778)</f>
        <v>0.141999999999996</v>
      </c>
      <c r="H778" s="0" t="n">
        <v>1.82</v>
      </c>
      <c r="I778" s="0" t="n">
        <f aca="false">1.82*30*(G778^1.5)</f>
        <v>2.92162962301508</v>
      </c>
      <c r="J778" s="0" t="n">
        <f aca="false">I778*60</f>
        <v>175.297777380905</v>
      </c>
      <c r="K778" s="0" t="n">
        <f aca="false">(I778*86400)/24</f>
        <v>10517.8666428543</v>
      </c>
    </row>
    <row r="779" customFormat="false" ht="16.5" hidden="false" customHeight="false" outlineLevel="0" collapsed="false">
      <c r="A779" s="56" t="n">
        <v>45867.125</v>
      </c>
      <c r="B779" s="57" t="n">
        <f aca="false">MOD(A779,1)</f>
        <v>0.125</v>
      </c>
      <c r="C779" s="0" t="n">
        <v>0</v>
      </c>
      <c r="D779" s="0" t="n">
        <v>489.842</v>
      </c>
      <c r="E779" s="0" t="n">
        <f aca="false">D779-0.155</f>
        <v>489.687</v>
      </c>
      <c r="F779" s="0" t="n">
        <v>489.545</v>
      </c>
      <c r="G779" s="0" t="n">
        <f aca="false">IF(E779 - F779 &lt; 0, 0, E779 - F779)</f>
        <v>0.141999999999996</v>
      </c>
      <c r="H779" s="0" t="n">
        <v>1.82</v>
      </c>
      <c r="I779" s="0" t="n">
        <f aca="false">1.82*30*(G779^1.5)</f>
        <v>2.92162962301508</v>
      </c>
      <c r="J779" s="0" t="n">
        <f aca="false">I779*60</f>
        <v>175.297777380905</v>
      </c>
      <c r="K779" s="0" t="n">
        <f aca="false">(I779*86400)/24</f>
        <v>10517.8666428543</v>
      </c>
    </row>
    <row r="780" customFormat="false" ht="16.5" hidden="false" customHeight="false" outlineLevel="0" collapsed="false">
      <c r="A780" s="56" t="n">
        <v>45867.1666666667</v>
      </c>
      <c r="B780" s="57" t="n">
        <f aca="false">MOD(A780,1)</f>
        <v>0.166666666656965</v>
      </c>
      <c r="C780" s="0" t="n">
        <v>0</v>
      </c>
      <c r="D780" s="0" t="n">
        <v>489.835</v>
      </c>
      <c r="E780" s="0" t="n">
        <f aca="false">D780-0.155</f>
        <v>489.68</v>
      </c>
      <c r="F780" s="0" t="n">
        <v>489.545</v>
      </c>
      <c r="G780" s="0" t="n">
        <f aca="false">IF(E780 - F780 &lt; 0, 0, E780 - F780)</f>
        <v>0.134999999999991</v>
      </c>
      <c r="H780" s="0" t="n">
        <v>1.82</v>
      </c>
      <c r="I780" s="0" t="n">
        <f aca="false">1.82*30*(G780^1.5)</f>
        <v>2.70827833410795</v>
      </c>
      <c r="J780" s="0" t="n">
        <f aca="false">I780*60</f>
        <v>162.496700046477</v>
      </c>
      <c r="K780" s="0" t="n">
        <f aca="false">(I780*86400)/24</f>
        <v>9749.80200278861</v>
      </c>
    </row>
    <row r="781" customFormat="false" ht="16.5" hidden="false" customHeight="false" outlineLevel="0" collapsed="false">
      <c r="A781" s="56" t="n">
        <v>45867.2083333333</v>
      </c>
      <c r="B781" s="57" t="n">
        <f aca="false">MOD(A781,1)</f>
        <v>0.208333333343035</v>
      </c>
      <c r="C781" s="0" t="n">
        <v>0</v>
      </c>
      <c r="D781" s="0" t="n">
        <v>489.835</v>
      </c>
      <c r="E781" s="0" t="n">
        <f aca="false">D781-0.155</f>
        <v>489.68</v>
      </c>
      <c r="F781" s="0" t="n">
        <v>489.545</v>
      </c>
      <c r="G781" s="0" t="n">
        <f aca="false">IF(E781 - F781 &lt; 0, 0, E781 - F781)</f>
        <v>0.134999999999991</v>
      </c>
      <c r="H781" s="0" t="n">
        <v>1.82</v>
      </c>
      <c r="I781" s="0" t="n">
        <f aca="false">1.82*30*(G781^1.5)</f>
        <v>2.70827833410795</v>
      </c>
      <c r="J781" s="0" t="n">
        <f aca="false">I781*60</f>
        <v>162.496700046477</v>
      </c>
      <c r="K781" s="0" t="n">
        <f aca="false">(I781*86400)/24</f>
        <v>9749.80200278861</v>
      </c>
    </row>
    <row r="782" customFormat="false" ht="16.5" hidden="false" customHeight="false" outlineLevel="0" collapsed="false">
      <c r="A782" s="56" t="n">
        <v>45867.25</v>
      </c>
      <c r="B782" s="57" t="n">
        <f aca="false">MOD(A782,1)</f>
        <v>0.25</v>
      </c>
      <c r="C782" s="0" t="n">
        <v>0</v>
      </c>
      <c r="D782" s="0" t="n">
        <v>489.835</v>
      </c>
      <c r="E782" s="0" t="n">
        <f aca="false">D782-0.155</f>
        <v>489.68</v>
      </c>
      <c r="F782" s="0" t="n">
        <v>489.545</v>
      </c>
      <c r="G782" s="0" t="n">
        <f aca="false">IF(E782 - F782 &lt; 0, 0, E782 - F782)</f>
        <v>0.134999999999991</v>
      </c>
      <c r="H782" s="0" t="n">
        <v>1.82</v>
      </c>
      <c r="I782" s="0" t="n">
        <f aca="false">1.82*30*(G782^1.5)</f>
        <v>2.70827833410795</v>
      </c>
      <c r="J782" s="0" t="n">
        <f aca="false">I782*60</f>
        <v>162.496700046477</v>
      </c>
      <c r="K782" s="0" t="n">
        <f aca="false">(I782*86400)/24</f>
        <v>9749.80200278861</v>
      </c>
    </row>
    <row r="783" customFormat="false" ht="16.5" hidden="false" customHeight="false" outlineLevel="0" collapsed="false">
      <c r="A783" s="56" t="n">
        <v>45867.2916666667</v>
      </c>
      <c r="B783" s="57" t="n">
        <f aca="false">MOD(A783,1)</f>
        <v>0.291666666656965</v>
      </c>
      <c r="C783" s="0" t="n">
        <v>0</v>
      </c>
      <c r="D783" s="0" t="n">
        <v>489.829</v>
      </c>
      <c r="E783" s="0" t="n">
        <f aca="false">D783-0.155</f>
        <v>489.674</v>
      </c>
      <c r="F783" s="0" t="n">
        <v>489.545</v>
      </c>
      <c r="G783" s="0" t="n">
        <f aca="false">IF(E783 - F783 &lt; 0, 0, E783 - F783)</f>
        <v>0.129000000000019</v>
      </c>
      <c r="H783" s="0" t="n">
        <v>1.82</v>
      </c>
      <c r="I783" s="0" t="n">
        <f aca="false">1.82*30*(G783^1.5)</f>
        <v>2.52974769082666</v>
      </c>
      <c r="J783" s="0" t="n">
        <f aca="false">I783*60</f>
        <v>151.7848614496</v>
      </c>
      <c r="K783" s="0" t="n">
        <f aca="false">(I783*86400)/24</f>
        <v>9107.09168697599</v>
      </c>
    </row>
    <row r="784" customFormat="false" ht="16.5" hidden="false" customHeight="false" outlineLevel="0" collapsed="false">
      <c r="A784" s="56" t="n">
        <v>45867.3333333333</v>
      </c>
      <c r="B784" s="57" t="n">
        <f aca="false">MOD(A784,1)</f>
        <v>0.333333333343035</v>
      </c>
      <c r="C784" s="0" t="n">
        <v>0</v>
      </c>
      <c r="D784" s="0" t="n">
        <v>489.829</v>
      </c>
      <c r="E784" s="0" t="n">
        <f aca="false">D784-0.155</f>
        <v>489.674</v>
      </c>
      <c r="F784" s="0" t="n">
        <v>489.545</v>
      </c>
      <c r="G784" s="0" t="n">
        <f aca="false">IF(E784 - F784 &lt; 0, 0, E784 - F784)</f>
        <v>0.129000000000019</v>
      </c>
      <c r="H784" s="0" t="n">
        <v>1.82</v>
      </c>
      <c r="I784" s="0" t="n">
        <f aca="false">1.82*30*(G784^1.5)</f>
        <v>2.52974769082666</v>
      </c>
      <c r="J784" s="0" t="n">
        <f aca="false">I784*60</f>
        <v>151.7848614496</v>
      </c>
      <c r="K784" s="0" t="n">
        <f aca="false">(I784*86400)/24</f>
        <v>9107.09168697599</v>
      </c>
    </row>
    <row r="785" customFormat="false" ht="16.5" hidden="false" customHeight="false" outlineLevel="0" collapsed="false">
      <c r="A785" s="56" t="n">
        <v>45867.375</v>
      </c>
      <c r="B785" s="57" t="n">
        <f aca="false">MOD(A785,1)</f>
        <v>0.375</v>
      </c>
      <c r="C785" s="0" t="n">
        <v>0</v>
      </c>
      <c r="D785" s="0" t="n">
        <v>489.822</v>
      </c>
      <c r="E785" s="0" t="n">
        <f aca="false">D785-0.155</f>
        <v>489.667</v>
      </c>
      <c r="F785" s="0" t="n">
        <v>489.545</v>
      </c>
      <c r="G785" s="0" t="n">
        <f aca="false">IF(E785 - F785 &lt; 0, 0, E785 - F785)</f>
        <v>0.122000000000014</v>
      </c>
      <c r="H785" s="0" t="n">
        <v>1.82</v>
      </c>
      <c r="I785" s="0" t="n">
        <f aca="false">1.82*30*(G785^1.5)</f>
        <v>2.32665713496464</v>
      </c>
      <c r="J785" s="0" t="n">
        <f aca="false">I785*60</f>
        <v>139.599428097879</v>
      </c>
      <c r="K785" s="0" t="n">
        <f aca="false">(I785*86400)/24</f>
        <v>8375.96568587271</v>
      </c>
    </row>
    <row r="786" customFormat="false" ht="16.5" hidden="false" customHeight="false" outlineLevel="0" collapsed="false">
      <c r="A786" s="56" t="n">
        <v>45867.4166666667</v>
      </c>
      <c r="B786" s="57" t="n">
        <f aca="false">MOD(A786,1)</f>
        <v>0.416666666656965</v>
      </c>
      <c r="C786" s="0" t="n">
        <v>0</v>
      </c>
      <c r="D786" s="0" t="n">
        <v>489.822</v>
      </c>
      <c r="E786" s="0" t="n">
        <f aca="false">D786-0.155</f>
        <v>489.667</v>
      </c>
      <c r="F786" s="0" t="n">
        <v>489.545</v>
      </c>
      <c r="G786" s="0" t="n">
        <f aca="false">IF(E786 - F786 &lt; 0, 0, E786 - F786)</f>
        <v>0.122000000000014</v>
      </c>
      <c r="H786" s="0" t="n">
        <v>1.82</v>
      </c>
      <c r="I786" s="0" t="n">
        <f aca="false">1.82*30*(G786^1.5)</f>
        <v>2.32665713496464</v>
      </c>
      <c r="J786" s="0" t="n">
        <f aca="false">I786*60</f>
        <v>139.599428097879</v>
      </c>
      <c r="K786" s="0" t="n">
        <f aca="false">(I786*86400)/24</f>
        <v>8375.96568587271</v>
      </c>
    </row>
    <row r="787" customFormat="false" ht="16.5" hidden="false" customHeight="false" outlineLevel="0" collapsed="false">
      <c r="A787" s="56" t="n">
        <v>45867.4583333333</v>
      </c>
      <c r="B787" s="57" t="n">
        <f aca="false">MOD(A787,1)</f>
        <v>0.458333333343035</v>
      </c>
      <c r="C787" s="0" t="n">
        <v>0</v>
      </c>
      <c r="D787" s="0" t="n">
        <v>489.816</v>
      </c>
      <c r="E787" s="0" t="n">
        <f aca="false">D787-0.155</f>
        <v>489.661</v>
      </c>
      <c r="F787" s="0" t="n">
        <v>489.545</v>
      </c>
      <c r="G787" s="0" t="n">
        <f aca="false">IF(E787 - F787 &lt; 0, 0, E787 - F787)</f>
        <v>0.115999999999985</v>
      </c>
      <c r="H787" s="0" t="n">
        <v>1.82</v>
      </c>
      <c r="I787" s="0" t="n">
        <f aca="false">1.82*30*(G787^1.5)</f>
        <v>2.15714642974422</v>
      </c>
      <c r="J787" s="0" t="n">
        <f aca="false">I787*60</f>
        <v>129.428785784653</v>
      </c>
      <c r="K787" s="0" t="n">
        <f aca="false">(I787*86400)/24</f>
        <v>7765.7271470792</v>
      </c>
    </row>
    <row r="788" customFormat="false" ht="16.5" hidden="false" customHeight="false" outlineLevel="0" collapsed="false">
      <c r="A788" s="56" t="n">
        <v>45867.5</v>
      </c>
      <c r="B788" s="57" t="n">
        <f aca="false">MOD(A788,1)</f>
        <v>0.5</v>
      </c>
      <c r="C788" s="0" t="n">
        <v>0</v>
      </c>
      <c r="D788" s="0" t="n">
        <v>489.816</v>
      </c>
      <c r="E788" s="0" t="n">
        <f aca="false">D788-0.155</f>
        <v>489.661</v>
      </c>
      <c r="F788" s="0" t="n">
        <v>489.545</v>
      </c>
      <c r="G788" s="0" t="n">
        <f aca="false">IF(E788 - F788 &lt; 0, 0, E788 - F788)</f>
        <v>0.115999999999985</v>
      </c>
      <c r="H788" s="0" t="n">
        <v>1.82</v>
      </c>
      <c r="I788" s="0" t="n">
        <f aca="false">1.82*30*(G788^1.5)</f>
        <v>2.15714642974422</v>
      </c>
      <c r="J788" s="0" t="n">
        <f aca="false">I788*60</f>
        <v>129.428785784653</v>
      </c>
      <c r="K788" s="0" t="n">
        <f aca="false">(I788*86400)/24</f>
        <v>7765.7271470792</v>
      </c>
    </row>
    <row r="789" customFormat="false" ht="16.5" hidden="false" customHeight="false" outlineLevel="0" collapsed="false">
      <c r="A789" s="56" t="n">
        <v>45867.5416666667</v>
      </c>
      <c r="B789" s="57" t="n">
        <f aca="false">MOD(A789,1)</f>
        <v>0.541666666656965</v>
      </c>
      <c r="C789" s="0" t="n">
        <v>0</v>
      </c>
      <c r="D789" s="0" t="n">
        <v>489.816</v>
      </c>
      <c r="E789" s="0" t="n">
        <f aca="false">D789-0.155</f>
        <v>489.661</v>
      </c>
      <c r="F789" s="0" t="n">
        <v>489.545</v>
      </c>
      <c r="G789" s="0" t="n">
        <f aca="false">IF(E789 - F789 &lt; 0, 0, E789 - F789)</f>
        <v>0.115999999999985</v>
      </c>
      <c r="H789" s="0" t="n">
        <v>1.82</v>
      </c>
      <c r="I789" s="0" t="n">
        <f aca="false">1.82*30*(G789^1.5)</f>
        <v>2.15714642974422</v>
      </c>
      <c r="J789" s="0" t="n">
        <f aca="false">I789*60</f>
        <v>129.428785784653</v>
      </c>
      <c r="K789" s="0" t="n">
        <f aca="false">(I789*86400)/24</f>
        <v>7765.7271470792</v>
      </c>
    </row>
    <row r="790" customFormat="false" ht="16.5" hidden="false" customHeight="false" outlineLevel="0" collapsed="false">
      <c r="A790" s="56" t="n">
        <v>45867.5833333333</v>
      </c>
      <c r="B790" s="57" t="n">
        <f aca="false">MOD(A790,1)</f>
        <v>0.583333333343035</v>
      </c>
      <c r="C790" s="0" t="n">
        <v>0</v>
      </c>
      <c r="D790" s="0" t="n">
        <v>489.81</v>
      </c>
      <c r="E790" s="0" t="n">
        <f aca="false">D790-0.155</f>
        <v>489.655</v>
      </c>
      <c r="F790" s="0" t="n">
        <v>489.545</v>
      </c>
      <c r="G790" s="0" t="n">
        <f aca="false">IF(E790 - F790 &lt; 0, 0, E790 - F790)</f>
        <v>0.110000000000014</v>
      </c>
      <c r="H790" s="0" t="n">
        <v>1.82</v>
      </c>
      <c r="I790" s="0" t="n">
        <f aca="false">1.82*30*(G790^1.5)</f>
        <v>1.99196484908782</v>
      </c>
      <c r="J790" s="0" t="n">
        <f aca="false">I790*60</f>
        <v>119.517890945269</v>
      </c>
      <c r="K790" s="0" t="n">
        <f aca="false">(I790*86400)/24</f>
        <v>7171.07345671617</v>
      </c>
    </row>
    <row r="791" customFormat="false" ht="16.5" hidden="false" customHeight="false" outlineLevel="0" collapsed="false">
      <c r="A791" s="56" t="n">
        <v>45867.625</v>
      </c>
      <c r="B791" s="57" t="n">
        <f aca="false">MOD(A791,1)</f>
        <v>0.625</v>
      </c>
      <c r="C791" s="0" t="n">
        <v>0</v>
      </c>
      <c r="D791" s="0" t="n">
        <v>489.81</v>
      </c>
      <c r="E791" s="0" t="n">
        <f aca="false">D791-0.155</f>
        <v>489.655</v>
      </c>
      <c r="F791" s="0" t="n">
        <v>489.545</v>
      </c>
      <c r="G791" s="0" t="n">
        <f aca="false">IF(E791 - F791 &lt; 0, 0, E791 - F791)</f>
        <v>0.110000000000014</v>
      </c>
      <c r="H791" s="0" t="n">
        <v>1.82</v>
      </c>
      <c r="I791" s="0" t="n">
        <f aca="false">1.82*30*(G791^1.5)</f>
        <v>1.99196484908782</v>
      </c>
      <c r="J791" s="0" t="n">
        <f aca="false">I791*60</f>
        <v>119.517890945269</v>
      </c>
      <c r="K791" s="0" t="n">
        <f aca="false">(I791*86400)/24</f>
        <v>7171.07345671617</v>
      </c>
    </row>
    <row r="792" customFormat="false" ht="16.5" hidden="false" customHeight="false" outlineLevel="0" collapsed="false">
      <c r="A792" s="56" t="n">
        <v>45867.6666666667</v>
      </c>
      <c r="B792" s="57" t="n">
        <f aca="false">MOD(A792,1)</f>
        <v>0.666666666656965</v>
      </c>
      <c r="C792" s="0" t="n">
        <v>0</v>
      </c>
      <c r="D792" s="0" t="n">
        <v>489.81</v>
      </c>
      <c r="E792" s="0" t="n">
        <f aca="false">D792-0.155</f>
        <v>489.655</v>
      </c>
      <c r="F792" s="0" t="n">
        <v>489.545</v>
      </c>
      <c r="G792" s="0" t="n">
        <f aca="false">IF(E792 - F792 &lt; 0, 0, E792 - F792)</f>
        <v>0.110000000000014</v>
      </c>
      <c r="H792" s="0" t="n">
        <v>1.82</v>
      </c>
      <c r="I792" s="0" t="n">
        <f aca="false">1.82*30*(G792^1.5)</f>
        <v>1.99196484908782</v>
      </c>
      <c r="J792" s="0" t="n">
        <f aca="false">I792*60</f>
        <v>119.517890945269</v>
      </c>
      <c r="K792" s="0" t="n">
        <f aca="false">(I792*86400)/24</f>
        <v>7171.07345671617</v>
      </c>
    </row>
    <row r="793" customFormat="false" ht="16.5" hidden="false" customHeight="false" outlineLevel="0" collapsed="false">
      <c r="A793" s="56" t="n">
        <v>45867.7083333333</v>
      </c>
      <c r="B793" s="57" t="n">
        <f aca="false">MOD(A793,1)</f>
        <v>0.708333333343035</v>
      </c>
      <c r="C793" s="0" t="n">
        <v>0</v>
      </c>
      <c r="D793" s="0" t="n">
        <v>489.81</v>
      </c>
      <c r="E793" s="0" t="n">
        <f aca="false">D793-0.155</f>
        <v>489.655</v>
      </c>
      <c r="F793" s="0" t="n">
        <v>489.545</v>
      </c>
      <c r="G793" s="0" t="n">
        <f aca="false">IF(E793 - F793 &lt; 0, 0, E793 - F793)</f>
        <v>0.110000000000014</v>
      </c>
      <c r="H793" s="0" t="n">
        <v>1.82</v>
      </c>
      <c r="I793" s="0" t="n">
        <f aca="false">1.82*30*(G793^1.5)</f>
        <v>1.99196484908782</v>
      </c>
      <c r="J793" s="0" t="n">
        <f aca="false">I793*60</f>
        <v>119.517890945269</v>
      </c>
      <c r="K793" s="0" t="n">
        <f aca="false">(I793*86400)/24</f>
        <v>7171.07345671617</v>
      </c>
    </row>
    <row r="794" customFormat="false" ht="16.5" hidden="false" customHeight="false" outlineLevel="0" collapsed="false">
      <c r="A794" s="56" t="n">
        <v>45867.75</v>
      </c>
      <c r="B794" s="57" t="n">
        <f aca="false">MOD(A794,1)</f>
        <v>0.75</v>
      </c>
      <c r="C794" s="0" t="n">
        <v>0.4</v>
      </c>
      <c r="D794" s="0" t="n">
        <v>489.829</v>
      </c>
      <c r="E794" s="0" t="n">
        <f aca="false">D794-0.155</f>
        <v>489.674</v>
      </c>
      <c r="F794" s="0" t="n">
        <v>489.545</v>
      </c>
      <c r="G794" s="0" t="n">
        <f aca="false">IF(E794 - F794 &lt; 0, 0, E794 - F794)</f>
        <v>0.129000000000019</v>
      </c>
      <c r="H794" s="0" t="n">
        <v>1.82</v>
      </c>
      <c r="I794" s="0" t="n">
        <f aca="false">1.82*30*(G794^1.5)</f>
        <v>2.52974769082666</v>
      </c>
      <c r="J794" s="0" t="n">
        <f aca="false">I794*60</f>
        <v>151.7848614496</v>
      </c>
      <c r="K794" s="0" t="n">
        <f aca="false">(I794*86400)/24</f>
        <v>9107.09168697599</v>
      </c>
    </row>
    <row r="795" customFormat="false" ht="16.5" hidden="false" customHeight="false" outlineLevel="0" collapsed="false">
      <c r="A795" s="56" t="n">
        <v>45867.7916666667</v>
      </c>
      <c r="B795" s="57" t="n">
        <f aca="false">MOD(A795,1)</f>
        <v>0.791666666656965</v>
      </c>
      <c r="C795" s="0" t="n">
        <v>2.8</v>
      </c>
      <c r="D795" s="0" t="n">
        <v>489.855</v>
      </c>
      <c r="E795" s="0" t="n">
        <f aca="false">D795-0.155</f>
        <v>489.7</v>
      </c>
      <c r="F795" s="0" t="n">
        <v>489.545</v>
      </c>
      <c r="G795" s="0" t="n">
        <f aca="false">IF(E795 - F795 &lt; 0, 0, E795 - F795)</f>
        <v>0.15500000000003</v>
      </c>
      <c r="H795" s="0" t="n">
        <v>1.82</v>
      </c>
      <c r="I795" s="0" t="n">
        <f aca="false">1.82*30*(G795^1.5)</f>
        <v>3.33188643188905</v>
      </c>
      <c r="J795" s="0" t="n">
        <f aca="false">I795*60</f>
        <v>199.913185913343</v>
      </c>
      <c r="K795" s="0" t="n">
        <f aca="false">(I795*86400)/24</f>
        <v>11994.7911548006</v>
      </c>
    </row>
    <row r="796" customFormat="false" ht="16.5" hidden="false" customHeight="false" outlineLevel="0" collapsed="false">
      <c r="A796" s="56" t="n">
        <v>45867.8333333333</v>
      </c>
      <c r="B796" s="57" t="n">
        <f aca="false">MOD(A796,1)</f>
        <v>0.833333333343035</v>
      </c>
      <c r="C796" s="0" t="n">
        <v>0.8</v>
      </c>
      <c r="D796" s="0" t="n">
        <v>489.862</v>
      </c>
      <c r="E796" s="0" t="n">
        <f aca="false">D796-0.155</f>
        <v>489.707</v>
      </c>
      <c r="F796" s="0" t="n">
        <v>489.545</v>
      </c>
      <c r="G796" s="0" t="n">
        <f aca="false">IF(E796 - F796 &lt; 0, 0, E796 - F796)</f>
        <v>0.162000000000035</v>
      </c>
      <c r="H796" s="0" t="n">
        <v>1.82</v>
      </c>
      <c r="I796" s="0" t="n">
        <f aca="false">1.82*30*(G796^1.5)</f>
        <v>3.56012432542574</v>
      </c>
      <c r="J796" s="0" t="n">
        <f aca="false">I796*60</f>
        <v>213.607459525545</v>
      </c>
      <c r="K796" s="0" t="n">
        <f aca="false">(I796*86400)/24</f>
        <v>12816.4475715327</v>
      </c>
    </row>
    <row r="797" customFormat="false" ht="16.5" hidden="false" customHeight="false" outlineLevel="0" collapsed="false">
      <c r="A797" s="56" t="n">
        <v>45867.875</v>
      </c>
      <c r="B797" s="57" t="n">
        <f aca="false">MOD(A797,1)</f>
        <v>0.875</v>
      </c>
      <c r="C797" s="0" t="n">
        <v>0.4</v>
      </c>
      <c r="D797" s="0" t="n">
        <v>489.875</v>
      </c>
      <c r="E797" s="0" t="n">
        <f aca="false">D797-0.155</f>
        <v>489.72</v>
      </c>
      <c r="F797" s="0" t="n">
        <v>489.545</v>
      </c>
      <c r="G797" s="0" t="n">
        <f aca="false">IF(E797 - F797 &lt; 0, 0, E797 - F797)</f>
        <v>0.175000000000011</v>
      </c>
      <c r="H797" s="0" t="n">
        <v>1.82</v>
      </c>
      <c r="I797" s="0" t="n">
        <f aca="false">1.82*30*(G797^1.5)</f>
        <v>3.99714327676694</v>
      </c>
      <c r="J797" s="0" t="n">
        <f aca="false">I797*60</f>
        <v>239.828596606016</v>
      </c>
      <c r="K797" s="0" t="n">
        <f aca="false">(I797*86400)/24</f>
        <v>14389.715796361</v>
      </c>
    </row>
    <row r="798" customFormat="false" ht="16.5" hidden="false" customHeight="false" outlineLevel="0" collapsed="false">
      <c r="A798" s="56" t="n">
        <v>45867.9166666667</v>
      </c>
      <c r="B798" s="57" t="n">
        <f aca="false">MOD(A798,1)</f>
        <v>0.916666666656965</v>
      </c>
      <c r="C798" s="0" t="n">
        <v>0</v>
      </c>
      <c r="D798" s="0" t="n">
        <v>489.881</v>
      </c>
      <c r="E798" s="0" t="n">
        <f aca="false">D798-0.155</f>
        <v>489.726</v>
      </c>
      <c r="F798" s="0" t="n">
        <v>489.545</v>
      </c>
      <c r="G798" s="0" t="n">
        <f aca="false">IF(E798 - F798 &lt; 0, 0, E798 - F798)</f>
        <v>0.180999999999983</v>
      </c>
      <c r="H798" s="0" t="n">
        <v>1.82</v>
      </c>
      <c r="I798" s="0" t="n">
        <f aca="false">1.82*30*(G798^1.5)</f>
        <v>4.20446270997319</v>
      </c>
      <c r="J798" s="0" t="n">
        <f aca="false">I798*60</f>
        <v>252.267762598391</v>
      </c>
      <c r="K798" s="0" t="n">
        <f aca="false">(I798*86400)/24</f>
        <v>15136.0657559035</v>
      </c>
    </row>
    <row r="799" customFormat="false" ht="16.5" hidden="false" customHeight="false" outlineLevel="0" collapsed="false">
      <c r="A799" s="56" t="n">
        <v>45867.9583333333</v>
      </c>
      <c r="B799" s="57" t="n">
        <f aca="false">MOD(A799,1)</f>
        <v>0.958333333343035</v>
      </c>
      <c r="C799" s="0" t="n">
        <v>0</v>
      </c>
      <c r="D799" s="0" t="n">
        <v>489.881</v>
      </c>
      <c r="E799" s="0" t="n">
        <f aca="false">D799-0.155</f>
        <v>489.726</v>
      </c>
      <c r="F799" s="0" t="n">
        <v>489.545</v>
      </c>
      <c r="G799" s="0" t="n">
        <f aca="false">IF(E799 - F799 &lt; 0, 0, E799 - F799)</f>
        <v>0.180999999999983</v>
      </c>
      <c r="H799" s="0" t="n">
        <v>1.82</v>
      </c>
      <c r="I799" s="0" t="n">
        <f aca="false">1.82*30*(G799^1.5)</f>
        <v>4.20446270997319</v>
      </c>
      <c r="J799" s="0" t="n">
        <f aca="false">I799*60</f>
        <v>252.267762598391</v>
      </c>
      <c r="K799" s="0" t="n">
        <f aca="false">(I799*86400)/24</f>
        <v>15136.0657559035</v>
      </c>
    </row>
    <row r="800" customFormat="false" ht="16.5" hidden="false" customHeight="false" outlineLevel="0" collapsed="false">
      <c r="A800" s="56" t="n">
        <v>45868</v>
      </c>
      <c r="B800" s="57" t="n">
        <f aca="false">MOD(A800,1)</f>
        <v>0</v>
      </c>
      <c r="C800" s="0" t="n">
        <v>0</v>
      </c>
      <c r="D800" s="0" t="n">
        <v>489.881</v>
      </c>
      <c r="E800" s="0" t="n">
        <f aca="false">D800-0.155</f>
        <v>489.726</v>
      </c>
      <c r="F800" s="0" t="n">
        <v>489.545</v>
      </c>
      <c r="G800" s="0" t="n">
        <f aca="false">IF(E800 - F800 &lt; 0, 0, E800 - F800)</f>
        <v>0.180999999999983</v>
      </c>
      <c r="H800" s="0" t="n">
        <v>1.82</v>
      </c>
      <c r="I800" s="0" t="n">
        <f aca="false">1.82*30*(G800^1.5)</f>
        <v>4.20446270997319</v>
      </c>
      <c r="J800" s="0" t="n">
        <f aca="false">I800*60</f>
        <v>252.267762598391</v>
      </c>
      <c r="K800" s="0" t="n">
        <f aca="false">(I800*86400)/24</f>
        <v>15136.0657559035</v>
      </c>
    </row>
    <row r="801" customFormat="false" ht="16.5" hidden="false" customHeight="false" outlineLevel="0" collapsed="false">
      <c r="A801" s="56" t="n">
        <v>45868.0416666667</v>
      </c>
      <c r="B801" s="57" t="n">
        <f aca="false">MOD(A801,1)</f>
        <v>0.0416666666569654</v>
      </c>
      <c r="C801" s="0" t="n">
        <v>0</v>
      </c>
      <c r="D801" s="0" t="n">
        <v>489.881</v>
      </c>
      <c r="E801" s="0" t="n">
        <f aca="false">D801-0.155</f>
        <v>489.726</v>
      </c>
      <c r="F801" s="0" t="n">
        <v>489.545</v>
      </c>
      <c r="G801" s="0" t="n">
        <f aca="false">IF(E801 - F801 &lt; 0, 0, E801 - F801)</f>
        <v>0.180999999999983</v>
      </c>
      <c r="H801" s="0" t="n">
        <v>1.82</v>
      </c>
      <c r="I801" s="0" t="n">
        <f aca="false">1.82*30*(G801^1.5)</f>
        <v>4.20446270997319</v>
      </c>
      <c r="J801" s="0" t="n">
        <f aca="false">I801*60</f>
        <v>252.267762598391</v>
      </c>
      <c r="K801" s="0" t="n">
        <f aca="false">(I801*86400)/24</f>
        <v>15136.0657559035</v>
      </c>
    </row>
    <row r="802" customFormat="false" ht="16.5" hidden="false" customHeight="false" outlineLevel="0" collapsed="false">
      <c r="A802" s="56" t="n">
        <v>45868.0833333333</v>
      </c>
      <c r="B802" s="57" t="n">
        <f aca="false">MOD(A802,1)</f>
        <v>0.0833333333430346</v>
      </c>
      <c r="C802" s="0" t="n">
        <v>0</v>
      </c>
      <c r="D802" s="0" t="n">
        <v>489.881</v>
      </c>
      <c r="E802" s="0" t="n">
        <f aca="false">D802-0.155</f>
        <v>489.726</v>
      </c>
      <c r="F802" s="0" t="n">
        <v>489.545</v>
      </c>
      <c r="G802" s="0" t="n">
        <f aca="false">IF(E802 - F802 &lt; 0, 0, E802 - F802)</f>
        <v>0.180999999999983</v>
      </c>
      <c r="H802" s="0" t="n">
        <v>1.82</v>
      </c>
      <c r="I802" s="0" t="n">
        <f aca="false">1.82*30*(G802^1.5)</f>
        <v>4.20446270997319</v>
      </c>
      <c r="J802" s="0" t="n">
        <f aca="false">I802*60</f>
        <v>252.267762598391</v>
      </c>
      <c r="K802" s="0" t="n">
        <f aca="false">(I802*86400)/24</f>
        <v>15136.0657559035</v>
      </c>
    </row>
    <row r="803" customFormat="false" ht="16.5" hidden="false" customHeight="false" outlineLevel="0" collapsed="false">
      <c r="A803" s="56" t="n">
        <v>45868.125</v>
      </c>
      <c r="B803" s="57" t="n">
        <f aca="false">MOD(A803,1)</f>
        <v>0.125</v>
      </c>
      <c r="C803" s="0" t="n">
        <v>0</v>
      </c>
      <c r="D803" s="0" t="n">
        <v>489.881</v>
      </c>
      <c r="E803" s="0" t="n">
        <f aca="false">D803-0.155</f>
        <v>489.726</v>
      </c>
      <c r="F803" s="0" t="n">
        <v>489.545</v>
      </c>
      <c r="G803" s="0" t="n">
        <f aca="false">IF(E803 - F803 &lt; 0, 0, E803 - F803)</f>
        <v>0.180999999999983</v>
      </c>
      <c r="H803" s="0" t="n">
        <v>1.82</v>
      </c>
      <c r="I803" s="0" t="n">
        <f aca="false">1.82*30*(G803^1.5)</f>
        <v>4.20446270997319</v>
      </c>
      <c r="J803" s="0" t="n">
        <f aca="false">I803*60</f>
        <v>252.267762598391</v>
      </c>
      <c r="K803" s="0" t="n">
        <f aca="false">(I803*86400)/24</f>
        <v>15136.0657559035</v>
      </c>
    </row>
    <row r="804" customFormat="false" ht="16.5" hidden="false" customHeight="false" outlineLevel="0" collapsed="false">
      <c r="A804" s="56" t="n">
        <v>45868.1666666667</v>
      </c>
      <c r="B804" s="57" t="n">
        <f aca="false">MOD(A804,1)</f>
        <v>0.166666666656965</v>
      </c>
      <c r="C804" s="0" t="n">
        <v>0</v>
      </c>
      <c r="D804" s="0" t="n">
        <v>489.881</v>
      </c>
      <c r="E804" s="0" t="n">
        <f aca="false">D804-0.155</f>
        <v>489.726</v>
      </c>
      <c r="F804" s="0" t="n">
        <v>489.545</v>
      </c>
      <c r="G804" s="0" t="n">
        <f aca="false">IF(E804 - F804 &lt; 0, 0, E804 - F804)</f>
        <v>0.180999999999983</v>
      </c>
      <c r="H804" s="0" t="n">
        <v>1.82</v>
      </c>
      <c r="I804" s="0" t="n">
        <f aca="false">1.82*30*(G804^1.5)</f>
        <v>4.20446270997319</v>
      </c>
      <c r="J804" s="0" t="n">
        <f aca="false">I804*60</f>
        <v>252.267762598391</v>
      </c>
      <c r="K804" s="0" t="n">
        <f aca="false">(I804*86400)/24</f>
        <v>15136.0657559035</v>
      </c>
    </row>
    <row r="805" customFormat="false" ht="16.5" hidden="false" customHeight="false" outlineLevel="0" collapsed="false">
      <c r="A805" s="56" t="n">
        <v>45868.2083333333</v>
      </c>
      <c r="B805" s="57" t="n">
        <f aca="false">MOD(A805,1)</f>
        <v>0.208333333343035</v>
      </c>
      <c r="C805" s="0" t="n">
        <v>0</v>
      </c>
      <c r="D805" s="0" t="n">
        <v>489.881</v>
      </c>
      <c r="E805" s="0" t="n">
        <f aca="false">D805-0.155</f>
        <v>489.726</v>
      </c>
      <c r="F805" s="0" t="n">
        <v>489.545</v>
      </c>
      <c r="G805" s="0" t="n">
        <f aca="false">IF(E805 - F805 &lt; 0, 0, E805 - F805)</f>
        <v>0.180999999999983</v>
      </c>
      <c r="H805" s="0" t="n">
        <v>1.82</v>
      </c>
      <c r="I805" s="0" t="n">
        <f aca="false">1.82*30*(G805^1.5)</f>
        <v>4.20446270997319</v>
      </c>
      <c r="J805" s="0" t="n">
        <f aca="false">I805*60</f>
        <v>252.267762598391</v>
      </c>
      <c r="K805" s="0" t="n">
        <f aca="false">(I805*86400)/24</f>
        <v>15136.0657559035</v>
      </c>
    </row>
    <row r="806" customFormat="false" ht="16.5" hidden="false" customHeight="false" outlineLevel="0" collapsed="false">
      <c r="A806" s="56" t="n">
        <v>45868.25</v>
      </c>
      <c r="B806" s="57" t="n">
        <f aca="false">MOD(A806,1)</f>
        <v>0.25</v>
      </c>
      <c r="C806" s="0" t="n">
        <v>0</v>
      </c>
      <c r="D806" s="0" t="n">
        <v>489.875</v>
      </c>
      <c r="E806" s="0" t="n">
        <f aca="false">D806-0.155</f>
        <v>489.72</v>
      </c>
      <c r="F806" s="0" t="n">
        <v>489.545</v>
      </c>
      <c r="G806" s="0" t="n">
        <f aca="false">IF(E806 - F806 &lt; 0, 0, E806 - F806)</f>
        <v>0.175000000000011</v>
      </c>
      <c r="H806" s="0" t="n">
        <v>1.82</v>
      </c>
      <c r="I806" s="0" t="n">
        <f aca="false">1.82*30*(G806^1.5)</f>
        <v>3.99714327676694</v>
      </c>
      <c r="J806" s="0" t="n">
        <f aca="false">I806*60</f>
        <v>239.828596606016</v>
      </c>
      <c r="K806" s="0" t="n">
        <f aca="false">(I806*86400)/24</f>
        <v>14389.715796361</v>
      </c>
    </row>
    <row r="807" customFormat="false" ht="16.5" hidden="false" customHeight="false" outlineLevel="0" collapsed="false">
      <c r="A807" s="56" t="n">
        <v>45868.2916666667</v>
      </c>
      <c r="B807" s="57" t="n">
        <f aca="false">MOD(A807,1)</f>
        <v>0.291666666656965</v>
      </c>
      <c r="C807" s="0" t="n">
        <v>0</v>
      </c>
      <c r="D807" s="0" t="n">
        <v>489.875</v>
      </c>
      <c r="E807" s="0" t="n">
        <f aca="false">D807-0.155</f>
        <v>489.72</v>
      </c>
      <c r="F807" s="0" t="n">
        <v>489.545</v>
      </c>
      <c r="G807" s="0" t="n">
        <f aca="false">IF(E807 - F807 &lt; 0, 0, E807 - F807)</f>
        <v>0.175000000000011</v>
      </c>
      <c r="H807" s="0" t="n">
        <v>1.82</v>
      </c>
      <c r="I807" s="0" t="n">
        <f aca="false">1.82*30*(G807^1.5)</f>
        <v>3.99714327676694</v>
      </c>
      <c r="J807" s="0" t="n">
        <f aca="false">I807*60</f>
        <v>239.828596606016</v>
      </c>
      <c r="K807" s="0" t="n">
        <f aca="false">(I807*86400)/24</f>
        <v>14389.715796361</v>
      </c>
    </row>
    <row r="808" customFormat="false" ht="16.5" hidden="false" customHeight="false" outlineLevel="0" collapsed="false">
      <c r="A808" s="56" t="n">
        <v>45868.3333333333</v>
      </c>
      <c r="B808" s="57" t="n">
        <f aca="false">MOD(A808,1)</f>
        <v>0.333333333343035</v>
      </c>
      <c r="C808" s="0" t="n">
        <v>0</v>
      </c>
      <c r="D808" s="0" t="n">
        <v>489.874</v>
      </c>
      <c r="E808" s="0" t="n">
        <f aca="false">D808-0.155</f>
        <v>489.719</v>
      </c>
      <c r="F808" s="0" t="n">
        <v>489.545</v>
      </c>
      <c r="G808" s="0" t="n">
        <f aca="false">IF(E808 - F808 &lt; 0, 0, E808 - F808)</f>
        <v>0.174000000000035</v>
      </c>
      <c r="H808" s="0" t="n">
        <v>1.82</v>
      </c>
      <c r="I808" s="0" t="n">
        <f aca="false">1.82*30*(G808^1.5)</f>
        <v>3.96293104000681</v>
      </c>
      <c r="J808" s="0" t="n">
        <f aca="false">I808*60</f>
        <v>237.775862400409</v>
      </c>
      <c r="K808" s="0" t="n">
        <f aca="false">(I808*86400)/24</f>
        <v>14266.5517440245</v>
      </c>
    </row>
    <row r="809" customFormat="false" ht="16.5" hidden="false" customHeight="false" outlineLevel="0" collapsed="false">
      <c r="A809" s="56" t="n">
        <v>45868.375</v>
      </c>
      <c r="B809" s="57" t="n">
        <f aca="false">MOD(A809,1)</f>
        <v>0.375</v>
      </c>
      <c r="C809" s="0" t="n">
        <v>0</v>
      </c>
      <c r="D809" s="0" t="n">
        <v>489.868</v>
      </c>
      <c r="E809" s="0" t="n">
        <f aca="false">D809-0.155</f>
        <v>489.713</v>
      </c>
      <c r="F809" s="0" t="n">
        <v>489.545</v>
      </c>
      <c r="G809" s="0" t="n">
        <f aca="false">IF(E809 - F809 &lt; 0, 0, E809 - F809)</f>
        <v>0.168000000000006</v>
      </c>
      <c r="H809" s="0" t="n">
        <v>1.82</v>
      </c>
      <c r="I809" s="0" t="n">
        <f aca="false">1.82*30*(G809^1.5)</f>
        <v>3.75972919943998</v>
      </c>
      <c r="J809" s="0" t="n">
        <f aca="false">I809*60</f>
        <v>225.583751966399</v>
      </c>
      <c r="K809" s="0" t="n">
        <f aca="false">(I809*86400)/24</f>
        <v>13535.0251179839</v>
      </c>
    </row>
    <row r="810" customFormat="false" ht="16.5" hidden="false" customHeight="false" outlineLevel="0" collapsed="false">
      <c r="A810" s="56" t="n">
        <v>45868.4166666667</v>
      </c>
      <c r="B810" s="57" t="n">
        <f aca="false">MOD(A810,1)</f>
        <v>0.416666666656965</v>
      </c>
      <c r="C810" s="0" t="n">
        <v>0</v>
      </c>
      <c r="D810" s="0" t="n">
        <v>489.868</v>
      </c>
      <c r="E810" s="0" t="n">
        <f aca="false">D810-0.155</f>
        <v>489.713</v>
      </c>
      <c r="F810" s="0" t="n">
        <v>489.545</v>
      </c>
      <c r="G810" s="0" t="n">
        <f aca="false">IF(E810 - F810 &lt; 0, 0, E810 - F810)</f>
        <v>0.168000000000006</v>
      </c>
      <c r="H810" s="0" t="n">
        <v>1.82</v>
      </c>
      <c r="I810" s="0" t="n">
        <f aca="false">1.82*30*(G810^1.5)</f>
        <v>3.75972919943998</v>
      </c>
      <c r="J810" s="0" t="n">
        <f aca="false">I810*60</f>
        <v>225.583751966399</v>
      </c>
      <c r="K810" s="0" t="n">
        <f aca="false">(I810*86400)/24</f>
        <v>13535.0251179839</v>
      </c>
    </row>
    <row r="811" customFormat="false" ht="16.5" hidden="false" customHeight="false" outlineLevel="0" collapsed="false">
      <c r="A811" s="56" t="n">
        <v>45868.4583333333</v>
      </c>
      <c r="B811" s="57" t="n">
        <f aca="false">MOD(A811,1)</f>
        <v>0.458333333343035</v>
      </c>
      <c r="C811" s="0" t="n">
        <v>0</v>
      </c>
      <c r="D811" s="0" t="n">
        <v>489.868</v>
      </c>
      <c r="E811" s="0" t="n">
        <f aca="false">D811-0.155</f>
        <v>489.713</v>
      </c>
      <c r="F811" s="0" t="n">
        <v>489.545</v>
      </c>
      <c r="G811" s="0" t="n">
        <f aca="false">IF(E811 - F811 &lt; 0, 0, E811 - F811)</f>
        <v>0.168000000000006</v>
      </c>
      <c r="H811" s="0" t="n">
        <v>1.82</v>
      </c>
      <c r="I811" s="0" t="n">
        <f aca="false">1.82*30*(G811^1.5)</f>
        <v>3.75972919943998</v>
      </c>
      <c r="J811" s="0" t="n">
        <f aca="false">I811*60</f>
        <v>225.583751966399</v>
      </c>
      <c r="K811" s="0" t="n">
        <f aca="false">(I811*86400)/24</f>
        <v>13535.0251179839</v>
      </c>
    </row>
    <row r="812" customFormat="false" ht="16.5" hidden="false" customHeight="false" outlineLevel="0" collapsed="false">
      <c r="A812" s="56" t="n">
        <v>45868.5</v>
      </c>
      <c r="B812" s="57" t="n">
        <f aca="false">MOD(A812,1)</f>
        <v>0.5</v>
      </c>
      <c r="C812" s="0" t="n">
        <v>0</v>
      </c>
      <c r="D812" s="0" t="n">
        <v>489.862</v>
      </c>
      <c r="E812" s="0" t="n">
        <f aca="false">D812-0.155</f>
        <v>489.707</v>
      </c>
      <c r="F812" s="0" t="n">
        <v>489.545</v>
      </c>
      <c r="G812" s="0" t="n">
        <f aca="false">IF(E812 - F812 &lt; 0, 0, E812 - F812)</f>
        <v>0.162000000000035</v>
      </c>
      <c r="H812" s="0" t="n">
        <v>1.82</v>
      </c>
      <c r="I812" s="0" t="n">
        <f aca="false">1.82*30*(G812^1.5)</f>
        <v>3.56012432542574</v>
      </c>
      <c r="J812" s="0" t="n">
        <f aca="false">I812*60</f>
        <v>213.607459525545</v>
      </c>
      <c r="K812" s="0" t="n">
        <f aca="false">(I812*86400)/24</f>
        <v>12816.4475715327</v>
      </c>
    </row>
    <row r="813" customFormat="false" ht="16.5" hidden="false" customHeight="false" outlineLevel="0" collapsed="false">
      <c r="A813" s="56" t="n">
        <v>45868.5416666667</v>
      </c>
      <c r="B813" s="57" t="n">
        <f aca="false">MOD(A813,1)</f>
        <v>0.541666666656965</v>
      </c>
      <c r="C813" s="0" t="n">
        <v>0</v>
      </c>
      <c r="D813" s="0" t="n">
        <v>489.854</v>
      </c>
      <c r="E813" s="0" t="n">
        <f aca="false">D813-0.155</f>
        <v>489.699</v>
      </c>
      <c r="F813" s="0" t="n">
        <v>489.545</v>
      </c>
      <c r="G813" s="0" t="n">
        <f aca="false">IF(E813 - F813 &lt; 0, 0, E813 - F813)</f>
        <v>0.153999999999996</v>
      </c>
      <c r="H813" s="0" t="n">
        <v>1.82</v>
      </c>
      <c r="I813" s="0" t="n">
        <f aca="false">1.82*30*(G813^1.5)</f>
        <v>3.29969443225266</v>
      </c>
      <c r="J813" s="0" t="n">
        <f aca="false">I813*60</f>
        <v>197.98166593516</v>
      </c>
      <c r="K813" s="0" t="n">
        <f aca="false">(I813*86400)/24</f>
        <v>11878.8999561096</v>
      </c>
    </row>
    <row r="814" customFormat="false" ht="16.5" hidden="false" customHeight="false" outlineLevel="0" collapsed="false">
      <c r="A814" s="56" t="n">
        <v>45868.5833333333</v>
      </c>
      <c r="B814" s="57" t="n">
        <f aca="false">MOD(A814,1)</f>
        <v>0.583333333343035</v>
      </c>
      <c r="C814" s="0" t="n">
        <v>0</v>
      </c>
      <c r="D814" s="0" t="n">
        <v>489.848</v>
      </c>
      <c r="E814" s="0" t="n">
        <f aca="false">D814-0.155</f>
        <v>489.693</v>
      </c>
      <c r="F814" s="0" t="n">
        <v>489.545</v>
      </c>
      <c r="G814" s="0" t="n">
        <f aca="false">IF(E814 - F814 &lt; 0, 0, E814 - F814)</f>
        <v>0.148000000000025</v>
      </c>
      <c r="H814" s="0" t="n">
        <v>1.82</v>
      </c>
      <c r="I814" s="0" t="n">
        <f aca="false">1.82*30*(G814^1.5)</f>
        <v>3.10874583051185</v>
      </c>
      <c r="J814" s="0" t="n">
        <f aca="false">I814*60</f>
        <v>186.524749830711</v>
      </c>
      <c r="K814" s="0" t="n">
        <f aca="false">(I814*86400)/24</f>
        <v>11191.4849898427</v>
      </c>
    </row>
    <row r="815" customFormat="false" ht="16.5" hidden="false" customHeight="false" outlineLevel="0" collapsed="false">
      <c r="A815" s="56" t="n">
        <v>45868.625</v>
      </c>
      <c r="B815" s="57" t="n">
        <f aca="false">MOD(A815,1)</f>
        <v>0.625</v>
      </c>
      <c r="C815" s="0" t="n">
        <v>0</v>
      </c>
      <c r="D815" s="0" t="n">
        <v>489.848</v>
      </c>
      <c r="E815" s="0" t="n">
        <f aca="false">D815-0.155</f>
        <v>489.693</v>
      </c>
      <c r="F815" s="0" t="n">
        <v>489.545</v>
      </c>
      <c r="G815" s="0" t="n">
        <f aca="false">IF(E815 - F815 &lt; 0, 0, E815 - F815)</f>
        <v>0.148000000000025</v>
      </c>
      <c r="H815" s="0" t="n">
        <v>1.82</v>
      </c>
      <c r="I815" s="0" t="n">
        <f aca="false">1.82*30*(G815^1.5)</f>
        <v>3.10874583051185</v>
      </c>
      <c r="J815" s="0" t="n">
        <f aca="false">I815*60</f>
        <v>186.524749830711</v>
      </c>
      <c r="K815" s="0" t="n">
        <f aca="false">(I815*86400)/24</f>
        <v>11191.4849898427</v>
      </c>
    </row>
    <row r="816" customFormat="false" ht="16.5" hidden="false" customHeight="false" outlineLevel="0" collapsed="false">
      <c r="A816" s="56" t="n">
        <v>45868.6666666667</v>
      </c>
      <c r="B816" s="57" t="n">
        <f aca="false">MOD(A816,1)</f>
        <v>0.666666666656965</v>
      </c>
      <c r="C816" s="0" t="n">
        <v>0</v>
      </c>
      <c r="D816" s="0" t="n">
        <v>489.841</v>
      </c>
      <c r="E816" s="0" t="n">
        <f aca="false">D816-0.155</f>
        <v>489.686</v>
      </c>
      <c r="F816" s="0" t="n">
        <v>489.545</v>
      </c>
      <c r="G816" s="0" t="n">
        <f aca="false">IF(E816 - F816 &lt; 0, 0, E816 - F816)</f>
        <v>0.14100000000002</v>
      </c>
      <c r="H816" s="0" t="n">
        <v>1.82</v>
      </c>
      <c r="I816" s="0" t="n">
        <f aca="false">1.82*30*(G816^1.5)</f>
        <v>2.89082173721651</v>
      </c>
      <c r="J816" s="0" t="n">
        <f aca="false">I816*60</f>
        <v>173.449304232991</v>
      </c>
      <c r="K816" s="0" t="n">
        <f aca="false">(I816*86400)/24</f>
        <v>10406.9582539794</v>
      </c>
    </row>
    <row r="817" customFormat="false" ht="16.5" hidden="false" customHeight="false" outlineLevel="0" collapsed="false">
      <c r="A817" s="56" t="n">
        <v>45868.7083333333</v>
      </c>
      <c r="B817" s="57" t="n">
        <f aca="false">MOD(A817,1)</f>
        <v>0.708333333343035</v>
      </c>
      <c r="C817" s="0" t="n">
        <v>0</v>
      </c>
      <c r="D817" s="0" t="n">
        <v>489.841</v>
      </c>
      <c r="E817" s="0" t="n">
        <f aca="false">D817-0.155</f>
        <v>489.686</v>
      </c>
      <c r="F817" s="0" t="n">
        <v>489.545</v>
      </c>
      <c r="G817" s="0" t="n">
        <f aca="false">IF(E817 - F817 &lt; 0, 0, E817 - F817)</f>
        <v>0.14100000000002</v>
      </c>
      <c r="H817" s="0" t="n">
        <v>1.82</v>
      </c>
      <c r="I817" s="0" t="n">
        <f aca="false">1.82*30*(G817^1.5)</f>
        <v>2.89082173721651</v>
      </c>
      <c r="J817" s="0" t="n">
        <f aca="false">I817*60</f>
        <v>173.449304232991</v>
      </c>
      <c r="K817" s="0" t="n">
        <f aca="false">(I817*86400)/24</f>
        <v>10406.9582539794</v>
      </c>
    </row>
    <row r="818" customFormat="false" ht="16.5" hidden="false" customHeight="false" outlineLevel="0" collapsed="false">
      <c r="A818" s="56" t="n">
        <v>45868.75</v>
      </c>
      <c r="B818" s="57" t="n">
        <f aca="false">MOD(A818,1)</f>
        <v>0.75</v>
      </c>
      <c r="C818" s="0" t="n">
        <v>0</v>
      </c>
      <c r="D818" s="0" t="n">
        <v>489.835</v>
      </c>
      <c r="E818" s="0" t="n">
        <f aca="false">D818-0.155</f>
        <v>489.68</v>
      </c>
      <c r="F818" s="0" t="n">
        <v>489.545</v>
      </c>
      <c r="G818" s="0" t="n">
        <f aca="false">IF(E818 - F818 &lt; 0, 0, E818 - F818)</f>
        <v>0.134999999999991</v>
      </c>
      <c r="H818" s="0" t="n">
        <v>1.82</v>
      </c>
      <c r="I818" s="0" t="n">
        <f aca="false">1.82*30*(G818^1.5)</f>
        <v>2.70827833410795</v>
      </c>
      <c r="J818" s="0" t="n">
        <f aca="false">I818*60</f>
        <v>162.496700046477</v>
      </c>
      <c r="K818" s="0" t="n">
        <f aca="false">(I818*86400)/24</f>
        <v>9749.80200278861</v>
      </c>
    </row>
    <row r="819" customFormat="false" ht="16.5" hidden="false" customHeight="false" outlineLevel="0" collapsed="false">
      <c r="A819" s="56" t="n">
        <v>45868.7916666667</v>
      </c>
      <c r="B819" s="57" t="n">
        <f aca="false">MOD(A819,1)</f>
        <v>0.791666666656965</v>
      </c>
      <c r="C819" s="0" t="n">
        <v>0</v>
      </c>
      <c r="D819" s="0" t="n">
        <v>489.835</v>
      </c>
      <c r="E819" s="0" t="n">
        <f aca="false">D819-0.155</f>
        <v>489.68</v>
      </c>
      <c r="F819" s="0" t="n">
        <v>489.545</v>
      </c>
      <c r="G819" s="0" t="n">
        <f aca="false">IF(E819 - F819 &lt; 0, 0, E819 - F819)</f>
        <v>0.134999999999991</v>
      </c>
      <c r="H819" s="0" t="n">
        <v>1.82</v>
      </c>
      <c r="I819" s="0" t="n">
        <f aca="false">1.82*30*(G819^1.5)</f>
        <v>2.70827833410795</v>
      </c>
      <c r="J819" s="0" t="n">
        <f aca="false">I819*60</f>
        <v>162.496700046477</v>
      </c>
      <c r="K819" s="0" t="n">
        <f aca="false">(I819*86400)/24</f>
        <v>9749.80200278861</v>
      </c>
    </row>
    <row r="820" customFormat="false" ht="16.5" hidden="false" customHeight="false" outlineLevel="0" collapsed="false">
      <c r="A820" s="56" t="n">
        <v>45868.8333333333</v>
      </c>
      <c r="B820" s="57" t="n">
        <f aca="false">MOD(A820,1)</f>
        <v>0.833333333343035</v>
      </c>
      <c r="C820" s="0" t="n">
        <v>0</v>
      </c>
      <c r="D820" s="0" t="n">
        <v>489.829</v>
      </c>
      <c r="E820" s="0" t="n">
        <f aca="false">D820-0.155</f>
        <v>489.674</v>
      </c>
      <c r="F820" s="0" t="n">
        <v>489.545</v>
      </c>
      <c r="G820" s="0" t="n">
        <f aca="false">IF(E820 - F820 &lt; 0, 0, E820 - F820)</f>
        <v>0.129000000000019</v>
      </c>
      <c r="H820" s="0" t="n">
        <v>1.82</v>
      </c>
      <c r="I820" s="0" t="n">
        <f aca="false">1.82*30*(G820^1.5)</f>
        <v>2.52974769082666</v>
      </c>
      <c r="J820" s="0" t="n">
        <f aca="false">I820*60</f>
        <v>151.7848614496</v>
      </c>
      <c r="K820" s="0" t="n">
        <f aca="false">(I820*86400)/24</f>
        <v>9107.09168697599</v>
      </c>
    </row>
    <row r="821" customFormat="false" ht="16.5" hidden="false" customHeight="false" outlineLevel="0" collapsed="false">
      <c r="A821" s="56" t="n">
        <v>45868.875</v>
      </c>
      <c r="B821" s="57" t="n">
        <f aca="false">MOD(A821,1)</f>
        <v>0.875</v>
      </c>
      <c r="C821" s="0" t="n">
        <v>0.2</v>
      </c>
      <c r="D821" s="0" t="n">
        <v>489.822</v>
      </c>
      <c r="E821" s="0" t="n">
        <f aca="false">D821-0.155</f>
        <v>489.667</v>
      </c>
      <c r="F821" s="0" t="n">
        <v>489.545</v>
      </c>
      <c r="G821" s="0" t="n">
        <f aca="false">IF(E821 - F821 &lt; 0, 0, E821 - F821)</f>
        <v>0.122000000000014</v>
      </c>
      <c r="H821" s="0" t="n">
        <v>1.82</v>
      </c>
      <c r="I821" s="0" t="n">
        <f aca="false">1.82*30*(G821^1.5)</f>
        <v>2.32665713496464</v>
      </c>
      <c r="J821" s="0" t="n">
        <f aca="false">I821*60</f>
        <v>139.599428097879</v>
      </c>
      <c r="K821" s="0" t="n">
        <f aca="false">(I821*86400)/24</f>
        <v>8375.96568587271</v>
      </c>
    </row>
    <row r="822" customFormat="false" ht="16.5" hidden="false" customHeight="false" outlineLevel="0" collapsed="false">
      <c r="A822" s="56" t="n">
        <v>45868.9166666667</v>
      </c>
      <c r="B822" s="57" t="n">
        <f aca="false">MOD(A822,1)</f>
        <v>0.916666666656965</v>
      </c>
      <c r="C822" s="0" t="n">
        <v>0</v>
      </c>
      <c r="D822" s="0" t="n">
        <v>489.822</v>
      </c>
      <c r="E822" s="0" t="n">
        <f aca="false">D822-0.155</f>
        <v>489.667</v>
      </c>
      <c r="F822" s="0" t="n">
        <v>489.545</v>
      </c>
      <c r="G822" s="0" t="n">
        <f aca="false">IF(E822 - F822 &lt; 0, 0, E822 - F822)</f>
        <v>0.122000000000014</v>
      </c>
      <c r="H822" s="0" t="n">
        <v>1.82</v>
      </c>
      <c r="I822" s="0" t="n">
        <f aca="false">1.82*30*(G822^1.5)</f>
        <v>2.32665713496464</v>
      </c>
      <c r="J822" s="0" t="n">
        <f aca="false">I822*60</f>
        <v>139.599428097879</v>
      </c>
      <c r="K822" s="0" t="n">
        <f aca="false">(I822*86400)/24</f>
        <v>8375.96568587271</v>
      </c>
    </row>
    <row r="823" customFormat="false" ht="16.5" hidden="false" customHeight="false" outlineLevel="0" collapsed="false">
      <c r="A823" s="56" t="n">
        <v>45868.9583333333</v>
      </c>
      <c r="B823" s="57" t="n">
        <f aca="false">MOD(A823,1)</f>
        <v>0.958333333343035</v>
      </c>
      <c r="C823" s="0" t="n">
        <v>0</v>
      </c>
      <c r="D823" s="0" t="n">
        <v>489.816</v>
      </c>
      <c r="E823" s="0" t="n">
        <f aca="false">D823-0.155</f>
        <v>489.661</v>
      </c>
      <c r="F823" s="0" t="n">
        <v>489.545</v>
      </c>
      <c r="G823" s="0" t="n">
        <f aca="false">IF(E823 - F823 &lt; 0, 0, E823 - F823)</f>
        <v>0.115999999999985</v>
      </c>
      <c r="H823" s="0" t="n">
        <v>1.82</v>
      </c>
      <c r="I823" s="0" t="n">
        <f aca="false">1.82*30*(G823^1.5)</f>
        <v>2.15714642974422</v>
      </c>
      <c r="J823" s="0" t="n">
        <f aca="false">I823*60</f>
        <v>129.428785784653</v>
      </c>
      <c r="K823" s="0" t="n">
        <f aca="false">(I823*86400)/24</f>
        <v>7765.7271470792</v>
      </c>
    </row>
    <row r="824" customFormat="false" ht="16.5" hidden="false" customHeight="false" outlineLevel="0" collapsed="false">
      <c r="A824" s="56" t="n">
        <v>45869</v>
      </c>
      <c r="B824" s="57" t="n">
        <f aca="false">MOD(A824,1)</f>
        <v>0</v>
      </c>
      <c r="C824" s="0" t="n">
        <v>0</v>
      </c>
      <c r="D824" s="0" t="n">
        <v>489.81</v>
      </c>
      <c r="E824" s="0" t="n">
        <f aca="false">D824-0.155</f>
        <v>489.655</v>
      </c>
      <c r="F824" s="0" t="n">
        <v>489.545</v>
      </c>
      <c r="G824" s="0" t="n">
        <f aca="false">IF(E824 - F824 &lt; 0, 0, E824 - F824)</f>
        <v>0.110000000000014</v>
      </c>
      <c r="H824" s="0" t="n">
        <v>1.82</v>
      </c>
      <c r="I824" s="0" t="n">
        <f aca="false">1.82*30*(G824^1.5)</f>
        <v>1.99196484908782</v>
      </c>
      <c r="J824" s="0" t="n">
        <f aca="false">I824*60</f>
        <v>119.517890945269</v>
      </c>
      <c r="K824" s="0" t="n">
        <f aca="false">(I824*86400)/24</f>
        <v>7171.07345671617</v>
      </c>
    </row>
    <row r="825" customFormat="false" ht="16.5" hidden="false" customHeight="false" outlineLevel="0" collapsed="false">
      <c r="A825" s="56" t="n">
        <v>45869.0416666667</v>
      </c>
      <c r="B825" s="57" t="n">
        <f aca="false">MOD(A825,1)</f>
        <v>0.0416666666569654</v>
      </c>
      <c r="C825" s="0" t="n">
        <v>0</v>
      </c>
      <c r="D825" s="0" t="n">
        <v>489.816</v>
      </c>
      <c r="E825" s="0" t="n">
        <f aca="false">D825-0.155</f>
        <v>489.661</v>
      </c>
      <c r="F825" s="0" t="n">
        <v>489.545</v>
      </c>
      <c r="G825" s="0" t="n">
        <f aca="false">IF(E825 - F825 &lt; 0, 0, E825 - F825)</f>
        <v>0.115999999999985</v>
      </c>
      <c r="H825" s="0" t="n">
        <v>1.82</v>
      </c>
      <c r="I825" s="0" t="n">
        <f aca="false">1.82*30*(G825^1.5)</f>
        <v>2.15714642974422</v>
      </c>
      <c r="J825" s="0" t="n">
        <f aca="false">I825*60</f>
        <v>129.428785784653</v>
      </c>
      <c r="K825" s="0" t="n">
        <f aca="false">(I825*86400)/24</f>
        <v>7765.7271470792</v>
      </c>
    </row>
    <row r="826" customFormat="false" ht="16.5" hidden="false" customHeight="false" outlineLevel="0" collapsed="false">
      <c r="A826" s="56" t="n">
        <v>45869.0833333333</v>
      </c>
      <c r="B826" s="57" t="n">
        <f aca="false">MOD(A826,1)</f>
        <v>0.0833333333430346</v>
      </c>
      <c r="C826" s="0" t="n">
        <v>0</v>
      </c>
      <c r="D826" s="0" t="n">
        <v>489.81</v>
      </c>
      <c r="E826" s="0" t="n">
        <f aca="false">D826-0.155</f>
        <v>489.655</v>
      </c>
      <c r="F826" s="0" t="n">
        <v>489.545</v>
      </c>
      <c r="G826" s="0" t="n">
        <f aca="false">IF(E826 - F826 &lt; 0, 0, E826 - F826)</f>
        <v>0.110000000000014</v>
      </c>
      <c r="H826" s="0" t="n">
        <v>1.82</v>
      </c>
      <c r="I826" s="0" t="n">
        <f aca="false">1.82*30*(G826^1.5)</f>
        <v>1.99196484908782</v>
      </c>
      <c r="J826" s="0" t="n">
        <f aca="false">I826*60</f>
        <v>119.517890945269</v>
      </c>
      <c r="K826" s="0" t="n">
        <f aca="false">(I826*86400)/24</f>
        <v>7171.07345671617</v>
      </c>
    </row>
    <row r="827" customFormat="false" ht="16.5" hidden="false" customHeight="false" outlineLevel="0" collapsed="false">
      <c r="A827" s="56" t="n">
        <v>45869.125</v>
      </c>
      <c r="B827" s="57" t="n">
        <f aca="false">MOD(A827,1)</f>
        <v>0.125</v>
      </c>
      <c r="C827" s="0" t="n">
        <v>0</v>
      </c>
      <c r="D827" s="0" t="n">
        <v>489.81</v>
      </c>
      <c r="E827" s="0" t="n">
        <f aca="false">D827-0.155</f>
        <v>489.655</v>
      </c>
      <c r="F827" s="0" t="n">
        <v>489.545</v>
      </c>
      <c r="G827" s="0" t="n">
        <f aca="false">IF(E827 - F827 &lt; 0, 0, E827 - F827)</f>
        <v>0.110000000000014</v>
      </c>
      <c r="H827" s="0" t="n">
        <v>1.82</v>
      </c>
      <c r="I827" s="0" t="n">
        <f aca="false">1.82*30*(G827^1.5)</f>
        <v>1.99196484908782</v>
      </c>
      <c r="J827" s="0" t="n">
        <f aca="false">I827*60</f>
        <v>119.517890945269</v>
      </c>
      <c r="K827" s="0" t="n">
        <f aca="false">(I827*86400)/24</f>
        <v>7171.07345671617</v>
      </c>
    </row>
    <row r="828" customFormat="false" ht="16.5" hidden="false" customHeight="false" outlineLevel="0" collapsed="false">
      <c r="A828" s="56" t="n">
        <v>45869.1666666667</v>
      </c>
      <c r="B828" s="57" t="n">
        <f aca="false">MOD(A828,1)</f>
        <v>0.166666666656965</v>
      </c>
      <c r="C828" s="0" t="n">
        <v>0</v>
      </c>
      <c r="D828" s="0" t="n">
        <v>489.804</v>
      </c>
      <c r="E828" s="0" t="n">
        <f aca="false">D828-0.155</f>
        <v>489.649</v>
      </c>
      <c r="F828" s="0" t="n">
        <v>489.545</v>
      </c>
      <c r="G828" s="0" t="n">
        <f aca="false">IF(E828 - F828 &lt; 0, 0, E828 - F828)</f>
        <v>0.103999999999985</v>
      </c>
      <c r="H828" s="0" t="n">
        <v>1.82</v>
      </c>
      <c r="I828" s="0" t="n">
        <f aca="false">1.82*30*(G828^1.5)</f>
        <v>1.83122897591714</v>
      </c>
      <c r="J828" s="0" t="n">
        <f aca="false">I828*60</f>
        <v>109.873738555029</v>
      </c>
      <c r="K828" s="0" t="n">
        <f aca="false">(I828*86400)/24</f>
        <v>6592.42431330171</v>
      </c>
    </row>
    <row r="829" customFormat="false" ht="16.5" hidden="false" customHeight="false" outlineLevel="0" collapsed="false">
      <c r="A829" s="56" t="n">
        <v>45869.2083333333</v>
      </c>
      <c r="B829" s="57" t="n">
        <f aca="false">MOD(A829,1)</f>
        <v>0.208333333343035</v>
      </c>
      <c r="C829" s="0" t="n">
        <v>0</v>
      </c>
      <c r="D829" s="0" t="n">
        <v>489.803</v>
      </c>
      <c r="E829" s="0" t="n">
        <f aca="false">D829-0.155</f>
        <v>489.648</v>
      </c>
      <c r="F829" s="0" t="n">
        <v>489.545</v>
      </c>
      <c r="G829" s="0" t="n">
        <f aca="false">IF(E829 - F829 &lt; 0, 0, E829 - F829)</f>
        <v>0.103000000000009</v>
      </c>
      <c r="H829" s="0" t="n">
        <v>1.82</v>
      </c>
      <c r="I829" s="0" t="n">
        <f aca="false">1.82*30*(G829^1.5)</f>
        <v>1.80488061193</v>
      </c>
      <c r="J829" s="0" t="n">
        <f aca="false">I829*60</f>
        <v>108.2928367158</v>
      </c>
      <c r="K829" s="0" t="n">
        <f aca="false">(I829*86400)/24</f>
        <v>6497.57020294801</v>
      </c>
    </row>
    <row r="830" customFormat="false" ht="16.5" hidden="false" customHeight="false" outlineLevel="0" collapsed="false">
      <c r="A830" s="56" t="n">
        <v>45869.25</v>
      </c>
      <c r="B830" s="57" t="n">
        <f aca="false">MOD(A830,1)</f>
        <v>0.25</v>
      </c>
      <c r="C830" s="0" t="n">
        <v>0</v>
      </c>
      <c r="D830" s="0" t="n">
        <v>489.798</v>
      </c>
      <c r="E830" s="0" t="n">
        <f aca="false">D830-0.155</f>
        <v>489.643</v>
      </c>
      <c r="F830" s="0" t="n">
        <v>489.545</v>
      </c>
      <c r="G830" s="0" t="n">
        <f aca="false">IF(E830 - F830 &lt; 0, 0, E830 - F830)</f>
        <v>0.0980000000000132</v>
      </c>
      <c r="H830" s="0" t="n">
        <v>1.82</v>
      </c>
      <c r="I830" s="0" t="n">
        <f aca="false">1.82*30*(G830^1.5)</f>
        <v>1.67506535476116</v>
      </c>
      <c r="J830" s="0" t="n">
        <f aca="false">I830*60</f>
        <v>100.50392128567</v>
      </c>
      <c r="K830" s="0" t="n">
        <f aca="false">(I830*86400)/24</f>
        <v>6030.23527714018</v>
      </c>
    </row>
    <row r="831" customFormat="false" ht="16.5" hidden="false" customHeight="false" outlineLevel="0" collapsed="false">
      <c r="A831" s="56" t="n">
        <v>45869.2916666667</v>
      </c>
      <c r="B831" s="57" t="n">
        <f aca="false">MOD(A831,1)</f>
        <v>0.291666666656965</v>
      </c>
      <c r="C831" s="0" t="n">
        <v>0</v>
      </c>
      <c r="D831" s="0" t="n">
        <v>489.797</v>
      </c>
      <c r="E831" s="0" t="n">
        <f aca="false">D831-0.155</f>
        <v>489.642</v>
      </c>
      <c r="F831" s="0" t="n">
        <v>489.545</v>
      </c>
      <c r="G831" s="0" t="n">
        <f aca="false">IF(E831 - F831 &lt; 0, 0, E831 - F831)</f>
        <v>0.0970000000000368</v>
      </c>
      <c r="H831" s="0" t="n">
        <v>1.82</v>
      </c>
      <c r="I831" s="0" t="n">
        <f aca="false">1.82*30*(G831^1.5)</f>
        <v>1.64949211598089</v>
      </c>
      <c r="J831" s="0" t="n">
        <f aca="false">I831*60</f>
        <v>98.9695269588532</v>
      </c>
      <c r="K831" s="0" t="n">
        <f aca="false">(I831*86400)/24</f>
        <v>5938.17161753119</v>
      </c>
    </row>
    <row r="832" customFormat="false" ht="16.5" hidden="false" customHeight="false" outlineLevel="0" collapsed="false">
      <c r="A832" s="56" t="n">
        <v>45869.3333333333</v>
      </c>
      <c r="B832" s="57" t="n">
        <f aca="false">MOD(A832,1)</f>
        <v>0.333333333343035</v>
      </c>
      <c r="C832" s="0" t="n">
        <v>0</v>
      </c>
      <c r="D832" s="0" t="n">
        <v>489.797</v>
      </c>
      <c r="E832" s="0" t="n">
        <f aca="false">D832-0.155</f>
        <v>489.642</v>
      </c>
      <c r="F832" s="0" t="n">
        <v>489.545</v>
      </c>
      <c r="G832" s="0" t="n">
        <f aca="false">IF(E832 - F832 &lt; 0, 0, E832 - F832)</f>
        <v>0.0970000000000368</v>
      </c>
      <c r="H832" s="0" t="n">
        <v>1.82</v>
      </c>
      <c r="I832" s="0" t="n">
        <f aca="false">1.82*30*(G832^1.5)</f>
        <v>1.64949211598089</v>
      </c>
      <c r="J832" s="0" t="n">
        <f aca="false">I832*60</f>
        <v>98.9695269588532</v>
      </c>
      <c r="K832" s="0" t="n">
        <f aca="false">(I832*86400)/24</f>
        <v>5938.17161753119</v>
      </c>
    </row>
    <row r="833" customFormat="false" ht="16.5" hidden="false" customHeight="false" outlineLevel="0" collapsed="false">
      <c r="A833" s="56" t="n">
        <v>45869.375</v>
      </c>
      <c r="B833" s="57" t="n">
        <f aca="false">MOD(A833,1)</f>
        <v>0.375</v>
      </c>
      <c r="C833" s="0" t="n">
        <v>0</v>
      </c>
      <c r="D833" s="0" t="n">
        <v>489.791</v>
      </c>
      <c r="E833" s="0" t="n">
        <f aca="false">D833-0.155</f>
        <v>489.636</v>
      </c>
      <c r="F833" s="0" t="n">
        <v>489.545</v>
      </c>
      <c r="G833" s="0" t="n">
        <f aca="false">IF(E833 - F833 &lt; 0, 0, E833 - F833)</f>
        <v>0.0910000000000082</v>
      </c>
      <c r="H833" s="0" t="n">
        <v>1.82</v>
      </c>
      <c r="I833" s="0" t="n">
        <f aca="false">1.82*30*(G833^1.5)</f>
        <v>1.49883812413503</v>
      </c>
      <c r="J833" s="0" t="n">
        <f aca="false">I833*60</f>
        <v>89.9302874481016</v>
      </c>
      <c r="K833" s="0" t="n">
        <f aca="false">(I833*86400)/24</f>
        <v>5395.8172468861</v>
      </c>
    </row>
    <row r="834" customFormat="false" ht="16.5" hidden="false" customHeight="false" outlineLevel="0" collapsed="false">
      <c r="A834" s="56" t="n">
        <v>45869.4166666667</v>
      </c>
      <c r="B834" s="57" t="n">
        <f aca="false">MOD(A834,1)</f>
        <v>0.416666666656965</v>
      </c>
      <c r="C834" s="0" t="n">
        <v>0</v>
      </c>
      <c r="D834" s="0" t="n">
        <v>489.791</v>
      </c>
      <c r="E834" s="0" t="n">
        <f aca="false">D834-0.155</f>
        <v>489.636</v>
      </c>
      <c r="F834" s="0" t="n">
        <v>489.545</v>
      </c>
      <c r="G834" s="0" t="n">
        <f aca="false">IF(E834 - F834 &lt; 0, 0, E834 - F834)</f>
        <v>0.0910000000000082</v>
      </c>
      <c r="H834" s="0" t="n">
        <v>1.82</v>
      </c>
      <c r="I834" s="0" t="n">
        <f aca="false">1.82*30*(G834^1.5)</f>
        <v>1.49883812413503</v>
      </c>
      <c r="J834" s="0" t="n">
        <f aca="false">I834*60</f>
        <v>89.9302874481016</v>
      </c>
      <c r="K834" s="0" t="n">
        <f aca="false">(I834*86400)/24</f>
        <v>5395.8172468861</v>
      </c>
    </row>
    <row r="835" customFormat="false" ht="16.5" hidden="false" customHeight="false" outlineLevel="0" collapsed="false">
      <c r="A835" s="56" t="n">
        <v>45869.4583333333</v>
      </c>
      <c r="B835" s="57" t="n">
        <f aca="false">MOD(A835,1)</f>
        <v>0.458333333343035</v>
      </c>
      <c r="C835" s="0" t="n">
        <v>0</v>
      </c>
      <c r="D835" s="0" t="n">
        <v>489.785</v>
      </c>
      <c r="E835" s="0" t="n">
        <f aca="false">D835-0.155</f>
        <v>489.63</v>
      </c>
      <c r="F835" s="0" t="n">
        <v>489.545</v>
      </c>
      <c r="G835" s="0" t="n">
        <f aca="false">IF(E835 - F835 &lt; 0, 0, E835 - F835)</f>
        <v>0.0850000000000364</v>
      </c>
      <c r="H835" s="0" t="n">
        <v>1.82</v>
      </c>
      <c r="I835" s="0" t="n">
        <f aca="false">1.82*30*(G835^1.5)</f>
        <v>1.35307238719972</v>
      </c>
      <c r="J835" s="0" t="n">
        <f aca="false">I835*60</f>
        <v>81.1843432319832</v>
      </c>
      <c r="K835" s="0" t="n">
        <f aca="false">(I835*86400)/24</f>
        <v>4871.06059391899</v>
      </c>
    </row>
    <row r="836" customFormat="false" ht="16.5" hidden="false" customHeight="false" outlineLevel="0" collapsed="false">
      <c r="A836" s="56" t="n">
        <v>45869.5</v>
      </c>
      <c r="B836" s="57" t="n">
        <f aca="false">MOD(A836,1)</f>
        <v>0.5</v>
      </c>
      <c r="C836" s="0" t="n">
        <v>0</v>
      </c>
      <c r="D836" s="0" t="n">
        <v>489.784</v>
      </c>
      <c r="E836" s="0" t="n">
        <f aca="false">D836-0.155</f>
        <v>489.629</v>
      </c>
      <c r="F836" s="0" t="n">
        <v>489.545</v>
      </c>
      <c r="G836" s="0" t="n">
        <f aca="false">IF(E836 - F836 &lt; 0, 0, E836 - F836)</f>
        <v>0.0840000000000032</v>
      </c>
      <c r="H836" s="0" t="n">
        <v>1.82</v>
      </c>
      <c r="I836" s="0" t="n">
        <f aca="false">1.82*30*(G836^1.5)</f>
        <v>1.32926500617454</v>
      </c>
      <c r="J836" s="0" t="n">
        <f aca="false">I836*60</f>
        <v>79.7559003704724</v>
      </c>
      <c r="K836" s="0" t="n">
        <f aca="false">(I836*86400)/24</f>
        <v>4785.35402222835</v>
      </c>
    </row>
    <row r="837" customFormat="false" ht="16.5" hidden="false" customHeight="false" outlineLevel="0" collapsed="false">
      <c r="A837" s="56" t="n">
        <v>45869.5416666667</v>
      </c>
      <c r="B837" s="57" t="n">
        <f aca="false">MOD(A837,1)</f>
        <v>0.541666666656965</v>
      </c>
      <c r="C837" s="0" t="n">
        <v>0</v>
      </c>
      <c r="D837" s="0" t="n">
        <v>489.778</v>
      </c>
      <c r="E837" s="0" t="n">
        <f aca="false">D837-0.155</f>
        <v>489.623</v>
      </c>
      <c r="F837" s="0" t="n">
        <v>489.545</v>
      </c>
      <c r="G837" s="0" t="n">
        <f aca="false">IF(E837 - F837 &lt; 0, 0, E837 - F837)</f>
        <v>0.0780000000000314</v>
      </c>
      <c r="H837" s="0" t="n">
        <v>1.82</v>
      </c>
      <c r="I837" s="0" t="n">
        <f aca="false">1.82*30*(G837^1.5)</f>
        <v>1.18941810996878</v>
      </c>
      <c r="J837" s="0" t="n">
        <f aca="false">I837*60</f>
        <v>71.3650865981269</v>
      </c>
      <c r="K837" s="0" t="n">
        <f aca="false">(I837*86400)/24</f>
        <v>4281.90519588761</v>
      </c>
    </row>
    <row r="838" customFormat="false" ht="16.5" hidden="false" customHeight="false" outlineLevel="0" collapsed="false">
      <c r="A838" s="56" t="n">
        <v>45869.5833333333</v>
      </c>
      <c r="B838" s="57" t="n">
        <f aca="false">MOD(A838,1)</f>
        <v>0.583333333343035</v>
      </c>
      <c r="C838" s="0" t="n">
        <v>0</v>
      </c>
      <c r="D838" s="0" t="n">
        <v>489.778</v>
      </c>
      <c r="E838" s="0" t="n">
        <f aca="false">D838-0.155</f>
        <v>489.623</v>
      </c>
      <c r="F838" s="0" t="n">
        <v>489.545</v>
      </c>
      <c r="G838" s="0" t="n">
        <f aca="false">IF(E838 - F838 &lt; 0, 0, E838 - F838)</f>
        <v>0.0780000000000314</v>
      </c>
      <c r="H838" s="0" t="n">
        <v>1.82</v>
      </c>
      <c r="I838" s="0" t="n">
        <f aca="false">1.82*30*(G838^1.5)</f>
        <v>1.18941810996878</v>
      </c>
      <c r="J838" s="0" t="n">
        <f aca="false">I838*60</f>
        <v>71.3650865981269</v>
      </c>
      <c r="K838" s="0" t="n">
        <f aca="false">(I838*86400)/24</f>
        <v>4281.90519588761</v>
      </c>
    </row>
    <row r="839" customFormat="false" ht="16.5" hidden="false" customHeight="false" outlineLevel="0" collapsed="false">
      <c r="A839" s="56" t="n">
        <v>45869.625</v>
      </c>
      <c r="B839" s="57" t="n">
        <f aca="false">MOD(A839,1)</f>
        <v>0.625</v>
      </c>
      <c r="C839" s="0" t="n">
        <v>0</v>
      </c>
      <c r="D839" s="0" t="n">
        <v>489.778</v>
      </c>
      <c r="E839" s="0" t="n">
        <f aca="false">D839-0.155</f>
        <v>489.623</v>
      </c>
      <c r="F839" s="0" t="n">
        <v>489.545</v>
      </c>
      <c r="G839" s="0" t="n">
        <f aca="false">IF(E839 - F839 &lt; 0, 0, E839 - F839)</f>
        <v>0.0780000000000314</v>
      </c>
      <c r="H839" s="0" t="n">
        <v>1.82</v>
      </c>
      <c r="I839" s="0" t="n">
        <f aca="false">1.82*30*(G839^1.5)</f>
        <v>1.18941810996878</v>
      </c>
      <c r="J839" s="0" t="n">
        <f aca="false">I839*60</f>
        <v>71.3650865981269</v>
      </c>
      <c r="K839" s="0" t="n">
        <f aca="false">(I839*86400)/24</f>
        <v>4281.90519588761</v>
      </c>
    </row>
    <row r="840" customFormat="false" ht="16.5" hidden="false" customHeight="false" outlineLevel="0" collapsed="false">
      <c r="A840" s="56" t="n">
        <v>45869.6666666667</v>
      </c>
      <c r="B840" s="57" t="n">
        <f aca="false">MOD(A840,1)</f>
        <v>0.666666666656965</v>
      </c>
      <c r="C840" s="0" t="n">
        <v>0</v>
      </c>
      <c r="D840" s="0" t="n">
        <v>489.778</v>
      </c>
      <c r="E840" s="0" t="n">
        <f aca="false">D840-0.155</f>
        <v>489.623</v>
      </c>
      <c r="F840" s="0" t="n">
        <v>489.545</v>
      </c>
      <c r="G840" s="0" t="n">
        <f aca="false">IF(E840 - F840 &lt; 0, 0, E840 - F840)</f>
        <v>0.0780000000000314</v>
      </c>
      <c r="H840" s="0" t="n">
        <v>1.82</v>
      </c>
      <c r="I840" s="0" t="n">
        <f aca="false">1.82*30*(G840^1.5)</f>
        <v>1.18941810996878</v>
      </c>
      <c r="J840" s="0" t="n">
        <f aca="false">I840*60</f>
        <v>71.3650865981269</v>
      </c>
      <c r="K840" s="0" t="n">
        <f aca="false">(I840*86400)/24</f>
        <v>4281.90519588761</v>
      </c>
    </row>
    <row r="841" customFormat="false" ht="16.5" hidden="false" customHeight="false" outlineLevel="0" collapsed="false">
      <c r="A841" s="56" t="n">
        <v>45869.7083333333</v>
      </c>
      <c r="B841" s="57" t="n">
        <f aca="false">MOD(A841,1)</f>
        <v>0.708333333343035</v>
      </c>
      <c r="C841" s="0" t="n">
        <v>0</v>
      </c>
      <c r="D841" s="0" t="n">
        <v>489.771</v>
      </c>
      <c r="E841" s="0" t="n">
        <f aca="false">D841-0.155</f>
        <v>489.616</v>
      </c>
      <c r="F841" s="0" t="n">
        <v>489.545</v>
      </c>
      <c r="G841" s="0" t="n">
        <f aca="false">IF(E841 - F841 &lt; 0, 0, E841 - F841)</f>
        <v>0.0710000000000264</v>
      </c>
      <c r="H841" s="0" t="n">
        <v>1.82</v>
      </c>
      <c r="I841" s="0" t="n">
        <f aca="false">1.82*30*(G841^1.5)</f>
        <v>1.03295205927535</v>
      </c>
      <c r="J841" s="0" t="n">
        <f aca="false">I841*60</f>
        <v>61.9771235565211</v>
      </c>
      <c r="K841" s="0" t="n">
        <f aca="false">(I841*86400)/24</f>
        <v>3718.62741339127</v>
      </c>
    </row>
    <row r="842" customFormat="false" ht="16.5" hidden="false" customHeight="false" outlineLevel="0" collapsed="false">
      <c r="A842" s="56" t="n">
        <v>45869.75</v>
      </c>
      <c r="B842" s="57" t="n">
        <f aca="false">MOD(A842,1)</f>
        <v>0.75</v>
      </c>
      <c r="C842" s="0" t="n">
        <v>0</v>
      </c>
      <c r="D842" s="0" t="n">
        <v>489.771</v>
      </c>
      <c r="E842" s="0" t="n">
        <f aca="false">D842-0.155</f>
        <v>489.616</v>
      </c>
      <c r="F842" s="0" t="n">
        <v>489.545</v>
      </c>
      <c r="G842" s="0" t="n">
        <f aca="false">IF(E842 - F842 &lt; 0, 0, E842 - F842)</f>
        <v>0.0710000000000264</v>
      </c>
      <c r="H842" s="0" t="n">
        <v>1.82</v>
      </c>
      <c r="I842" s="0" t="n">
        <f aca="false">1.82*30*(G842^1.5)</f>
        <v>1.03295205927535</v>
      </c>
      <c r="J842" s="0" t="n">
        <f aca="false">I842*60</f>
        <v>61.9771235565211</v>
      </c>
      <c r="K842" s="0" t="n">
        <f aca="false">(I842*86400)/24</f>
        <v>3718.62741339127</v>
      </c>
    </row>
    <row r="843" customFormat="false" ht="16.5" hidden="false" customHeight="false" outlineLevel="0" collapsed="false">
      <c r="A843" s="56" t="n">
        <v>45869.7916666667</v>
      </c>
      <c r="B843" s="57" t="n">
        <f aca="false">MOD(A843,1)</f>
        <v>0.791666666656965</v>
      </c>
      <c r="C843" s="0" t="n">
        <v>0</v>
      </c>
      <c r="D843" s="0" t="n">
        <v>489.765</v>
      </c>
      <c r="E843" s="0" t="n">
        <f aca="false">D843-0.155</f>
        <v>489.61</v>
      </c>
      <c r="F843" s="0" t="n">
        <v>489.545</v>
      </c>
      <c r="G843" s="0" t="n">
        <f aca="false">IF(E843 - F843 &lt; 0, 0, E843 - F843)</f>
        <v>0.0649999999999977</v>
      </c>
      <c r="H843" s="0" t="n">
        <v>1.82</v>
      </c>
      <c r="I843" s="0" t="n">
        <f aca="false">1.82*30*(G843^1.5)</f>
        <v>0.904821012686992</v>
      </c>
      <c r="J843" s="0" t="n">
        <f aca="false">I843*60</f>
        <v>54.2892607612195</v>
      </c>
      <c r="K843" s="0" t="n">
        <f aca="false">(I843*86400)/24</f>
        <v>3257.35564567317</v>
      </c>
    </row>
    <row r="844" customFormat="false" ht="16.5" hidden="false" customHeight="false" outlineLevel="0" collapsed="false">
      <c r="A844" s="56" t="n">
        <v>45869.8333333333</v>
      </c>
      <c r="B844" s="57" t="n">
        <f aca="false">MOD(A844,1)</f>
        <v>0.833333333343035</v>
      </c>
      <c r="C844" s="0" t="n">
        <v>0</v>
      </c>
      <c r="D844" s="0" t="n">
        <v>489.765</v>
      </c>
      <c r="E844" s="0" t="n">
        <f aca="false">D844-0.155</f>
        <v>489.61</v>
      </c>
      <c r="F844" s="0" t="n">
        <v>489.545</v>
      </c>
      <c r="G844" s="0" t="n">
        <f aca="false">IF(E844 - F844 &lt; 0, 0, E844 - F844)</f>
        <v>0.0649999999999977</v>
      </c>
      <c r="H844" s="0" t="n">
        <v>1.82</v>
      </c>
      <c r="I844" s="0" t="n">
        <f aca="false">1.82*30*(G844^1.5)</f>
        <v>0.904821012686992</v>
      </c>
      <c r="J844" s="0" t="n">
        <f aca="false">I844*60</f>
        <v>54.2892607612195</v>
      </c>
      <c r="K844" s="0" t="n">
        <f aca="false">(I844*86400)/24</f>
        <v>3257.35564567317</v>
      </c>
    </row>
    <row r="845" customFormat="false" ht="16.5" hidden="false" customHeight="false" outlineLevel="0" collapsed="false">
      <c r="A845" s="56" t="n">
        <v>45869.875</v>
      </c>
      <c r="B845" s="57" t="n">
        <f aca="false">MOD(A845,1)</f>
        <v>0.875</v>
      </c>
      <c r="C845" s="0" t="n">
        <v>0</v>
      </c>
      <c r="D845" s="0" t="n">
        <v>489.766</v>
      </c>
      <c r="E845" s="0" t="n">
        <f aca="false">D845-0.155</f>
        <v>489.611</v>
      </c>
      <c r="F845" s="0" t="n">
        <v>489.545</v>
      </c>
      <c r="G845" s="0" t="n">
        <f aca="false">IF(E845 - F845 &lt; 0, 0, E845 - F845)</f>
        <v>0.0660000000000309</v>
      </c>
      <c r="H845" s="0" t="n">
        <v>1.82</v>
      </c>
      <c r="I845" s="0" t="n">
        <f aca="false">1.82*30*(G845^1.5)</f>
        <v>0.925781602410204</v>
      </c>
      <c r="J845" s="0" t="n">
        <f aca="false">I845*60</f>
        <v>55.5468961446122</v>
      </c>
      <c r="K845" s="0" t="n">
        <f aca="false">(I845*86400)/24</f>
        <v>3332.81376867673</v>
      </c>
    </row>
    <row r="846" customFormat="false" ht="16.5" hidden="false" customHeight="false" outlineLevel="0" collapsed="false">
      <c r="A846" s="56" t="n">
        <v>45869.9166666667</v>
      </c>
      <c r="B846" s="57" t="n">
        <f aca="false">MOD(A846,1)</f>
        <v>0.916666666656965</v>
      </c>
      <c r="C846" s="0" t="n">
        <v>0</v>
      </c>
      <c r="D846" s="0" t="n">
        <v>489.766</v>
      </c>
      <c r="E846" s="0" t="n">
        <f aca="false">D846-0.155</f>
        <v>489.611</v>
      </c>
      <c r="F846" s="0" t="n">
        <v>489.545</v>
      </c>
      <c r="G846" s="0" t="n">
        <f aca="false">IF(E846 - F846 &lt; 0, 0, E846 - F846)</f>
        <v>0.0660000000000309</v>
      </c>
      <c r="H846" s="0" t="n">
        <v>1.82</v>
      </c>
      <c r="I846" s="0" t="n">
        <f aca="false">1.82*30*(G846^1.5)</f>
        <v>0.925781602410204</v>
      </c>
      <c r="J846" s="0" t="n">
        <f aca="false">I846*60</f>
        <v>55.5468961446122</v>
      </c>
      <c r="K846" s="0" t="n">
        <f aca="false">(I846*86400)/24</f>
        <v>3332.81376867673</v>
      </c>
    </row>
    <row r="847" customFormat="false" ht="16.5" hidden="false" customHeight="false" outlineLevel="0" collapsed="false">
      <c r="A847" s="56" t="n">
        <v>45869.9583333333</v>
      </c>
      <c r="B847" s="57" t="n">
        <f aca="false">MOD(A847,1)</f>
        <v>0.958333333343035</v>
      </c>
      <c r="C847" s="0" t="n">
        <v>0</v>
      </c>
      <c r="D847" s="0" t="n">
        <v>489.758</v>
      </c>
      <c r="E847" s="0" t="n">
        <f aca="false">D847-0.155</f>
        <v>489.603</v>
      </c>
      <c r="F847" s="0" t="n">
        <v>489.545</v>
      </c>
      <c r="G847" s="0" t="n">
        <f aca="false">IF(E847 - F847 &lt; 0, 0, E847 - F847)</f>
        <v>0.0579999999999927</v>
      </c>
      <c r="H847" s="0" t="n">
        <v>1.82</v>
      </c>
      <c r="I847" s="0" t="n">
        <f aca="false">1.82*30*(G847^1.5)</f>
        <v>0.762666434242245</v>
      </c>
      <c r="J847" s="0" t="n">
        <f aca="false">I847*60</f>
        <v>45.7599860545347</v>
      </c>
      <c r="K847" s="0" t="n">
        <f aca="false">(I847*86400)/24</f>
        <v>2745.59916327208</v>
      </c>
    </row>
    <row r="848" customFormat="false" ht="16.5" hidden="false" customHeight="false" outlineLevel="0" collapsed="false">
      <c r="A848" s="56" t="n">
        <v>45870</v>
      </c>
      <c r="B848" s="57" t="n">
        <f aca="false">MOD(A848,1)</f>
        <v>0</v>
      </c>
      <c r="C848" s="0" t="n">
        <v>0</v>
      </c>
      <c r="D848" s="0" t="n">
        <v>489.758</v>
      </c>
      <c r="E848" s="0" t="n">
        <f aca="false">D848-0.155</f>
        <v>489.603</v>
      </c>
      <c r="F848" s="0" t="n">
        <v>489.545</v>
      </c>
      <c r="G848" s="0" t="n">
        <f aca="false">IF(E848 - F848 &lt; 0, 0, E848 - F848)</f>
        <v>0.0579999999999927</v>
      </c>
      <c r="H848" s="0" t="n">
        <v>1.82</v>
      </c>
      <c r="I848" s="0" t="n">
        <f aca="false">1.82*30*(G848^1.5)</f>
        <v>0.762666434242245</v>
      </c>
      <c r="J848" s="0" t="n">
        <f aca="false">I848*60</f>
        <v>45.7599860545347</v>
      </c>
      <c r="K848" s="0" t="n">
        <f aca="false">(I848*86400)/24</f>
        <v>2745.59916327208</v>
      </c>
    </row>
    <row r="849" customFormat="false" ht="16.5" hidden="false" customHeight="false" outlineLevel="0" collapsed="false">
      <c r="A849" s="56" t="n">
        <v>45870.0416666667</v>
      </c>
      <c r="B849" s="57" t="n">
        <f aca="false">MOD(A849,1)</f>
        <v>0.0416666666569654</v>
      </c>
      <c r="C849" s="0" t="n">
        <v>0</v>
      </c>
      <c r="D849" s="0" t="n">
        <v>489.759</v>
      </c>
      <c r="E849" s="0" t="n">
        <f aca="false">D849-0.155</f>
        <v>489.604</v>
      </c>
      <c r="F849" s="0" t="n">
        <v>489.545</v>
      </c>
      <c r="G849" s="0" t="n">
        <f aca="false">IF(E849 - F849 &lt; 0, 0, E849 - F849)</f>
        <v>0.0590000000000259</v>
      </c>
      <c r="H849" s="0" t="n">
        <v>1.82</v>
      </c>
      <c r="I849" s="0" t="n">
        <f aca="false">1.82*30*(G849^1.5)</f>
        <v>0.782475341234985</v>
      </c>
      <c r="J849" s="0" t="n">
        <f aca="false">I849*60</f>
        <v>46.9485204740991</v>
      </c>
      <c r="K849" s="0" t="n">
        <f aca="false">(I849*86400)/24</f>
        <v>2816.91122844595</v>
      </c>
    </row>
    <row r="850" customFormat="false" ht="16.5" hidden="false" customHeight="false" outlineLevel="0" collapsed="false">
      <c r="A850" s="56" t="n">
        <v>45870.0833333333</v>
      </c>
      <c r="B850" s="57" t="n">
        <f aca="false">MOD(A850,1)</f>
        <v>0.0833333333430346</v>
      </c>
      <c r="C850" s="0" t="n">
        <v>0</v>
      </c>
      <c r="D850" s="0" t="n">
        <v>489.752</v>
      </c>
      <c r="E850" s="0" t="n">
        <f aca="false">D850-0.155</f>
        <v>489.597</v>
      </c>
      <c r="F850" s="0" t="n">
        <v>489.545</v>
      </c>
      <c r="G850" s="0" t="n">
        <f aca="false">IF(E850 - F850 &lt; 0, 0, E850 - F850)</f>
        <v>0.0520000000000209</v>
      </c>
      <c r="H850" s="0" t="n">
        <v>1.82</v>
      </c>
      <c r="I850" s="0" t="n">
        <f aca="false">1.82*30*(G850^1.5)</f>
        <v>0.647437213388685</v>
      </c>
      <c r="J850" s="0" t="n">
        <f aca="false">I850*60</f>
        <v>38.8462328033211</v>
      </c>
      <c r="K850" s="0" t="n">
        <f aca="false">(I850*86400)/24</f>
        <v>2330.77396819927</v>
      </c>
    </row>
    <row r="851" customFormat="false" ht="16.5" hidden="false" customHeight="false" outlineLevel="0" collapsed="false">
      <c r="A851" s="56" t="n">
        <v>45870.125</v>
      </c>
      <c r="B851" s="57" t="n">
        <f aca="false">MOD(A851,1)</f>
        <v>0.125</v>
      </c>
      <c r="C851" s="0" t="n">
        <v>0</v>
      </c>
      <c r="D851" s="0" t="n">
        <v>489.752</v>
      </c>
      <c r="E851" s="0" t="n">
        <f aca="false">D851-0.155</f>
        <v>489.597</v>
      </c>
      <c r="F851" s="0" t="n">
        <v>489.545</v>
      </c>
      <c r="G851" s="0" t="n">
        <f aca="false">IF(E851 - F851 &lt; 0, 0, E851 - F851)</f>
        <v>0.0520000000000209</v>
      </c>
      <c r="H851" s="0" t="n">
        <v>1.82</v>
      </c>
      <c r="I851" s="0" t="n">
        <f aca="false">1.82*30*(G851^1.5)</f>
        <v>0.647437213388685</v>
      </c>
      <c r="J851" s="0" t="n">
        <f aca="false">I851*60</f>
        <v>38.8462328033211</v>
      </c>
      <c r="K851" s="0" t="n">
        <f aca="false">(I851*86400)/24</f>
        <v>2330.77396819927</v>
      </c>
    </row>
    <row r="852" customFormat="false" ht="16.5" hidden="false" customHeight="false" outlineLevel="0" collapsed="false">
      <c r="A852" s="56" t="n">
        <v>45870.1666666667</v>
      </c>
      <c r="B852" s="57" t="n">
        <f aca="false">MOD(A852,1)</f>
        <v>0.166666666656965</v>
      </c>
      <c r="C852" s="0" t="n">
        <v>0</v>
      </c>
      <c r="D852" s="0" t="n">
        <v>489.752</v>
      </c>
      <c r="E852" s="0" t="n">
        <f aca="false">D852-0.155</f>
        <v>489.597</v>
      </c>
      <c r="F852" s="0" t="n">
        <v>489.545</v>
      </c>
      <c r="G852" s="0" t="n">
        <f aca="false">IF(E852 - F852 &lt; 0, 0, E852 - F852)</f>
        <v>0.0520000000000209</v>
      </c>
      <c r="H852" s="0" t="n">
        <v>1.82</v>
      </c>
      <c r="I852" s="0" t="n">
        <f aca="false">1.82*30*(G852^1.5)</f>
        <v>0.647437213388685</v>
      </c>
      <c r="J852" s="0" t="n">
        <f aca="false">I852*60</f>
        <v>38.8462328033211</v>
      </c>
      <c r="K852" s="0" t="n">
        <f aca="false">(I852*86400)/24</f>
        <v>2330.77396819927</v>
      </c>
    </row>
    <row r="853" customFormat="false" ht="16.5" hidden="false" customHeight="false" outlineLevel="0" collapsed="false">
      <c r="A853" s="56" t="n">
        <v>45870.2083333333</v>
      </c>
      <c r="B853" s="57" t="n">
        <f aca="false">MOD(A853,1)</f>
        <v>0.208333333343035</v>
      </c>
      <c r="C853" s="0" t="n">
        <v>0</v>
      </c>
      <c r="D853" s="0" t="n">
        <v>489.752</v>
      </c>
      <c r="E853" s="0" t="n">
        <f aca="false">D853-0.155</f>
        <v>489.597</v>
      </c>
      <c r="F853" s="0" t="n">
        <v>489.545</v>
      </c>
      <c r="G853" s="0" t="n">
        <f aca="false">IF(E853 - F853 &lt; 0, 0, E853 - F853)</f>
        <v>0.0520000000000209</v>
      </c>
      <c r="H853" s="0" t="n">
        <v>1.82</v>
      </c>
      <c r="I853" s="0" t="n">
        <f aca="false">1.82*30*(G853^1.5)</f>
        <v>0.647437213388685</v>
      </c>
      <c r="J853" s="0" t="n">
        <f aca="false">I853*60</f>
        <v>38.8462328033211</v>
      </c>
      <c r="K853" s="0" t="n">
        <f aca="false">(I853*86400)/24</f>
        <v>2330.77396819927</v>
      </c>
    </row>
    <row r="854" customFormat="false" ht="16.5" hidden="false" customHeight="false" outlineLevel="0" collapsed="false">
      <c r="A854" s="56" t="n">
        <v>45870.25</v>
      </c>
      <c r="B854" s="57" t="n">
        <f aca="false">MOD(A854,1)</f>
        <v>0.25</v>
      </c>
      <c r="C854" s="0" t="n">
        <v>0</v>
      </c>
      <c r="D854" s="0" t="n">
        <v>489.745</v>
      </c>
      <c r="E854" s="0" t="n">
        <f aca="false">D854-0.155</f>
        <v>489.59</v>
      </c>
      <c r="F854" s="0" t="n">
        <v>489.545</v>
      </c>
      <c r="G854" s="0" t="n">
        <f aca="false">IF(E854 - F854 &lt; 0, 0, E854 - F854)</f>
        <v>0.0450000000000159</v>
      </c>
      <c r="H854" s="0" t="n">
        <v>1.82</v>
      </c>
      <c r="I854" s="0" t="n">
        <f aca="false">1.82*30*(G854^1.5)</f>
        <v>0.521208408412881</v>
      </c>
      <c r="J854" s="0" t="n">
        <f aca="false">I854*60</f>
        <v>31.2725045047728</v>
      </c>
      <c r="K854" s="0" t="n">
        <f aca="false">(I854*86400)/24</f>
        <v>1876.35027028637</v>
      </c>
    </row>
    <row r="855" customFormat="false" ht="16.5" hidden="false" customHeight="false" outlineLevel="0" collapsed="false">
      <c r="A855" s="56" t="n">
        <v>45870.2916666667</v>
      </c>
      <c r="B855" s="57" t="n">
        <f aca="false">MOD(A855,1)</f>
        <v>0.291666666656965</v>
      </c>
      <c r="C855" s="0" t="n">
        <v>0</v>
      </c>
      <c r="D855" s="0" t="n">
        <v>489.745</v>
      </c>
      <c r="E855" s="0" t="n">
        <f aca="false">D855-0.155</f>
        <v>489.59</v>
      </c>
      <c r="F855" s="0" t="n">
        <v>489.545</v>
      </c>
      <c r="G855" s="0" t="n">
        <f aca="false">IF(E855 - F855 &lt; 0, 0, E855 - F855)</f>
        <v>0.0450000000000159</v>
      </c>
      <c r="H855" s="0" t="n">
        <v>1.82</v>
      </c>
      <c r="I855" s="0" t="n">
        <f aca="false">1.82*30*(G855^1.5)</f>
        <v>0.521208408412881</v>
      </c>
      <c r="J855" s="0" t="n">
        <f aca="false">I855*60</f>
        <v>31.2725045047728</v>
      </c>
      <c r="K855" s="0" t="n">
        <f aca="false">(I855*86400)/24</f>
        <v>1876.35027028637</v>
      </c>
    </row>
    <row r="856" customFormat="false" ht="16.5" hidden="false" customHeight="false" outlineLevel="0" collapsed="false">
      <c r="A856" s="56" t="n">
        <v>45870.3333333333</v>
      </c>
      <c r="B856" s="57" t="n">
        <f aca="false">MOD(A856,1)</f>
        <v>0.333333333343035</v>
      </c>
      <c r="C856" s="0" t="n">
        <v>0</v>
      </c>
      <c r="D856" s="0" t="n">
        <v>489.745</v>
      </c>
      <c r="E856" s="0" t="n">
        <f aca="false">D856-0.155</f>
        <v>489.59</v>
      </c>
      <c r="F856" s="0" t="n">
        <v>489.545</v>
      </c>
      <c r="G856" s="0" t="n">
        <f aca="false">IF(E856 - F856 &lt; 0, 0, E856 - F856)</f>
        <v>0.0450000000000159</v>
      </c>
      <c r="H856" s="0" t="n">
        <v>1.82</v>
      </c>
      <c r="I856" s="0" t="n">
        <f aca="false">1.82*30*(G856^1.5)</f>
        <v>0.521208408412881</v>
      </c>
      <c r="J856" s="0" t="n">
        <f aca="false">I856*60</f>
        <v>31.2725045047728</v>
      </c>
      <c r="K856" s="0" t="n">
        <f aca="false">(I856*86400)/24</f>
        <v>1876.35027028637</v>
      </c>
    </row>
    <row r="857" customFormat="false" ht="16.5" hidden="false" customHeight="false" outlineLevel="0" collapsed="false">
      <c r="A857" s="56" t="n">
        <v>45870.375</v>
      </c>
      <c r="B857" s="57" t="n">
        <f aca="false">MOD(A857,1)</f>
        <v>0.375</v>
      </c>
      <c r="C857" s="0" t="n">
        <v>0</v>
      </c>
      <c r="D857" s="0" t="n">
        <v>489.745</v>
      </c>
      <c r="E857" s="0" t="n">
        <f aca="false">D857-0.155</f>
        <v>489.59</v>
      </c>
      <c r="F857" s="0" t="n">
        <v>489.545</v>
      </c>
      <c r="G857" s="0" t="n">
        <f aca="false">IF(E857 - F857 &lt; 0, 0, E857 - F857)</f>
        <v>0.0450000000000159</v>
      </c>
      <c r="H857" s="0" t="n">
        <v>1.82</v>
      </c>
      <c r="I857" s="0" t="n">
        <f aca="false">1.82*30*(G857^1.5)</f>
        <v>0.521208408412881</v>
      </c>
      <c r="J857" s="0" t="n">
        <f aca="false">I857*60</f>
        <v>31.2725045047728</v>
      </c>
      <c r="K857" s="0" t="n">
        <f aca="false">(I857*86400)/24</f>
        <v>1876.35027028637</v>
      </c>
    </row>
    <row r="858" customFormat="false" ht="16.5" hidden="false" customHeight="false" outlineLevel="0" collapsed="false">
      <c r="A858" s="56" t="n">
        <v>45870.4166666667</v>
      </c>
      <c r="B858" s="57" t="n">
        <f aca="false">MOD(A858,1)</f>
        <v>0.416666666656965</v>
      </c>
      <c r="C858" s="0" t="n">
        <v>0</v>
      </c>
      <c r="D858" s="0" t="n">
        <v>489.745</v>
      </c>
      <c r="E858" s="0" t="n">
        <f aca="false">D858-0.155</f>
        <v>489.59</v>
      </c>
      <c r="F858" s="0" t="n">
        <v>489.545</v>
      </c>
      <c r="G858" s="0" t="n">
        <f aca="false">IF(E858 - F858 &lt; 0, 0, E858 - F858)</f>
        <v>0.0450000000000159</v>
      </c>
      <c r="H858" s="0" t="n">
        <v>1.82</v>
      </c>
      <c r="I858" s="0" t="n">
        <f aca="false">1.82*30*(G858^1.5)</f>
        <v>0.521208408412881</v>
      </c>
      <c r="J858" s="0" t="n">
        <f aca="false">I858*60</f>
        <v>31.2725045047728</v>
      </c>
      <c r="K858" s="0" t="n">
        <f aca="false">(I858*86400)/24</f>
        <v>1876.35027028637</v>
      </c>
    </row>
    <row r="859" customFormat="false" ht="16.5" hidden="false" customHeight="false" outlineLevel="0" collapsed="false">
      <c r="A859" s="56" t="n">
        <v>45870.4583333333</v>
      </c>
      <c r="B859" s="57" t="n">
        <f aca="false">MOD(A859,1)</f>
        <v>0.458333333343035</v>
      </c>
      <c r="C859" s="0" t="n">
        <v>0</v>
      </c>
      <c r="D859" s="0" t="n">
        <v>489.739</v>
      </c>
      <c r="E859" s="0" t="n">
        <f aca="false">D859-0.155</f>
        <v>489.584</v>
      </c>
      <c r="F859" s="0" t="n">
        <v>489.545</v>
      </c>
      <c r="G859" s="0" t="n">
        <f aca="false">IF(E859 - F859 &lt; 0, 0, E859 - F859)</f>
        <v>0.0389999999999873</v>
      </c>
      <c r="H859" s="0" t="n">
        <v>1.82</v>
      </c>
      <c r="I859" s="0" t="n">
        <f aca="false">1.82*30*(G859^1.5)</f>
        <v>0.420522805612046</v>
      </c>
      <c r="J859" s="0" t="n">
        <f aca="false">I859*60</f>
        <v>25.2313683367228</v>
      </c>
      <c r="K859" s="0" t="n">
        <f aca="false">(I859*86400)/24</f>
        <v>1513.88210020337</v>
      </c>
    </row>
    <row r="860" customFormat="false" ht="16.5" hidden="false" customHeight="false" outlineLevel="0" collapsed="false">
      <c r="A860" s="56" t="n">
        <v>45870.5</v>
      </c>
      <c r="B860" s="57" t="n">
        <f aca="false">MOD(A860,1)</f>
        <v>0.5</v>
      </c>
      <c r="C860" s="0" t="n">
        <v>0</v>
      </c>
      <c r="D860" s="0" t="n">
        <v>489.739</v>
      </c>
      <c r="E860" s="0" t="n">
        <f aca="false">D860-0.155</f>
        <v>489.584</v>
      </c>
      <c r="F860" s="0" t="n">
        <v>489.545</v>
      </c>
      <c r="G860" s="0" t="n">
        <f aca="false">IF(E860 - F860 &lt; 0, 0, E860 - F860)</f>
        <v>0.0389999999999873</v>
      </c>
      <c r="H860" s="0" t="n">
        <v>1.82</v>
      </c>
      <c r="I860" s="0" t="n">
        <f aca="false">1.82*30*(G860^1.5)</f>
        <v>0.420522805612046</v>
      </c>
      <c r="J860" s="0" t="n">
        <f aca="false">I860*60</f>
        <v>25.2313683367228</v>
      </c>
      <c r="K860" s="0" t="n">
        <f aca="false">(I860*86400)/24</f>
        <v>1513.88210020337</v>
      </c>
    </row>
    <row r="861" customFormat="false" ht="16.5" hidden="false" customHeight="false" outlineLevel="0" collapsed="false">
      <c r="A861" s="56" t="n">
        <v>45870.5416666667</v>
      </c>
      <c r="B861" s="57" t="n">
        <f aca="false">MOD(A861,1)</f>
        <v>0.541666666656965</v>
      </c>
      <c r="C861" s="0" t="n">
        <v>0</v>
      </c>
      <c r="D861" s="0" t="n">
        <v>489.732</v>
      </c>
      <c r="E861" s="0" t="n">
        <f aca="false">D861-0.155</f>
        <v>489.577</v>
      </c>
      <c r="F861" s="0" t="n">
        <v>489.545</v>
      </c>
      <c r="G861" s="0" t="n">
        <f aca="false">IF(E861 - F861 &lt; 0, 0, E861 - F861)</f>
        <v>0.0320000000000391</v>
      </c>
      <c r="H861" s="0" t="n">
        <v>1.82</v>
      </c>
      <c r="I861" s="0" t="n">
        <f aca="false">1.82*30*(G861^1.5)</f>
        <v>0.312548637623584</v>
      </c>
      <c r="J861" s="0" t="n">
        <f aca="false">I861*60</f>
        <v>18.752918257415</v>
      </c>
      <c r="K861" s="0" t="n">
        <f aca="false">(I861*86400)/24</f>
        <v>1125.1750954449</v>
      </c>
    </row>
    <row r="862" customFormat="false" ht="16.5" hidden="false" customHeight="false" outlineLevel="0" collapsed="false">
      <c r="A862" s="56" t="n">
        <v>45870.5833333333</v>
      </c>
      <c r="B862" s="57" t="n">
        <f aca="false">MOD(A862,1)</f>
        <v>0.583333333343035</v>
      </c>
      <c r="C862" s="0" t="n">
        <v>0</v>
      </c>
      <c r="D862" s="0" t="n">
        <v>489.732</v>
      </c>
      <c r="E862" s="0" t="n">
        <f aca="false">D862-0.155</f>
        <v>489.577</v>
      </c>
      <c r="F862" s="0" t="n">
        <v>489.545</v>
      </c>
      <c r="G862" s="0" t="n">
        <f aca="false">IF(E862 - F862 &lt; 0, 0, E862 - F862)</f>
        <v>0.0320000000000391</v>
      </c>
      <c r="H862" s="0" t="n">
        <v>1.82</v>
      </c>
      <c r="I862" s="0" t="n">
        <f aca="false">1.82*30*(G862^1.5)</f>
        <v>0.312548637623584</v>
      </c>
      <c r="J862" s="0" t="n">
        <f aca="false">I862*60</f>
        <v>18.752918257415</v>
      </c>
      <c r="K862" s="0" t="n">
        <f aca="false">(I862*86400)/24</f>
        <v>1125.1750954449</v>
      </c>
    </row>
    <row r="863" customFormat="false" ht="16.5" hidden="false" customHeight="false" outlineLevel="0" collapsed="false">
      <c r="A863" s="56" t="n">
        <v>45870.625</v>
      </c>
      <c r="B863" s="57" t="n">
        <f aca="false">MOD(A863,1)</f>
        <v>0.625</v>
      </c>
      <c r="C863" s="0" t="n">
        <v>0</v>
      </c>
      <c r="D863" s="0" t="n">
        <v>489.732</v>
      </c>
      <c r="E863" s="0" t="n">
        <f aca="false">D863-0.155</f>
        <v>489.577</v>
      </c>
      <c r="F863" s="0" t="n">
        <v>489.545</v>
      </c>
      <c r="G863" s="0" t="n">
        <f aca="false">IF(E863 - F863 &lt; 0, 0, E863 - F863)</f>
        <v>0.0320000000000391</v>
      </c>
      <c r="H863" s="0" t="n">
        <v>1.82</v>
      </c>
      <c r="I863" s="0" t="n">
        <f aca="false">1.82*30*(G863^1.5)</f>
        <v>0.312548637623584</v>
      </c>
      <c r="J863" s="0" t="n">
        <f aca="false">I863*60</f>
        <v>18.752918257415</v>
      </c>
      <c r="K863" s="0" t="n">
        <f aca="false">(I863*86400)/24</f>
        <v>1125.1750954449</v>
      </c>
    </row>
    <row r="864" customFormat="false" ht="16.5" hidden="false" customHeight="false" outlineLevel="0" collapsed="false">
      <c r="A864" s="56" t="n">
        <v>45870.6666666667</v>
      </c>
      <c r="B864" s="57" t="n">
        <f aca="false">MOD(A864,1)</f>
        <v>0.666666666656965</v>
      </c>
      <c r="C864" s="0" t="n">
        <v>0</v>
      </c>
      <c r="D864" s="0" t="n">
        <v>489.732</v>
      </c>
      <c r="E864" s="0" t="n">
        <f aca="false">D864-0.155</f>
        <v>489.577</v>
      </c>
      <c r="F864" s="0" t="n">
        <v>489.545</v>
      </c>
      <c r="G864" s="0" t="n">
        <f aca="false">IF(E864 - F864 &lt; 0, 0, E864 - F864)</f>
        <v>0.0320000000000391</v>
      </c>
      <c r="H864" s="0" t="n">
        <v>1.82</v>
      </c>
      <c r="I864" s="0" t="n">
        <f aca="false">1.82*30*(G864^1.5)</f>
        <v>0.312548637623584</v>
      </c>
      <c r="J864" s="0" t="n">
        <f aca="false">I864*60</f>
        <v>18.752918257415</v>
      </c>
      <c r="K864" s="0" t="n">
        <f aca="false">(I864*86400)/24</f>
        <v>1125.1750954449</v>
      </c>
    </row>
    <row r="865" customFormat="false" ht="16.5" hidden="false" customHeight="false" outlineLevel="0" collapsed="false">
      <c r="A865" s="56" t="n">
        <v>45870.7083333333</v>
      </c>
      <c r="B865" s="57" t="n">
        <f aca="false">MOD(A865,1)</f>
        <v>0.708333333343035</v>
      </c>
      <c r="C865" s="0" t="n">
        <v>0</v>
      </c>
      <c r="D865" s="0" t="n">
        <v>489.725</v>
      </c>
      <c r="E865" s="0" t="n">
        <f aca="false">D865-0.155</f>
        <v>489.57</v>
      </c>
      <c r="F865" s="0" t="n">
        <v>489.545</v>
      </c>
      <c r="G865" s="0" t="n">
        <f aca="false">IF(E865 - F865 &lt; 0, 0, E865 - F865)</f>
        <v>0.0250000000000341</v>
      </c>
      <c r="H865" s="0" t="n">
        <v>1.82</v>
      </c>
      <c r="I865" s="0" t="n">
        <f aca="false">1.82*30*(G865^1.5)</f>
        <v>0.215825450306934</v>
      </c>
      <c r="J865" s="0" t="n">
        <f aca="false">I865*60</f>
        <v>12.949527018416</v>
      </c>
      <c r="K865" s="0" t="n">
        <f aca="false">(I865*86400)/24</f>
        <v>776.971621104961</v>
      </c>
    </row>
    <row r="866" customFormat="false" ht="16.5" hidden="false" customHeight="false" outlineLevel="0" collapsed="false">
      <c r="A866" s="56" t="n">
        <v>45870.75</v>
      </c>
      <c r="B866" s="57" t="n">
        <f aca="false">MOD(A866,1)</f>
        <v>0.75</v>
      </c>
      <c r="C866" s="0" t="n">
        <v>0</v>
      </c>
      <c r="D866" s="0" t="n">
        <v>489.725</v>
      </c>
      <c r="E866" s="0" t="n">
        <f aca="false">D866-0.155</f>
        <v>489.57</v>
      </c>
      <c r="F866" s="0" t="n">
        <v>489.545</v>
      </c>
      <c r="G866" s="0" t="n">
        <f aca="false">IF(E866 - F866 &lt; 0, 0, E866 - F866)</f>
        <v>0.0250000000000341</v>
      </c>
      <c r="H866" s="0" t="n">
        <v>1.82</v>
      </c>
      <c r="I866" s="0" t="n">
        <f aca="false">1.82*30*(G866^1.5)</f>
        <v>0.215825450306934</v>
      </c>
      <c r="J866" s="0" t="n">
        <f aca="false">I866*60</f>
        <v>12.949527018416</v>
      </c>
      <c r="K866" s="0" t="n">
        <f aca="false">(I866*86400)/24</f>
        <v>776.971621104961</v>
      </c>
    </row>
    <row r="867" customFormat="false" ht="16.5" hidden="false" customHeight="false" outlineLevel="0" collapsed="false">
      <c r="A867" s="56" t="n">
        <v>45870.7916666667</v>
      </c>
      <c r="B867" s="57" t="n">
        <f aca="false">MOD(A867,1)</f>
        <v>0.791666666656965</v>
      </c>
      <c r="C867" s="0" t="n">
        <v>0</v>
      </c>
      <c r="D867" s="0" t="n">
        <v>489.725</v>
      </c>
      <c r="E867" s="0" t="n">
        <f aca="false">D867-0.155</f>
        <v>489.57</v>
      </c>
      <c r="F867" s="0" t="n">
        <v>489.545</v>
      </c>
      <c r="G867" s="0" t="n">
        <f aca="false">IF(E867 - F867 &lt; 0, 0, E867 - F867)</f>
        <v>0.0250000000000341</v>
      </c>
      <c r="H867" s="0" t="n">
        <v>1.82</v>
      </c>
      <c r="I867" s="0" t="n">
        <f aca="false">1.82*30*(G867^1.5)</f>
        <v>0.215825450306934</v>
      </c>
      <c r="J867" s="0" t="n">
        <f aca="false">I867*60</f>
        <v>12.949527018416</v>
      </c>
      <c r="K867" s="0" t="n">
        <f aca="false">(I867*86400)/24</f>
        <v>776.971621104961</v>
      </c>
    </row>
    <row r="868" customFormat="false" ht="16.5" hidden="false" customHeight="false" outlineLevel="0" collapsed="false">
      <c r="A868" s="56" t="n">
        <v>45870.8333333333</v>
      </c>
      <c r="B868" s="57" t="n">
        <f aca="false">MOD(A868,1)</f>
        <v>0.833333333343035</v>
      </c>
      <c r="C868" s="0" t="n">
        <v>0</v>
      </c>
      <c r="D868" s="0" t="n">
        <v>489.726</v>
      </c>
      <c r="E868" s="0" t="n">
        <f aca="false">D868-0.155</f>
        <v>489.571</v>
      </c>
      <c r="F868" s="0" t="n">
        <v>489.545</v>
      </c>
      <c r="G868" s="0" t="n">
        <f aca="false">IF(E868 - F868 &lt; 0, 0, E868 - F868)</f>
        <v>0.0260000000000105</v>
      </c>
      <c r="H868" s="0" t="n">
        <v>1.82</v>
      </c>
      <c r="I868" s="0" t="n">
        <f aca="false">1.82*30*(G868^1.5)</f>
        <v>0.228903621989831</v>
      </c>
      <c r="J868" s="0" t="n">
        <f aca="false">I868*60</f>
        <v>13.7342173193898</v>
      </c>
      <c r="K868" s="0" t="n">
        <f aca="false">(I868*86400)/24</f>
        <v>824.05303916339</v>
      </c>
    </row>
    <row r="869" customFormat="false" ht="16.5" hidden="false" customHeight="false" outlineLevel="0" collapsed="false">
      <c r="A869" s="56" t="n">
        <v>45870.875</v>
      </c>
      <c r="B869" s="57" t="n">
        <f aca="false">MOD(A869,1)</f>
        <v>0.875</v>
      </c>
      <c r="C869" s="0" t="n">
        <v>0</v>
      </c>
      <c r="D869" s="0" t="n">
        <v>489.72</v>
      </c>
      <c r="E869" s="0" t="n">
        <f aca="false">D869-0.155</f>
        <v>489.565</v>
      </c>
      <c r="F869" s="0" t="n">
        <v>489.545</v>
      </c>
      <c r="G869" s="0" t="n">
        <f aca="false">IF(E869 - F869 &lt; 0, 0, E869 - F869)</f>
        <v>0.0200000000000387</v>
      </c>
      <c r="H869" s="0" t="n">
        <v>1.82</v>
      </c>
      <c r="I869" s="0" t="n">
        <f aca="false">1.82*30*(G869^1.5)</f>
        <v>0.15443212101159</v>
      </c>
      <c r="J869" s="0" t="n">
        <f aca="false">I869*60</f>
        <v>9.26592726069538</v>
      </c>
      <c r="K869" s="0" t="n">
        <f aca="false">(I869*86400)/24</f>
        <v>555.955635641723</v>
      </c>
    </row>
    <row r="870" customFormat="false" ht="16.5" hidden="false" customHeight="false" outlineLevel="0" collapsed="false">
      <c r="A870" s="56" t="n">
        <v>45870.9166666667</v>
      </c>
      <c r="B870" s="57" t="n">
        <f aca="false">MOD(A870,1)</f>
        <v>0.916666666656965</v>
      </c>
      <c r="C870" s="0" t="n">
        <v>0</v>
      </c>
      <c r="D870" s="0" t="n">
        <v>489.72</v>
      </c>
      <c r="E870" s="0" t="n">
        <f aca="false">D870-0.155</f>
        <v>489.565</v>
      </c>
      <c r="F870" s="0" t="n">
        <v>489.545</v>
      </c>
      <c r="G870" s="0" t="n">
        <f aca="false">IF(E870 - F870 &lt; 0, 0, E870 - F870)</f>
        <v>0.0200000000000387</v>
      </c>
      <c r="H870" s="0" t="n">
        <v>1.82</v>
      </c>
      <c r="I870" s="0" t="n">
        <f aca="false">1.82*30*(G870^1.5)</f>
        <v>0.15443212101159</v>
      </c>
      <c r="J870" s="0" t="n">
        <f aca="false">I870*60</f>
        <v>9.26592726069538</v>
      </c>
      <c r="K870" s="0" t="n">
        <f aca="false">(I870*86400)/24</f>
        <v>555.955635641723</v>
      </c>
    </row>
    <row r="871" customFormat="false" ht="16.5" hidden="false" customHeight="false" outlineLevel="0" collapsed="false">
      <c r="A871" s="56" t="n">
        <v>45870.9583333333</v>
      </c>
      <c r="B871" s="57" t="n">
        <f aca="false">MOD(A871,1)</f>
        <v>0.958333333343035</v>
      </c>
      <c r="C871" s="0" t="n">
        <v>0</v>
      </c>
      <c r="D871" s="0" t="n">
        <v>489.72</v>
      </c>
      <c r="E871" s="0" t="n">
        <f aca="false">D871-0.155</f>
        <v>489.565</v>
      </c>
      <c r="F871" s="0" t="n">
        <v>489.545</v>
      </c>
      <c r="G871" s="0" t="n">
        <f aca="false">IF(E871 - F871 &lt; 0, 0, E871 - F871)</f>
        <v>0.0200000000000387</v>
      </c>
      <c r="H871" s="0" t="n">
        <v>1.82</v>
      </c>
      <c r="I871" s="0" t="n">
        <f aca="false">1.82*30*(G871^1.5)</f>
        <v>0.15443212101159</v>
      </c>
      <c r="J871" s="0" t="n">
        <f aca="false">I871*60</f>
        <v>9.26592726069538</v>
      </c>
      <c r="K871" s="0" t="n">
        <f aca="false">(I871*86400)/24</f>
        <v>555.955635641723</v>
      </c>
    </row>
    <row r="872" customFormat="false" ht="16.5" hidden="false" customHeight="false" outlineLevel="0" collapsed="false">
      <c r="A872" s="56" t="n">
        <v>45871</v>
      </c>
      <c r="B872" s="57" t="n">
        <f aca="false">MOD(A872,1)</f>
        <v>0</v>
      </c>
      <c r="C872" s="0" t="n">
        <v>0</v>
      </c>
      <c r="D872" s="0" t="n">
        <v>489.72</v>
      </c>
      <c r="E872" s="0" t="n">
        <f aca="false">D872-0.155</f>
        <v>489.565</v>
      </c>
      <c r="F872" s="0" t="n">
        <v>489.545</v>
      </c>
      <c r="G872" s="0" t="n">
        <f aca="false">IF(E872 - F872 &lt; 0, 0, E872 - F872)</f>
        <v>0.0200000000000387</v>
      </c>
      <c r="H872" s="0" t="n">
        <v>1.82</v>
      </c>
      <c r="I872" s="0" t="n">
        <f aca="false">1.82*30*(G872^1.5)</f>
        <v>0.15443212101159</v>
      </c>
      <c r="J872" s="0" t="n">
        <f aca="false">I872*60</f>
        <v>9.26592726069538</v>
      </c>
      <c r="K872" s="0" t="n">
        <f aca="false">(I872*86400)/24</f>
        <v>555.955635641723</v>
      </c>
    </row>
    <row r="873" customFormat="false" ht="16.5" hidden="false" customHeight="false" outlineLevel="0" collapsed="false">
      <c r="A873" s="56" t="n">
        <v>45871.0416666667</v>
      </c>
      <c r="B873" s="57" t="n">
        <f aca="false">MOD(A873,1)</f>
        <v>0.0416666666569654</v>
      </c>
      <c r="C873" s="0" t="n">
        <v>0</v>
      </c>
      <c r="D873" s="0" t="n">
        <v>489.72</v>
      </c>
      <c r="E873" s="0" t="n">
        <f aca="false">D873-0.155</f>
        <v>489.565</v>
      </c>
      <c r="F873" s="0" t="n">
        <v>489.545</v>
      </c>
      <c r="G873" s="0" t="n">
        <f aca="false">IF(E873 - F873 &lt; 0, 0, E873 - F873)</f>
        <v>0.0200000000000387</v>
      </c>
      <c r="H873" s="0" t="n">
        <v>1.82</v>
      </c>
      <c r="I873" s="0" t="n">
        <f aca="false">1.82*30*(G873^1.5)</f>
        <v>0.15443212101159</v>
      </c>
      <c r="J873" s="0" t="n">
        <f aca="false">I873*60</f>
        <v>9.26592726069538</v>
      </c>
      <c r="K873" s="0" t="n">
        <f aca="false">(I873*86400)/24</f>
        <v>555.955635641723</v>
      </c>
    </row>
    <row r="874" customFormat="false" ht="16.5" hidden="false" customHeight="false" outlineLevel="0" collapsed="false">
      <c r="A874" s="56" t="n">
        <v>45871.0833333333</v>
      </c>
      <c r="B874" s="57" t="n">
        <f aca="false">MOD(A874,1)</f>
        <v>0.0833333333430346</v>
      </c>
      <c r="C874" s="0" t="n">
        <v>0</v>
      </c>
      <c r="D874" s="0" t="n">
        <v>489.72</v>
      </c>
      <c r="E874" s="0" t="n">
        <f aca="false">D874-0.155</f>
        <v>489.565</v>
      </c>
      <c r="F874" s="0" t="n">
        <v>489.545</v>
      </c>
      <c r="G874" s="0" t="n">
        <f aca="false">IF(E874 - F874 &lt; 0, 0, E874 - F874)</f>
        <v>0.0200000000000387</v>
      </c>
      <c r="H874" s="0" t="n">
        <v>1.82</v>
      </c>
      <c r="I874" s="0" t="n">
        <f aca="false">1.82*30*(G874^1.5)</f>
        <v>0.15443212101159</v>
      </c>
      <c r="J874" s="0" t="n">
        <f aca="false">I874*60</f>
        <v>9.26592726069538</v>
      </c>
      <c r="K874" s="0" t="n">
        <f aca="false">(I874*86400)/24</f>
        <v>555.955635641723</v>
      </c>
    </row>
    <row r="875" customFormat="false" ht="16.5" hidden="false" customHeight="false" outlineLevel="0" collapsed="false">
      <c r="A875" s="56" t="n">
        <v>45871.125</v>
      </c>
      <c r="B875" s="57" t="n">
        <f aca="false">MOD(A875,1)</f>
        <v>0.125</v>
      </c>
      <c r="C875" s="0" t="n">
        <v>0</v>
      </c>
      <c r="D875" s="0" t="n">
        <v>489.713</v>
      </c>
      <c r="E875" s="0" t="n">
        <f aca="false">D875-0.155</f>
        <v>489.558</v>
      </c>
      <c r="F875" s="0" t="n">
        <v>489.545</v>
      </c>
      <c r="G875" s="0" t="n">
        <f aca="false">IF(E875 - F875 &lt; 0, 0, E875 - F875)</f>
        <v>0.0130000000000337</v>
      </c>
      <c r="H875" s="0" t="n">
        <v>1.82</v>
      </c>
      <c r="I875" s="0" t="n">
        <f aca="false">1.82*30*(G875^1.5)</f>
        <v>0.0809296516738511</v>
      </c>
      <c r="J875" s="0" t="n">
        <f aca="false">I875*60</f>
        <v>4.85577910043106</v>
      </c>
      <c r="K875" s="0" t="n">
        <f aca="false">(I875*86400)/24</f>
        <v>291.346746025864</v>
      </c>
    </row>
    <row r="876" customFormat="false" ht="16.5" hidden="false" customHeight="false" outlineLevel="0" collapsed="false">
      <c r="A876" s="56" t="n">
        <v>45871.1666666667</v>
      </c>
      <c r="B876" s="57" t="n">
        <f aca="false">MOD(A876,1)</f>
        <v>0.166666666656965</v>
      </c>
      <c r="C876" s="0" t="n">
        <v>0</v>
      </c>
      <c r="D876" s="0" t="n">
        <v>489.714</v>
      </c>
      <c r="E876" s="0" t="n">
        <f aca="false">D876-0.155</f>
        <v>489.559</v>
      </c>
      <c r="F876" s="0" t="n">
        <v>489.545</v>
      </c>
      <c r="G876" s="0" t="n">
        <f aca="false">IF(E876 - F876 &lt; 0, 0, E876 - F876)</f>
        <v>0.01400000000001</v>
      </c>
      <c r="H876" s="0" t="n">
        <v>1.82</v>
      </c>
      <c r="I876" s="0" t="n">
        <f aca="false">1.82*30*(G876^1.5)</f>
        <v>0.0904450277241239</v>
      </c>
      <c r="J876" s="0" t="n">
        <f aca="false">I876*60</f>
        <v>5.42670166344743</v>
      </c>
      <c r="K876" s="0" t="n">
        <f aca="false">(I876*86400)/24</f>
        <v>325.602099806846</v>
      </c>
    </row>
    <row r="877" customFormat="false" ht="16.5" hidden="false" customHeight="false" outlineLevel="0" collapsed="false">
      <c r="A877" s="56" t="n">
        <v>45871.2083333333</v>
      </c>
      <c r="B877" s="57" t="n">
        <f aca="false">MOD(A877,1)</f>
        <v>0.208333333343035</v>
      </c>
      <c r="C877" s="0" t="n">
        <v>0</v>
      </c>
      <c r="D877" s="0" t="n">
        <v>489.714</v>
      </c>
      <c r="E877" s="0" t="n">
        <f aca="false">D877-0.155</f>
        <v>489.559</v>
      </c>
      <c r="F877" s="0" t="n">
        <v>489.545</v>
      </c>
      <c r="G877" s="0" t="n">
        <f aca="false">IF(E877 - F877 &lt; 0, 0, E877 - F877)</f>
        <v>0.01400000000001</v>
      </c>
      <c r="H877" s="0" t="n">
        <v>1.82</v>
      </c>
      <c r="I877" s="0" t="n">
        <f aca="false">1.82*30*(G877^1.5)</f>
        <v>0.0904450277241239</v>
      </c>
      <c r="J877" s="0" t="n">
        <f aca="false">I877*60</f>
        <v>5.42670166344743</v>
      </c>
      <c r="K877" s="0" t="n">
        <f aca="false">(I877*86400)/24</f>
        <v>325.602099806846</v>
      </c>
    </row>
    <row r="878" customFormat="false" ht="16.5" hidden="false" customHeight="false" outlineLevel="0" collapsed="false">
      <c r="A878" s="56" t="n">
        <v>45871.25</v>
      </c>
      <c r="B878" s="57" t="n">
        <f aca="false">MOD(A878,1)</f>
        <v>0.25</v>
      </c>
      <c r="C878" s="0" t="n">
        <v>0</v>
      </c>
      <c r="D878" s="0" t="n">
        <v>489.713</v>
      </c>
      <c r="E878" s="0" t="n">
        <f aca="false">D878-0.155</f>
        <v>489.558</v>
      </c>
      <c r="F878" s="0" t="n">
        <v>489.545</v>
      </c>
      <c r="G878" s="0" t="n">
        <f aca="false">IF(E878 - F878 &lt; 0, 0, E878 - F878)</f>
        <v>0.0130000000000337</v>
      </c>
      <c r="H878" s="0" t="n">
        <v>1.82</v>
      </c>
      <c r="I878" s="0" t="n">
        <f aca="false">1.82*30*(G878^1.5)</f>
        <v>0.0809296516738511</v>
      </c>
      <c r="J878" s="0" t="n">
        <f aca="false">I878*60</f>
        <v>4.85577910043106</v>
      </c>
      <c r="K878" s="0" t="n">
        <f aca="false">(I878*86400)/24</f>
        <v>291.346746025864</v>
      </c>
    </row>
    <row r="879" customFormat="false" ht="16.5" hidden="false" customHeight="false" outlineLevel="0" collapsed="false">
      <c r="A879" s="56" t="n">
        <v>45871.2916666667</v>
      </c>
      <c r="B879" s="57" t="n">
        <f aca="false">MOD(A879,1)</f>
        <v>0.291666666656965</v>
      </c>
      <c r="C879" s="0" t="n">
        <v>0</v>
      </c>
      <c r="D879" s="0" t="n">
        <v>489.714</v>
      </c>
      <c r="E879" s="0" t="n">
        <f aca="false">D879-0.155</f>
        <v>489.559</v>
      </c>
      <c r="F879" s="0" t="n">
        <v>489.545</v>
      </c>
      <c r="G879" s="0" t="n">
        <f aca="false">IF(E879 - F879 &lt; 0, 0, E879 - F879)</f>
        <v>0.01400000000001</v>
      </c>
      <c r="H879" s="0" t="n">
        <v>1.82</v>
      </c>
      <c r="I879" s="0" t="n">
        <f aca="false">1.82*30*(G879^1.5)</f>
        <v>0.0904450277241239</v>
      </c>
      <c r="J879" s="0" t="n">
        <f aca="false">I879*60</f>
        <v>5.42670166344743</v>
      </c>
      <c r="K879" s="0" t="n">
        <f aca="false">(I879*86400)/24</f>
        <v>325.602099806846</v>
      </c>
    </row>
    <row r="880" customFormat="false" ht="16.5" hidden="false" customHeight="false" outlineLevel="0" collapsed="false">
      <c r="A880" s="56" t="n">
        <v>45871.3333333333</v>
      </c>
      <c r="B880" s="57" t="n">
        <f aca="false">MOD(A880,1)</f>
        <v>0.333333333343035</v>
      </c>
      <c r="C880" s="0" t="n">
        <v>0</v>
      </c>
      <c r="D880" s="0" t="n">
        <v>489.707</v>
      </c>
      <c r="E880" s="0" t="n">
        <f aca="false">D880-0.155</f>
        <v>489.552</v>
      </c>
      <c r="F880" s="0" t="n">
        <v>489.545</v>
      </c>
      <c r="G880" s="0" t="n">
        <f aca="false">IF(E880 - F880 &lt; 0, 0, E880 - F880)</f>
        <v>0.007000000000005</v>
      </c>
      <c r="H880" s="0" t="n">
        <v>1.82</v>
      </c>
      <c r="I880" s="0" t="n">
        <f aca="false">1.82*30*(G880^1.5)</f>
        <v>0.0319771462141666</v>
      </c>
      <c r="J880" s="0" t="n">
        <f aca="false">I880*60</f>
        <v>1.91862877285</v>
      </c>
      <c r="K880" s="0" t="n">
        <f aca="false">(I880*86400)/24</f>
        <v>115.117726371</v>
      </c>
    </row>
    <row r="881" customFormat="false" ht="16.5" hidden="false" customHeight="false" outlineLevel="0" collapsed="false">
      <c r="A881" s="56" t="n">
        <v>45871.375</v>
      </c>
      <c r="B881" s="57" t="n">
        <f aca="false">MOD(A881,1)</f>
        <v>0.375</v>
      </c>
      <c r="C881" s="0" t="n">
        <v>0</v>
      </c>
      <c r="D881" s="0" t="n">
        <v>489.707</v>
      </c>
      <c r="E881" s="0" t="n">
        <f aca="false">D881-0.155</f>
        <v>489.552</v>
      </c>
      <c r="F881" s="0" t="n">
        <v>489.545</v>
      </c>
      <c r="G881" s="0" t="n">
        <f aca="false">IF(E881 - F881 &lt; 0, 0, E881 - F881)</f>
        <v>0.007000000000005</v>
      </c>
      <c r="H881" s="0" t="n">
        <v>1.82</v>
      </c>
      <c r="I881" s="0" t="n">
        <f aca="false">1.82*30*(G881^1.5)</f>
        <v>0.0319771462141666</v>
      </c>
      <c r="J881" s="0" t="n">
        <f aca="false">I881*60</f>
        <v>1.91862877285</v>
      </c>
      <c r="K881" s="0" t="n">
        <f aca="false">(I881*86400)/24</f>
        <v>115.117726371</v>
      </c>
    </row>
    <row r="882" customFormat="false" ht="16.5" hidden="false" customHeight="false" outlineLevel="0" collapsed="false">
      <c r="A882" s="56" t="n">
        <v>45871.4166666667</v>
      </c>
      <c r="B882" s="57" t="n">
        <f aca="false">MOD(A882,1)</f>
        <v>0.416666666656965</v>
      </c>
      <c r="C882" s="0" t="n">
        <v>0</v>
      </c>
      <c r="D882" s="0" t="n">
        <v>489.707</v>
      </c>
      <c r="E882" s="0" t="n">
        <f aca="false">D882-0.155</f>
        <v>489.552</v>
      </c>
      <c r="F882" s="0" t="n">
        <v>489.545</v>
      </c>
      <c r="G882" s="0" t="n">
        <f aca="false">IF(E882 - F882 &lt; 0, 0, E882 - F882)</f>
        <v>0.007000000000005</v>
      </c>
      <c r="H882" s="0" t="n">
        <v>1.82</v>
      </c>
      <c r="I882" s="0" t="n">
        <f aca="false">1.82*30*(G882^1.5)</f>
        <v>0.0319771462141666</v>
      </c>
      <c r="J882" s="0" t="n">
        <f aca="false">I882*60</f>
        <v>1.91862877285</v>
      </c>
      <c r="K882" s="0" t="n">
        <f aca="false">(I882*86400)/24</f>
        <v>115.117726371</v>
      </c>
    </row>
    <row r="883" customFormat="false" ht="16.5" hidden="false" customHeight="false" outlineLevel="0" collapsed="false">
      <c r="A883" s="56" t="n">
        <v>45871.4583333333</v>
      </c>
      <c r="B883" s="57" t="n">
        <f aca="false">MOD(A883,1)</f>
        <v>0.458333333343035</v>
      </c>
      <c r="C883" s="0" t="n">
        <v>0</v>
      </c>
      <c r="D883" s="0" t="n">
        <v>489.7</v>
      </c>
      <c r="E883" s="0" t="n">
        <f aca="false">D883-0.155</f>
        <v>489.545</v>
      </c>
      <c r="F883" s="0" t="n">
        <v>489.545</v>
      </c>
      <c r="G883" s="0" t="n">
        <f aca="false">IF(E883 - F883 &lt; 0, 0, E883 - F883)</f>
        <v>0</v>
      </c>
      <c r="H883" s="0" t="n">
        <v>1.82</v>
      </c>
      <c r="I883" s="0" t="n">
        <f aca="false">1.82*30*(G883^1.5)</f>
        <v>0</v>
      </c>
      <c r="J883" s="0" t="n">
        <f aca="false">I883*60</f>
        <v>0</v>
      </c>
      <c r="K883" s="0" t="n">
        <f aca="false">(I883*86400)/24</f>
        <v>0</v>
      </c>
    </row>
    <row r="884" customFormat="false" ht="16.5" hidden="false" customHeight="false" outlineLevel="0" collapsed="false">
      <c r="A884" s="56" t="n">
        <v>45871.5</v>
      </c>
      <c r="B884" s="57" t="n">
        <f aca="false">MOD(A884,1)</f>
        <v>0.5</v>
      </c>
      <c r="C884" s="0" t="n">
        <v>0</v>
      </c>
      <c r="D884" s="0" t="n">
        <v>489.701</v>
      </c>
      <c r="E884" s="0" t="n">
        <f aca="false">D884-0.155</f>
        <v>489.546</v>
      </c>
      <c r="F884" s="0" t="n">
        <v>489.545</v>
      </c>
      <c r="G884" s="0" t="n">
        <f aca="false">IF(E884 - F884 &lt; 0, 0, E884 - F884)</f>
        <v>0.0010000000000332</v>
      </c>
      <c r="H884" s="0" t="n">
        <v>1.82</v>
      </c>
      <c r="I884" s="0" t="n">
        <f aca="false">1.82*30*(G884^1.5)</f>
        <v>0.00172660360253791</v>
      </c>
      <c r="J884" s="0" t="n">
        <f aca="false">I884*60</f>
        <v>0.103596216152275</v>
      </c>
      <c r="K884" s="0" t="n">
        <f aca="false">(I884*86400)/24</f>
        <v>6.21577296913648</v>
      </c>
    </row>
    <row r="885" customFormat="false" ht="16.5" hidden="false" customHeight="false" outlineLevel="0" collapsed="false">
      <c r="A885" s="56" t="n">
        <v>45871.5416666667</v>
      </c>
      <c r="B885" s="57" t="n">
        <f aca="false">MOD(A885,1)</f>
        <v>0.541666666656965</v>
      </c>
      <c r="C885" s="0" t="n">
        <v>0</v>
      </c>
      <c r="D885" s="0" t="n">
        <v>489.7</v>
      </c>
      <c r="E885" s="0" t="n">
        <f aca="false">D885-0.155</f>
        <v>489.545</v>
      </c>
      <c r="F885" s="0" t="n">
        <v>489.545</v>
      </c>
      <c r="G885" s="0" t="n">
        <f aca="false">IF(E885 - F885 &lt; 0, 0, E885 - F885)</f>
        <v>0</v>
      </c>
      <c r="H885" s="0" t="n">
        <v>1.82</v>
      </c>
      <c r="I885" s="0" t="n">
        <f aca="false">1.82*30*(G885^1.5)</f>
        <v>0</v>
      </c>
      <c r="J885" s="0" t="n">
        <f aca="false">I885*60</f>
        <v>0</v>
      </c>
      <c r="K885" s="0" t="n">
        <f aca="false">(I885*86400)/24</f>
        <v>0</v>
      </c>
    </row>
    <row r="886" customFormat="false" ht="16.5" hidden="false" customHeight="false" outlineLevel="0" collapsed="false">
      <c r="A886" s="56" t="n">
        <v>45871.5833333333</v>
      </c>
      <c r="B886" s="57" t="n">
        <f aca="false">MOD(A886,1)</f>
        <v>0.583333333343035</v>
      </c>
      <c r="C886" s="0" t="n">
        <v>0</v>
      </c>
      <c r="D886" s="0" t="n">
        <v>489.7</v>
      </c>
      <c r="E886" s="0" t="n">
        <f aca="false">D886-0.155</f>
        <v>489.545</v>
      </c>
      <c r="F886" s="0" t="n">
        <v>489.545</v>
      </c>
      <c r="G886" s="0" t="n">
        <f aca="false">IF(E886 - F886 &lt; 0, 0, E886 - F886)</f>
        <v>0</v>
      </c>
      <c r="H886" s="0" t="n">
        <v>1.82</v>
      </c>
      <c r="I886" s="0" t="n">
        <f aca="false">1.82*30*(G886^1.5)</f>
        <v>0</v>
      </c>
      <c r="J886" s="0" t="n">
        <f aca="false">I886*60</f>
        <v>0</v>
      </c>
      <c r="K886" s="0" t="n">
        <f aca="false">(I886*86400)/24</f>
        <v>0</v>
      </c>
    </row>
    <row r="887" customFormat="false" ht="16.5" hidden="false" customHeight="false" outlineLevel="0" collapsed="false">
      <c r="A887" s="56" t="n">
        <v>45871.625</v>
      </c>
      <c r="B887" s="57" t="n">
        <f aca="false">MOD(A887,1)</f>
        <v>0.625</v>
      </c>
      <c r="C887" s="0" t="n">
        <v>0</v>
      </c>
      <c r="D887" s="0" t="n">
        <v>489.7</v>
      </c>
      <c r="E887" s="0" t="n">
        <f aca="false">D887-0.155</f>
        <v>489.545</v>
      </c>
      <c r="F887" s="0" t="n">
        <v>489.545</v>
      </c>
      <c r="G887" s="0" t="n">
        <f aca="false">IF(E887 - F887 &lt; 0, 0, E887 - F887)</f>
        <v>0</v>
      </c>
      <c r="H887" s="0" t="n">
        <v>1.82</v>
      </c>
      <c r="I887" s="0" t="n">
        <f aca="false">1.82*30*(G887^1.5)</f>
        <v>0</v>
      </c>
      <c r="J887" s="0" t="n">
        <f aca="false">I887*60</f>
        <v>0</v>
      </c>
      <c r="K887" s="0" t="n">
        <f aca="false">(I887*86400)/24</f>
        <v>0</v>
      </c>
    </row>
    <row r="888" customFormat="false" ht="16.5" hidden="false" customHeight="false" outlineLevel="0" collapsed="false">
      <c r="A888" s="56" t="n">
        <v>45871.6666666667</v>
      </c>
      <c r="B888" s="57" t="n">
        <f aca="false">MOD(A888,1)</f>
        <v>0.666666666656965</v>
      </c>
      <c r="C888" s="0" t="n">
        <v>0</v>
      </c>
      <c r="D888" s="0" t="n">
        <v>489.694</v>
      </c>
      <c r="E888" s="0" t="n">
        <f aca="false">D888-0.155</f>
        <v>489.539</v>
      </c>
      <c r="F888" s="0" t="n">
        <v>489.545</v>
      </c>
      <c r="G888" s="0" t="n">
        <f aca="false">IF(E888 - F888 &lt; 0, 0, E888 - F888)</f>
        <v>0</v>
      </c>
      <c r="H888" s="0" t="n">
        <v>1.82</v>
      </c>
      <c r="I888" s="0" t="n">
        <f aca="false">1.82*30*(G888^1.5)</f>
        <v>0</v>
      </c>
      <c r="J888" s="0" t="n">
        <f aca="false">I888*60</f>
        <v>0</v>
      </c>
      <c r="K888" s="0" t="n">
        <f aca="false">(I888*86400)/24</f>
        <v>0</v>
      </c>
    </row>
    <row r="889" customFormat="false" ht="16.5" hidden="false" customHeight="false" outlineLevel="0" collapsed="false">
      <c r="A889" s="56" t="n">
        <v>45871.7083333333</v>
      </c>
      <c r="B889" s="57" t="n">
        <f aca="false">MOD(A889,1)</f>
        <v>0.708333333343035</v>
      </c>
      <c r="C889" s="0" t="n">
        <v>0</v>
      </c>
      <c r="D889" s="0" t="n">
        <v>489.694</v>
      </c>
      <c r="E889" s="0" t="n">
        <f aca="false">D889-0.155</f>
        <v>489.539</v>
      </c>
      <c r="F889" s="0" t="n">
        <v>489.545</v>
      </c>
      <c r="G889" s="0" t="n">
        <f aca="false">IF(E889 - F889 &lt; 0, 0, E889 - F889)</f>
        <v>0</v>
      </c>
      <c r="H889" s="0" t="n">
        <v>1.82</v>
      </c>
      <c r="I889" s="0" t="n">
        <f aca="false">1.82*30*(G889^1.5)</f>
        <v>0</v>
      </c>
      <c r="J889" s="0" t="n">
        <f aca="false">I889*60</f>
        <v>0</v>
      </c>
      <c r="K889" s="0" t="n">
        <f aca="false">(I889*86400)/24</f>
        <v>0</v>
      </c>
    </row>
    <row r="890" customFormat="false" ht="16.5" hidden="false" customHeight="false" outlineLevel="0" collapsed="false">
      <c r="A890" s="56" t="n">
        <v>45871.75</v>
      </c>
      <c r="B890" s="57" t="n">
        <f aca="false">MOD(A890,1)</f>
        <v>0.75</v>
      </c>
      <c r="C890" s="0" t="n">
        <v>0</v>
      </c>
      <c r="D890" s="0" t="n">
        <v>489.694</v>
      </c>
      <c r="E890" s="0" t="n">
        <f aca="false">D890-0.155</f>
        <v>489.539</v>
      </c>
      <c r="F890" s="0" t="n">
        <v>489.545</v>
      </c>
      <c r="G890" s="0" t="n">
        <f aca="false">IF(E890 - F890 &lt; 0, 0, E890 - F890)</f>
        <v>0</v>
      </c>
      <c r="H890" s="0" t="n">
        <v>1.82</v>
      </c>
      <c r="I890" s="0" t="n">
        <f aca="false">1.82*30*(G890^1.5)</f>
        <v>0</v>
      </c>
      <c r="J890" s="0" t="n">
        <f aca="false">I890*60</f>
        <v>0</v>
      </c>
      <c r="K890" s="0" t="n">
        <f aca="false">(I890*86400)/24</f>
        <v>0</v>
      </c>
    </row>
    <row r="891" customFormat="false" ht="16.5" hidden="false" customHeight="false" outlineLevel="0" collapsed="false">
      <c r="A891" s="56" t="n">
        <v>45871.7916666667</v>
      </c>
      <c r="B891" s="57" t="n">
        <f aca="false">MOD(A891,1)</f>
        <v>0.791666666656965</v>
      </c>
      <c r="C891" s="0" t="n">
        <v>0</v>
      </c>
      <c r="D891" s="0" t="n">
        <v>489.688</v>
      </c>
      <c r="E891" s="0" t="n">
        <f aca="false">D891-0.155</f>
        <v>489.533</v>
      </c>
      <c r="F891" s="0" t="n">
        <v>489.545</v>
      </c>
      <c r="G891" s="0" t="n">
        <f aca="false">IF(E891 - F891 &lt; 0, 0, E891 - F891)</f>
        <v>0</v>
      </c>
      <c r="H891" s="0" t="n">
        <v>1.82</v>
      </c>
      <c r="I891" s="0" t="n">
        <f aca="false">1.82*30*(G891^1.5)</f>
        <v>0</v>
      </c>
      <c r="J891" s="0" t="n">
        <f aca="false">I891*60</f>
        <v>0</v>
      </c>
      <c r="K891" s="0" t="n">
        <f aca="false">(I891*86400)/24</f>
        <v>0</v>
      </c>
    </row>
    <row r="892" customFormat="false" ht="16.5" hidden="false" customHeight="false" outlineLevel="0" collapsed="false">
      <c r="A892" s="56" t="n">
        <v>45871.8333333333</v>
      </c>
      <c r="B892" s="57" t="n">
        <f aca="false">MOD(A892,1)</f>
        <v>0.833333333343035</v>
      </c>
      <c r="C892" s="0" t="n">
        <v>0</v>
      </c>
      <c r="D892" s="0" t="n">
        <v>489.688</v>
      </c>
      <c r="E892" s="0" t="n">
        <f aca="false">D892-0.155</f>
        <v>489.533</v>
      </c>
      <c r="F892" s="0" t="n">
        <v>489.545</v>
      </c>
      <c r="G892" s="0" t="n">
        <f aca="false">IF(E892 - F892 &lt; 0, 0, E892 - F892)</f>
        <v>0</v>
      </c>
      <c r="H892" s="0" t="n">
        <v>1.82</v>
      </c>
      <c r="I892" s="0" t="n">
        <f aca="false">1.82*30*(G892^1.5)</f>
        <v>0</v>
      </c>
      <c r="J892" s="0" t="n">
        <f aca="false">I892*60</f>
        <v>0</v>
      </c>
      <c r="K892" s="0" t="n">
        <f aca="false">(I892*86400)/24</f>
        <v>0</v>
      </c>
    </row>
    <row r="893" customFormat="false" ht="16.5" hidden="false" customHeight="false" outlineLevel="0" collapsed="false">
      <c r="A893" s="56" t="n">
        <v>45871.875</v>
      </c>
      <c r="B893" s="57" t="n">
        <f aca="false">MOD(A893,1)</f>
        <v>0.875</v>
      </c>
      <c r="C893" s="0" t="n">
        <v>0</v>
      </c>
      <c r="D893" s="0" t="n">
        <v>489.682</v>
      </c>
      <c r="E893" s="0" t="n">
        <f aca="false">D893-0.155</f>
        <v>489.527</v>
      </c>
      <c r="F893" s="0" t="n">
        <v>489.545</v>
      </c>
      <c r="G893" s="0" t="n">
        <f aca="false">IF(E893 - F893 &lt; 0, 0, E893 - F893)</f>
        <v>0</v>
      </c>
      <c r="H893" s="0" t="n">
        <v>1.82</v>
      </c>
      <c r="I893" s="0" t="n">
        <f aca="false">1.82*30*(G893^1.5)</f>
        <v>0</v>
      </c>
      <c r="J893" s="0" t="n">
        <f aca="false">I893*60</f>
        <v>0</v>
      </c>
      <c r="K893" s="0" t="n">
        <f aca="false">(I893*86400)/24</f>
        <v>0</v>
      </c>
    </row>
    <row r="894" customFormat="false" ht="16.5" hidden="false" customHeight="false" outlineLevel="0" collapsed="false">
      <c r="A894" s="56" t="n">
        <v>45871.9166666667</v>
      </c>
      <c r="B894" s="57" t="n">
        <f aca="false">MOD(A894,1)</f>
        <v>0.916666666656965</v>
      </c>
      <c r="C894" s="0" t="n">
        <v>0</v>
      </c>
      <c r="D894" s="0" t="n">
        <v>489.682</v>
      </c>
      <c r="E894" s="0" t="n">
        <f aca="false">D894-0.155</f>
        <v>489.527</v>
      </c>
      <c r="F894" s="0" t="n">
        <v>489.545</v>
      </c>
      <c r="G894" s="0" t="n">
        <f aca="false">IF(E894 - F894 &lt; 0, 0, E894 - F894)</f>
        <v>0</v>
      </c>
      <c r="H894" s="0" t="n">
        <v>1.82</v>
      </c>
      <c r="I894" s="0" t="n">
        <f aca="false">1.82*30*(G894^1.5)</f>
        <v>0</v>
      </c>
      <c r="J894" s="0" t="n">
        <f aca="false">I894*60</f>
        <v>0</v>
      </c>
      <c r="K894" s="0" t="n">
        <f aca="false">(I894*86400)/24</f>
        <v>0</v>
      </c>
    </row>
    <row r="895" customFormat="false" ht="16.5" hidden="false" customHeight="false" outlineLevel="0" collapsed="false">
      <c r="A895" s="56" t="n">
        <v>45871.9583333333</v>
      </c>
      <c r="B895" s="57" t="n">
        <f aca="false">MOD(A895,1)</f>
        <v>0.958333333343035</v>
      </c>
      <c r="C895" s="0" t="n">
        <v>0</v>
      </c>
      <c r="D895" s="0" t="n">
        <v>489.682</v>
      </c>
      <c r="E895" s="0" t="n">
        <f aca="false">D895-0.155</f>
        <v>489.527</v>
      </c>
      <c r="F895" s="0" t="n">
        <v>489.545</v>
      </c>
      <c r="G895" s="0" t="n">
        <f aca="false">IF(E895 - F895 &lt; 0, 0, E895 - F895)</f>
        <v>0</v>
      </c>
      <c r="H895" s="0" t="n">
        <v>1.82</v>
      </c>
      <c r="I895" s="0" t="n">
        <f aca="false">1.82*30*(G895^1.5)</f>
        <v>0</v>
      </c>
      <c r="J895" s="0" t="n">
        <f aca="false">I895*60</f>
        <v>0</v>
      </c>
      <c r="K895" s="0" t="n">
        <f aca="false">(I895*86400)/24</f>
        <v>0</v>
      </c>
    </row>
    <row r="896" customFormat="false" ht="16.5" hidden="false" customHeight="false" outlineLevel="0" collapsed="false">
      <c r="A896" s="56" t="n">
        <v>45872</v>
      </c>
      <c r="B896" s="57" t="n">
        <f aca="false">MOD(A896,1)</f>
        <v>0</v>
      </c>
      <c r="C896" s="0" t="n">
        <v>0</v>
      </c>
      <c r="D896" s="0" t="n">
        <v>489.675</v>
      </c>
      <c r="E896" s="0" t="n">
        <f aca="false">D896-0.155</f>
        <v>489.52</v>
      </c>
      <c r="F896" s="0" t="n">
        <v>489.545</v>
      </c>
      <c r="G896" s="0" t="n">
        <f aca="false">IF(E896 - F896 &lt; 0, 0, E896 - F896)</f>
        <v>0</v>
      </c>
      <c r="H896" s="0" t="n">
        <v>1.82</v>
      </c>
      <c r="I896" s="0" t="n">
        <f aca="false">1.82*30*(G896^1.5)</f>
        <v>0</v>
      </c>
      <c r="J896" s="0" t="n">
        <f aca="false">I896*60</f>
        <v>0</v>
      </c>
      <c r="K896" s="0" t="n">
        <f aca="false">(I896*86400)/24</f>
        <v>0</v>
      </c>
    </row>
    <row r="897" customFormat="false" ht="16.5" hidden="false" customHeight="false" outlineLevel="0" collapsed="false">
      <c r="A897" s="56" t="n">
        <v>45872.0416666667</v>
      </c>
      <c r="B897" s="57" t="n">
        <f aca="false">MOD(A897,1)</f>
        <v>0.0416666666569654</v>
      </c>
      <c r="C897" s="0" t="n">
        <v>0</v>
      </c>
      <c r="D897" s="0" t="n">
        <v>489.675</v>
      </c>
      <c r="E897" s="0" t="n">
        <f aca="false">D897-0.155</f>
        <v>489.52</v>
      </c>
      <c r="F897" s="0" t="n">
        <v>489.545</v>
      </c>
      <c r="G897" s="0" t="n">
        <f aca="false">IF(E897 - F897 &lt; 0, 0, E897 - F897)</f>
        <v>0</v>
      </c>
      <c r="H897" s="0" t="n">
        <v>1.82</v>
      </c>
      <c r="I897" s="0" t="n">
        <f aca="false">1.82*30*(G897^1.5)</f>
        <v>0</v>
      </c>
      <c r="J897" s="0" t="n">
        <f aca="false">I897*60</f>
        <v>0</v>
      </c>
      <c r="K897" s="0" t="n">
        <f aca="false">(I897*86400)/24</f>
        <v>0</v>
      </c>
    </row>
    <row r="898" customFormat="false" ht="16.5" hidden="false" customHeight="false" outlineLevel="0" collapsed="false">
      <c r="A898" s="56" t="n">
        <v>45872.0833333333</v>
      </c>
      <c r="B898" s="57" t="n">
        <f aca="false">MOD(A898,1)</f>
        <v>0.0833333333430346</v>
      </c>
      <c r="C898" s="0" t="n">
        <v>0</v>
      </c>
      <c r="D898" s="0" t="n">
        <v>489.675</v>
      </c>
      <c r="E898" s="0" t="n">
        <f aca="false">D898-0.155</f>
        <v>489.52</v>
      </c>
      <c r="F898" s="0" t="n">
        <v>489.545</v>
      </c>
      <c r="G898" s="0" t="n">
        <f aca="false">IF(E898 - F898 &lt; 0, 0, E898 - F898)</f>
        <v>0</v>
      </c>
      <c r="H898" s="0" t="n">
        <v>1.82</v>
      </c>
      <c r="I898" s="0" t="n">
        <f aca="false">1.82*30*(G898^1.5)</f>
        <v>0</v>
      </c>
      <c r="J898" s="0" t="n">
        <f aca="false">I898*60</f>
        <v>0</v>
      </c>
      <c r="K898" s="0" t="n">
        <f aca="false">(I898*86400)/24</f>
        <v>0</v>
      </c>
    </row>
    <row r="899" customFormat="false" ht="16.5" hidden="false" customHeight="false" outlineLevel="0" collapsed="false">
      <c r="A899" s="56" t="n">
        <v>45872.125</v>
      </c>
      <c r="B899" s="57" t="n">
        <f aca="false">MOD(A899,1)</f>
        <v>0.125</v>
      </c>
      <c r="C899" s="0" t="n">
        <v>0</v>
      </c>
      <c r="D899" s="0" t="n">
        <v>489.675</v>
      </c>
      <c r="E899" s="0" t="n">
        <f aca="false">D899-0.155</f>
        <v>489.52</v>
      </c>
      <c r="F899" s="0" t="n">
        <v>489.545</v>
      </c>
      <c r="G899" s="0" t="n">
        <f aca="false">IF(E899 - F899 &lt; 0, 0, E899 - F899)</f>
        <v>0</v>
      </c>
      <c r="H899" s="0" t="n">
        <v>1.82</v>
      </c>
      <c r="I899" s="0" t="n">
        <f aca="false">1.82*30*(G899^1.5)</f>
        <v>0</v>
      </c>
      <c r="J899" s="0" t="n">
        <f aca="false">I899*60</f>
        <v>0</v>
      </c>
      <c r="K899" s="0" t="n">
        <f aca="false">(I899*86400)/24</f>
        <v>0</v>
      </c>
    </row>
    <row r="900" customFormat="false" ht="16.5" hidden="false" customHeight="false" outlineLevel="0" collapsed="false">
      <c r="A900" s="56" t="n">
        <v>45872.1666666667</v>
      </c>
      <c r="B900" s="57" t="n">
        <f aca="false">MOD(A900,1)</f>
        <v>0.166666666656965</v>
      </c>
      <c r="C900" s="0" t="n">
        <v>0</v>
      </c>
      <c r="D900" s="0" t="n">
        <v>489.675</v>
      </c>
      <c r="E900" s="0" t="n">
        <f aca="false">D900-0.155</f>
        <v>489.52</v>
      </c>
      <c r="F900" s="0" t="n">
        <v>489.545</v>
      </c>
      <c r="G900" s="0" t="n">
        <f aca="false">IF(E900 - F900 &lt; 0, 0, E900 - F900)</f>
        <v>0</v>
      </c>
      <c r="H900" s="0" t="n">
        <v>1.82</v>
      </c>
      <c r="I900" s="0" t="n">
        <f aca="false">1.82*30*(G900^1.5)</f>
        <v>0</v>
      </c>
      <c r="J900" s="0" t="n">
        <f aca="false">I900*60</f>
        <v>0</v>
      </c>
      <c r="K900" s="0" t="n">
        <f aca="false">(I900*86400)/24</f>
        <v>0</v>
      </c>
    </row>
    <row r="901" customFormat="false" ht="16.5" hidden="false" customHeight="false" outlineLevel="0" collapsed="false">
      <c r="A901" s="56" t="n">
        <v>45872.2083333333</v>
      </c>
      <c r="B901" s="57" t="n">
        <f aca="false">MOD(A901,1)</f>
        <v>0.208333333343035</v>
      </c>
      <c r="C901" s="0" t="n">
        <v>0</v>
      </c>
      <c r="D901" s="0" t="n">
        <v>489.675</v>
      </c>
      <c r="E901" s="0" t="n">
        <f aca="false">D901-0.155</f>
        <v>489.52</v>
      </c>
      <c r="F901" s="0" t="n">
        <v>489.545</v>
      </c>
      <c r="G901" s="0" t="n">
        <f aca="false">IF(E901 - F901 &lt; 0, 0, E901 - F901)</f>
        <v>0</v>
      </c>
      <c r="H901" s="0" t="n">
        <v>1.82</v>
      </c>
      <c r="I901" s="0" t="n">
        <f aca="false">1.82*30*(G901^1.5)</f>
        <v>0</v>
      </c>
      <c r="J901" s="0" t="n">
        <f aca="false">I901*60</f>
        <v>0</v>
      </c>
      <c r="K901" s="0" t="n">
        <f aca="false">(I901*86400)/24</f>
        <v>0</v>
      </c>
    </row>
    <row r="902" customFormat="false" ht="16.5" hidden="false" customHeight="false" outlineLevel="0" collapsed="false">
      <c r="A902" s="56" t="n">
        <v>45872.25</v>
      </c>
      <c r="B902" s="57" t="n">
        <f aca="false">MOD(A902,1)</f>
        <v>0.25</v>
      </c>
      <c r="C902" s="0" t="n">
        <v>0</v>
      </c>
      <c r="D902" s="0" t="n">
        <v>489.672</v>
      </c>
      <c r="E902" s="0" t="n">
        <f aca="false">D902-0.155</f>
        <v>489.517</v>
      </c>
      <c r="F902" s="0" t="n">
        <v>489.545</v>
      </c>
      <c r="G902" s="0" t="n">
        <f aca="false">IF(E902 - F902 &lt; 0, 0, E902 - F902)</f>
        <v>0</v>
      </c>
      <c r="H902" s="0" t="n">
        <v>1.82</v>
      </c>
      <c r="I902" s="0" t="n">
        <f aca="false">1.82*30*(G902^1.5)</f>
        <v>0</v>
      </c>
      <c r="J902" s="0" t="n">
        <f aca="false">I902*60</f>
        <v>0</v>
      </c>
      <c r="K902" s="0" t="n">
        <f aca="false">(I902*86400)/24</f>
        <v>0</v>
      </c>
    </row>
    <row r="903" customFormat="false" ht="16.5" hidden="false" customHeight="false" outlineLevel="0" collapsed="false">
      <c r="A903" s="56" t="n">
        <v>45872.2916666667</v>
      </c>
      <c r="B903" s="57" t="n">
        <f aca="false">MOD(A903,1)</f>
        <v>0.291666666656965</v>
      </c>
      <c r="C903" s="0" t="n">
        <v>0</v>
      </c>
      <c r="D903" s="0" t="n">
        <v>489.669</v>
      </c>
      <c r="E903" s="0" t="n">
        <f aca="false">D903-0.155</f>
        <v>489.514</v>
      </c>
      <c r="F903" s="0" t="n">
        <v>489.545</v>
      </c>
      <c r="G903" s="0" t="n">
        <f aca="false">IF(E903 - F903 &lt; 0, 0, E903 - F903)</f>
        <v>0</v>
      </c>
      <c r="H903" s="0" t="n">
        <v>1.82</v>
      </c>
      <c r="I903" s="0" t="n">
        <f aca="false">1.82*30*(G903^1.5)</f>
        <v>0</v>
      </c>
      <c r="J903" s="0" t="n">
        <f aca="false">I903*60</f>
        <v>0</v>
      </c>
      <c r="K903" s="0" t="n">
        <f aca="false">(I903*86400)/24</f>
        <v>0</v>
      </c>
    </row>
    <row r="904" customFormat="false" ht="16.5" hidden="false" customHeight="false" outlineLevel="0" collapsed="false">
      <c r="A904" s="56" t="n">
        <v>45872.3333333333</v>
      </c>
      <c r="B904" s="57" t="n">
        <f aca="false">MOD(A904,1)</f>
        <v>0.333333333343035</v>
      </c>
      <c r="C904" s="0" t="n">
        <v>0</v>
      </c>
      <c r="D904" s="0" t="n">
        <v>489.669</v>
      </c>
      <c r="E904" s="0" t="n">
        <f aca="false">D904-0.155</f>
        <v>489.514</v>
      </c>
      <c r="F904" s="0" t="n">
        <v>489.545</v>
      </c>
      <c r="G904" s="0" t="n">
        <f aca="false">IF(E904 - F904 &lt; 0, 0, E904 - F904)</f>
        <v>0</v>
      </c>
      <c r="H904" s="0" t="n">
        <v>1.82</v>
      </c>
      <c r="I904" s="0" t="n">
        <f aca="false">1.82*30*(G904^1.5)</f>
        <v>0</v>
      </c>
      <c r="J904" s="0" t="n">
        <f aca="false">I904*60</f>
        <v>0</v>
      </c>
      <c r="K904" s="0" t="n">
        <f aca="false">(I904*86400)/24</f>
        <v>0</v>
      </c>
    </row>
    <row r="905" customFormat="false" ht="16.5" hidden="false" customHeight="false" outlineLevel="0" collapsed="false">
      <c r="A905" s="56" t="n">
        <v>45872.375</v>
      </c>
      <c r="B905" s="57" t="n">
        <f aca="false">MOD(A905,1)</f>
        <v>0.375</v>
      </c>
      <c r="C905" s="0" t="n">
        <v>0</v>
      </c>
      <c r="D905" s="0" t="n">
        <v>489.669</v>
      </c>
      <c r="E905" s="0" t="n">
        <f aca="false">D905-0.155</f>
        <v>489.514</v>
      </c>
      <c r="F905" s="0" t="n">
        <v>489.545</v>
      </c>
      <c r="G905" s="0" t="n">
        <f aca="false">IF(E905 - F905 &lt; 0, 0, E905 - F905)</f>
        <v>0</v>
      </c>
      <c r="H905" s="0" t="n">
        <v>1.82</v>
      </c>
      <c r="I905" s="0" t="n">
        <f aca="false">1.82*30*(G905^1.5)</f>
        <v>0</v>
      </c>
      <c r="J905" s="0" t="n">
        <f aca="false">I905*60</f>
        <v>0</v>
      </c>
      <c r="K905" s="0" t="n">
        <f aca="false">(I905*86400)/24</f>
        <v>0</v>
      </c>
    </row>
    <row r="906" customFormat="false" ht="16.5" hidden="false" customHeight="false" outlineLevel="0" collapsed="false">
      <c r="A906" s="56" t="n">
        <v>45872.4166666667</v>
      </c>
      <c r="B906" s="57" t="n">
        <f aca="false">MOD(A906,1)</f>
        <v>0.416666666656965</v>
      </c>
      <c r="C906" s="0" t="n">
        <v>0</v>
      </c>
      <c r="D906" s="0" t="n">
        <v>489.669</v>
      </c>
      <c r="E906" s="0" t="n">
        <f aca="false">D906-0.155</f>
        <v>489.514</v>
      </c>
      <c r="F906" s="0" t="n">
        <v>489.545</v>
      </c>
      <c r="G906" s="0" t="n">
        <f aca="false">IF(E906 - F906 &lt; 0, 0, E906 - F906)</f>
        <v>0</v>
      </c>
      <c r="H906" s="0" t="n">
        <v>1.82</v>
      </c>
      <c r="I906" s="0" t="n">
        <f aca="false">1.82*30*(G906^1.5)</f>
        <v>0</v>
      </c>
      <c r="J906" s="0" t="n">
        <f aca="false">I906*60</f>
        <v>0</v>
      </c>
      <c r="K906" s="0" t="n">
        <f aca="false">(I906*86400)/24</f>
        <v>0</v>
      </c>
    </row>
    <row r="907" customFormat="false" ht="16.5" hidden="false" customHeight="false" outlineLevel="0" collapsed="false">
      <c r="A907" s="56" t="n">
        <v>45872.4583333333</v>
      </c>
      <c r="B907" s="57" t="n">
        <f aca="false">MOD(A907,1)</f>
        <v>0.458333333343035</v>
      </c>
      <c r="C907" s="0" t="n">
        <v>0</v>
      </c>
      <c r="D907" s="0" t="n">
        <v>489.662</v>
      </c>
      <c r="E907" s="0" t="n">
        <f aca="false">D907-0.155</f>
        <v>489.507</v>
      </c>
      <c r="F907" s="0" t="n">
        <v>489.545</v>
      </c>
      <c r="G907" s="0" t="n">
        <f aca="false">IF(E907 - F907 &lt; 0, 0, E907 - F907)</f>
        <v>0</v>
      </c>
      <c r="H907" s="0" t="n">
        <v>1.82</v>
      </c>
      <c r="I907" s="0" t="n">
        <f aca="false">1.82*30*(G907^1.5)</f>
        <v>0</v>
      </c>
      <c r="J907" s="0" t="n">
        <f aca="false">I907*60</f>
        <v>0</v>
      </c>
      <c r="K907" s="0" t="n">
        <f aca="false">(I907*86400)/24</f>
        <v>0</v>
      </c>
    </row>
    <row r="908" customFormat="false" ht="16.5" hidden="false" customHeight="false" outlineLevel="0" collapsed="false">
      <c r="A908" s="56" t="n">
        <v>45872.5</v>
      </c>
      <c r="B908" s="57" t="n">
        <f aca="false">MOD(A908,1)</f>
        <v>0.5</v>
      </c>
      <c r="C908" s="0" t="n">
        <v>0</v>
      </c>
      <c r="D908" s="0" t="n">
        <v>489.662</v>
      </c>
      <c r="E908" s="0" t="n">
        <f aca="false">D908-0.155</f>
        <v>489.507</v>
      </c>
      <c r="F908" s="0" t="n">
        <v>489.545</v>
      </c>
      <c r="G908" s="0" t="n">
        <f aca="false">IF(E908 - F908 &lt; 0, 0, E908 - F908)</f>
        <v>0</v>
      </c>
      <c r="H908" s="0" t="n">
        <v>1.82</v>
      </c>
      <c r="I908" s="0" t="n">
        <f aca="false">1.82*30*(G908^1.5)</f>
        <v>0</v>
      </c>
      <c r="J908" s="0" t="n">
        <f aca="false">I908*60</f>
        <v>0</v>
      </c>
      <c r="K908" s="0" t="n">
        <f aca="false">(I908*86400)/24</f>
        <v>0</v>
      </c>
    </row>
    <row r="909" customFormat="false" ht="16.5" hidden="false" customHeight="false" outlineLevel="0" collapsed="false">
      <c r="A909" s="56" t="n">
        <v>45872.5416666667</v>
      </c>
      <c r="B909" s="57" t="n">
        <f aca="false">MOD(A909,1)</f>
        <v>0.541666666656965</v>
      </c>
      <c r="C909" s="0" t="n">
        <v>0</v>
      </c>
      <c r="D909" s="0" t="n">
        <v>489.662</v>
      </c>
      <c r="E909" s="0" t="n">
        <f aca="false">D909-0.155</f>
        <v>489.507</v>
      </c>
      <c r="F909" s="0" t="n">
        <v>489.545</v>
      </c>
      <c r="G909" s="0" t="n">
        <f aca="false">IF(E909 - F909 &lt; 0, 0, E909 - F909)</f>
        <v>0</v>
      </c>
      <c r="H909" s="0" t="n">
        <v>1.82</v>
      </c>
      <c r="I909" s="0" t="n">
        <f aca="false">1.82*30*(G909^1.5)</f>
        <v>0</v>
      </c>
      <c r="J909" s="0" t="n">
        <f aca="false">I909*60</f>
        <v>0</v>
      </c>
      <c r="K909" s="0" t="n">
        <f aca="false">(I909*86400)/24</f>
        <v>0</v>
      </c>
    </row>
    <row r="910" customFormat="false" ht="16.5" hidden="false" customHeight="false" outlineLevel="0" collapsed="false">
      <c r="A910" s="56" t="n">
        <v>45872.5833333333</v>
      </c>
      <c r="B910" s="57" t="n">
        <f aca="false">MOD(A910,1)</f>
        <v>0.583333333343035</v>
      </c>
      <c r="C910" s="0" t="n">
        <v>0</v>
      </c>
      <c r="D910" s="0" t="n">
        <v>489.662</v>
      </c>
      <c r="E910" s="0" t="n">
        <f aca="false">D910-0.155</f>
        <v>489.507</v>
      </c>
      <c r="F910" s="0" t="n">
        <v>489.545</v>
      </c>
      <c r="G910" s="0" t="n">
        <f aca="false">IF(E910 - F910 &lt; 0, 0, E910 - F910)</f>
        <v>0</v>
      </c>
      <c r="H910" s="0" t="n">
        <v>1.82</v>
      </c>
      <c r="I910" s="0" t="n">
        <f aca="false">1.82*30*(G910^1.5)</f>
        <v>0</v>
      </c>
      <c r="J910" s="0" t="n">
        <f aca="false">I910*60</f>
        <v>0</v>
      </c>
      <c r="K910" s="0" t="n">
        <f aca="false">(I910*86400)/24</f>
        <v>0</v>
      </c>
    </row>
    <row r="911" customFormat="false" ht="16.5" hidden="false" customHeight="false" outlineLevel="0" collapsed="false">
      <c r="A911" s="56" t="n">
        <v>45872.625</v>
      </c>
      <c r="B911" s="57" t="n">
        <f aca="false">MOD(A911,1)</f>
        <v>0.625</v>
      </c>
      <c r="C911" s="0" t="n">
        <v>0</v>
      </c>
      <c r="D911" s="0" t="n">
        <v>489.656</v>
      </c>
      <c r="E911" s="0" t="n">
        <f aca="false">D911-0.155</f>
        <v>489.501</v>
      </c>
      <c r="F911" s="0" t="n">
        <v>489.545</v>
      </c>
      <c r="G911" s="0" t="n">
        <f aca="false">IF(E911 - F911 &lt; 0, 0, E911 - F911)</f>
        <v>0</v>
      </c>
      <c r="H911" s="0" t="n">
        <v>1.82</v>
      </c>
      <c r="I911" s="0" t="n">
        <f aca="false">1.82*30*(G911^1.5)</f>
        <v>0</v>
      </c>
      <c r="J911" s="0" t="n">
        <f aca="false">I911*60</f>
        <v>0</v>
      </c>
      <c r="K911" s="0" t="n">
        <f aca="false">(I911*86400)/24</f>
        <v>0</v>
      </c>
    </row>
    <row r="912" customFormat="false" ht="16.5" hidden="false" customHeight="false" outlineLevel="0" collapsed="false">
      <c r="A912" s="56" t="n">
        <v>45872.6666666667</v>
      </c>
      <c r="B912" s="57" t="n">
        <f aca="false">MOD(A912,1)</f>
        <v>0.666666666656965</v>
      </c>
      <c r="C912" s="0" t="n">
        <v>0</v>
      </c>
      <c r="D912" s="0" t="n">
        <v>489.656</v>
      </c>
      <c r="E912" s="0" t="n">
        <f aca="false">D912-0.155</f>
        <v>489.501</v>
      </c>
      <c r="F912" s="0" t="n">
        <v>489.545</v>
      </c>
      <c r="G912" s="0" t="n">
        <f aca="false">IF(E912 - F912 &lt; 0, 0, E912 - F912)</f>
        <v>0</v>
      </c>
      <c r="H912" s="0" t="n">
        <v>1.82</v>
      </c>
      <c r="I912" s="0" t="n">
        <f aca="false">1.82*30*(G912^1.5)</f>
        <v>0</v>
      </c>
      <c r="J912" s="0" t="n">
        <f aca="false">I912*60</f>
        <v>0</v>
      </c>
      <c r="K912" s="0" t="n">
        <f aca="false">(I912*86400)/24</f>
        <v>0</v>
      </c>
    </row>
    <row r="913" customFormat="false" ht="16.5" hidden="false" customHeight="false" outlineLevel="0" collapsed="false">
      <c r="A913" s="56" t="n">
        <v>45872.7083333333</v>
      </c>
      <c r="B913" s="57" t="n">
        <f aca="false">MOD(A913,1)</f>
        <v>0.708333333343035</v>
      </c>
      <c r="C913" s="0" t="n">
        <v>0</v>
      </c>
      <c r="D913" s="0" t="n">
        <v>489.656</v>
      </c>
      <c r="E913" s="0" t="n">
        <f aca="false">D913-0.155</f>
        <v>489.501</v>
      </c>
      <c r="F913" s="0" t="n">
        <v>489.545</v>
      </c>
      <c r="G913" s="0" t="n">
        <f aca="false">IF(E913 - F913 &lt; 0, 0, E913 - F913)</f>
        <v>0</v>
      </c>
      <c r="H913" s="0" t="n">
        <v>1.82</v>
      </c>
      <c r="I913" s="0" t="n">
        <f aca="false">1.82*30*(G913^1.5)</f>
        <v>0</v>
      </c>
      <c r="J913" s="0" t="n">
        <f aca="false">I913*60</f>
        <v>0</v>
      </c>
      <c r="K913" s="0" t="n">
        <f aca="false">(I913*86400)/24</f>
        <v>0</v>
      </c>
    </row>
    <row r="914" customFormat="false" ht="16.5" hidden="false" customHeight="false" outlineLevel="0" collapsed="false">
      <c r="A914" s="56" t="n">
        <v>45872.75</v>
      </c>
      <c r="B914" s="57" t="n">
        <f aca="false">MOD(A914,1)</f>
        <v>0.75</v>
      </c>
      <c r="C914" s="0" t="n">
        <v>0</v>
      </c>
      <c r="D914" s="0" t="n">
        <v>489.656</v>
      </c>
      <c r="E914" s="0" t="n">
        <f aca="false">D914-0.155</f>
        <v>489.501</v>
      </c>
      <c r="F914" s="0" t="n">
        <v>489.545</v>
      </c>
      <c r="G914" s="0" t="n">
        <f aca="false">IF(E914 - F914 &lt; 0, 0, E914 - F914)</f>
        <v>0</v>
      </c>
      <c r="H914" s="0" t="n">
        <v>1.82</v>
      </c>
      <c r="I914" s="0" t="n">
        <f aca="false">1.82*30*(G914^1.5)</f>
        <v>0</v>
      </c>
      <c r="J914" s="0" t="n">
        <f aca="false">I914*60</f>
        <v>0</v>
      </c>
      <c r="K914" s="0" t="n">
        <f aca="false">(I914*86400)/24</f>
        <v>0</v>
      </c>
    </row>
    <row r="915" customFormat="false" ht="16.5" hidden="false" customHeight="false" outlineLevel="0" collapsed="false">
      <c r="A915" s="56" t="n">
        <v>45872.7916666667</v>
      </c>
      <c r="B915" s="57" t="n">
        <f aca="false">MOD(A915,1)</f>
        <v>0.791666666656965</v>
      </c>
      <c r="C915" s="0" t="n">
        <v>0</v>
      </c>
      <c r="D915" s="0" t="n">
        <v>489.649</v>
      </c>
      <c r="E915" s="0" t="n">
        <f aca="false">D915-0.155</f>
        <v>489.494</v>
      </c>
      <c r="F915" s="0" t="n">
        <v>489.545</v>
      </c>
      <c r="G915" s="0" t="n">
        <f aca="false">IF(E915 - F915 &lt; 0, 0, E915 - F915)</f>
        <v>0</v>
      </c>
      <c r="H915" s="0" t="n">
        <v>1.82</v>
      </c>
      <c r="I915" s="0" t="n">
        <f aca="false">1.82*30*(G915^1.5)</f>
        <v>0</v>
      </c>
      <c r="J915" s="0" t="n">
        <f aca="false">I915*60</f>
        <v>0</v>
      </c>
      <c r="K915" s="0" t="n">
        <f aca="false">(I915*86400)/24</f>
        <v>0</v>
      </c>
    </row>
    <row r="916" customFormat="false" ht="16.5" hidden="false" customHeight="false" outlineLevel="0" collapsed="false">
      <c r="A916" s="56" t="n">
        <v>45872.8333333333</v>
      </c>
      <c r="B916" s="57" t="n">
        <f aca="false">MOD(A916,1)</f>
        <v>0.833333333343035</v>
      </c>
      <c r="C916" s="0" t="n">
        <v>0</v>
      </c>
      <c r="D916" s="0" t="n">
        <v>489.649</v>
      </c>
      <c r="E916" s="0" t="n">
        <f aca="false">D916-0.155</f>
        <v>489.494</v>
      </c>
      <c r="F916" s="0" t="n">
        <v>489.545</v>
      </c>
      <c r="G916" s="0" t="n">
        <f aca="false">IF(E916 - F916 &lt; 0, 0, E916 - F916)</f>
        <v>0</v>
      </c>
      <c r="H916" s="0" t="n">
        <v>1.82</v>
      </c>
      <c r="I916" s="0" t="n">
        <f aca="false">1.82*30*(G916^1.5)</f>
        <v>0</v>
      </c>
      <c r="J916" s="0" t="n">
        <f aca="false">I916*60</f>
        <v>0</v>
      </c>
      <c r="K916" s="0" t="n">
        <f aca="false">(I916*86400)/24</f>
        <v>0</v>
      </c>
    </row>
    <row r="917" customFormat="false" ht="16.5" hidden="false" customHeight="false" outlineLevel="0" collapsed="false">
      <c r="A917" s="56" t="n">
        <v>45872.875</v>
      </c>
      <c r="B917" s="57" t="n">
        <f aca="false">MOD(A917,1)</f>
        <v>0.875</v>
      </c>
      <c r="C917" s="0" t="n">
        <v>0</v>
      </c>
      <c r="D917" s="0" t="n">
        <v>489.649</v>
      </c>
      <c r="E917" s="0" t="n">
        <f aca="false">D917-0.155</f>
        <v>489.494</v>
      </c>
      <c r="F917" s="0" t="n">
        <v>489.545</v>
      </c>
      <c r="G917" s="0" t="n">
        <f aca="false">IF(E917 - F917 &lt; 0, 0, E917 - F917)</f>
        <v>0</v>
      </c>
      <c r="H917" s="0" t="n">
        <v>1.82</v>
      </c>
      <c r="I917" s="0" t="n">
        <f aca="false">1.82*30*(G917^1.5)</f>
        <v>0</v>
      </c>
      <c r="J917" s="0" t="n">
        <f aca="false">I917*60</f>
        <v>0</v>
      </c>
      <c r="K917" s="0" t="n">
        <f aca="false">(I917*86400)/24</f>
        <v>0</v>
      </c>
    </row>
    <row r="918" customFormat="false" ht="16.5" hidden="false" customHeight="false" outlineLevel="0" collapsed="false">
      <c r="A918" s="56" t="n">
        <v>45872.9166666667</v>
      </c>
      <c r="B918" s="57" t="n">
        <f aca="false">MOD(A918,1)</f>
        <v>0.916666666656965</v>
      </c>
      <c r="C918" s="0" t="n">
        <v>0</v>
      </c>
      <c r="D918" s="0" t="n">
        <v>489.643</v>
      </c>
      <c r="E918" s="0" t="n">
        <f aca="false">D918-0.155</f>
        <v>489.488</v>
      </c>
      <c r="F918" s="0" t="n">
        <v>489.545</v>
      </c>
      <c r="G918" s="0" t="n">
        <f aca="false">IF(E918 - F918 &lt; 0, 0, E918 - F918)</f>
        <v>0</v>
      </c>
      <c r="H918" s="0" t="n">
        <v>1.82</v>
      </c>
      <c r="I918" s="0" t="n">
        <f aca="false">1.82*30*(G918^1.5)</f>
        <v>0</v>
      </c>
      <c r="J918" s="0" t="n">
        <f aca="false">I918*60</f>
        <v>0</v>
      </c>
      <c r="K918" s="0" t="n">
        <f aca="false">(I918*86400)/24</f>
        <v>0</v>
      </c>
    </row>
    <row r="919" customFormat="false" ht="16.5" hidden="false" customHeight="false" outlineLevel="0" collapsed="false">
      <c r="A919" s="56" t="n">
        <v>45872.9583333333</v>
      </c>
      <c r="B919" s="57" t="n">
        <f aca="false">MOD(A919,1)</f>
        <v>0.958333333343035</v>
      </c>
      <c r="C919" s="0" t="n">
        <v>0</v>
      </c>
      <c r="D919" s="0" t="n">
        <v>489.643</v>
      </c>
      <c r="E919" s="0" t="n">
        <f aca="false">D919-0.155</f>
        <v>489.488</v>
      </c>
      <c r="F919" s="0" t="n">
        <v>489.545</v>
      </c>
      <c r="G919" s="0" t="n">
        <f aca="false">IF(E919 - F919 &lt; 0, 0, E919 - F919)</f>
        <v>0</v>
      </c>
      <c r="H919" s="0" t="n">
        <v>1.82</v>
      </c>
      <c r="I919" s="0" t="n">
        <f aca="false">1.82*30*(G919^1.5)</f>
        <v>0</v>
      </c>
      <c r="J919" s="0" t="n">
        <f aca="false">I919*60</f>
        <v>0</v>
      </c>
      <c r="K919" s="0" t="n">
        <f aca="false">(I919*86400)/24</f>
        <v>0</v>
      </c>
    </row>
    <row r="920" customFormat="false" ht="16.5" hidden="false" customHeight="false" outlineLevel="0" collapsed="false">
      <c r="A920" s="56" t="n">
        <v>45873</v>
      </c>
      <c r="B920" s="57" t="n">
        <f aca="false">MOD(A920,1)</f>
        <v>0</v>
      </c>
      <c r="C920" s="0" t="n">
        <v>0</v>
      </c>
      <c r="D920" s="0" t="n">
        <v>489.643</v>
      </c>
      <c r="E920" s="0" t="n">
        <f aca="false">D920-0.155</f>
        <v>489.488</v>
      </c>
      <c r="F920" s="0" t="n">
        <v>489.545</v>
      </c>
      <c r="G920" s="0" t="n">
        <f aca="false">IF(E920 - F920 &lt; 0, 0, E920 - F920)</f>
        <v>0</v>
      </c>
      <c r="H920" s="0" t="n">
        <v>1.82</v>
      </c>
      <c r="I920" s="0" t="n">
        <f aca="false">1.82*30*(G920^1.5)</f>
        <v>0</v>
      </c>
      <c r="J920" s="0" t="n">
        <f aca="false">I920*60</f>
        <v>0</v>
      </c>
      <c r="K920" s="0" t="n">
        <f aca="false">(I920*86400)/24</f>
        <v>0</v>
      </c>
    </row>
    <row r="921" customFormat="false" ht="16.5" hidden="false" customHeight="false" outlineLevel="0" collapsed="false">
      <c r="A921" s="56" t="n">
        <v>45873.0416666667</v>
      </c>
      <c r="B921" s="57" t="n">
        <f aca="false">MOD(A921,1)</f>
        <v>0.0416666666569654</v>
      </c>
      <c r="C921" s="0" t="n">
        <v>0</v>
      </c>
      <c r="D921" s="0" t="n">
        <v>489.643</v>
      </c>
      <c r="E921" s="0" t="n">
        <f aca="false">D921-0.155</f>
        <v>489.488</v>
      </c>
      <c r="F921" s="0" t="n">
        <v>489.545</v>
      </c>
      <c r="G921" s="0" t="n">
        <f aca="false">IF(E921 - F921 &lt; 0, 0, E921 - F921)</f>
        <v>0</v>
      </c>
      <c r="H921" s="0" t="n">
        <v>1.82</v>
      </c>
      <c r="I921" s="0" t="n">
        <f aca="false">1.82*30*(G921^1.5)</f>
        <v>0</v>
      </c>
      <c r="J921" s="0" t="n">
        <f aca="false">I921*60</f>
        <v>0</v>
      </c>
      <c r="K921" s="0" t="n">
        <f aca="false">(I921*86400)/24</f>
        <v>0</v>
      </c>
    </row>
    <row r="922" customFormat="false" ht="16.5" hidden="false" customHeight="false" outlineLevel="0" collapsed="false">
      <c r="A922" s="56" t="n">
        <v>45873.0833333333</v>
      </c>
      <c r="B922" s="57" t="n">
        <f aca="false">MOD(A922,1)</f>
        <v>0.0833333333430346</v>
      </c>
      <c r="C922" s="0" t="n">
        <v>0</v>
      </c>
      <c r="D922" s="0" t="n">
        <v>489.643</v>
      </c>
      <c r="E922" s="0" t="n">
        <f aca="false">D922-0.155</f>
        <v>489.488</v>
      </c>
      <c r="F922" s="0" t="n">
        <v>489.545</v>
      </c>
      <c r="G922" s="0" t="n">
        <f aca="false">IF(E922 - F922 &lt; 0, 0, E922 - F922)</f>
        <v>0</v>
      </c>
      <c r="H922" s="0" t="n">
        <v>1.82</v>
      </c>
      <c r="I922" s="0" t="n">
        <f aca="false">1.82*30*(G922^1.5)</f>
        <v>0</v>
      </c>
      <c r="J922" s="0" t="n">
        <f aca="false">I922*60</f>
        <v>0</v>
      </c>
      <c r="K922" s="0" t="n">
        <f aca="false">(I922*86400)/24</f>
        <v>0</v>
      </c>
    </row>
    <row r="923" customFormat="false" ht="16.5" hidden="false" customHeight="false" outlineLevel="0" collapsed="false">
      <c r="A923" s="56" t="n">
        <v>45873.125</v>
      </c>
      <c r="B923" s="57" t="n">
        <f aca="false">MOD(A923,1)</f>
        <v>0.125</v>
      </c>
      <c r="C923" s="0" t="n">
        <v>0</v>
      </c>
      <c r="D923" s="0" t="n">
        <v>489.643</v>
      </c>
      <c r="E923" s="0" t="n">
        <f aca="false">D923-0.155</f>
        <v>489.488</v>
      </c>
      <c r="F923" s="0" t="n">
        <v>489.545</v>
      </c>
      <c r="G923" s="0" t="n">
        <f aca="false">IF(E923 - F923 &lt; 0, 0, E923 - F923)</f>
        <v>0</v>
      </c>
      <c r="H923" s="0" t="n">
        <v>1.82</v>
      </c>
      <c r="I923" s="0" t="n">
        <f aca="false">1.82*30*(G923^1.5)</f>
        <v>0</v>
      </c>
      <c r="J923" s="0" t="n">
        <f aca="false">I923*60</f>
        <v>0</v>
      </c>
      <c r="K923" s="0" t="n">
        <f aca="false">(I923*86400)/24</f>
        <v>0</v>
      </c>
    </row>
    <row r="924" customFormat="false" ht="16.5" hidden="false" customHeight="false" outlineLevel="0" collapsed="false">
      <c r="A924" s="56" t="n">
        <v>45873.1666666667</v>
      </c>
      <c r="B924" s="57" t="n">
        <f aca="false">MOD(A924,1)</f>
        <v>0.166666666656965</v>
      </c>
      <c r="C924" s="0" t="n">
        <v>0</v>
      </c>
      <c r="D924" s="0" t="n">
        <v>489.636</v>
      </c>
      <c r="E924" s="0" t="n">
        <f aca="false">D924-0.155</f>
        <v>489.481</v>
      </c>
      <c r="F924" s="0" t="n">
        <v>489.545</v>
      </c>
      <c r="G924" s="0" t="n">
        <f aca="false">IF(E924 - F924 &lt; 0, 0, E924 - F924)</f>
        <v>0</v>
      </c>
      <c r="H924" s="0" t="n">
        <v>1.82</v>
      </c>
      <c r="I924" s="0" t="n">
        <f aca="false">1.82*30*(G924^1.5)</f>
        <v>0</v>
      </c>
      <c r="J924" s="0" t="n">
        <f aca="false">I924*60</f>
        <v>0</v>
      </c>
      <c r="K924" s="0" t="n">
        <f aca="false">(I924*86400)/24</f>
        <v>0</v>
      </c>
    </row>
    <row r="925" customFormat="false" ht="16.5" hidden="false" customHeight="false" outlineLevel="0" collapsed="false">
      <c r="A925" s="56" t="n">
        <v>45873.2083333333</v>
      </c>
      <c r="B925" s="57" t="n">
        <f aca="false">MOD(A925,1)</f>
        <v>0.208333333343035</v>
      </c>
      <c r="C925" s="0" t="n">
        <v>0</v>
      </c>
      <c r="D925" s="0" t="n">
        <v>489.636</v>
      </c>
      <c r="E925" s="0" t="n">
        <f aca="false">D925-0.155</f>
        <v>489.481</v>
      </c>
      <c r="F925" s="0" t="n">
        <v>489.545</v>
      </c>
      <c r="G925" s="0" t="n">
        <f aca="false">IF(E925 - F925 &lt; 0, 0, E925 - F925)</f>
        <v>0</v>
      </c>
      <c r="H925" s="0" t="n">
        <v>1.82</v>
      </c>
      <c r="I925" s="0" t="n">
        <f aca="false">1.82*30*(G925^1.5)</f>
        <v>0</v>
      </c>
      <c r="J925" s="0" t="n">
        <f aca="false">I925*60</f>
        <v>0</v>
      </c>
      <c r="K925" s="0" t="n">
        <f aca="false">(I925*86400)/24</f>
        <v>0</v>
      </c>
    </row>
    <row r="926" customFormat="false" ht="16.5" hidden="false" customHeight="false" outlineLevel="0" collapsed="false">
      <c r="A926" s="56" t="n">
        <v>45873.25</v>
      </c>
      <c r="B926" s="57" t="n">
        <f aca="false">MOD(A926,1)</f>
        <v>0.25</v>
      </c>
      <c r="C926" s="0" t="n">
        <v>0</v>
      </c>
      <c r="D926" s="0" t="n">
        <v>489.636</v>
      </c>
      <c r="E926" s="0" t="n">
        <f aca="false">D926-0.155</f>
        <v>489.481</v>
      </c>
      <c r="F926" s="0" t="n">
        <v>489.545</v>
      </c>
      <c r="G926" s="0" t="n">
        <f aca="false">IF(E926 - F926 &lt; 0, 0, E926 - F926)</f>
        <v>0</v>
      </c>
      <c r="H926" s="0" t="n">
        <v>1.82</v>
      </c>
      <c r="I926" s="0" t="n">
        <f aca="false">1.82*30*(G926^1.5)</f>
        <v>0</v>
      </c>
      <c r="J926" s="0" t="n">
        <f aca="false">I926*60</f>
        <v>0</v>
      </c>
      <c r="K926" s="0" t="n">
        <f aca="false">(I926*86400)/24</f>
        <v>0</v>
      </c>
    </row>
    <row r="927" customFormat="false" ht="16.5" hidden="false" customHeight="false" outlineLevel="0" collapsed="false">
      <c r="A927" s="56" t="n">
        <v>45873.2916666667</v>
      </c>
      <c r="B927" s="57" t="n">
        <f aca="false">MOD(A927,1)</f>
        <v>0.291666666656965</v>
      </c>
      <c r="C927" s="0" t="n">
        <v>0</v>
      </c>
      <c r="D927" s="0" t="n">
        <v>489.636</v>
      </c>
      <c r="E927" s="0" t="n">
        <f aca="false">D927-0.155</f>
        <v>489.481</v>
      </c>
      <c r="F927" s="0" t="n">
        <v>489.545</v>
      </c>
      <c r="G927" s="0" t="n">
        <f aca="false">IF(E927 - F927 &lt; 0, 0, E927 - F927)</f>
        <v>0</v>
      </c>
      <c r="H927" s="0" t="n">
        <v>1.82</v>
      </c>
      <c r="I927" s="0" t="n">
        <f aca="false">1.82*30*(G927^1.5)</f>
        <v>0</v>
      </c>
      <c r="J927" s="0" t="n">
        <f aca="false">I927*60</f>
        <v>0</v>
      </c>
      <c r="K927" s="0" t="n">
        <f aca="false">(I927*86400)/24</f>
        <v>0</v>
      </c>
    </row>
    <row r="928" customFormat="false" ht="16.5" hidden="false" customHeight="false" outlineLevel="0" collapsed="false">
      <c r="A928" s="56" t="n">
        <v>45873.3333333333</v>
      </c>
      <c r="B928" s="57" t="n">
        <f aca="false">MOD(A928,1)</f>
        <v>0.333333333343035</v>
      </c>
      <c r="C928" s="0" t="n">
        <v>0</v>
      </c>
      <c r="D928" s="0" t="n">
        <v>489.629</v>
      </c>
      <c r="E928" s="0" t="n">
        <f aca="false">D928-0.155</f>
        <v>489.474</v>
      </c>
      <c r="F928" s="0" t="n">
        <v>489.545</v>
      </c>
      <c r="G928" s="0" t="n">
        <f aca="false">IF(E928 - F928 &lt; 0, 0, E928 - F928)</f>
        <v>0</v>
      </c>
      <c r="H928" s="0" t="n">
        <v>1.82</v>
      </c>
      <c r="I928" s="0" t="n">
        <f aca="false">1.82*30*(G928^1.5)</f>
        <v>0</v>
      </c>
      <c r="J928" s="0" t="n">
        <f aca="false">I928*60</f>
        <v>0</v>
      </c>
      <c r="K928" s="0" t="n">
        <f aca="false">(I928*86400)/24</f>
        <v>0</v>
      </c>
    </row>
    <row r="929" customFormat="false" ht="16.5" hidden="false" customHeight="false" outlineLevel="0" collapsed="false">
      <c r="A929" s="56" t="n">
        <v>45873.375</v>
      </c>
      <c r="B929" s="57" t="n">
        <f aca="false">MOD(A929,1)</f>
        <v>0.375</v>
      </c>
      <c r="C929" s="0" t="n">
        <v>0</v>
      </c>
      <c r="D929" s="0" t="n">
        <v>489.629</v>
      </c>
      <c r="E929" s="0" t="n">
        <f aca="false">D929-0.155</f>
        <v>489.474</v>
      </c>
      <c r="F929" s="0" t="n">
        <v>489.545</v>
      </c>
      <c r="G929" s="0" t="n">
        <f aca="false">IF(E929 - F929 &lt; 0, 0, E929 - F929)</f>
        <v>0</v>
      </c>
      <c r="H929" s="0" t="n">
        <v>1.82</v>
      </c>
      <c r="I929" s="0" t="n">
        <f aca="false">1.82*30*(G929^1.5)</f>
        <v>0</v>
      </c>
      <c r="J929" s="0" t="n">
        <f aca="false">I929*60</f>
        <v>0</v>
      </c>
      <c r="K929" s="0" t="n">
        <f aca="false">(I929*86400)/24</f>
        <v>0</v>
      </c>
    </row>
    <row r="930" customFormat="false" ht="16.5" hidden="false" customHeight="false" outlineLevel="0" collapsed="false">
      <c r="A930" s="56" t="n">
        <v>45873.4166666667</v>
      </c>
      <c r="B930" s="57" t="n">
        <f aca="false">MOD(A930,1)</f>
        <v>0.416666666656965</v>
      </c>
      <c r="C930" s="0" t="n">
        <v>0</v>
      </c>
      <c r="D930" s="0" t="n">
        <v>489.629</v>
      </c>
      <c r="E930" s="0" t="n">
        <f aca="false">D930-0.155</f>
        <v>489.474</v>
      </c>
      <c r="F930" s="0" t="n">
        <v>489.545</v>
      </c>
      <c r="G930" s="0" t="n">
        <f aca="false">IF(E930 - F930 &lt; 0, 0, E930 - F930)</f>
        <v>0</v>
      </c>
      <c r="H930" s="0" t="n">
        <v>1.82</v>
      </c>
      <c r="I930" s="0" t="n">
        <f aca="false">1.82*30*(G930^1.5)</f>
        <v>0</v>
      </c>
      <c r="J930" s="0" t="n">
        <f aca="false">I930*60</f>
        <v>0</v>
      </c>
      <c r="K930" s="0" t="n">
        <f aca="false">(I930*86400)/24</f>
        <v>0</v>
      </c>
    </row>
    <row r="931" customFormat="false" ht="16.5" hidden="false" customHeight="false" outlineLevel="0" collapsed="false">
      <c r="A931" s="56" t="n">
        <v>45873.4583333333</v>
      </c>
      <c r="B931" s="57" t="n">
        <f aca="false">MOD(A931,1)</f>
        <v>0.458333333343035</v>
      </c>
      <c r="C931" s="0" t="n">
        <v>0</v>
      </c>
      <c r="D931" s="0" t="n">
        <v>489.629</v>
      </c>
      <c r="E931" s="0" t="n">
        <f aca="false">D931-0.155</f>
        <v>489.474</v>
      </c>
      <c r="F931" s="0" t="n">
        <v>489.545</v>
      </c>
      <c r="G931" s="0" t="n">
        <f aca="false">IF(E931 - F931 &lt; 0, 0, E931 - F931)</f>
        <v>0</v>
      </c>
      <c r="H931" s="0" t="n">
        <v>1.82</v>
      </c>
      <c r="I931" s="0" t="n">
        <f aca="false">1.82*30*(G931^1.5)</f>
        <v>0</v>
      </c>
      <c r="J931" s="0" t="n">
        <f aca="false">I931*60</f>
        <v>0</v>
      </c>
      <c r="K931" s="0" t="n">
        <f aca="false">(I931*86400)/24</f>
        <v>0</v>
      </c>
    </row>
    <row r="932" customFormat="false" ht="16.5" hidden="false" customHeight="false" outlineLevel="0" collapsed="false">
      <c r="A932" s="56" t="n">
        <v>45873.5</v>
      </c>
      <c r="B932" s="57" t="n">
        <f aca="false">MOD(A932,1)</f>
        <v>0.5</v>
      </c>
      <c r="C932" s="0" t="n">
        <v>0</v>
      </c>
      <c r="D932" s="0" t="n">
        <v>489.629</v>
      </c>
      <c r="E932" s="0" t="n">
        <f aca="false">D932-0.155</f>
        <v>489.474</v>
      </c>
      <c r="F932" s="0" t="n">
        <v>489.545</v>
      </c>
      <c r="G932" s="0" t="n">
        <f aca="false">IF(E932 - F932 &lt; 0, 0, E932 - F932)</f>
        <v>0</v>
      </c>
      <c r="H932" s="0" t="n">
        <v>1.82</v>
      </c>
      <c r="I932" s="0" t="n">
        <f aca="false">1.82*30*(G932^1.5)</f>
        <v>0</v>
      </c>
      <c r="J932" s="0" t="n">
        <f aca="false">I932*60</f>
        <v>0</v>
      </c>
      <c r="K932" s="0" t="n">
        <f aca="false">(I932*86400)/24</f>
        <v>0</v>
      </c>
    </row>
    <row r="933" customFormat="false" ht="16.5" hidden="false" customHeight="false" outlineLevel="0" collapsed="false">
      <c r="A933" s="56" t="n">
        <v>45873.5416666667</v>
      </c>
      <c r="B933" s="57" t="n">
        <f aca="false">MOD(A933,1)</f>
        <v>0.541666666656965</v>
      </c>
      <c r="C933" s="0" t="n">
        <v>0</v>
      </c>
      <c r="D933" s="0" t="n">
        <v>489.623</v>
      </c>
      <c r="E933" s="0" t="n">
        <f aca="false">D933-0.155</f>
        <v>489.468</v>
      </c>
      <c r="F933" s="0" t="n">
        <v>489.545</v>
      </c>
      <c r="G933" s="0" t="n">
        <f aca="false">IF(E933 - F933 &lt; 0, 0, E933 - F933)</f>
        <v>0</v>
      </c>
      <c r="H933" s="0" t="n">
        <v>1.82</v>
      </c>
      <c r="I933" s="0" t="n">
        <f aca="false">1.82*30*(G933^1.5)</f>
        <v>0</v>
      </c>
      <c r="J933" s="0" t="n">
        <f aca="false">I933*60</f>
        <v>0</v>
      </c>
      <c r="K933" s="0" t="n">
        <f aca="false">(I933*86400)/24</f>
        <v>0</v>
      </c>
    </row>
    <row r="934" customFormat="false" ht="16.5" hidden="false" customHeight="false" outlineLevel="0" collapsed="false">
      <c r="A934" s="56" t="n">
        <v>45873.5833333333</v>
      </c>
      <c r="B934" s="57" t="n">
        <f aca="false">MOD(A934,1)</f>
        <v>0.583333333343035</v>
      </c>
      <c r="C934" s="0" t="n">
        <v>0</v>
      </c>
      <c r="D934" s="0" t="n">
        <v>489.623</v>
      </c>
      <c r="E934" s="0" t="n">
        <f aca="false">D934-0.155</f>
        <v>489.468</v>
      </c>
      <c r="F934" s="0" t="n">
        <v>489.545</v>
      </c>
      <c r="G934" s="0" t="n">
        <f aca="false">IF(E934 - F934 &lt; 0, 0, E934 - F934)</f>
        <v>0</v>
      </c>
      <c r="H934" s="0" t="n">
        <v>1.82</v>
      </c>
      <c r="I934" s="0" t="n">
        <f aca="false">1.82*30*(G934^1.5)</f>
        <v>0</v>
      </c>
      <c r="J934" s="0" t="n">
        <f aca="false">I934*60</f>
        <v>0</v>
      </c>
      <c r="K934" s="0" t="n">
        <f aca="false">(I934*86400)/24</f>
        <v>0</v>
      </c>
    </row>
    <row r="935" customFormat="false" ht="16.5" hidden="false" customHeight="false" outlineLevel="0" collapsed="false">
      <c r="A935" s="56" t="n">
        <v>45873.625</v>
      </c>
      <c r="B935" s="57" t="n">
        <f aca="false">MOD(A935,1)</f>
        <v>0.625</v>
      </c>
      <c r="C935" s="0" t="n">
        <v>0</v>
      </c>
      <c r="D935" s="0" t="n">
        <v>489.623</v>
      </c>
      <c r="E935" s="0" t="n">
        <f aca="false">D935-0.155</f>
        <v>489.468</v>
      </c>
      <c r="F935" s="0" t="n">
        <v>489.545</v>
      </c>
      <c r="G935" s="0" t="n">
        <f aca="false">IF(E935 - F935 &lt; 0, 0, E935 - F935)</f>
        <v>0</v>
      </c>
      <c r="H935" s="0" t="n">
        <v>1.82</v>
      </c>
      <c r="I935" s="0" t="n">
        <f aca="false">1.82*30*(G935^1.5)</f>
        <v>0</v>
      </c>
      <c r="J935" s="0" t="n">
        <f aca="false">I935*60</f>
        <v>0</v>
      </c>
      <c r="K935" s="0" t="n">
        <f aca="false">(I935*86400)/24</f>
        <v>0</v>
      </c>
    </row>
    <row r="936" customFormat="false" ht="16.5" hidden="false" customHeight="false" outlineLevel="0" collapsed="false">
      <c r="A936" s="56" t="n">
        <v>45873.6666666667</v>
      </c>
      <c r="B936" s="57" t="n">
        <f aca="false">MOD(A936,1)</f>
        <v>0.666666666656965</v>
      </c>
      <c r="C936" s="0" t="n">
        <v>0</v>
      </c>
      <c r="D936" s="0" t="n">
        <v>489.623</v>
      </c>
      <c r="E936" s="0" t="n">
        <f aca="false">D936-0.155</f>
        <v>489.468</v>
      </c>
      <c r="F936" s="0" t="n">
        <v>489.545</v>
      </c>
      <c r="G936" s="0" t="n">
        <f aca="false">IF(E936 - F936 &lt; 0, 0, E936 - F936)</f>
        <v>0</v>
      </c>
      <c r="H936" s="0" t="n">
        <v>1.82</v>
      </c>
      <c r="I936" s="0" t="n">
        <f aca="false">1.82*30*(G936^1.5)</f>
        <v>0</v>
      </c>
      <c r="J936" s="0" t="n">
        <f aca="false">I936*60</f>
        <v>0</v>
      </c>
      <c r="K936" s="0" t="n">
        <f aca="false">(I936*86400)/24</f>
        <v>0</v>
      </c>
    </row>
    <row r="937" customFormat="false" ht="16.5" hidden="false" customHeight="false" outlineLevel="0" collapsed="false">
      <c r="A937" s="56" t="n">
        <v>45873.7083333333</v>
      </c>
      <c r="B937" s="57" t="n">
        <f aca="false">MOD(A937,1)</f>
        <v>0.708333333343035</v>
      </c>
      <c r="C937" s="0" t="n">
        <v>0</v>
      </c>
      <c r="D937" s="0" t="n">
        <v>489.616</v>
      </c>
      <c r="E937" s="0" t="n">
        <f aca="false">D937-0.155</f>
        <v>489.461</v>
      </c>
      <c r="F937" s="0" t="n">
        <v>489.545</v>
      </c>
      <c r="G937" s="0" t="n">
        <f aca="false">IF(E937 - F937 &lt; 0, 0, E937 - F937)</f>
        <v>0</v>
      </c>
      <c r="H937" s="0" t="n">
        <v>1.82</v>
      </c>
      <c r="I937" s="0" t="n">
        <f aca="false">1.82*30*(G937^1.5)</f>
        <v>0</v>
      </c>
      <c r="J937" s="0" t="n">
        <f aca="false">I937*60</f>
        <v>0</v>
      </c>
      <c r="K937" s="0" t="n">
        <f aca="false">(I937*86400)/24</f>
        <v>0</v>
      </c>
    </row>
    <row r="938" customFormat="false" ht="16.5" hidden="false" customHeight="false" outlineLevel="0" collapsed="false">
      <c r="A938" s="56" t="n">
        <v>45873.75</v>
      </c>
      <c r="B938" s="57" t="n">
        <f aca="false">MOD(A938,1)</f>
        <v>0.75</v>
      </c>
      <c r="C938" s="0" t="n">
        <v>0</v>
      </c>
      <c r="D938" s="0" t="n">
        <v>489.616</v>
      </c>
      <c r="E938" s="0" t="n">
        <f aca="false">D938-0.155</f>
        <v>489.461</v>
      </c>
      <c r="F938" s="0" t="n">
        <v>489.545</v>
      </c>
      <c r="G938" s="0" t="n">
        <f aca="false">IF(E938 - F938 &lt; 0, 0, E938 - F938)</f>
        <v>0</v>
      </c>
      <c r="H938" s="0" t="n">
        <v>1.82</v>
      </c>
      <c r="I938" s="0" t="n">
        <f aca="false">1.82*30*(G938^1.5)</f>
        <v>0</v>
      </c>
      <c r="J938" s="0" t="n">
        <f aca="false">I938*60</f>
        <v>0</v>
      </c>
      <c r="K938" s="0" t="n">
        <f aca="false">(I938*86400)/24</f>
        <v>0</v>
      </c>
    </row>
    <row r="939" customFormat="false" ht="16.5" hidden="false" customHeight="false" outlineLevel="0" collapsed="false">
      <c r="A939" s="56" t="n">
        <v>45873.7916666667</v>
      </c>
      <c r="B939" s="57" t="n">
        <f aca="false">MOD(A939,1)</f>
        <v>0.791666666656965</v>
      </c>
      <c r="C939" s="0" t="n">
        <v>0</v>
      </c>
      <c r="D939" s="0" t="n">
        <v>489.611</v>
      </c>
      <c r="E939" s="0" t="n">
        <f aca="false">D939-0.155</f>
        <v>489.456</v>
      </c>
      <c r="F939" s="0" t="n">
        <v>489.545</v>
      </c>
      <c r="G939" s="0" t="n">
        <f aca="false">IF(E939 - F939 &lt; 0, 0, E939 - F939)</f>
        <v>0</v>
      </c>
      <c r="H939" s="0" t="n">
        <v>1.82</v>
      </c>
      <c r="I939" s="0" t="n">
        <f aca="false">1.82*30*(G939^1.5)</f>
        <v>0</v>
      </c>
      <c r="J939" s="0" t="n">
        <f aca="false">I939*60</f>
        <v>0</v>
      </c>
      <c r="K939" s="0" t="n">
        <f aca="false">(I939*86400)/24</f>
        <v>0</v>
      </c>
    </row>
    <row r="940" customFormat="false" ht="16.5" hidden="false" customHeight="false" outlineLevel="0" collapsed="false">
      <c r="A940" s="56" t="n">
        <v>45873.8333333333</v>
      </c>
      <c r="B940" s="57" t="n">
        <f aca="false">MOD(A940,1)</f>
        <v>0.833333333343035</v>
      </c>
      <c r="C940" s="0" t="n">
        <v>0</v>
      </c>
      <c r="D940" s="0" t="n">
        <v>489.611</v>
      </c>
      <c r="E940" s="0" t="n">
        <f aca="false">D940-0.155</f>
        <v>489.456</v>
      </c>
      <c r="F940" s="0" t="n">
        <v>489.545</v>
      </c>
      <c r="G940" s="0" t="n">
        <f aca="false">IF(E940 - F940 &lt; 0, 0, E940 - F940)</f>
        <v>0</v>
      </c>
      <c r="H940" s="0" t="n">
        <v>1.82</v>
      </c>
      <c r="I940" s="0" t="n">
        <f aca="false">1.82*30*(G940^1.5)</f>
        <v>0</v>
      </c>
      <c r="J940" s="0" t="n">
        <f aca="false">I940*60</f>
        <v>0</v>
      </c>
      <c r="K940" s="0" t="n">
        <f aca="false">(I940*86400)/24</f>
        <v>0</v>
      </c>
    </row>
    <row r="941" customFormat="false" ht="16.5" hidden="false" customHeight="false" outlineLevel="0" collapsed="false">
      <c r="A941" s="56" t="n">
        <v>45873.875</v>
      </c>
      <c r="B941" s="57" t="n">
        <f aca="false">MOD(A941,1)</f>
        <v>0.875</v>
      </c>
      <c r="C941" s="0" t="n">
        <v>0</v>
      </c>
      <c r="D941" s="0" t="n">
        <v>489.604</v>
      </c>
      <c r="E941" s="0" t="n">
        <f aca="false">D941-0.155</f>
        <v>489.449</v>
      </c>
      <c r="F941" s="0" t="n">
        <v>489.545</v>
      </c>
      <c r="G941" s="0" t="n">
        <f aca="false">IF(E941 - F941 &lt; 0, 0, E941 - F941)</f>
        <v>0</v>
      </c>
      <c r="H941" s="0" t="n">
        <v>1.82</v>
      </c>
      <c r="I941" s="0" t="n">
        <f aca="false">1.82*30*(G941^1.5)</f>
        <v>0</v>
      </c>
      <c r="J941" s="0" t="n">
        <f aca="false">I941*60</f>
        <v>0</v>
      </c>
      <c r="K941" s="0" t="n">
        <f aca="false">(I941*86400)/24</f>
        <v>0</v>
      </c>
    </row>
    <row r="942" customFormat="false" ht="16.5" hidden="false" customHeight="false" outlineLevel="0" collapsed="false">
      <c r="A942" s="56" t="n">
        <v>45873.9166666667</v>
      </c>
      <c r="B942" s="57" t="n">
        <f aca="false">MOD(A942,1)</f>
        <v>0.916666666656965</v>
      </c>
      <c r="C942" s="0" t="n">
        <v>0</v>
      </c>
      <c r="D942" s="0" t="n">
        <v>489.605</v>
      </c>
      <c r="E942" s="0" t="n">
        <f aca="false">D942-0.155</f>
        <v>489.45</v>
      </c>
      <c r="F942" s="0" t="n">
        <v>489.545</v>
      </c>
      <c r="G942" s="0" t="n">
        <f aca="false">IF(E942 - F942 &lt; 0, 0, E942 - F942)</f>
        <v>0</v>
      </c>
      <c r="H942" s="0" t="n">
        <v>1.82</v>
      </c>
      <c r="I942" s="0" t="n">
        <f aca="false">1.82*30*(G942^1.5)</f>
        <v>0</v>
      </c>
      <c r="J942" s="0" t="n">
        <f aca="false">I942*60</f>
        <v>0</v>
      </c>
      <c r="K942" s="0" t="n">
        <f aca="false">(I942*86400)/24</f>
        <v>0</v>
      </c>
    </row>
    <row r="943" customFormat="false" ht="16.5" hidden="false" customHeight="false" outlineLevel="0" collapsed="false">
      <c r="A943" s="56" t="n">
        <v>45873.9583333333</v>
      </c>
      <c r="B943" s="57" t="n">
        <f aca="false">MOD(A943,1)</f>
        <v>0.958333333343035</v>
      </c>
      <c r="C943" s="0" t="n">
        <v>0</v>
      </c>
      <c r="D943" s="0" t="n">
        <v>489.605</v>
      </c>
      <c r="E943" s="0" t="n">
        <f aca="false">D943-0.155</f>
        <v>489.45</v>
      </c>
      <c r="F943" s="0" t="n">
        <v>489.545</v>
      </c>
      <c r="G943" s="0" t="n">
        <f aca="false">IF(E943 - F943 &lt; 0, 0, E943 - F943)</f>
        <v>0</v>
      </c>
      <c r="H943" s="0" t="n">
        <v>1.82</v>
      </c>
      <c r="I943" s="0" t="n">
        <f aca="false">1.82*30*(G943^1.5)</f>
        <v>0</v>
      </c>
      <c r="J943" s="0" t="n">
        <f aca="false">I943*60</f>
        <v>0</v>
      </c>
      <c r="K943" s="0" t="n">
        <f aca="false">(I943*86400)/24</f>
        <v>0</v>
      </c>
    </row>
    <row r="944" customFormat="false" ht="16.5" hidden="false" customHeight="false" outlineLevel="0" collapsed="false">
      <c r="A944" s="56" t="n">
        <v>45874</v>
      </c>
      <c r="B944" s="57" t="n">
        <f aca="false">MOD(A944,1)</f>
        <v>0</v>
      </c>
      <c r="C944" s="0" t="n">
        <v>0</v>
      </c>
      <c r="D944" s="0" t="n">
        <v>489.604</v>
      </c>
      <c r="E944" s="0" t="n">
        <f aca="false">D944-0.155</f>
        <v>489.449</v>
      </c>
      <c r="F944" s="0" t="n">
        <v>489.545</v>
      </c>
      <c r="G944" s="0" t="n">
        <f aca="false">IF(E944 - F944 &lt; 0, 0, E944 - F944)</f>
        <v>0</v>
      </c>
      <c r="H944" s="0" t="n">
        <v>1.82</v>
      </c>
      <c r="I944" s="0" t="n">
        <f aca="false">1.82*30*(G944^1.5)</f>
        <v>0</v>
      </c>
      <c r="J944" s="0" t="n">
        <f aca="false">I944*60</f>
        <v>0</v>
      </c>
      <c r="K944" s="0" t="n">
        <f aca="false">(I944*86400)/24</f>
        <v>0</v>
      </c>
    </row>
    <row r="945" customFormat="false" ht="16.5" hidden="false" customHeight="false" outlineLevel="0" collapsed="false">
      <c r="A945" s="56" t="n">
        <v>45874.0416666667</v>
      </c>
      <c r="B945" s="57" t="n">
        <f aca="false">MOD(A945,1)</f>
        <v>0.0416666666569654</v>
      </c>
      <c r="C945" s="0" t="n">
        <v>0</v>
      </c>
      <c r="D945" s="0" t="n">
        <v>489.604</v>
      </c>
      <c r="E945" s="0" t="n">
        <f aca="false">D945-0.155</f>
        <v>489.449</v>
      </c>
      <c r="F945" s="0" t="n">
        <v>489.545</v>
      </c>
      <c r="G945" s="0" t="n">
        <f aca="false">IF(E945 - F945 &lt; 0, 0, E945 - F945)</f>
        <v>0</v>
      </c>
      <c r="H945" s="0" t="n">
        <v>1.82</v>
      </c>
      <c r="I945" s="0" t="n">
        <f aca="false">1.82*30*(G945^1.5)</f>
        <v>0</v>
      </c>
      <c r="J945" s="0" t="n">
        <f aca="false">I945*60</f>
        <v>0</v>
      </c>
      <c r="K945" s="0" t="n">
        <f aca="false">(I945*86400)/24</f>
        <v>0</v>
      </c>
    </row>
    <row r="946" customFormat="false" ht="16.5" hidden="false" customHeight="false" outlineLevel="0" collapsed="false">
      <c r="A946" s="56" t="n">
        <v>45874.0833333333</v>
      </c>
      <c r="B946" s="57" t="n">
        <f aca="false">MOD(A946,1)</f>
        <v>0.0833333333430346</v>
      </c>
      <c r="C946" s="0" t="n">
        <v>0</v>
      </c>
      <c r="D946" s="0" t="n">
        <v>489.598</v>
      </c>
      <c r="E946" s="0" t="n">
        <f aca="false">D946-0.155</f>
        <v>489.443</v>
      </c>
      <c r="F946" s="0" t="n">
        <v>489.545</v>
      </c>
      <c r="G946" s="0" t="n">
        <f aca="false">IF(E946 - F946 &lt; 0, 0, E946 - F946)</f>
        <v>0</v>
      </c>
      <c r="H946" s="0" t="n">
        <v>1.82</v>
      </c>
      <c r="I946" s="0" t="n">
        <f aca="false">1.82*30*(G946^1.5)</f>
        <v>0</v>
      </c>
      <c r="J946" s="0" t="n">
        <f aca="false">I946*60</f>
        <v>0</v>
      </c>
      <c r="K946" s="0" t="n">
        <f aca="false">(I946*86400)/24</f>
        <v>0</v>
      </c>
    </row>
    <row r="947" customFormat="false" ht="16.5" hidden="false" customHeight="false" outlineLevel="0" collapsed="false">
      <c r="A947" s="56" t="n">
        <v>45874.125</v>
      </c>
      <c r="B947" s="57" t="n">
        <f aca="false">MOD(A947,1)</f>
        <v>0.125</v>
      </c>
      <c r="C947" s="0" t="n">
        <v>0</v>
      </c>
      <c r="D947" s="0" t="n">
        <v>489.598</v>
      </c>
      <c r="E947" s="0" t="n">
        <f aca="false">D947-0.155</f>
        <v>489.443</v>
      </c>
      <c r="F947" s="0" t="n">
        <v>489.545</v>
      </c>
      <c r="G947" s="0" t="n">
        <f aca="false">IF(E947 - F947 &lt; 0, 0, E947 - F947)</f>
        <v>0</v>
      </c>
      <c r="H947" s="0" t="n">
        <v>1.82</v>
      </c>
      <c r="I947" s="0" t="n">
        <f aca="false">1.82*30*(G947^1.5)</f>
        <v>0</v>
      </c>
      <c r="J947" s="0" t="n">
        <f aca="false">I947*60</f>
        <v>0</v>
      </c>
      <c r="K947" s="0" t="n">
        <f aca="false">(I947*86400)/24</f>
        <v>0</v>
      </c>
    </row>
    <row r="948" customFormat="false" ht="16.5" hidden="false" customHeight="false" outlineLevel="0" collapsed="false">
      <c r="A948" s="56" t="n">
        <v>45874.1666666667</v>
      </c>
      <c r="B948" s="57" t="n">
        <f aca="false">MOD(A948,1)</f>
        <v>0.166666666656965</v>
      </c>
      <c r="C948" s="0" t="n">
        <v>0</v>
      </c>
      <c r="D948" s="0" t="n">
        <v>489.598</v>
      </c>
      <c r="E948" s="0" t="n">
        <f aca="false">D948-0.155</f>
        <v>489.443</v>
      </c>
      <c r="F948" s="0" t="n">
        <v>489.545</v>
      </c>
      <c r="G948" s="0" t="n">
        <f aca="false">IF(E948 - F948 &lt; 0, 0, E948 - F948)</f>
        <v>0</v>
      </c>
      <c r="H948" s="0" t="n">
        <v>1.82</v>
      </c>
      <c r="I948" s="0" t="n">
        <f aca="false">1.82*30*(G948^1.5)</f>
        <v>0</v>
      </c>
      <c r="J948" s="0" t="n">
        <f aca="false">I948*60</f>
        <v>0</v>
      </c>
      <c r="K948" s="0" t="n">
        <f aca="false">(I948*86400)/24</f>
        <v>0</v>
      </c>
    </row>
    <row r="949" customFormat="false" ht="16.5" hidden="false" customHeight="false" outlineLevel="0" collapsed="false">
      <c r="A949" s="56" t="n">
        <v>45874.2083333333</v>
      </c>
      <c r="B949" s="57" t="n">
        <f aca="false">MOD(A949,1)</f>
        <v>0.208333333343035</v>
      </c>
      <c r="C949" s="0" t="n">
        <v>0</v>
      </c>
      <c r="D949" s="0" t="n">
        <v>489.598</v>
      </c>
      <c r="E949" s="0" t="n">
        <f aca="false">D949-0.155</f>
        <v>489.443</v>
      </c>
      <c r="F949" s="0" t="n">
        <v>489.545</v>
      </c>
      <c r="G949" s="0" t="n">
        <f aca="false">IF(E949 - F949 &lt; 0, 0, E949 - F949)</f>
        <v>0</v>
      </c>
      <c r="H949" s="0" t="n">
        <v>1.82</v>
      </c>
      <c r="I949" s="0" t="n">
        <f aca="false">1.82*30*(G949^1.5)</f>
        <v>0</v>
      </c>
      <c r="J949" s="0" t="n">
        <f aca="false">I949*60</f>
        <v>0</v>
      </c>
      <c r="K949" s="0" t="n">
        <f aca="false">(I949*86400)/24</f>
        <v>0</v>
      </c>
    </row>
    <row r="950" customFormat="false" ht="16.5" hidden="false" customHeight="false" outlineLevel="0" collapsed="false">
      <c r="A950" s="56" t="n">
        <v>45874.25</v>
      </c>
      <c r="B950" s="57" t="n">
        <f aca="false">MOD(A950,1)</f>
        <v>0.25</v>
      </c>
      <c r="C950" s="0" t="n">
        <v>0</v>
      </c>
      <c r="D950" s="0" t="n">
        <v>489.592</v>
      </c>
      <c r="E950" s="0" t="n">
        <f aca="false">D950-0.155</f>
        <v>489.437</v>
      </c>
      <c r="F950" s="0" t="n">
        <v>489.545</v>
      </c>
      <c r="G950" s="0" t="n">
        <f aca="false">IF(E950 - F950 &lt; 0, 0, E950 - F950)</f>
        <v>0</v>
      </c>
      <c r="H950" s="0" t="n">
        <v>1.82</v>
      </c>
      <c r="I950" s="0" t="n">
        <f aca="false">1.82*30*(G950^1.5)</f>
        <v>0</v>
      </c>
      <c r="J950" s="0" t="n">
        <f aca="false">I950*60</f>
        <v>0</v>
      </c>
      <c r="K950" s="0" t="n">
        <f aca="false">(I950*86400)/24</f>
        <v>0</v>
      </c>
    </row>
    <row r="951" customFormat="false" ht="16.5" hidden="false" customHeight="false" outlineLevel="0" collapsed="false">
      <c r="A951" s="56" t="n">
        <v>45874.2916666667</v>
      </c>
      <c r="B951" s="57" t="n">
        <f aca="false">MOD(A951,1)</f>
        <v>0.291666666656965</v>
      </c>
      <c r="C951" s="0" t="n">
        <v>0</v>
      </c>
      <c r="D951" s="0" t="n">
        <v>489.592</v>
      </c>
      <c r="E951" s="0" t="n">
        <f aca="false">D951-0.155</f>
        <v>489.437</v>
      </c>
      <c r="F951" s="0" t="n">
        <v>489.545</v>
      </c>
      <c r="G951" s="0" t="n">
        <f aca="false">IF(E951 - F951 &lt; 0, 0, E951 - F951)</f>
        <v>0</v>
      </c>
      <c r="H951" s="0" t="n">
        <v>1.82</v>
      </c>
      <c r="I951" s="0" t="n">
        <f aca="false">1.82*30*(G951^1.5)</f>
        <v>0</v>
      </c>
      <c r="J951" s="0" t="n">
        <f aca="false">I951*60</f>
        <v>0</v>
      </c>
      <c r="K951" s="0" t="n">
        <f aca="false">(I951*86400)/24</f>
        <v>0</v>
      </c>
    </row>
    <row r="952" customFormat="false" ht="16.5" hidden="false" customHeight="false" outlineLevel="0" collapsed="false">
      <c r="A952" s="56" t="n">
        <v>45874.3333333333</v>
      </c>
      <c r="B952" s="57" t="n">
        <f aca="false">MOD(A952,1)</f>
        <v>0.333333333343035</v>
      </c>
      <c r="C952" s="0" t="n">
        <v>0</v>
      </c>
      <c r="D952" s="0" t="n">
        <v>489.591</v>
      </c>
      <c r="E952" s="0" t="n">
        <f aca="false">D952-0.155</f>
        <v>489.436</v>
      </c>
      <c r="F952" s="0" t="n">
        <v>489.545</v>
      </c>
      <c r="G952" s="0" t="n">
        <f aca="false">IF(E952 - F952 &lt; 0, 0, E952 - F952)</f>
        <v>0</v>
      </c>
      <c r="H952" s="0" t="n">
        <v>1.82</v>
      </c>
      <c r="I952" s="0" t="n">
        <f aca="false">1.82*30*(G952^1.5)</f>
        <v>0</v>
      </c>
      <c r="J952" s="0" t="n">
        <f aca="false">I952*60</f>
        <v>0</v>
      </c>
      <c r="K952" s="0" t="n">
        <f aca="false">(I952*86400)/24</f>
        <v>0</v>
      </c>
    </row>
    <row r="953" customFormat="false" ht="16.5" hidden="false" customHeight="false" outlineLevel="0" collapsed="false">
      <c r="A953" s="56" t="n">
        <v>45874.375</v>
      </c>
      <c r="B953" s="57" t="n">
        <f aca="false">MOD(A953,1)</f>
        <v>0.375</v>
      </c>
      <c r="C953" s="0" t="n">
        <v>0</v>
      </c>
      <c r="D953" s="0" t="n">
        <v>489.585</v>
      </c>
      <c r="E953" s="0" t="n">
        <f aca="false">D953-0.155</f>
        <v>489.43</v>
      </c>
      <c r="F953" s="0" t="n">
        <v>489.545</v>
      </c>
      <c r="G953" s="0" t="n">
        <f aca="false">IF(E953 - F953 &lt; 0, 0, E953 - F953)</f>
        <v>0</v>
      </c>
      <c r="H953" s="0" t="n">
        <v>1.82</v>
      </c>
      <c r="I953" s="0" t="n">
        <f aca="false">1.82*30*(G953^1.5)</f>
        <v>0</v>
      </c>
      <c r="J953" s="0" t="n">
        <f aca="false">I953*60</f>
        <v>0</v>
      </c>
      <c r="K953" s="0" t="n">
        <f aca="false">(I953*86400)/24</f>
        <v>0</v>
      </c>
    </row>
    <row r="954" customFormat="false" ht="16.5" hidden="false" customHeight="false" outlineLevel="0" collapsed="false">
      <c r="A954" s="56" t="n">
        <v>45874.4166666667</v>
      </c>
      <c r="B954" s="57" t="n">
        <f aca="false">MOD(A954,1)</f>
        <v>0.416666666656965</v>
      </c>
      <c r="C954" s="0" t="n">
        <v>0</v>
      </c>
      <c r="D954" s="0" t="n">
        <v>489.585</v>
      </c>
      <c r="E954" s="0" t="n">
        <f aca="false">D954-0.155</f>
        <v>489.43</v>
      </c>
      <c r="F954" s="0" t="n">
        <v>489.545</v>
      </c>
      <c r="G954" s="0" t="n">
        <f aca="false">IF(E954 - F954 &lt; 0, 0, E954 - F954)</f>
        <v>0</v>
      </c>
      <c r="H954" s="0" t="n">
        <v>1.82</v>
      </c>
      <c r="I954" s="0" t="n">
        <f aca="false">1.82*30*(G954^1.5)</f>
        <v>0</v>
      </c>
      <c r="J954" s="0" t="n">
        <f aca="false">I954*60</f>
        <v>0</v>
      </c>
      <c r="K954" s="0" t="n">
        <f aca="false">(I954*86400)/24</f>
        <v>0</v>
      </c>
    </row>
    <row r="955" customFormat="false" ht="16.5" hidden="false" customHeight="false" outlineLevel="0" collapsed="false">
      <c r="A955" s="56" t="n">
        <v>45874.4583333333</v>
      </c>
      <c r="B955" s="57" t="n">
        <f aca="false">MOD(A955,1)</f>
        <v>0.458333333343035</v>
      </c>
      <c r="C955" s="0" t="n">
        <v>0</v>
      </c>
      <c r="D955" s="0" t="n">
        <v>489.585</v>
      </c>
      <c r="E955" s="0" t="n">
        <f aca="false">D955-0.155</f>
        <v>489.43</v>
      </c>
      <c r="F955" s="0" t="n">
        <v>489.545</v>
      </c>
      <c r="G955" s="0" t="n">
        <f aca="false">IF(E955 - F955 &lt; 0, 0, E955 - F955)</f>
        <v>0</v>
      </c>
      <c r="H955" s="0" t="n">
        <v>1.82</v>
      </c>
      <c r="I955" s="0" t="n">
        <f aca="false">1.82*30*(G955^1.5)</f>
        <v>0</v>
      </c>
      <c r="J955" s="0" t="n">
        <f aca="false">I955*60</f>
        <v>0</v>
      </c>
      <c r="K955" s="0" t="n">
        <f aca="false">(I955*86400)/24</f>
        <v>0</v>
      </c>
    </row>
    <row r="956" customFormat="false" ht="16.5" hidden="false" customHeight="false" outlineLevel="0" collapsed="false">
      <c r="A956" s="56" t="n">
        <v>45874.5</v>
      </c>
      <c r="B956" s="57" t="n">
        <f aca="false">MOD(A956,1)</f>
        <v>0.5</v>
      </c>
      <c r="C956" s="0" t="n">
        <v>0</v>
      </c>
      <c r="D956" s="0" t="n">
        <v>489.585</v>
      </c>
      <c r="E956" s="0" t="n">
        <f aca="false">D956-0.155</f>
        <v>489.43</v>
      </c>
      <c r="F956" s="0" t="n">
        <v>489.545</v>
      </c>
      <c r="G956" s="0" t="n">
        <f aca="false">IF(E956 - F956 &lt; 0, 0, E956 - F956)</f>
        <v>0</v>
      </c>
      <c r="H956" s="0" t="n">
        <v>1.82</v>
      </c>
      <c r="I956" s="0" t="n">
        <f aca="false">1.82*30*(G956^1.5)</f>
        <v>0</v>
      </c>
      <c r="J956" s="0" t="n">
        <f aca="false">I956*60</f>
        <v>0</v>
      </c>
      <c r="K956" s="0" t="n">
        <f aca="false">(I956*86400)/24</f>
        <v>0</v>
      </c>
    </row>
    <row r="957" customFormat="false" ht="16.5" hidden="false" customHeight="false" outlineLevel="0" collapsed="false">
      <c r="A957" s="56" t="n">
        <v>45874.5416666667</v>
      </c>
      <c r="B957" s="57" t="n">
        <f aca="false">MOD(A957,1)</f>
        <v>0.541666666656965</v>
      </c>
      <c r="C957" s="0" t="n">
        <v>0</v>
      </c>
      <c r="D957" s="0" t="n">
        <v>489.579</v>
      </c>
      <c r="E957" s="0" t="n">
        <f aca="false">D957-0.155</f>
        <v>489.424</v>
      </c>
      <c r="F957" s="0" t="n">
        <v>489.545</v>
      </c>
      <c r="G957" s="0" t="n">
        <f aca="false">IF(E957 - F957 &lt; 0, 0, E957 - F957)</f>
        <v>0</v>
      </c>
      <c r="H957" s="0" t="n">
        <v>1.82</v>
      </c>
      <c r="I957" s="0" t="n">
        <f aca="false">1.82*30*(G957^1.5)</f>
        <v>0</v>
      </c>
      <c r="J957" s="0" t="n">
        <f aca="false">I957*60</f>
        <v>0</v>
      </c>
      <c r="K957" s="0" t="n">
        <f aca="false">(I957*86400)/24</f>
        <v>0</v>
      </c>
    </row>
    <row r="958" customFormat="false" ht="16.5" hidden="false" customHeight="false" outlineLevel="0" collapsed="false">
      <c r="A958" s="56" t="n">
        <v>45874.5833333333</v>
      </c>
      <c r="B958" s="57" t="n">
        <f aca="false">MOD(A958,1)</f>
        <v>0.583333333343035</v>
      </c>
      <c r="C958" s="0" t="n">
        <v>0</v>
      </c>
      <c r="D958" s="0" t="n">
        <v>489.586</v>
      </c>
      <c r="E958" s="0" t="n">
        <f aca="false">D958-0.155</f>
        <v>489.431</v>
      </c>
      <c r="F958" s="0" t="n">
        <v>489.545</v>
      </c>
      <c r="G958" s="0" t="n">
        <f aca="false">IF(E958 - F958 &lt; 0, 0, E958 - F958)</f>
        <v>0</v>
      </c>
      <c r="H958" s="0" t="n">
        <v>1.82</v>
      </c>
      <c r="I958" s="0" t="n">
        <f aca="false">1.82*30*(G958^1.5)</f>
        <v>0</v>
      </c>
      <c r="J958" s="0" t="n">
        <f aca="false">I958*60</f>
        <v>0</v>
      </c>
      <c r="K958" s="0" t="n">
        <f aca="false">(I958*86400)/24</f>
        <v>0</v>
      </c>
    </row>
    <row r="959" customFormat="false" ht="16.5" hidden="false" customHeight="false" outlineLevel="0" collapsed="false">
      <c r="A959" s="56" t="n">
        <v>45874.625</v>
      </c>
      <c r="B959" s="57" t="n">
        <f aca="false">MOD(A959,1)</f>
        <v>0.625</v>
      </c>
      <c r="C959" s="0" t="n">
        <v>0</v>
      </c>
      <c r="D959" s="0" t="n">
        <v>489.585</v>
      </c>
      <c r="E959" s="0" t="n">
        <f aca="false">D959-0.155</f>
        <v>489.43</v>
      </c>
      <c r="F959" s="0" t="n">
        <v>489.545</v>
      </c>
      <c r="G959" s="0" t="n">
        <f aca="false">IF(E959 - F959 &lt; 0, 0, E959 - F959)</f>
        <v>0</v>
      </c>
      <c r="H959" s="0" t="n">
        <v>1.82</v>
      </c>
      <c r="I959" s="0" t="n">
        <f aca="false">1.82*30*(G959^1.5)</f>
        <v>0</v>
      </c>
      <c r="J959" s="0" t="n">
        <f aca="false">I959*60</f>
        <v>0</v>
      </c>
      <c r="K959" s="0" t="n">
        <f aca="false">(I959*86400)/24</f>
        <v>0</v>
      </c>
    </row>
    <row r="960" customFormat="false" ht="16.5" hidden="false" customHeight="false" outlineLevel="0" collapsed="false">
      <c r="A960" s="56" t="n">
        <v>45874.6666666667</v>
      </c>
      <c r="B960" s="57" t="n">
        <f aca="false">MOD(A960,1)</f>
        <v>0.666666666656965</v>
      </c>
      <c r="C960" s="0" t="n">
        <v>0</v>
      </c>
      <c r="D960" s="0" t="n">
        <v>489.579</v>
      </c>
      <c r="E960" s="0" t="n">
        <f aca="false">D960-0.155</f>
        <v>489.424</v>
      </c>
      <c r="F960" s="0" t="n">
        <v>489.545</v>
      </c>
      <c r="G960" s="0" t="n">
        <f aca="false">IF(E960 - F960 &lt; 0, 0, E960 - F960)</f>
        <v>0</v>
      </c>
      <c r="H960" s="0" t="n">
        <v>1.82</v>
      </c>
      <c r="I960" s="0" t="n">
        <f aca="false">1.82*30*(G960^1.5)</f>
        <v>0</v>
      </c>
      <c r="J960" s="0" t="n">
        <f aca="false">I960*60</f>
        <v>0</v>
      </c>
      <c r="K960" s="0" t="n">
        <f aca="false">(I960*86400)/24</f>
        <v>0</v>
      </c>
    </row>
    <row r="961" customFormat="false" ht="16.5" hidden="false" customHeight="false" outlineLevel="0" collapsed="false">
      <c r="A961" s="56" t="n">
        <v>45874.7083333333</v>
      </c>
      <c r="B961" s="57" t="n">
        <f aca="false">MOD(A961,1)</f>
        <v>0.708333333343035</v>
      </c>
      <c r="C961" s="0" t="n">
        <v>0</v>
      </c>
      <c r="D961" s="0" t="n">
        <v>489.579</v>
      </c>
      <c r="E961" s="0" t="n">
        <f aca="false">D961-0.155</f>
        <v>489.424</v>
      </c>
      <c r="F961" s="0" t="n">
        <v>489.545</v>
      </c>
      <c r="G961" s="0" t="n">
        <f aca="false">IF(E961 - F961 &lt; 0, 0, E961 - F961)</f>
        <v>0</v>
      </c>
      <c r="H961" s="0" t="n">
        <v>1.82</v>
      </c>
      <c r="I961" s="0" t="n">
        <f aca="false">1.82*30*(G961^1.5)</f>
        <v>0</v>
      </c>
      <c r="J961" s="0" t="n">
        <f aca="false">I961*60</f>
        <v>0</v>
      </c>
      <c r="K961" s="0" t="n">
        <f aca="false">(I961*86400)/24</f>
        <v>0</v>
      </c>
    </row>
    <row r="962" customFormat="false" ht="16.5" hidden="false" customHeight="false" outlineLevel="0" collapsed="false">
      <c r="A962" s="56" t="n">
        <v>45874.75</v>
      </c>
      <c r="B962" s="57" t="n">
        <f aca="false">MOD(A962,1)</f>
        <v>0.75</v>
      </c>
      <c r="C962" s="0" t="n">
        <v>0</v>
      </c>
      <c r="D962" s="0" t="n">
        <v>489.572</v>
      </c>
      <c r="E962" s="0" t="n">
        <f aca="false">D962-0.155</f>
        <v>489.417</v>
      </c>
      <c r="F962" s="0" t="n">
        <v>489.545</v>
      </c>
      <c r="G962" s="0" t="n">
        <f aca="false">IF(E962 - F962 &lt; 0, 0, E962 - F962)</f>
        <v>0</v>
      </c>
      <c r="H962" s="0" t="n">
        <v>1.82</v>
      </c>
      <c r="I962" s="0" t="n">
        <f aca="false">1.82*30*(G962^1.5)</f>
        <v>0</v>
      </c>
      <c r="J962" s="0" t="n">
        <f aca="false">I962*60</f>
        <v>0</v>
      </c>
      <c r="K962" s="0" t="n">
        <f aca="false">(I962*86400)/24</f>
        <v>0</v>
      </c>
    </row>
    <row r="963" customFormat="false" ht="16.5" hidden="false" customHeight="false" outlineLevel="0" collapsed="false">
      <c r="A963" s="56" t="n">
        <v>45874.7916666667</v>
      </c>
      <c r="B963" s="57" t="n">
        <f aca="false">MOD(A963,1)</f>
        <v>0.791666666656965</v>
      </c>
      <c r="C963" s="0" t="n">
        <v>0</v>
      </c>
      <c r="D963" s="0" t="n">
        <v>489.579</v>
      </c>
      <c r="E963" s="0" t="n">
        <f aca="false">D963-0.155</f>
        <v>489.424</v>
      </c>
      <c r="F963" s="0" t="n">
        <v>489.545</v>
      </c>
      <c r="G963" s="0" t="n">
        <f aca="false">IF(E963 - F963 &lt; 0, 0, E963 - F963)</f>
        <v>0</v>
      </c>
      <c r="H963" s="0" t="n">
        <v>1.82</v>
      </c>
      <c r="I963" s="0" t="n">
        <f aca="false">1.82*30*(G963^1.5)</f>
        <v>0</v>
      </c>
      <c r="J963" s="0" t="n">
        <f aca="false">I963*60</f>
        <v>0</v>
      </c>
      <c r="K963" s="0" t="n">
        <f aca="false">(I963*86400)/24</f>
        <v>0</v>
      </c>
    </row>
    <row r="964" customFormat="false" ht="16.5" hidden="false" customHeight="false" outlineLevel="0" collapsed="false">
      <c r="A964" s="56" t="n">
        <v>45874.8333333333</v>
      </c>
      <c r="B964" s="57" t="n">
        <f aca="false">MOD(A964,1)</f>
        <v>0.833333333343035</v>
      </c>
      <c r="C964" s="0" t="n">
        <v>0</v>
      </c>
      <c r="D964" s="0" t="n">
        <v>489.572</v>
      </c>
      <c r="E964" s="0" t="n">
        <f aca="false">D964-0.155</f>
        <v>489.417</v>
      </c>
      <c r="F964" s="0" t="n">
        <v>489.545</v>
      </c>
      <c r="G964" s="0" t="n">
        <f aca="false">IF(E964 - F964 &lt; 0, 0, E964 - F964)</f>
        <v>0</v>
      </c>
      <c r="H964" s="0" t="n">
        <v>1.82</v>
      </c>
      <c r="I964" s="0" t="n">
        <f aca="false">1.82*30*(G964^1.5)</f>
        <v>0</v>
      </c>
      <c r="J964" s="0" t="n">
        <f aca="false">I964*60</f>
        <v>0</v>
      </c>
      <c r="K964" s="0" t="n">
        <f aca="false">(I964*86400)/24</f>
        <v>0</v>
      </c>
    </row>
    <row r="965" customFormat="false" ht="16.5" hidden="false" customHeight="false" outlineLevel="0" collapsed="false">
      <c r="A965" s="56" t="n">
        <v>45874.875</v>
      </c>
      <c r="B965" s="57" t="n">
        <f aca="false">MOD(A965,1)</f>
        <v>0.875</v>
      </c>
      <c r="C965" s="0" t="n">
        <v>0</v>
      </c>
      <c r="D965" s="0" t="n">
        <v>489.572</v>
      </c>
      <c r="E965" s="0" t="n">
        <f aca="false">D965-0.155</f>
        <v>489.417</v>
      </c>
      <c r="F965" s="0" t="n">
        <v>489.545</v>
      </c>
      <c r="G965" s="0" t="n">
        <f aca="false">IF(E965 - F965 &lt; 0, 0, E965 - F965)</f>
        <v>0</v>
      </c>
      <c r="H965" s="0" t="n">
        <v>1.82</v>
      </c>
      <c r="I965" s="0" t="n">
        <f aca="false">1.82*30*(G965^1.5)</f>
        <v>0</v>
      </c>
      <c r="J965" s="0" t="n">
        <f aca="false">I965*60</f>
        <v>0</v>
      </c>
      <c r="K965" s="0" t="n">
        <f aca="false">(I965*86400)/24</f>
        <v>0</v>
      </c>
    </row>
    <row r="966" customFormat="false" ht="16.5" hidden="false" customHeight="false" outlineLevel="0" collapsed="false">
      <c r="A966" s="56" t="n">
        <v>45874.9166666667</v>
      </c>
      <c r="B966" s="57" t="n">
        <f aca="false">MOD(A966,1)</f>
        <v>0.916666666656965</v>
      </c>
      <c r="C966" s="0" t="n">
        <v>0</v>
      </c>
      <c r="D966" s="0" t="n">
        <v>489.573</v>
      </c>
      <c r="E966" s="0" t="n">
        <f aca="false">D966-0.155</f>
        <v>489.418</v>
      </c>
      <c r="F966" s="0" t="n">
        <v>489.545</v>
      </c>
      <c r="G966" s="0" t="n">
        <f aca="false">IF(E966 - F966 &lt; 0, 0, E966 - F966)</f>
        <v>0</v>
      </c>
      <c r="H966" s="0" t="n">
        <v>1.82</v>
      </c>
      <c r="I966" s="0" t="n">
        <f aca="false">1.82*30*(G966^1.5)</f>
        <v>0</v>
      </c>
      <c r="J966" s="0" t="n">
        <f aca="false">I966*60</f>
        <v>0</v>
      </c>
      <c r="K966" s="0" t="n">
        <f aca="false">(I966*86400)/24</f>
        <v>0</v>
      </c>
    </row>
    <row r="967" customFormat="false" ht="16.5" hidden="false" customHeight="false" outlineLevel="0" collapsed="false">
      <c r="A967" s="56" t="n">
        <v>45874.9583333333</v>
      </c>
      <c r="B967" s="57" t="n">
        <f aca="false">MOD(A967,1)</f>
        <v>0.958333333343035</v>
      </c>
      <c r="C967" s="0" t="n">
        <v>0</v>
      </c>
      <c r="D967" s="0" t="n">
        <v>489.573</v>
      </c>
      <c r="E967" s="0" t="n">
        <f aca="false">D967-0.155</f>
        <v>489.418</v>
      </c>
      <c r="F967" s="0" t="n">
        <v>489.545</v>
      </c>
      <c r="G967" s="0" t="n">
        <f aca="false">IF(E967 - F967 &lt; 0, 0, E967 - F967)</f>
        <v>0</v>
      </c>
      <c r="H967" s="0" t="n">
        <v>1.82</v>
      </c>
      <c r="I967" s="0" t="n">
        <f aca="false">1.82*30*(G967^1.5)</f>
        <v>0</v>
      </c>
      <c r="J967" s="0" t="n">
        <f aca="false">I967*60</f>
        <v>0</v>
      </c>
      <c r="K967" s="0" t="n">
        <f aca="false">(I967*86400)/24</f>
        <v>0</v>
      </c>
    </row>
    <row r="968" customFormat="false" ht="16.5" hidden="false" customHeight="false" outlineLevel="0" collapsed="false">
      <c r="A968" s="56" t="n">
        <v>45875</v>
      </c>
      <c r="B968" s="57" t="n">
        <f aca="false">MOD(A968,1)</f>
        <v>0</v>
      </c>
      <c r="C968" s="0" t="n">
        <v>0</v>
      </c>
      <c r="D968" s="0" t="n">
        <v>489.566</v>
      </c>
      <c r="E968" s="0" t="n">
        <f aca="false">D968-0.155</f>
        <v>489.411</v>
      </c>
      <c r="F968" s="0" t="n">
        <v>489.545</v>
      </c>
      <c r="G968" s="0" t="n">
        <f aca="false">IF(E968 - F968 &lt; 0, 0, E968 - F968)</f>
        <v>0</v>
      </c>
      <c r="H968" s="0" t="n">
        <v>1.82</v>
      </c>
      <c r="I968" s="0" t="n">
        <f aca="false">1.82*30*(G968^1.5)</f>
        <v>0</v>
      </c>
      <c r="J968" s="0" t="n">
        <f aca="false">I968*60</f>
        <v>0</v>
      </c>
      <c r="K968" s="0" t="n">
        <f aca="false">(I968*86400)/24</f>
        <v>0</v>
      </c>
    </row>
    <row r="969" customFormat="false" ht="16.5" hidden="false" customHeight="false" outlineLevel="0" collapsed="false">
      <c r="A969" s="56" t="n">
        <v>45875.0416666667</v>
      </c>
      <c r="B969" s="57" t="n">
        <f aca="false">MOD(A969,1)</f>
        <v>0.0416666666569654</v>
      </c>
      <c r="C969" s="0" t="n">
        <v>0</v>
      </c>
      <c r="D969" s="0" t="n">
        <v>489.566</v>
      </c>
      <c r="E969" s="0" t="n">
        <f aca="false">D969-0.155</f>
        <v>489.411</v>
      </c>
      <c r="F969" s="0" t="n">
        <v>489.545</v>
      </c>
      <c r="G969" s="0" t="n">
        <f aca="false">IF(E969 - F969 &lt; 0, 0, E969 - F969)</f>
        <v>0</v>
      </c>
      <c r="H969" s="0" t="n">
        <v>1.82</v>
      </c>
      <c r="I969" s="0" t="n">
        <f aca="false">1.82*30*(G969^1.5)</f>
        <v>0</v>
      </c>
      <c r="J969" s="0" t="n">
        <f aca="false">I969*60</f>
        <v>0</v>
      </c>
      <c r="K969" s="0" t="n">
        <f aca="false">(I969*86400)/24</f>
        <v>0</v>
      </c>
    </row>
    <row r="970" customFormat="false" ht="16.5" hidden="false" customHeight="false" outlineLevel="0" collapsed="false">
      <c r="A970" s="56" t="n">
        <v>45875.0833333333</v>
      </c>
      <c r="B970" s="57" t="n">
        <f aca="false">MOD(A970,1)</f>
        <v>0.0833333333430346</v>
      </c>
      <c r="C970" s="0" t="n">
        <v>0</v>
      </c>
      <c r="D970" s="0" t="n">
        <v>489.566</v>
      </c>
      <c r="E970" s="0" t="n">
        <f aca="false">D970-0.155</f>
        <v>489.411</v>
      </c>
      <c r="F970" s="0" t="n">
        <v>489.545</v>
      </c>
      <c r="G970" s="0" t="n">
        <f aca="false">IF(E970 - F970 &lt; 0, 0, E970 - F970)</f>
        <v>0</v>
      </c>
      <c r="H970" s="0" t="n">
        <v>1.82</v>
      </c>
      <c r="I970" s="0" t="n">
        <f aca="false">1.82*30*(G970^1.5)</f>
        <v>0</v>
      </c>
      <c r="J970" s="0" t="n">
        <f aca="false">I970*60</f>
        <v>0</v>
      </c>
      <c r="K970" s="0" t="n">
        <f aca="false">(I970*86400)/24</f>
        <v>0</v>
      </c>
    </row>
    <row r="971" customFormat="false" ht="16.5" hidden="false" customHeight="false" outlineLevel="0" collapsed="false">
      <c r="A971" s="56" t="n">
        <v>45875.125</v>
      </c>
      <c r="B971" s="57" t="n">
        <f aca="false">MOD(A971,1)</f>
        <v>0.125</v>
      </c>
      <c r="C971" s="0" t="n">
        <v>0</v>
      </c>
      <c r="D971" s="0" t="n">
        <v>489.566</v>
      </c>
      <c r="E971" s="0" t="n">
        <f aca="false">D971-0.155</f>
        <v>489.411</v>
      </c>
      <c r="F971" s="0" t="n">
        <v>489.545</v>
      </c>
      <c r="G971" s="0" t="n">
        <f aca="false">IF(E971 - F971 &lt; 0, 0, E971 - F971)</f>
        <v>0</v>
      </c>
      <c r="H971" s="0" t="n">
        <v>1.82</v>
      </c>
      <c r="I971" s="0" t="n">
        <f aca="false">1.82*30*(G971^1.5)</f>
        <v>0</v>
      </c>
      <c r="J971" s="0" t="n">
        <f aca="false">I971*60</f>
        <v>0</v>
      </c>
      <c r="K971" s="0" t="n">
        <f aca="false">(I971*86400)/24</f>
        <v>0</v>
      </c>
    </row>
    <row r="972" customFormat="false" ht="16.5" hidden="false" customHeight="false" outlineLevel="0" collapsed="false">
      <c r="A972" s="56" t="n">
        <v>45875.1666666667</v>
      </c>
      <c r="B972" s="57" t="n">
        <f aca="false">MOD(A972,1)</f>
        <v>0.166666666656965</v>
      </c>
      <c r="C972" s="0" t="n">
        <v>0</v>
      </c>
      <c r="D972" s="0" t="n">
        <v>489.56</v>
      </c>
      <c r="E972" s="0" t="n">
        <f aca="false">D972-0.155</f>
        <v>489.405</v>
      </c>
      <c r="F972" s="0" t="n">
        <v>489.545</v>
      </c>
      <c r="G972" s="0" t="n">
        <f aca="false">IF(E972 - F972 &lt; 0, 0, E972 - F972)</f>
        <v>0</v>
      </c>
      <c r="H972" s="0" t="n">
        <v>1.82</v>
      </c>
      <c r="I972" s="0" t="n">
        <f aca="false">1.82*30*(G972^1.5)</f>
        <v>0</v>
      </c>
      <c r="J972" s="0" t="n">
        <f aca="false">I972*60</f>
        <v>0</v>
      </c>
      <c r="K972" s="0" t="n">
        <f aca="false">(I972*86400)/24</f>
        <v>0</v>
      </c>
    </row>
    <row r="973" customFormat="false" ht="16.5" hidden="false" customHeight="false" outlineLevel="0" collapsed="false">
      <c r="A973" s="56" t="n">
        <v>45875.2083333333</v>
      </c>
      <c r="B973" s="57" t="n">
        <f aca="false">MOD(A973,1)</f>
        <v>0.208333333343035</v>
      </c>
      <c r="C973" s="0" t="n">
        <v>0</v>
      </c>
      <c r="D973" s="0" t="n">
        <v>489.56</v>
      </c>
      <c r="E973" s="0" t="n">
        <f aca="false">D973-0.155</f>
        <v>489.405</v>
      </c>
      <c r="F973" s="0" t="n">
        <v>489.545</v>
      </c>
      <c r="G973" s="0" t="n">
        <f aca="false">IF(E973 - F973 &lt; 0, 0, E973 - F973)</f>
        <v>0</v>
      </c>
      <c r="H973" s="0" t="n">
        <v>1.82</v>
      </c>
      <c r="I973" s="0" t="n">
        <f aca="false">1.82*30*(G973^1.5)</f>
        <v>0</v>
      </c>
      <c r="J973" s="0" t="n">
        <f aca="false">I973*60</f>
        <v>0</v>
      </c>
      <c r="K973" s="0" t="n">
        <f aca="false">(I973*86400)/24</f>
        <v>0</v>
      </c>
    </row>
    <row r="974" customFormat="false" ht="16.5" hidden="false" customHeight="false" outlineLevel="0" collapsed="false">
      <c r="A974" s="56" t="n">
        <v>45875.25</v>
      </c>
      <c r="B974" s="57" t="n">
        <f aca="false">MOD(A974,1)</f>
        <v>0.25</v>
      </c>
      <c r="C974" s="0" t="n">
        <v>0</v>
      </c>
      <c r="D974" s="0" t="n">
        <v>489.56</v>
      </c>
      <c r="E974" s="0" t="n">
        <f aca="false">D974-0.155</f>
        <v>489.405</v>
      </c>
      <c r="F974" s="0" t="n">
        <v>489.545</v>
      </c>
      <c r="G974" s="0" t="n">
        <f aca="false">IF(E974 - F974 &lt; 0, 0, E974 - F974)</f>
        <v>0</v>
      </c>
      <c r="H974" s="0" t="n">
        <v>1.82</v>
      </c>
      <c r="I974" s="0" t="n">
        <f aca="false">1.82*30*(G974^1.5)</f>
        <v>0</v>
      </c>
      <c r="J974" s="0" t="n">
        <f aca="false">I974*60</f>
        <v>0</v>
      </c>
      <c r="K974" s="0" t="n">
        <f aca="false">(I974*86400)/24</f>
        <v>0</v>
      </c>
    </row>
    <row r="975" customFormat="false" ht="16.5" hidden="false" customHeight="false" outlineLevel="0" collapsed="false">
      <c r="A975" s="56" t="n">
        <v>45875.2916666667</v>
      </c>
      <c r="B975" s="57" t="n">
        <f aca="false">MOD(A975,1)</f>
        <v>0.291666666656965</v>
      </c>
      <c r="C975" s="0" t="n">
        <v>0</v>
      </c>
      <c r="D975" s="0" t="n">
        <v>489.56</v>
      </c>
      <c r="E975" s="0" t="n">
        <f aca="false">D975-0.155</f>
        <v>489.405</v>
      </c>
      <c r="F975" s="0" t="n">
        <v>489.545</v>
      </c>
      <c r="G975" s="0" t="n">
        <f aca="false">IF(E975 - F975 &lt; 0, 0, E975 - F975)</f>
        <v>0</v>
      </c>
      <c r="H975" s="0" t="n">
        <v>1.82</v>
      </c>
      <c r="I975" s="0" t="n">
        <f aca="false">1.82*30*(G975^1.5)</f>
        <v>0</v>
      </c>
      <c r="J975" s="0" t="n">
        <f aca="false">I975*60</f>
        <v>0</v>
      </c>
      <c r="K975" s="0" t="n">
        <f aca="false">(I975*86400)/24</f>
        <v>0</v>
      </c>
    </row>
    <row r="976" customFormat="false" ht="16.5" hidden="false" customHeight="false" outlineLevel="0" collapsed="false">
      <c r="A976" s="56" t="n">
        <v>45875.3333333333</v>
      </c>
      <c r="B976" s="57" t="n">
        <f aca="false">MOD(A976,1)</f>
        <v>0.333333333343035</v>
      </c>
      <c r="C976" s="0" t="n">
        <v>0</v>
      </c>
      <c r="D976" s="0" t="n">
        <v>489.553</v>
      </c>
      <c r="E976" s="0" t="n">
        <f aca="false">D976-0.155</f>
        <v>489.398</v>
      </c>
      <c r="F976" s="0" t="n">
        <v>489.545</v>
      </c>
      <c r="G976" s="0" t="n">
        <f aca="false">IF(E976 - F976 &lt; 0, 0, E976 - F976)</f>
        <v>0</v>
      </c>
      <c r="H976" s="0" t="n">
        <v>1.82</v>
      </c>
      <c r="I976" s="0" t="n">
        <f aca="false">1.82*30*(G976^1.5)</f>
        <v>0</v>
      </c>
      <c r="J976" s="0" t="n">
        <f aca="false">I976*60</f>
        <v>0</v>
      </c>
      <c r="K976" s="0" t="n">
        <f aca="false">(I976*86400)/24</f>
        <v>0</v>
      </c>
    </row>
    <row r="977" customFormat="false" ht="16.5" hidden="false" customHeight="false" outlineLevel="0" collapsed="false">
      <c r="A977" s="56" t="n">
        <v>45875.375</v>
      </c>
      <c r="B977" s="57" t="n">
        <f aca="false">MOD(A977,1)</f>
        <v>0.375</v>
      </c>
      <c r="C977" s="0" t="n">
        <v>0</v>
      </c>
      <c r="D977" s="0" t="n">
        <v>489.56</v>
      </c>
      <c r="E977" s="0" t="n">
        <f aca="false">D977-0.155</f>
        <v>489.405</v>
      </c>
      <c r="F977" s="0" t="n">
        <v>489.545</v>
      </c>
      <c r="G977" s="0" t="n">
        <f aca="false">IF(E977 - F977 &lt; 0, 0, E977 - F977)</f>
        <v>0</v>
      </c>
      <c r="H977" s="0" t="n">
        <v>1.82</v>
      </c>
      <c r="I977" s="0" t="n">
        <f aca="false">1.82*30*(G977^1.5)</f>
        <v>0</v>
      </c>
      <c r="J977" s="0" t="n">
        <f aca="false">I977*60</f>
        <v>0</v>
      </c>
      <c r="K977" s="0" t="n">
        <f aca="false">(I977*86400)/24</f>
        <v>0</v>
      </c>
    </row>
    <row r="978" customFormat="false" ht="16.5" hidden="false" customHeight="false" outlineLevel="0" collapsed="false">
      <c r="A978" s="56" t="n">
        <v>45875.4166666667</v>
      </c>
      <c r="B978" s="57" t="n">
        <f aca="false">MOD(A978,1)</f>
        <v>0.416666666656965</v>
      </c>
      <c r="C978" s="0" t="n">
        <v>0</v>
      </c>
      <c r="D978" s="0" t="n">
        <v>489.553</v>
      </c>
      <c r="E978" s="0" t="n">
        <f aca="false">D978-0.155</f>
        <v>489.398</v>
      </c>
      <c r="F978" s="0" t="n">
        <v>489.545</v>
      </c>
      <c r="G978" s="0" t="n">
        <f aca="false">IF(E978 - F978 &lt; 0, 0, E978 - F978)</f>
        <v>0</v>
      </c>
      <c r="H978" s="0" t="n">
        <v>1.82</v>
      </c>
      <c r="I978" s="0" t="n">
        <f aca="false">1.82*30*(G978^1.5)</f>
        <v>0</v>
      </c>
      <c r="J978" s="0" t="n">
        <f aca="false">I978*60</f>
        <v>0</v>
      </c>
      <c r="K978" s="0" t="n">
        <f aca="false">(I978*86400)/24</f>
        <v>0</v>
      </c>
    </row>
    <row r="979" customFormat="false" ht="16.5" hidden="false" customHeight="false" outlineLevel="0" collapsed="false">
      <c r="A979" s="56" t="n">
        <v>45875.4583333333</v>
      </c>
      <c r="B979" s="57" t="n">
        <f aca="false">MOD(A979,1)</f>
        <v>0.458333333343035</v>
      </c>
      <c r="C979" s="0" t="n">
        <v>0</v>
      </c>
      <c r="D979" s="0" t="n">
        <v>489.552</v>
      </c>
      <c r="E979" s="0" t="n">
        <f aca="false">D979-0.155</f>
        <v>489.397</v>
      </c>
      <c r="F979" s="0" t="n">
        <v>489.545</v>
      </c>
      <c r="G979" s="0" t="n">
        <f aca="false">IF(E979 - F979 &lt; 0, 0, E979 - F979)</f>
        <v>0</v>
      </c>
      <c r="H979" s="0" t="n">
        <v>1.82</v>
      </c>
      <c r="I979" s="0" t="n">
        <f aca="false">1.82*30*(G979^1.5)</f>
        <v>0</v>
      </c>
      <c r="J979" s="0" t="n">
        <f aca="false">I979*60</f>
        <v>0</v>
      </c>
      <c r="K979" s="0" t="n">
        <f aca="false">(I979*86400)/24</f>
        <v>0</v>
      </c>
    </row>
    <row r="980" customFormat="false" ht="16.5" hidden="false" customHeight="false" outlineLevel="0" collapsed="false">
      <c r="A980" s="56" t="n">
        <v>45875.5</v>
      </c>
      <c r="B980" s="57" t="n">
        <f aca="false">MOD(A980,1)</f>
        <v>0.5</v>
      </c>
      <c r="C980" s="0" t="n">
        <v>0</v>
      </c>
      <c r="D980" s="0" t="n">
        <v>489.552</v>
      </c>
      <c r="E980" s="0" t="n">
        <f aca="false">D980-0.155</f>
        <v>489.397</v>
      </c>
      <c r="F980" s="0" t="n">
        <v>489.545</v>
      </c>
      <c r="G980" s="0" t="n">
        <f aca="false">IF(E980 - F980 &lt; 0, 0, E980 - F980)</f>
        <v>0</v>
      </c>
      <c r="H980" s="0" t="n">
        <v>1.82</v>
      </c>
      <c r="I980" s="0" t="n">
        <f aca="false">1.82*30*(G980^1.5)</f>
        <v>0</v>
      </c>
      <c r="J980" s="0" t="n">
        <f aca="false">I980*60</f>
        <v>0</v>
      </c>
      <c r="K980" s="0" t="n">
        <f aca="false">(I980*86400)/24</f>
        <v>0</v>
      </c>
    </row>
    <row r="981" customFormat="false" ht="16.5" hidden="false" customHeight="false" outlineLevel="0" collapsed="false">
      <c r="A981" s="56" t="n">
        <v>45875.5416666667</v>
      </c>
      <c r="B981" s="57" t="n">
        <f aca="false">MOD(A981,1)</f>
        <v>0.541666666656965</v>
      </c>
      <c r="C981" s="0" t="n">
        <v>0</v>
      </c>
      <c r="D981" s="0" t="n">
        <v>489.546</v>
      </c>
      <c r="E981" s="0" t="n">
        <f aca="false">D981-0.155</f>
        <v>489.391</v>
      </c>
      <c r="F981" s="0" t="n">
        <v>489.545</v>
      </c>
      <c r="G981" s="0" t="n">
        <f aca="false">IF(E981 - F981 &lt; 0, 0, E981 - F981)</f>
        <v>0</v>
      </c>
      <c r="H981" s="0" t="n">
        <v>1.82</v>
      </c>
      <c r="I981" s="0" t="n">
        <f aca="false">1.82*30*(G981^1.5)</f>
        <v>0</v>
      </c>
      <c r="J981" s="0" t="n">
        <f aca="false">I981*60</f>
        <v>0</v>
      </c>
      <c r="K981" s="0" t="n">
        <f aca="false">(I981*86400)/24</f>
        <v>0</v>
      </c>
    </row>
    <row r="982" customFormat="false" ht="16.5" hidden="false" customHeight="false" outlineLevel="0" collapsed="false">
      <c r="A982" s="56" t="n">
        <v>45875.5833333333</v>
      </c>
      <c r="B982" s="57" t="n">
        <f aca="false">MOD(A982,1)</f>
        <v>0.583333333343035</v>
      </c>
      <c r="C982" s="0" t="n">
        <v>0</v>
      </c>
      <c r="D982" s="0" t="n">
        <v>489.546</v>
      </c>
      <c r="E982" s="0" t="n">
        <f aca="false">D982-0.155</f>
        <v>489.391</v>
      </c>
      <c r="F982" s="0" t="n">
        <v>489.545</v>
      </c>
      <c r="G982" s="0" t="n">
        <f aca="false">IF(E982 - F982 &lt; 0, 0, E982 - F982)</f>
        <v>0</v>
      </c>
      <c r="H982" s="0" t="n">
        <v>1.82</v>
      </c>
      <c r="I982" s="0" t="n">
        <f aca="false">1.82*30*(G982^1.5)</f>
        <v>0</v>
      </c>
      <c r="J982" s="0" t="n">
        <f aca="false">I982*60</f>
        <v>0</v>
      </c>
      <c r="K982" s="0" t="n">
        <f aca="false">(I982*86400)/24</f>
        <v>0</v>
      </c>
    </row>
    <row r="983" customFormat="false" ht="16.5" hidden="false" customHeight="false" outlineLevel="0" collapsed="false">
      <c r="A983" s="56" t="n">
        <v>45875.625</v>
      </c>
      <c r="B983" s="57" t="n">
        <f aca="false">MOD(A983,1)</f>
        <v>0.625</v>
      </c>
      <c r="C983" s="0" t="n">
        <v>0</v>
      </c>
      <c r="D983" s="0" t="n">
        <v>489.546</v>
      </c>
      <c r="E983" s="0" t="n">
        <f aca="false">D983-0.155</f>
        <v>489.391</v>
      </c>
      <c r="F983" s="0" t="n">
        <v>489.545</v>
      </c>
      <c r="G983" s="0" t="n">
        <f aca="false">IF(E983 - F983 &lt; 0, 0, E983 - F983)</f>
        <v>0</v>
      </c>
      <c r="H983" s="0" t="n">
        <v>1.82</v>
      </c>
      <c r="I983" s="0" t="n">
        <f aca="false">1.82*30*(G983^1.5)</f>
        <v>0</v>
      </c>
      <c r="J983" s="0" t="n">
        <f aca="false">I983*60</f>
        <v>0</v>
      </c>
      <c r="K983" s="0" t="n">
        <f aca="false">(I983*86400)/24</f>
        <v>0</v>
      </c>
    </row>
    <row r="984" customFormat="false" ht="16.5" hidden="false" customHeight="false" outlineLevel="0" collapsed="false">
      <c r="A984" s="56" t="n">
        <v>45875.6666666667</v>
      </c>
      <c r="B984" s="57" t="n">
        <f aca="false">MOD(A984,1)</f>
        <v>0.666666666656965</v>
      </c>
      <c r="C984" s="0" t="n">
        <v>0</v>
      </c>
      <c r="D984" s="0" t="n">
        <v>489.546</v>
      </c>
      <c r="E984" s="0" t="n">
        <f aca="false">D984-0.155</f>
        <v>489.391</v>
      </c>
      <c r="F984" s="0" t="n">
        <v>489.545</v>
      </c>
      <c r="G984" s="0" t="n">
        <f aca="false">IF(E984 - F984 &lt; 0, 0, E984 - F984)</f>
        <v>0</v>
      </c>
      <c r="H984" s="0" t="n">
        <v>1.82</v>
      </c>
      <c r="I984" s="0" t="n">
        <f aca="false">1.82*30*(G984^1.5)</f>
        <v>0</v>
      </c>
      <c r="J984" s="0" t="n">
        <f aca="false">I984*60</f>
        <v>0</v>
      </c>
      <c r="K984" s="0" t="n">
        <f aca="false">(I984*86400)/24</f>
        <v>0</v>
      </c>
    </row>
    <row r="985" customFormat="false" ht="16.5" hidden="false" customHeight="false" outlineLevel="0" collapsed="false">
      <c r="A985" s="56" t="n">
        <v>45875.7083333333</v>
      </c>
      <c r="B985" s="57" t="n">
        <f aca="false">MOD(A985,1)</f>
        <v>0.708333333343035</v>
      </c>
      <c r="C985" s="0" t="n">
        <v>0</v>
      </c>
      <c r="D985" s="0" t="n">
        <v>489.546</v>
      </c>
      <c r="E985" s="0" t="n">
        <f aca="false">D985-0.155</f>
        <v>489.391</v>
      </c>
      <c r="F985" s="0" t="n">
        <v>489.545</v>
      </c>
      <c r="G985" s="0" t="n">
        <f aca="false">IF(E985 - F985 &lt; 0, 0, E985 - F985)</f>
        <v>0</v>
      </c>
      <c r="H985" s="0" t="n">
        <v>1.82</v>
      </c>
      <c r="I985" s="0" t="n">
        <f aca="false">1.82*30*(G985^1.5)</f>
        <v>0</v>
      </c>
      <c r="J985" s="0" t="n">
        <f aca="false">I985*60</f>
        <v>0</v>
      </c>
      <c r="K985" s="0" t="n">
        <f aca="false">(I985*86400)/24</f>
        <v>0</v>
      </c>
    </row>
    <row r="986" customFormat="false" ht="16.5" hidden="false" customHeight="false" outlineLevel="0" collapsed="false">
      <c r="A986" s="56" t="n">
        <v>45875.75</v>
      </c>
      <c r="B986" s="57" t="n">
        <f aca="false">MOD(A986,1)</f>
        <v>0.75</v>
      </c>
      <c r="C986" s="0" t="n">
        <v>0</v>
      </c>
      <c r="D986" s="0" t="n">
        <v>489.539</v>
      </c>
      <c r="E986" s="0" t="n">
        <f aca="false">D986-0.155</f>
        <v>489.384</v>
      </c>
      <c r="F986" s="0" t="n">
        <v>489.545</v>
      </c>
      <c r="G986" s="0" t="n">
        <f aca="false">IF(E986 - F986 &lt; 0, 0, E986 - F986)</f>
        <v>0</v>
      </c>
      <c r="H986" s="0" t="n">
        <v>1.82</v>
      </c>
      <c r="I986" s="0" t="n">
        <f aca="false">1.82*30*(G986^1.5)</f>
        <v>0</v>
      </c>
      <c r="J986" s="0" t="n">
        <f aca="false">I986*60</f>
        <v>0</v>
      </c>
      <c r="K986" s="0" t="n">
        <f aca="false">(I986*86400)/24</f>
        <v>0</v>
      </c>
    </row>
    <row r="987" customFormat="false" ht="16.5" hidden="false" customHeight="false" outlineLevel="0" collapsed="false">
      <c r="A987" s="56" t="n">
        <v>45875.7916666667</v>
      </c>
      <c r="B987" s="57" t="n">
        <f aca="false">MOD(A987,1)</f>
        <v>0.791666666656965</v>
      </c>
      <c r="C987" s="0" t="n">
        <v>0</v>
      </c>
      <c r="D987" s="0" t="n">
        <v>489.539</v>
      </c>
      <c r="E987" s="0" t="n">
        <f aca="false">D987-0.155</f>
        <v>489.384</v>
      </c>
      <c r="F987" s="0" t="n">
        <v>489.545</v>
      </c>
      <c r="G987" s="0" t="n">
        <f aca="false">IF(E987 - F987 &lt; 0, 0, E987 - F987)</f>
        <v>0</v>
      </c>
      <c r="H987" s="0" t="n">
        <v>1.82</v>
      </c>
      <c r="I987" s="0" t="n">
        <f aca="false">1.82*30*(G987^1.5)</f>
        <v>0</v>
      </c>
      <c r="J987" s="0" t="n">
        <f aca="false">I987*60</f>
        <v>0</v>
      </c>
      <c r="K987" s="0" t="n">
        <f aca="false">(I987*86400)/24</f>
        <v>0</v>
      </c>
    </row>
    <row r="988" customFormat="false" ht="16.5" hidden="false" customHeight="false" outlineLevel="0" collapsed="false">
      <c r="A988" s="56" t="n">
        <v>45875.8333333333</v>
      </c>
      <c r="B988" s="57" t="n">
        <f aca="false">MOD(A988,1)</f>
        <v>0.833333333343035</v>
      </c>
      <c r="C988" s="0" t="n">
        <v>0</v>
      </c>
      <c r="D988" s="0" t="n">
        <v>489.539</v>
      </c>
      <c r="E988" s="0" t="n">
        <f aca="false">D988-0.155</f>
        <v>489.384</v>
      </c>
      <c r="F988" s="0" t="n">
        <v>489.545</v>
      </c>
      <c r="G988" s="0" t="n">
        <f aca="false">IF(E988 - F988 &lt; 0, 0, E988 - F988)</f>
        <v>0</v>
      </c>
      <c r="H988" s="0" t="n">
        <v>1.82</v>
      </c>
      <c r="I988" s="0" t="n">
        <f aca="false">1.82*30*(G988^1.5)</f>
        <v>0</v>
      </c>
      <c r="J988" s="0" t="n">
        <f aca="false">I988*60</f>
        <v>0</v>
      </c>
      <c r="K988" s="0" t="n">
        <f aca="false">(I988*86400)/24</f>
        <v>0</v>
      </c>
    </row>
    <row r="989" customFormat="false" ht="16.5" hidden="false" customHeight="false" outlineLevel="0" collapsed="false">
      <c r="A989" s="56" t="n">
        <v>45875.875</v>
      </c>
      <c r="B989" s="57" t="n">
        <f aca="false">MOD(A989,1)</f>
        <v>0.875</v>
      </c>
      <c r="C989" s="0" t="n">
        <v>0</v>
      </c>
      <c r="D989" s="0" t="n">
        <v>489.54</v>
      </c>
      <c r="E989" s="0" t="n">
        <f aca="false">D989-0.155</f>
        <v>489.385</v>
      </c>
      <c r="F989" s="0" t="n">
        <v>489.545</v>
      </c>
      <c r="G989" s="0" t="n">
        <f aca="false">IF(E989 - F989 &lt; 0, 0, E989 - F989)</f>
        <v>0</v>
      </c>
      <c r="H989" s="0" t="n">
        <v>1.82</v>
      </c>
      <c r="I989" s="0" t="n">
        <f aca="false">1.82*30*(G989^1.5)</f>
        <v>0</v>
      </c>
      <c r="J989" s="0" t="n">
        <f aca="false">I989*60</f>
        <v>0</v>
      </c>
      <c r="K989" s="0" t="n">
        <f aca="false">(I989*86400)/24</f>
        <v>0</v>
      </c>
    </row>
    <row r="990" customFormat="false" ht="16.5" hidden="false" customHeight="false" outlineLevel="0" collapsed="false">
      <c r="A990" s="56" t="n">
        <v>45875.9166666667</v>
      </c>
      <c r="B990" s="57" t="n">
        <f aca="false">MOD(A990,1)</f>
        <v>0.916666666656965</v>
      </c>
      <c r="C990" s="0" t="n">
        <v>0</v>
      </c>
      <c r="D990" s="0" t="n">
        <v>489.539</v>
      </c>
      <c r="E990" s="0" t="n">
        <f aca="false">D990-0.155</f>
        <v>489.384</v>
      </c>
      <c r="F990" s="0" t="n">
        <v>489.545</v>
      </c>
      <c r="G990" s="0" t="n">
        <f aca="false">IF(E990 - F990 &lt; 0, 0, E990 - F990)</f>
        <v>0</v>
      </c>
      <c r="H990" s="0" t="n">
        <v>1.82</v>
      </c>
      <c r="I990" s="0" t="n">
        <f aca="false">1.82*30*(G990^1.5)</f>
        <v>0</v>
      </c>
      <c r="J990" s="0" t="n">
        <f aca="false">I990*60</f>
        <v>0</v>
      </c>
      <c r="K990" s="0" t="n">
        <f aca="false">(I990*86400)/24</f>
        <v>0</v>
      </c>
    </row>
    <row r="991" customFormat="false" ht="16.5" hidden="false" customHeight="false" outlineLevel="0" collapsed="false">
      <c r="A991" s="56" t="n">
        <v>45875.9583333333</v>
      </c>
      <c r="B991" s="57" t="n">
        <f aca="false">MOD(A991,1)</f>
        <v>0.958333333343035</v>
      </c>
      <c r="C991" s="0" t="n">
        <v>0</v>
      </c>
      <c r="D991" s="0" t="n">
        <v>489.533</v>
      </c>
      <c r="E991" s="0" t="n">
        <f aca="false">D991-0.155</f>
        <v>489.378</v>
      </c>
      <c r="F991" s="0" t="n">
        <v>489.545</v>
      </c>
      <c r="G991" s="0" t="n">
        <f aca="false">IF(E991 - F991 &lt; 0, 0, E991 - F991)</f>
        <v>0</v>
      </c>
      <c r="H991" s="0" t="n">
        <v>1.82</v>
      </c>
      <c r="I991" s="0" t="n">
        <f aca="false">1.82*30*(G991^1.5)</f>
        <v>0</v>
      </c>
      <c r="J991" s="0" t="n">
        <f aca="false">I991*60</f>
        <v>0</v>
      </c>
      <c r="K991" s="0" t="n">
        <f aca="false">(I991*86400)/24</f>
        <v>0</v>
      </c>
    </row>
    <row r="992" customFormat="false" ht="16.5" hidden="false" customHeight="false" outlineLevel="0" collapsed="false">
      <c r="A992" s="56" t="n">
        <v>45876</v>
      </c>
      <c r="B992" s="57" t="n">
        <f aca="false">MOD(A992,1)</f>
        <v>0</v>
      </c>
      <c r="C992" s="0" t="n">
        <v>0</v>
      </c>
      <c r="D992" s="0" t="n">
        <v>489.533</v>
      </c>
      <c r="E992" s="0" t="n">
        <f aca="false">D992-0.155</f>
        <v>489.378</v>
      </c>
      <c r="F992" s="0" t="n">
        <v>489.545</v>
      </c>
      <c r="G992" s="0" t="n">
        <f aca="false">IF(E992 - F992 &lt; 0, 0, E992 - F992)</f>
        <v>0</v>
      </c>
      <c r="H992" s="0" t="n">
        <v>1.82</v>
      </c>
      <c r="I992" s="0" t="n">
        <f aca="false">1.82*30*(G992^1.5)</f>
        <v>0</v>
      </c>
      <c r="J992" s="0" t="n">
        <f aca="false">I992*60</f>
        <v>0</v>
      </c>
      <c r="K992" s="0" t="n">
        <f aca="false">(I992*86400)/24</f>
        <v>0</v>
      </c>
    </row>
    <row r="993" customFormat="false" ht="16.5" hidden="false" customHeight="false" outlineLevel="0" collapsed="false">
      <c r="A993" s="56" t="n">
        <v>45876.0416666667</v>
      </c>
      <c r="B993" s="57" t="n">
        <f aca="false">MOD(A993,1)</f>
        <v>0.0416666666569654</v>
      </c>
      <c r="C993" s="0" t="n">
        <v>0</v>
      </c>
      <c r="D993" s="0" t="n">
        <v>489.533</v>
      </c>
      <c r="E993" s="0" t="n">
        <f aca="false">D993-0.155</f>
        <v>489.378</v>
      </c>
      <c r="F993" s="0" t="n">
        <v>489.545</v>
      </c>
      <c r="G993" s="0" t="n">
        <f aca="false">IF(E993 - F993 &lt; 0, 0, E993 - F993)</f>
        <v>0</v>
      </c>
      <c r="H993" s="0" t="n">
        <v>1.82</v>
      </c>
      <c r="I993" s="0" t="n">
        <f aca="false">1.82*30*(G993^1.5)</f>
        <v>0</v>
      </c>
      <c r="J993" s="0" t="n">
        <f aca="false">I993*60</f>
        <v>0</v>
      </c>
      <c r="K993" s="0" t="n">
        <f aca="false">(I993*86400)/24</f>
        <v>0</v>
      </c>
    </row>
    <row r="994" customFormat="false" ht="16.5" hidden="false" customHeight="false" outlineLevel="0" collapsed="false">
      <c r="A994" s="56" t="n">
        <v>45876.0833333333</v>
      </c>
      <c r="B994" s="57" t="n">
        <f aca="false">MOD(A994,1)</f>
        <v>0.0833333333430346</v>
      </c>
      <c r="C994" s="0" t="n">
        <v>0</v>
      </c>
      <c r="D994" s="0" t="n">
        <v>489.533</v>
      </c>
      <c r="E994" s="0" t="n">
        <f aca="false">D994-0.155</f>
        <v>489.378</v>
      </c>
      <c r="F994" s="0" t="n">
        <v>489.545</v>
      </c>
      <c r="G994" s="0" t="n">
        <f aca="false">IF(E994 - F994 &lt; 0, 0, E994 - F994)</f>
        <v>0</v>
      </c>
      <c r="H994" s="0" t="n">
        <v>1.82</v>
      </c>
      <c r="I994" s="0" t="n">
        <f aca="false">1.82*30*(G994^1.5)</f>
        <v>0</v>
      </c>
      <c r="J994" s="0" t="n">
        <f aca="false">I994*60</f>
        <v>0</v>
      </c>
      <c r="K994" s="0" t="n">
        <f aca="false">(I994*86400)/24</f>
        <v>0</v>
      </c>
    </row>
    <row r="995" customFormat="false" ht="16.5" hidden="false" customHeight="false" outlineLevel="0" collapsed="false">
      <c r="A995" s="56" t="n">
        <v>45876.125</v>
      </c>
      <c r="B995" s="57" t="n">
        <f aca="false">MOD(A995,1)</f>
        <v>0.125</v>
      </c>
      <c r="C995" s="0" t="n">
        <v>0</v>
      </c>
      <c r="D995" s="0" t="n">
        <v>489.533</v>
      </c>
      <c r="E995" s="0" t="n">
        <f aca="false">D995-0.155</f>
        <v>489.378</v>
      </c>
      <c r="F995" s="0" t="n">
        <v>489.545</v>
      </c>
      <c r="G995" s="0" t="n">
        <f aca="false">IF(E995 - F995 &lt; 0, 0, E995 - F995)</f>
        <v>0</v>
      </c>
      <c r="H995" s="0" t="n">
        <v>1.82</v>
      </c>
      <c r="I995" s="0" t="n">
        <f aca="false">1.82*30*(G995^1.5)</f>
        <v>0</v>
      </c>
      <c r="J995" s="0" t="n">
        <f aca="false">I995*60</f>
        <v>0</v>
      </c>
      <c r="K995" s="0" t="n">
        <f aca="false">(I995*86400)/24</f>
        <v>0</v>
      </c>
    </row>
    <row r="996" customFormat="false" ht="16.5" hidden="false" customHeight="false" outlineLevel="0" collapsed="false">
      <c r="A996" s="56" t="n">
        <v>45876.1666666667</v>
      </c>
      <c r="B996" s="57" t="n">
        <f aca="false">MOD(A996,1)</f>
        <v>0.166666666656965</v>
      </c>
      <c r="C996" s="0" t="n">
        <v>0</v>
      </c>
      <c r="D996" s="0" t="n">
        <v>489.526</v>
      </c>
      <c r="E996" s="0" t="n">
        <f aca="false">D996-0.155</f>
        <v>489.371</v>
      </c>
      <c r="F996" s="0" t="n">
        <v>489.545</v>
      </c>
      <c r="G996" s="0" t="n">
        <f aca="false">IF(E996 - F996 &lt; 0, 0, E996 - F996)</f>
        <v>0</v>
      </c>
      <c r="H996" s="0" t="n">
        <v>1.82</v>
      </c>
      <c r="I996" s="0" t="n">
        <f aca="false">1.82*30*(G996^1.5)</f>
        <v>0</v>
      </c>
      <c r="J996" s="0" t="n">
        <f aca="false">I996*60</f>
        <v>0</v>
      </c>
      <c r="K996" s="0" t="n">
        <f aca="false">(I996*86400)/24</f>
        <v>0</v>
      </c>
    </row>
    <row r="997" customFormat="false" ht="16.5" hidden="false" customHeight="false" outlineLevel="0" collapsed="false">
      <c r="A997" s="56" t="n">
        <v>45876.2083333333</v>
      </c>
      <c r="B997" s="57" t="n">
        <f aca="false">MOD(A997,1)</f>
        <v>0.208333333343035</v>
      </c>
      <c r="C997" s="0" t="n">
        <v>0</v>
      </c>
      <c r="D997" s="0" t="n">
        <v>489.527</v>
      </c>
      <c r="E997" s="0" t="n">
        <f aca="false">D997-0.155</f>
        <v>489.372</v>
      </c>
      <c r="F997" s="0" t="n">
        <v>489.545</v>
      </c>
      <c r="G997" s="0" t="n">
        <f aca="false">IF(E997 - F997 &lt; 0, 0, E997 - F997)</f>
        <v>0</v>
      </c>
      <c r="H997" s="0" t="n">
        <v>1.82</v>
      </c>
      <c r="I997" s="0" t="n">
        <f aca="false">1.82*30*(G997^1.5)</f>
        <v>0</v>
      </c>
      <c r="J997" s="0" t="n">
        <f aca="false">I997*60</f>
        <v>0</v>
      </c>
      <c r="K997" s="0" t="n">
        <f aca="false">(I997*86400)/24</f>
        <v>0</v>
      </c>
    </row>
    <row r="998" customFormat="false" ht="16.5" hidden="false" customHeight="false" outlineLevel="0" collapsed="false">
      <c r="A998" s="56" t="n">
        <v>45876.25</v>
      </c>
      <c r="B998" s="57" t="n">
        <f aca="false">MOD(A998,1)</f>
        <v>0.25</v>
      </c>
      <c r="C998" s="0" t="n">
        <v>0</v>
      </c>
      <c r="D998" s="0" t="n">
        <v>489.527</v>
      </c>
      <c r="E998" s="0" t="n">
        <f aca="false">D998-0.155</f>
        <v>489.372</v>
      </c>
      <c r="F998" s="0" t="n">
        <v>489.545</v>
      </c>
      <c r="G998" s="0" t="n">
        <f aca="false">IF(E998 - F998 &lt; 0, 0, E998 - F998)</f>
        <v>0</v>
      </c>
      <c r="H998" s="0" t="n">
        <v>1.82</v>
      </c>
      <c r="I998" s="0" t="n">
        <f aca="false">1.82*30*(G998^1.5)</f>
        <v>0</v>
      </c>
      <c r="J998" s="0" t="n">
        <f aca="false">I998*60</f>
        <v>0</v>
      </c>
      <c r="K998" s="0" t="n">
        <f aca="false">(I998*86400)/24</f>
        <v>0</v>
      </c>
    </row>
    <row r="999" customFormat="false" ht="16.5" hidden="false" customHeight="false" outlineLevel="0" collapsed="false">
      <c r="A999" s="56" t="n">
        <v>45876.2916666667</v>
      </c>
      <c r="B999" s="57" t="n">
        <f aca="false">MOD(A999,1)</f>
        <v>0.291666666656965</v>
      </c>
      <c r="C999" s="0" t="n">
        <v>0</v>
      </c>
      <c r="D999" s="0" t="n">
        <v>489.526</v>
      </c>
      <c r="E999" s="0" t="n">
        <f aca="false">D999-0.155</f>
        <v>489.371</v>
      </c>
      <c r="F999" s="0" t="n">
        <v>489.545</v>
      </c>
      <c r="G999" s="0" t="n">
        <f aca="false">IF(E999 - F999 &lt; 0, 0, E999 - F999)</f>
        <v>0</v>
      </c>
      <c r="H999" s="0" t="n">
        <v>1.82</v>
      </c>
      <c r="I999" s="0" t="n">
        <f aca="false">1.82*30*(G999^1.5)</f>
        <v>0</v>
      </c>
      <c r="J999" s="0" t="n">
        <f aca="false">I999*60</f>
        <v>0</v>
      </c>
      <c r="K999" s="0" t="n">
        <f aca="false">(I999*86400)/24</f>
        <v>0</v>
      </c>
    </row>
    <row r="1000" customFormat="false" ht="16.5" hidden="false" customHeight="false" outlineLevel="0" collapsed="false">
      <c r="A1000" s="56" t="n">
        <v>45876.3333333333</v>
      </c>
      <c r="B1000" s="57" t="n">
        <f aca="false">MOD(A1000,1)</f>
        <v>0.333333333343035</v>
      </c>
      <c r="C1000" s="0" t="n">
        <v>0</v>
      </c>
      <c r="D1000" s="0" t="n">
        <v>489.526</v>
      </c>
      <c r="E1000" s="0" t="n">
        <f aca="false">D1000-0.155</f>
        <v>489.371</v>
      </c>
      <c r="F1000" s="0" t="n">
        <v>489.545</v>
      </c>
      <c r="G1000" s="0" t="n">
        <f aca="false">IF(E1000 - F1000 &lt; 0, 0, E1000 - F1000)</f>
        <v>0</v>
      </c>
      <c r="H1000" s="0" t="n">
        <v>1.82</v>
      </c>
      <c r="I1000" s="0" t="n">
        <f aca="false">1.82*30*(G1000^1.5)</f>
        <v>0</v>
      </c>
      <c r="J1000" s="0" t="n">
        <f aca="false">I1000*60</f>
        <v>0</v>
      </c>
      <c r="K1000" s="0" t="n">
        <f aca="false">(I1000*86400)/24</f>
        <v>0</v>
      </c>
    </row>
    <row r="1001" customFormat="false" ht="16.5" hidden="false" customHeight="false" outlineLevel="0" collapsed="false">
      <c r="A1001" s="56" t="n">
        <v>45876.375</v>
      </c>
      <c r="B1001" s="57" t="n">
        <f aca="false">MOD(A1001,1)</f>
        <v>0.375</v>
      </c>
      <c r="C1001" s="0" t="n">
        <v>0</v>
      </c>
      <c r="D1001" s="0" t="n">
        <v>489.52</v>
      </c>
      <c r="E1001" s="0" t="n">
        <f aca="false">D1001-0.155</f>
        <v>489.365</v>
      </c>
      <c r="F1001" s="0" t="n">
        <v>489.545</v>
      </c>
      <c r="G1001" s="0" t="n">
        <f aca="false">IF(E1001 - F1001 &lt; 0, 0, E1001 - F1001)</f>
        <v>0</v>
      </c>
      <c r="H1001" s="0" t="n">
        <v>1.82</v>
      </c>
      <c r="I1001" s="0" t="n">
        <f aca="false">1.82*30*(G1001^1.5)</f>
        <v>0</v>
      </c>
      <c r="J1001" s="0" t="n">
        <f aca="false">I1001*60</f>
        <v>0</v>
      </c>
      <c r="K1001" s="0" t="n">
        <f aca="false">(I1001*86400)/24</f>
        <v>0</v>
      </c>
    </row>
    <row r="1002" customFormat="false" ht="16.5" hidden="false" customHeight="false" outlineLevel="0" collapsed="false">
      <c r="A1002" s="56" t="n">
        <v>45876.4166666667</v>
      </c>
      <c r="B1002" s="57" t="n">
        <f aca="false">MOD(A1002,1)</f>
        <v>0.416666666656965</v>
      </c>
      <c r="C1002" s="0" t="n">
        <v>0</v>
      </c>
      <c r="D1002" s="0" t="n">
        <v>489.52</v>
      </c>
      <c r="E1002" s="0" t="n">
        <f aca="false">D1002-0.155</f>
        <v>489.365</v>
      </c>
      <c r="F1002" s="0" t="n">
        <v>489.545</v>
      </c>
      <c r="G1002" s="0" t="n">
        <f aca="false">IF(E1002 - F1002 &lt; 0, 0, E1002 - F1002)</f>
        <v>0</v>
      </c>
      <c r="H1002" s="0" t="n">
        <v>1.82</v>
      </c>
      <c r="I1002" s="0" t="n">
        <f aca="false">1.82*30*(G1002^1.5)</f>
        <v>0</v>
      </c>
      <c r="J1002" s="0" t="n">
        <f aca="false">I1002*60</f>
        <v>0</v>
      </c>
      <c r="K1002" s="0" t="n">
        <f aca="false">(I1002*86400)/24</f>
        <v>0</v>
      </c>
    </row>
    <row r="1003" customFormat="false" ht="16.5" hidden="false" customHeight="false" outlineLevel="0" collapsed="false">
      <c r="A1003" s="56" t="n">
        <v>45876.4583333333</v>
      </c>
      <c r="B1003" s="57" t="n">
        <f aca="false">MOD(A1003,1)</f>
        <v>0.458333333343035</v>
      </c>
      <c r="C1003" s="0" t="n">
        <v>0</v>
      </c>
      <c r="D1003" s="0" t="n">
        <v>489.52</v>
      </c>
      <c r="E1003" s="0" t="n">
        <f aca="false">D1003-0.155</f>
        <v>489.365</v>
      </c>
      <c r="F1003" s="0" t="n">
        <v>489.545</v>
      </c>
      <c r="G1003" s="0" t="n">
        <f aca="false">IF(E1003 - F1003 &lt; 0, 0, E1003 - F1003)</f>
        <v>0</v>
      </c>
      <c r="H1003" s="0" t="n">
        <v>1.82</v>
      </c>
      <c r="I1003" s="0" t="n">
        <f aca="false">1.82*30*(G1003^1.5)</f>
        <v>0</v>
      </c>
      <c r="J1003" s="0" t="n">
        <f aca="false">I1003*60</f>
        <v>0</v>
      </c>
      <c r="K1003" s="0" t="n">
        <f aca="false">(I1003*86400)/24</f>
        <v>0</v>
      </c>
    </row>
    <row r="1004" customFormat="false" ht="16.5" hidden="false" customHeight="false" outlineLevel="0" collapsed="false">
      <c r="A1004" s="56" t="n">
        <v>45876.5</v>
      </c>
      <c r="B1004" s="57" t="n">
        <f aca="false">MOD(A1004,1)</f>
        <v>0.5</v>
      </c>
      <c r="C1004" s="0" t="n">
        <v>0</v>
      </c>
      <c r="D1004" s="0" t="n">
        <v>489.52</v>
      </c>
      <c r="E1004" s="0" t="n">
        <f aca="false">D1004-0.155</f>
        <v>489.365</v>
      </c>
      <c r="F1004" s="0" t="n">
        <v>489.545</v>
      </c>
      <c r="G1004" s="0" t="n">
        <f aca="false">IF(E1004 - F1004 &lt; 0, 0, E1004 - F1004)</f>
        <v>0</v>
      </c>
      <c r="H1004" s="0" t="n">
        <v>1.82</v>
      </c>
      <c r="I1004" s="0" t="n">
        <f aca="false">1.82*30*(G1004^1.5)</f>
        <v>0</v>
      </c>
      <c r="J1004" s="0" t="n">
        <f aca="false">I1004*60</f>
        <v>0</v>
      </c>
      <c r="K1004" s="0" t="n">
        <f aca="false">(I1004*86400)/24</f>
        <v>0</v>
      </c>
    </row>
    <row r="1005" customFormat="false" ht="16.5" hidden="false" customHeight="false" outlineLevel="0" collapsed="false">
      <c r="A1005" s="56" t="n">
        <v>45876.5416666667</v>
      </c>
      <c r="B1005" s="57" t="n">
        <f aca="false">MOD(A1005,1)</f>
        <v>0.541666666656965</v>
      </c>
      <c r="C1005" s="0" t="n">
        <v>0</v>
      </c>
      <c r="D1005" s="0" t="n">
        <v>489.52</v>
      </c>
      <c r="E1005" s="0" t="n">
        <f aca="false">D1005-0.155</f>
        <v>489.365</v>
      </c>
      <c r="F1005" s="0" t="n">
        <v>489.545</v>
      </c>
      <c r="G1005" s="0" t="n">
        <f aca="false">IF(E1005 - F1005 &lt; 0, 0, E1005 - F1005)</f>
        <v>0</v>
      </c>
      <c r="H1005" s="0" t="n">
        <v>1.82</v>
      </c>
      <c r="I1005" s="0" t="n">
        <f aca="false">1.82*30*(G1005^1.5)</f>
        <v>0</v>
      </c>
      <c r="J1005" s="0" t="n">
        <f aca="false">I1005*60</f>
        <v>0</v>
      </c>
      <c r="K1005" s="0" t="n">
        <f aca="false">(I1005*86400)/24</f>
        <v>0</v>
      </c>
    </row>
    <row r="1006" customFormat="false" ht="16.5" hidden="false" customHeight="false" outlineLevel="0" collapsed="false">
      <c r="A1006" s="56" t="n">
        <v>45876.5833333333</v>
      </c>
      <c r="B1006" s="57" t="n">
        <f aca="false">MOD(A1006,1)</f>
        <v>0.583333333343035</v>
      </c>
      <c r="C1006" s="0" t="n">
        <v>0</v>
      </c>
      <c r="D1006" s="0" t="n">
        <v>489.513</v>
      </c>
      <c r="E1006" s="0" t="n">
        <f aca="false">D1006-0.155</f>
        <v>489.358</v>
      </c>
      <c r="F1006" s="0" t="n">
        <v>489.545</v>
      </c>
      <c r="G1006" s="0" t="n">
        <f aca="false">IF(E1006 - F1006 &lt; 0, 0, E1006 - F1006)</f>
        <v>0</v>
      </c>
      <c r="H1006" s="0" t="n">
        <v>1.82</v>
      </c>
      <c r="I1006" s="0" t="n">
        <f aca="false">1.82*30*(G1006^1.5)</f>
        <v>0</v>
      </c>
      <c r="J1006" s="0" t="n">
        <f aca="false">I1006*60</f>
        <v>0</v>
      </c>
      <c r="K1006" s="0" t="n">
        <f aca="false">(I1006*86400)/24</f>
        <v>0</v>
      </c>
    </row>
    <row r="1007" customFormat="false" ht="16.5" hidden="false" customHeight="false" outlineLevel="0" collapsed="false">
      <c r="A1007" s="56" t="n">
        <v>45876.625</v>
      </c>
      <c r="B1007" s="57" t="n">
        <f aca="false">MOD(A1007,1)</f>
        <v>0.625</v>
      </c>
      <c r="C1007" s="0" t="n">
        <v>0</v>
      </c>
      <c r="D1007" s="0" t="n">
        <v>489.513</v>
      </c>
      <c r="E1007" s="0" t="n">
        <f aca="false">D1007-0.155</f>
        <v>489.358</v>
      </c>
      <c r="F1007" s="0" t="n">
        <v>489.545</v>
      </c>
      <c r="G1007" s="0" t="n">
        <f aca="false">IF(E1007 - F1007 &lt; 0, 0, E1007 - F1007)</f>
        <v>0</v>
      </c>
      <c r="H1007" s="0" t="n">
        <v>1.82</v>
      </c>
      <c r="I1007" s="0" t="n">
        <f aca="false">1.82*30*(G1007^1.5)</f>
        <v>0</v>
      </c>
      <c r="J1007" s="0" t="n">
        <f aca="false">I1007*60</f>
        <v>0</v>
      </c>
      <c r="K1007" s="0" t="n">
        <f aca="false">(I1007*86400)/24</f>
        <v>0</v>
      </c>
    </row>
    <row r="1008" customFormat="false" ht="16.5" hidden="false" customHeight="false" outlineLevel="0" collapsed="false">
      <c r="A1008" s="56" t="n">
        <v>45876.6666666667</v>
      </c>
      <c r="B1008" s="57" t="n">
        <f aca="false">MOD(A1008,1)</f>
        <v>0.666666666656965</v>
      </c>
      <c r="C1008" s="0" t="n">
        <v>0</v>
      </c>
      <c r="D1008" s="0" t="n">
        <v>489.513</v>
      </c>
      <c r="E1008" s="0" t="n">
        <f aca="false">D1008-0.155</f>
        <v>489.358</v>
      </c>
      <c r="F1008" s="0" t="n">
        <v>489.545</v>
      </c>
      <c r="G1008" s="0" t="n">
        <f aca="false">IF(E1008 - F1008 &lt; 0, 0, E1008 - F1008)</f>
        <v>0</v>
      </c>
      <c r="H1008" s="0" t="n">
        <v>1.82</v>
      </c>
      <c r="I1008" s="0" t="n">
        <f aca="false">1.82*30*(G1008^1.5)</f>
        <v>0</v>
      </c>
      <c r="J1008" s="0" t="n">
        <f aca="false">I1008*60</f>
        <v>0</v>
      </c>
      <c r="K1008" s="0" t="n">
        <f aca="false">(I1008*86400)/24</f>
        <v>0</v>
      </c>
    </row>
    <row r="1009" customFormat="false" ht="16.5" hidden="false" customHeight="false" outlineLevel="0" collapsed="false">
      <c r="A1009" s="56" t="n">
        <v>45876.7083333333</v>
      </c>
      <c r="B1009" s="57" t="n">
        <f aca="false">MOD(A1009,1)</f>
        <v>0.708333333343035</v>
      </c>
      <c r="C1009" s="0" t="n">
        <v>0</v>
      </c>
      <c r="D1009" s="0" t="n">
        <v>489.513</v>
      </c>
      <c r="E1009" s="0" t="n">
        <f aca="false">D1009-0.155</f>
        <v>489.358</v>
      </c>
      <c r="F1009" s="0" t="n">
        <v>489.545</v>
      </c>
      <c r="G1009" s="0" t="n">
        <f aca="false">IF(E1009 - F1009 &lt; 0, 0, E1009 - F1009)</f>
        <v>0</v>
      </c>
      <c r="H1009" s="0" t="n">
        <v>1.82</v>
      </c>
      <c r="I1009" s="0" t="n">
        <f aca="false">1.82*30*(G1009^1.5)</f>
        <v>0</v>
      </c>
      <c r="J1009" s="0" t="n">
        <f aca="false">I1009*60</f>
        <v>0</v>
      </c>
      <c r="K1009" s="0" t="n">
        <f aca="false">(I1009*86400)/24</f>
        <v>0</v>
      </c>
    </row>
    <row r="1010" customFormat="false" ht="16.5" hidden="false" customHeight="false" outlineLevel="0" collapsed="false">
      <c r="A1010" s="56" t="n">
        <v>45876.75</v>
      </c>
      <c r="B1010" s="57" t="n">
        <f aca="false">MOD(A1010,1)</f>
        <v>0.75</v>
      </c>
      <c r="C1010" s="0" t="n">
        <v>0</v>
      </c>
      <c r="D1010" s="0" t="n">
        <v>489.513</v>
      </c>
      <c r="E1010" s="0" t="n">
        <f aca="false">D1010-0.155</f>
        <v>489.358</v>
      </c>
      <c r="F1010" s="0" t="n">
        <v>489.545</v>
      </c>
      <c r="G1010" s="0" t="n">
        <f aca="false">IF(E1010 - F1010 &lt; 0, 0, E1010 - F1010)</f>
        <v>0</v>
      </c>
      <c r="H1010" s="0" t="n">
        <v>1.82</v>
      </c>
      <c r="I1010" s="0" t="n">
        <f aca="false">1.82*30*(G1010^1.5)</f>
        <v>0</v>
      </c>
      <c r="J1010" s="0" t="n">
        <f aca="false">I1010*60</f>
        <v>0</v>
      </c>
      <c r="K1010" s="0" t="n">
        <f aca="false">(I1010*86400)/24</f>
        <v>0</v>
      </c>
    </row>
    <row r="1011" customFormat="false" ht="16.5" hidden="false" customHeight="false" outlineLevel="0" collapsed="false">
      <c r="A1011" s="56" t="n">
        <v>45876.7916666667</v>
      </c>
      <c r="B1011" s="57" t="n">
        <f aca="false">MOD(A1011,1)</f>
        <v>0.791666666656965</v>
      </c>
      <c r="C1011" s="0" t="n">
        <v>0</v>
      </c>
      <c r="D1011" s="0" t="n">
        <v>489.508</v>
      </c>
      <c r="E1011" s="0" t="n">
        <f aca="false">D1011-0.155</f>
        <v>489.353</v>
      </c>
      <c r="F1011" s="0" t="n">
        <v>489.545</v>
      </c>
      <c r="G1011" s="0" t="n">
        <f aca="false">IF(E1011 - F1011 &lt; 0, 0, E1011 - F1011)</f>
        <v>0</v>
      </c>
      <c r="H1011" s="0" t="n">
        <v>1.82</v>
      </c>
      <c r="I1011" s="0" t="n">
        <f aca="false">1.82*30*(G1011^1.5)</f>
        <v>0</v>
      </c>
      <c r="J1011" s="0" t="n">
        <f aca="false">I1011*60</f>
        <v>0</v>
      </c>
      <c r="K1011" s="0" t="n">
        <f aca="false">(I1011*86400)/24</f>
        <v>0</v>
      </c>
    </row>
    <row r="1012" customFormat="false" ht="16.5" hidden="false" customHeight="false" outlineLevel="0" collapsed="false">
      <c r="A1012" s="56" t="n">
        <v>45876.8333333333</v>
      </c>
      <c r="B1012" s="57" t="n">
        <f aca="false">MOD(A1012,1)</f>
        <v>0.833333333343035</v>
      </c>
      <c r="C1012" s="0" t="n">
        <v>0</v>
      </c>
      <c r="D1012" s="0" t="n">
        <v>489.507</v>
      </c>
      <c r="E1012" s="0" t="n">
        <f aca="false">D1012-0.155</f>
        <v>489.352</v>
      </c>
      <c r="F1012" s="0" t="n">
        <v>489.545</v>
      </c>
      <c r="G1012" s="0" t="n">
        <f aca="false">IF(E1012 - F1012 &lt; 0, 0, E1012 - F1012)</f>
        <v>0</v>
      </c>
      <c r="H1012" s="0" t="n">
        <v>1.82</v>
      </c>
      <c r="I1012" s="0" t="n">
        <f aca="false">1.82*30*(G1012^1.5)</f>
        <v>0</v>
      </c>
      <c r="J1012" s="0" t="n">
        <f aca="false">I1012*60</f>
        <v>0</v>
      </c>
      <c r="K1012" s="0" t="n">
        <f aca="false">(I1012*86400)/24</f>
        <v>0</v>
      </c>
    </row>
    <row r="1013" customFormat="false" ht="16.5" hidden="false" customHeight="false" outlineLevel="0" collapsed="false">
      <c r="A1013" s="56" t="n">
        <v>45876.875</v>
      </c>
      <c r="B1013" s="57" t="n">
        <f aca="false">MOD(A1013,1)</f>
        <v>0.875</v>
      </c>
      <c r="C1013" s="0" t="n">
        <v>0</v>
      </c>
      <c r="D1013" s="0" t="n">
        <v>489.507</v>
      </c>
      <c r="E1013" s="0" t="n">
        <f aca="false">D1013-0.155</f>
        <v>489.352</v>
      </c>
      <c r="F1013" s="0" t="n">
        <v>489.545</v>
      </c>
      <c r="G1013" s="0" t="n">
        <f aca="false">IF(E1013 - F1013 &lt; 0, 0, E1013 - F1013)</f>
        <v>0</v>
      </c>
      <c r="H1013" s="0" t="n">
        <v>1.82</v>
      </c>
      <c r="I1013" s="0" t="n">
        <f aca="false">1.82*30*(G1013^1.5)</f>
        <v>0</v>
      </c>
      <c r="J1013" s="0" t="n">
        <f aca="false">I1013*60</f>
        <v>0</v>
      </c>
      <c r="K1013" s="0" t="n">
        <f aca="false">(I1013*86400)/24</f>
        <v>0</v>
      </c>
    </row>
    <row r="1014" customFormat="false" ht="16.5" hidden="false" customHeight="false" outlineLevel="0" collapsed="false">
      <c r="A1014" s="56" t="n">
        <v>45876.9166666667</v>
      </c>
      <c r="B1014" s="57" t="n">
        <f aca="false">MOD(A1014,1)</f>
        <v>0.916666666656965</v>
      </c>
      <c r="C1014" s="0" t="n">
        <v>0.4</v>
      </c>
      <c r="D1014" s="0" t="n">
        <v>489.508</v>
      </c>
      <c r="E1014" s="0" t="n">
        <f aca="false">D1014-0.155</f>
        <v>489.353</v>
      </c>
      <c r="F1014" s="0" t="n">
        <v>489.545</v>
      </c>
      <c r="G1014" s="0" t="n">
        <f aca="false">IF(E1014 - F1014 &lt; 0, 0, E1014 - F1014)</f>
        <v>0</v>
      </c>
      <c r="H1014" s="0" t="n">
        <v>1.82</v>
      </c>
      <c r="I1014" s="0" t="n">
        <f aca="false">1.82*30*(G1014^1.5)</f>
        <v>0</v>
      </c>
      <c r="J1014" s="0" t="n">
        <f aca="false">I1014*60</f>
        <v>0</v>
      </c>
      <c r="K1014" s="0" t="n">
        <f aca="false">(I1014*86400)/24</f>
        <v>0</v>
      </c>
    </row>
    <row r="1015" customFormat="false" ht="16.5" hidden="false" customHeight="false" outlineLevel="0" collapsed="false">
      <c r="A1015" s="56" t="n">
        <v>45876.9583333333</v>
      </c>
      <c r="B1015" s="57" t="n">
        <f aca="false">MOD(A1015,1)</f>
        <v>0.958333333343035</v>
      </c>
      <c r="C1015" s="0" t="n">
        <v>0</v>
      </c>
      <c r="D1015" s="0" t="n">
        <v>489.501</v>
      </c>
      <c r="E1015" s="0" t="n">
        <f aca="false">D1015-0.155</f>
        <v>489.346</v>
      </c>
      <c r="F1015" s="0" t="n">
        <v>489.545</v>
      </c>
      <c r="G1015" s="0" t="n">
        <f aca="false">IF(E1015 - F1015 &lt; 0, 0, E1015 - F1015)</f>
        <v>0</v>
      </c>
      <c r="H1015" s="0" t="n">
        <v>1.82</v>
      </c>
      <c r="I1015" s="0" t="n">
        <f aca="false">1.82*30*(G1015^1.5)</f>
        <v>0</v>
      </c>
      <c r="J1015" s="0" t="n">
        <f aca="false">I1015*60</f>
        <v>0</v>
      </c>
      <c r="K1015" s="0" t="n">
        <f aca="false">(I1015*86400)/24</f>
        <v>0</v>
      </c>
    </row>
    <row r="1016" customFormat="false" ht="16.5" hidden="false" customHeight="false" outlineLevel="0" collapsed="false">
      <c r="A1016" s="56" t="n">
        <v>45877</v>
      </c>
      <c r="B1016" s="57" t="n">
        <f aca="false">MOD(A1016,1)</f>
        <v>0</v>
      </c>
      <c r="C1016" s="0" t="n">
        <v>0</v>
      </c>
      <c r="D1016" s="0" t="n">
        <v>489.501</v>
      </c>
      <c r="E1016" s="0" t="n">
        <f aca="false">D1016-0.155</f>
        <v>489.346</v>
      </c>
      <c r="F1016" s="0" t="n">
        <v>489.545</v>
      </c>
      <c r="G1016" s="0" t="n">
        <f aca="false">IF(E1016 - F1016 &lt; 0, 0, E1016 - F1016)</f>
        <v>0</v>
      </c>
      <c r="H1016" s="0" t="n">
        <v>1.82</v>
      </c>
      <c r="I1016" s="0" t="n">
        <f aca="false">1.82*30*(G1016^1.5)</f>
        <v>0</v>
      </c>
      <c r="J1016" s="0" t="n">
        <f aca="false">I1016*60</f>
        <v>0</v>
      </c>
      <c r="K1016" s="0" t="n">
        <f aca="false">(I1016*86400)/24</f>
        <v>0</v>
      </c>
    </row>
    <row r="1017" customFormat="false" ht="16.5" hidden="false" customHeight="false" outlineLevel="0" collapsed="false">
      <c r="A1017" s="56" t="n">
        <v>45877.0416666667</v>
      </c>
      <c r="B1017" s="57" t="n">
        <f aca="false">MOD(A1017,1)</f>
        <v>0.0416666666569654</v>
      </c>
      <c r="C1017" s="0" t="n">
        <v>0.2</v>
      </c>
      <c r="D1017" s="0" t="n">
        <v>489.501</v>
      </c>
      <c r="E1017" s="0" t="n">
        <f aca="false">D1017-0.155</f>
        <v>489.346</v>
      </c>
      <c r="F1017" s="0" t="n">
        <v>489.545</v>
      </c>
      <c r="G1017" s="0" t="n">
        <f aca="false">IF(E1017 - F1017 &lt; 0, 0, E1017 - F1017)</f>
        <v>0</v>
      </c>
      <c r="H1017" s="0" t="n">
        <v>1.82</v>
      </c>
      <c r="I1017" s="0" t="n">
        <f aca="false">1.82*30*(G1017^1.5)</f>
        <v>0</v>
      </c>
      <c r="J1017" s="0" t="n">
        <f aca="false">I1017*60</f>
        <v>0</v>
      </c>
      <c r="K1017" s="0" t="n">
        <f aca="false">(I1017*86400)/24</f>
        <v>0</v>
      </c>
    </row>
    <row r="1018" customFormat="false" ht="16.5" hidden="false" customHeight="false" outlineLevel="0" collapsed="false">
      <c r="A1018" s="56" t="n">
        <v>45877.0833333333</v>
      </c>
      <c r="B1018" s="57" t="n">
        <f aca="false">MOD(A1018,1)</f>
        <v>0.0833333333430346</v>
      </c>
      <c r="C1018" s="0" t="n">
        <v>0.2</v>
      </c>
      <c r="D1018" s="0" t="n">
        <v>489.501</v>
      </c>
      <c r="E1018" s="0" t="n">
        <f aca="false">D1018-0.155</f>
        <v>489.346</v>
      </c>
      <c r="F1018" s="0" t="n">
        <v>489.545</v>
      </c>
      <c r="G1018" s="0" t="n">
        <f aca="false">IF(E1018 - F1018 &lt; 0, 0, E1018 - F1018)</f>
        <v>0</v>
      </c>
      <c r="H1018" s="0" t="n">
        <v>1.82</v>
      </c>
      <c r="I1018" s="0" t="n">
        <f aca="false">1.82*30*(G1018^1.5)</f>
        <v>0</v>
      </c>
      <c r="J1018" s="0" t="n">
        <f aca="false">I1018*60</f>
        <v>0</v>
      </c>
      <c r="K1018" s="0" t="n">
        <f aca="false">(I1018*86400)/24</f>
        <v>0</v>
      </c>
    </row>
    <row r="1019" customFormat="false" ht="16.5" hidden="false" customHeight="false" outlineLevel="0" collapsed="false">
      <c r="A1019" s="56" t="n">
        <v>45877.125</v>
      </c>
      <c r="B1019" s="57" t="n">
        <f aca="false">MOD(A1019,1)</f>
        <v>0.125</v>
      </c>
      <c r="C1019" s="0" t="n">
        <v>0.4</v>
      </c>
      <c r="D1019" s="0" t="n">
        <v>489.501</v>
      </c>
      <c r="E1019" s="0" t="n">
        <f aca="false">D1019-0.155</f>
        <v>489.346</v>
      </c>
      <c r="F1019" s="0" t="n">
        <v>489.545</v>
      </c>
      <c r="G1019" s="0" t="n">
        <f aca="false">IF(E1019 - F1019 &lt; 0, 0, E1019 - F1019)</f>
        <v>0</v>
      </c>
      <c r="H1019" s="0" t="n">
        <v>1.82</v>
      </c>
      <c r="I1019" s="0" t="n">
        <f aca="false">1.82*30*(G1019^1.5)</f>
        <v>0</v>
      </c>
      <c r="J1019" s="0" t="n">
        <f aca="false">I1019*60</f>
        <v>0</v>
      </c>
      <c r="K1019" s="0" t="n">
        <f aca="false">(I1019*86400)/24</f>
        <v>0</v>
      </c>
    </row>
    <row r="1020" customFormat="false" ht="16.5" hidden="false" customHeight="false" outlineLevel="0" collapsed="false">
      <c r="A1020" s="56" t="n">
        <v>45877.1666666667</v>
      </c>
      <c r="B1020" s="57" t="n">
        <f aca="false">MOD(A1020,1)</f>
        <v>0.166666666656965</v>
      </c>
      <c r="C1020" s="0" t="n">
        <v>0</v>
      </c>
      <c r="D1020" s="0" t="n">
        <v>489.501</v>
      </c>
      <c r="E1020" s="0" t="n">
        <f aca="false">D1020-0.155</f>
        <v>489.346</v>
      </c>
      <c r="F1020" s="0" t="n">
        <v>489.545</v>
      </c>
      <c r="G1020" s="0" t="n">
        <f aca="false">IF(E1020 - F1020 &lt; 0, 0, E1020 - F1020)</f>
        <v>0</v>
      </c>
      <c r="H1020" s="0" t="n">
        <v>1.82</v>
      </c>
      <c r="I1020" s="0" t="n">
        <f aca="false">1.82*30*(G1020^1.5)</f>
        <v>0</v>
      </c>
      <c r="J1020" s="0" t="n">
        <f aca="false">I1020*60</f>
        <v>0</v>
      </c>
      <c r="K1020" s="0" t="n">
        <f aca="false">(I1020*86400)/24</f>
        <v>0</v>
      </c>
    </row>
    <row r="1021" customFormat="false" ht="16.5" hidden="false" customHeight="false" outlineLevel="0" collapsed="false">
      <c r="A1021" s="56" t="n">
        <v>45877.2083333333</v>
      </c>
      <c r="B1021" s="57" t="n">
        <f aca="false">MOD(A1021,1)</f>
        <v>0.208333333343035</v>
      </c>
      <c r="C1021" s="0" t="n">
        <v>0</v>
      </c>
      <c r="D1021" s="0" t="n">
        <v>489.495</v>
      </c>
      <c r="E1021" s="0" t="n">
        <f aca="false">D1021-0.155</f>
        <v>489.34</v>
      </c>
      <c r="F1021" s="0" t="n">
        <v>489.545</v>
      </c>
      <c r="G1021" s="0" t="n">
        <f aca="false">IF(E1021 - F1021 &lt; 0, 0, E1021 - F1021)</f>
        <v>0</v>
      </c>
      <c r="H1021" s="0" t="n">
        <v>1.82</v>
      </c>
      <c r="I1021" s="0" t="n">
        <f aca="false">1.82*30*(G1021^1.5)</f>
        <v>0</v>
      </c>
      <c r="J1021" s="0" t="n">
        <f aca="false">I1021*60</f>
        <v>0</v>
      </c>
      <c r="K1021" s="0" t="n">
        <f aca="false">(I1021*86400)/24</f>
        <v>0</v>
      </c>
    </row>
    <row r="1022" customFormat="false" ht="16.5" hidden="false" customHeight="false" outlineLevel="0" collapsed="false">
      <c r="A1022" s="56" t="n">
        <v>45877.25</v>
      </c>
      <c r="B1022" s="57" t="n">
        <f aca="false">MOD(A1022,1)</f>
        <v>0.25</v>
      </c>
      <c r="C1022" s="0" t="n">
        <v>0</v>
      </c>
      <c r="D1022" s="0" t="n">
        <v>489.496</v>
      </c>
      <c r="E1022" s="0" t="n">
        <f aca="false">D1022-0.155</f>
        <v>489.341</v>
      </c>
      <c r="F1022" s="0" t="n">
        <v>489.545</v>
      </c>
      <c r="G1022" s="0" t="n">
        <f aca="false">IF(E1022 - F1022 &lt; 0, 0, E1022 - F1022)</f>
        <v>0</v>
      </c>
      <c r="H1022" s="0" t="n">
        <v>1.82</v>
      </c>
      <c r="I1022" s="0" t="n">
        <f aca="false">1.82*30*(G1022^1.5)</f>
        <v>0</v>
      </c>
      <c r="J1022" s="0" t="n">
        <f aca="false">I1022*60</f>
        <v>0</v>
      </c>
      <c r="K1022" s="0" t="n">
        <f aca="false">(I1022*86400)/24</f>
        <v>0</v>
      </c>
    </row>
    <row r="1023" customFormat="false" ht="16.5" hidden="false" customHeight="false" outlineLevel="0" collapsed="false">
      <c r="A1023" s="56" t="n">
        <v>45877.2916666667</v>
      </c>
      <c r="B1023" s="57" t="n">
        <f aca="false">MOD(A1023,1)</f>
        <v>0.291666666656965</v>
      </c>
      <c r="C1023" s="0" t="n">
        <v>0</v>
      </c>
      <c r="D1023" s="0" t="n">
        <v>489.495</v>
      </c>
      <c r="E1023" s="0" t="n">
        <f aca="false">D1023-0.155</f>
        <v>489.34</v>
      </c>
      <c r="F1023" s="0" t="n">
        <v>489.545</v>
      </c>
      <c r="G1023" s="0" t="n">
        <f aca="false">IF(E1023 - F1023 &lt; 0, 0, E1023 - F1023)</f>
        <v>0</v>
      </c>
      <c r="H1023" s="0" t="n">
        <v>1.82</v>
      </c>
      <c r="I1023" s="0" t="n">
        <f aca="false">1.82*30*(G1023^1.5)</f>
        <v>0</v>
      </c>
      <c r="J1023" s="0" t="n">
        <f aca="false">I1023*60</f>
        <v>0</v>
      </c>
      <c r="K1023" s="0" t="n">
        <f aca="false">(I1023*86400)/24</f>
        <v>0</v>
      </c>
    </row>
    <row r="1024" customFormat="false" ht="16.5" hidden="false" customHeight="false" outlineLevel="0" collapsed="false">
      <c r="A1024" s="56" t="n">
        <v>45877.3333333333</v>
      </c>
      <c r="B1024" s="57" t="n">
        <f aca="false">MOD(A1024,1)</f>
        <v>0.333333333343035</v>
      </c>
      <c r="C1024" s="0" t="n">
        <v>0</v>
      </c>
      <c r="D1024" s="0" t="n">
        <v>489.495</v>
      </c>
      <c r="E1024" s="0" t="n">
        <f aca="false">D1024-0.155</f>
        <v>489.34</v>
      </c>
      <c r="F1024" s="0" t="n">
        <v>489.545</v>
      </c>
      <c r="G1024" s="0" t="n">
        <f aca="false">IF(E1024 - F1024 &lt; 0, 0, E1024 - F1024)</f>
        <v>0</v>
      </c>
      <c r="H1024" s="0" t="n">
        <v>1.82</v>
      </c>
      <c r="I1024" s="0" t="n">
        <f aca="false">1.82*30*(G1024^1.5)</f>
        <v>0</v>
      </c>
      <c r="J1024" s="0" t="n">
        <f aca="false">I1024*60</f>
        <v>0</v>
      </c>
      <c r="K1024" s="0" t="n">
        <f aca="false">(I1024*86400)/24</f>
        <v>0</v>
      </c>
    </row>
    <row r="1025" customFormat="false" ht="16.5" hidden="false" customHeight="false" outlineLevel="0" collapsed="false">
      <c r="A1025" s="56" t="n">
        <v>45877.375</v>
      </c>
      <c r="B1025" s="57" t="n">
        <f aca="false">MOD(A1025,1)</f>
        <v>0.375</v>
      </c>
      <c r="C1025" s="0" t="n">
        <v>0</v>
      </c>
      <c r="D1025" s="0" t="n">
        <v>489.495</v>
      </c>
      <c r="E1025" s="0" t="n">
        <f aca="false">D1025-0.155</f>
        <v>489.34</v>
      </c>
      <c r="F1025" s="0" t="n">
        <v>489.545</v>
      </c>
      <c r="G1025" s="0" t="n">
        <f aca="false">IF(E1025 - F1025 &lt; 0, 0, E1025 - F1025)</f>
        <v>0</v>
      </c>
      <c r="H1025" s="0" t="n">
        <v>1.82</v>
      </c>
      <c r="I1025" s="0" t="n">
        <f aca="false">1.82*30*(G1025^1.5)</f>
        <v>0</v>
      </c>
      <c r="J1025" s="0" t="n">
        <f aca="false">I1025*60</f>
        <v>0</v>
      </c>
      <c r="K1025" s="0" t="n">
        <f aca="false">(I1025*86400)/24</f>
        <v>0</v>
      </c>
    </row>
    <row r="1026" customFormat="false" ht="16.5" hidden="false" customHeight="false" outlineLevel="0" collapsed="false">
      <c r="A1026" s="56" t="n">
        <v>45877.4166666667</v>
      </c>
      <c r="B1026" s="57" t="n">
        <f aca="false">MOD(A1026,1)</f>
        <v>0.416666666656965</v>
      </c>
      <c r="C1026" s="0" t="n">
        <v>0</v>
      </c>
      <c r="D1026" s="0" t="n">
        <v>489.488</v>
      </c>
      <c r="E1026" s="0" t="n">
        <f aca="false">D1026-0.155</f>
        <v>489.333</v>
      </c>
      <c r="F1026" s="0" t="n">
        <v>489.545</v>
      </c>
      <c r="G1026" s="0" t="n">
        <f aca="false">IF(E1026 - F1026 &lt; 0, 0, E1026 - F1026)</f>
        <v>0</v>
      </c>
      <c r="H1026" s="0" t="n">
        <v>1.82</v>
      </c>
      <c r="I1026" s="0" t="n">
        <f aca="false">1.82*30*(G1026^1.5)</f>
        <v>0</v>
      </c>
      <c r="J1026" s="0" t="n">
        <f aca="false">I1026*60</f>
        <v>0</v>
      </c>
      <c r="K1026" s="0" t="n">
        <f aca="false">(I1026*86400)/24</f>
        <v>0</v>
      </c>
    </row>
    <row r="1027" customFormat="false" ht="16.5" hidden="false" customHeight="false" outlineLevel="0" collapsed="false">
      <c r="A1027" s="56" t="n">
        <v>45877.4583333333</v>
      </c>
      <c r="B1027" s="57" t="n">
        <f aca="false">MOD(A1027,1)</f>
        <v>0.458333333343035</v>
      </c>
      <c r="C1027" s="0" t="n">
        <v>0</v>
      </c>
      <c r="D1027" s="0" t="n">
        <v>489.488</v>
      </c>
      <c r="E1027" s="0" t="n">
        <f aca="false">D1027-0.155</f>
        <v>489.333</v>
      </c>
      <c r="F1027" s="0" t="n">
        <v>489.545</v>
      </c>
      <c r="G1027" s="0" t="n">
        <f aca="false">IF(E1027 - F1027 &lt; 0, 0, E1027 - F1027)</f>
        <v>0</v>
      </c>
      <c r="H1027" s="0" t="n">
        <v>1.82</v>
      </c>
      <c r="I1027" s="0" t="n">
        <f aca="false">1.82*30*(G1027^1.5)</f>
        <v>0</v>
      </c>
      <c r="J1027" s="0" t="n">
        <f aca="false">I1027*60</f>
        <v>0</v>
      </c>
      <c r="K1027" s="0" t="n">
        <f aca="false">(I1027*86400)/24</f>
        <v>0</v>
      </c>
    </row>
    <row r="1028" customFormat="false" ht="16.5" hidden="false" customHeight="false" outlineLevel="0" collapsed="false">
      <c r="A1028" s="56" t="n">
        <v>45877.5</v>
      </c>
      <c r="B1028" s="57" t="n">
        <f aca="false">MOD(A1028,1)</f>
        <v>0.5</v>
      </c>
      <c r="C1028" s="0" t="n">
        <v>0</v>
      </c>
      <c r="D1028" s="0" t="n">
        <v>489.488</v>
      </c>
      <c r="E1028" s="0" t="n">
        <f aca="false">D1028-0.155</f>
        <v>489.333</v>
      </c>
      <c r="F1028" s="0" t="n">
        <v>489.545</v>
      </c>
      <c r="G1028" s="0" t="n">
        <f aca="false">IF(E1028 - F1028 &lt; 0, 0, E1028 - F1028)</f>
        <v>0</v>
      </c>
      <c r="H1028" s="0" t="n">
        <v>1.82</v>
      </c>
      <c r="I1028" s="0" t="n">
        <f aca="false">1.82*30*(G1028^1.5)</f>
        <v>0</v>
      </c>
      <c r="J1028" s="0" t="n">
        <f aca="false">I1028*60</f>
        <v>0</v>
      </c>
      <c r="K1028" s="0" t="n">
        <f aca="false">(I1028*86400)/24</f>
        <v>0</v>
      </c>
    </row>
    <row r="1029" customFormat="false" ht="16.5" hidden="false" customHeight="false" outlineLevel="0" collapsed="false">
      <c r="A1029" s="56" t="n">
        <v>45877.5416666667</v>
      </c>
      <c r="B1029" s="57" t="n">
        <f aca="false">MOD(A1029,1)</f>
        <v>0.541666666656965</v>
      </c>
      <c r="C1029" s="0" t="n">
        <v>0</v>
      </c>
      <c r="D1029" s="0" t="n">
        <v>489.482</v>
      </c>
      <c r="E1029" s="0" t="n">
        <f aca="false">D1029-0.155</f>
        <v>489.327</v>
      </c>
      <c r="F1029" s="0" t="n">
        <v>489.545</v>
      </c>
      <c r="G1029" s="0" t="n">
        <f aca="false">IF(E1029 - F1029 &lt; 0, 0, E1029 - F1029)</f>
        <v>0</v>
      </c>
      <c r="H1029" s="0" t="n">
        <v>1.82</v>
      </c>
      <c r="I1029" s="0" t="n">
        <f aca="false">1.82*30*(G1029^1.5)</f>
        <v>0</v>
      </c>
      <c r="J1029" s="0" t="n">
        <f aca="false">I1029*60</f>
        <v>0</v>
      </c>
      <c r="K1029" s="0" t="n">
        <f aca="false">(I1029*86400)/24</f>
        <v>0</v>
      </c>
    </row>
    <row r="1030" customFormat="false" ht="16.5" hidden="false" customHeight="false" outlineLevel="0" collapsed="false">
      <c r="A1030" s="56" t="n">
        <v>45877.5833333333</v>
      </c>
      <c r="B1030" s="57" t="n">
        <f aca="false">MOD(A1030,1)</f>
        <v>0.583333333343035</v>
      </c>
      <c r="C1030" s="0" t="n">
        <v>0</v>
      </c>
      <c r="D1030" s="0" t="n">
        <v>489.482</v>
      </c>
      <c r="E1030" s="0" t="n">
        <f aca="false">D1030-0.155</f>
        <v>489.327</v>
      </c>
      <c r="F1030" s="0" t="n">
        <v>489.545</v>
      </c>
      <c r="G1030" s="0" t="n">
        <f aca="false">IF(E1030 - F1030 &lt; 0, 0, E1030 - F1030)</f>
        <v>0</v>
      </c>
      <c r="H1030" s="0" t="n">
        <v>1.82</v>
      </c>
      <c r="I1030" s="0" t="n">
        <f aca="false">1.82*30*(G1030^1.5)</f>
        <v>0</v>
      </c>
      <c r="J1030" s="0" t="n">
        <f aca="false">I1030*60</f>
        <v>0</v>
      </c>
      <c r="K1030" s="0" t="n">
        <f aca="false">(I1030*86400)/24</f>
        <v>0</v>
      </c>
    </row>
    <row r="1031" customFormat="false" ht="16.5" hidden="false" customHeight="false" outlineLevel="0" collapsed="false">
      <c r="A1031" s="56" t="n">
        <v>45877.625</v>
      </c>
      <c r="B1031" s="57" t="n">
        <f aca="false">MOD(A1031,1)</f>
        <v>0.625</v>
      </c>
      <c r="C1031" s="0" t="n">
        <v>0</v>
      </c>
      <c r="D1031" s="0" t="n">
        <v>489.482</v>
      </c>
      <c r="E1031" s="0" t="n">
        <f aca="false">D1031-0.155</f>
        <v>489.327</v>
      </c>
      <c r="F1031" s="0" t="n">
        <v>489.545</v>
      </c>
      <c r="G1031" s="0" t="n">
        <f aca="false">IF(E1031 - F1031 &lt; 0, 0, E1031 - F1031)</f>
        <v>0</v>
      </c>
      <c r="H1031" s="0" t="n">
        <v>1.82</v>
      </c>
      <c r="I1031" s="0" t="n">
        <f aca="false">1.82*30*(G1031^1.5)</f>
        <v>0</v>
      </c>
      <c r="J1031" s="0" t="n">
        <f aca="false">I1031*60</f>
        <v>0</v>
      </c>
      <c r="K1031" s="0" t="n">
        <f aca="false">(I1031*86400)/24</f>
        <v>0</v>
      </c>
    </row>
    <row r="1032" customFormat="false" ht="16.5" hidden="false" customHeight="false" outlineLevel="0" collapsed="false">
      <c r="A1032" s="56" t="n">
        <v>45877.6666666667</v>
      </c>
      <c r="B1032" s="57" t="n">
        <f aca="false">MOD(A1032,1)</f>
        <v>0.666666666656965</v>
      </c>
      <c r="C1032" s="0" t="n">
        <v>0</v>
      </c>
      <c r="D1032" s="0" t="n">
        <v>489.482</v>
      </c>
      <c r="E1032" s="0" t="n">
        <f aca="false">D1032-0.155</f>
        <v>489.327</v>
      </c>
      <c r="F1032" s="0" t="n">
        <v>489.545</v>
      </c>
      <c r="G1032" s="0" t="n">
        <f aca="false">IF(E1032 - F1032 &lt; 0, 0, E1032 - F1032)</f>
        <v>0</v>
      </c>
      <c r="H1032" s="0" t="n">
        <v>1.82</v>
      </c>
      <c r="I1032" s="0" t="n">
        <f aca="false">1.82*30*(G1032^1.5)</f>
        <v>0</v>
      </c>
      <c r="J1032" s="0" t="n">
        <f aca="false">I1032*60</f>
        <v>0</v>
      </c>
      <c r="K1032" s="0" t="n">
        <f aca="false">(I1032*86400)/24</f>
        <v>0</v>
      </c>
    </row>
    <row r="1033" customFormat="false" ht="16.5" hidden="false" customHeight="false" outlineLevel="0" collapsed="false">
      <c r="A1033" s="56" t="n">
        <v>45877.7083333333</v>
      </c>
      <c r="B1033" s="57" t="n">
        <f aca="false">MOD(A1033,1)</f>
        <v>0.708333333343035</v>
      </c>
      <c r="C1033" s="0" t="n">
        <v>0</v>
      </c>
      <c r="D1033" s="0" t="n">
        <v>489.483</v>
      </c>
      <c r="E1033" s="0" t="n">
        <f aca="false">D1033-0.155</f>
        <v>489.328</v>
      </c>
      <c r="F1033" s="0" t="n">
        <v>489.545</v>
      </c>
      <c r="G1033" s="0" t="n">
        <f aca="false">IF(E1033 - F1033 &lt; 0, 0, E1033 - F1033)</f>
        <v>0</v>
      </c>
      <c r="H1033" s="0" t="n">
        <v>1.82</v>
      </c>
      <c r="I1033" s="0" t="n">
        <f aca="false">1.82*30*(G1033^1.5)</f>
        <v>0</v>
      </c>
      <c r="J1033" s="0" t="n">
        <f aca="false">I1033*60</f>
        <v>0</v>
      </c>
      <c r="K1033" s="0" t="n">
        <f aca="false">(I1033*86400)/24</f>
        <v>0</v>
      </c>
    </row>
    <row r="1034" customFormat="false" ht="16.5" hidden="false" customHeight="false" outlineLevel="0" collapsed="false">
      <c r="A1034" s="56" t="n">
        <v>45877.75</v>
      </c>
      <c r="B1034" s="57" t="n">
        <f aca="false">MOD(A1034,1)</f>
        <v>0.75</v>
      </c>
      <c r="C1034" s="0" t="n">
        <v>0</v>
      </c>
      <c r="D1034" s="0" t="n">
        <v>489.476</v>
      </c>
      <c r="E1034" s="0" t="n">
        <f aca="false">D1034-0.155</f>
        <v>489.321</v>
      </c>
      <c r="F1034" s="0" t="n">
        <v>489.545</v>
      </c>
      <c r="G1034" s="0" t="n">
        <f aca="false">IF(E1034 - F1034 &lt; 0, 0, E1034 - F1034)</f>
        <v>0</v>
      </c>
      <c r="H1034" s="0" t="n">
        <v>1.82</v>
      </c>
      <c r="I1034" s="0" t="n">
        <f aca="false">1.82*30*(G1034^1.5)</f>
        <v>0</v>
      </c>
      <c r="J1034" s="0" t="n">
        <f aca="false">I1034*60</f>
        <v>0</v>
      </c>
      <c r="K1034" s="0" t="n">
        <f aca="false">(I1034*86400)/24</f>
        <v>0</v>
      </c>
    </row>
    <row r="1035" customFormat="false" ht="16.5" hidden="false" customHeight="false" outlineLevel="0" collapsed="false">
      <c r="A1035" s="56" t="n">
        <v>45877.7916666667</v>
      </c>
      <c r="B1035" s="57" t="n">
        <f aca="false">MOD(A1035,1)</f>
        <v>0.791666666656965</v>
      </c>
      <c r="C1035" s="0" t="n">
        <v>0.4</v>
      </c>
      <c r="D1035" s="0" t="n">
        <v>489.476</v>
      </c>
      <c r="E1035" s="0" t="n">
        <f aca="false">D1035-0.155</f>
        <v>489.321</v>
      </c>
      <c r="F1035" s="0" t="n">
        <v>489.545</v>
      </c>
      <c r="G1035" s="0" t="n">
        <f aca="false">IF(E1035 - F1035 &lt; 0, 0, E1035 - F1035)</f>
        <v>0</v>
      </c>
      <c r="H1035" s="0" t="n">
        <v>1.82</v>
      </c>
      <c r="I1035" s="0" t="n">
        <f aca="false">1.82*30*(G1035^1.5)</f>
        <v>0</v>
      </c>
      <c r="J1035" s="0" t="n">
        <f aca="false">I1035*60</f>
        <v>0</v>
      </c>
      <c r="K1035" s="0" t="n">
        <f aca="false">(I1035*86400)/24</f>
        <v>0</v>
      </c>
    </row>
    <row r="1036" customFormat="false" ht="16.5" hidden="false" customHeight="false" outlineLevel="0" collapsed="false">
      <c r="A1036" s="56" t="n">
        <v>45877.8333333333</v>
      </c>
      <c r="B1036" s="57" t="n">
        <f aca="false">MOD(A1036,1)</f>
        <v>0.833333333343035</v>
      </c>
      <c r="C1036" s="0" t="n">
        <v>0.2</v>
      </c>
      <c r="D1036" s="0" t="n">
        <v>489.476</v>
      </c>
      <c r="E1036" s="0" t="n">
        <f aca="false">D1036-0.155</f>
        <v>489.321</v>
      </c>
      <c r="F1036" s="0" t="n">
        <v>489.545</v>
      </c>
      <c r="G1036" s="0" t="n">
        <f aca="false">IF(E1036 - F1036 &lt; 0, 0, E1036 - F1036)</f>
        <v>0</v>
      </c>
      <c r="H1036" s="0" t="n">
        <v>1.82</v>
      </c>
      <c r="I1036" s="0" t="n">
        <f aca="false">1.82*30*(G1036^1.5)</f>
        <v>0</v>
      </c>
      <c r="J1036" s="0" t="n">
        <f aca="false">I1036*60</f>
        <v>0</v>
      </c>
      <c r="K1036" s="0" t="n">
        <f aca="false">(I1036*86400)/24</f>
        <v>0</v>
      </c>
    </row>
    <row r="1037" customFormat="false" ht="16.5" hidden="false" customHeight="false" outlineLevel="0" collapsed="false">
      <c r="A1037" s="56" t="n">
        <v>45877.875</v>
      </c>
      <c r="B1037" s="57" t="n">
        <f aca="false">MOD(A1037,1)</f>
        <v>0.875</v>
      </c>
      <c r="C1037" s="0" t="n">
        <v>0</v>
      </c>
      <c r="D1037" s="0" t="n">
        <v>489.476</v>
      </c>
      <c r="E1037" s="0" t="n">
        <f aca="false">D1037-0.155</f>
        <v>489.321</v>
      </c>
      <c r="F1037" s="0" t="n">
        <v>489.545</v>
      </c>
      <c r="G1037" s="0" t="n">
        <f aca="false">IF(E1037 - F1037 &lt; 0, 0, E1037 - F1037)</f>
        <v>0</v>
      </c>
      <c r="H1037" s="0" t="n">
        <v>1.82</v>
      </c>
      <c r="I1037" s="0" t="n">
        <f aca="false">1.82*30*(G1037^1.5)</f>
        <v>0</v>
      </c>
      <c r="J1037" s="0" t="n">
        <f aca="false">I1037*60</f>
        <v>0</v>
      </c>
      <c r="K1037" s="0" t="n">
        <f aca="false">(I1037*86400)/24</f>
        <v>0</v>
      </c>
    </row>
    <row r="1038" customFormat="false" ht="16.5" hidden="false" customHeight="false" outlineLevel="0" collapsed="false">
      <c r="A1038" s="56" t="n">
        <v>45877.9166666667</v>
      </c>
      <c r="B1038" s="57" t="n">
        <f aca="false">MOD(A1038,1)</f>
        <v>0.916666666656965</v>
      </c>
      <c r="C1038" s="0" t="n">
        <v>0</v>
      </c>
      <c r="D1038" s="0" t="n">
        <v>489.469</v>
      </c>
      <c r="E1038" s="0" t="n">
        <f aca="false">D1038-0.155</f>
        <v>489.314</v>
      </c>
      <c r="F1038" s="0" t="n">
        <v>489.545</v>
      </c>
      <c r="G1038" s="0" t="n">
        <f aca="false">IF(E1038 - F1038 &lt; 0, 0, E1038 - F1038)</f>
        <v>0</v>
      </c>
      <c r="H1038" s="0" t="n">
        <v>1.82</v>
      </c>
      <c r="I1038" s="0" t="n">
        <f aca="false">1.82*30*(G1038^1.5)</f>
        <v>0</v>
      </c>
      <c r="J1038" s="0" t="n">
        <f aca="false">I1038*60</f>
        <v>0</v>
      </c>
      <c r="K1038" s="0" t="n">
        <f aca="false">(I1038*86400)/24</f>
        <v>0</v>
      </c>
    </row>
    <row r="1039" customFormat="false" ht="16.5" hidden="false" customHeight="false" outlineLevel="0" collapsed="false">
      <c r="A1039" s="56" t="n">
        <v>45877.9583333333</v>
      </c>
      <c r="B1039" s="57" t="n">
        <f aca="false">MOD(A1039,1)</f>
        <v>0.958333333343035</v>
      </c>
      <c r="C1039" s="0" t="n">
        <v>0</v>
      </c>
      <c r="D1039" s="0" t="n">
        <v>489.469</v>
      </c>
      <c r="E1039" s="0" t="n">
        <f aca="false">D1039-0.155</f>
        <v>489.314</v>
      </c>
      <c r="F1039" s="0" t="n">
        <v>489.545</v>
      </c>
      <c r="G1039" s="0" t="n">
        <f aca="false">IF(E1039 - F1039 &lt; 0, 0, E1039 - F1039)</f>
        <v>0</v>
      </c>
      <c r="H1039" s="0" t="n">
        <v>1.82</v>
      </c>
      <c r="I1039" s="0" t="n">
        <f aca="false">1.82*30*(G1039^1.5)</f>
        <v>0</v>
      </c>
      <c r="J1039" s="0" t="n">
        <f aca="false">I1039*60</f>
        <v>0</v>
      </c>
      <c r="K1039" s="0" t="n">
        <f aca="false">(I1039*86400)/24</f>
        <v>0</v>
      </c>
    </row>
    <row r="1040" customFormat="false" ht="16.5" hidden="false" customHeight="false" outlineLevel="0" collapsed="false">
      <c r="A1040" s="56" t="n">
        <v>45878</v>
      </c>
      <c r="B1040" s="57" t="n">
        <f aca="false">MOD(A1040,1)</f>
        <v>0</v>
      </c>
      <c r="C1040" s="0" t="n">
        <v>0</v>
      </c>
      <c r="D1040" s="0" t="n">
        <v>489.469</v>
      </c>
      <c r="E1040" s="0" t="n">
        <f aca="false">D1040-0.155</f>
        <v>489.314</v>
      </c>
      <c r="F1040" s="0" t="n">
        <v>489.545</v>
      </c>
      <c r="G1040" s="0" t="n">
        <f aca="false">IF(E1040 - F1040 &lt; 0, 0, E1040 - F1040)</f>
        <v>0</v>
      </c>
      <c r="H1040" s="0" t="n">
        <v>1.82</v>
      </c>
      <c r="I1040" s="0" t="n">
        <f aca="false">1.82*30*(G1040^1.5)</f>
        <v>0</v>
      </c>
      <c r="J1040" s="0" t="n">
        <f aca="false">I1040*60</f>
        <v>0</v>
      </c>
      <c r="K1040" s="0" t="n">
        <f aca="false">(I1040*86400)/24</f>
        <v>0</v>
      </c>
    </row>
    <row r="1041" customFormat="false" ht="16.5" hidden="false" customHeight="false" outlineLevel="0" collapsed="false">
      <c r="A1041" s="56" t="n">
        <v>45878.0416666667</v>
      </c>
      <c r="B1041" s="57" t="n">
        <f aca="false">MOD(A1041,1)</f>
        <v>0.0416666666569654</v>
      </c>
      <c r="C1041" s="0" t="n">
        <v>0</v>
      </c>
      <c r="D1041" s="0" t="n">
        <v>489.469</v>
      </c>
      <c r="E1041" s="0" t="n">
        <f aca="false">D1041-0.155</f>
        <v>489.314</v>
      </c>
      <c r="F1041" s="0" t="n">
        <v>489.545</v>
      </c>
      <c r="G1041" s="0" t="n">
        <f aca="false">IF(E1041 - F1041 &lt; 0, 0, E1041 - F1041)</f>
        <v>0</v>
      </c>
      <c r="H1041" s="0" t="n">
        <v>1.82</v>
      </c>
      <c r="I1041" s="0" t="n">
        <f aca="false">1.82*30*(G1041^1.5)</f>
        <v>0</v>
      </c>
      <c r="J1041" s="0" t="n">
        <f aca="false">I1041*60</f>
        <v>0</v>
      </c>
      <c r="K1041" s="0" t="n">
        <f aca="false">(I1041*86400)/24</f>
        <v>0</v>
      </c>
    </row>
    <row r="1042" customFormat="false" ht="16.5" hidden="false" customHeight="false" outlineLevel="0" collapsed="false">
      <c r="A1042" s="56" t="n">
        <v>45878.0833333333</v>
      </c>
      <c r="B1042" s="57" t="n">
        <f aca="false">MOD(A1042,1)</f>
        <v>0.0833333333430346</v>
      </c>
      <c r="C1042" s="0" t="n">
        <v>0</v>
      </c>
      <c r="D1042" s="0" t="n">
        <v>489.469</v>
      </c>
      <c r="E1042" s="0" t="n">
        <f aca="false">D1042-0.155</f>
        <v>489.314</v>
      </c>
      <c r="F1042" s="0" t="n">
        <v>489.545</v>
      </c>
      <c r="G1042" s="0" t="n">
        <f aca="false">IF(E1042 - F1042 &lt; 0, 0, E1042 - F1042)</f>
        <v>0</v>
      </c>
      <c r="H1042" s="0" t="n">
        <v>1.82</v>
      </c>
      <c r="I1042" s="0" t="n">
        <f aca="false">1.82*30*(G1042^1.5)</f>
        <v>0</v>
      </c>
      <c r="J1042" s="0" t="n">
        <f aca="false">I1042*60</f>
        <v>0</v>
      </c>
      <c r="K1042" s="0" t="n">
        <f aca="false">(I1042*86400)/24</f>
        <v>0</v>
      </c>
    </row>
    <row r="1043" customFormat="false" ht="16.5" hidden="false" customHeight="false" outlineLevel="0" collapsed="false">
      <c r="A1043" s="56" t="n">
        <v>45878.125</v>
      </c>
      <c r="B1043" s="57" t="n">
        <f aca="false">MOD(A1043,1)</f>
        <v>0.125</v>
      </c>
      <c r="C1043" s="0" t="n">
        <v>0</v>
      </c>
      <c r="D1043" s="0" t="n">
        <v>489.463</v>
      </c>
      <c r="E1043" s="0" t="n">
        <f aca="false">D1043-0.155</f>
        <v>489.308</v>
      </c>
      <c r="F1043" s="0" t="n">
        <v>489.545</v>
      </c>
      <c r="G1043" s="0" t="n">
        <f aca="false">IF(E1043 - F1043 &lt; 0, 0, E1043 - F1043)</f>
        <v>0</v>
      </c>
      <c r="H1043" s="0" t="n">
        <v>1.82</v>
      </c>
      <c r="I1043" s="0" t="n">
        <f aca="false">1.82*30*(G1043^1.5)</f>
        <v>0</v>
      </c>
      <c r="J1043" s="0" t="n">
        <f aca="false">I1043*60</f>
        <v>0</v>
      </c>
      <c r="K1043" s="0" t="n">
        <f aca="false">(I1043*86400)/24</f>
        <v>0</v>
      </c>
    </row>
    <row r="1044" customFormat="false" ht="16.5" hidden="false" customHeight="false" outlineLevel="0" collapsed="false">
      <c r="A1044" s="56" t="n">
        <v>45878.1666666667</v>
      </c>
      <c r="B1044" s="57" t="n">
        <f aca="false">MOD(A1044,1)</f>
        <v>0.166666666656965</v>
      </c>
      <c r="C1044" s="0" t="n">
        <v>0.4</v>
      </c>
      <c r="D1044" s="0" t="n">
        <v>489.463</v>
      </c>
      <c r="E1044" s="0" t="n">
        <f aca="false">D1044-0.155</f>
        <v>489.308</v>
      </c>
      <c r="F1044" s="0" t="n">
        <v>489.545</v>
      </c>
      <c r="G1044" s="0" t="n">
        <f aca="false">IF(E1044 - F1044 &lt; 0, 0, E1044 - F1044)</f>
        <v>0</v>
      </c>
      <c r="H1044" s="0" t="n">
        <v>1.82</v>
      </c>
      <c r="I1044" s="0" t="n">
        <f aca="false">1.82*30*(G1044^1.5)</f>
        <v>0</v>
      </c>
      <c r="J1044" s="0" t="n">
        <f aca="false">I1044*60</f>
        <v>0</v>
      </c>
      <c r="K1044" s="0" t="n">
        <f aca="false">(I1044*86400)/24</f>
        <v>0</v>
      </c>
    </row>
    <row r="1045" customFormat="false" ht="16.5" hidden="false" customHeight="false" outlineLevel="0" collapsed="false">
      <c r="A1045" s="56" t="n">
        <v>45878.2083333333</v>
      </c>
      <c r="B1045" s="57" t="n">
        <f aca="false">MOD(A1045,1)</f>
        <v>0.208333333343035</v>
      </c>
      <c r="C1045" s="0" t="n">
        <v>0.4</v>
      </c>
      <c r="D1045" s="0" t="n">
        <v>489.464</v>
      </c>
      <c r="E1045" s="0" t="n">
        <f aca="false">D1045-0.155</f>
        <v>489.309</v>
      </c>
      <c r="F1045" s="0" t="n">
        <v>489.545</v>
      </c>
      <c r="G1045" s="0" t="n">
        <f aca="false">IF(E1045 - F1045 &lt; 0, 0, E1045 - F1045)</f>
        <v>0</v>
      </c>
      <c r="H1045" s="0" t="n">
        <v>1.82</v>
      </c>
      <c r="I1045" s="0" t="n">
        <f aca="false">1.82*30*(G1045^1.5)</f>
        <v>0</v>
      </c>
      <c r="J1045" s="0" t="n">
        <f aca="false">I1045*60</f>
        <v>0</v>
      </c>
      <c r="K1045" s="0" t="n">
        <f aca="false">(I1045*86400)/24</f>
        <v>0</v>
      </c>
    </row>
    <row r="1046" customFormat="false" ht="16.5" hidden="false" customHeight="false" outlineLevel="0" collapsed="false">
      <c r="A1046" s="56" t="n">
        <v>45878.25</v>
      </c>
      <c r="B1046" s="57" t="n">
        <f aca="false">MOD(A1046,1)</f>
        <v>0.25</v>
      </c>
      <c r="C1046" s="0" t="n">
        <v>0</v>
      </c>
      <c r="D1046" s="0" t="n">
        <v>489.463</v>
      </c>
      <c r="E1046" s="0" t="n">
        <f aca="false">D1046-0.155</f>
        <v>489.308</v>
      </c>
      <c r="F1046" s="0" t="n">
        <v>489.545</v>
      </c>
      <c r="G1046" s="0" t="n">
        <f aca="false">IF(E1046 - F1046 &lt; 0, 0, E1046 - F1046)</f>
        <v>0</v>
      </c>
      <c r="H1046" s="0" t="n">
        <v>1.82</v>
      </c>
      <c r="I1046" s="0" t="n">
        <f aca="false">1.82*30*(G1046^1.5)</f>
        <v>0</v>
      </c>
      <c r="J1046" s="0" t="n">
        <f aca="false">I1046*60</f>
        <v>0</v>
      </c>
      <c r="K1046" s="0" t="n">
        <f aca="false">(I1046*86400)/24</f>
        <v>0</v>
      </c>
    </row>
    <row r="1047" customFormat="false" ht="16.5" hidden="false" customHeight="false" outlineLevel="0" collapsed="false">
      <c r="A1047" s="56" t="n">
        <v>45878.2916666667</v>
      </c>
      <c r="B1047" s="57" t="n">
        <f aca="false">MOD(A1047,1)</f>
        <v>0.291666666656965</v>
      </c>
      <c r="C1047" s="0" t="n">
        <v>0.2</v>
      </c>
      <c r="D1047" s="0" t="n">
        <v>489.463</v>
      </c>
      <c r="E1047" s="0" t="n">
        <f aca="false">D1047-0.155</f>
        <v>489.308</v>
      </c>
      <c r="F1047" s="0" t="n">
        <v>489.545</v>
      </c>
      <c r="G1047" s="0" t="n">
        <f aca="false">IF(E1047 - F1047 &lt; 0, 0, E1047 - F1047)</f>
        <v>0</v>
      </c>
      <c r="H1047" s="0" t="n">
        <v>1.82</v>
      </c>
      <c r="I1047" s="0" t="n">
        <f aca="false">1.82*30*(G1047^1.5)</f>
        <v>0</v>
      </c>
      <c r="J1047" s="0" t="n">
        <f aca="false">I1047*60</f>
        <v>0</v>
      </c>
      <c r="K1047" s="0" t="n">
        <f aca="false">(I1047*86400)/24</f>
        <v>0</v>
      </c>
    </row>
    <row r="1048" customFormat="false" ht="16.5" hidden="false" customHeight="false" outlineLevel="0" collapsed="false">
      <c r="A1048" s="56" t="n">
        <v>45878.3333333333</v>
      </c>
      <c r="B1048" s="57" t="n">
        <f aca="false">MOD(A1048,1)</f>
        <v>0.333333333343035</v>
      </c>
      <c r="C1048" s="0" t="n">
        <v>0</v>
      </c>
      <c r="D1048" s="0" t="n">
        <v>489.463</v>
      </c>
      <c r="E1048" s="0" t="n">
        <f aca="false">D1048-0.155</f>
        <v>489.308</v>
      </c>
      <c r="F1048" s="0" t="n">
        <v>489.545</v>
      </c>
      <c r="G1048" s="0" t="n">
        <f aca="false">IF(E1048 - F1048 &lt; 0, 0, E1048 - F1048)</f>
        <v>0</v>
      </c>
      <c r="H1048" s="0" t="n">
        <v>1.82</v>
      </c>
      <c r="I1048" s="0" t="n">
        <f aca="false">1.82*30*(G1048^1.5)</f>
        <v>0</v>
      </c>
      <c r="J1048" s="0" t="n">
        <f aca="false">I1048*60</f>
        <v>0</v>
      </c>
      <c r="K1048" s="0" t="n">
        <f aca="false">(I1048*86400)/24</f>
        <v>0</v>
      </c>
    </row>
    <row r="1049" customFormat="false" ht="16.5" hidden="false" customHeight="false" outlineLevel="0" collapsed="false">
      <c r="A1049" s="56" t="n">
        <v>45878.375</v>
      </c>
      <c r="B1049" s="57" t="n">
        <f aca="false">MOD(A1049,1)</f>
        <v>0.375</v>
      </c>
      <c r="C1049" s="0" t="n">
        <v>0</v>
      </c>
      <c r="D1049" s="0" t="n">
        <v>489.463</v>
      </c>
      <c r="E1049" s="0" t="n">
        <f aca="false">D1049-0.155</f>
        <v>489.308</v>
      </c>
      <c r="F1049" s="0" t="n">
        <v>489.545</v>
      </c>
      <c r="G1049" s="0" t="n">
        <f aca="false">IF(E1049 - F1049 &lt; 0, 0, E1049 - F1049)</f>
        <v>0</v>
      </c>
      <c r="H1049" s="0" t="n">
        <v>1.82</v>
      </c>
      <c r="I1049" s="0" t="n">
        <f aca="false">1.82*30*(G1049^1.5)</f>
        <v>0</v>
      </c>
      <c r="J1049" s="0" t="n">
        <f aca="false">I1049*60</f>
        <v>0</v>
      </c>
      <c r="K1049" s="0" t="n">
        <f aca="false">(I1049*86400)/24</f>
        <v>0</v>
      </c>
    </row>
    <row r="1050" customFormat="false" ht="16.5" hidden="false" customHeight="false" outlineLevel="0" collapsed="false">
      <c r="A1050" s="56" t="n">
        <v>45878.4166666667</v>
      </c>
      <c r="B1050" s="57" t="n">
        <f aca="false">MOD(A1050,1)</f>
        <v>0.416666666656965</v>
      </c>
      <c r="C1050" s="0" t="n">
        <v>0</v>
      </c>
      <c r="D1050" s="0" t="n">
        <v>489.463</v>
      </c>
      <c r="E1050" s="0" t="n">
        <f aca="false">D1050-0.155</f>
        <v>489.308</v>
      </c>
      <c r="F1050" s="0" t="n">
        <v>489.545</v>
      </c>
      <c r="G1050" s="0" t="n">
        <f aca="false">IF(E1050 - F1050 &lt; 0, 0, E1050 - F1050)</f>
        <v>0</v>
      </c>
      <c r="H1050" s="0" t="n">
        <v>1.82</v>
      </c>
      <c r="I1050" s="0" t="n">
        <f aca="false">1.82*30*(G1050^1.5)</f>
        <v>0</v>
      </c>
      <c r="J1050" s="0" t="n">
        <f aca="false">I1050*60</f>
        <v>0</v>
      </c>
      <c r="K1050" s="0" t="n">
        <f aca="false">(I1050*86400)/24</f>
        <v>0</v>
      </c>
    </row>
    <row r="1051" customFormat="false" ht="16.5" hidden="false" customHeight="false" outlineLevel="0" collapsed="false">
      <c r="A1051" s="56" t="n">
        <v>45878.4583333333</v>
      </c>
      <c r="B1051" s="57" t="n">
        <f aca="false">MOD(A1051,1)</f>
        <v>0.458333333343035</v>
      </c>
      <c r="C1051" s="0" t="n">
        <v>0</v>
      </c>
      <c r="D1051" s="0" t="n">
        <v>489.456</v>
      </c>
      <c r="E1051" s="0" t="n">
        <f aca="false">D1051-0.155</f>
        <v>489.301</v>
      </c>
      <c r="F1051" s="0" t="n">
        <v>489.545</v>
      </c>
      <c r="G1051" s="0" t="n">
        <f aca="false">IF(E1051 - F1051 &lt; 0, 0, E1051 - F1051)</f>
        <v>0</v>
      </c>
      <c r="H1051" s="0" t="n">
        <v>1.82</v>
      </c>
      <c r="I1051" s="0" t="n">
        <f aca="false">1.82*30*(G1051^1.5)</f>
        <v>0</v>
      </c>
      <c r="J1051" s="0" t="n">
        <f aca="false">I1051*60</f>
        <v>0</v>
      </c>
      <c r="K1051" s="0" t="n">
        <f aca="false">(I1051*86400)/24</f>
        <v>0</v>
      </c>
    </row>
    <row r="1052" customFormat="false" ht="16.5" hidden="false" customHeight="false" outlineLevel="0" collapsed="false">
      <c r="A1052" s="56" t="n">
        <v>45878.5</v>
      </c>
      <c r="B1052" s="57" t="n">
        <f aca="false">MOD(A1052,1)</f>
        <v>0.5</v>
      </c>
      <c r="C1052" s="0" t="n">
        <v>0</v>
      </c>
      <c r="D1052" s="0" t="n">
        <v>489.456</v>
      </c>
      <c r="E1052" s="0" t="n">
        <f aca="false">D1052-0.155</f>
        <v>489.301</v>
      </c>
      <c r="F1052" s="0" t="n">
        <v>489.545</v>
      </c>
      <c r="G1052" s="0" t="n">
        <f aca="false">IF(E1052 - F1052 &lt; 0, 0, E1052 - F1052)</f>
        <v>0</v>
      </c>
      <c r="H1052" s="0" t="n">
        <v>1.82</v>
      </c>
      <c r="I1052" s="0" t="n">
        <f aca="false">1.82*30*(G1052^1.5)</f>
        <v>0</v>
      </c>
      <c r="J1052" s="0" t="n">
        <f aca="false">I1052*60</f>
        <v>0</v>
      </c>
      <c r="K1052" s="0" t="n">
        <f aca="false">(I1052*86400)/24</f>
        <v>0</v>
      </c>
    </row>
    <row r="1053" customFormat="false" ht="16.5" hidden="false" customHeight="false" outlineLevel="0" collapsed="false">
      <c r="A1053" s="56" t="n">
        <v>45878.5416666667</v>
      </c>
      <c r="B1053" s="57" t="n">
        <f aca="false">MOD(A1053,1)</f>
        <v>0.541666666656965</v>
      </c>
      <c r="C1053" s="0" t="n">
        <v>0</v>
      </c>
      <c r="D1053" s="0" t="n">
        <v>489.456</v>
      </c>
      <c r="E1053" s="0" t="n">
        <f aca="false">D1053-0.155</f>
        <v>489.301</v>
      </c>
      <c r="F1053" s="0" t="n">
        <v>489.545</v>
      </c>
      <c r="G1053" s="0" t="n">
        <f aca="false">IF(E1053 - F1053 &lt; 0, 0, E1053 - F1053)</f>
        <v>0</v>
      </c>
      <c r="H1053" s="0" t="n">
        <v>1.82</v>
      </c>
      <c r="I1053" s="0" t="n">
        <f aca="false">1.82*30*(G1053^1.5)</f>
        <v>0</v>
      </c>
      <c r="J1053" s="0" t="n">
        <f aca="false">I1053*60</f>
        <v>0</v>
      </c>
      <c r="K1053" s="0" t="n">
        <f aca="false">(I1053*86400)/24</f>
        <v>0</v>
      </c>
    </row>
    <row r="1054" customFormat="false" ht="16.5" hidden="false" customHeight="false" outlineLevel="0" collapsed="false">
      <c r="A1054" s="56" t="n">
        <v>45878.5833333333</v>
      </c>
      <c r="B1054" s="57" t="n">
        <f aca="false">MOD(A1054,1)</f>
        <v>0.583333333343035</v>
      </c>
      <c r="C1054" s="0" t="n">
        <v>0</v>
      </c>
      <c r="D1054" s="0" t="n">
        <v>489.456</v>
      </c>
      <c r="E1054" s="0" t="n">
        <f aca="false">D1054-0.155</f>
        <v>489.301</v>
      </c>
      <c r="F1054" s="0" t="n">
        <v>489.545</v>
      </c>
      <c r="G1054" s="0" t="n">
        <f aca="false">IF(E1054 - F1054 &lt; 0, 0, E1054 - F1054)</f>
        <v>0</v>
      </c>
      <c r="H1054" s="0" t="n">
        <v>1.82</v>
      </c>
      <c r="I1054" s="0" t="n">
        <f aca="false">1.82*30*(G1054^1.5)</f>
        <v>0</v>
      </c>
      <c r="J1054" s="0" t="n">
        <f aca="false">I1054*60</f>
        <v>0</v>
      </c>
      <c r="K1054" s="0" t="n">
        <f aca="false">(I1054*86400)/24</f>
        <v>0</v>
      </c>
    </row>
    <row r="1055" customFormat="false" ht="16.5" hidden="false" customHeight="false" outlineLevel="0" collapsed="false">
      <c r="A1055" s="56" t="n">
        <v>45878.625</v>
      </c>
      <c r="B1055" s="57" t="n">
        <f aca="false">MOD(A1055,1)</f>
        <v>0.625</v>
      </c>
      <c r="C1055" s="0" t="n">
        <v>0</v>
      </c>
      <c r="D1055" s="0" t="n">
        <v>489.456</v>
      </c>
      <c r="E1055" s="0" t="n">
        <f aca="false">D1055-0.155</f>
        <v>489.301</v>
      </c>
      <c r="F1055" s="0" t="n">
        <v>489.545</v>
      </c>
      <c r="G1055" s="0" t="n">
        <f aca="false">IF(E1055 - F1055 &lt; 0, 0, E1055 - F1055)</f>
        <v>0</v>
      </c>
      <c r="H1055" s="0" t="n">
        <v>1.82</v>
      </c>
      <c r="I1055" s="0" t="n">
        <f aca="false">1.82*30*(G1055^1.5)</f>
        <v>0</v>
      </c>
      <c r="J1055" s="0" t="n">
        <f aca="false">I1055*60</f>
        <v>0</v>
      </c>
      <c r="K1055" s="0" t="n">
        <f aca="false">(I1055*86400)/24</f>
        <v>0</v>
      </c>
    </row>
    <row r="1056" customFormat="false" ht="16.5" hidden="false" customHeight="false" outlineLevel="0" collapsed="false">
      <c r="A1056" s="56" t="n">
        <v>45878.6666666667</v>
      </c>
      <c r="B1056" s="57" t="n">
        <f aca="false">MOD(A1056,1)</f>
        <v>0.666666666656965</v>
      </c>
      <c r="C1056" s="0" t="n">
        <v>0</v>
      </c>
      <c r="D1056" s="0" t="n">
        <v>489.456</v>
      </c>
      <c r="E1056" s="0" t="n">
        <f aca="false">D1056-0.155</f>
        <v>489.301</v>
      </c>
      <c r="F1056" s="0" t="n">
        <v>489.545</v>
      </c>
      <c r="G1056" s="0" t="n">
        <f aca="false">IF(E1056 - F1056 &lt; 0, 0, E1056 - F1056)</f>
        <v>0</v>
      </c>
      <c r="H1056" s="0" t="n">
        <v>1.82</v>
      </c>
      <c r="I1056" s="0" t="n">
        <f aca="false">1.82*30*(G1056^1.5)</f>
        <v>0</v>
      </c>
      <c r="J1056" s="0" t="n">
        <f aca="false">I1056*60</f>
        <v>0</v>
      </c>
      <c r="K1056" s="0" t="n">
        <f aca="false">(I1056*86400)/24</f>
        <v>0</v>
      </c>
    </row>
    <row r="1057" customFormat="false" ht="16.5" hidden="false" customHeight="false" outlineLevel="0" collapsed="false">
      <c r="A1057" s="56" t="n">
        <v>45878.7083333333</v>
      </c>
      <c r="B1057" s="57" t="n">
        <f aca="false">MOD(A1057,1)</f>
        <v>0.708333333343035</v>
      </c>
      <c r="C1057" s="0" t="n">
        <v>0</v>
      </c>
      <c r="D1057" s="0" t="n">
        <v>489.449</v>
      </c>
      <c r="E1057" s="0" t="n">
        <f aca="false">D1057-0.155</f>
        <v>489.294</v>
      </c>
      <c r="F1057" s="0" t="n">
        <v>489.545</v>
      </c>
      <c r="G1057" s="0" t="n">
        <f aca="false">IF(E1057 - F1057 &lt; 0, 0, E1057 - F1057)</f>
        <v>0</v>
      </c>
      <c r="H1057" s="0" t="n">
        <v>1.82</v>
      </c>
      <c r="I1057" s="0" t="n">
        <f aca="false">1.82*30*(G1057^1.5)</f>
        <v>0</v>
      </c>
      <c r="J1057" s="0" t="n">
        <f aca="false">I1057*60</f>
        <v>0</v>
      </c>
      <c r="K1057" s="0" t="n">
        <f aca="false">(I1057*86400)/24</f>
        <v>0</v>
      </c>
    </row>
    <row r="1058" customFormat="false" ht="16.5" hidden="false" customHeight="false" outlineLevel="0" collapsed="false">
      <c r="A1058" s="56" t="n">
        <v>45878.75</v>
      </c>
      <c r="B1058" s="57" t="n">
        <f aca="false">MOD(A1058,1)</f>
        <v>0.75</v>
      </c>
      <c r="C1058" s="0" t="n">
        <v>0</v>
      </c>
      <c r="D1058" s="0" t="n">
        <v>489.45</v>
      </c>
      <c r="E1058" s="0" t="n">
        <f aca="false">D1058-0.155</f>
        <v>489.295</v>
      </c>
      <c r="F1058" s="0" t="n">
        <v>489.545</v>
      </c>
      <c r="G1058" s="0" t="n">
        <f aca="false">IF(E1058 - F1058 &lt; 0, 0, E1058 - F1058)</f>
        <v>0</v>
      </c>
      <c r="H1058" s="0" t="n">
        <v>1.82</v>
      </c>
      <c r="I1058" s="0" t="n">
        <f aca="false">1.82*30*(G1058^1.5)</f>
        <v>0</v>
      </c>
      <c r="J1058" s="0" t="n">
        <f aca="false">I1058*60</f>
        <v>0</v>
      </c>
      <c r="K1058" s="0" t="n">
        <f aca="false">(I1058*86400)/24</f>
        <v>0</v>
      </c>
    </row>
    <row r="1059" customFormat="false" ht="16.5" hidden="false" customHeight="false" outlineLevel="0" collapsed="false">
      <c r="A1059" s="56" t="n">
        <v>45878.7916666667</v>
      </c>
      <c r="B1059" s="57" t="n">
        <f aca="false">MOD(A1059,1)</f>
        <v>0.791666666656965</v>
      </c>
      <c r="C1059" s="0" t="n">
        <v>0</v>
      </c>
      <c r="D1059" s="0" t="n">
        <v>489.45</v>
      </c>
      <c r="E1059" s="0" t="n">
        <f aca="false">D1059-0.155</f>
        <v>489.295</v>
      </c>
      <c r="F1059" s="0" t="n">
        <v>489.545</v>
      </c>
      <c r="G1059" s="0" t="n">
        <f aca="false">IF(E1059 - F1059 &lt; 0, 0, E1059 - F1059)</f>
        <v>0</v>
      </c>
      <c r="H1059" s="0" t="n">
        <v>1.82</v>
      </c>
      <c r="I1059" s="0" t="n">
        <f aca="false">1.82*30*(G1059^1.5)</f>
        <v>0</v>
      </c>
      <c r="J1059" s="0" t="n">
        <f aca="false">I1059*60</f>
        <v>0</v>
      </c>
      <c r="K1059" s="0" t="n">
        <f aca="false">(I1059*86400)/24</f>
        <v>0</v>
      </c>
    </row>
    <row r="1060" customFormat="false" ht="16.5" hidden="false" customHeight="false" outlineLevel="0" collapsed="false">
      <c r="A1060" s="56" t="n">
        <v>45878.8333333333</v>
      </c>
      <c r="B1060" s="57" t="n">
        <f aca="false">MOD(A1060,1)</f>
        <v>0.833333333343035</v>
      </c>
      <c r="C1060" s="0" t="n">
        <v>0</v>
      </c>
      <c r="D1060" s="0" t="n">
        <v>489.443</v>
      </c>
      <c r="E1060" s="0" t="n">
        <f aca="false">D1060-0.155</f>
        <v>489.288</v>
      </c>
      <c r="F1060" s="0" t="n">
        <v>489.545</v>
      </c>
      <c r="G1060" s="0" t="n">
        <f aca="false">IF(E1060 - F1060 &lt; 0, 0, E1060 - F1060)</f>
        <v>0</v>
      </c>
      <c r="H1060" s="0" t="n">
        <v>1.82</v>
      </c>
      <c r="I1060" s="0" t="n">
        <f aca="false">1.82*30*(G1060^1.5)</f>
        <v>0</v>
      </c>
      <c r="J1060" s="0" t="n">
        <f aca="false">I1060*60</f>
        <v>0</v>
      </c>
      <c r="K1060" s="0" t="n">
        <f aca="false">(I1060*86400)/24</f>
        <v>0</v>
      </c>
    </row>
    <row r="1061" customFormat="false" ht="16.5" hidden="false" customHeight="false" outlineLevel="0" collapsed="false">
      <c r="A1061" s="56" t="n">
        <v>45878.875</v>
      </c>
      <c r="B1061" s="57" t="n">
        <f aca="false">MOD(A1061,1)</f>
        <v>0.875</v>
      </c>
      <c r="C1061" s="0" t="n">
        <v>0</v>
      </c>
      <c r="D1061" s="0" t="n">
        <v>489.443</v>
      </c>
      <c r="E1061" s="0" t="n">
        <f aca="false">D1061-0.155</f>
        <v>489.288</v>
      </c>
      <c r="F1061" s="0" t="n">
        <v>489.545</v>
      </c>
      <c r="G1061" s="0" t="n">
        <f aca="false">IF(E1061 - F1061 &lt; 0, 0, E1061 - F1061)</f>
        <v>0</v>
      </c>
      <c r="H1061" s="0" t="n">
        <v>1.82</v>
      </c>
      <c r="I1061" s="0" t="n">
        <f aca="false">1.82*30*(G1061^1.5)</f>
        <v>0</v>
      </c>
      <c r="J1061" s="0" t="n">
        <f aca="false">I1061*60</f>
        <v>0</v>
      </c>
      <c r="K1061" s="0" t="n">
        <f aca="false">(I1061*86400)/24</f>
        <v>0</v>
      </c>
    </row>
    <row r="1062" customFormat="false" ht="16.5" hidden="false" customHeight="false" outlineLevel="0" collapsed="false">
      <c r="A1062" s="56" t="n">
        <v>45878.9166666667</v>
      </c>
      <c r="B1062" s="57" t="n">
        <f aca="false">MOD(A1062,1)</f>
        <v>0.916666666656965</v>
      </c>
      <c r="C1062" s="0" t="n">
        <v>0</v>
      </c>
      <c r="D1062" s="0" t="n">
        <v>489.443</v>
      </c>
      <c r="E1062" s="0" t="n">
        <f aca="false">D1062-0.155</f>
        <v>489.288</v>
      </c>
      <c r="F1062" s="0" t="n">
        <v>489.545</v>
      </c>
      <c r="G1062" s="0" t="n">
        <f aca="false">IF(E1062 - F1062 &lt; 0, 0, E1062 - F1062)</f>
        <v>0</v>
      </c>
      <c r="H1062" s="0" t="n">
        <v>1.82</v>
      </c>
      <c r="I1062" s="0" t="n">
        <f aca="false">1.82*30*(G1062^1.5)</f>
        <v>0</v>
      </c>
      <c r="J1062" s="0" t="n">
        <f aca="false">I1062*60</f>
        <v>0</v>
      </c>
      <c r="K1062" s="0" t="n">
        <f aca="false">(I1062*86400)/24</f>
        <v>0</v>
      </c>
    </row>
    <row r="1063" customFormat="false" ht="16.5" hidden="false" customHeight="false" outlineLevel="0" collapsed="false">
      <c r="A1063" s="56" t="n">
        <v>45878.9583333333</v>
      </c>
      <c r="B1063" s="57" t="n">
        <f aca="false">MOD(A1063,1)</f>
        <v>0.958333333343035</v>
      </c>
      <c r="C1063" s="0" t="n">
        <v>0</v>
      </c>
      <c r="D1063" s="0" t="n">
        <v>489.443</v>
      </c>
      <c r="E1063" s="0" t="n">
        <f aca="false">D1063-0.155</f>
        <v>489.288</v>
      </c>
      <c r="F1063" s="0" t="n">
        <v>489.545</v>
      </c>
      <c r="G1063" s="0" t="n">
        <f aca="false">IF(E1063 - F1063 &lt; 0, 0, E1063 - F1063)</f>
        <v>0</v>
      </c>
      <c r="H1063" s="0" t="n">
        <v>1.82</v>
      </c>
      <c r="I1063" s="0" t="n">
        <f aca="false">1.82*30*(G1063^1.5)</f>
        <v>0</v>
      </c>
      <c r="J1063" s="0" t="n">
        <f aca="false">I1063*60</f>
        <v>0</v>
      </c>
      <c r="K1063" s="0" t="n">
        <f aca="false">(I1063*86400)/24</f>
        <v>0</v>
      </c>
    </row>
    <row r="1064" customFormat="false" ht="16.5" hidden="false" customHeight="false" outlineLevel="0" collapsed="false">
      <c r="A1064" s="56" t="n">
        <v>45879</v>
      </c>
      <c r="B1064" s="57" t="n">
        <f aca="false">MOD(A1064,1)</f>
        <v>0</v>
      </c>
      <c r="C1064" s="0" t="n">
        <v>0</v>
      </c>
      <c r="D1064" s="0" t="n">
        <v>489.443</v>
      </c>
      <c r="E1064" s="0" t="n">
        <f aca="false">D1064-0.155</f>
        <v>489.288</v>
      </c>
      <c r="F1064" s="0" t="n">
        <v>489.545</v>
      </c>
      <c r="G1064" s="0" t="n">
        <f aca="false">IF(E1064 - F1064 &lt; 0, 0, E1064 - F1064)</f>
        <v>0</v>
      </c>
      <c r="H1064" s="0" t="n">
        <v>1.82</v>
      </c>
      <c r="I1064" s="0" t="n">
        <f aca="false">1.82*30*(G1064^1.5)</f>
        <v>0</v>
      </c>
      <c r="J1064" s="0" t="n">
        <f aca="false">I1064*60</f>
        <v>0</v>
      </c>
      <c r="K1064" s="0" t="n">
        <f aca="false">(I1064*86400)/24</f>
        <v>0</v>
      </c>
    </row>
    <row r="1065" customFormat="false" ht="16.5" hidden="false" customHeight="false" outlineLevel="0" collapsed="false">
      <c r="A1065" s="56" t="n">
        <v>45879.0416666667</v>
      </c>
      <c r="B1065" s="57" t="n">
        <f aca="false">MOD(A1065,1)</f>
        <v>0.0416666666569654</v>
      </c>
      <c r="C1065" s="0" t="n">
        <v>0</v>
      </c>
      <c r="D1065" s="0" t="n">
        <v>489.437</v>
      </c>
      <c r="E1065" s="0" t="n">
        <f aca="false">D1065-0.155</f>
        <v>489.282</v>
      </c>
      <c r="F1065" s="0" t="n">
        <v>489.545</v>
      </c>
      <c r="G1065" s="0" t="n">
        <f aca="false">IF(E1065 - F1065 &lt; 0, 0, E1065 - F1065)</f>
        <v>0</v>
      </c>
      <c r="H1065" s="0" t="n">
        <v>1.82</v>
      </c>
      <c r="I1065" s="0" t="n">
        <f aca="false">1.82*30*(G1065^1.5)</f>
        <v>0</v>
      </c>
      <c r="J1065" s="0" t="n">
        <f aca="false">I1065*60</f>
        <v>0</v>
      </c>
      <c r="K1065" s="0" t="n">
        <f aca="false">(I1065*86400)/24</f>
        <v>0</v>
      </c>
    </row>
    <row r="1066" customFormat="false" ht="16.5" hidden="false" customHeight="false" outlineLevel="0" collapsed="false">
      <c r="A1066" s="56" t="n">
        <v>45879.0833333333</v>
      </c>
      <c r="B1066" s="57" t="n">
        <f aca="false">MOD(A1066,1)</f>
        <v>0.0833333333430346</v>
      </c>
      <c r="C1066" s="0" t="n">
        <v>0</v>
      </c>
      <c r="D1066" s="0" t="n">
        <v>489.437</v>
      </c>
      <c r="E1066" s="0" t="n">
        <f aca="false">D1066-0.155</f>
        <v>489.282</v>
      </c>
      <c r="F1066" s="0" t="n">
        <v>489.545</v>
      </c>
      <c r="G1066" s="0" t="n">
        <f aca="false">IF(E1066 - F1066 &lt; 0, 0, E1066 - F1066)</f>
        <v>0</v>
      </c>
      <c r="H1066" s="0" t="n">
        <v>1.82</v>
      </c>
      <c r="I1066" s="0" t="n">
        <f aca="false">1.82*30*(G1066^1.5)</f>
        <v>0</v>
      </c>
      <c r="J1066" s="0" t="n">
        <f aca="false">I1066*60</f>
        <v>0</v>
      </c>
      <c r="K1066" s="0" t="n">
        <f aca="false">(I1066*86400)/24</f>
        <v>0</v>
      </c>
    </row>
    <row r="1067" customFormat="false" ht="16.5" hidden="false" customHeight="false" outlineLevel="0" collapsed="false">
      <c r="A1067" s="56" t="n">
        <v>45879.125</v>
      </c>
      <c r="B1067" s="57" t="n">
        <f aca="false">MOD(A1067,1)</f>
        <v>0.125</v>
      </c>
      <c r="C1067" s="0" t="n">
        <v>0</v>
      </c>
      <c r="D1067" s="0" t="n">
        <v>489.43</v>
      </c>
      <c r="E1067" s="0" t="n">
        <f aca="false">D1067-0.155</f>
        <v>489.275</v>
      </c>
      <c r="F1067" s="0" t="n">
        <v>489.545</v>
      </c>
      <c r="G1067" s="0" t="n">
        <f aca="false">IF(E1067 - F1067 &lt; 0, 0, E1067 - F1067)</f>
        <v>0</v>
      </c>
      <c r="H1067" s="0" t="n">
        <v>1.82</v>
      </c>
      <c r="I1067" s="0" t="n">
        <f aca="false">1.82*30*(G1067^1.5)</f>
        <v>0</v>
      </c>
      <c r="J1067" s="0" t="n">
        <f aca="false">I1067*60</f>
        <v>0</v>
      </c>
      <c r="K1067" s="0" t="n">
        <f aca="false">(I1067*86400)/24</f>
        <v>0</v>
      </c>
    </row>
    <row r="1068" customFormat="false" ht="16.5" hidden="false" customHeight="false" outlineLevel="0" collapsed="false">
      <c r="A1068" s="56" t="n">
        <v>45879.1666666667</v>
      </c>
      <c r="B1068" s="57" t="n">
        <f aca="false">MOD(A1068,1)</f>
        <v>0.166666666656965</v>
      </c>
      <c r="C1068" s="0" t="n">
        <v>0</v>
      </c>
      <c r="D1068" s="0" t="n">
        <v>489.43</v>
      </c>
      <c r="E1068" s="0" t="n">
        <f aca="false">D1068-0.155</f>
        <v>489.275</v>
      </c>
      <c r="F1068" s="0" t="n">
        <v>489.545</v>
      </c>
      <c r="G1068" s="0" t="n">
        <f aca="false">IF(E1068 - F1068 &lt; 0, 0, E1068 - F1068)</f>
        <v>0</v>
      </c>
      <c r="H1068" s="0" t="n">
        <v>1.82</v>
      </c>
      <c r="I1068" s="0" t="n">
        <f aca="false">1.82*30*(G1068^1.5)</f>
        <v>0</v>
      </c>
      <c r="J1068" s="0" t="n">
        <f aca="false">I1068*60</f>
        <v>0</v>
      </c>
      <c r="K1068" s="0" t="n">
        <f aca="false">(I1068*86400)/24</f>
        <v>0</v>
      </c>
    </row>
    <row r="1069" customFormat="false" ht="16.5" hidden="false" customHeight="false" outlineLevel="0" collapsed="false">
      <c r="A1069" s="56" t="n">
        <v>45879.2083333333</v>
      </c>
      <c r="B1069" s="57" t="n">
        <f aca="false">MOD(A1069,1)</f>
        <v>0.208333333343035</v>
      </c>
      <c r="C1069" s="0" t="n">
        <v>0</v>
      </c>
      <c r="D1069" s="0" t="n">
        <v>489.43</v>
      </c>
      <c r="E1069" s="0" t="n">
        <f aca="false">D1069-0.155</f>
        <v>489.275</v>
      </c>
      <c r="F1069" s="0" t="n">
        <v>489.545</v>
      </c>
      <c r="G1069" s="0" t="n">
        <f aca="false">IF(E1069 - F1069 &lt; 0, 0, E1069 - F1069)</f>
        <v>0</v>
      </c>
      <c r="H1069" s="0" t="n">
        <v>1.82</v>
      </c>
      <c r="I1069" s="0" t="n">
        <f aca="false">1.82*30*(G1069^1.5)</f>
        <v>0</v>
      </c>
      <c r="J1069" s="0" t="n">
        <f aca="false">I1069*60</f>
        <v>0</v>
      </c>
      <c r="K1069" s="0" t="n">
        <f aca="false">(I1069*86400)/24</f>
        <v>0</v>
      </c>
    </row>
    <row r="1070" customFormat="false" ht="16.5" hidden="false" customHeight="false" outlineLevel="0" collapsed="false">
      <c r="A1070" s="56" t="n">
        <v>45879.25</v>
      </c>
      <c r="B1070" s="57" t="n">
        <f aca="false">MOD(A1070,1)</f>
        <v>0.25</v>
      </c>
      <c r="C1070" s="0" t="n">
        <v>0</v>
      </c>
      <c r="D1070" s="0" t="n">
        <v>489.43</v>
      </c>
      <c r="E1070" s="0" t="n">
        <f aca="false">D1070-0.155</f>
        <v>489.275</v>
      </c>
      <c r="F1070" s="0" t="n">
        <v>489.545</v>
      </c>
      <c r="G1070" s="0" t="n">
        <f aca="false">IF(E1070 - F1070 &lt; 0, 0, E1070 - F1070)</f>
        <v>0</v>
      </c>
      <c r="H1070" s="0" t="n">
        <v>1.82</v>
      </c>
      <c r="I1070" s="0" t="n">
        <f aca="false">1.82*30*(G1070^1.5)</f>
        <v>0</v>
      </c>
      <c r="J1070" s="0" t="n">
        <f aca="false">I1070*60</f>
        <v>0</v>
      </c>
      <c r="K1070" s="0" t="n">
        <f aca="false">(I1070*86400)/24</f>
        <v>0</v>
      </c>
    </row>
    <row r="1071" customFormat="false" ht="16.5" hidden="false" customHeight="false" outlineLevel="0" collapsed="false">
      <c r="A1071" s="56" t="n">
        <v>45879.2916666667</v>
      </c>
      <c r="B1071" s="57" t="n">
        <f aca="false">MOD(A1071,1)</f>
        <v>0.291666666656965</v>
      </c>
      <c r="C1071" s="0" t="n">
        <v>0</v>
      </c>
      <c r="D1071" s="0" t="n">
        <v>489.43</v>
      </c>
      <c r="E1071" s="0" t="n">
        <f aca="false">D1071-0.155</f>
        <v>489.275</v>
      </c>
      <c r="F1071" s="0" t="n">
        <v>489.545</v>
      </c>
      <c r="G1071" s="0" t="n">
        <f aca="false">IF(E1071 - F1071 &lt; 0, 0, E1071 - F1071)</f>
        <v>0</v>
      </c>
      <c r="H1071" s="0" t="n">
        <v>1.82</v>
      </c>
      <c r="I1071" s="0" t="n">
        <f aca="false">1.82*30*(G1071^1.5)</f>
        <v>0</v>
      </c>
      <c r="J1071" s="0" t="n">
        <f aca="false">I1071*60</f>
        <v>0</v>
      </c>
      <c r="K1071" s="0" t="n">
        <f aca="false">(I1071*86400)/24</f>
        <v>0</v>
      </c>
    </row>
    <row r="1072" customFormat="false" ht="16.5" hidden="false" customHeight="false" outlineLevel="0" collapsed="false">
      <c r="A1072" s="56" t="n">
        <v>45879.3333333333</v>
      </c>
      <c r="B1072" s="57" t="n">
        <f aca="false">MOD(A1072,1)</f>
        <v>0.333333333343035</v>
      </c>
      <c r="C1072" s="0" t="n">
        <v>0</v>
      </c>
      <c r="D1072" s="0" t="n">
        <v>489.424</v>
      </c>
      <c r="E1072" s="0" t="n">
        <f aca="false">D1072-0.155</f>
        <v>489.269</v>
      </c>
      <c r="F1072" s="0" t="n">
        <v>489.545</v>
      </c>
      <c r="G1072" s="0" t="n">
        <f aca="false">IF(E1072 - F1072 &lt; 0, 0, E1072 - F1072)</f>
        <v>0</v>
      </c>
      <c r="H1072" s="0" t="n">
        <v>1.82</v>
      </c>
      <c r="I1072" s="0" t="n">
        <f aca="false">1.82*30*(G1072^1.5)</f>
        <v>0</v>
      </c>
      <c r="J1072" s="0" t="n">
        <f aca="false">I1072*60</f>
        <v>0</v>
      </c>
      <c r="K1072" s="0" t="n">
        <f aca="false">(I1072*86400)/24</f>
        <v>0</v>
      </c>
    </row>
    <row r="1073" customFormat="false" ht="16.5" hidden="false" customHeight="false" outlineLevel="0" collapsed="false">
      <c r="A1073" s="56" t="n">
        <v>45879.375</v>
      </c>
      <c r="B1073" s="57" t="n">
        <f aca="false">MOD(A1073,1)</f>
        <v>0.375</v>
      </c>
      <c r="C1073" s="0" t="n">
        <v>0</v>
      </c>
      <c r="D1073" s="0" t="n">
        <v>489.424</v>
      </c>
      <c r="E1073" s="0" t="n">
        <f aca="false">D1073-0.155</f>
        <v>489.269</v>
      </c>
      <c r="F1073" s="0" t="n">
        <v>489.545</v>
      </c>
      <c r="G1073" s="0" t="n">
        <f aca="false">IF(E1073 - F1073 &lt; 0, 0, E1073 - F1073)</f>
        <v>0</v>
      </c>
      <c r="H1073" s="0" t="n">
        <v>1.82</v>
      </c>
      <c r="I1073" s="0" t="n">
        <f aca="false">1.82*30*(G1073^1.5)</f>
        <v>0</v>
      </c>
      <c r="J1073" s="0" t="n">
        <f aca="false">I1073*60</f>
        <v>0</v>
      </c>
      <c r="K1073" s="0" t="n">
        <f aca="false">(I1073*86400)/24</f>
        <v>0</v>
      </c>
    </row>
    <row r="1074" customFormat="false" ht="16.5" hidden="false" customHeight="false" outlineLevel="0" collapsed="false">
      <c r="A1074" s="56" t="n">
        <v>45879.4166666667</v>
      </c>
      <c r="B1074" s="57" t="n">
        <f aca="false">MOD(A1074,1)</f>
        <v>0.416666666656965</v>
      </c>
      <c r="C1074" s="0" t="n">
        <v>0</v>
      </c>
      <c r="D1074" s="0" t="n">
        <v>489.424</v>
      </c>
      <c r="E1074" s="0" t="n">
        <f aca="false">D1074-0.155</f>
        <v>489.269</v>
      </c>
      <c r="F1074" s="0" t="n">
        <v>489.545</v>
      </c>
      <c r="G1074" s="0" t="n">
        <f aca="false">IF(E1074 - F1074 &lt; 0, 0, E1074 - F1074)</f>
        <v>0</v>
      </c>
      <c r="H1074" s="0" t="n">
        <v>1.82</v>
      </c>
      <c r="I1074" s="0" t="n">
        <f aca="false">1.82*30*(G1074^1.5)</f>
        <v>0</v>
      </c>
      <c r="J1074" s="0" t="n">
        <f aca="false">I1074*60</f>
        <v>0</v>
      </c>
      <c r="K1074" s="0" t="n">
        <f aca="false">(I1074*86400)/24</f>
        <v>0</v>
      </c>
    </row>
    <row r="1075" customFormat="false" ht="16.5" hidden="false" customHeight="false" outlineLevel="0" collapsed="false">
      <c r="A1075" s="56" t="n">
        <v>45879.4583333333</v>
      </c>
      <c r="B1075" s="57" t="n">
        <f aca="false">MOD(A1075,1)</f>
        <v>0.458333333343035</v>
      </c>
      <c r="C1075" s="0" t="n">
        <v>0</v>
      </c>
      <c r="D1075" s="0" t="n">
        <v>489.423</v>
      </c>
      <c r="E1075" s="0" t="n">
        <f aca="false">D1075-0.155</f>
        <v>489.268</v>
      </c>
      <c r="F1075" s="0" t="n">
        <v>489.545</v>
      </c>
      <c r="G1075" s="0" t="n">
        <f aca="false">IF(E1075 - F1075 &lt; 0, 0, E1075 - F1075)</f>
        <v>0</v>
      </c>
      <c r="H1075" s="0" t="n">
        <v>1.82</v>
      </c>
      <c r="I1075" s="0" t="n">
        <f aca="false">1.82*30*(G1075^1.5)</f>
        <v>0</v>
      </c>
      <c r="J1075" s="0" t="n">
        <f aca="false">I1075*60</f>
        <v>0</v>
      </c>
      <c r="K1075" s="0" t="n">
        <f aca="false">(I1075*86400)/24</f>
        <v>0</v>
      </c>
    </row>
    <row r="1076" customFormat="false" ht="16.5" hidden="false" customHeight="false" outlineLevel="0" collapsed="false">
      <c r="A1076" s="56" t="n">
        <v>45879.5</v>
      </c>
      <c r="B1076" s="57" t="n">
        <f aca="false">MOD(A1076,1)</f>
        <v>0.5</v>
      </c>
      <c r="C1076" s="0" t="n">
        <v>0</v>
      </c>
      <c r="D1076" s="0" t="n">
        <v>489.417</v>
      </c>
      <c r="E1076" s="0" t="n">
        <f aca="false">D1076-0.155</f>
        <v>489.262</v>
      </c>
      <c r="F1076" s="0" t="n">
        <v>489.545</v>
      </c>
      <c r="G1076" s="0" t="n">
        <f aca="false">IF(E1076 - F1076 &lt; 0, 0, E1076 - F1076)</f>
        <v>0</v>
      </c>
      <c r="H1076" s="0" t="n">
        <v>1.82</v>
      </c>
      <c r="I1076" s="0" t="n">
        <f aca="false">1.82*30*(G1076^1.5)</f>
        <v>0</v>
      </c>
      <c r="J1076" s="0" t="n">
        <f aca="false">I1076*60</f>
        <v>0</v>
      </c>
      <c r="K1076" s="0" t="n">
        <f aca="false">(I1076*86400)/24</f>
        <v>0</v>
      </c>
    </row>
    <row r="1077" customFormat="false" ht="16.5" hidden="false" customHeight="false" outlineLevel="0" collapsed="false">
      <c r="A1077" s="56" t="n">
        <v>45879.5416666667</v>
      </c>
      <c r="B1077" s="57" t="n">
        <f aca="false">MOD(A1077,1)</f>
        <v>0.541666666656965</v>
      </c>
      <c r="C1077" s="0" t="n">
        <v>0</v>
      </c>
      <c r="D1077" s="0" t="n">
        <v>489.417</v>
      </c>
      <c r="E1077" s="0" t="n">
        <f aca="false">D1077-0.155</f>
        <v>489.262</v>
      </c>
      <c r="F1077" s="0" t="n">
        <v>489.545</v>
      </c>
      <c r="G1077" s="0" t="n">
        <f aca="false">IF(E1077 - F1077 &lt; 0, 0, E1077 - F1077)</f>
        <v>0</v>
      </c>
      <c r="H1077" s="0" t="n">
        <v>1.82</v>
      </c>
      <c r="I1077" s="0" t="n">
        <f aca="false">1.82*30*(G1077^1.5)</f>
        <v>0</v>
      </c>
      <c r="J1077" s="0" t="n">
        <f aca="false">I1077*60</f>
        <v>0</v>
      </c>
      <c r="K1077" s="0" t="n">
        <f aca="false">(I1077*86400)/24</f>
        <v>0</v>
      </c>
    </row>
    <row r="1078" customFormat="false" ht="16.5" hidden="false" customHeight="false" outlineLevel="0" collapsed="false">
      <c r="A1078" s="56" t="n">
        <v>45879.5833333333</v>
      </c>
      <c r="B1078" s="57" t="n">
        <f aca="false">MOD(A1078,1)</f>
        <v>0.583333333343035</v>
      </c>
      <c r="C1078" s="0" t="n">
        <v>0</v>
      </c>
      <c r="D1078" s="0" t="n">
        <v>489.417</v>
      </c>
      <c r="E1078" s="0" t="n">
        <f aca="false">D1078-0.155</f>
        <v>489.262</v>
      </c>
      <c r="F1078" s="0" t="n">
        <v>489.545</v>
      </c>
      <c r="G1078" s="0" t="n">
        <f aca="false">IF(E1078 - F1078 &lt; 0, 0, E1078 - F1078)</f>
        <v>0</v>
      </c>
      <c r="H1078" s="0" t="n">
        <v>1.82</v>
      </c>
      <c r="I1078" s="0" t="n">
        <f aca="false">1.82*30*(G1078^1.5)</f>
        <v>0</v>
      </c>
      <c r="J1078" s="0" t="n">
        <f aca="false">I1078*60</f>
        <v>0</v>
      </c>
      <c r="K1078" s="0" t="n">
        <f aca="false">(I1078*86400)/24</f>
        <v>0</v>
      </c>
    </row>
    <row r="1079" customFormat="false" ht="16.5" hidden="false" customHeight="false" outlineLevel="0" collapsed="false">
      <c r="A1079" s="56" t="n">
        <v>45879.625</v>
      </c>
      <c r="B1079" s="57" t="n">
        <f aca="false">MOD(A1079,1)</f>
        <v>0.625</v>
      </c>
      <c r="C1079" s="0" t="n">
        <v>0</v>
      </c>
      <c r="D1079" s="0" t="n">
        <v>489.417</v>
      </c>
      <c r="E1079" s="0" t="n">
        <f aca="false">D1079-0.155</f>
        <v>489.262</v>
      </c>
      <c r="F1079" s="0" t="n">
        <v>489.545</v>
      </c>
      <c r="G1079" s="0" t="n">
        <f aca="false">IF(E1079 - F1079 &lt; 0, 0, E1079 - F1079)</f>
        <v>0</v>
      </c>
      <c r="H1079" s="0" t="n">
        <v>1.82</v>
      </c>
      <c r="I1079" s="0" t="n">
        <f aca="false">1.82*30*(G1079^1.5)</f>
        <v>0</v>
      </c>
      <c r="J1079" s="0" t="n">
        <f aca="false">I1079*60</f>
        <v>0</v>
      </c>
      <c r="K1079" s="0" t="n">
        <f aca="false">(I1079*86400)/24</f>
        <v>0</v>
      </c>
    </row>
    <row r="1080" customFormat="false" ht="16.5" hidden="false" customHeight="false" outlineLevel="0" collapsed="false">
      <c r="A1080" s="56" t="n">
        <v>45879.6666666667</v>
      </c>
      <c r="B1080" s="57" t="n">
        <f aca="false">MOD(A1080,1)</f>
        <v>0.666666666656965</v>
      </c>
      <c r="C1080" s="0" t="n">
        <v>0</v>
      </c>
      <c r="D1080" s="0" t="n">
        <v>489.41</v>
      </c>
      <c r="E1080" s="0" t="n">
        <f aca="false">D1080-0.155</f>
        <v>489.255</v>
      </c>
      <c r="F1080" s="0" t="n">
        <v>489.545</v>
      </c>
      <c r="G1080" s="0" t="n">
        <f aca="false">IF(E1080 - F1080 &lt; 0, 0, E1080 - F1080)</f>
        <v>0</v>
      </c>
      <c r="H1080" s="0" t="n">
        <v>1.82</v>
      </c>
      <c r="I1080" s="0" t="n">
        <f aca="false">1.82*30*(G1080^1.5)</f>
        <v>0</v>
      </c>
      <c r="J1080" s="0" t="n">
        <f aca="false">I1080*60</f>
        <v>0</v>
      </c>
      <c r="K1080" s="0" t="n">
        <f aca="false">(I1080*86400)/24</f>
        <v>0</v>
      </c>
    </row>
    <row r="1081" customFormat="false" ht="16.5" hidden="false" customHeight="false" outlineLevel="0" collapsed="false">
      <c r="A1081" s="56" t="n">
        <v>45879.7083333333</v>
      </c>
      <c r="B1081" s="57" t="n">
        <f aca="false">MOD(A1081,1)</f>
        <v>0.708333333343035</v>
      </c>
      <c r="C1081" s="0" t="n">
        <v>0</v>
      </c>
      <c r="D1081" s="0" t="n">
        <v>489.41</v>
      </c>
      <c r="E1081" s="0" t="n">
        <f aca="false">D1081-0.155</f>
        <v>489.255</v>
      </c>
      <c r="F1081" s="0" t="n">
        <v>489.545</v>
      </c>
      <c r="G1081" s="0" t="n">
        <f aca="false">IF(E1081 - F1081 &lt; 0, 0, E1081 - F1081)</f>
        <v>0</v>
      </c>
      <c r="H1081" s="0" t="n">
        <v>1.82</v>
      </c>
      <c r="I1081" s="0" t="n">
        <f aca="false">1.82*30*(G1081^1.5)</f>
        <v>0</v>
      </c>
      <c r="J1081" s="0" t="n">
        <f aca="false">I1081*60</f>
        <v>0</v>
      </c>
      <c r="K1081" s="0" t="n">
        <f aca="false">(I1081*86400)/24</f>
        <v>0</v>
      </c>
    </row>
    <row r="1082" customFormat="false" ht="16.5" hidden="false" customHeight="false" outlineLevel="0" collapsed="false">
      <c r="A1082" s="56" t="n">
        <v>45879.75</v>
      </c>
      <c r="B1082" s="57" t="n">
        <f aca="false">MOD(A1082,1)</f>
        <v>0.75</v>
      </c>
      <c r="C1082" s="0" t="n">
        <v>0</v>
      </c>
      <c r="D1082" s="0" t="n">
        <v>489.41</v>
      </c>
      <c r="E1082" s="0" t="n">
        <f aca="false">D1082-0.155</f>
        <v>489.255</v>
      </c>
      <c r="F1082" s="0" t="n">
        <v>489.545</v>
      </c>
      <c r="G1082" s="0" t="n">
        <f aca="false">IF(E1082 - F1082 &lt; 0, 0, E1082 - F1082)</f>
        <v>0</v>
      </c>
      <c r="H1082" s="0" t="n">
        <v>1.82</v>
      </c>
      <c r="I1082" s="0" t="n">
        <f aca="false">1.82*30*(G1082^1.5)</f>
        <v>0</v>
      </c>
      <c r="J1082" s="0" t="n">
        <f aca="false">I1082*60</f>
        <v>0</v>
      </c>
      <c r="K1082" s="0" t="n">
        <f aca="false">(I1082*86400)/24</f>
        <v>0</v>
      </c>
    </row>
    <row r="1083" customFormat="false" ht="16.5" hidden="false" customHeight="false" outlineLevel="0" collapsed="false">
      <c r="A1083" s="56" t="n">
        <v>45879.7916666667</v>
      </c>
      <c r="B1083" s="57" t="n">
        <f aca="false">MOD(A1083,1)</f>
        <v>0.791666666656965</v>
      </c>
      <c r="C1083" s="0" t="n">
        <v>0</v>
      </c>
      <c r="D1083" s="0" t="n">
        <v>489.411</v>
      </c>
      <c r="E1083" s="0" t="n">
        <f aca="false">D1083-0.155</f>
        <v>489.256</v>
      </c>
      <c r="F1083" s="0" t="n">
        <v>489.545</v>
      </c>
      <c r="G1083" s="0" t="n">
        <f aca="false">IF(E1083 - F1083 &lt; 0, 0, E1083 - F1083)</f>
        <v>0</v>
      </c>
      <c r="H1083" s="0" t="n">
        <v>1.82</v>
      </c>
      <c r="I1083" s="0" t="n">
        <f aca="false">1.82*30*(G1083^1.5)</f>
        <v>0</v>
      </c>
      <c r="J1083" s="0" t="n">
        <f aca="false">I1083*60</f>
        <v>0</v>
      </c>
      <c r="K1083" s="0" t="n">
        <f aca="false">(I1083*86400)/24</f>
        <v>0</v>
      </c>
    </row>
    <row r="1084" customFormat="false" ht="16.5" hidden="false" customHeight="false" outlineLevel="0" collapsed="false">
      <c r="A1084" s="56" t="n">
        <v>45879.8333333333</v>
      </c>
      <c r="B1084" s="57" t="n">
        <f aca="false">MOD(A1084,1)</f>
        <v>0.833333333343035</v>
      </c>
      <c r="C1084" s="0" t="n">
        <v>0</v>
      </c>
      <c r="D1084" s="0" t="n">
        <v>489.406</v>
      </c>
      <c r="E1084" s="0" t="n">
        <f aca="false">D1084-0.155</f>
        <v>489.251</v>
      </c>
      <c r="F1084" s="0" t="n">
        <v>489.545</v>
      </c>
      <c r="G1084" s="0" t="n">
        <f aca="false">IF(E1084 - F1084 &lt; 0, 0, E1084 - F1084)</f>
        <v>0</v>
      </c>
      <c r="H1084" s="0" t="n">
        <v>1.82</v>
      </c>
      <c r="I1084" s="0" t="n">
        <f aca="false">1.82*30*(G1084^1.5)</f>
        <v>0</v>
      </c>
      <c r="J1084" s="0" t="n">
        <f aca="false">I1084*60</f>
        <v>0</v>
      </c>
      <c r="K1084" s="0" t="n">
        <f aca="false">(I1084*86400)/24</f>
        <v>0</v>
      </c>
    </row>
    <row r="1085" customFormat="false" ht="16.5" hidden="false" customHeight="false" outlineLevel="0" collapsed="false">
      <c r="A1085" s="56" t="n">
        <v>45879.875</v>
      </c>
      <c r="B1085" s="57" t="n">
        <f aca="false">MOD(A1085,1)</f>
        <v>0.875</v>
      </c>
      <c r="C1085" s="0" t="n">
        <v>0</v>
      </c>
      <c r="D1085" s="0" t="n">
        <v>489.405</v>
      </c>
      <c r="E1085" s="0" t="n">
        <f aca="false">D1085-0.155</f>
        <v>489.25</v>
      </c>
      <c r="F1085" s="0" t="n">
        <v>489.545</v>
      </c>
      <c r="G1085" s="0" t="n">
        <f aca="false">IF(E1085 - F1085 &lt; 0, 0, E1085 - F1085)</f>
        <v>0</v>
      </c>
      <c r="H1085" s="0" t="n">
        <v>1.82</v>
      </c>
      <c r="I1085" s="0" t="n">
        <f aca="false">1.82*30*(G1085^1.5)</f>
        <v>0</v>
      </c>
      <c r="J1085" s="0" t="n">
        <f aca="false">I1085*60</f>
        <v>0</v>
      </c>
      <c r="K1085" s="0" t="n">
        <f aca="false">(I1085*86400)/24</f>
        <v>0</v>
      </c>
    </row>
    <row r="1086" customFormat="false" ht="16.5" hidden="false" customHeight="false" outlineLevel="0" collapsed="false">
      <c r="A1086" s="56" t="n">
        <v>45879.9166666667</v>
      </c>
      <c r="B1086" s="57" t="n">
        <f aca="false">MOD(A1086,1)</f>
        <v>0.916666666656965</v>
      </c>
      <c r="C1086" s="0" t="n">
        <v>0</v>
      </c>
      <c r="D1086" s="0" t="n">
        <v>489.405</v>
      </c>
      <c r="E1086" s="0" t="n">
        <f aca="false">D1086-0.155</f>
        <v>489.25</v>
      </c>
      <c r="F1086" s="0" t="n">
        <v>489.545</v>
      </c>
      <c r="G1086" s="0" t="n">
        <f aca="false">IF(E1086 - F1086 &lt; 0, 0, E1086 - F1086)</f>
        <v>0</v>
      </c>
      <c r="H1086" s="0" t="n">
        <v>1.82</v>
      </c>
      <c r="I1086" s="0" t="n">
        <f aca="false">1.82*30*(G1086^1.5)</f>
        <v>0</v>
      </c>
      <c r="J1086" s="0" t="n">
        <f aca="false">I1086*60</f>
        <v>0</v>
      </c>
      <c r="K1086" s="0" t="n">
        <f aca="false">(I1086*86400)/24</f>
        <v>0</v>
      </c>
    </row>
    <row r="1087" customFormat="false" ht="16.5" hidden="false" customHeight="false" outlineLevel="0" collapsed="false">
      <c r="A1087" s="56" t="n">
        <v>45879.9583333333</v>
      </c>
      <c r="B1087" s="57" t="n">
        <f aca="false">MOD(A1087,1)</f>
        <v>0.958333333343035</v>
      </c>
      <c r="C1087" s="0" t="n">
        <v>0</v>
      </c>
      <c r="D1087" s="0" t="n">
        <v>489.399</v>
      </c>
      <c r="E1087" s="0" t="n">
        <f aca="false">D1087-0.155</f>
        <v>489.244</v>
      </c>
      <c r="F1087" s="0" t="n">
        <v>489.545</v>
      </c>
      <c r="G1087" s="0" t="n">
        <f aca="false">IF(E1087 - F1087 &lt; 0, 0, E1087 - F1087)</f>
        <v>0</v>
      </c>
      <c r="H1087" s="0" t="n">
        <v>1.82</v>
      </c>
      <c r="I1087" s="0" t="n">
        <f aca="false">1.82*30*(G1087^1.5)</f>
        <v>0</v>
      </c>
      <c r="J1087" s="0" t="n">
        <f aca="false">I1087*60</f>
        <v>0</v>
      </c>
      <c r="K1087" s="0" t="n">
        <f aca="false">(I1087*86400)/24</f>
        <v>0</v>
      </c>
    </row>
    <row r="1088" customFormat="false" ht="16.5" hidden="false" customHeight="false" outlineLevel="0" collapsed="false">
      <c r="A1088" s="56" t="n">
        <v>45880</v>
      </c>
      <c r="B1088" s="57" t="n">
        <f aca="false">MOD(A1088,1)</f>
        <v>0</v>
      </c>
      <c r="C1088" s="0" t="n">
        <v>0</v>
      </c>
      <c r="D1088" s="0" t="n">
        <v>489.399</v>
      </c>
      <c r="E1088" s="0" t="n">
        <f aca="false">D1088-0.155</f>
        <v>489.244</v>
      </c>
      <c r="F1088" s="0" t="n">
        <v>489.545</v>
      </c>
      <c r="G1088" s="0" t="n">
        <f aca="false">IF(E1088 - F1088 &lt; 0, 0, E1088 - F1088)</f>
        <v>0</v>
      </c>
      <c r="H1088" s="0" t="n">
        <v>1.82</v>
      </c>
      <c r="I1088" s="0" t="n">
        <f aca="false">1.82*30*(G1088^1.5)</f>
        <v>0</v>
      </c>
      <c r="J1088" s="0" t="n">
        <f aca="false">I1088*60</f>
        <v>0</v>
      </c>
      <c r="K1088" s="0" t="n">
        <f aca="false">(I1088*86400)/24</f>
        <v>0</v>
      </c>
    </row>
    <row r="1089" customFormat="false" ht="16.5" hidden="false" customHeight="false" outlineLevel="0" collapsed="false">
      <c r="A1089" s="56" t="n">
        <v>45880.0416666667</v>
      </c>
      <c r="B1089" s="57" t="n">
        <f aca="false">MOD(A1089,1)</f>
        <v>0.0416666666569654</v>
      </c>
      <c r="C1089" s="0" t="n">
        <v>0</v>
      </c>
      <c r="D1089" s="0" t="n">
        <v>489.399</v>
      </c>
      <c r="E1089" s="0" t="n">
        <f aca="false">D1089-0.155</f>
        <v>489.244</v>
      </c>
      <c r="F1089" s="0" t="n">
        <v>489.545</v>
      </c>
      <c r="G1089" s="0" t="n">
        <f aca="false">IF(E1089 - F1089 &lt; 0, 0, E1089 - F1089)</f>
        <v>0</v>
      </c>
      <c r="H1089" s="0" t="n">
        <v>1.82</v>
      </c>
      <c r="I1089" s="0" t="n">
        <f aca="false">1.82*30*(G1089^1.5)</f>
        <v>0</v>
      </c>
      <c r="J1089" s="0" t="n">
        <f aca="false">I1089*60</f>
        <v>0</v>
      </c>
      <c r="K1089" s="0" t="n">
        <f aca="false">(I1089*86400)/24</f>
        <v>0</v>
      </c>
    </row>
    <row r="1090" customFormat="false" ht="16.5" hidden="false" customHeight="false" outlineLevel="0" collapsed="false">
      <c r="A1090" s="56" t="n">
        <v>45880.0833333333</v>
      </c>
      <c r="B1090" s="57" t="n">
        <f aca="false">MOD(A1090,1)</f>
        <v>0.0833333333430346</v>
      </c>
      <c r="C1090" s="0" t="n">
        <v>0</v>
      </c>
      <c r="D1090" s="0" t="n">
        <v>489.399</v>
      </c>
      <c r="E1090" s="0" t="n">
        <f aca="false">D1090-0.155</f>
        <v>489.244</v>
      </c>
      <c r="F1090" s="0" t="n">
        <v>489.545</v>
      </c>
      <c r="G1090" s="0" t="n">
        <f aca="false">IF(E1090 - F1090 &lt; 0, 0, E1090 - F1090)</f>
        <v>0</v>
      </c>
      <c r="H1090" s="0" t="n">
        <v>1.82</v>
      </c>
      <c r="I1090" s="0" t="n">
        <f aca="false">1.82*30*(G1090^1.5)</f>
        <v>0</v>
      </c>
      <c r="J1090" s="0" t="n">
        <f aca="false">I1090*60</f>
        <v>0</v>
      </c>
      <c r="K1090" s="0" t="n">
        <f aca="false">(I1090*86400)/24</f>
        <v>0</v>
      </c>
    </row>
    <row r="1091" customFormat="false" ht="16.5" hidden="false" customHeight="false" outlineLevel="0" collapsed="false">
      <c r="A1091" s="56" t="n">
        <v>45880.125</v>
      </c>
      <c r="B1091" s="57" t="n">
        <f aca="false">MOD(A1091,1)</f>
        <v>0.125</v>
      </c>
      <c r="C1091" s="0" t="n">
        <v>0</v>
      </c>
      <c r="D1091" s="0" t="n">
        <v>489.399</v>
      </c>
      <c r="E1091" s="0" t="n">
        <f aca="false">D1091-0.155</f>
        <v>489.244</v>
      </c>
      <c r="F1091" s="0" t="n">
        <v>489.545</v>
      </c>
      <c r="G1091" s="0" t="n">
        <f aca="false">IF(E1091 - F1091 &lt; 0, 0, E1091 - F1091)</f>
        <v>0</v>
      </c>
      <c r="H1091" s="0" t="n">
        <v>1.82</v>
      </c>
      <c r="I1091" s="0" t="n">
        <f aca="false">1.82*30*(G1091^1.5)</f>
        <v>0</v>
      </c>
      <c r="J1091" s="0" t="n">
        <f aca="false">I1091*60</f>
        <v>0</v>
      </c>
      <c r="K1091" s="0" t="n">
        <f aca="false">(I1091*86400)/24</f>
        <v>0</v>
      </c>
    </row>
    <row r="1092" customFormat="false" ht="16.5" hidden="false" customHeight="false" outlineLevel="0" collapsed="false">
      <c r="A1092" s="56" t="n">
        <v>45880.1666666667</v>
      </c>
      <c r="B1092" s="57" t="n">
        <f aca="false">MOD(A1092,1)</f>
        <v>0.166666666656965</v>
      </c>
      <c r="C1092" s="0" t="n">
        <v>0</v>
      </c>
      <c r="D1092" s="0" t="n">
        <v>489.399</v>
      </c>
      <c r="E1092" s="0" t="n">
        <f aca="false">D1092-0.155</f>
        <v>489.244</v>
      </c>
      <c r="F1092" s="0" t="n">
        <v>489.545</v>
      </c>
      <c r="G1092" s="0" t="n">
        <f aca="false">IF(E1092 - F1092 &lt; 0, 0, E1092 - F1092)</f>
        <v>0</v>
      </c>
      <c r="H1092" s="0" t="n">
        <v>1.82</v>
      </c>
      <c r="I1092" s="0" t="n">
        <f aca="false">1.82*30*(G1092^1.5)</f>
        <v>0</v>
      </c>
      <c r="J1092" s="0" t="n">
        <f aca="false">I1092*60</f>
        <v>0</v>
      </c>
      <c r="K1092" s="0" t="n">
        <f aca="false">(I1092*86400)/24</f>
        <v>0</v>
      </c>
    </row>
    <row r="1093" customFormat="false" ht="16.5" hidden="false" customHeight="false" outlineLevel="0" collapsed="false">
      <c r="A1093" s="56" t="n">
        <v>45880.2083333333</v>
      </c>
      <c r="B1093" s="57" t="n">
        <f aca="false">MOD(A1093,1)</f>
        <v>0.208333333343035</v>
      </c>
      <c r="C1093" s="0" t="n">
        <v>0</v>
      </c>
      <c r="D1093" s="0" t="n">
        <v>489.393</v>
      </c>
      <c r="E1093" s="0" t="n">
        <f aca="false">D1093-0.155</f>
        <v>489.238</v>
      </c>
      <c r="F1093" s="0" t="n">
        <v>489.545</v>
      </c>
      <c r="G1093" s="0" t="n">
        <f aca="false">IF(E1093 - F1093 &lt; 0, 0, E1093 - F1093)</f>
        <v>0</v>
      </c>
      <c r="H1093" s="0" t="n">
        <v>1.82</v>
      </c>
      <c r="I1093" s="0" t="n">
        <f aca="false">1.82*30*(G1093^1.5)</f>
        <v>0</v>
      </c>
      <c r="J1093" s="0" t="n">
        <f aca="false">I1093*60</f>
        <v>0</v>
      </c>
      <c r="K1093" s="0" t="n">
        <f aca="false">(I1093*86400)/24</f>
        <v>0</v>
      </c>
    </row>
    <row r="1094" customFormat="false" ht="16.5" hidden="false" customHeight="false" outlineLevel="0" collapsed="false">
      <c r="A1094" s="56" t="n">
        <v>45880.25</v>
      </c>
      <c r="B1094" s="57" t="n">
        <f aca="false">MOD(A1094,1)</f>
        <v>0.25</v>
      </c>
      <c r="C1094" s="0" t="n">
        <v>0</v>
      </c>
      <c r="D1094" s="0" t="n">
        <v>489.392</v>
      </c>
      <c r="E1094" s="0" t="n">
        <f aca="false">D1094-0.155</f>
        <v>489.237</v>
      </c>
      <c r="F1094" s="0" t="n">
        <v>489.545</v>
      </c>
      <c r="G1094" s="0" t="n">
        <f aca="false">IF(E1094 - F1094 &lt; 0, 0, E1094 - F1094)</f>
        <v>0</v>
      </c>
      <c r="H1094" s="0" t="n">
        <v>1.82</v>
      </c>
      <c r="I1094" s="0" t="n">
        <f aca="false">1.82*30*(G1094^1.5)</f>
        <v>0</v>
      </c>
      <c r="J1094" s="0" t="n">
        <f aca="false">I1094*60</f>
        <v>0</v>
      </c>
      <c r="K1094" s="0" t="n">
        <f aca="false">(I1094*86400)/24</f>
        <v>0</v>
      </c>
    </row>
    <row r="1095" customFormat="false" ht="16.5" hidden="false" customHeight="false" outlineLevel="0" collapsed="false">
      <c r="A1095" s="56" t="n">
        <v>45880.2916666667</v>
      </c>
      <c r="B1095" s="57" t="n">
        <f aca="false">MOD(A1095,1)</f>
        <v>0.291666666656965</v>
      </c>
      <c r="C1095" s="0" t="n">
        <v>0</v>
      </c>
      <c r="D1095" s="0" t="n">
        <v>489.392</v>
      </c>
      <c r="E1095" s="0" t="n">
        <f aca="false">D1095-0.155</f>
        <v>489.237</v>
      </c>
      <c r="F1095" s="0" t="n">
        <v>489.545</v>
      </c>
      <c r="G1095" s="0" t="n">
        <f aca="false">IF(E1095 - F1095 &lt; 0, 0, E1095 - F1095)</f>
        <v>0</v>
      </c>
      <c r="H1095" s="0" t="n">
        <v>1.82</v>
      </c>
      <c r="I1095" s="0" t="n">
        <f aca="false">1.82*30*(G1095^1.5)</f>
        <v>0</v>
      </c>
      <c r="J1095" s="0" t="n">
        <f aca="false">I1095*60</f>
        <v>0</v>
      </c>
      <c r="K1095" s="0" t="n">
        <f aca="false">(I1095*86400)/24</f>
        <v>0</v>
      </c>
    </row>
    <row r="1096" customFormat="false" ht="16.5" hidden="false" customHeight="false" outlineLevel="0" collapsed="false">
      <c r="A1096" s="56" t="n">
        <v>45880.3333333333</v>
      </c>
      <c r="B1096" s="57" t="n">
        <f aca="false">MOD(A1096,1)</f>
        <v>0.333333333343035</v>
      </c>
      <c r="C1096" s="0" t="n">
        <v>0</v>
      </c>
      <c r="D1096" s="0" t="n">
        <v>489.392</v>
      </c>
      <c r="E1096" s="0" t="n">
        <f aca="false">D1096-0.155</f>
        <v>489.237</v>
      </c>
      <c r="F1096" s="0" t="n">
        <v>489.545</v>
      </c>
      <c r="G1096" s="0" t="n">
        <f aca="false">IF(E1096 - F1096 &lt; 0, 0, E1096 - F1096)</f>
        <v>0</v>
      </c>
      <c r="H1096" s="0" t="n">
        <v>1.82</v>
      </c>
      <c r="I1096" s="0" t="n">
        <f aca="false">1.82*30*(G1096^1.5)</f>
        <v>0</v>
      </c>
      <c r="J1096" s="0" t="n">
        <f aca="false">I1096*60</f>
        <v>0</v>
      </c>
      <c r="K1096" s="0" t="n">
        <f aca="false">(I1096*86400)/24</f>
        <v>0</v>
      </c>
    </row>
    <row r="1097" customFormat="false" ht="16.5" hidden="false" customHeight="false" outlineLevel="0" collapsed="false">
      <c r="A1097" s="56" t="n">
        <v>45880.375</v>
      </c>
      <c r="B1097" s="57" t="n">
        <f aca="false">MOD(A1097,1)</f>
        <v>0.375</v>
      </c>
      <c r="C1097" s="0" t="n">
        <v>0</v>
      </c>
      <c r="D1097" s="0" t="n">
        <v>489.386</v>
      </c>
      <c r="E1097" s="0" t="n">
        <f aca="false">D1097-0.155</f>
        <v>489.231</v>
      </c>
      <c r="F1097" s="0" t="n">
        <v>489.545</v>
      </c>
      <c r="G1097" s="0" t="n">
        <f aca="false">IF(E1097 - F1097 &lt; 0, 0, E1097 - F1097)</f>
        <v>0</v>
      </c>
      <c r="H1097" s="0" t="n">
        <v>1.82</v>
      </c>
      <c r="I1097" s="0" t="n">
        <f aca="false">1.82*30*(G1097^1.5)</f>
        <v>0</v>
      </c>
      <c r="J1097" s="0" t="n">
        <f aca="false">I1097*60</f>
        <v>0</v>
      </c>
      <c r="K1097" s="0" t="n">
        <f aca="false">(I1097*86400)/24</f>
        <v>0</v>
      </c>
    </row>
    <row r="1098" customFormat="false" ht="16.5" hidden="false" customHeight="false" outlineLevel="0" collapsed="false">
      <c r="A1098" s="56" t="n">
        <v>45880.4166666667</v>
      </c>
      <c r="B1098" s="57" t="n">
        <f aca="false">MOD(A1098,1)</f>
        <v>0.416666666656965</v>
      </c>
      <c r="C1098" s="0" t="n">
        <v>0</v>
      </c>
      <c r="D1098" s="0" t="n">
        <v>489.386</v>
      </c>
      <c r="E1098" s="0" t="n">
        <f aca="false">D1098-0.155</f>
        <v>489.231</v>
      </c>
      <c r="F1098" s="0" t="n">
        <v>489.545</v>
      </c>
      <c r="G1098" s="0" t="n">
        <f aca="false">IF(E1098 - F1098 &lt; 0, 0, E1098 - F1098)</f>
        <v>0</v>
      </c>
      <c r="H1098" s="0" t="n">
        <v>1.82</v>
      </c>
      <c r="I1098" s="0" t="n">
        <f aca="false">1.82*30*(G1098^1.5)</f>
        <v>0</v>
      </c>
      <c r="J1098" s="0" t="n">
        <f aca="false">I1098*60</f>
        <v>0</v>
      </c>
      <c r="K1098" s="0" t="n">
        <f aca="false">(I1098*86400)/24</f>
        <v>0</v>
      </c>
    </row>
    <row r="1099" customFormat="false" ht="16.5" hidden="false" customHeight="false" outlineLevel="0" collapsed="false">
      <c r="A1099" s="56" t="n">
        <v>45880.4583333333</v>
      </c>
      <c r="B1099" s="57" t="n">
        <f aca="false">MOD(A1099,1)</f>
        <v>0.458333333343035</v>
      </c>
      <c r="C1099" s="0" t="n">
        <v>0</v>
      </c>
      <c r="D1099" s="0" t="n">
        <v>489.386</v>
      </c>
      <c r="E1099" s="0" t="n">
        <f aca="false">D1099-0.155</f>
        <v>489.231</v>
      </c>
      <c r="F1099" s="0" t="n">
        <v>489.545</v>
      </c>
      <c r="G1099" s="0" t="n">
        <f aca="false">IF(E1099 - F1099 &lt; 0, 0, E1099 - F1099)</f>
        <v>0</v>
      </c>
      <c r="H1099" s="0" t="n">
        <v>1.82</v>
      </c>
      <c r="I1099" s="0" t="n">
        <f aca="false">1.82*30*(G1099^1.5)</f>
        <v>0</v>
      </c>
      <c r="J1099" s="0" t="n">
        <f aca="false">I1099*60</f>
        <v>0</v>
      </c>
      <c r="K1099" s="0" t="n">
        <f aca="false">(I1099*86400)/24</f>
        <v>0</v>
      </c>
    </row>
    <row r="1100" customFormat="false" ht="16.5" hidden="false" customHeight="false" outlineLevel="0" collapsed="false">
      <c r="A1100" s="56" t="n">
        <v>45880.5</v>
      </c>
      <c r="B1100" s="57" t="n">
        <f aca="false">MOD(A1100,1)</f>
        <v>0.5</v>
      </c>
      <c r="C1100" s="0" t="n">
        <v>0</v>
      </c>
      <c r="D1100" s="0" t="n">
        <v>489.386</v>
      </c>
      <c r="E1100" s="0" t="n">
        <f aca="false">D1100-0.155</f>
        <v>489.231</v>
      </c>
      <c r="F1100" s="0" t="n">
        <v>489.545</v>
      </c>
      <c r="G1100" s="0" t="n">
        <f aca="false">IF(E1100 - F1100 &lt; 0, 0, E1100 - F1100)</f>
        <v>0</v>
      </c>
      <c r="H1100" s="0" t="n">
        <v>1.82</v>
      </c>
      <c r="I1100" s="0" t="n">
        <f aca="false">1.82*30*(G1100^1.5)</f>
        <v>0</v>
      </c>
      <c r="J1100" s="0" t="n">
        <f aca="false">I1100*60</f>
        <v>0</v>
      </c>
      <c r="K1100" s="0" t="n">
        <f aca="false">(I1100*86400)/24</f>
        <v>0</v>
      </c>
    </row>
    <row r="1101" customFormat="false" ht="16.5" hidden="false" customHeight="false" outlineLevel="0" collapsed="false">
      <c r="A1101" s="56" t="n">
        <v>45880.5416666667</v>
      </c>
      <c r="B1101" s="57" t="n">
        <f aca="false">MOD(A1101,1)</f>
        <v>0.541666666656965</v>
      </c>
      <c r="C1101" s="0" t="n">
        <v>0</v>
      </c>
      <c r="D1101" s="0" t="n">
        <v>489.386</v>
      </c>
      <c r="E1101" s="0" t="n">
        <f aca="false">D1101-0.155</f>
        <v>489.231</v>
      </c>
      <c r="F1101" s="0" t="n">
        <v>489.545</v>
      </c>
      <c r="G1101" s="0" t="n">
        <f aca="false">IF(E1101 - F1101 &lt; 0, 0, E1101 - F1101)</f>
        <v>0</v>
      </c>
      <c r="H1101" s="0" t="n">
        <v>1.82</v>
      </c>
      <c r="I1101" s="0" t="n">
        <f aca="false">1.82*30*(G1101^1.5)</f>
        <v>0</v>
      </c>
      <c r="J1101" s="0" t="n">
        <f aca="false">I1101*60</f>
        <v>0</v>
      </c>
      <c r="K1101" s="0" t="n">
        <f aca="false">(I1101*86400)/24</f>
        <v>0</v>
      </c>
    </row>
    <row r="1102" customFormat="false" ht="16.5" hidden="false" customHeight="false" outlineLevel="0" collapsed="false">
      <c r="A1102" s="56" t="n">
        <v>45880.5833333333</v>
      </c>
      <c r="B1102" s="57" t="n">
        <f aca="false">MOD(A1102,1)</f>
        <v>0.583333333343035</v>
      </c>
      <c r="C1102" s="0" t="n">
        <v>0</v>
      </c>
      <c r="D1102" s="0" t="n">
        <v>489.386</v>
      </c>
      <c r="E1102" s="0" t="n">
        <f aca="false">D1102-0.155</f>
        <v>489.231</v>
      </c>
      <c r="F1102" s="0" t="n">
        <v>489.545</v>
      </c>
      <c r="G1102" s="0" t="n">
        <f aca="false">IF(E1102 - F1102 &lt; 0, 0, E1102 - F1102)</f>
        <v>0</v>
      </c>
      <c r="H1102" s="0" t="n">
        <v>1.82</v>
      </c>
      <c r="I1102" s="0" t="n">
        <f aca="false">1.82*30*(G1102^1.5)</f>
        <v>0</v>
      </c>
      <c r="J1102" s="0" t="n">
        <f aca="false">I1102*60</f>
        <v>0</v>
      </c>
      <c r="K1102" s="0" t="n">
        <f aca="false">(I1102*86400)/24</f>
        <v>0</v>
      </c>
    </row>
    <row r="1103" customFormat="false" ht="16.5" hidden="false" customHeight="false" outlineLevel="0" collapsed="false">
      <c r="A1103" s="56" t="n">
        <v>45880.625</v>
      </c>
      <c r="B1103" s="57" t="n">
        <f aca="false">MOD(A1103,1)</f>
        <v>0.625</v>
      </c>
      <c r="C1103" s="0" t="n">
        <v>0</v>
      </c>
      <c r="D1103" s="0" t="n">
        <v>489.386</v>
      </c>
      <c r="E1103" s="0" t="n">
        <f aca="false">D1103-0.155</f>
        <v>489.231</v>
      </c>
      <c r="F1103" s="0" t="n">
        <v>489.545</v>
      </c>
      <c r="G1103" s="0" t="n">
        <f aca="false">IF(E1103 - F1103 &lt; 0, 0, E1103 - F1103)</f>
        <v>0</v>
      </c>
      <c r="H1103" s="0" t="n">
        <v>1.82</v>
      </c>
      <c r="I1103" s="0" t="n">
        <f aca="false">1.82*30*(G1103^1.5)</f>
        <v>0</v>
      </c>
      <c r="J1103" s="0" t="n">
        <f aca="false">I1103*60</f>
        <v>0</v>
      </c>
      <c r="K1103" s="0" t="n">
        <f aca="false">(I1103*86400)/24</f>
        <v>0</v>
      </c>
    </row>
    <row r="1104" customFormat="false" ht="16.5" hidden="false" customHeight="false" outlineLevel="0" collapsed="false">
      <c r="A1104" s="56" t="n">
        <v>45880.6666666667</v>
      </c>
      <c r="B1104" s="57" t="n">
        <f aca="false">MOD(A1104,1)</f>
        <v>0.666666666656965</v>
      </c>
      <c r="C1104" s="0" t="n">
        <v>0</v>
      </c>
      <c r="D1104" s="0" t="n">
        <v>489.386</v>
      </c>
      <c r="E1104" s="0" t="n">
        <f aca="false">D1104-0.155</f>
        <v>489.231</v>
      </c>
      <c r="F1104" s="0" t="n">
        <v>489.545</v>
      </c>
      <c r="G1104" s="0" t="n">
        <f aca="false">IF(E1104 - F1104 &lt; 0, 0, E1104 - F1104)</f>
        <v>0</v>
      </c>
      <c r="H1104" s="0" t="n">
        <v>1.82</v>
      </c>
      <c r="I1104" s="0" t="n">
        <f aca="false">1.82*30*(G1104^1.5)</f>
        <v>0</v>
      </c>
      <c r="J1104" s="0" t="n">
        <f aca="false">I1104*60</f>
        <v>0</v>
      </c>
      <c r="K1104" s="0" t="n">
        <f aca="false">(I1104*86400)/24</f>
        <v>0</v>
      </c>
    </row>
    <row r="1105" customFormat="false" ht="16.5" hidden="false" customHeight="false" outlineLevel="0" collapsed="false">
      <c r="A1105" s="56" t="n">
        <v>45880.7083333333</v>
      </c>
      <c r="B1105" s="57" t="n">
        <f aca="false">MOD(A1105,1)</f>
        <v>0.708333333343035</v>
      </c>
      <c r="C1105" s="0" t="n">
        <v>0</v>
      </c>
      <c r="D1105" s="0" t="n">
        <v>489.386</v>
      </c>
      <c r="E1105" s="0" t="n">
        <f aca="false">D1105-0.155</f>
        <v>489.231</v>
      </c>
      <c r="F1105" s="0" t="n">
        <v>489.545</v>
      </c>
      <c r="G1105" s="0" t="n">
        <f aca="false">IF(E1105 - F1105 &lt; 0, 0, E1105 - F1105)</f>
        <v>0</v>
      </c>
      <c r="H1105" s="0" t="n">
        <v>1.82</v>
      </c>
      <c r="I1105" s="0" t="n">
        <f aca="false">1.82*30*(G1105^1.5)</f>
        <v>0</v>
      </c>
      <c r="J1105" s="0" t="n">
        <f aca="false">I1105*60</f>
        <v>0</v>
      </c>
      <c r="K1105" s="0" t="n">
        <f aca="false">(I1105*86400)/24</f>
        <v>0</v>
      </c>
    </row>
    <row r="1106" customFormat="false" ht="16.5" hidden="false" customHeight="false" outlineLevel="0" collapsed="false">
      <c r="A1106" s="56" t="n">
        <v>45880.75</v>
      </c>
      <c r="B1106" s="57" t="n">
        <f aca="false">MOD(A1106,1)</f>
        <v>0.75</v>
      </c>
      <c r="C1106" s="0" t="n">
        <v>0</v>
      </c>
      <c r="D1106" s="0" t="n">
        <v>489.386</v>
      </c>
      <c r="E1106" s="0" t="n">
        <f aca="false">D1106-0.155</f>
        <v>489.231</v>
      </c>
      <c r="F1106" s="0" t="n">
        <v>489.545</v>
      </c>
      <c r="G1106" s="0" t="n">
        <f aca="false">IF(E1106 - F1106 &lt; 0, 0, E1106 - F1106)</f>
        <v>0</v>
      </c>
      <c r="H1106" s="0" t="n">
        <v>1.82</v>
      </c>
      <c r="I1106" s="0" t="n">
        <f aca="false">1.82*30*(G1106^1.5)</f>
        <v>0</v>
      </c>
      <c r="J1106" s="0" t="n">
        <f aca="false">I1106*60</f>
        <v>0</v>
      </c>
      <c r="K1106" s="0" t="n">
        <f aca="false">(I1106*86400)/24</f>
        <v>0</v>
      </c>
    </row>
    <row r="1107" customFormat="false" ht="16.5" hidden="false" customHeight="false" outlineLevel="0" collapsed="false">
      <c r="A1107" s="56" t="n">
        <v>45880.7916666667</v>
      </c>
      <c r="B1107" s="57" t="n">
        <f aca="false">MOD(A1107,1)</f>
        <v>0.791666666656965</v>
      </c>
      <c r="C1107" s="0" t="n">
        <v>0</v>
      </c>
      <c r="D1107" s="0" t="n">
        <v>489.386</v>
      </c>
      <c r="E1107" s="0" t="n">
        <f aca="false">D1107-0.155</f>
        <v>489.231</v>
      </c>
      <c r="F1107" s="0" t="n">
        <v>489.545</v>
      </c>
      <c r="G1107" s="0" t="n">
        <f aca="false">IF(E1107 - F1107 &lt; 0, 0, E1107 - F1107)</f>
        <v>0</v>
      </c>
      <c r="H1107" s="0" t="n">
        <v>1.82</v>
      </c>
      <c r="I1107" s="0" t="n">
        <f aca="false">1.82*30*(G1107^1.5)</f>
        <v>0</v>
      </c>
      <c r="J1107" s="0" t="n">
        <f aca="false">I1107*60</f>
        <v>0</v>
      </c>
      <c r="K1107" s="0" t="n">
        <f aca="false">(I1107*86400)/24</f>
        <v>0</v>
      </c>
    </row>
    <row r="1108" customFormat="false" ht="16.5" hidden="false" customHeight="false" outlineLevel="0" collapsed="false">
      <c r="A1108" s="56" t="n">
        <v>45880.8333333333</v>
      </c>
      <c r="B1108" s="57" t="n">
        <f aca="false">MOD(A1108,1)</f>
        <v>0.833333333343035</v>
      </c>
      <c r="C1108" s="0" t="n">
        <v>0</v>
      </c>
      <c r="D1108" s="0" t="n">
        <v>489.387</v>
      </c>
      <c r="E1108" s="0" t="n">
        <f aca="false">D1108-0.155</f>
        <v>489.232</v>
      </c>
      <c r="F1108" s="0" t="n">
        <v>489.545</v>
      </c>
      <c r="G1108" s="0" t="n">
        <f aca="false">IF(E1108 - F1108 &lt; 0, 0, E1108 - F1108)</f>
        <v>0</v>
      </c>
      <c r="H1108" s="0" t="n">
        <v>1.82</v>
      </c>
      <c r="I1108" s="0" t="n">
        <f aca="false">1.82*30*(G1108^1.5)</f>
        <v>0</v>
      </c>
      <c r="J1108" s="0" t="n">
        <f aca="false">I1108*60</f>
        <v>0</v>
      </c>
      <c r="K1108" s="0" t="n">
        <f aca="false">(I1108*86400)/24</f>
        <v>0</v>
      </c>
    </row>
    <row r="1109" customFormat="false" ht="16.5" hidden="false" customHeight="false" outlineLevel="0" collapsed="false">
      <c r="A1109" s="56" t="n">
        <v>45880.875</v>
      </c>
      <c r="B1109" s="57" t="n">
        <f aca="false">MOD(A1109,1)</f>
        <v>0.875</v>
      </c>
      <c r="C1109" s="0" t="n">
        <v>0</v>
      </c>
      <c r="D1109" s="0" t="n">
        <v>489.387</v>
      </c>
      <c r="E1109" s="0" t="n">
        <f aca="false">D1109-0.155</f>
        <v>489.232</v>
      </c>
      <c r="F1109" s="0" t="n">
        <v>489.545</v>
      </c>
      <c r="G1109" s="0" t="n">
        <f aca="false">IF(E1109 - F1109 &lt; 0, 0, E1109 - F1109)</f>
        <v>0</v>
      </c>
      <c r="H1109" s="0" t="n">
        <v>1.82</v>
      </c>
      <c r="I1109" s="0" t="n">
        <f aca="false">1.82*30*(G1109^1.5)</f>
        <v>0</v>
      </c>
      <c r="J1109" s="0" t="n">
        <f aca="false">I1109*60</f>
        <v>0</v>
      </c>
      <c r="K1109" s="0" t="n">
        <f aca="false">(I1109*86400)/24</f>
        <v>0</v>
      </c>
    </row>
    <row r="1110" customFormat="false" ht="16.5" hidden="false" customHeight="false" outlineLevel="0" collapsed="false">
      <c r="A1110" s="56" t="n">
        <v>45880.9166666667</v>
      </c>
      <c r="B1110" s="57" t="n">
        <f aca="false">MOD(A1110,1)</f>
        <v>0.916666666656965</v>
      </c>
      <c r="C1110" s="0" t="n">
        <v>0</v>
      </c>
      <c r="D1110" s="0" t="n">
        <v>489.386</v>
      </c>
      <c r="E1110" s="0" t="n">
        <f aca="false">D1110-0.155</f>
        <v>489.231</v>
      </c>
      <c r="F1110" s="0" t="n">
        <v>489.545</v>
      </c>
      <c r="G1110" s="0" t="n">
        <f aca="false">IF(E1110 - F1110 &lt; 0, 0, E1110 - F1110)</f>
        <v>0</v>
      </c>
      <c r="H1110" s="0" t="n">
        <v>1.82</v>
      </c>
      <c r="I1110" s="0" t="n">
        <f aca="false">1.82*30*(G1110^1.5)</f>
        <v>0</v>
      </c>
      <c r="J1110" s="0" t="n">
        <f aca="false">I1110*60</f>
        <v>0</v>
      </c>
      <c r="K1110" s="0" t="n">
        <f aca="false">(I1110*86400)/24</f>
        <v>0</v>
      </c>
    </row>
    <row r="1111" customFormat="false" ht="16.5" hidden="false" customHeight="false" outlineLevel="0" collapsed="false">
      <c r="A1111" s="56" t="n">
        <v>45880.9583333333</v>
      </c>
      <c r="B1111" s="57" t="n">
        <f aca="false">MOD(A1111,1)</f>
        <v>0.958333333343035</v>
      </c>
      <c r="C1111" s="0" t="n">
        <v>0</v>
      </c>
      <c r="D1111" s="0" t="n">
        <v>489.38</v>
      </c>
      <c r="E1111" s="0" t="n">
        <f aca="false">D1111-0.155</f>
        <v>489.225</v>
      </c>
      <c r="F1111" s="0" t="n">
        <v>489.545</v>
      </c>
      <c r="G1111" s="0" t="n">
        <f aca="false">IF(E1111 - F1111 &lt; 0, 0, E1111 - F1111)</f>
        <v>0</v>
      </c>
      <c r="H1111" s="0" t="n">
        <v>1.82</v>
      </c>
      <c r="I1111" s="0" t="n">
        <f aca="false">1.82*30*(G1111^1.5)</f>
        <v>0</v>
      </c>
      <c r="J1111" s="0" t="n">
        <f aca="false">I1111*60</f>
        <v>0</v>
      </c>
      <c r="K1111" s="0" t="n">
        <f aca="false">(I1111*86400)/24</f>
        <v>0</v>
      </c>
    </row>
    <row r="1112" customFormat="false" ht="16.5" hidden="false" customHeight="false" outlineLevel="0" collapsed="false">
      <c r="A1112" s="56" t="n">
        <v>45881</v>
      </c>
      <c r="B1112" s="57" t="n">
        <f aca="false">MOD(A1112,1)</f>
        <v>0</v>
      </c>
      <c r="C1112" s="0" t="n">
        <v>0</v>
      </c>
      <c r="D1112" s="0" t="n">
        <v>489.38</v>
      </c>
      <c r="E1112" s="0" t="n">
        <f aca="false">D1112-0.155</f>
        <v>489.225</v>
      </c>
      <c r="F1112" s="0" t="n">
        <v>489.545</v>
      </c>
      <c r="G1112" s="0" t="n">
        <f aca="false">IF(E1112 - F1112 &lt; 0, 0, E1112 - F1112)</f>
        <v>0</v>
      </c>
      <c r="H1112" s="0" t="n">
        <v>1.82</v>
      </c>
      <c r="I1112" s="0" t="n">
        <f aca="false">1.82*30*(G1112^1.5)</f>
        <v>0</v>
      </c>
      <c r="J1112" s="0" t="n">
        <f aca="false">I1112*60</f>
        <v>0</v>
      </c>
      <c r="K1112" s="0" t="n">
        <f aca="false">(I1112*86400)/24</f>
        <v>0</v>
      </c>
    </row>
    <row r="1113" customFormat="false" ht="16.5" hidden="false" customHeight="false" outlineLevel="0" collapsed="false">
      <c r="A1113" s="56" t="n">
        <v>45881.0416666667</v>
      </c>
      <c r="B1113" s="57" t="n">
        <f aca="false">MOD(A1113,1)</f>
        <v>0.0416666666569654</v>
      </c>
      <c r="C1113" s="0" t="n">
        <v>0</v>
      </c>
      <c r="D1113" s="0" t="n">
        <v>489.387</v>
      </c>
      <c r="E1113" s="0" t="n">
        <f aca="false">D1113-0.155</f>
        <v>489.232</v>
      </c>
      <c r="F1113" s="0" t="n">
        <v>489.545</v>
      </c>
      <c r="G1113" s="0" t="n">
        <f aca="false">IF(E1113 - F1113 &lt; 0, 0, E1113 - F1113)</f>
        <v>0</v>
      </c>
      <c r="H1113" s="0" t="n">
        <v>1.82</v>
      </c>
      <c r="I1113" s="0" t="n">
        <f aca="false">1.82*30*(G1113^1.5)</f>
        <v>0</v>
      </c>
      <c r="J1113" s="0" t="n">
        <f aca="false">I1113*60</f>
        <v>0</v>
      </c>
      <c r="K1113" s="0" t="n">
        <f aca="false">(I1113*86400)/24</f>
        <v>0</v>
      </c>
    </row>
    <row r="1114" customFormat="false" ht="16.5" hidden="false" customHeight="false" outlineLevel="0" collapsed="false">
      <c r="A1114" s="56" t="n">
        <v>45881.0833333333</v>
      </c>
      <c r="B1114" s="57" t="n">
        <f aca="false">MOD(A1114,1)</f>
        <v>0.0833333333430346</v>
      </c>
      <c r="C1114" s="0" t="n">
        <v>0</v>
      </c>
      <c r="D1114" s="0" t="n">
        <v>489.381</v>
      </c>
      <c r="E1114" s="0" t="n">
        <f aca="false">D1114-0.155</f>
        <v>489.226</v>
      </c>
      <c r="F1114" s="0" t="n">
        <v>489.545</v>
      </c>
      <c r="G1114" s="0" t="n">
        <f aca="false">IF(E1114 - F1114 &lt; 0, 0, E1114 - F1114)</f>
        <v>0</v>
      </c>
      <c r="H1114" s="0" t="n">
        <v>1.82</v>
      </c>
      <c r="I1114" s="0" t="n">
        <f aca="false">1.82*30*(G1114^1.5)</f>
        <v>0</v>
      </c>
      <c r="J1114" s="0" t="n">
        <f aca="false">I1114*60</f>
        <v>0</v>
      </c>
      <c r="K1114" s="0" t="n">
        <f aca="false">(I1114*86400)/24</f>
        <v>0</v>
      </c>
    </row>
    <row r="1115" customFormat="false" ht="16.5" hidden="false" customHeight="false" outlineLevel="0" collapsed="false">
      <c r="A1115" s="56" t="n">
        <v>45881.125</v>
      </c>
      <c r="B1115" s="57" t="n">
        <f aca="false">MOD(A1115,1)</f>
        <v>0.125</v>
      </c>
      <c r="C1115" s="0" t="n">
        <v>0</v>
      </c>
      <c r="D1115" s="0" t="n">
        <v>489.387</v>
      </c>
      <c r="E1115" s="0" t="n">
        <f aca="false">D1115-0.155</f>
        <v>489.232</v>
      </c>
      <c r="F1115" s="0" t="n">
        <v>489.545</v>
      </c>
      <c r="G1115" s="0" t="n">
        <f aca="false">IF(E1115 - F1115 &lt; 0, 0, E1115 - F1115)</f>
        <v>0</v>
      </c>
      <c r="H1115" s="0" t="n">
        <v>1.82</v>
      </c>
      <c r="I1115" s="0" t="n">
        <f aca="false">1.82*30*(G1115^1.5)</f>
        <v>0</v>
      </c>
      <c r="J1115" s="0" t="n">
        <f aca="false">I1115*60</f>
        <v>0</v>
      </c>
      <c r="K1115" s="0" t="n">
        <f aca="false">(I1115*86400)/24</f>
        <v>0</v>
      </c>
    </row>
    <row r="1116" customFormat="false" ht="16.5" hidden="false" customHeight="false" outlineLevel="0" collapsed="false">
      <c r="A1116" s="56" t="n">
        <v>45881.1666666667</v>
      </c>
      <c r="B1116" s="57" t="n">
        <f aca="false">MOD(A1116,1)</f>
        <v>0.166666666656965</v>
      </c>
      <c r="C1116" s="0" t="n">
        <v>0</v>
      </c>
      <c r="D1116" s="0" t="n">
        <v>489.387</v>
      </c>
      <c r="E1116" s="0" t="n">
        <f aca="false">D1116-0.155</f>
        <v>489.232</v>
      </c>
      <c r="F1116" s="0" t="n">
        <v>489.545</v>
      </c>
      <c r="G1116" s="0" t="n">
        <f aca="false">IF(E1116 - F1116 &lt; 0, 0, E1116 - F1116)</f>
        <v>0</v>
      </c>
      <c r="H1116" s="0" t="n">
        <v>1.82</v>
      </c>
      <c r="I1116" s="0" t="n">
        <f aca="false">1.82*30*(G1116^1.5)</f>
        <v>0</v>
      </c>
      <c r="J1116" s="0" t="n">
        <f aca="false">I1116*60</f>
        <v>0</v>
      </c>
      <c r="K1116" s="0" t="n">
        <f aca="false">(I1116*86400)/24</f>
        <v>0</v>
      </c>
    </row>
    <row r="1117" customFormat="false" ht="16.5" hidden="false" customHeight="false" outlineLevel="0" collapsed="false">
      <c r="A1117" s="56" t="n">
        <v>45881.2083333333</v>
      </c>
      <c r="B1117" s="57" t="n">
        <f aca="false">MOD(A1117,1)</f>
        <v>0.208333333343035</v>
      </c>
      <c r="C1117" s="0" t="n">
        <v>0</v>
      </c>
      <c r="D1117" s="0" t="n">
        <v>489.381</v>
      </c>
      <c r="E1117" s="0" t="n">
        <f aca="false">D1117-0.155</f>
        <v>489.226</v>
      </c>
      <c r="F1117" s="0" t="n">
        <v>489.545</v>
      </c>
      <c r="G1117" s="0" t="n">
        <f aca="false">IF(E1117 - F1117 &lt; 0, 0, E1117 - F1117)</f>
        <v>0</v>
      </c>
      <c r="H1117" s="0" t="n">
        <v>1.82</v>
      </c>
      <c r="I1117" s="0" t="n">
        <f aca="false">1.82*30*(G1117^1.5)</f>
        <v>0</v>
      </c>
      <c r="J1117" s="0" t="n">
        <f aca="false">I1117*60</f>
        <v>0</v>
      </c>
      <c r="K1117" s="0" t="n">
        <f aca="false">(I1117*86400)/24</f>
        <v>0</v>
      </c>
    </row>
    <row r="1118" customFormat="false" ht="16.5" hidden="false" customHeight="false" outlineLevel="0" collapsed="false">
      <c r="A1118" s="56" t="n">
        <v>45881.25</v>
      </c>
      <c r="B1118" s="57" t="n">
        <f aca="false">MOD(A1118,1)</f>
        <v>0.25</v>
      </c>
      <c r="C1118" s="0" t="n">
        <v>0</v>
      </c>
      <c r="D1118" s="0" t="n">
        <v>489.387</v>
      </c>
      <c r="E1118" s="0" t="n">
        <f aca="false">D1118-0.155</f>
        <v>489.232</v>
      </c>
      <c r="F1118" s="0" t="n">
        <v>489.545</v>
      </c>
      <c r="G1118" s="0" t="n">
        <f aca="false">IF(E1118 - F1118 &lt; 0, 0, E1118 - F1118)</f>
        <v>0</v>
      </c>
      <c r="H1118" s="0" t="n">
        <v>1.82</v>
      </c>
      <c r="I1118" s="0" t="n">
        <f aca="false">1.82*30*(G1118^1.5)</f>
        <v>0</v>
      </c>
      <c r="J1118" s="0" t="n">
        <f aca="false">I1118*60</f>
        <v>0</v>
      </c>
      <c r="K1118" s="0" t="n">
        <f aca="false">(I1118*86400)/24</f>
        <v>0</v>
      </c>
    </row>
    <row r="1119" customFormat="false" ht="16.5" hidden="false" customHeight="false" outlineLevel="0" collapsed="false">
      <c r="A1119" s="56" t="n">
        <v>45881.2916666667</v>
      </c>
      <c r="B1119" s="57" t="n">
        <f aca="false">MOD(A1119,1)</f>
        <v>0.291666666656965</v>
      </c>
      <c r="C1119" s="0" t="n">
        <v>0</v>
      </c>
      <c r="D1119" s="0" t="n">
        <v>489.38</v>
      </c>
      <c r="E1119" s="0" t="n">
        <f aca="false">D1119-0.155</f>
        <v>489.225</v>
      </c>
      <c r="F1119" s="0" t="n">
        <v>489.545</v>
      </c>
      <c r="G1119" s="0" t="n">
        <f aca="false">IF(E1119 - F1119 &lt; 0, 0, E1119 - F1119)</f>
        <v>0</v>
      </c>
      <c r="H1119" s="0" t="n">
        <v>1.82</v>
      </c>
      <c r="I1119" s="0" t="n">
        <f aca="false">1.82*30*(G1119^1.5)</f>
        <v>0</v>
      </c>
      <c r="J1119" s="0" t="n">
        <f aca="false">I1119*60</f>
        <v>0</v>
      </c>
      <c r="K1119" s="0" t="n">
        <f aca="false">(I1119*86400)/24</f>
        <v>0</v>
      </c>
    </row>
    <row r="1120" customFormat="false" ht="16.5" hidden="false" customHeight="false" outlineLevel="0" collapsed="false">
      <c r="A1120" s="56" t="n">
        <v>45881.3333333333</v>
      </c>
      <c r="B1120" s="57" t="n">
        <f aca="false">MOD(A1120,1)</f>
        <v>0.333333333343035</v>
      </c>
      <c r="C1120" s="0" t="n">
        <v>0</v>
      </c>
      <c r="D1120" s="0" t="n">
        <v>489.387</v>
      </c>
      <c r="E1120" s="0" t="n">
        <f aca="false">D1120-0.155</f>
        <v>489.232</v>
      </c>
      <c r="F1120" s="0" t="n">
        <v>489.545</v>
      </c>
      <c r="G1120" s="0" t="n">
        <f aca="false">IF(E1120 - F1120 &lt; 0, 0, E1120 - F1120)</f>
        <v>0</v>
      </c>
      <c r="H1120" s="0" t="n">
        <v>1.82</v>
      </c>
      <c r="I1120" s="0" t="n">
        <f aca="false">1.82*30*(G1120^1.5)</f>
        <v>0</v>
      </c>
      <c r="J1120" s="0" t="n">
        <f aca="false">I1120*60</f>
        <v>0</v>
      </c>
      <c r="K1120" s="0" t="n">
        <f aca="false">(I1120*86400)/24</f>
        <v>0</v>
      </c>
    </row>
    <row r="1121" customFormat="false" ht="16.5" hidden="false" customHeight="false" outlineLevel="0" collapsed="false">
      <c r="A1121" s="56" t="n">
        <v>45881.375</v>
      </c>
      <c r="B1121" s="57" t="n">
        <f aca="false">MOD(A1121,1)</f>
        <v>0.375</v>
      </c>
      <c r="C1121" s="0" t="n">
        <v>0</v>
      </c>
      <c r="D1121" s="0" t="n">
        <v>489.386</v>
      </c>
      <c r="E1121" s="0" t="n">
        <f aca="false">D1121-0.155</f>
        <v>489.231</v>
      </c>
      <c r="F1121" s="0" t="n">
        <v>489.545</v>
      </c>
      <c r="G1121" s="0" t="n">
        <f aca="false">IF(E1121 - F1121 &lt; 0, 0, E1121 - F1121)</f>
        <v>0</v>
      </c>
      <c r="H1121" s="0" t="n">
        <v>1.82</v>
      </c>
      <c r="I1121" s="0" t="n">
        <f aca="false">1.82*30*(G1121^1.5)</f>
        <v>0</v>
      </c>
      <c r="J1121" s="0" t="n">
        <f aca="false">I1121*60</f>
        <v>0</v>
      </c>
      <c r="K1121" s="0" t="n">
        <f aca="false">(I1121*86400)/24</f>
        <v>0</v>
      </c>
    </row>
    <row r="1122" customFormat="false" ht="16.5" hidden="false" customHeight="false" outlineLevel="0" collapsed="false">
      <c r="A1122" s="56" t="n">
        <v>45881.4166666667</v>
      </c>
      <c r="B1122" s="57" t="n">
        <f aca="false">MOD(A1122,1)</f>
        <v>0.416666666656965</v>
      </c>
      <c r="C1122" s="0" t="n">
        <v>0</v>
      </c>
      <c r="D1122" s="0" t="n">
        <v>489.38</v>
      </c>
      <c r="E1122" s="0" t="n">
        <f aca="false">D1122-0.155</f>
        <v>489.225</v>
      </c>
      <c r="F1122" s="0" t="n">
        <v>489.545</v>
      </c>
      <c r="G1122" s="0" t="n">
        <f aca="false">IF(E1122 - F1122 &lt; 0, 0, E1122 - F1122)</f>
        <v>0</v>
      </c>
      <c r="H1122" s="0" t="n">
        <v>1.82</v>
      </c>
      <c r="I1122" s="0" t="n">
        <f aca="false">1.82*30*(G1122^1.5)</f>
        <v>0</v>
      </c>
      <c r="J1122" s="0" t="n">
        <f aca="false">I1122*60</f>
        <v>0</v>
      </c>
      <c r="K1122" s="0" t="n">
        <f aca="false">(I1122*86400)/24</f>
        <v>0</v>
      </c>
    </row>
    <row r="1123" customFormat="false" ht="16.5" hidden="false" customHeight="false" outlineLevel="0" collapsed="false">
      <c r="A1123" s="56" t="n">
        <v>45881.4583333333</v>
      </c>
      <c r="B1123" s="57" t="n">
        <f aca="false">MOD(A1123,1)</f>
        <v>0.458333333343035</v>
      </c>
      <c r="C1123" s="0" t="n">
        <v>0</v>
      </c>
      <c r="D1123" s="0" t="n">
        <v>489.38</v>
      </c>
      <c r="E1123" s="0" t="n">
        <f aca="false">D1123-0.155</f>
        <v>489.225</v>
      </c>
      <c r="F1123" s="0" t="n">
        <v>489.545</v>
      </c>
      <c r="G1123" s="0" t="n">
        <f aca="false">IF(E1123 - F1123 &lt; 0, 0, E1123 - F1123)</f>
        <v>0</v>
      </c>
      <c r="H1123" s="0" t="n">
        <v>1.82</v>
      </c>
      <c r="I1123" s="0" t="n">
        <f aca="false">1.82*30*(G1123^1.5)</f>
        <v>0</v>
      </c>
      <c r="J1123" s="0" t="n">
        <f aca="false">I1123*60</f>
        <v>0</v>
      </c>
      <c r="K1123" s="0" t="n">
        <f aca="false">(I1123*86400)/24</f>
        <v>0</v>
      </c>
    </row>
    <row r="1124" customFormat="false" ht="16.5" hidden="false" customHeight="false" outlineLevel="0" collapsed="false">
      <c r="A1124" s="56" t="n">
        <v>45881.5</v>
      </c>
      <c r="B1124" s="57" t="n">
        <f aca="false">MOD(A1124,1)</f>
        <v>0.5</v>
      </c>
      <c r="C1124" s="0" t="n">
        <v>4.8</v>
      </c>
      <c r="D1124" s="0" t="n">
        <v>489.399</v>
      </c>
      <c r="E1124" s="0" t="n">
        <f aca="false">D1124-0.155</f>
        <v>489.244</v>
      </c>
      <c r="F1124" s="0" t="n">
        <v>489.545</v>
      </c>
      <c r="G1124" s="0" t="n">
        <f aca="false">IF(E1124 - F1124 &lt; 0, 0, E1124 - F1124)</f>
        <v>0</v>
      </c>
      <c r="H1124" s="0" t="n">
        <v>1.82</v>
      </c>
      <c r="I1124" s="0" t="n">
        <f aca="false">1.82*30*(G1124^1.5)</f>
        <v>0</v>
      </c>
      <c r="J1124" s="0" t="n">
        <f aca="false">I1124*60</f>
        <v>0</v>
      </c>
      <c r="K1124" s="0" t="n">
        <f aca="false">(I1124*86400)/24</f>
        <v>0</v>
      </c>
    </row>
    <row r="1125" customFormat="false" ht="16.5" hidden="false" customHeight="false" outlineLevel="0" collapsed="false">
      <c r="A1125" s="56" t="n">
        <v>45881.5416666667</v>
      </c>
      <c r="B1125" s="57" t="n">
        <f aca="false">MOD(A1125,1)</f>
        <v>0.541666666656965</v>
      </c>
      <c r="C1125" s="0" t="n">
        <v>0.8</v>
      </c>
      <c r="D1125" s="0" t="n">
        <v>489.418</v>
      </c>
      <c r="E1125" s="0" t="n">
        <f aca="false">D1125-0.155</f>
        <v>489.263</v>
      </c>
      <c r="F1125" s="0" t="n">
        <v>489.545</v>
      </c>
      <c r="G1125" s="0" t="n">
        <f aca="false">IF(E1125 - F1125 &lt; 0, 0, E1125 - F1125)</f>
        <v>0</v>
      </c>
      <c r="H1125" s="0" t="n">
        <v>1.82</v>
      </c>
      <c r="I1125" s="0" t="n">
        <f aca="false">1.82*30*(G1125^1.5)</f>
        <v>0</v>
      </c>
      <c r="J1125" s="0" t="n">
        <f aca="false">I1125*60</f>
        <v>0</v>
      </c>
      <c r="K1125" s="0" t="n">
        <f aca="false">(I1125*86400)/24</f>
        <v>0</v>
      </c>
    </row>
    <row r="1126" customFormat="false" ht="16.5" hidden="false" customHeight="false" outlineLevel="0" collapsed="false">
      <c r="A1126" s="56" t="n">
        <v>45881.5833333333</v>
      </c>
      <c r="B1126" s="57" t="n">
        <f aca="false">MOD(A1126,1)</f>
        <v>0.583333333343035</v>
      </c>
      <c r="C1126" s="0" t="n">
        <v>9.8</v>
      </c>
      <c r="D1126" s="0" t="n">
        <v>489.443</v>
      </c>
      <c r="E1126" s="0" t="n">
        <f aca="false">D1126-0.155</f>
        <v>489.288</v>
      </c>
      <c r="F1126" s="0" t="n">
        <v>489.545</v>
      </c>
      <c r="G1126" s="0" t="n">
        <f aca="false">IF(E1126 - F1126 &lt; 0, 0, E1126 - F1126)</f>
        <v>0</v>
      </c>
      <c r="H1126" s="0" t="n">
        <v>1.82</v>
      </c>
      <c r="I1126" s="0" t="n">
        <f aca="false">1.82*30*(G1126^1.5)</f>
        <v>0</v>
      </c>
      <c r="J1126" s="0" t="n">
        <f aca="false">I1126*60</f>
        <v>0</v>
      </c>
      <c r="K1126" s="0" t="n">
        <f aca="false">(I1126*86400)/24</f>
        <v>0</v>
      </c>
    </row>
    <row r="1127" customFormat="false" ht="16.5" hidden="false" customHeight="false" outlineLevel="0" collapsed="false">
      <c r="A1127" s="56" t="n">
        <v>45881.625</v>
      </c>
      <c r="B1127" s="57" t="n">
        <f aca="false">MOD(A1127,1)</f>
        <v>0.625</v>
      </c>
      <c r="C1127" s="0" t="n">
        <v>0</v>
      </c>
      <c r="D1127" s="0" t="n">
        <v>489.456</v>
      </c>
      <c r="E1127" s="0" t="n">
        <f aca="false">D1127-0.155</f>
        <v>489.301</v>
      </c>
      <c r="F1127" s="0" t="n">
        <v>489.545</v>
      </c>
      <c r="G1127" s="0" t="n">
        <f aca="false">IF(E1127 - F1127 &lt; 0, 0, E1127 - F1127)</f>
        <v>0</v>
      </c>
      <c r="H1127" s="0" t="n">
        <v>1.82</v>
      </c>
      <c r="I1127" s="0" t="n">
        <f aca="false">1.82*30*(G1127^1.5)</f>
        <v>0</v>
      </c>
      <c r="J1127" s="0" t="n">
        <f aca="false">I1127*60</f>
        <v>0</v>
      </c>
      <c r="K1127" s="0" t="n">
        <f aca="false">(I1127*86400)/24</f>
        <v>0</v>
      </c>
    </row>
    <row r="1128" customFormat="false" ht="16.5" hidden="false" customHeight="false" outlineLevel="0" collapsed="false">
      <c r="A1128" s="56" t="n">
        <v>45881.6666666667</v>
      </c>
      <c r="B1128" s="57" t="n">
        <f aca="false">MOD(A1128,1)</f>
        <v>0.666666666656965</v>
      </c>
      <c r="C1128" s="0" t="n">
        <v>0</v>
      </c>
      <c r="D1128" s="0" t="n">
        <v>489.463</v>
      </c>
      <c r="E1128" s="0" t="n">
        <f aca="false">D1128-0.155</f>
        <v>489.308</v>
      </c>
      <c r="F1128" s="0" t="n">
        <v>489.545</v>
      </c>
      <c r="G1128" s="0" t="n">
        <f aca="false">IF(E1128 - F1128 &lt; 0, 0, E1128 - F1128)</f>
        <v>0</v>
      </c>
      <c r="H1128" s="0" t="n">
        <v>1.82</v>
      </c>
      <c r="I1128" s="0" t="n">
        <f aca="false">1.82*30*(G1128^1.5)</f>
        <v>0</v>
      </c>
      <c r="J1128" s="0" t="n">
        <f aca="false">I1128*60</f>
        <v>0</v>
      </c>
      <c r="K1128" s="0" t="n">
        <f aca="false">(I1128*86400)/24</f>
        <v>0</v>
      </c>
    </row>
    <row r="1129" customFormat="false" ht="16.5" hidden="false" customHeight="false" outlineLevel="0" collapsed="false">
      <c r="A1129" s="56" t="n">
        <v>45881.7083333333</v>
      </c>
      <c r="B1129" s="57" t="n">
        <f aca="false">MOD(A1129,1)</f>
        <v>0.708333333343035</v>
      </c>
      <c r="C1129" s="0" t="n">
        <v>0</v>
      </c>
      <c r="D1129" s="0" t="n">
        <v>489.476</v>
      </c>
      <c r="E1129" s="0" t="n">
        <f aca="false">D1129-0.155</f>
        <v>489.321</v>
      </c>
      <c r="F1129" s="0" t="n">
        <v>489.545</v>
      </c>
      <c r="G1129" s="0" t="n">
        <f aca="false">IF(E1129 - F1129 &lt; 0, 0, E1129 - F1129)</f>
        <v>0</v>
      </c>
      <c r="H1129" s="0" t="n">
        <v>1.82</v>
      </c>
      <c r="I1129" s="0" t="n">
        <f aca="false">1.82*30*(G1129^1.5)</f>
        <v>0</v>
      </c>
      <c r="J1129" s="0" t="n">
        <f aca="false">I1129*60</f>
        <v>0</v>
      </c>
      <c r="K1129" s="0" t="n">
        <f aca="false">(I1129*86400)/24</f>
        <v>0</v>
      </c>
    </row>
    <row r="1130" customFormat="false" ht="16.5" hidden="false" customHeight="false" outlineLevel="0" collapsed="false">
      <c r="A1130" s="56" t="n">
        <v>45881.75</v>
      </c>
      <c r="B1130" s="57" t="n">
        <f aca="false">MOD(A1130,1)</f>
        <v>0.75</v>
      </c>
      <c r="C1130" s="0" t="n">
        <v>0</v>
      </c>
      <c r="D1130" s="0" t="n">
        <v>489.476</v>
      </c>
      <c r="E1130" s="0" t="n">
        <f aca="false">D1130-0.155</f>
        <v>489.321</v>
      </c>
      <c r="F1130" s="0" t="n">
        <v>489.545</v>
      </c>
      <c r="G1130" s="0" t="n">
        <f aca="false">IF(E1130 - F1130 &lt; 0, 0, E1130 - F1130)</f>
        <v>0</v>
      </c>
      <c r="H1130" s="0" t="n">
        <v>1.82</v>
      </c>
      <c r="I1130" s="0" t="n">
        <f aca="false">1.82*30*(G1130^1.5)</f>
        <v>0</v>
      </c>
      <c r="J1130" s="0" t="n">
        <f aca="false">I1130*60</f>
        <v>0</v>
      </c>
      <c r="K1130" s="0" t="n">
        <f aca="false">(I1130*86400)/24</f>
        <v>0</v>
      </c>
    </row>
    <row r="1131" customFormat="false" ht="16.5" hidden="false" customHeight="false" outlineLevel="0" collapsed="false">
      <c r="A1131" s="56" t="n">
        <v>45881.7916666667</v>
      </c>
      <c r="B1131" s="57" t="n">
        <f aca="false">MOD(A1131,1)</f>
        <v>0.791666666656965</v>
      </c>
      <c r="C1131" s="0" t="n">
        <v>0</v>
      </c>
      <c r="D1131" s="0" t="n">
        <v>489.483</v>
      </c>
      <c r="E1131" s="0" t="n">
        <f aca="false">D1131-0.155</f>
        <v>489.328</v>
      </c>
      <c r="F1131" s="0" t="n">
        <v>489.545</v>
      </c>
      <c r="G1131" s="0" t="n">
        <f aca="false">IF(E1131 - F1131 &lt; 0, 0, E1131 - F1131)</f>
        <v>0</v>
      </c>
      <c r="H1131" s="0" t="n">
        <v>1.82</v>
      </c>
      <c r="I1131" s="0" t="n">
        <f aca="false">1.82*30*(G1131^1.5)</f>
        <v>0</v>
      </c>
      <c r="J1131" s="0" t="n">
        <f aca="false">I1131*60</f>
        <v>0</v>
      </c>
      <c r="K1131" s="0" t="n">
        <f aca="false">(I1131*86400)/24</f>
        <v>0</v>
      </c>
    </row>
    <row r="1132" customFormat="false" ht="16.5" hidden="false" customHeight="false" outlineLevel="0" collapsed="false">
      <c r="A1132" s="56" t="n">
        <v>45881.8333333333</v>
      </c>
      <c r="B1132" s="57" t="n">
        <f aca="false">MOD(A1132,1)</f>
        <v>0.833333333343035</v>
      </c>
      <c r="C1132" s="0" t="n">
        <v>0</v>
      </c>
      <c r="D1132" s="0" t="n">
        <v>489.483</v>
      </c>
      <c r="E1132" s="0" t="n">
        <f aca="false">D1132-0.155</f>
        <v>489.328</v>
      </c>
      <c r="F1132" s="0" t="n">
        <v>489.545</v>
      </c>
      <c r="G1132" s="0" t="n">
        <f aca="false">IF(E1132 - F1132 &lt; 0, 0, E1132 - F1132)</f>
        <v>0</v>
      </c>
      <c r="H1132" s="0" t="n">
        <v>1.82</v>
      </c>
      <c r="I1132" s="0" t="n">
        <f aca="false">1.82*30*(G1132^1.5)</f>
        <v>0</v>
      </c>
      <c r="J1132" s="0" t="n">
        <f aca="false">I1132*60</f>
        <v>0</v>
      </c>
      <c r="K1132" s="0" t="n">
        <f aca="false">(I1132*86400)/24</f>
        <v>0</v>
      </c>
    </row>
    <row r="1133" customFormat="false" ht="16.5" hidden="false" customHeight="false" outlineLevel="0" collapsed="false">
      <c r="A1133" s="56" t="n">
        <v>45881.875</v>
      </c>
      <c r="B1133" s="57" t="n">
        <f aca="false">MOD(A1133,1)</f>
        <v>0.875</v>
      </c>
      <c r="C1133" s="0" t="n">
        <v>0</v>
      </c>
      <c r="D1133" s="0" t="n">
        <v>489.483</v>
      </c>
      <c r="E1133" s="0" t="n">
        <f aca="false">D1133-0.155</f>
        <v>489.328</v>
      </c>
      <c r="F1133" s="0" t="n">
        <v>489.545</v>
      </c>
      <c r="G1133" s="0" t="n">
        <f aca="false">IF(E1133 - F1133 &lt; 0, 0, E1133 - F1133)</f>
        <v>0</v>
      </c>
      <c r="H1133" s="0" t="n">
        <v>1.82</v>
      </c>
      <c r="I1133" s="0" t="n">
        <f aca="false">1.82*30*(G1133^1.5)</f>
        <v>0</v>
      </c>
      <c r="J1133" s="0" t="n">
        <f aca="false">I1133*60</f>
        <v>0</v>
      </c>
      <c r="K1133" s="0" t="n">
        <f aca="false">(I1133*86400)/24</f>
        <v>0</v>
      </c>
    </row>
    <row r="1134" customFormat="false" ht="16.5" hidden="false" customHeight="false" outlineLevel="0" collapsed="false">
      <c r="A1134" s="56" t="n">
        <v>45881.9166666667</v>
      </c>
      <c r="B1134" s="57" t="n">
        <f aca="false">MOD(A1134,1)</f>
        <v>0.916666666656965</v>
      </c>
      <c r="C1134" s="0" t="n">
        <v>0</v>
      </c>
      <c r="D1134" s="0" t="n">
        <v>489.489</v>
      </c>
      <c r="E1134" s="0" t="n">
        <f aca="false">D1134-0.155</f>
        <v>489.334</v>
      </c>
      <c r="F1134" s="0" t="n">
        <v>489.545</v>
      </c>
      <c r="G1134" s="0" t="n">
        <f aca="false">IF(E1134 - F1134 &lt; 0, 0, E1134 - F1134)</f>
        <v>0</v>
      </c>
      <c r="H1134" s="0" t="n">
        <v>1.82</v>
      </c>
      <c r="I1134" s="0" t="n">
        <f aca="false">1.82*30*(G1134^1.5)</f>
        <v>0</v>
      </c>
      <c r="J1134" s="0" t="n">
        <f aca="false">I1134*60</f>
        <v>0</v>
      </c>
      <c r="K1134" s="0" t="n">
        <f aca="false">(I1134*86400)/24</f>
        <v>0</v>
      </c>
    </row>
    <row r="1135" customFormat="false" ht="16.5" hidden="false" customHeight="false" outlineLevel="0" collapsed="false">
      <c r="A1135" s="56" t="n">
        <v>45881.9583333333</v>
      </c>
      <c r="B1135" s="57" t="n">
        <f aca="false">MOD(A1135,1)</f>
        <v>0.958333333343035</v>
      </c>
      <c r="C1135" s="0" t="n">
        <v>0</v>
      </c>
      <c r="D1135" s="0" t="n">
        <v>489.489</v>
      </c>
      <c r="E1135" s="0" t="n">
        <f aca="false">D1135-0.155</f>
        <v>489.334</v>
      </c>
      <c r="F1135" s="0" t="n">
        <v>489.545</v>
      </c>
      <c r="G1135" s="0" t="n">
        <f aca="false">IF(E1135 - F1135 &lt; 0, 0, E1135 - F1135)</f>
        <v>0</v>
      </c>
      <c r="H1135" s="0" t="n">
        <v>1.82</v>
      </c>
      <c r="I1135" s="0" t="n">
        <f aca="false">1.82*30*(G1135^1.5)</f>
        <v>0</v>
      </c>
      <c r="J1135" s="0" t="n">
        <f aca="false">I1135*60</f>
        <v>0</v>
      </c>
      <c r="K1135" s="0" t="n">
        <f aca="false">(I1135*86400)/24</f>
        <v>0</v>
      </c>
    </row>
    <row r="1136" customFormat="false" ht="16.5" hidden="false" customHeight="false" outlineLevel="0" collapsed="false">
      <c r="A1136" s="56" t="n">
        <v>45882</v>
      </c>
      <c r="B1136" s="57" t="n">
        <f aca="false">MOD(A1136,1)</f>
        <v>0</v>
      </c>
      <c r="C1136" s="0" t="n">
        <v>0</v>
      </c>
      <c r="D1136" s="0" t="n">
        <v>489.489</v>
      </c>
      <c r="E1136" s="0" t="n">
        <f aca="false">D1136-0.155</f>
        <v>489.334</v>
      </c>
      <c r="F1136" s="0" t="n">
        <v>489.545</v>
      </c>
      <c r="G1136" s="0" t="n">
        <f aca="false">IF(E1136 - F1136 &lt; 0, 0, E1136 - F1136)</f>
        <v>0</v>
      </c>
      <c r="H1136" s="0" t="n">
        <v>1.82</v>
      </c>
      <c r="I1136" s="0" t="n">
        <f aca="false">1.82*30*(G1136^1.5)</f>
        <v>0</v>
      </c>
      <c r="J1136" s="0" t="n">
        <f aca="false">I1136*60</f>
        <v>0</v>
      </c>
      <c r="K1136" s="0" t="n">
        <f aca="false">(I1136*86400)/24</f>
        <v>0</v>
      </c>
    </row>
    <row r="1137" customFormat="false" ht="16.5" hidden="false" customHeight="false" outlineLevel="0" collapsed="false">
      <c r="A1137" s="56" t="n">
        <v>45882.0416666667</v>
      </c>
      <c r="B1137" s="57" t="n">
        <f aca="false">MOD(A1137,1)</f>
        <v>0.0416666666569654</v>
      </c>
      <c r="C1137" s="0" t="n">
        <v>0</v>
      </c>
      <c r="D1137" s="0" t="n">
        <v>489.495</v>
      </c>
      <c r="E1137" s="0" t="n">
        <f aca="false">D1137-0.155</f>
        <v>489.34</v>
      </c>
      <c r="F1137" s="0" t="n">
        <v>489.545</v>
      </c>
      <c r="G1137" s="0" t="n">
        <f aca="false">IF(E1137 - F1137 &lt; 0, 0, E1137 - F1137)</f>
        <v>0</v>
      </c>
      <c r="H1137" s="0" t="n">
        <v>1.82</v>
      </c>
      <c r="I1137" s="0" t="n">
        <f aca="false">1.82*30*(G1137^1.5)</f>
        <v>0</v>
      </c>
      <c r="J1137" s="0" t="n">
        <f aca="false">I1137*60</f>
        <v>0</v>
      </c>
      <c r="K1137" s="0" t="n">
        <f aca="false">(I1137*86400)/24</f>
        <v>0</v>
      </c>
    </row>
    <row r="1138" customFormat="false" ht="16.5" hidden="false" customHeight="false" outlineLevel="0" collapsed="false">
      <c r="A1138" s="56" t="n">
        <v>45882.0833333333</v>
      </c>
      <c r="B1138" s="57" t="n">
        <f aca="false">MOD(A1138,1)</f>
        <v>0.0833333333430346</v>
      </c>
      <c r="C1138" s="0" t="n">
        <v>0</v>
      </c>
      <c r="D1138" s="0" t="n">
        <v>489.496</v>
      </c>
      <c r="E1138" s="0" t="n">
        <f aca="false">D1138-0.155</f>
        <v>489.341</v>
      </c>
      <c r="F1138" s="0" t="n">
        <v>489.545</v>
      </c>
      <c r="G1138" s="0" t="n">
        <f aca="false">IF(E1138 - F1138 &lt; 0, 0, E1138 - F1138)</f>
        <v>0</v>
      </c>
      <c r="H1138" s="0" t="n">
        <v>1.82</v>
      </c>
      <c r="I1138" s="0" t="n">
        <f aca="false">1.82*30*(G1138^1.5)</f>
        <v>0</v>
      </c>
      <c r="J1138" s="0" t="n">
        <f aca="false">I1138*60</f>
        <v>0</v>
      </c>
      <c r="K1138" s="0" t="n">
        <f aca="false">(I1138*86400)/24</f>
        <v>0</v>
      </c>
    </row>
    <row r="1139" customFormat="false" ht="16.5" hidden="false" customHeight="false" outlineLevel="0" collapsed="false">
      <c r="A1139" s="56" t="n">
        <v>45882.125</v>
      </c>
      <c r="B1139" s="57" t="n">
        <f aca="false">MOD(A1139,1)</f>
        <v>0.125</v>
      </c>
      <c r="C1139" s="0" t="n">
        <v>0</v>
      </c>
      <c r="D1139" s="0" t="n">
        <v>489.495</v>
      </c>
      <c r="E1139" s="0" t="n">
        <f aca="false">D1139-0.155</f>
        <v>489.34</v>
      </c>
      <c r="F1139" s="0" t="n">
        <v>489.545</v>
      </c>
      <c r="G1139" s="0" t="n">
        <f aca="false">IF(E1139 - F1139 &lt; 0, 0, E1139 - F1139)</f>
        <v>0</v>
      </c>
      <c r="H1139" s="0" t="n">
        <v>1.82</v>
      </c>
      <c r="I1139" s="0" t="n">
        <f aca="false">1.82*30*(G1139^1.5)</f>
        <v>0</v>
      </c>
      <c r="J1139" s="0" t="n">
        <f aca="false">I1139*60</f>
        <v>0</v>
      </c>
      <c r="K1139" s="0" t="n">
        <f aca="false">(I1139*86400)/24</f>
        <v>0</v>
      </c>
    </row>
    <row r="1140" customFormat="false" ht="16.5" hidden="false" customHeight="false" outlineLevel="0" collapsed="false">
      <c r="A1140" s="56" t="n">
        <v>45882.1666666667</v>
      </c>
      <c r="B1140" s="57" t="n">
        <f aca="false">MOD(A1140,1)</f>
        <v>0.166666666656965</v>
      </c>
      <c r="C1140" s="0" t="n">
        <v>0</v>
      </c>
      <c r="D1140" s="0" t="n">
        <v>489.501</v>
      </c>
      <c r="E1140" s="0" t="n">
        <f aca="false">D1140-0.155</f>
        <v>489.346</v>
      </c>
      <c r="F1140" s="0" t="n">
        <v>489.545</v>
      </c>
      <c r="G1140" s="0" t="n">
        <f aca="false">IF(E1140 - F1140 &lt; 0, 0, E1140 - F1140)</f>
        <v>0</v>
      </c>
      <c r="H1140" s="0" t="n">
        <v>1.82</v>
      </c>
      <c r="I1140" s="0" t="n">
        <f aca="false">1.82*30*(G1140^1.5)</f>
        <v>0</v>
      </c>
      <c r="J1140" s="0" t="n">
        <f aca="false">I1140*60</f>
        <v>0</v>
      </c>
      <c r="K1140" s="0" t="n">
        <f aca="false">(I1140*86400)/24</f>
        <v>0</v>
      </c>
    </row>
    <row r="1141" customFormat="false" ht="16.5" hidden="false" customHeight="false" outlineLevel="0" collapsed="false">
      <c r="A1141" s="56" t="n">
        <v>45882.2083333333</v>
      </c>
      <c r="B1141" s="57" t="n">
        <f aca="false">MOD(A1141,1)</f>
        <v>0.208333333343035</v>
      </c>
      <c r="C1141" s="0" t="n">
        <v>0</v>
      </c>
      <c r="D1141" s="0" t="n">
        <v>489.501</v>
      </c>
      <c r="E1141" s="0" t="n">
        <f aca="false">D1141-0.155</f>
        <v>489.346</v>
      </c>
      <c r="F1141" s="0" t="n">
        <v>489.545</v>
      </c>
      <c r="G1141" s="0" t="n">
        <f aca="false">IF(E1141 - F1141 &lt; 0, 0, E1141 - F1141)</f>
        <v>0</v>
      </c>
      <c r="H1141" s="0" t="n">
        <v>1.82</v>
      </c>
      <c r="I1141" s="0" t="n">
        <f aca="false">1.82*30*(G1141^1.5)</f>
        <v>0</v>
      </c>
      <c r="J1141" s="0" t="n">
        <f aca="false">I1141*60</f>
        <v>0</v>
      </c>
      <c r="K1141" s="0" t="n">
        <f aca="false">(I1141*86400)/24</f>
        <v>0</v>
      </c>
    </row>
    <row r="1142" customFormat="false" ht="16.5" hidden="false" customHeight="false" outlineLevel="0" collapsed="false">
      <c r="A1142" s="56" t="n">
        <v>45882.25</v>
      </c>
      <c r="B1142" s="57" t="n">
        <f aca="false">MOD(A1142,1)</f>
        <v>0.25</v>
      </c>
      <c r="C1142" s="0" t="n">
        <v>0</v>
      </c>
      <c r="D1142" s="0" t="n">
        <v>489.501</v>
      </c>
      <c r="E1142" s="0" t="n">
        <f aca="false">D1142-0.155</f>
        <v>489.346</v>
      </c>
      <c r="F1142" s="0" t="n">
        <v>489.545</v>
      </c>
      <c r="G1142" s="0" t="n">
        <f aca="false">IF(E1142 - F1142 &lt; 0, 0, E1142 - F1142)</f>
        <v>0</v>
      </c>
      <c r="H1142" s="0" t="n">
        <v>1.82</v>
      </c>
      <c r="I1142" s="0" t="n">
        <f aca="false">1.82*30*(G1142^1.5)</f>
        <v>0</v>
      </c>
      <c r="J1142" s="0" t="n">
        <f aca="false">I1142*60</f>
        <v>0</v>
      </c>
      <c r="K1142" s="0" t="n">
        <f aca="false">(I1142*86400)/24</f>
        <v>0</v>
      </c>
    </row>
    <row r="1143" customFormat="false" ht="16.5" hidden="false" customHeight="false" outlineLevel="0" collapsed="false">
      <c r="A1143" s="56" t="n">
        <v>45882.2916666667</v>
      </c>
      <c r="B1143" s="57" t="n">
        <f aca="false">MOD(A1143,1)</f>
        <v>0.291666666656965</v>
      </c>
      <c r="C1143" s="0" t="n">
        <v>0</v>
      </c>
      <c r="D1143" s="0" t="n">
        <v>489.501</v>
      </c>
      <c r="E1143" s="0" t="n">
        <f aca="false">D1143-0.155</f>
        <v>489.346</v>
      </c>
      <c r="F1143" s="0" t="n">
        <v>489.545</v>
      </c>
      <c r="G1143" s="0" t="n">
        <f aca="false">IF(E1143 - F1143 &lt; 0, 0, E1143 - F1143)</f>
        <v>0</v>
      </c>
      <c r="H1143" s="0" t="n">
        <v>1.82</v>
      </c>
      <c r="I1143" s="0" t="n">
        <f aca="false">1.82*30*(G1143^1.5)</f>
        <v>0</v>
      </c>
      <c r="J1143" s="0" t="n">
        <f aca="false">I1143*60</f>
        <v>0</v>
      </c>
      <c r="K1143" s="0" t="n">
        <f aca="false">(I1143*86400)/24</f>
        <v>0</v>
      </c>
    </row>
    <row r="1144" customFormat="false" ht="16.5" hidden="false" customHeight="false" outlineLevel="0" collapsed="false">
      <c r="A1144" s="56" t="n">
        <v>45882.3333333333</v>
      </c>
      <c r="B1144" s="57" t="n">
        <f aca="false">MOD(A1144,1)</f>
        <v>0.333333333343035</v>
      </c>
      <c r="C1144" s="0" t="n">
        <v>0</v>
      </c>
      <c r="D1144" s="0" t="n">
        <v>489.507</v>
      </c>
      <c r="E1144" s="0" t="n">
        <f aca="false">D1144-0.155</f>
        <v>489.352</v>
      </c>
      <c r="F1144" s="0" t="n">
        <v>489.545</v>
      </c>
      <c r="G1144" s="0" t="n">
        <f aca="false">IF(E1144 - F1144 &lt; 0, 0, E1144 - F1144)</f>
        <v>0</v>
      </c>
      <c r="H1144" s="0" t="n">
        <v>1.82</v>
      </c>
      <c r="I1144" s="0" t="n">
        <f aca="false">1.82*30*(G1144^1.5)</f>
        <v>0</v>
      </c>
      <c r="J1144" s="0" t="n">
        <f aca="false">I1144*60</f>
        <v>0</v>
      </c>
      <c r="K1144" s="0" t="n">
        <f aca="false">(I1144*86400)/24</f>
        <v>0</v>
      </c>
    </row>
    <row r="1145" customFormat="false" ht="16.5" hidden="false" customHeight="false" outlineLevel="0" collapsed="false">
      <c r="A1145" s="56" t="n">
        <v>45882.375</v>
      </c>
      <c r="B1145" s="57" t="n">
        <f aca="false">MOD(A1145,1)</f>
        <v>0.375</v>
      </c>
      <c r="C1145" s="0" t="n">
        <v>0</v>
      </c>
      <c r="D1145" s="0" t="n">
        <v>489.507</v>
      </c>
      <c r="E1145" s="0" t="n">
        <f aca="false">D1145-0.155</f>
        <v>489.352</v>
      </c>
      <c r="F1145" s="0" t="n">
        <v>489.545</v>
      </c>
      <c r="G1145" s="0" t="n">
        <f aca="false">IF(E1145 - F1145 &lt; 0, 0, E1145 - F1145)</f>
        <v>0</v>
      </c>
      <c r="H1145" s="0" t="n">
        <v>1.82</v>
      </c>
      <c r="I1145" s="0" t="n">
        <f aca="false">1.82*30*(G1145^1.5)</f>
        <v>0</v>
      </c>
      <c r="J1145" s="0" t="n">
        <f aca="false">I1145*60</f>
        <v>0</v>
      </c>
      <c r="K1145" s="0" t="n">
        <f aca="false">(I1145*86400)/24</f>
        <v>0</v>
      </c>
    </row>
    <row r="1146" customFormat="false" ht="16.5" hidden="false" customHeight="false" outlineLevel="0" collapsed="false">
      <c r="A1146" s="56" t="n">
        <v>45882.4166666667</v>
      </c>
      <c r="B1146" s="57" t="n">
        <f aca="false">MOD(A1146,1)</f>
        <v>0.416666666656965</v>
      </c>
      <c r="C1146" s="0" t="n">
        <v>0.2</v>
      </c>
      <c r="D1146" s="0" t="n">
        <v>489.507</v>
      </c>
      <c r="E1146" s="0" t="n">
        <f aca="false">D1146-0.155</f>
        <v>489.352</v>
      </c>
      <c r="F1146" s="0" t="n">
        <v>489.545</v>
      </c>
      <c r="G1146" s="0" t="n">
        <f aca="false">IF(E1146 - F1146 &lt; 0, 0, E1146 - F1146)</f>
        <v>0</v>
      </c>
      <c r="H1146" s="0" t="n">
        <v>1.82</v>
      </c>
      <c r="I1146" s="0" t="n">
        <f aca="false">1.82*30*(G1146^1.5)</f>
        <v>0</v>
      </c>
      <c r="J1146" s="0" t="n">
        <f aca="false">I1146*60</f>
        <v>0</v>
      </c>
      <c r="K1146" s="0" t="n">
        <f aca="false">(I1146*86400)/24</f>
        <v>0</v>
      </c>
    </row>
    <row r="1147" customFormat="false" ht="16.5" hidden="false" customHeight="false" outlineLevel="0" collapsed="false">
      <c r="A1147" s="56" t="n">
        <v>45882.4583333333</v>
      </c>
      <c r="B1147" s="57" t="n">
        <f aca="false">MOD(A1147,1)</f>
        <v>0.458333333343035</v>
      </c>
      <c r="C1147" s="0" t="n">
        <v>0</v>
      </c>
      <c r="D1147" s="0" t="n">
        <v>489.514</v>
      </c>
      <c r="E1147" s="0" t="n">
        <f aca="false">D1147-0.155</f>
        <v>489.359</v>
      </c>
      <c r="F1147" s="0" t="n">
        <v>489.545</v>
      </c>
      <c r="G1147" s="0" t="n">
        <f aca="false">IF(E1147 - F1147 &lt; 0, 0, E1147 - F1147)</f>
        <v>0</v>
      </c>
      <c r="H1147" s="0" t="n">
        <v>1.82</v>
      </c>
      <c r="I1147" s="0" t="n">
        <f aca="false">1.82*30*(G1147^1.5)</f>
        <v>0</v>
      </c>
      <c r="J1147" s="0" t="n">
        <f aca="false">I1147*60</f>
        <v>0</v>
      </c>
      <c r="K1147" s="0" t="n">
        <f aca="false">(I1147*86400)/24</f>
        <v>0</v>
      </c>
    </row>
    <row r="1148" customFormat="false" ht="16.5" hidden="false" customHeight="false" outlineLevel="0" collapsed="false">
      <c r="A1148" s="56" t="n">
        <v>45882.5</v>
      </c>
      <c r="B1148" s="57" t="n">
        <f aca="false">MOD(A1148,1)</f>
        <v>0.5</v>
      </c>
      <c r="C1148" s="0" t="n">
        <v>0</v>
      </c>
      <c r="D1148" s="0" t="n">
        <v>489.513</v>
      </c>
      <c r="E1148" s="0" t="n">
        <f aca="false">D1148-0.155</f>
        <v>489.358</v>
      </c>
      <c r="F1148" s="0" t="n">
        <v>489.545</v>
      </c>
      <c r="G1148" s="0" t="n">
        <f aca="false">IF(E1148 - F1148 &lt; 0, 0, E1148 - F1148)</f>
        <v>0</v>
      </c>
      <c r="H1148" s="0" t="n">
        <v>1.82</v>
      </c>
      <c r="I1148" s="0" t="n">
        <f aca="false">1.82*30*(G1148^1.5)</f>
        <v>0</v>
      </c>
      <c r="J1148" s="0" t="n">
        <f aca="false">I1148*60</f>
        <v>0</v>
      </c>
      <c r="K1148" s="0" t="n">
        <f aca="false">(I1148*86400)/24</f>
        <v>0</v>
      </c>
    </row>
    <row r="1149" customFormat="false" ht="16.5" hidden="false" customHeight="false" outlineLevel="0" collapsed="false">
      <c r="A1149" s="56" t="n">
        <v>45882.5416666667</v>
      </c>
      <c r="B1149" s="57" t="n">
        <f aca="false">MOD(A1149,1)</f>
        <v>0.541666666656965</v>
      </c>
      <c r="C1149" s="0" t="n">
        <v>0</v>
      </c>
      <c r="D1149" s="0" t="n">
        <v>489.513</v>
      </c>
      <c r="E1149" s="0" t="n">
        <f aca="false">D1149-0.155</f>
        <v>489.358</v>
      </c>
      <c r="F1149" s="0" t="n">
        <v>489.545</v>
      </c>
      <c r="G1149" s="0" t="n">
        <f aca="false">IF(E1149 - F1149 &lt; 0, 0, E1149 - F1149)</f>
        <v>0</v>
      </c>
      <c r="H1149" s="0" t="n">
        <v>1.82</v>
      </c>
      <c r="I1149" s="0" t="n">
        <f aca="false">1.82*30*(G1149^1.5)</f>
        <v>0</v>
      </c>
      <c r="J1149" s="0" t="n">
        <f aca="false">I1149*60</f>
        <v>0</v>
      </c>
      <c r="K1149" s="0" t="n">
        <f aca="false">(I1149*86400)/24</f>
        <v>0</v>
      </c>
    </row>
    <row r="1150" customFormat="false" ht="16.5" hidden="false" customHeight="false" outlineLevel="0" collapsed="false">
      <c r="A1150" s="56" t="n">
        <v>45882.5833333333</v>
      </c>
      <c r="B1150" s="57" t="n">
        <f aca="false">MOD(A1150,1)</f>
        <v>0.583333333343035</v>
      </c>
      <c r="C1150" s="0" t="n">
        <v>2.6</v>
      </c>
      <c r="D1150" s="0" t="n">
        <v>489.533</v>
      </c>
      <c r="E1150" s="0" t="n">
        <f aca="false">D1150-0.155</f>
        <v>489.378</v>
      </c>
      <c r="F1150" s="0" t="n">
        <v>489.545</v>
      </c>
      <c r="G1150" s="0" t="n">
        <f aca="false">IF(E1150 - F1150 &lt; 0, 0, E1150 - F1150)</f>
        <v>0</v>
      </c>
      <c r="H1150" s="0" t="n">
        <v>1.82</v>
      </c>
      <c r="I1150" s="0" t="n">
        <f aca="false">1.82*30*(G1150^1.5)</f>
        <v>0</v>
      </c>
      <c r="J1150" s="0" t="n">
        <f aca="false">I1150*60</f>
        <v>0</v>
      </c>
      <c r="K1150" s="0" t="n">
        <f aca="false">(I1150*86400)/24</f>
        <v>0</v>
      </c>
    </row>
    <row r="1151" customFormat="false" ht="16.5" hidden="false" customHeight="false" outlineLevel="0" collapsed="false">
      <c r="A1151" s="56" t="n">
        <v>45882.625</v>
      </c>
      <c r="B1151" s="57" t="n">
        <f aca="false">MOD(A1151,1)</f>
        <v>0.625</v>
      </c>
      <c r="C1151" s="0" t="n">
        <v>0</v>
      </c>
      <c r="D1151" s="0" t="n">
        <v>489.573</v>
      </c>
      <c r="E1151" s="0" t="n">
        <f aca="false">D1151-0.155</f>
        <v>489.418</v>
      </c>
      <c r="F1151" s="0" t="n">
        <v>489.545</v>
      </c>
      <c r="G1151" s="0" t="n">
        <f aca="false">IF(E1151 - F1151 &lt; 0, 0, E1151 - F1151)</f>
        <v>0</v>
      </c>
      <c r="H1151" s="0" t="n">
        <v>1.82</v>
      </c>
      <c r="I1151" s="0" t="n">
        <f aca="false">1.82*30*(G1151^1.5)</f>
        <v>0</v>
      </c>
      <c r="J1151" s="0" t="n">
        <f aca="false">I1151*60</f>
        <v>0</v>
      </c>
      <c r="K1151" s="0" t="n">
        <f aca="false">(I1151*86400)/24</f>
        <v>0</v>
      </c>
    </row>
    <row r="1152" customFormat="false" ht="16.5" hidden="false" customHeight="false" outlineLevel="0" collapsed="false">
      <c r="A1152" s="56" t="n">
        <v>45882.6666666667</v>
      </c>
      <c r="B1152" s="57" t="n">
        <f aca="false">MOD(A1152,1)</f>
        <v>0.666666666656965</v>
      </c>
      <c r="C1152" s="0" t="n">
        <v>0</v>
      </c>
      <c r="D1152" s="0" t="n">
        <v>489.579</v>
      </c>
      <c r="E1152" s="0" t="n">
        <f aca="false">D1152-0.155</f>
        <v>489.424</v>
      </c>
      <c r="F1152" s="0" t="n">
        <v>489.545</v>
      </c>
      <c r="G1152" s="0" t="n">
        <f aca="false">IF(E1152 - F1152 &lt; 0, 0, E1152 - F1152)</f>
        <v>0</v>
      </c>
      <c r="H1152" s="0" t="n">
        <v>1.82</v>
      </c>
      <c r="I1152" s="0" t="n">
        <f aca="false">1.82*30*(G1152^1.5)</f>
        <v>0</v>
      </c>
      <c r="J1152" s="0" t="n">
        <f aca="false">I1152*60</f>
        <v>0</v>
      </c>
      <c r="K1152" s="0" t="n">
        <f aca="false">(I1152*86400)/24</f>
        <v>0</v>
      </c>
    </row>
    <row r="1153" customFormat="false" ht="16.5" hidden="false" customHeight="false" outlineLevel="0" collapsed="false">
      <c r="A1153" s="56" t="n">
        <v>45882.7083333333</v>
      </c>
      <c r="B1153" s="57" t="n">
        <f aca="false">MOD(A1153,1)</f>
        <v>0.708333333343035</v>
      </c>
      <c r="C1153" s="0" t="n">
        <v>0</v>
      </c>
      <c r="D1153" s="0" t="n">
        <v>489.585</v>
      </c>
      <c r="E1153" s="0" t="n">
        <f aca="false">D1153-0.155</f>
        <v>489.43</v>
      </c>
      <c r="F1153" s="0" t="n">
        <v>489.545</v>
      </c>
      <c r="G1153" s="0" t="n">
        <f aca="false">IF(E1153 - F1153 &lt; 0, 0, E1153 - F1153)</f>
        <v>0</v>
      </c>
      <c r="H1153" s="0" t="n">
        <v>1.82</v>
      </c>
      <c r="I1153" s="0" t="n">
        <f aca="false">1.82*30*(G1153^1.5)</f>
        <v>0</v>
      </c>
      <c r="J1153" s="0" t="n">
        <f aca="false">I1153*60</f>
        <v>0</v>
      </c>
      <c r="K1153" s="0" t="n">
        <f aca="false">(I1153*86400)/24</f>
        <v>0</v>
      </c>
    </row>
    <row r="1154" customFormat="false" ht="16.5" hidden="false" customHeight="false" outlineLevel="0" collapsed="false">
      <c r="A1154" s="56" t="n">
        <v>45882.75</v>
      </c>
      <c r="B1154" s="57" t="n">
        <f aca="false">MOD(A1154,1)</f>
        <v>0.75</v>
      </c>
      <c r="C1154" s="0" t="n">
        <v>0</v>
      </c>
      <c r="D1154" s="0" t="n">
        <v>489.592</v>
      </c>
      <c r="E1154" s="0" t="n">
        <f aca="false">D1154-0.155</f>
        <v>489.437</v>
      </c>
      <c r="F1154" s="0" t="n">
        <v>489.545</v>
      </c>
      <c r="G1154" s="0" t="n">
        <f aca="false">IF(E1154 - F1154 &lt; 0, 0, E1154 - F1154)</f>
        <v>0</v>
      </c>
      <c r="H1154" s="0" t="n">
        <v>1.82</v>
      </c>
      <c r="I1154" s="0" t="n">
        <f aca="false">1.82*30*(G1154^1.5)</f>
        <v>0</v>
      </c>
      <c r="J1154" s="0" t="n">
        <f aca="false">I1154*60</f>
        <v>0</v>
      </c>
      <c r="K1154" s="0" t="n">
        <f aca="false">(I1154*86400)/24</f>
        <v>0</v>
      </c>
    </row>
    <row r="1155" customFormat="false" ht="16.5" hidden="false" customHeight="false" outlineLevel="0" collapsed="false">
      <c r="A1155" s="56" t="n">
        <v>45882.7916666667</v>
      </c>
      <c r="B1155" s="57" t="n">
        <f aca="false">MOD(A1155,1)</f>
        <v>0.791666666656965</v>
      </c>
      <c r="C1155" s="0" t="n">
        <v>0</v>
      </c>
      <c r="D1155" s="0" t="n">
        <v>489.592</v>
      </c>
      <c r="E1155" s="0" t="n">
        <f aca="false">D1155-0.155</f>
        <v>489.437</v>
      </c>
      <c r="F1155" s="0" t="n">
        <v>489.545</v>
      </c>
      <c r="G1155" s="0" t="n">
        <f aca="false">IF(E1155 - F1155 &lt; 0, 0, E1155 - F1155)</f>
        <v>0</v>
      </c>
      <c r="H1155" s="0" t="n">
        <v>1.82</v>
      </c>
      <c r="I1155" s="0" t="n">
        <f aca="false">1.82*30*(G1155^1.5)</f>
        <v>0</v>
      </c>
      <c r="J1155" s="0" t="n">
        <f aca="false">I1155*60</f>
        <v>0</v>
      </c>
      <c r="K1155" s="0" t="n">
        <f aca="false">(I1155*86400)/24</f>
        <v>0</v>
      </c>
    </row>
    <row r="1156" customFormat="false" ht="16.5" hidden="false" customHeight="false" outlineLevel="0" collapsed="false">
      <c r="A1156" s="56" t="n">
        <v>45882.8333333333</v>
      </c>
      <c r="B1156" s="57" t="n">
        <f aca="false">MOD(A1156,1)</f>
        <v>0.833333333343035</v>
      </c>
      <c r="C1156" s="0" t="n">
        <v>0</v>
      </c>
      <c r="D1156" s="0" t="n">
        <v>489.598</v>
      </c>
      <c r="E1156" s="0" t="n">
        <f aca="false">D1156-0.155</f>
        <v>489.443</v>
      </c>
      <c r="F1156" s="0" t="n">
        <v>489.545</v>
      </c>
      <c r="G1156" s="0" t="n">
        <f aca="false">IF(E1156 - F1156 &lt; 0, 0, E1156 - F1156)</f>
        <v>0</v>
      </c>
      <c r="H1156" s="0" t="n">
        <v>1.82</v>
      </c>
      <c r="I1156" s="0" t="n">
        <f aca="false">1.82*30*(G1156^1.5)</f>
        <v>0</v>
      </c>
      <c r="J1156" s="0" t="n">
        <f aca="false">I1156*60</f>
        <v>0</v>
      </c>
      <c r="K1156" s="0" t="n">
        <f aca="false">(I1156*86400)/24</f>
        <v>0</v>
      </c>
    </row>
    <row r="1157" customFormat="false" ht="16.5" hidden="false" customHeight="false" outlineLevel="0" collapsed="false">
      <c r="A1157" s="56" t="n">
        <v>45882.875</v>
      </c>
      <c r="B1157" s="57" t="n">
        <f aca="false">MOD(A1157,1)</f>
        <v>0.875</v>
      </c>
      <c r="C1157" s="0" t="n">
        <v>0</v>
      </c>
      <c r="D1157" s="0" t="n">
        <v>489.598</v>
      </c>
      <c r="E1157" s="0" t="n">
        <f aca="false">D1157-0.155</f>
        <v>489.443</v>
      </c>
      <c r="F1157" s="0" t="n">
        <v>489.545</v>
      </c>
      <c r="G1157" s="0" t="n">
        <f aca="false">IF(E1157 - F1157 &lt; 0, 0, E1157 - F1157)</f>
        <v>0</v>
      </c>
      <c r="H1157" s="0" t="n">
        <v>1.82</v>
      </c>
      <c r="I1157" s="0" t="n">
        <f aca="false">1.82*30*(G1157^1.5)</f>
        <v>0</v>
      </c>
      <c r="J1157" s="0" t="n">
        <f aca="false">I1157*60</f>
        <v>0</v>
      </c>
      <c r="K1157" s="0" t="n">
        <f aca="false">(I1157*86400)/24</f>
        <v>0</v>
      </c>
    </row>
    <row r="1158" customFormat="false" ht="16.5" hidden="false" customHeight="false" outlineLevel="0" collapsed="false">
      <c r="A1158" s="56" t="n">
        <v>45882.9166666667</v>
      </c>
      <c r="B1158" s="57" t="n">
        <f aca="false">MOD(A1158,1)</f>
        <v>0.916666666656965</v>
      </c>
      <c r="C1158" s="0" t="n">
        <v>0</v>
      </c>
      <c r="D1158" s="0" t="n">
        <v>489.598</v>
      </c>
      <c r="E1158" s="0" t="n">
        <f aca="false">D1158-0.155</f>
        <v>489.443</v>
      </c>
      <c r="F1158" s="0" t="n">
        <v>489.545</v>
      </c>
      <c r="G1158" s="0" t="n">
        <f aca="false">IF(E1158 - F1158 &lt; 0, 0, E1158 - F1158)</f>
        <v>0</v>
      </c>
      <c r="H1158" s="0" t="n">
        <v>1.82</v>
      </c>
      <c r="I1158" s="0" t="n">
        <f aca="false">1.82*30*(G1158^1.5)</f>
        <v>0</v>
      </c>
      <c r="J1158" s="0" t="n">
        <f aca="false">I1158*60</f>
        <v>0</v>
      </c>
      <c r="K1158" s="0" t="n">
        <f aca="false">(I1158*86400)/24</f>
        <v>0</v>
      </c>
    </row>
    <row r="1159" customFormat="false" ht="16.5" hidden="false" customHeight="false" outlineLevel="0" collapsed="false">
      <c r="A1159" s="56" t="n">
        <v>45882.9583333333</v>
      </c>
      <c r="B1159" s="57" t="n">
        <f aca="false">MOD(A1159,1)</f>
        <v>0.958333333343035</v>
      </c>
      <c r="C1159" s="0" t="n">
        <v>0</v>
      </c>
      <c r="D1159" s="0" t="n">
        <v>489.598</v>
      </c>
      <c r="E1159" s="0" t="n">
        <f aca="false">D1159-0.155</f>
        <v>489.443</v>
      </c>
      <c r="F1159" s="0" t="n">
        <v>489.545</v>
      </c>
      <c r="G1159" s="0" t="n">
        <f aca="false">IF(E1159 - F1159 &lt; 0, 0, E1159 - F1159)</f>
        <v>0</v>
      </c>
      <c r="H1159" s="0" t="n">
        <v>1.82</v>
      </c>
      <c r="I1159" s="0" t="n">
        <f aca="false">1.82*30*(G1159^1.5)</f>
        <v>0</v>
      </c>
      <c r="J1159" s="0" t="n">
        <f aca="false">I1159*60</f>
        <v>0</v>
      </c>
      <c r="K1159" s="0" t="n">
        <f aca="false">(I1159*86400)/24</f>
        <v>0</v>
      </c>
    </row>
    <row r="1160" customFormat="false" ht="16.5" hidden="false" customHeight="false" outlineLevel="0" collapsed="false">
      <c r="A1160" s="56" t="n">
        <v>45883</v>
      </c>
      <c r="B1160" s="57" t="n">
        <f aca="false">MOD(A1160,1)</f>
        <v>0</v>
      </c>
      <c r="C1160" s="0" t="n">
        <v>0</v>
      </c>
      <c r="D1160" s="0" t="n">
        <v>489.605</v>
      </c>
      <c r="E1160" s="0" t="n">
        <f aca="false">D1160-0.155</f>
        <v>489.45</v>
      </c>
      <c r="F1160" s="0" t="n">
        <v>489.545</v>
      </c>
      <c r="G1160" s="0" t="n">
        <f aca="false">IF(E1160 - F1160 &lt; 0, 0, E1160 - F1160)</f>
        <v>0</v>
      </c>
      <c r="H1160" s="0" t="n">
        <v>1.82</v>
      </c>
      <c r="I1160" s="0" t="n">
        <f aca="false">1.82*30*(G1160^1.5)</f>
        <v>0</v>
      </c>
      <c r="J1160" s="0" t="n">
        <f aca="false">I1160*60</f>
        <v>0</v>
      </c>
      <c r="K1160" s="0" t="n">
        <f aca="false">(I1160*86400)/24</f>
        <v>0</v>
      </c>
    </row>
    <row r="1161" customFormat="false" ht="16.5" hidden="false" customHeight="false" outlineLevel="0" collapsed="false">
      <c r="A1161" s="56" t="n">
        <v>45883.0416666667</v>
      </c>
      <c r="B1161" s="57" t="n">
        <f aca="false">MOD(A1161,1)</f>
        <v>0.0416666666569654</v>
      </c>
      <c r="C1161" s="0" t="n">
        <v>0</v>
      </c>
      <c r="D1161" s="0" t="n">
        <v>489.605</v>
      </c>
      <c r="E1161" s="0" t="n">
        <f aca="false">D1161-0.155</f>
        <v>489.45</v>
      </c>
      <c r="F1161" s="0" t="n">
        <v>489.545</v>
      </c>
      <c r="G1161" s="0" t="n">
        <f aca="false">IF(E1161 - F1161 &lt; 0, 0, E1161 - F1161)</f>
        <v>0</v>
      </c>
      <c r="H1161" s="0" t="n">
        <v>1.82</v>
      </c>
      <c r="I1161" s="0" t="n">
        <f aca="false">1.82*30*(G1161^1.5)</f>
        <v>0</v>
      </c>
      <c r="J1161" s="0" t="n">
        <f aca="false">I1161*60</f>
        <v>0</v>
      </c>
      <c r="K1161" s="0" t="n">
        <f aca="false">(I1161*86400)/24</f>
        <v>0</v>
      </c>
    </row>
    <row r="1162" customFormat="false" ht="16.5" hidden="false" customHeight="false" outlineLevel="0" collapsed="false">
      <c r="A1162" s="56" t="n">
        <v>45883.0833333333</v>
      </c>
      <c r="B1162" s="57" t="n">
        <f aca="false">MOD(A1162,1)</f>
        <v>0.0833333333430346</v>
      </c>
      <c r="C1162" s="0" t="n">
        <v>0</v>
      </c>
      <c r="D1162" s="0" t="n">
        <v>489.605</v>
      </c>
      <c r="E1162" s="0" t="n">
        <f aca="false">D1162-0.155</f>
        <v>489.45</v>
      </c>
      <c r="F1162" s="0" t="n">
        <v>489.545</v>
      </c>
      <c r="G1162" s="0" t="n">
        <f aca="false">IF(E1162 - F1162 &lt; 0, 0, E1162 - F1162)</f>
        <v>0</v>
      </c>
      <c r="H1162" s="0" t="n">
        <v>1.82</v>
      </c>
      <c r="I1162" s="0" t="n">
        <f aca="false">1.82*30*(G1162^1.5)</f>
        <v>0</v>
      </c>
      <c r="J1162" s="0" t="n">
        <f aca="false">I1162*60</f>
        <v>0</v>
      </c>
      <c r="K1162" s="0" t="n">
        <f aca="false">(I1162*86400)/24</f>
        <v>0</v>
      </c>
    </row>
    <row r="1163" customFormat="false" ht="16.5" hidden="false" customHeight="false" outlineLevel="0" collapsed="false">
      <c r="A1163" s="56" t="n">
        <v>45883.125</v>
      </c>
      <c r="B1163" s="57" t="n">
        <f aca="false">MOD(A1163,1)</f>
        <v>0.125</v>
      </c>
      <c r="C1163" s="0" t="n">
        <v>0</v>
      </c>
      <c r="D1163" s="0" t="n">
        <v>489.605</v>
      </c>
      <c r="E1163" s="0" t="n">
        <f aca="false">D1163-0.155</f>
        <v>489.45</v>
      </c>
      <c r="F1163" s="0" t="n">
        <v>489.545</v>
      </c>
      <c r="G1163" s="0" t="n">
        <f aca="false">IF(E1163 - F1163 &lt; 0, 0, E1163 - F1163)</f>
        <v>0</v>
      </c>
      <c r="H1163" s="0" t="n">
        <v>1.82</v>
      </c>
      <c r="I1163" s="0" t="n">
        <f aca="false">1.82*30*(G1163^1.5)</f>
        <v>0</v>
      </c>
      <c r="J1163" s="0" t="n">
        <f aca="false">I1163*60</f>
        <v>0</v>
      </c>
      <c r="K1163" s="0" t="n">
        <f aca="false">(I1163*86400)/24</f>
        <v>0</v>
      </c>
    </row>
    <row r="1164" customFormat="false" ht="16.5" hidden="false" customHeight="false" outlineLevel="0" collapsed="false">
      <c r="A1164" s="56" t="n">
        <v>45883.1666666667</v>
      </c>
      <c r="B1164" s="57" t="n">
        <f aca="false">MOD(A1164,1)</f>
        <v>0.166666666656965</v>
      </c>
      <c r="C1164" s="0" t="n">
        <v>0</v>
      </c>
      <c r="D1164" s="0" t="n">
        <v>489.605</v>
      </c>
      <c r="E1164" s="0" t="n">
        <f aca="false">D1164-0.155</f>
        <v>489.45</v>
      </c>
      <c r="F1164" s="0" t="n">
        <v>489.545</v>
      </c>
      <c r="G1164" s="0" t="n">
        <f aca="false">IF(E1164 - F1164 &lt; 0, 0, E1164 - F1164)</f>
        <v>0</v>
      </c>
      <c r="H1164" s="0" t="n">
        <v>1.82</v>
      </c>
      <c r="I1164" s="0" t="n">
        <f aca="false">1.82*30*(G1164^1.5)</f>
        <v>0</v>
      </c>
      <c r="J1164" s="0" t="n">
        <f aca="false">I1164*60</f>
        <v>0</v>
      </c>
      <c r="K1164" s="0" t="n">
        <f aca="false">(I1164*86400)/24</f>
        <v>0</v>
      </c>
    </row>
    <row r="1165" customFormat="false" ht="16.5" hidden="false" customHeight="false" outlineLevel="0" collapsed="false">
      <c r="A1165" s="56" t="n">
        <v>45883.2083333333</v>
      </c>
      <c r="B1165" s="57" t="n">
        <f aca="false">MOD(A1165,1)</f>
        <v>0.208333333343035</v>
      </c>
      <c r="C1165" s="0" t="n">
        <v>0</v>
      </c>
      <c r="D1165" s="0" t="n">
        <v>489.605</v>
      </c>
      <c r="E1165" s="0" t="n">
        <f aca="false">D1165-0.155</f>
        <v>489.45</v>
      </c>
      <c r="F1165" s="0" t="n">
        <v>489.545</v>
      </c>
      <c r="G1165" s="0" t="n">
        <f aca="false">IF(E1165 - F1165 &lt; 0, 0, E1165 - F1165)</f>
        <v>0</v>
      </c>
      <c r="H1165" s="0" t="n">
        <v>1.82</v>
      </c>
      <c r="I1165" s="0" t="n">
        <f aca="false">1.82*30*(G1165^1.5)</f>
        <v>0</v>
      </c>
      <c r="J1165" s="0" t="n">
        <f aca="false">I1165*60</f>
        <v>0</v>
      </c>
      <c r="K1165" s="0" t="n">
        <f aca="false">(I1165*86400)/24</f>
        <v>0</v>
      </c>
    </row>
    <row r="1166" customFormat="false" ht="16.5" hidden="false" customHeight="false" outlineLevel="0" collapsed="false">
      <c r="A1166" s="56" t="n">
        <v>45883.25</v>
      </c>
      <c r="B1166" s="57" t="n">
        <f aca="false">MOD(A1166,1)</f>
        <v>0.25</v>
      </c>
      <c r="C1166" s="0" t="n">
        <v>0</v>
      </c>
      <c r="D1166" s="0" t="n">
        <v>489.605</v>
      </c>
      <c r="E1166" s="0" t="n">
        <f aca="false">D1166-0.155</f>
        <v>489.45</v>
      </c>
      <c r="F1166" s="0" t="n">
        <v>489.545</v>
      </c>
      <c r="G1166" s="0" t="n">
        <f aca="false">IF(E1166 - F1166 &lt; 0, 0, E1166 - F1166)</f>
        <v>0</v>
      </c>
      <c r="H1166" s="0" t="n">
        <v>1.82</v>
      </c>
      <c r="I1166" s="0" t="n">
        <f aca="false">1.82*30*(G1166^1.5)</f>
        <v>0</v>
      </c>
      <c r="J1166" s="0" t="n">
        <f aca="false">I1166*60</f>
        <v>0</v>
      </c>
      <c r="K1166" s="0" t="n">
        <f aca="false">(I1166*86400)/24</f>
        <v>0</v>
      </c>
    </row>
    <row r="1167" customFormat="false" ht="16.5" hidden="false" customHeight="false" outlineLevel="0" collapsed="false">
      <c r="A1167" s="56" t="n">
        <v>45883.2916666667</v>
      </c>
      <c r="B1167" s="57" t="n">
        <f aca="false">MOD(A1167,1)</f>
        <v>0.291666666656965</v>
      </c>
      <c r="C1167" s="0" t="n">
        <v>0</v>
      </c>
      <c r="D1167" s="0" t="n">
        <v>489.605</v>
      </c>
      <c r="E1167" s="0" t="n">
        <f aca="false">D1167-0.155</f>
        <v>489.45</v>
      </c>
      <c r="F1167" s="0" t="n">
        <v>489.545</v>
      </c>
      <c r="G1167" s="0" t="n">
        <f aca="false">IF(E1167 - F1167 &lt; 0, 0, E1167 - F1167)</f>
        <v>0</v>
      </c>
      <c r="H1167" s="0" t="n">
        <v>1.82</v>
      </c>
      <c r="I1167" s="0" t="n">
        <f aca="false">1.82*30*(G1167^1.5)</f>
        <v>0</v>
      </c>
      <c r="J1167" s="0" t="n">
        <f aca="false">I1167*60</f>
        <v>0</v>
      </c>
      <c r="K1167" s="0" t="n">
        <f aca="false">(I1167*86400)/24</f>
        <v>0</v>
      </c>
    </row>
    <row r="1168" customFormat="false" ht="16.5" hidden="false" customHeight="false" outlineLevel="0" collapsed="false">
      <c r="A1168" s="56" t="n">
        <v>45883.3333333333</v>
      </c>
      <c r="B1168" s="57" t="n">
        <f aca="false">MOD(A1168,1)</f>
        <v>0.333333333343035</v>
      </c>
      <c r="C1168" s="0" t="n">
        <v>0</v>
      </c>
      <c r="D1168" s="0" t="n">
        <v>489.604</v>
      </c>
      <c r="E1168" s="0" t="n">
        <f aca="false">D1168-0.155</f>
        <v>489.449</v>
      </c>
      <c r="F1168" s="0" t="n">
        <v>489.545</v>
      </c>
      <c r="G1168" s="0" t="n">
        <f aca="false">IF(E1168 - F1168 &lt; 0, 0, E1168 - F1168)</f>
        <v>0</v>
      </c>
      <c r="H1168" s="0" t="n">
        <v>1.82</v>
      </c>
      <c r="I1168" s="0" t="n">
        <f aca="false">1.82*30*(G1168^1.5)</f>
        <v>0</v>
      </c>
      <c r="J1168" s="0" t="n">
        <f aca="false">I1168*60</f>
        <v>0</v>
      </c>
      <c r="K1168" s="0" t="n">
        <f aca="false">(I1168*86400)/24</f>
        <v>0</v>
      </c>
    </row>
    <row r="1169" customFormat="false" ht="16.5" hidden="false" customHeight="false" outlineLevel="0" collapsed="false">
      <c r="A1169" s="56" t="n">
        <v>45883.375</v>
      </c>
      <c r="B1169" s="57" t="n">
        <f aca="false">MOD(A1169,1)</f>
        <v>0.375</v>
      </c>
      <c r="C1169" s="0" t="n">
        <v>0</v>
      </c>
      <c r="D1169" s="0" t="n">
        <v>489.604</v>
      </c>
      <c r="E1169" s="0" t="n">
        <f aca="false">D1169-0.155</f>
        <v>489.449</v>
      </c>
      <c r="F1169" s="0" t="n">
        <v>489.545</v>
      </c>
      <c r="G1169" s="0" t="n">
        <f aca="false">IF(E1169 - F1169 &lt; 0, 0, E1169 - F1169)</f>
        <v>0</v>
      </c>
      <c r="H1169" s="0" t="n">
        <v>1.82</v>
      </c>
      <c r="I1169" s="0" t="n">
        <f aca="false">1.82*30*(G1169^1.5)</f>
        <v>0</v>
      </c>
      <c r="J1169" s="0" t="n">
        <f aca="false">I1169*60</f>
        <v>0</v>
      </c>
      <c r="K1169" s="0" t="n">
        <f aca="false">(I1169*86400)/24</f>
        <v>0</v>
      </c>
    </row>
    <row r="1170" customFormat="false" ht="16.5" hidden="false" customHeight="false" outlineLevel="0" collapsed="false">
      <c r="A1170" s="56" t="n">
        <v>45883.4166666667</v>
      </c>
      <c r="B1170" s="57" t="n">
        <f aca="false">MOD(A1170,1)</f>
        <v>0.416666666656965</v>
      </c>
      <c r="C1170" s="0" t="n">
        <v>0.4</v>
      </c>
      <c r="D1170" s="0" t="n">
        <v>489.605</v>
      </c>
      <c r="E1170" s="0" t="n">
        <f aca="false">D1170-0.155</f>
        <v>489.45</v>
      </c>
      <c r="F1170" s="0" t="n">
        <v>489.545</v>
      </c>
      <c r="G1170" s="0" t="n">
        <f aca="false">IF(E1170 - F1170 &lt; 0, 0, E1170 - F1170)</f>
        <v>0</v>
      </c>
      <c r="H1170" s="0" t="n">
        <v>1.82</v>
      </c>
      <c r="I1170" s="0" t="n">
        <f aca="false">1.82*30*(G1170^1.5)</f>
        <v>0</v>
      </c>
      <c r="J1170" s="0" t="n">
        <f aca="false">I1170*60</f>
        <v>0</v>
      </c>
      <c r="K1170" s="0" t="n">
        <f aca="false">(I1170*86400)/24</f>
        <v>0</v>
      </c>
    </row>
    <row r="1171" customFormat="false" ht="16.5" hidden="false" customHeight="false" outlineLevel="0" collapsed="false">
      <c r="A1171" s="56" t="n">
        <v>45883.4583333333</v>
      </c>
      <c r="B1171" s="57" t="n">
        <f aca="false">MOD(A1171,1)</f>
        <v>0.458333333343035</v>
      </c>
      <c r="C1171" s="0" t="n">
        <v>2</v>
      </c>
      <c r="D1171" s="0" t="n">
        <v>489.605</v>
      </c>
      <c r="E1171" s="0" t="n">
        <f aca="false">D1171-0.155</f>
        <v>489.45</v>
      </c>
      <c r="F1171" s="0" t="n">
        <v>489.545</v>
      </c>
      <c r="G1171" s="0" t="n">
        <f aca="false">IF(E1171 - F1171 &lt; 0, 0, E1171 - F1171)</f>
        <v>0</v>
      </c>
      <c r="H1171" s="0" t="n">
        <v>1.82</v>
      </c>
      <c r="I1171" s="0" t="n">
        <f aca="false">1.82*30*(G1171^1.5)</f>
        <v>0</v>
      </c>
      <c r="J1171" s="0" t="n">
        <f aca="false">I1171*60</f>
        <v>0</v>
      </c>
      <c r="K1171" s="0" t="n">
        <f aca="false">(I1171*86400)/24</f>
        <v>0</v>
      </c>
    </row>
    <row r="1172" customFormat="false" ht="16.5" hidden="false" customHeight="false" outlineLevel="0" collapsed="false">
      <c r="A1172" s="56" t="n">
        <v>45883.5</v>
      </c>
      <c r="B1172" s="57" t="n">
        <f aca="false">MOD(A1172,1)</f>
        <v>0.5</v>
      </c>
      <c r="C1172" s="0" t="n">
        <v>0.2</v>
      </c>
      <c r="D1172" s="0" t="n">
        <v>489.611</v>
      </c>
      <c r="E1172" s="0" t="n">
        <f aca="false">D1172-0.155</f>
        <v>489.456</v>
      </c>
      <c r="F1172" s="0" t="n">
        <v>489.545</v>
      </c>
      <c r="G1172" s="0" t="n">
        <f aca="false">IF(E1172 - F1172 &lt; 0, 0, E1172 - F1172)</f>
        <v>0</v>
      </c>
      <c r="H1172" s="0" t="n">
        <v>1.82</v>
      </c>
      <c r="I1172" s="0" t="n">
        <f aca="false">1.82*30*(G1172^1.5)</f>
        <v>0</v>
      </c>
      <c r="J1172" s="0" t="n">
        <f aca="false">I1172*60</f>
        <v>0</v>
      </c>
      <c r="K1172" s="0" t="n">
        <f aca="false">(I1172*86400)/24</f>
        <v>0</v>
      </c>
    </row>
    <row r="1173" customFormat="false" ht="16.5" hidden="false" customHeight="false" outlineLevel="0" collapsed="false">
      <c r="A1173" s="56" t="n">
        <v>45883.5416666667</v>
      </c>
      <c r="B1173" s="57" t="n">
        <f aca="false">MOD(A1173,1)</f>
        <v>0.541666666656965</v>
      </c>
      <c r="C1173" s="0" t="n">
        <v>0</v>
      </c>
      <c r="D1173" s="0" t="n">
        <v>489.604</v>
      </c>
      <c r="E1173" s="0" t="n">
        <f aca="false">D1173-0.155</f>
        <v>489.449</v>
      </c>
      <c r="F1173" s="0" t="n">
        <v>489.545</v>
      </c>
      <c r="G1173" s="0" t="n">
        <f aca="false">IF(E1173 - F1173 &lt; 0, 0, E1173 - F1173)</f>
        <v>0</v>
      </c>
      <c r="H1173" s="0" t="n">
        <v>1.82</v>
      </c>
      <c r="I1173" s="0" t="n">
        <f aca="false">1.82*30*(G1173^1.5)</f>
        <v>0</v>
      </c>
      <c r="J1173" s="0" t="n">
        <f aca="false">I1173*60</f>
        <v>0</v>
      </c>
      <c r="K1173" s="0" t="n">
        <f aca="false">(I1173*86400)/24</f>
        <v>0</v>
      </c>
    </row>
    <row r="1174" customFormat="false" ht="16.5" hidden="false" customHeight="false" outlineLevel="0" collapsed="false">
      <c r="A1174" s="56" t="n">
        <v>45883.5833333333</v>
      </c>
      <c r="B1174" s="57" t="n">
        <f aca="false">MOD(A1174,1)</f>
        <v>0.583333333343035</v>
      </c>
      <c r="C1174" s="0" t="n">
        <v>0</v>
      </c>
      <c r="D1174" s="0" t="n">
        <v>489.604</v>
      </c>
      <c r="E1174" s="0" t="n">
        <f aca="false">D1174-0.155</f>
        <v>489.449</v>
      </c>
      <c r="F1174" s="0" t="n">
        <v>489.545</v>
      </c>
      <c r="G1174" s="0" t="n">
        <f aca="false">IF(E1174 - F1174 &lt; 0, 0, E1174 - F1174)</f>
        <v>0</v>
      </c>
      <c r="H1174" s="0" t="n">
        <v>1.82</v>
      </c>
      <c r="I1174" s="0" t="n">
        <f aca="false">1.82*30*(G1174^1.5)</f>
        <v>0</v>
      </c>
      <c r="J1174" s="0" t="n">
        <f aca="false">I1174*60</f>
        <v>0</v>
      </c>
      <c r="K1174" s="0" t="n">
        <f aca="false">(I1174*86400)/24</f>
        <v>0</v>
      </c>
    </row>
    <row r="1175" customFormat="false" ht="16.5" hidden="false" customHeight="false" outlineLevel="0" collapsed="false">
      <c r="A1175" s="56" t="n">
        <v>45883.625</v>
      </c>
      <c r="B1175" s="57" t="n">
        <f aca="false">MOD(A1175,1)</f>
        <v>0.625</v>
      </c>
      <c r="C1175" s="0" t="n">
        <v>0</v>
      </c>
      <c r="D1175" s="0" t="n">
        <v>489.604</v>
      </c>
      <c r="E1175" s="0" t="n">
        <f aca="false">D1175-0.155</f>
        <v>489.449</v>
      </c>
      <c r="F1175" s="0" t="n">
        <v>489.545</v>
      </c>
      <c r="G1175" s="0" t="n">
        <f aca="false">IF(E1175 - F1175 &lt; 0, 0, E1175 - F1175)</f>
        <v>0</v>
      </c>
      <c r="H1175" s="0" t="n">
        <v>1.82</v>
      </c>
      <c r="I1175" s="0" t="n">
        <f aca="false">1.82*30*(G1175^1.5)</f>
        <v>0</v>
      </c>
      <c r="J1175" s="0" t="n">
        <f aca="false">I1175*60</f>
        <v>0</v>
      </c>
      <c r="K1175" s="0" t="n">
        <f aca="false">(I1175*86400)/24</f>
        <v>0</v>
      </c>
    </row>
    <row r="1176" customFormat="false" ht="16.5" hidden="false" customHeight="false" outlineLevel="0" collapsed="false">
      <c r="A1176" s="56" t="n">
        <v>45883.6666666667</v>
      </c>
      <c r="B1176" s="57" t="n">
        <f aca="false">MOD(A1176,1)</f>
        <v>0.666666666656965</v>
      </c>
      <c r="C1176" s="0" t="n">
        <v>0</v>
      </c>
      <c r="D1176" s="0" t="n">
        <v>489.604</v>
      </c>
      <c r="E1176" s="0" t="n">
        <f aca="false">D1176-0.155</f>
        <v>489.449</v>
      </c>
      <c r="F1176" s="0" t="n">
        <v>489.545</v>
      </c>
      <c r="G1176" s="0" t="n">
        <f aca="false">IF(E1176 - F1176 &lt; 0, 0, E1176 - F1176)</f>
        <v>0</v>
      </c>
      <c r="H1176" s="0" t="n">
        <v>1.82</v>
      </c>
      <c r="I1176" s="0" t="n">
        <f aca="false">1.82*30*(G1176^1.5)</f>
        <v>0</v>
      </c>
      <c r="J1176" s="0" t="n">
        <f aca="false">I1176*60</f>
        <v>0</v>
      </c>
      <c r="K1176" s="0" t="n">
        <f aca="false">(I1176*86400)/24</f>
        <v>0</v>
      </c>
    </row>
    <row r="1177" customFormat="false" ht="16.5" hidden="false" customHeight="false" outlineLevel="0" collapsed="false">
      <c r="A1177" s="56" t="n">
        <v>45883.7083333333</v>
      </c>
      <c r="B1177" s="57" t="n">
        <f aca="false">MOD(A1177,1)</f>
        <v>0.708333333343035</v>
      </c>
      <c r="C1177" s="0" t="n">
        <v>0</v>
      </c>
      <c r="D1177" s="0" t="n">
        <v>489.604</v>
      </c>
      <c r="E1177" s="0" t="n">
        <f aca="false">D1177-0.155</f>
        <v>489.449</v>
      </c>
      <c r="F1177" s="0" t="n">
        <v>489.545</v>
      </c>
      <c r="G1177" s="0" t="n">
        <f aca="false">IF(E1177 - F1177 &lt; 0, 0, E1177 - F1177)</f>
        <v>0</v>
      </c>
      <c r="H1177" s="0" t="n">
        <v>1.82</v>
      </c>
      <c r="I1177" s="0" t="n">
        <f aca="false">1.82*30*(G1177^1.5)</f>
        <v>0</v>
      </c>
      <c r="J1177" s="0" t="n">
        <f aca="false">I1177*60</f>
        <v>0</v>
      </c>
      <c r="K1177" s="0" t="n">
        <f aca="false">(I1177*86400)/24</f>
        <v>0</v>
      </c>
    </row>
    <row r="1178" customFormat="false" ht="16.5" hidden="false" customHeight="false" outlineLevel="0" collapsed="false">
      <c r="A1178" s="56" t="n">
        <v>45883.75</v>
      </c>
      <c r="B1178" s="57" t="n">
        <f aca="false">MOD(A1178,1)</f>
        <v>0.75</v>
      </c>
      <c r="C1178" s="0" t="n">
        <v>0</v>
      </c>
      <c r="D1178" s="0" t="n">
        <v>489.604</v>
      </c>
      <c r="E1178" s="0" t="n">
        <f aca="false">D1178-0.155</f>
        <v>489.449</v>
      </c>
      <c r="F1178" s="0" t="n">
        <v>489.545</v>
      </c>
      <c r="G1178" s="0" t="n">
        <f aca="false">IF(E1178 - F1178 &lt; 0, 0, E1178 - F1178)</f>
        <v>0</v>
      </c>
      <c r="H1178" s="0" t="n">
        <v>1.82</v>
      </c>
      <c r="I1178" s="0" t="n">
        <f aca="false">1.82*30*(G1178^1.5)</f>
        <v>0</v>
      </c>
      <c r="J1178" s="0" t="n">
        <f aca="false">I1178*60</f>
        <v>0</v>
      </c>
      <c r="K1178" s="0" t="n">
        <f aca="false">(I1178*86400)/24</f>
        <v>0</v>
      </c>
    </row>
    <row r="1179" customFormat="false" ht="16.5" hidden="false" customHeight="false" outlineLevel="0" collapsed="false">
      <c r="A1179" s="56" t="n">
        <v>45883.7916666667</v>
      </c>
      <c r="B1179" s="57" t="n">
        <f aca="false">MOD(A1179,1)</f>
        <v>0.791666666656965</v>
      </c>
      <c r="C1179" s="0" t="n">
        <v>0</v>
      </c>
      <c r="D1179" s="0" t="n">
        <v>489.598</v>
      </c>
      <c r="E1179" s="0" t="n">
        <f aca="false">D1179-0.155</f>
        <v>489.443</v>
      </c>
      <c r="F1179" s="0" t="n">
        <v>489.545</v>
      </c>
      <c r="G1179" s="0" t="n">
        <f aca="false">IF(E1179 - F1179 &lt; 0, 0, E1179 - F1179)</f>
        <v>0</v>
      </c>
      <c r="H1179" s="0" t="n">
        <v>1.82</v>
      </c>
      <c r="I1179" s="0" t="n">
        <f aca="false">1.82*30*(G1179^1.5)</f>
        <v>0</v>
      </c>
      <c r="J1179" s="0" t="n">
        <f aca="false">I1179*60</f>
        <v>0</v>
      </c>
      <c r="K1179" s="0" t="n">
        <f aca="false">(I1179*86400)/24</f>
        <v>0</v>
      </c>
    </row>
    <row r="1180" customFormat="false" ht="16.5" hidden="false" customHeight="false" outlineLevel="0" collapsed="false">
      <c r="A1180" s="56" t="n">
        <v>45883.8333333333</v>
      </c>
      <c r="B1180" s="57" t="n">
        <f aca="false">MOD(A1180,1)</f>
        <v>0.833333333343035</v>
      </c>
      <c r="C1180" s="0" t="n">
        <v>0</v>
      </c>
      <c r="D1180" s="0" t="n">
        <v>489.598</v>
      </c>
      <c r="E1180" s="0" t="n">
        <f aca="false">D1180-0.155</f>
        <v>489.443</v>
      </c>
      <c r="F1180" s="0" t="n">
        <v>489.545</v>
      </c>
      <c r="G1180" s="0" t="n">
        <f aca="false">IF(E1180 - F1180 &lt; 0, 0, E1180 - F1180)</f>
        <v>0</v>
      </c>
      <c r="H1180" s="0" t="n">
        <v>1.82</v>
      </c>
      <c r="I1180" s="0" t="n">
        <f aca="false">1.82*30*(G1180^1.5)</f>
        <v>0</v>
      </c>
      <c r="J1180" s="0" t="n">
        <f aca="false">I1180*60</f>
        <v>0</v>
      </c>
      <c r="K1180" s="0" t="n">
        <f aca="false">(I1180*86400)/24</f>
        <v>0</v>
      </c>
    </row>
    <row r="1181" customFormat="false" ht="16.5" hidden="false" customHeight="false" outlineLevel="0" collapsed="false">
      <c r="A1181" s="56" t="n">
        <v>45883.875</v>
      </c>
      <c r="B1181" s="57" t="n">
        <f aca="false">MOD(A1181,1)</f>
        <v>0.875</v>
      </c>
      <c r="C1181" s="0" t="n">
        <v>0</v>
      </c>
      <c r="D1181" s="0" t="n">
        <v>489.598</v>
      </c>
      <c r="E1181" s="0" t="n">
        <f aca="false">D1181-0.155</f>
        <v>489.443</v>
      </c>
      <c r="F1181" s="0" t="n">
        <v>489.545</v>
      </c>
      <c r="G1181" s="0" t="n">
        <f aca="false">IF(E1181 - F1181 &lt; 0, 0, E1181 - F1181)</f>
        <v>0</v>
      </c>
      <c r="H1181" s="0" t="n">
        <v>1.82</v>
      </c>
      <c r="I1181" s="0" t="n">
        <f aca="false">1.82*30*(G1181^1.5)</f>
        <v>0</v>
      </c>
      <c r="J1181" s="0" t="n">
        <f aca="false">I1181*60</f>
        <v>0</v>
      </c>
      <c r="K1181" s="0" t="n">
        <f aca="false">(I1181*86400)/24</f>
        <v>0</v>
      </c>
    </row>
    <row r="1182" customFormat="false" ht="16.5" hidden="false" customHeight="false" outlineLevel="0" collapsed="false">
      <c r="A1182" s="56" t="n">
        <v>45883.9166666667</v>
      </c>
      <c r="B1182" s="57" t="n">
        <f aca="false">MOD(A1182,1)</f>
        <v>0.916666666656965</v>
      </c>
      <c r="C1182" s="0" t="n">
        <v>0</v>
      </c>
      <c r="D1182" s="0" t="n">
        <v>489.598</v>
      </c>
      <c r="E1182" s="0" t="n">
        <f aca="false">D1182-0.155</f>
        <v>489.443</v>
      </c>
      <c r="F1182" s="0" t="n">
        <v>489.545</v>
      </c>
      <c r="G1182" s="0" t="n">
        <f aca="false">IF(E1182 - F1182 &lt; 0, 0, E1182 - F1182)</f>
        <v>0</v>
      </c>
      <c r="H1182" s="0" t="n">
        <v>1.82</v>
      </c>
      <c r="I1182" s="0" t="n">
        <f aca="false">1.82*30*(G1182^1.5)</f>
        <v>0</v>
      </c>
      <c r="J1182" s="0" t="n">
        <f aca="false">I1182*60</f>
        <v>0</v>
      </c>
      <c r="K1182" s="0" t="n">
        <f aca="false">(I1182*86400)/24</f>
        <v>0</v>
      </c>
    </row>
    <row r="1183" customFormat="false" ht="16.5" hidden="false" customHeight="false" outlineLevel="0" collapsed="false">
      <c r="A1183" s="56" t="n">
        <v>45883.9583333333</v>
      </c>
      <c r="B1183" s="57" t="n">
        <f aca="false">MOD(A1183,1)</f>
        <v>0.958333333343035</v>
      </c>
      <c r="C1183" s="0" t="n">
        <v>0</v>
      </c>
      <c r="D1183" s="0" t="n">
        <v>489.598</v>
      </c>
      <c r="E1183" s="0" t="n">
        <f aca="false">D1183-0.155</f>
        <v>489.443</v>
      </c>
      <c r="F1183" s="0" t="n">
        <v>489.545</v>
      </c>
      <c r="G1183" s="0" t="n">
        <f aca="false">IF(E1183 - F1183 &lt; 0, 0, E1183 - F1183)</f>
        <v>0</v>
      </c>
      <c r="H1183" s="0" t="n">
        <v>1.82</v>
      </c>
      <c r="I1183" s="0" t="n">
        <f aca="false">1.82*30*(G1183^1.5)</f>
        <v>0</v>
      </c>
      <c r="J1183" s="0" t="n">
        <f aca="false">I1183*60</f>
        <v>0</v>
      </c>
      <c r="K1183" s="0" t="n">
        <f aca="false">(I1183*86400)/24</f>
        <v>0</v>
      </c>
    </row>
    <row r="1184" customFormat="false" ht="16.5" hidden="false" customHeight="false" outlineLevel="0" collapsed="false">
      <c r="A1184" s="56" t="n">
        <v>45884</v>
      </c>
      <c r="B1184" s="57" t="n">
        <f aca="false">MOD(A1184,1)</f>
        <v>0</v>
      </c>
      <c r="C1184" s="0" t="n">
        <v>0</v>
      </c>
      <c r="D1184" s="0" t="n">
        <v>489.592</v>
      </c>
      <c r="E1184" s="0" t="n">
        <f aca="false">D1184-0.155</f>
        <v>489.437</v>
      </c>
      <c r="F1184" s="0" t="n">
        <v>489.545</v>
      </c>
      <c r="G1184" s="0" t="n">
        <f aca="false">IF(E1184 - F1184 &lt; 0, 0, E1184 - F1184)</f>
        <v>0</v>
      </c>
      <c r="H1184" s="0" t="n">
        <v>1.82</v>
      </c>
      <c r="I1184" s="0" t="n">
        <f aca="false">1.82*30*(G1184^1.5)</f>
        <v>0</v>
      </c>
      <c r="J1184" s="0" t="n">
        <f aca="false">I1184*60</f>
        <v>0</v>
      </c>
      <c r="K1184" s="0" t="n">
        <f aca="false">(I1184*86400)/24</f>
        <v>0</v>
      </c>
    </row>
    <row r="1185" customFormat="false" ht="16.5" hidden="false" customHeight="false" outlineLevel="0" collapsed="false">
      <c r="A1185" s="56" t="n">
        <v>45884.0416666667</v>
      </c>
      <c r="B1185" s="57" t="n">
        <f aca="false">MOD(A1185,1)</f>
        <v>0.0416666666569654</v>
      </c>
      <c r="C1185" s="0" t="n">
        <v>0</v>
      </c>
      <c r="D1185" s="0" t="n">
        <v>489.592</v>
      </c>
      <c r="E1185" s="0" t="n">
        <f aca="false">D1185-0.155</f>
        <v>489.437</v>
      </c>
      <c r="F1185" s="0" t="n">
        <v>489.545</v>
      </c>
      <c r="G1185" s="0" t="n">
        <f aca="false">IF(E1185 - F1185 &lt; 0, 0, E1185 - F1185)</f>
        <v>0</v>
      </c>
      <c r="H1185" s="0" t="n">
        <v>1.82</v>
      </c>
      <c r="I1185" s="0" t="n">
        <f aca="false">1.82*30*(G1185^1.5)</f>
        <v>0</v>
      </c>
      <c r="J1185" s="0" t="n">
        <f aca="false">I1185*60</f>
        <v>0</v>
      </c>
      <c r="K1185" s="0" t="n">
        <f aca="false">(I1185*86400)/24</f>
        <v>0</v>
      </c>
    </row>
    <row r="1186" customFormat="false" ht="16.5" hidden="false" customHeight="false" outlineLevel="0" collapsed="false">
      <c r="A1186" s="56" t="n">
        <v>45884.0833333333</v>
      </c>
      <c r="B1186" s="57" t="n">
        <f aca="false">MOD(A1186,1)</f>
        <v>0.0833333333430346</v>
      </c>
      <c r="C1186" s="0" t="n">
        <v>0</v>
      </c>
      <c r="D1186" s="0" t="n">
        <v>489.592</v>
      </c>
      <c r="E1186" s="0" t="n">
        <f aca="false">D1186-0.155</f>
        <v>489.437</v>
      </c>
      <c r="F1186" s="0" t="n">
        <v>489.545</v>
      </c>
      <c r="G1186" s="0" t="n">
        <f aca="false">IF(E1186 - F1186 &lt; 0, 0, E1186 - F1186)</f>
        <v>0</v>
      </c>
      <c r="H1186" s="0" t="n">
        <v>1.82</v>
      </c>
      <c r="I1186" s="0" t="n">
        <f aca="false">1.82*30*(G1186^1.5)</f>
        <v>0</v>
      </c>
      <c r="J1186" s="0" t="n">
        <f aca="false">I1186*60</f>
        <v>0</v>
      </c>
      <c r="K1186" s="0" t="n">
        <f aca="false">(I1186*86400)/24</f>
        <v>0</v>
      </c>
    </row>
    <row r="1187" customFormat="false" ht="16.5" hidden="false" customHeight="false" outlineLevel="0" collapsed="false">
      <c r="A1187" s="56" t="n">
        <v>45884.125</v>
      </c>
      <c r="B1187" s="57" t="n">
        <f aca="false">MOD(A1187,1)</f>
        <v>0.125</v>
      </c>
      <c r="C1187" s="0" t="n">
        <v>0</v>
      </c>
      <c r="D1187" s="0" t="n">
        <v>489.593</v>
      </c>
      <c r="E1187" s="0" t="n">
        <f aca="false">D1187-0.155</f>
        <v>489.438</v>
      </c>
      <c r="F1187" s="0" t="n">
        <v>489.545</v>
      </c>
      <c r="G1187" s="0" t="n">
        <f aca="false">IF(E1187 - F1187 &lt; 0, 0, E1187 - F1187)</f>
        <v>0</v>
      </c>
      <c r="H1187" s="0" t="n">
        <v>1.82</v>
      </c>
      <c r="I1187" s="0" t="n">
        <f aca="false">1.82*30*(G1187^1.5)</f>
        <v>0</v>
      </c>
      <c r="J1187" s="0" t="n">
        <f aca="false">I1187*60</f>
        <v>0</v>
      </c>
      <c r="K1187" s="0" t="n">
        <f aca="false">(I1187*86400)/24</f>
        <v>0</v>
      </c>
    </row>
    <row r="1188" customFormat="false" ht="16.5" hidden="false" customHeight="false" outlineLevel="0" collapsed="false">
      <c r="A1188" s="56" t="n">
        <v>45884.1666666667</v>
      </c>
      <c r="B1188" s="57" t="n">
        <f aca="false">MOD(A1188,1)</f>
        <v>0.166666666656965</v>
      </c>
      <c r="C1188" s="0" t="n">
        <v>0</v>
      </c>
      <c r="D1188" s="0" t="n">
        <v>489.586</v>
      </c>
      <c r="E1188" s="0" t="n">
        <f aca="false">D1188-0.155</f>
        <v>489.431</v>
      </c>
      <c r="F1188" s="0" t="n">
        <v>489.545</v>
      </c>
      <c r="G1188" s="0" t="n">
        <f aca="false">IF(E1188 - F1188 &lt; 0, 0, E1188 - F1188)</f>
        <v>0</v>
      </c>
      <c r="H1188" s="0" t="n">
        <v>1.82</v>
      </c>
      <c r="I1188" s="0" t="n">
        <f aca="false">1.82*30*(G1188^1.5)</f>
        <v>0</v>
      </c>
      <c r="J1188" s="0" t="n">
        <f aca="false">I1188*60</f>
        <v>0</v>
      </c>
      <c r="K1188" s="0" t="n">
        <f aca="false">(I1188*86400)/24</f>
        <v>0</v>
      </c>
    </row>
    <row r="1189" customFormat="false" ht="16.5" hidden="false" customHeight="false" outlineLevel="0" collapsed="false">
      <c r="A1189" s="56" t="n">
        <v>45884.2083333333</v>
      </c>
      <c r="B1189" s="57" t="n">
        <f aca="false">MOD(A1189,1)</f>
        <v>0.208333333343035</v>
      </c>
      <c r="C1189" s="0" t="n">
        <v>0</v>
      </c>
      <c r="D1189" s="0" t="n">
        <v>489.586</v>
      </c>
      <c r="E1189" s="0" t="n">
        <f aca="false">D1189-0.155</f>
        <v>489.431</v>
      </c>
      <c r="F1189" s="0" t="n">
        <v>489.545</v>
      </c>
      <c r="G1189" s="0" t="n">
        <f aca="false">IF(E1189 - F1189 &lt; 0, 0, E1189 - F1189)</f>
        <v>0</v>
      </c>
      <c r="H1189" s="0" t="n">
        <v>1.82</v>
      </c>
      <c r="I1189" s="0" t="n">
        <f aca="false">1.82*30*(G1189^1.5)</f>
        <v>0</v>
      </c>
      <c r="J1189" s="0" t="n">
        <f aca="false">I1189*60</f>
        <v>0</v>
      </c>
      <c r="K1189" s="0" t="n">
        <f aca="false">(I1189*86400)/24</f>
        <v>0</v>
      </c>
    </row>
    <row r="1190" customFormat="false" ht="16.5" hidden="false" customHeight="false" outlineLevel="0" collapsed="false">
      <c r="A1190" s="56" t="n">
        <v>45884.25</v>
      </c>
      <c r="B1190" s="57" t="n">
        <f aca="false">MOD(A1190,1)</f>
        <v>0.25</v>
      </c>
      <c r="C1190" s="0" t="n">
        <v>0</v>
      </c>
      <c r="D1190" s="0" t="n">
        <v>489.586</v>
      </c>
      <c r="E1190" s="0" t="n">
        <f aca="false">D1190-0.155</f>
        <v>489.431</v>
      </c>
      <c r="F1190" s="0" t="n">
        <v>489.545</v>
      </c>
      <c r="G1190" s="0" t="n">
        <f aca="false">IF(E1190 - F1190 &lt; 0, 0, E1190 - F1190)</f>
        <v>0</v>
      </c>
      <c r="H1190" s="0" t="n">
        <v>1.82</v>
      </c>
      <c r="I1190" s="0" t="n">
        <f aca="false">1.82*30*(G1190^1.5)</f>
        <v>0</v>
      </c>
      <c r="J1190" s="0" t="n">
        <f aca="false">I1190*60</f>
        <v>0</v>
      </c>
      <c r="K1190" s="0" t="n">
        <f aca="false">(I1190*86400)/24</f>
        <v>0</v>
      </c>
    </row>
    <row r="1191" customFormat="false" ht="16.5" hidden="false" customHeight="false" outlineLevel="0" collapsed="false">
      <c r="A1191" s="56" t="n">
        <v>45884.2916666667</v>
      </c>
      <c r="B1191" s="57" t="n">
        <f aca="false">MOD(A1191,1)</f>
        <v>0.291666666656965</v>
      </c>
      <c r="C1191" s="0" t="n">
        <v>0</v>
      </c>
      <c r="D1191" s="0" t="n">
        <v>489.586</v>
      </c>
      <c r="E1191" s="0" t="n">
        <f aca="false">D1191-0.155</f>
        <v>489.431</v>
      </c>
      <c r="F1191" s="0" t="n">
        <v>489.545</v>
      </c>
      <c r="G1191" s="0" t="n">
        <f aca="false">IF(E1191 - F1191 &lt; 0, 0, E1191 - F1191)</f>
        <v>0</v>
      </c>
      <c r="H1191" s="0" t="n">
        <v>1.82</v>
      </c>
      <c r="I1191" s="0" t="n">
        <f aca="false">1.82*30*(G1191^1.5)</f>
        <v>0</v>
      </c>
      <c r="J1191" s="0" t="n">
        <f aca="false">I1191*60</f>
        <v>0</v>
      </c>
      <c r="K1191" s="0" t="n">
        <f aca="false">(I1191*86400)/24</f>
        <v>0</v>
      </c>
    </row>
    <row r="1192" customFormat="false" ht="16.5" hidden="false" customHeight="false" outlineLevel="0" collapsed="false">
      <c r="A1192" s="56" t="n">
        <v>45884.3333333333</v>
      </c>
      <c r="B1192" s="57" t="n">
        <f aca="false">MOD(A1192,1)</f>
        <v>0.333333333343035</v>
      </c>
      <c r="C1192" s="0" t="n">
        <v>0</v>
      </c>
      <c r="D1192" s="0" t="n">
        <v>489.579</v>
      </c>
      <c r="E1192" s="0" t="n">
        <f aca="false">D1192-0.155</f>
        <v>489.424</v>
      </c>
      <c r="F1192" s="0" t="n">
        <v>489.545</v>
      </c>
      <c r="G1192" s="0" t="n">
        <f aca="false">IF(E1192 - F1192 &lt; 0, 0, E1192 - F1192)</f>
        <v>0</v>
      </c>
      <c r="H1192" s="0" t="n">
        <v>1.82</v>
      </c>
      <c r="I1192" s="0" t="n">
        <f aca="false">1.82*30*(G1192^1.5)</f>
        <v>0</v>
      </c>
      <c r="J1192" s="0" t="n">
        <f aca="false">I1192*60</f>
        <v>0</v>
      </c>
      <c r="K1192" s="0" t="n">
        <f aca="false">(I1192*86400)/24</f>
        <v>0</v>
      </c>
    </row>
    <row r="1193" customFormat="false" ht="16.5" hidden="false" customHeight="false" outlineLevel="0" collapsed="false">
      <c r="A1193" s="56" t="n">
        <v>45884.375</v>
      </c>
      <c r="B1193" s="57" t="n">
        <f aca="false">MOD(A1193,1)</f>
        <v>0.375</v>
      </c>
      <c r="C1193" s="0" t="n">
        <v>0</v>
      </c>
      <c r="D1193" s="0" t="n">
        <v>489.579</v>
      </c>
      <c r="E1193" s="0" t="n">
        <f aca="false">D1193-0.155</f>
        <v>489.424</v>
      </c>
      <c r="F1193" s="0" t="n">
        <v>489.545</v>
      </c>
      <c r="G1193" s="0" t="n">
        <f aca="false">IF(E1193 - F1193 &lt; 0, 0, E1193 - F1193)</f>
        <v>0</v>
      </c>
      <c r="H1193" s="0" t="n">
        <v>1.82</v>
      </c>
      <c r="I1193" s="0" t="n">
        <f aca="false">1.82*30*(G1193^1.5)</f>
        <v>0</v>
      </c>
      <c r="J1193" s="0" t="n">
        <f aca="false">I1193*60</f>
        <v>0</v>
      </c>
      <c r="K1193" s="0" t="n">
        <f aca="false">(I1193*86400)/24</f>
        <v>0</v>
      </c>
    </row>
    <row r="1194" customFormat="false" ht="16.5" hidden="false" customHeight="false" outlineLevel="0" collapsed="false">
      <c r="A1194" s="56" t="n">
        <v>45884.4166666667</v>
      </c>
      <c r="B1194" s="57" t="n">
        <f aca="false">MOD(A1194,1)</f>
        <v>0.416666666656965</v>
      </c>
      <c r="C1194" s="0" t="n">
        <v>0</v>
      </c>
      <c r="D1194" s="0" t="n">
        <v>489.579</v>
      </c>
      <c r="E1194" s="0" t="n">
        <f aca="false">D1194-0.155</f>
        <v>489.424</v>
      </c>
      <c r="F1194" s="0" t="n">
        <v>489.545</v>
      </c>
      <c r="G1194" s="0" t="n">
        <f aca="false">IF(E1194 - F1194 &lt; 0, 0, E1194 - F1194)</f>
        <v>0</v>
      </c>
      <c r="H1194" s="0" t="n">
        <v>1.82</v>
      </c>
      <c r="I1194" s="0" t="n">
        <f aca="false">1.82*30*(G1194^1.5)</f>
        <v>0</v>
      </c>
      <c r="J1194" s="0" t="n">
        <f aca="false">I1194*60</f>
        <v>0</v>
      </c>
      <c r="K1194" s="0" t="n">
        <f aca="false">(I1194*86400)/24</f>
        <v>0</v>
      </c>
    </row>
    <row r="1195" customFormat="false" ht="16.5" hidden="false" customHeight="false" outlineLevel="0" collapsed="false">
      <c r="A1195" s="56" t="n">
        <v>45884.4583333333</v>
      </c>
      <c r="B1195" s="57" t="n">
        <f aca="false">MOD(A1195,1)</f>
        <v>0.458333333343035</v>
      </c>
      <c r="C1195" s="0" t="n">
        <v>0</v>
      </c>
      <c r="D1195" s="0" t="n">
        <v>489.579</v>
      </c>
      <c r="E1195" s="0" t="n">
        <f aca="false">D1195-0.155</f>
        <v>489.424</v>
      </c>
      <c r="F1195" s="0" t="n">
        <v>489.545</v>
      </c>
      <c r="G1195" s="0" t="n">
        <f aca="false">IF(E1195 - F1195 &lt; 0, 0, E1195 - F1195)</f>
        <v>0</v>
      </c>
      <c r="H1195" s="0" t="n">
        <v>1.82</v>
      </c>
      <c r="I1195" s="0" t="n">
        <f aca="false">1.82*30*(G1195^1.5)</f>
        <v>0</v>
      </c>
      <c r="J1195" s="0" t="n">
        <f aca="false">I1195*60</f>
        <v>0</v>
      </c>
      <c r="K1195" s="0" t="n">
        <f aca="false">(I1195*86400)/24</f>
        <v>0</v>
      </c>
    </row>
    <row r="1196" customFormat="false" ht="16.5" hidden="false" customHeight="false" outlineLevel="0" collapsed="false">
      <c r="A1196" s="56" t="n">
        <v>45884.5</v>
      </c>
      <c r="B1196" s="57" t="n">
        <f aca="false">MOD(A1196,1)</f>
        <v>0.5</v>
      </c>
      <c r="C1196" s="0" t="n">
        <v>0</v>
      </c>
      <c r="D1196" s="0" t="n">
        <v>489.579</v>
      </c>
      <c r="E1196" s="0" t="n">
        <f aca="false">D1196-0.155</f>
        <v>489.424</v>
      </c>
      <c r="F1196" s="0" t="n">
        <v>489.545</v>
      </c>
      <c r="G1196" s="0" t="n">
        <f aca="false">IF(E1196 - F1196 &lt; 0, 0, E1196 - F1196)</f>
        <v>0</v>
      </c>
      <c r="H1196" s="0" t="n">
        <v>1.82</v>
      </c>
      <c r="I1196" s="0" t="n">
        <f aca="false">1.82*30*(G1196^1.5)</f>
        <v>0</v>
      </c>
      <c r="J1196" s="0" t="n">
        <f aca="false">I1196*60</f>
        <v>0</v>
      </c>
      <c r="K1196" s="0" t="n">
        <f aca="false">(I1196*86400)/24</f>
        <v>0</v>
      </c>
    </row>
    <row r="1197" customFormat="false" ht="16.5" hidden="false" customHeight="false" outlineLevel="0" collapsed="false">
      <c r="A1197" s="56" t="n">
        <v>45884.5416666667</v>
      </c>
      <c r="B1197" s="57" t="n">
        <f aca="false">MOD(A1197,1)</f>
        <v>0.541666666656965</v>
      </c>
      <c r="C1197" s="0" t="n">
        <v>0</v>
      </c>
      <c r="D1197" s="0" t="n">
        <v>489.572</v>
      </c>
      <c r="E1197" s="0" t="n">
        <f aca="false">D1197-0.155</f>
        <v>489.417</v>
      </c>
      <c r="F1197" s="0" t="n">
        <v>489.545</v>
      </c>
      <c r="G1197" s="0" t="n">
        <f aca="false">IF(E1197 - F1197 &lt; 0, 0, E1197 - F1197)</f>
        <v>0</v>
      </c>
      <c r="H1197" s="0" t="n">
        <v>1.82</v>
      </c>
      <c r="I1197" s="0" t="n">
        <f aca="false">1.82*30*(G1197^1.5)</f>
        <v>0</v>
      </c>
      <c r="J1197" s="0" t="n">
        <f aca="false">I1197*60</f>
        <v>0</v>
      </c>
      <c r="K1197" s="0" t="n">
        <f aca="false">(I1197*86400)/24</f>
        <v>0</v>
      </c>
    </row>
    <row r="1198" customFormat="false" ht="16.5" hidden="false" customHeight="false" outlineLevel="0" collapsed="false">
      <c r="A1198" s="56" t="n">
        <v>45884.5833333333</v>
      </c>
      <c r="B1198" s="57" t="n">
        <f aca="false">MOD(A1198,1)</f>
        <v>0.583333333343035</v>
      </c>
      <c r="C1198" s="0" t="n">
        <v>7.8</v>
      </c>
      <c r="D1198" s="0" t="n">
        <v>489.611</v>
      </c>
      <c r="E1198" s="0" t="n">
        <f aca="false">D1198-0.155</f>
        <v>489.456</v>
      </c>
      <c r="F1198" s="0" t="n">
        <v>489.545</v>
      </c>
      <c r="G1198" s="0" t="n">
        <f aca="false">IF(E1198 - F1198 &lt; 0, 0, E1198 - F1198)</f>
        <v>0</v>
      </c>
      <c r="H1198" s="0" t="n">
        <v>1.82</v>
      </c>
      <c r="I1198" s="0" t="n">
        <f aca="false">1.82*30*(G1198^1.5)</f>
        <v>0</v>
      </c>
      <c r="J1198" s="0" t="n">
        <f aca="false">I1198*60</f>
        <v>0</v>
      </c>
      <c r="K1198" s="0" t="n">
        <f aca="false">(I1198*86400)/24</f>
        <v>0</v>
      </c>
    </row>
    <row r="1199" customFormat="false" ht="16.5" hidden="false" customHeight="false" outlineLevel="0" collapsed="false">
      <c r="A1199" s="56" t="n">
        <v>45884.625</v>
      </c>
      <c r="B1199" s="57" t="n">
        <f aca="false">MOD(A1199,1)</f>
        <v>0.625</v>
      </c>
      <c r="C1199" s="0" t="n">
        <v>0.2</v>
      </c>
      <c r="D1199" s="0" t="n">
        <v>489.67</v>
      </c>
      <c r="E1199" s="0" t="n">
        <f aca="false">D1199-0.155</f>
        <v>489.515</v>
      </c>
      <c r="F1199" s="0" t="n">
        <v>489.545</v>
      </c>
      <c r="G1199" s="0" t="n">
        <f aca="false">IF(E1199 - F1199 &lt; 0, 0, E1199 - F1199)</f>
        <v>0</v>
      </c>
      <c r="H1199" s="0" t="n">
        <v>1.82</v>
      </c>
      <c r="I1199" s="0" t="n">
        <f aca="false">1.82*30*(G1199^1.5)</f>
        <v>0</v>
      </c>
      <c r="J1199" s="0" t="n">
        <f aca="false">I1199*60</f>
        <v>0</v>
      </c>
      <c r="K1199" s="0" t="n">
        <f aca="false">(I1199*86400)/24</f>
        <v>0</v>
      </c>
    </row>
    <row r="1200" customFormat="false" ht="16.5" hidden="false" customHeight="false" outlineLevel="0" collapsed="false">
      <c r="A1200" s="56" t="n">
        <v>45884.6666666667</v>
      </c>
      <c r="B1200" s="57" t="n">
        <f aca="false">MOD(A1200,1)</f>
        <v>0.666666666656965</v>
      </c>
      <c r="C1200" s="0" t="n">
        <v>0</v>
      </c>
      <c r="D1200" s="0" t="n">
        <v>489.689</v>
      </c>
      <c r="E1200" s="0" t="n">
        <f aca="false">D1200-0.155</f>
        <v>489.534</v>
      </c>
      <c r="F1200" s="0" t="n">
        <v>489.545</v>
      </c>
      <c r="G1200" s="0" t="n">
        <f aca="false">IF(E1200 - F1200 &lt; 0, 0, E1200 - F1200)</f>
        <v>0</v>
      </c>
      <c r="H1200" s="0" t="n">
        <v>1.82</v>
      </c>
      <c r="I1200" s="0" t="n">
        <f aca="false">1.82*30*(G1200^1.5)</f>
        <v>0</v>
      </c>
      <c r="J1200" s="0" t="n">
        <f aca="false">I1200*60</f>
        <v>0</v>
      </c>
      <c r="K1200" s="0" t="n">
        <f aca="false">(I1200*86400)/24</f>
        <v>0</v>
      </c>
    </row>
    <row r="1201" customFormat="false" ht="16.5" hidden="false" customHeight="false" outlineLevel="0" collapsed="false">
      <c r="A1201" s="56" t="n">
        <v>45884.7083333333</v>
      </c>
      <c r="B1201" s="57" t="n">
        <f aca="false">MOD(A1201,1)</f>
        <v>0.708333333343035</v>
      </c>
      <c r="C1201" s="0" t="n">
        <v>0</v>
      </c>
      <c r="D1201" s="0" t="n">
        <v>489.694</v>
      </c>
      <c r="E1201" s="0" t="n">
        <f aca="false">D1201-0.155</f>
        <v>489.539</v>
      </c>
      <c r="F1201" s="0" t="n">
        <v>489.545</v>
      </c>
      <c r="G1201" s="0" t="n">
        <f aca="false">IF(E1201 - F1201 &lt; 0, 0, E1201 - F1201)</f>
        <v>0</v>
      </c>
      <c r="H1201" s="0" t="n">
        <v>1.82</v>
      </c>
      <c r="I1201" s="0" t="n">
        <f aca="false">1.82*30*(G1201^1.5)</f>
        <v>0</v>
      </c>
      <c r="J1201" s="0" t="n">
        <f aca="false">I1201*60</f>
        <v>0</v>
      </c>
      <c r="K1201" s="0" t="n">
        <f aca="false">(I1201*86400)/24</f>
        <v>0</v>
      </c>
    </row>
    <row r="1202" customFormat="false" ht="16.5" hidden="false" customHeight="false" outlineLevel="0" collapsed="false">
      <c r="A1202" s="56" t="n">
        <v>45884.75</v>
      </c>
      <c r="B1202" s="57" t="n">
        <f aca="false">MOD(A1202,1)</f>
        <v>0.75</v>
      </c>
      <c r="C1202" s="0" t="n">
        <v>0</v>
      </c>
      <c r="D1202" s="0" t="n">
        <v>489.701</v>
      </c>
      <c r="E1202" s="0" t="n">
        <f aca="false">D1202-0.155</f>
        <v>489.546</v>
      </c>
      <c r="F1202" s="0" t="n">
        <v>489.545</v>
      </c>
      <c r="G1202" s="0" t="n">
        <f aca="false">IF(E1202 - F1202 &lt; 0, 0, E1202 - F1202)</f>
        <v>0.0010000000000332</v>
      </c>
      <c r="H1202" s="0" t="n">
        <v>1.82</v>
      </c>
      <c r="I1202" s="0" t="n">
        <f aca="false">1.82*30*(G1202^1.5)</f>
        <v>0.00172660360253791</v>
      </c>
      <c r="J1202" s="0" t="n">
        <f aca="false">I1202*60</f>
        <v>0.103596216152275</v>
      </c>
      <c r="K1202" s="0" t="n">
        <f aca="false">(I1202*86400)/24</f>
        <v>6.21577296913648</v>
      </c>
    </row>
    <row r="1203" customFormat="false" ht="16.5" hidden="false" customHeight="false" outlineLevel="0" collapsed="false">
      <c r="A1203" s="56" t="n">
        <v>45884.7916666667</v>
      </c>
      <c r="B1203" s="57" t="n">
        <f aca="false">MOD(A1203,1)</f>
        <v>0.791666666656965</v>
      </c>
      <c r="C1203" s="0" t="n">
        <v>0</v>
      </c>
      <c r="D1203" s="0" t="n">
        <v>489.701</v>
      </c>
      <c r="E1203" s="0" t="n">
        <f aca="false">D1203-0.155</f>
        <v>489.546</v>
      </c>
      <c r="F1203" s="0" t="n">
        <v>489.545</v>
      </c>
      <c r="G1203" s="0" t="n">
        <f aca="false">IF(E1203 - F1203 &lt; 0, 0, E1203 - F1203)</f>
        <v>0.0010000000000332</v>
      </c>
      <c r="H1203" s="0" t="n">
        <v>1.82</v>
      </c>
      <c r="I1203" s="0" t="n">
        <f aca="false">1.82*30*(G1203^1.5)</f>
        <v>0.00172660360253791</v>
      </c>
      <c r="J1203" s="0" t="n">
        <f aca="false">I1203*60</f>
        <v>0.103596216152275</v>
      </c>
      <c r="K1203" s="0" t="n">
        <f aca="false">(I1203*86400)/24</f>
        <v>6.21577296913648</v>
      </c>
    </row>
    <row r="1204" customFormat="false" ht="16.5" hidden="false" customHeight="false" outlineLevel="0" collapsed="false">
      <c r="A1204" s="56" t="n">
        <v>45884.8333333333</v>
      </c>
      <c r="B1204" s="57" t="n">
        <f aca="false">MOD(A1204,1)</f>
        <v>0.833333333343035</v>
      </c>
      <c r="C1204" s="0" t="n">
        <v>0</v>
      </c>
      <c r="D1204" s="0" t="n">
        <v>489.701</v>
      </c>
      <c r="E1204" s="0" t="n">
        <f aca="false">D1204-0.155</f>
        <v>489.546</v>
      </c>
      <c r="F1204" s="0" t="n">
        <v>489.545</v>
      </c>
      <c r="G1204" s="0" t="n">
        <f aca="false">IF(E1204 - F1204 &lt; 0, 0, E1204 - F1204)</f>
        <v>0.0010000000000332</v>
      </c>
      <c r="H1204" s="0" t="n">
        <v>1.82</v>
      </c>
      <c r="I1204" s="0" t="n">
        <f aca="false">1.82*30*(G1204^1.5)</f>
        <v>0.00172660360253791</v>
      </c>
      <c r="J1204" s="0" t="n">
        <f aca="false">I1204*60</f>
        <v>0.103596216152275</v>
      </c>
      <c r="K1204" s="0" t="n">
        <f aca="false">(I1204*86400)/24</f>
        <v>6.21577296913648</v>
      </c>
    </row>
    <row r="1205" customFormat="false" ht="16.5" hidden="false" customHeight="false" outlineLevel="0" collapsed="false">
      <c r="A1205" s="56" t="n">
        <v>45884.875</v>
      </c>
      <c r="B1205" s="57" t="n">
        <f aca="false">MOD(A1205,1)</f>
        <v>0.875</v>
      </c>
      <c r="C1205" s="0" t="n">
        <v>0</v>
      </c>
      <c r="D1205" s="0" t="n">
        <v>489.701</v>
      </c>
      <c r="E1205" s="0" t="n">
        <f aca="false">D1205-0.155</f>
        <v>489.546</v>
      </c>
      <c r="F1205" s="0" t="n">
        <v>489.545</v>
      </c>
      <c r="G1205" s="0" t="n">
        <f aca="false">IF(E1205 - F1205 &lt; 0, 0, E1205 - F1205)</f>
        <v>0.0010000000000332</v>
      </c>
      <c r="H1205" s="0" t="n">
        <v>1.82</v>
      </c>
      <c r="I1205" s="0" t="n">
        <f aca="false">1.82*30*(G1205^1.5)</f>
        <v>0.00172660360253791</v>
      </c>
      <c r="J1205" s="0" t="n">
        <f aca="false">I1205*60</f>
        <v>0.103596216152275</v>
      </c>
      <c r="K1205" s="0" t="n">
        <f aca="false">(I1205*86400)/24</f>
        <v>6.21577296913648</v>
      </c>
    </row>
    <row r="1206" customFormat="false" ht="16.5" hidden="false" customHeight="false" outlineLevel="0" collapsed="false">
      <c r="A1206" s="56" t="n">
        <v>45884.9166666667</v>
      </c>
      <c r="B1206" s="57" t="n">
        <f aca="false">MOD(A1206,1)</f>
        <v>0.916666666656965</v>
      </c>
      <c r="C1206" s="0" t="n">
        <v>0</v>
      </c>
      <c r="D1206" s="0" t="n">
        <v>489.702</v>
      </c>
      <c r="E1206" s="0" t="n">
        <f aca="false">D1206-0.155</f>
        <v>489.547</v>
      </c>
      <c r="F1206" s="0" t="n">
        <v>489.545</v>
      </c>
      <c r="G1206" s="0" t="n">
        <f aca="false">IF(E1206 - F1206 &lt; 0, 0, E1206 - F1206)</f>
        <v>0.00200000000000955</v>
      </c>
      <c r="H1206" s="0" t="n">
        <v>1.82</v>
      </c>
      <c r="I1206" s="0" t="n">
        <f aca="false">1.82*30*(G1206^1.5)</f>
        <v>0.00488357246289452</v>
      </c>
      <c r="J1206" s="0" t="n">
        <f aca="false">I1206*60</f>
        <v>0.293014347773671</v>
      </c>
      <c r="K1206" s="0" t="n">
        <f aca="false">(I1206*86400)/24</f>
        <v>17.5808608664203</v>
      </c>
    </row>
    <row r="1207" customFormat="false" ht="16.5" hidden="false" customHeight="false" outlineLevel="0" collapsed="false">
      <c r="A1207" s="56" t="n">
        <v>45884.9583333333</v>
      </c>
      <c r="B1207" s="57" t="n">
        <f aca="false">MOD(A1207,1)</f>
        <v>0.958333333343035</v>
      </c>
      <c r="C1207" s="0" t="n">
        <v>0</v>
      </c>
      <c r="D1207" s="0" t="n">
        <v>489.702</v>
      </c>
      <c r="E1207" s="0" t="n">
        <f aca="false">D1207-0.155</f>
        <v>489.547</v>
      </c>
      <c r="F1207" s="0" t="n">
        <v>489.545</v>
      </c>
      <c r="G1207" s="0" t="n">
        <f aca="false">IF(E1207 - F1207 &lt; 0, 0, E1207 - F1207)</f>
        <v>0.00200000000000955</v>
      </c>
      <c r="H1207" s="0" t="n">
        <v>1.82</v>
      </c>
      <c r="I1207" s="0" t="n">
        <f aca="false">1.82*30*(G1207^1.5)</f>
        <v>0.00488357246289452</v>
      </c>
      <c r="J1207" s="0" t="n">
        <f aca="false">I1207*60</f>
        <v>0.293014347773671</v>
      </c>
      <c r="K1207" s="0" t="n">
        <f aca="false">(I1207*86400)/24</f>
        <v>17.5808608664203</v>
      </c>
    </row>
    <row r="1208" customFormat="false" ht="16.5" hidden="false" customHeight="false" outlineLevel="0" collapsed="false">
      <c r="A1208" s="56" t="n">
        <v>45885</v>
      </c>
      <c r="B1208" s="57" t="n">
        <f aca="false">MOD(A1208,1)</f>
        <v>0</v>
      </c>
      <c r="C1208" s="0" t="n">
        <v>0</v>
      </c>
      <c r="D1208" s="0" t="n">
        <v>489.701</v>
      </c>
      <c r="E1208" s="0" t="n">
        <f aca="false">D1208-0.155</f>
        <v>489.546</v>
      </c>
      <c r="F1208" s="0" t="n">
        <v>489.545</v>
      </c>
      <c r="G1208" s="0" t="n">
        <f aca="false">IF(E1208 - F1208 &lt; 0, 0, E1208 - F1208)</f>
        <v>0.0010000000000332</v>
      </c>
      <c r="H1208" s="0" t="n">
        <v>1.82</v>
      </c>
      <c r="I1208" s="0" t="n">
        <f aca="false">1.82*30*(G1208^1.5)</f>
        <v>0.00172660360253791</v>
      </c>
      <c r="J1208" s="0" t="n">
        <f aca="false">I1208*60</f>
        <v>0.103596216152275</v>
      </c>
      <c r="K1208" s="0" t="n">
        <f aca="false">(I1208*86400)/24</f>
        <v>6.21577296913648</v>
      </c>
    </row>
    <row r="1209" customFormat="false" ht="16.5" hidden="false" customHeight="false" outlineLevel="0" collapsed="false">
      <c r="A1209" s="56" t="n">
        <v>45885.0416666667</v>
      </c>
      <c r="B1209" s="57" t="n">
        <f aca="false">MOD(A1209,1)</f>
        <v>0.0416666666569654</v>
      </c>
      <c r="C1209" s="0" t="n">
        <v>0</v>
      </c>
      <c r="D1209" s="0" t="n">
        <v>489.702</v>
      </c>
      <c r="E1209" s="0" t="n">
        <f aca="false">D1209-0.155</f>
        <v>489.547</v>
      </c>
      <c r="F1209" s="0" t="n">
        <v>489.545</v>
      </c>
      <c r="G1209" s="0" t="n">
        <f aca="false">IF(E1209 - F1209 &lt; 0, 0, E1209 - F1209)</f>
        <v>0.00200000000000955</v>
      </c>
      <c r="H1209" s="0" t="n">
        <v>1.82</v>
      </c>
      <c r="I1209" s="0" t="n">
        <f aca="false">1.82*30*(G1209^1.5)</f>
        <v>0.00488357246289452</v>
      </c>
      <c r="J1209" s="0" t="n">
        <f aca="false">I1209*60</f>
        <v>0.293014347773671</v>
      </c>
      <c r="K1209" s="0" t="n">
        <f aca="false">(I1209*86400)/24</f>
        <v>17.5808608664203</v>
      </c>
    </row>
    <row r="1210" customFormat="false" ht="16.5" hidden="false" customHeight="false" outlineLevel="0" collapsed="false">
      <c r="A1210" s="56" t="n">
        <v>45885.0833333333</v>
      </c>
      <c r="B1210" s="57" t="n">
        <f aca="false">MOD(A1210,1)</f>
        <v>0.0833333333430346</v>
      </c>
      <c r="C1210" s="0" t="n">
        <v>0</v>
      </c>
      <c r="D1210" s="0" t="n">
        <v>489.701</v>
      </c>
      <c r="E1210" s="0" t="n">
        <f aca="false">D1210-0.155</f>
        <v>489.546</v>
      </c>
      <c r="F1210" s="0" t="n">
        <v>489.545</v>
      </c>
      <c r="G1210" s="0" t="n">
        <f aca="false">IF(E1210 - F1210 &lt; 0, 0, E1210 - F1210)</f>
        <v>0.0010000000000332</v>
      </c>
      <c r="H1210" s="0" t="n">
        <v>1.82</v>
      </c>
      <c r="I1210" s="0" t="n">
        <f aca="false">1.82*30*(G1210^1.5)</f>
        <v>0.00172660360253791</v>
      </c>
      <c r="J1210" s="0" t="n">
        <f aca="false">I1210*60</f>
        <v>0.103596216152275</v>
      </c>
      <c r="K1210" s="0" t="n">
        <f aca="false">(I1210*86400)/24</f>
        <v>6.21577296913648</v>
      </c>
    </row>
    <row r="1211" customFormat="false" ht="16.5" hidden="false" customHeight="false" outlineLevel="0" collapsed="false">
      <c r="A1211" s="56" t="n">
        <v>45885.125</v>
      </c>
      <c r="B1211" s="57" t="n">
        <f aca="false">MOD(A1211,1)</f>
        <v>0.125</v>
      </c>
      <c r="C1211" s="0" t="n">
        <v>0</v>
      </c>
      <c r="D1211" s="0" t="n">
        <v>489.702</v>
      </c>
      <c r="E1211" s="0" t="n">
        <f aca="false">D1211-0.155</f>
        <v>489.547</v>
      </c>
      <c r="F1211" s="0" t="n">
        <v>489.545</v>
      </c>
      <c r="G1211" s="0" t="n">
        <f aca="false">IF(E1211 - F1211 &lt; 0, 0, E1211 - F1211)</f>
        <v>0.00200000000000955</v>
      </c>
      <c r="H1211" s="0" t="n">
        <v>1.82</v>
      </c>
      <c r="I1211" s="0" t="n">
        <f aca="false">1.82*30*(G1211^1.5)</f>
        <v>0.00488357246289452</v>
      </c>
      <c r="J1211" s="0" t="n">
        <f aca="false">I1211*60</f>
        <v>0.293014347773671</v>
      </c>
      <c r="K1211" s="0" t="n">
        <f aca="false">(I1211*86400)/24</f>
        <v>17.5808608664203</v>
      </c>
    </row>
    <row r="1212" customFormat="false" ht="16.5" hidden="false" customHeight="false" outlineLevel="0" collapsed="false">
      <c r="A1212" s="56" t="n">
        <v>45885.1666666667</v>
      </c>
      <c r="B1212" s="57" t="n">
        <f aca="false">MOD(A1212,1)</f>
        <v>0.166666666656965</v>
      </c>
      <c r="C1212" s="0" t="n">
        <v>0</v>
      </c>
      <c r="D1212" s="0" t="n">
        <v>489.701</v>
      </c>
      <c r="E1212" s="0" t="n">
        <f aca="false">D1212-0.155</f>
        <v>489.546</v>
      </c>
      <c r="F1212" s="0" t="n">
        <v>489.545</v>
      </c>
      <c r="G1212" s="0" t="n">
        <f aca="false">IF(E1212 - F1212 &lt; 0, 0, E1212 - F1212)</f>
        <v>0.0010000000000332</v>
      </c>
      <c r="H1212" s="0" t="n">
        <v>1.82</v>
      </c>
      <c r="I1212" s="0" t="n">
        <f aca="false">1.82*30*(G1212^1.5)</f>
        <v>0.00172660360253791</v>
      </c>
      <c r="J1212" s="0" t="n">
        <f aca="false">I1212*60</f>
        <v>0.103596216152275</v>
      </c>
      <c r="K1212" s="0" t="n">
        <f aca="false">(I1212*86400)/24</f>
        <v>6.21577296913648</v>
      </c>
    </row>
    <row r="1213" customFormat="false" ht="16.5" hidden="false" customHeight="false" outlineLevel="0" collapsed="false">
      <c r="A1213" s="56" t="n">
        <v>45885.2083333333</v>
      </c>
      <c r="B1213" s="57" t="n">
        <f aca="false">MOD(A1213,1)</f>
        <v>0.208333333343035</v>
      </c>
      <c r="C1213" s="0" t="n">
        <v>0</v>
      </c>
      <c r="D1213" s="0" t="n">
        <v>489.702</v>
      </c>
      <c r="E1213" s="0" t="n">
        <f aca="false">D1213-0.155</f>
        <v>489.547</v>
      </c>
      <c r="F1213" s="0" t="n">
        <v>489.545</v>
      </c>
      <c r="G1213" s="0" t="n">
        <f aca="false">IF(E1213 - F1213 &lt; 0, 0, E1213 - F1213)</f>
        <v>0.00200000000000955</v>
      </c>
      <c r="H1213" s="0" t="n">
        <v>1.82</v>
      </c>
      <c r="I1213" s="0" t="n">
        <f aca="false">1.82*30*(G1213^1.5)</f>
        <v>0.00488357246289452</v>
      </c>
      <c r="J1213" s="0" t="n">
        <f aca="false">I1213*60</f>
        <v>0.293014347773671</v>
      </c>
      <c r="K1213" s="0" t="n">
        <f aca="false">(I1213*86400)/24</f>
        <v>17.5808608664203</v>
      </c>
    </row>
    <row r="1214" customFormat="false" ht="16.5" hidden="false" customHeight="false" outlineLevel="0" collapsed="false">
      <c r="A1214" s="56" t="n">
        <v>45885.25</v>
      </c>
      <c r="B1214" s="57" t="n">
        <f aca="false">MOD(A1214,1)</f>
        <v>0.25</v>
      </c>
      <c r="C1214" s="0" t="n">
        <v>0</v>
      </c>
      <c r="D1214" s="0" t="n">
        <v>489.695</v>
      </c>
      <c r="E1214" s="0" t="n">
        <f aca="false">D1214-0.155</f>
        <v>489.54</v>
      </c>
      <c r="F1214" s="0" t="n">
        <v>489.545</v>
      </c>
      <c r="G1214" s="0" t="n">
        <f aca="false">IF(E1214 - F1214 &lt; 0, 0, E1214 - F1214)</f>
        <v>0</v>
      </c>
      <c r="H1214" s="0" t="n">
        <v>1.82</v>
      </c>
      <c r="I1214" s="0" t="n">
        <f aca="false">1.82*30*(G1214^1.5)</f>
        <v>0</v>
      </c>
      <c r="J1214" s="0" t="n">
        <f aca="false">I1214*60</f>
        <v>0</v>
      </c>
      <c r="K1214" s="0" t="n">
        <f aca="false">(I1214*86400)/24</f>
        <v>0</v>
      </c>
    </row>
    <row r="1215" customFormat="false" ht="16.5" hidden="false" customHeight="false" outlineLevel="0" collapsed="false">
      <c r="A1215" s="56" t="n">
        <v>45885.2916666667</v>
      </c>
      <c r="B1215" s="57" t="n">
        <f aca="false">MOD(A1215,1)</f>
        <v>0.291666666656965</v>
      </c>
      <c r="C1215" s="0" t="n">
        <v>0</v>
      </c>
      <c r="D1215" s="0" t="n">
        <v>489.695</v>
      </c>
      <c r="E1215" s="0" t="n">
        <f aca="false">D1215-0.155</f>
        <v>489.54</v>
      </c>
      <c r="F1215" s="0" t="n">
        <v>489.545</v>
      </c>
      <c r="G1215" s="0" t="n">
        <f aca="false">IF(E1215 - F1215 &lt; 0, 0, E1215 - F1215)</f>
        <v>0</v>
      </c>
      <c r="H1215" s="0" t="n">
        <v>1.82</v>
      </c>
      <c r="I1215" s="0" t="n">
        <f aca="false">1.82*30*(G1215^1.5)</f>
        <v>0</v>
      </c>
      <c r="J1215" s="0" t="n">
        <f aca="false">I1215*60</f>
        <v>0</v>
      </c>
      <c r="K1215" s="0" t="n">
        <f aca="false">(I1215*86400)/24</f>
        <v>0</v>
      </c>
    </row>
    <row r="1216" customFormat="false" ht="16.5" hidden="false" customHeight="false" outlineLevel="0" collapsed="false">
      <c r="A1216" s="56" t="n">
        <v>45885.3333333333</v>
      </c>
      <c r="B1216" s="57" t="n">
        <f aca="false">MOD(A1216,1)</f>
        <v>0.333333333343035</v>
      </c>
      <c r="C1216" s="0" t="n">
        <v>0</v>
      </c>
      <c r="D1216" s="0" t="n">
        <v>489.694</v>
      </c>
      <c r="E1216" s="0" t="n">
        <f aca="false">D1216-0.155</f>
        <v>489.539</v>
      </c>
      <c r="F1216" s="0" t="n">
        <v>489.545</v>
      </c>
      <c r="G1216" s="0" t="n">
        <f aca="false">IF(E1216 - F1216 &lt; 0, 0, E1216 - F1216)</f>
        <v>0</v>
      </c>
      <c r="H1216" s="0" t="n">
        <v>1.82</v>
      </c>
      <c r="I1216" s="0" t="n">
        <f aca="false">1.82*30*(G1216^1.5)</f>
        <v>0</v>
      </c>
      <c r="J1216" s="0" t="n">
        <f aca="false">I1216*60</f>
        <v>0</v>
      </c>
      <c r="K1216" s="0" t="n">
        <f aca="false">(I1216*86400)/24</f>
        <v>0</v>
      </c>
    </row>
    <row r="1217" customFormat="false" ht="16.5" hidden="false" customHeight="false" outlineLevel="0" collapsed="false">
      <c r="A1217" s="56" t="n">
        <v>45885.375</v>
      </c>
      <c r="B1217" s="57" t="n">
        <f aca="false">MOD(A1217,1)</f>
        <v>0.375</v>
      </c>
      <c r="C1217" s="0" t="n">
        <v>0</v>
      </c>
      <c r="D1217" s="0" t="n">
        <v>489.694</v>
      </c>
      <c r="E1217" s="0" t="n">
        <f aca="false">D1217-0.155</f>
        <v>489.539</v>
      </c>
      <c r="F1217" s="0" t="n">
        <v>489.545</v>
      </c>
      <c r="G1217" s="0" t="n">
        <f aca="false">IF(E1217 - F1217 &lt; 0, 0, E1217 - F1217)</f>
        <v>0</v>
      </c>
      <c r="H1217" s="0" t="n">
        <v>1.82</v>
      </c>
      <c r="I1217" s="0" t="n">
        <f aca="false">1.82*30*(G1217^1.5)</f>
        <v>0</v>
      </c>
      <c r="J1217" s="0" t="n">
        <f aca="false">I1217*60</f>
        <v>0</v>
      </c>
      <c r="K1217" s="0" t="n">
        <f aca="false">(I1217*86400)/24</f>
        <v>0</v>
      </c>
    </row>
    <row r="1218" customFormat="false" ht="16.5" hidden="false" customHeight="false" outlineLevel="0" collapsed="false">
      <c r="A1218" s="56" t="n">
        <v>45885.4166666667</v>
      </c>
      <c r="B1218" s="57" t="n">
        <f aca="false">MOD(A1218,1)</f>
        <v>0.416666666656965</v>
      </c>
      <c r="C1218" s="0" t="n">
        <v>0</v>
      </c>
      <c r="D1218" s="0" t="n">
        <v>489.694</v>
      </c>
      <c r="E1218" s="0" t="n">
        <f aca="false">D1218-0.155</f>
        <v>489.539</v>
      </c>
      <c r="F1218" s="0" t="n">
        <v>489.545</v>
      </c>
      <c r="G1218" s="0" t="n">
        <f aca="false">IF(E1218 - F1218 &lt; 0, 0, E1218 - F1218)</f>
        <v>0</v>
      </c>
      <c r="H1218" s="0" t="n">
        <v>1.82</v>
      </c>
      <c r="I1218" s="0" t="n">
        <f aca="false">1.82*30*(G1218^1.5)</f>
        <v>0</v>
      </c>
      <c r="J1218" s="0" t="n">
        <f aca="false">I1218*60</f>
        <v>0</v>
      </c>
      <c r="K1218" s="0" t="n">
        <f aca="false">(I1218*86400)/24</f>
        <v>0</v>
      </c>
    </row>
    <row r="1219" customFormat="false" ht="16.5" hidden="false" customHeight="false" outlineLevel="0" collapsed="false">
      <c r="A1219" s="56" t="n">
        <v>45885.4583333333</v>
      </c>
      <c r="B1219" s="57" t="n">
        <f aca="false">MOD(A1219,1)</f>
        <v>0.458333333343035</v>
      </c>
      <c r="C1219" s="0" t="n">
        <v>0.6</v>
      </c>
      <c r="D1219" s="0" t="n">
        <v>489.694</v>
      </c>
      <c r="E1219" s="0" t="n">
        <f aca="false">D1219-0.155</f>
        <v>489.539</v>
      </c>
      <c r="F1219" s="0" t="n">
        <v>489.545</v>
      </c>
      <c r="G1219" s="0" t="n">
        <f aca="false">IF(E1219 - F1219 &lt; 0, 0, E1219 - F1219)</f>
        <v>0</v>
      </c>
      <c r="H1219" s="0" t="n">
        <v>1.82</v>
      </c>
      <c r="I1219" s="0" t="n">
        <f aca="false">1.82*30*(G1219^1.5)</f>
        <v>0</v>
      </c>
      <c r="J1219" s="0" t="n">
        <f aca="false">I1219*60</f>
        <v>0</v>
      </c>
      <c r="K1219" s="0" t="n">
        <f aca="false">(I1219*86400)/24</f>
        <v>0</v>
      </c>
    </row>
    <row r="1220" customFormat="false" ht="16.5" hidden="false" customHeight="false" outlineLevel="0" collapsed="false">
      <c r="A1220" s="56" t="n">
        <v>45885.5</v>
      </c>
      <c r="B1220" s="57" t="n">
        <f aca="false">MOD(A1220,1)</f>
        <v>0.5</v>
      </c>
      <c r="C1220" s="0" t="n">
        <v>0</v>
      </c>
      <c r="D1220" s="0" t="n">
        <v>489.694</v>
      </c>
      <c r="E1220" s="0" t="n">
        <f aca="false">D1220-0.155</f>
        <v>489.539</v>
      </c>
      <c r="F1220" s="0" t="n">
        <v>489.545</v>
      </c>
      <c r="G1220" s="0" t="n">
        <f aca="false">IF(E1220 - F1220 &lt; 0, 0, E1220 - F1220)</f>
        <v>0</v>
      </c>
      <c r="H1220" s="0" t="n">
        <v>1.82</v>
      </c>
      <c r="I1220" s="0" t="n">
        <f aca="false">1.82*30*(G1220^1.5)</f>
        <v>0</v>
      </c>
      <c r="J1220" s="0" t="n">
        <f aca="false">I1220*60</f>
        <v>0</v>
      </c>
      <c r="K1220" s="0" t="n">
        <f aca="false">(I1220*86400)/24</f>
        <v>0</v>
      </c>
    </row>
    <row r="1221" customFormat="false" ht="16.5" hidden="false" customHeight="false" outlineLevel="0" collapsed="false">
      <c r="A1221" s="56" t="n">
        <v>45885.5416666667</v>
      </c>
      <c r="B1221" s="57" t="n">
        <f aca="false">MOD(A1221,1)</f>
        <v>0.541666666656965</v>
      </c>
      <c r="C1221" s="0" t="n">
        <v>34.6</v>
      </c>
      <c r="D1221" s="0" t="n">
        <v>489.732</v>
      </c>
      <c r="E1221" s="0" t="n">
        <f aca="false">D1221-0.155</f>
        <v>489.577</v>
      </c>
      <c r="F1221" s="0" t="n">
        <v>489.545</v>
      </c>
      <c r="G1221" s="0" t="n">
        <f aca="false">IF(E1221 - F1221 &lt; 0, 0, E1221 - F1221)</f>
        <v>0.0320000000000391</v>
      </c>
      <c r="H1221" s="0" t="n">
        <v>1.82</v>
      </c>
      <c r="I1221" s="0" t="n">
        <f aca="false">1.82*30*(G1221^1.5)</f>
        <v>0.312548637623584</v>
      </c>
      <c r="J1221" s="0" t="n">
        <f aca="false">I1221*60</f>
        <v>18.752918257415</v>
      </c>
      <c r="K1221" s="0" t="n">
        <f aca="false">(I1221*86400)/24</f>
        <v>1125.1750954449</v>
      </c>
    </row>
    <row r="1222" customFormat="false" ht="16.5" hidden="false" customHeight="false" outlineLevel="0" collapsed="false">
      <c r="A1222" s="56" t="n">
        <v>45885.5833333333</v>
      </c>
      <c r="B1222" s="57" t="n">
        <f aca="false">MOD(A1222,1)</f>
        <v>0.583333333343035</v>
      </c>
      <c r="C1222" s="0" t="n">
        <v>0</v>
      </c>
      <c r="D1222" s="0" t="n">
        <v>489.875</v>
      </c>
      <c r="E1222" s="0" t="n">
        <f aca="false">D1222-0.155</f>
        <v>489.72</v>
      </c>
      <c r="F1222" s="0" t="n">
        <v>489.545</v>
      </c>
      <c r="G1222" s="0" t="n">
        <f aca="false">IF(E1222 - F1222 &lt; 0, 0, E1222 - F1222)</f>
        <v>0.175000000000011</v>
      </c>
      <c r="H1222" s="0" t="n">
        <v>1.82</v>
      </c>
      <c r="I1222" s="0" t="n">
        <f aca="false">1.82*30*(G1222^1.5)</f>
        <v>3.99714327676694</v>
      </c>
      <c r="J1222" s="0" t="n">
        <f aca="false">I1222*60</f>
        <v>239.828596606016</v>
      </c>
      <c r="K1222" s="0" t="n">
        <f aca="false">(I1222*86400)/24</f>
        <v>14389.715796361</v>
      </c>
    </row>
    <row r="1223" customFormat="false" ht="16.5" hidden="false" customHeight="false" outlineLevel="0" collapsed="false">
      <c r="A1223" s="56" t="n">
        <v>45885.625</v>
      </c>
      <c r="B1223" s="57" t="n">
        <f aca="false">MOD(A1223,1)</f>
        <v>0.625</v>
      </c>
      <c r="C1223" s="0" t="n">
        <v>0</v>
      </c>
      <c r="D1223" s="0" t="n">
        <v>489.926</v>
      </c>
      <c r="E1223" s="0" t="n">
        <f aca="false">D1223-0.155</f>
        <v>489.771</v>
      </c>
      <c r="F1223" s="0" t="n">
        <v>489.545</v>
      </c>
      <c r="G1223" s="0" t="n">
        <f aca="false">IF(E1223 - F1223 &lt; 0, 0, E1223 - F1223)</f>
        <v>0.225999999999999</v>
      </c>
      <c r="H1223" s="0" t="n">
        <v>1.82</v>
      </c>
      <c r="I1223" s="0" t="n">
        <f aca="false">1.82*30*(G1223^1.5)</f>
        <v>5.86617887249951</v>
      </c>
      <c r="J1223" s="0" t="n">
        <f aca="false">I1223*60</f>
        <v>351.97073234997</v>
      </c>
      <c r="K1223" s="0" t="n">
        <f aca="false">(I1223*86400)/24</f>
        <v>21118.2439409982</v>
      </c>
    </row>
    <row r="1224" customFormat="false" ht="16.5" hidden="false" customHeight="false" outlineLevel="0" collapsed="false">
      <c r="A1224" s="56" t="n">
        <v>45885.6666666667</v>
      </c>
      <c r="B1224" s="57" t="n">
        <f aca="false">MOD(A1224,1)</f>
        <v>0.666666666656965</v>
      </c>
      <c r="C1224" s="0" t="n">
        <v>0</v>
      </c>
      <c r="D1224" s="0" t="n">
        <v>489.945</v>
      </c>
      <c r="E1224" s="0" t="n">
        <f aca="false">D1224-0.155</f>
        <v>489.79</v>
      </c>
      <c r="F1224" s="0" t="n">
        <v>489.545</v>
      </c>
      <c r="G1224" s="0" t="n">
        <f aca="false">IF(E1224 - F1224 &lt; 0, 0, E1224 - F1224)</f>
        <v>0.245000000000005</v>
      </c>
      <c r="H1224" s="0" t="n">
        <v>1.82</v>
      </c>
      <c r="I1224" s="0" t="n">
        <f aca="false">1.82*30*(G1224^1.5)</f>
        <v>6.6212771883529</v>
      </c>
      <c r="J1224" s="0" t="n">
        <f aca="false">I1224*60</f>
        <v>397.276631301174</v>
      </c>
      <c r="K1224" s="0" t="n">
        <f aca="false">(I1224*86400)/24</f>
        <v>23836.5978780704</v>
      </c>
    </row>
    <row r="1225" customFormat="false" ht="16.5" hidden="false" customHeight="false" outlineLevel="0" collapsed="false">
      <c r="A1225" s="56" t="n">
        <v>45885.7083333333</v>
      </c>
      <c r="B1225" s="57" t="n">
        <f aca="false">MOD(A1225,1)</f>
        <v>0.708333333343035</v>
      </c>
      <c r="C1225" s="0" t="n">
        <v>0</v>
      </c>
      <c r="D1225" s="0" t="n">
        <v>489.952</v>
      </c>
      <c r="E1225" s="0" t="n">
        <f aca="false">D1225-0.155</f>
        <v>489.797</v>
      </c>
      <c r="F1225" s="0" t="n">
        <v>489.545</v>
      </c>
      <c r="G1225" s="0" t="n">
        <f aca="false">IF(E1225 - F1225 &lt; 0, 0, E1225 - F1225)</f>
        <v>0.25200000000001</v>
      </c>
      <c r="H1225" s="0" t="n">
        <v>1.82</v>
      </c>
      <c r="I1225" s="0" t="n">
        <f aca="false">1.82*30*(G1225^1.5)</f>
        <v>6.90706358225298</v>
      </c>
      <c r="J1225" s="0" t="n">
        <f aca="false">I1225*60</f>
        <v>414.423814935179</v>
      </c>
      <c r="K1225" s="0" t="n">
        <f aca="false">(I1225*86400)/24</f>
        <v>24865.4288961107</v>
      </c>
    </row>
    <row r="1226" customFormat="false" ht="16.5" hidden="false" customHeight="false" outlineLevel="0" collapsed="false">
      <c r="A1226" s="56" t="n">
        <v>45885.75</v>
      </c>
      <c r="B1226" s="57" t="n">
        <f aca="false">MOD(A1226,1)</f>
        <v>0.75</v>
      </c>
      <c r="C1226" s="0" t="n">
        <v>0</v>
      </c>
      <c r="D1226" s="0" t="n">
        <v>489.952</v>
      </c>
      <c r="E1226" s="0" t="n">
        <f aca="false">D1226-0.155</f>
        <v>489.797</v>
      </c>
      <c r="F1226" s="0" t="n">
        <v>489.545</v>
      </c>
      <c r="G1226" s="0" t="n">
        <f aca="false">IF(E1226 - F1226 &lt; 0, 0, E1226 - F1226)</f>
        <v>0.25200000000001</v>
      </c>
      <c r="H1226" s="0" t="n">
        <v>1.82</v>
      </c>
      <c r="I1226" s="0" t="n">
        <f aca="false">1.82*30*(G1226^1.5)</f>
        <v>6.90706358225298</v>
      </c>
      <c r="J1226" s="0" t="n">
        <f aca="false">I1226*60</f>
        <v>414.423814935179</v>
      </c>
      <c r="K1226" s="0" t="n">
        <f aca="false">(I1226*86400)/24</f>
        <v>24865.4288961107</v>
      </c>
    </row>
    <row r="1227" customFormat="false" ht="16.5" hidden="false" customHeight="false" outlineLevel="0" collapsed="false">
      <c r="A1227" s="56" t="n">
        <v>45885.7916666667</v>
      </c>
      <c r="B1227" s="57" t="n">
        <f aca="false">MOD(A1227,1)</f>
        <v>0.791666666656965</v>
      </c>
      <c r="C1227" s="0" t="n">
        <v>0</v>
      </c>
      <c r="D1227" s="0" t="n">
        <v>489.945</v>
      </c>
      <c r="E1227" s="0" t="n">
        <f aca="false">D1227-0.155</f>
        <v>489.79</v>
      </c>
      <c r="F1227" s="0" t="n">
        <v>489.545</v>
      </c>
      <c r="G1227" s="0" t="n">
        <f aca="false">IF(E1227 - F1227 &lt; 0, 0, E1227 - F1227)</f>
        <v>0.245000000000005</v>
      </c>
      <c r="H1227" s="0" t="n">
        <v>1.82</v>
      </c>
      <c r="I1227" s="0" t="n">
        <f aca="false">1.82*30*(G1227^1.5)</f>
        <v>6.6212771883529</v>
      </c>
      <c r="J1227" s="0" t="n">
        <f aca="false">I1227*60</f>
        <v>397.276631301174</v>
      </c>
      <c r="K1227" s="0" t="n">
        <f aca="false">(I1227*86400)/24</f>
        <v>23836.5978780704</v>
      </c>
    </row>
    <row r="1228" customFormat="false" ht="16.5" hidden="false" customHeight="false" outlineLevel="0" collapsed="false">
      <c r="A1228" s="56" t="n">
        <v>45885.8333333333</v>
      </c>
      <c r="B1228" s="57" t="n">
        <f aca="false">MOD(A1228,1)</f>
        <v>0.833333333343035</v>
      </c>
      <c r="C1228" s="0" t="n">
        <v>0</v>
      </c>
      <c r="D1228" s="0" t="n">
        <v>489.939</v>
      </c>
      <c r="E1228" s="0" t="n">
        <f aca="false">D1228-0.155</f>
        <v>489.784</v>
      </c>
      <c r="F1228" s="0" t="n">
        <v>489.545</v>
      </c>
      <c r="G1228" s="0" t="n">
        <f aca="false">IF(E1228 - F1228 &lt; 0, 0, E1228 - F1228)</f>
        <v>0.239000000000033</v>
      </c>
      <c r="H1228" s="0" t="n">
        <v>1.82</v>
      </c>
      <c r="I1228" s="0" t="n">
        <f aca="false">1.82*30*(G1228^1.5)</f>
        <v>6.37954189938876</v>
      </c>
      <c r="J1228" s="0" t="n">
        <f aca="false">I1228*60</f>
        <v>382.772513963326</v>
      </c>
      <c r="K1228" s="0" t="n">
        <f aca="false">(I1228*86400)/24</f>
        <v>22966.3508377995</v>
      </c>
    </row>
    <row r="1229" customFormat="false" ht="16.5" hidden="false" customHeight="false" outlineLevel="0" collapsed="false">
      <c r="A1229" s="56" t="n">
        <v>45885.875</v>
      </c>
      <c r="B1229" s="57" t="n">
        <f aca="false">MOD(A1229,1)</f>
        <v>0.875</v>
      </c>
      <c r="C1229" s="0" t="n">
        <v>8.4</v>
      </c>
      <c r="D1229" s="0" t="n">
        <v>489.945</v>
      </c>
      <c r="E1229" s="0" t="n">
        <f aca="false">D1229-0.155</f>
        <v>489.79</v>
      </c>
      <c r="F1229" s="0" t="n">
        <v>489.545</v>
      </c>
      <c r="G1229" s="0" t="n">
        <f aca="false">IF(E1229 - F1229 &lt; 0, 0, E1229 - F1229)</f>
        <v>0.245000000000005</v>
      </c>
      <c r="H1229" s="0" t="n">
        <v>1.82</v>
      </c>
      <c r="I1229" s="0" t="n">
        <f aca="false">1.82*30*(G1229^1.5)</f>
        <v>6.6212771883529</v>
      </c>
      <c r="J1229" s="0" t="n">
        <f aca="false">I1229*60</f>
        <v>397.276631301174</v>
      </c>
      <c r="K1229" s="0" t="n">
        <f aca="false">(I1229*86400)/24</f>
        <v>23836.5978780704</v>
      </c>
    </row>
    <row r="1230" customFormat="false" ht="16.5" hidden="false" customHeight="false" outlineLevel="0" collapsed="false">
      <c r="A1230" s="56" t="n">
        <v>45885.9166666667</v>
      </c>
      <c r="B1230" s="57" t="n">
        <f aca="false">MOD(A1230,1)</f>
        <v>0.916666666656965</v>
      </c>
      <c r="C1230" s="0" t="n">
        <v>0</v>
      </c>
      <c r="D1230" s="0" t="n">
        <v>489.939</v>
      </c>
      <c r="E1230" s="0" t="n">
        <f aca="false">D1230-0.155</f>
        <v>489.784</v>
      </c>
      <c r="F1230" s="0" t="n">
        <v>489.545</v>
      </c>
      <c r="G1230" s="0" t="n">
        <f aca="false">IF(E1230 - F1230 &lt; 0, 0, E1230 - F1230)</f>
        <v>0.239000000000033</v>
      </c>
      <c r="H1230" s="0" t="n">
        <v>1.82</v>
      </c>
      <c r="I1230" s="0" t="n">
        <f aca="false">1.82*30*(G1230^1.5)</f>
        <v>6.37954189938876</v>
      </c>
      <c r="J1230" s="0" t="n">
        <f aca="false">I1230*60</f>
        <v>382.772513963326</v>
      </c>
      <c r="K1230" s="0" t="n">
        <f aca="false">(I1230*86400)/24</f>
        <v>22966.3508377995</v>
      </c>
    </row>
    <row r="1231" customFormat="false" ht="16.5" hidden="false" customHeight="false" outlineLevel="0" collapsed="false">
      <c r="A1231" s="56" t="n">
        <v>45885.9583333333</v>
      </c>
      <c r="B1231" s="57" t="n">
        <f aca="false">MOD(A1231,1)</f>
        <v>0.958333333343035</v>
      </c>
      <c r="C1231" s="0" t="n">
        <v>0</v>
      </c>
      <c r="D1231" s="0" t="n">
        <v>489.939</v>
      </c>
      <c r="E1231" s="0" t="n">
        <f aca="false">D1231-0.155</f>
        <v>489.784</v>
      </c>
      <c r="F1231" s="0" t="n">
        <v>489.545</v>
      </c>
      <c r="G1231" s="0" t="n">
        <f aca="false">IF(E1231 - F1231 &lt; 0, 0, E1231 - F1231)</f>
        <v>0.239000000000033</v>
      </c>
      <c r="H1231" s="0" t="n">
        <v>1.82</v>
      </c>
      <c r="I1231" s="0" t="n">
        <f aca="false">1.82*30*(G1231^1.5)</f>
        <v>6.37954189938876</v>
      </c>
      <c r="J1231" s="0" t="n">
        <f aca="false">I1231*60</f>
        <v>382.772513963326</v>
      </c>
      <c r="K1231" s="0" t="n">
        <f aca="false">(I1231*86400)/24</f>
        <v>22966.3508377995</v>
      </c>
    </row>
    <row r="1232" customFormat="false" ht="16.5" hidden="false" customHeight="false" outlineLevel="0" collapsed="false">
      <c r="A1232" s="56" t="n">
        <v>45886</v>
      </c>
      <c r="B1232" s="57" t="n">
        <f aca="false">MOD(A1232,1)</f>
        <v>0</v>
      </c>
      <c r="C1232" s="0" t="n">
        <v>0</v>
      </c>
      <c r="D1232" s="0" t="n">
        <v>489.933</v>
      </c>
      <c r="E1232" s="0" t="n">
        <f aca="false">D1232-0.155</f>
        <v>489.778</v>
      </c>
      <c r="F1232" s="0" t="n">
        <v>489.545</v>
      </c>
      <c r="G1232" s="0" t="n">
        <f aca="false">IF(E1232 - F1232 &lt; 0, 0, E1232 - F1232)</f>
        <v>0.233000000000004</v>
      </c>
      <c r="H1232" s="0" t="n">
        <v>1.82</v>
      </c>
      <c r="I1232" s="0" t="n">
        <f aca="false">1.82*30*(G1232^1.5)</f>
        <v>6.14082221619564</v>
      </c>
      <c r="J1232" s="0" t="n">
        <f aca="false">I1232*60</f>
        <v>368.449332971739</v>
      </c>
      <c r="K1232" s="0" t="n">
        <f aca="false">(I1232*86400)/24</f>
        <v>22106.9599783043</v>
      </c>
    </row>
    <row r="1233" customFormat="false" ht="16.5" hidden="false" customHeight="false" outlineLevel="0" collapsed="false">
      <c r="A1233" s="56" t="n">
        <v>45886.0416666667</v>
      </c>
      <c r="B1233" s="57" t="n">
        <f aca="false">MOD(A1233,1)</f>
        <v>0.0416666666569654</v>
      </c>
      <c r="C1233" s="0" t="n">
        <v>0</v>
      </c>
      <c r="D1233" s="0" t="n">
        <v>489.926</v>
      </c>
      <c r="E1233" s="0" t="n">
        <f aca="false">D1233-0.155</f>
        <v>489.771</v>
      </c>
      <c r="F1233" s="0" t="n">
        <v>489.545</v>
      </c>
      <c r="G1233" s="0" t="n">
        <f aca="false">IF(E1233 - F1233 &lt; 0, 0, E1233 - F1233)</f>
        <v>0.225999999999999</v>
      </c>
      <c r="H1233" s="0" t="n">
        <v>1.82</v>
      </c>
      <c r="I1233" s="0" t="n">
        <f aca="false">1.82*30*(G1233^1.5)</f>
        <v>5.86617887249951</v>
      </c>
      <c r="J1233" s="0" t="n">
        <f aca="false">I1233*60</f>
        <v>351.97073234997</v>
      </c>
      <c r="K1233" s="0" t="n">
        <f aca="false">(I1233*86400)/24</f>
        <v>21118.2439409982</v>
      </c>
    </row>
    <row r="1234" customFormat="false" ht="16.5" hidden="false" customHeight="false" outlineLevel="0" collapsed="false">
      <c r="A1234" s="56" t="n">
        <v>45886.0833333333</v>
      </c>
      <c r="B1234" s="57" t="n">
        <f aca="false">MOD(A1234,1)</f>
        <v>0.0833333333430346</v>
      </c>
      <c r="C1234" s="0" t="n">
        <v>0</v>
      </c>
      <c r="D1234" s="0" t="n">
        <v>489.92</v>
      </c>
      <c r="E1234" s="0" t="n">
        <f aca="false">D1234-0.155</f>
        <v>489.765</v>
      </c>
      <c r="F1234" s="0" t="n">
        <v>489.545</v>
      </c>
      <c r="G1234" s="0" t="n">
        <f aca="false">IF(E1234 - F1234 &lt; 0, 0, E1234 - F1234)</f>
        <v>0.220000000000027</v>
      </c>
      <c r="H1234" s="0" t="n">
        <v>1.82</v>
      </c>
      <c r="I1234" s="0" t="n">
        <f aca="false">1.82*30*(G1234^1.5)</f>
        <v>5.63412741070095</v>
      </c>
      <c r="J1234" s="0" t="n">
        <f aca="false">I1234*60</f>
        <v>338.047644642057</v>
      </c>
      <c r="K1234" s="0" t="n">
        <f aca="false">(I1234*86400)/24</f>
        <v>20282.8586785234</v>
      </c>
    </row>
    <row r="1235" customFormat="false" ht="16.5" hidden="false" customHeight="false" outlineLevel="0" collapsed="false">
      <c r="A1235" s="56" t="n">
        <v>45886.125</v>
      </c>
      <c r="B1235" s="57" t="n">
        <f aca="false">MOD(A1235,1)</f>
        <v>0.125</v>
      </c>
      <c r="C1235" s="0" t="n">
        <v>0</v>
      </c>
      <c r="D1235" s="0" t="n">
        <v>489.913</v>
      </c>
      <c r="E1235" s="0" t="n">
        <f aca="false">D1235-0.155</f>
        <v>489.758</v>
      </c>
      <c r="F1235" s="0" t="n">
        <v>489.545</v>
      </c>
      <c r="G1235" s="0" t="n">
        <f aca="false">IF(E1235 - F1235 &lt; 0, 0, E1235 - F1235)</f>
        <v>0.213000000000022</v>
      </c>
      <c r="H1235" s="0" t="n">
        <v>1.82</v>
      </c>
      <c r="I1235" s="0" t="n">
        <f aca="false">1.82*30*(G1235^1.5)</f>
        <v>5.36737634534127</v>
      </c>
      <c r="J1235" s="0" t="n">
        <f aca="false">I1235*60</f>
        <v>322.042580720476</v>
      </c>
      <c r="K1235" s="0" t="n">
        <f aca="false">(I1235*86400)/24</f>
        <v>19322.5548432286</v>
      </c>
    </row>
    <row r="1236" customFormat="false" ht="16.5" hidden="false" customHeight="false" outlineLevel="0" collapsed="false">
      <c r="A1236" s="56" t="n">
        <v>45886.1666666667</v>
      </c>
      <c r="B1236" s="57" t="n">
        <f aca="false">MOD(A1236,1)</f>
        <v>0.166666666656965</v>
      </c>
      <c r="C1236" s="0" t="n">
        <v>0.2</v>
      </c>
      <c r="D1236" s="0" t="n">
        <v>489.908</v>
      </c>
      <c r="E1236" s="0" t="n">
        <f aca="false">D1236-0.155</f>
        <v>489.753</v>
      </c>
      <c r="F1236" s="0" t="n">
        <v>489.545</v>
      </c>
      <c r="G1236" s="0" t="n">
        <f aca="false">IF(E1236 - F1236 &lt; 0, 0, E1236 - F1236)</f>
        <v>0.208000000000027</v>
      </c>
      <c r="H1236" s="0" t="n">
        <v>1.82</v>
      </c>
      <c r="I1236" s="0" t="n">
        <f aca="false">1.82*30*(G1236^1.5)</f>
        <v>5.17949770710736</v>
      </c>
      <c r="J1236" s="0" t="n">
        <f aca="false">I1236*60</f>
        <v>310.769862426442</v>
      </c>
      <c r="K1236" s="0" t="n">
        <f aca="false">(I1236*86400)/24</f>
        <v>18646.1917455865</v>
      </c>
    </row>
    <row r="1237" customFormat="false" ht="16.5" hidden="false" customHeight="false" outlineLevel="0" collapsed="false">
      <c r="A1237" s="56" t="n">
        <v>45886.2083333333</v>
      </c>
      <c r="B1237" s="57" t="n">
        <f aca="false">MOD(A1237,1)</f>
        <v>0.208333333343035</v>
      </c>
      <c r="C1237" s="0" t="n">
        <v>0</v>
      </c>
      <c r="D1237" s="0" t="n">
        <v>489.901</v>
      </c>
      <c r="E1237" s="0" t="n">
        <f aca="false">D1237-0.155</f>
        <v>489.746</v>
      </c>
      <c r="F1237" s="0" t="n">
        <v>489.545</v>
      </c>
      <c r="G1237" s="0" t="n">
        <f aca="false">IF(E1237 - F1237 &lt; 0, 0, E1237 - F1237)</f>
        <v>0.201000000000022</v>
      </c>
      <c r="H1237" s="0" t="n">
        <v>1.82</v>
      </c>
      <c r="I1237" s="0" t="n">
        <f aca="false">1.82*30*(G1237^1.5)</f>
        <v>4.92024500174208</v>
      </c>
      <c r="J1237" s="0" t="n">
        <f aca="false">I1237*60</f>
        <v>295.214700104525</v>
      </c>
      <c r="K1237" s="0" t="n">
        <f aca="false">(I1237*86400)/24</f>
        <v>17712.8820062715</v>
      </c>
    </row>
    <row r="1238" customFormat="false" ht="16.5" hidden="false" customHeight="false" outlineLevel="0" collapsed="false">
      <c r="A1238" s="56" t="n">
        <v>45886.25</v>
      </c>
      <c r="B1238" s="57" t="n">
        <f aca="false">MOD(A1238,1)</f>
        <v>0.25</v>
      </c>
      <c r="C1238" s="0" t="n">
        <v>0</v>
      </c>
      <c r="D1238" s="0" t="n">
        <v>489.895</v>
      </c>
      <c r="E1238" s="0" t="n">
        <f aca="false">D1238-0.155</f>
        <v>489.74</v>
      </c>
      <c r="F1238" s="0" t="n">
        <v>489.545</v>
      </c>
      <c r="G1238" s="0" t="n">
        <f aca="false">IF(E1238 - F1238 &lt; 0, 0, E1238 - F1238)</f>
        <v>0.194999999999993</v>
      </c>
      <c r="H1238" s="0" t="n">
        <v>1.82</v>
      </c>
      <c r="I1238" s="0" t="n">
        <f aca="false">1.82*30*(G1238^1.5)</f>
        <v>4.70158789718938</v>
      </c>
      <c r="J1238" s="0" t="n">
        <f aca="false">I1238*60</f>
        <v>282.095273831363</v>
      </c>
      <c r="K1238" s="0" t="n">
        <f aca="false">(I1238*86400)/24</f>
        <v>16925.7164298818</v>
      </c>
    </row>
    <row r="1239" customFormat="false" ht="16.5" hidden="false" customHeight="false" outlineLevel="0" collapsed="false">
      <c r="A1239" s="56" t="n">
        <v>45886.2916666667</v>
      </c>
      <c r="B1239" s="57" t="n">
        <f aca="false">MOD(A1239,1)</f>
        <v>0.291666666656965</v>
      </c>
      <c r="C1239" s="0" t="n">
        <v>0</v>
      </c>
      <c r="D1239" s="0" t="n">
        <v>489.889</v>
      </c>
      <c r="E1239" s="0" t="n">
        <f aca="false">D1239-0.155</f>
        <v>489.734</v>
      </c>
      <c r="F1239" s="0" t="n">
        <v>489.545</v>
      </c>
      <c r="G1239" s="0" t="n">
        <f aca="false">IF(E1239 - F1239 &lt; 0, 0, E1239 - F1239)</f>
        <v>0.189000000000021</v>
      </c>
      <c r="H1239" s="0" t="n">
        <v>1.82</v>
      </c>
      <c r="I1239" s="0" t="n">
        <f aca="false">1.82*30*(G1239^1.5)</f>
        <v>4.48626939583958</v>
      </c>
      <c r="J1239" s="0" t="n">
        <f aca="false">I1239*60</f>
        <v>269.176163750375</v>
      </c>
      <c r="K1239" s="0" t="n">
        <f aca="false">(I1239*86400)/24</f>
        <v>16150.5698250225</v>
      </c>
    </row>
    <row r="1240" customFormat="false" ht="16.5" hidden="false" customHeight="false" outlineLevel="0" collapsed="false">
      <c r="A1240" s="56" t="n">
        <v>45886.3333333333</v>
      </c>
      <c r="B1240" s="57" t="n">
        <f aca="false">MOD(A1240,1)</f>
        <v>0.333333333343035</v>
      </c>
      <c r="C1240" s="0" t="n">
        <v>0</v>
      </c>
      <c r="D1240" s="0" t="n">
        <v>489.876</v>
      </c>
      <c r="E1240" s="0" t="n">
        <f aca="false">D1240-0.155</f>
        <v>489.721</v>
      </c>
      <c r="F1240" s="0" t="n">
        <v>489.545</v>
      </c>
      <c r="G1240" s="0" t="n">
        <f aca="false">IF(E1240 - F1240 &lt; 0, 0, E1240 - F1240)</f>
        <v>0.175999999999988</v>
      </c>
      <c r="H1240" s="0" t="n">
        <v>1.82</v>
      </c>
      <c r="I1240" s="0" t="n">
        <f aca="false">1.82*30*(G1240^1.5)</f>
        <v>4.03145340294993</v>
      </c>
      <c r="J1240" s="0" t="n">
        <f aca="false">I1240*60</f>
        <v>241.887204176996</v>
      </c>
      <c r="K1240" s="0" t="n">
        <f aca="false">(I1240*86400)/24</f>
        <v>14513.2322506198</v>
      </c>
    </row>
    <row r="1241" customFormat="false" ht="16.5" hidden="false" customHeight="false" outlineLevel="0" collapsed="false">
      <c r="A1241" s="56" t="n">
        <v>45886.375</v>
      </c>
      <c r="B1241" s="57" t="n">
        <f aca="false">MOD(A1241,1)</f>
        <v>0.375</v>
      </c>
      <c r="C1241" s="0" t="n">
        <v>0</v>
      </c>
      <c r="D1241" s="0" t="n">
        <v>489.869</v>
      </c>
      <c r="E1241" s="0" t="n">
        <f aca="false">D1241-0.155</f>
        <v>489.714</v>
      </c>
      <c r="F1241" s="0" t="n">
        <v>489.545</v>
      </c>
      <c r="G1241" s="0" t="n">
        <f aca="false">IF(E1241 - F1241 &lt; 0, 0, E1241 - F1241)</f>
        <v>0.16900000000004</v>
      </c>
      <c r="H1241" s="0" t="n">
        <v>1.82</v>
      </c>
      <c r="I1241" s="0" t="n">
        <f aca="false">1.82*30*(G1241^1.5)</f>
        <v>3.79334811458823</v>
      </c>
      <c r="J1241" s="0" t="n">
        <f aca="false">I1241*60</f>
        <v>227.600886875294</v>
      </c>
      <c r="K1241" s="0" t="n">
        <f aca="false">(I1241*86400)/24</f>
        <v>13656.0532125176</v>
      </c>
    </row>
    <row r="1242" customFormat="false" ht="16.5" hidden="false" customHeight="false" outlineLevel="0" collapsed="false">
      <c r="A1242" s="56" t="n">
        <v>45886.4166666667</v>
      </c>
      <c r="B1242" s="57" t="n">
        <f aca="false">MOD(A1242,1)</f>
        <v>0.416666666656965</v>
      </c>
      <c r="C1242" s="0" t="n">
        <v>0</v>
      </c>
      <c r="D1242" s="0" t="n">
        <v>489.868</v>
      </c>
      <c r="E1242" s="0" t="n">
        <f aca="false">D1242-0.155</f>
        <v>489.713</v>
      </c>
      <c r="F1242" s="0" t="n">
        <v>489.545</v>
      </c>
      <c r="G1242" s="0" t="n">
        <f aca="false">IF(E1242 - F1242 &lt; 0, 0, E1242 - F1242)</f>
        <v>0.168000000000006</v>
      </c>
      <c r="H1242" s="0" t="n">
        <v>1.82</v>
      </c>
      <c r="I1242" s="0" t="n">
        <f aca="false">1.82*30*(G1242^1.5)</f>
        <v>3.75972919943998</v>
      </c>
      <c r="J1242" s="0" t="n">
        <f aca="false">I1242*60</f>
        <v>225.583751966399</v>
      </c>
      <c r="K1242" s="0" t="n">
        <f aca="false">(I1242*86400)/24</f>
        <v>13535.0251179839</v>
      </c>
    </row>
    <row r="1243" customFormat="false" ht="16.5" hidden="false" customHeight="false" outlineLevel="0" collapsed="false">
      <c r="A1243" s="56" t="n">
        <v>45886.4583333333</v>
      </c>
      <c r="B1243" s="57" t="n">
        <f aca="false">MOD(A1243,1)</f>
        <v>0.458333333343035</v>
      </c>
      <c r="C1243" s="0" t="n">
        <v>2.4</v>
      </c>
      <c r="D1243" s="0" t="n">
        <v>489.862</v>
      </c>
      <c r="E1243" s="0" t="n">
        <f aca="false">D1243-0.155</f>
        <v>489.707</v>
      </c>
      <c r="F1243" s="0" t="n">
        <v>489.545</v>
      </c>
      <c r="G1243" s="0" t="n">
        <f aca="false">IF(E1243 - F1243 &lt; 0, 0, E1243 - F1243)</f>
        <v>0.162000000000035</v>
      </c>
      <c r="H1243" s="0" t="n">
        <v>1.82</v>
      </c>
      <c r="I1243" s="0" t="n">
        <f aca="false">1.82*30*(G1243^1.5)</f>
        <v>3.56012432542574</v>
      </c>
      <c r="J1243" s="0" t="n">
        <f aca="false">I1243*60</f>
        <v>213.607459525545</v>
      </c>
      <c r="K1243" s="0" t="n">
        <f aca="false">(I1243*86400)/24</f>
        <v>12816.4475715327</v>
      </c>
    </row>
    <row r="1244" customFormat="false" ht="16.5" hidden="false" customHeight="false" outlineLevel="0" collapsed="false">
      <c r="A1244" s="56" t="n">
        <v>45886.5</v>
      </c>
      <c r="B1244" s="57" t="n">
        <f aca="false">MOD(A1244,1)</f>
        <v>0.5</v>
      </c>
      <c r="C1244" s="0" t="n">
        <v>0</v>
      </c>
      <c r="D1244" s="0" t="n">
        <v>489.881</v>
      </c>
      <c r="E1244" s="0" t="n">
        <f aca="false">D1244-0.155</f>
        <v>489.726</v>
      </c>
      <c r="F1244" s="0" t="n">
        <v>489.545</v>
      </c>
      <c r="G1244" s="0" t="n">
        <f aca="false">IF(E1244 - F1244 &lt; 0, 0, E1244 - F1244)</f>
        <v>0.180999999999983</v>
      </c>
      <c r="H1244" s="0" t="n">
        <v>1.82</v>
      </c>
      <c r="I1244" s="0" t="n">
        <f aca="false">1.82*30*(G1244^1.5)</f>
        <v>4.20446270997319</v>
      </c>
      <c r="J1244" s="0" t="n">
        <f aca="false">I1244*60</f>
        <v>252.267762598391</v>
      </c>
      <c r="K1244" s="0" t="n">
        <f aca="false">(I1244*86400)/24</f>
        <v>15136.0657559035</v>
      </c>
    </row>
    <row r="1245" customFormat="false" ht="16.5" hidden="false" customHeight="false" outlineLevel="0" collapsed="false">
      <c r="A1245" s="56" t="n">
        <v>45886.5416666667</v>
      </c>
      <c r="B1245" s="57" t="n">
        <f aca="false">MOD(A1245,1)</f>
        <v>0.541666666656965</v>
      </c>
      <c r="C1245" s="0" t="n">
        <v>0</v>
      </c>
      <c r="D1245" s="0" t="n">
        <v>489.894</v>
      </c>
      <c r="E1245" s="0" t="n">
        <f aca="false">D1245-0.155</f>
        <v>489.739</v>
      </c>
      <c r="F1245" s="0" t="n">
        <v>489.545</v>
      </c>
      <c r="G1245" s="0" t="n">
        <f aca="false">IF(E1245 - F1245 &lt; 0, 0, E1245 - F1245)</f>
        <v>0.194000000000017</v>
      </c>
      <c r="H1245" s="0" t="n">
        <v>1.82</v>
      </c>
      <c r="I1245" s="0" t="n">
        <f aca="false">1.82*30*(G1245^1.5)</f>
        <v>4.66546824289328</v>
      </c>
      <c r="J1245" s="0" t="n">
        <f aca="false">I1245*60</f>
        <v>279.928094573597</v>
      </c>
      <c r="K1245" s="0" t="n">
        <f aca="false">(I1245*86400)/24</f>
        <v>16795.6856744158</v>
      </c>
    </row>
    <row r="1246" customFormat="false" ht="16.5" hidden="false" customHeight="false" outlineLevel="0" collapsed="false">
      <c r="A1246" s="56" t="n">
        <v>45886.5833333333</v>
      </c>
      <c r="B1246" s="57" t="n">
        <f aca="false">MOD(A1246,1)</f>
        <v>0.583333333343035</v>
      </c>
      <c r="C1246" s="0" t="n">
        <v>0</v>
      </c>
      <c r="D1246" s="0" t="n">
        <v>489.9</v>
      </c>
      <c r="E1246" s="0" t="n">
        <f aca="false">D1246-0.155</f>
        <v>489.745</v>
      </c>
      <c r="F1246" s="0" t="n">
        <v>489.545</v>
      </c>
      <c r="G1246" s="0" t="n">
        <f aca="false">IF(E1246 - F1246 &lt; 0, 0, E1246 - F1246)</f>
        <v>0.199999999999989</v>
      </c>
      <c r="H1246" s="0" t="n">
        <v>1.82</v>
      </c>
      <c r="I1246" s="0" t="n">
        <f aca="false">1.82*30*(G1246^1.5)</f>
        <v>4.88357246285912</v>
      </c>
      <c r="J1246" s="0" t="n">
        <f aca="false">I1246*60</f>
        <v>293.014347771548</v>
      </c>
      <c r="K1246" s="0" t="n">
        <f aca="false">(I1246*86400)/24</f>
        <v>17580.8608662929</v>
      </c>
    </row>
    <row r="1247" customFormat="false" ht="16.5" hidden="false" customHeight="false" outlineLevel="0" collapsed="false">
      <c r="A1247" s="56" t="n">
        <v>45886.625</v>
      </c>
      <c r="B1247" s="57" t="n">
        <f aca="false">MOD(A1247,1)</f>
        <v>0.625</v>
      </c>
      <c r="C1247" s="0" t="n">
        <v>0</v>
      </c>
      <c r="D1247" s="0" t="n">
        <v>489.894</v>
      </c>
      <c r="E1247" s="0" t="n">
        <f aca="false">D1247-0.155</f>
        <v>489.739</v>
      </c>
      <c r="F1247" s="0" t="n">
        <v>489.545</v>
      </c>
      <c r="G1247" s="0" t="n">
        <f aca="false">IF(E1247 - F1247 &lt; 0, 0, E1247 - F1247)</f>
        <v>0.194000000000017</v>
      </c>
      <c r="H1247" s="0" t="n">
        <v>1.82</v>
      </c>
      <c r="I1247" s="0" t="n">
        <f aca="false">1.82*30*(G1247^1.5)</f>
        <v>4.66546824289328</v>
      </c>
      <c r="J1247" s="0" t="n">
        <f aca="false">I1247*60</f>
        <v>279.928094573597</v>
      </c>
      <c r="K1247" s="0" t="n">
        <f aca="false">(I1247*86400)/24</f>
        <v>16795.6856744158</v>
      </c>
    </row>
    <row r="1248" customFormat="false" ht="16.5" hidden="false" customHeight="false" outlineLevel="0" collapsed="false">
      <c r="A1248" s="56" t="n">
        <v>45886.6666666667</v>
      </c>
      <c r="B1248" s="57" t="n">
        <f aca="false">MOD(A1248,1)</f>
        <v>0.666666666656965</v>
      </c>
      <c r="C1248" s="0" t="n">
        <v>2.2</v>
      </c>
      <c r="D1248" s="0" t="n">
        <v>489.894</v>
      </c>
      <c r="E1248" s="0" t="n">
        <f aca="false">D1248-0.155</f>
        <v>489.739</v>
      </c>
      <c r="F1248" s="0" t="n">
        <v>489.545</v>
      </c>
      <c r="G1248" s="0" t="n">
        <f aca="false">IF(E1248 - F1248 &lt; 0, 0, E1248 - F1248)</f>
        <v>0.194000000000017</v>
      </c>
      <c r="H1248" s="0" t="n">
        <v>1.82</v>
      </c>
      <c r="I1248" s="0" t="n">
        <f aca="false">1.82*30*(G1248^1.5)</f>
        <v>4.66546824289328</v>
      </c>
      <c r="J1248" s="0" t="n">
        <f aca="false">I1248*60</f>
        <v>279.928094573597</v>
      </c>
      <c r="K1248" s="0" t="n">
        <f aca="false">(I1248*86400)/24</f>
        <v>16795.6856744158</v>
      </c>
    </row>
    <row r="1249" customFormat="false" ht="16.5" hidden="false" customHeight="false" outlineLevel="0" collapsed="false">
      <c r="A1249" s="56" t="n">
        <v>45886.7083333333</v>
      </c>
      <c r="B1249" s="57" t="n">
        <f aca="false">MOD(A1249,1)</f>
        <v>0.708333333343035</v>
      </c>
      <c r="C1249" s="0" t="n">
        <v>0</v>
      </c>
      <c r="D1249" s="0" t="n">
        <v>489.894</v>
      </c>
      <c r="E1249" s="0" t="n">
        <f aca="false">D1249-0.155</f>
        <v>489.739</v>
      </c>
      <c r="F1249" s="0" t="n">
        <v>489.545</v>
      </c>
      <c r="G1249" s="0" t="n">
        <f aca="false">IF(E1249 - F1249 &lt; 0, 0, E1249 - F1249)</f>
        <v>0.194000000000017</v>
      </c>
      <c r="H1249" s="0" t="n">
        <v>1.82</v>
      </c>
      <c r="I1249" s="0" t="n">
        <f aca="false">1.82*30*(G1249^1.5)</f>
        <v>4.66546824289328</v>
      </c>
      <c r="J1249" s="0" t="n">
        <f aca="false">I1249*60</f>
        <v>279.928094573597</v>
      </c>
      <c r="K1249" s="0" t="n">
        <f aca="false">(I1249*86400)/24</f>
        <v>16795.6856744158</v>
      </c>
    </row>
    <row r="1250" customFormat="false" ht="16.5" hidden="false" customHeight="false" outlineLevel="0" collapsed="false">
      <c r="A1250" s="56" t="n">
        <v>45886.75</v>
      </c>
      <c r="B1250" s="57" t="n">
        <f aca="false">MOD(A1250,1)</f>
        <v>0.75</v>
      </c>
      <c r="C1250" s="0" t="n">
        <v>0</v>
      </c>
      <c r="D1250" s="0" t="n">
        <v>489.895</v>
      </c>
      <c r="E1250" s="0" t="n">
        <f aca="false">D1250-0.155</f>
        <v>489.74</v>
      </c>
      <c r="F1250" s="0" t="n">
        <v>489.545</v>
      </c>
      <c r="G1250" s="0" t="n">
        <f aca="false">IF(E1250 - F1250 &lt; 0, 0, E1250 - F1250)</f>
        <v>0.194999999999993</v>
      </c>
      <c r="H1250" s="0" t="n">
        <v>1.82</v>
      </c>
      <c r="I1250" s="0" t="n">
        <f aca="false">1.82*30*(G1250^1.5)</f>
        <v>4.70158789718938</v>
      </c>
      <c r="J1250" s="0" t="n">
        <f aca="false">I1250*60</f>
        <v>282.095273831363</v>
      </c>
      <c r="K1250" s="0" t="n">
        <f aca="false">(I1250*86400)/24</f>
        <v>16925.7164298818</v>
      </c>
    </row>
    <row r="1251" customFormat="false" ht="16.5" hidden="false" customHeight="false" outlineLevel="0" collapsed="false">
      <c r="A1251" s="56" t="n">
        <v>45886.7916666667</v>
      </c>
      <c r="B1251" s="57" t="n">
        <f aca="false">MOD(A1251,1)</f>
        <v>0.791666666656965</v>
      </c>
      <c r="C1251" s="0" t="n">
        <v>0</v>
      </c>
      <c r="D1251" s="0" t="n">
        <v>489.889</v>
      </c>
      <c r="E1251" s="0" t="n">
        <f aca="false">D1251-0.155</f>
        <v>489.734</v>
      </c>
      <c r="F1251" s="0" t="n">
        <v>489.545</v>
      </c>
      <c r="G1251" s="0" t="n">
        <f aca="false">IF(E1251 - F1251 &lt; 0, 0, E1251 - F1251)</f>
        <v>0.189000000000021</v>
      </c>
      <c r="H1251" s="0" t="n">
        <v>1.82</v>
      </c>
      <c r="I1251" s="0" t="n">
        <f aca="false">1.82*30*(G1251^1.5)</f>
        <v>4.48626939583958</v>
      </c>
      <c r="J1251" s="0" t="n">
        <f aca="false">I1251*60</f>
        <v>269.176163750375</v>
      </c>
      <c r="K1251" s="0" t="n">
        <f aca="false">(I1251*86400)/24</f>
        <v>16150.5698250225</v>
      </c>
    </row>
    <row r="1252" customFormat="false" ht="16.5" hidden="false" customHeight="false" outlineLevel="0" collapsed="false">
      <c r="A1252" s="56" t="n">
        <v>45886.8333333333</v>
      </c>
      <c r="B1252" s="57" t="n">
        <f aca="false">MOD(A1252,1)</f>
        <v>0.833333333343035</v>
      </c>
      <c r="C1252" s="0" t="n">
        <v>0</v>
      </c>
      <c r="D1252" s="0" t="n">
        <v>489.888</v>
      </c>
      <c r="E1252" s="0" t="n">
        <f aca="false">D1252-0.155</f>
        <v>489.733</v>
      </c>
      <c r="F1252" s="0" t="n">
        <v>489.545</v>
      </c>
      <c r="G1252" s="0" t="n">
        <f aca="false">IF(E1252 - F1252 &lt; 0, 0, E1252 - F1252)</f>
        <v>0.187999999999988</v>
      </c>
      <c r="H1252" s="0" t="n">
        <v>1.82</v>
      </c>
      <c r="I1252" s="0" t="n">
        <f aca="false">1.82*30*(G1252^1.5)</f>
        <v>4.45071122176178</v>
      </c>
      <c r="J1252" s="0" t="n">
        <f aca="false">I1252*60</f>
        <v>267.042673305707</v>
      </c>
      <c r="K1252" s="0" t="n">
        <f aca="false">(I1252*86400)/24</f>
        <v>16022.5603983424</v>
      </c>
    </row>
    <row r="1253" customFormat="false" ht="16.5" hidden="false" customHeight="false" outlineLevel="0" collapsed="false">
      <c r="A1253" s="56" t="n">
        <v>45886.875</v>
      </c>
      <c r="B1253" s="57" t="n">
        <f aca="false">MOD(A1253,1)</f>
        <v>0.875</v>
      </c>
      <c r="C1253" s="0" t="n">
        <v>0</v>
      </c>
      <c r="D1253" s="0" t="n">
        <v>489.881</v>
      </c>
      <c r="E1253" s="0" t="n">
        <f aca="false">D1253-0.155</f>
        <v>489.726</v>
      </c>
      <c r="F1253" s="0" t="n">
        <v>489.545</v>
      </c>
      <c r="G1253" s="0" t="n">
        <f aca="false">IF(E1253 - F1253 &lt; 0, 0, E1253 - F1253)</f>
        <v>0.180999999999983</v>
      </c>
      <c r="H1253" s="0" t="n">
        <v>1.82</v>
      </c>
      <c r="I1253" s="0" t="n">
        <f aca="false">1.82*30*(G1253^1.5)</f>
        <v>4.20446270997319</v>
      </c>
      <c r="J1253" s="0" t="n">
        <f aca="false">I1253*60</f>
        <v>252.267762598391</v>
      </c>
      <c r="K1253" s="0" t="n">
        <f aca="false">(I1253*86400)/24</f>
        <v>15136.0657559035</v>
      </c>
    </row>
    <row r="1254" customFormat="false" ht="16.5" hidden="false" customHeight="false" outlineLevel="0" collapsed="false">
      <c r="A1254" s="56" t="n">
        <v>45886.9166666667</v>
      </c>
      <c r="B1254" s="57" t="n">
        <f aca="false">MOD(A1254,1)</f>
        <v>0.916666666656965</v>
      </c>
      <c r="C1254" s="0" t="n">
        <v>0</v>
      </c>
      <c r="D1254" s="0" t="n">
        <v>489.876</v>
      </c>
      <c r="E1254" s="0" t="n">
        <f aca="false">D1254-0.155</f>
        <v>489.721</v>
      </c>
      <c r="F1254" s="0" t="n">
        <v>489.545</v>
      </c>
      <c r="G1254" s="0" t="n">
        <f aca="false">IF(E1254 - F1254 &lt; 0, 0, E1254 - F1254)</f>
        <v>0.175999999999988</v>
      </c>
      <c r="H1254" s="0" t="n">
        <v>1.82</v>
      </c>
      <c r="I1254" s="0" t="n">
        <f aca="false">1.82*30*(G1254^1.5)</f>
        <v>4.03145340294993</v>
      </c>
      <c r="J1254" s="0" t="n">
        <f aca="false">I1254*60</f>
        <v>241.887204176996</v>
      </c>
      <c r="K1254" s="0" t="n">
        <f aca="false">(I1254*86400)/24</f>
        <v>14513.2322506198</v>
      </c>
    </row>
    <row r="1255" customFormat="false" ht="16.5" hidden="false" customHeight="false" outlineLevel="0" collapsed="false">
      <c r="A1255" s="56" t="n">
        <v>45886.9583333333</v>
      </c>
      <c r="B1255" s="57" t="n">
        <f aca="false">MOD(A1255,1)</f>
        <v>0.958333333343035</v>
      </c>
      <c r="C1255" s="0" t="n">
        <v>0</v>
      </c>
      <c r="D1255" s="0" t="n">
        <v>489.875</v>
      </c>
      <c r="E1255" s="0" t="n">
        <f aca="false">D1255-0.155</f>
        <v>489.72</v>
      </c>
      <c r="F1255" s="0" t="n">
        <v>489.545</v>
      </c>
      <c r="G1255" s="0" t="n">
        <f aca="false">IF(E1255 - F1255 &lt; 0, 0, E1255 - F1255)</f>
        <v>0.175000000000011</v>
      </c>
      <c r="H1255" s="0" t="n">
        <v>1.82</v>
      </c>
      <c r="I1255" s="0" t="n">
        <f aca="false">1.82*30*(G1255^1.5)</f>
        <v>3.99714327676694</v>
      </c>
      <c r="J1255" s="0" t="n">
        <f aca="false">I1255*60</f>
        <v>239.828596606016</v>
      </c>
      <c r="K1255" s="0" t="n">
        <f aca="false">(I1255*86400)/24</f>
        <v>14389.715796361</v>
      </c>
    </row>
    <row r="1256" customFormat="false" ht="16.5" hidden="false" customHeight="false" outlineLevel="0" collapsed="false">
      <c r="A1256" s="56" t="n">
        <v>45887</v>
      </c>
      <c r="B1256" s="57" t="n">
        <f aca="false">MOD(A1256,1)</f>
        <v>0</v>
      </c>
      <c r="C1256" s="0" t="n">
        <v>0</v>
      </c>
      <c r="D1256" s="0" t="n">
        <v>489.869</v>
      </c>
      <c r="E1256" s="0" t="n">
        <f aca="false">D1256-0.155</f>
        <v>489.714</v>
      </c>
      <c r="F1256" s="0" t="n">
        <v>489.545</v>
      </c>
      <c r="G1256" s="0" t="n">
        <f aca="false">IF(E1256 - F1256 &lt; 0, 0, E1256 - F1256)</f>
        <v>0.16900000000004</v>
      </c>
      <c r="H1256" s="0" t="n">
        <v>1.82</v>
      </c>
      <c r="I1256" s="0" t="n">
        <f aca="false">1.82*30*(G1256^1.5)</f>
        <v>3.79334811458823</v>
      </c>
      <c r="J1256" s="0" t="n">
        <f aca="false">I1256*60</f>
        <v>227.600886875294</v>
      </c>
      <c r="K1256" s="0" t="n">
        <f aca="false">(I1256*86400)/24</f>
        <v>13656.0532125176</v>
      </c>
    </row>
    <row r="1257" customFormat="false" ht="16.5" hidden="false" customHeight="false" outlineLevel="0" collapsed="false">
      <c r="A1257" s="56" t="n">
        <v>45887.0416666667</v>
      </c>
      <c r="B1257" s="57" t="n">
        <f aca="false">MOD(A1257,1)</f>
        <v>0.0416666666569654</v>
      </c>
      <c r="C1257" s="0" t="n">
        <v>0</v>
      </c>
      <c r="D1257" s="0" t="n">
        <v>489.862</v>
      </c>
      <c r="E1257" s="0" t="n">
        <f aca="false">D1257-0.155</f>
        <v>489.707</v>
      </c>
      <c r="F1257" s="0" t="n">
        <v>489.545</v>
      </c>
      <c r="G1257" s="0" t="n">
        <f aca="false">IF(E1257 - F1257 &lt; 0, 0, E1257 - F1257)</f>
        <v>0.162000000000035</v>
      </c>
      <c r="H1257" s="0" t="n">
        <v>1.82</v>
      </c>
      <c r="I1257" s="0" t="n">
        <f aca="false">1.82*30*(G1257^1.5)</f>
        <v>3.56012432542574</v>
      </c>
      <c r="J1257" s="0" t="n">
        <f aca="false">I1257*60</f>
        <v>213.607459525545</v>
      </c>
      <c r="K1257" s="0" t="n">
        <f aca="false">(I1257*86400)/24</f>
        <v>12816.4475715327</v>
      </c>
    </row>
    <row r="1258" customFormat="false" ht="16.5" hidden="false" customHeight="false" outlineLevel="0" collapsed="false">
      <c r="A1258" s="56" t="n">
        <v>45887.0833333333</v>
      </c>
      <c r="B1258" s="57" t="n">
        <f aca="false">MOD(A1258,1)</f>
        <v>0.0833333333430346</v>
      </c>
      <c r="C1258" s="0" t="n">
        <v>0</v>
      </c>
      <c r="D1258" s="0" t="n">
        <v>489.862</v>
      </c>
      <c r="E1258" s="0" t="n">
        <f aca="false">D1258-0.155</f>
        <v>489.707</v>
      </c>
      <c r="F1258" s="0" t="n">
        <v>489.545</v>
      </c>
      <c r="G1258" s="0" t="n">
        <f aca="false">IF(E1258 - F1258 &lt; 0, 0, E1258 - F1258)</f>
        <v>0.162000000000035</v>
      </c>
      <c r="H1258" s="0" t="n">
        <v>1.82</v>
      </c>
      <c r="I1258" s="0" t="n">
        <f aca="false">1.82*30*(G1258^1.5)</f>
        <v>3.56012432542574</v>
      </c>
      <c r="J1258" s="0" t="n">
        <f aca="false">I1258*60</f>
        <v>213.607459525545</v>
      </c>
      <c r="K1258" s="0" t="n">
        <f aca="false">(I1258*86400)/24</f>
        <v>12816.4475715327</v>
      </c>
    </row>
    <row r="1259" customFormat="false" ht="16.5" hidden="false" customHeight="false" outlineLevel="0" collapsed="false">
      <c r="A1259" s="56" t="n">
        <v>45887.125</v>
      </c>
      <c r="B1259" s="57" t="n">
        <f aca="false">MOD(A1259,1)</f>
        <v>0.125</v>
      </c>
      <c r="C1259" s="0" t="n">
        <v>0</v>
      </c>
      <c r="D1259" s="0" t="n">
        <v>489.855</v>
      </c>
      <c r="E1259" s="0" t="n">
        <f aca="false">D1259-0.155</f>
        <v>489.7</v>
      </c>
      <c r="F1259" s="0" t="n">
        <v>489.545</v>
      </c>
      <c r="G1259" s="0" t="n">
        <f aca="false">IF(E1259 - F1259 &lt; 0, 0, E1259 - F1259)</f>
        <v>0.15500000000003</v>
      </c>
      <c r="H1259" s="0" t="n">
        <v>1.82</v>
      </c>
      <c r="I1259" s="0" t="n">
        <f aca="false">1.82*30*(G1259^1.5)</f>
        <v>3.33188643188905</v>
      </c>
      <c r="J1259" s="0" t="n">
        <f aca="false">I1259*60</f>
        <v>199.913185913343</v>
      </c>
      <c r="K1259" s="0" t="n">
        <f aca="false">(I1259*86400)/24</f>
        <v>11994.7911548006</v>
      </c>
    </row>
    <row r="1260" customFormat="false" ht="16.5" hidden="false" customHeight="false" outlineLevel="0" collapsed="false">
      <c r="A1260" s="56" t="n">
        <v>45887.1666666667</v>
      </c>
      <c r="B1260" s="57" t="n">
        <f aca="false">MOD(A1260,1)</f>
        <v>0.166666666656965</v>
      </c>
      <c r="C1260" s="0" t="n">
        <v>0</v>
      </c>
      <c r="D1260" s="0" t="n">
        <v>489.855</v>
      </c>
      <c r="E1260" s="0" t="n">
        <f aca="false">D1260-0.155</f>
        <v>489.7</v>
      </c>
      <c r="F1260" s="0" t="n">
        <v>489.545</v>
      </c>
      <c r="G1260" s="0" t="n">
        <f aca="false">IF(E1260 - F1260 &lt; 0, 0, E1260 - F1260)</f>
        <v>0.15500000000003</v>
      </c>
      <c r="H1260" s="0" t="n">
        <v>1.82</v>
      </c>
      <c r="I1260" s="0" t="n">
        <f aca="false">1.82*30*(G1260^1.5)</f>
        <v>3.33188643188905</v>
      </c>
      <c r="J1260" s="0" t="n">
        <f aca="false">I1260*60</f>
        <v>199.913185913343</v>
      </c>
      <c r="K1260" s="0" t="n">
        <f aca="false">(I1260*86400)/24</f>
        <v>11994.7911548006</v>
      </c>
    </row>
    <row r="1261" customFormat="false" ht="16.5" hidden="false" customHeight="false" outlineLevel="0" collapsed="false">
      <c r="A1261" s="56" t="n">
        <v>45887.2083333333</v>
      </c>
      <c r="B1261" s="57" t="n">
        <f aca="false">MOD(A1261,1)</f>
        <v>0.208333333343035</v>
      </c>
      <c r="C1261" s="0" t="n">
        <v>0</v>
      </c>
      <c r="D1261" s="0" t="n">
        <v>489.848</v>
      </c>
      <c r="E1261" s="0" t="n">
        <f aca="false">D1261-0.155</f>
        <v>489.693</v>
      </c>
      <c r="F1261" s="0" t="n">
        <v>489.545</v>
      </c>
      <c r="G1261" s="0" t="n">
        <f aca="false">IF(E1261 - F1261 &lt; 0, 0, E1261 - F1261)</f>
        <v>0.148000000000025</v>
      </c>
      <c r="H1261" s="0" t="n">
        <v>1.82</v>
      </c>
      <c r="I1261" s="0" t="n">
        <f aca="false">1.82*30*(G1261^1.5)</f>
        <v>3.10874583051185</v>
      </c>
      <c r="J1261" s="0" t="n">
        <f aca="false">I1261*60</f>
        <v>186.524749830711</v>
      </c>
      <c r="K1261" s="0" t="n">
        <f aca="false">(I1261*86400)/24</f>
        <v>11191.4849898427</v>
      </c>
    </row>
    <row r="1262" customFormat="false" ht="16.5" hidden="false" customHeight="false" outlineLevel="0" collapsed="false">
      <c r="A1262" s="56" t="n">
        <v>45887.25</v>
      </c>
      <c r="B1262" s="57" t="n">
        <f aca="false">MOD(A1262,1)</f>
        <v>0.25</v>
      </c>
      <c r="C1262" s="0" t="n">
        <v>0</v>
      </c>
      <c r="D1262" s="0" t="n">
        <v>489.842</v>
      </c>
      <c r="E1262" s="0" t="n">
        <f aca="false">D1262-0.155</f>
        <v>489.687</v>
      </c>
      <c r="F1262" s="0" t="n">
        <v>489.545</v>
      </c>
      <c r="G1262" s="0" t="n">
        <f aca="false">IF(E1262 - F1262 &lt; 0, 0, E1262 - F1262)</f>
        <v>0.141999999999996</v>
      </c>
      <c r="H1262" s="0" t="n">
        <v>1.82</v>
      </c>
      <c r="I1262" s="0" t="n">
        <f aca="false">1.82*30*(G1262^1.5)</f>
        <v>2.92162962301508</v>
      </c>
      <c r="J1262" s="0" t="n">
        <f aca="false">I1262*60</f>
        <v>175.297777380905</v>
      </c>
      <c r="K1262" s="0" t="n">
        <f aca="false">(I1262*86400)/24</f>
        <v>10517.8666428543</v>
      </c>
    </row>
    <row r="1263" customFormat="false" ht="16.5" hidden="false" customHeight="false" outlineLevel="0" collapsed="false">
      <c r="A1263" s="56" t="n">
        <v>45887.2916666667</v>
      </c>
      <c r="B1263" s="57" t="n">
        <f aca="false">MOD(A1263,1)</f>
        <v>0.291666666656965</v>
      </c>
      <c r="C1263" s="0" t="n">
        <v>0</v>
      </c>
      <c r="D1263" s="0" t="n">
        <v>489.835</v>
      </c>
      <c r="E1263" s="0" t="n">
        <f aca="false">D1263-0.155</f>
        <v>489.68</v>
      </c>
      <c r="F1263" s="0" t="n">
        <v>489.545</v>
      </c>
      <c r="G1263" s="0" t="n">
        <f aca="false">IF(E1263 - F1263 &lt; 0, 0, E1263 - F1263)</f>
        <v>0.134999999999991</v>
      </c>
      <c r="H1263" s="0" t="n">
        <v>1.82</v>
      </c>
      <c r="I1263" s="0" t="n">
        <f aca="false">1.82*30*(G1263^1.5)</f>
        <v>2.70827833410795</v>
      </c>
      <c r="J1263" s="0" t="n">
        <f aca="false">I1263*60</f>
        <v>162.496700046477</v>
      </c>
      <c r="K1263" s="0" t="n">
        <f aca="false">(I1263*86400)/24</f>
        <v>9749.80200278861</v>
      </c>
    </row>
    <row r="1264" customFormat="false" ht="16.5" hidden="false" customHeight="false" outlineLevel="0" collapsed="false">
      <c r="A1264" s="56" t="n">
        <v>45887.3333333333</v>
      </c>
      <c r="B1264" s="57" t="n">
        <f aca="false">MOD(A1264,1)</f>
        <v>0.333333333343035</v>
      </c>
      <c r="C1264" s="0" t="n">
        <v>0</v>
      </c>
      <c r="D1264" s="0" t="n">
        <v>489.835</v>
      </c>
      <c r="E1264" s="0" t="n">
        <f aca="false">D1264-0.155</f>
        <v>489.68</v>
      </c>
      <c r="F1264" s="0" t="n">
        <v>489.545</v>
      </c>
      <c r="G1264" s="0" t="n">
        <f aca="false">IF(E1264 - F1264 &lt; 0, 0, E1264 - F1264)</f>
        <v>0.134999999999991</v>
      </c>
      <c r="H1264" s="0" t="n">
        <v>1.82</v>
      </c>
      <c r="I1264" s="0" t="n">
        <f aca="false">1.82*30*(G1264^1.5)</f>
        <v>2.70827833410795</v>
      </c>
      <c r="J1264" s="0" t="n">
        <f aca="false">I1264*60</f>
        <v>162.496700046477</v>
      </c>
      <c r="K1264" s="0" t="n">
        <f aca="false">(I1264*86400)/24</f>
        <v>9749.80200278861</v>
      </c>
    </row>
    <row r="1265" customFormat="false" ht="16.5" hidden="false" customHeight="false" outlineLevel="0" collapsed="false">
      <c r="A1265" s="56" t="n">
        <v>45887.375</v>
      </c>
      <c r="B1265" s="57" t="n">
        <f aca="false">MOD(A1265,1)</f>
        <v>0.375</v>
      </c>
      <c r="C1265" s="0" t="n">
        <v>0</v>
      </c>
      <c r="D1265" s="0" t="n">
        <v>489.829</v>
      </c>
      <c r="E1265" s="0" t="n">
        <f aca="false">D1265-0.155</f>
        <v>489.674</v>
      </c>
      <c r="F1265" s="0" t="n">
        <v>489.545</v>
      </c>
      <c r="G1265" s="0" t="n">
        <f aca="false">IF(E1265 - F1265 &lt; 0, 0, E1265 - F1265)</f>
        <v>0.129000000000019</v>
      </c>
      <c r="H1265" s="0" t="n">
        <v>1.82</v>
      </c>
      <c r="I1265" s="0" t="n">
        <f aca="false">1.82*30*(G1265^1.5)</f>
        <v>2.52974769082666</v>
      </c>
      <c r="J1265" s="0" t="n">
        <f aca="false">I1265*60</f>
        <v>151.7848614496</v>
      </c>
      <c r="K1265" s="0" t="n">
        <f aca="false">(I1265*86400)/24</f>
        <v>9107.09168697599</v>
      </c>
    </row>
    <row r="1266" customFormat="false" ht="16.5" hidden="false" customHeight="false" outlineLevel="0" collapsed="false">
      <c r="A1266" s="56" t="n">
        <v>45887.4166666667</v>
      </c>
      <c r="B1266" s="57" t="n">
        <f aca="false">MOD(A1266,1)</f>
        <v>0.416666666656965</v>
      </c>
      <c r="C1266" s="0" t="n">
        <v>0</v>
      </c>
      <c r="D1266" s="0" t="n">
        <v>489.829</v>
      </c>
      <c r="E1266" s="0" t="n">
        <f aca="false">D1266-0.155</f>
        <v>489.674</v>
      </c>
      <c r="F1266" s="0" t="n">
        <v>489.545</v>
      </c>
      <c r="G1266" s="0" t="n">
        <f aca="false">IF(E1266 - F1266 &lt; 0, 0, E1266 - F1266)</f>
        <v>0.129000000000019</v>
      </c>
      <c r="H1266" s="0" t="n">
        <v>1.82</v>
      </c>
      <c r="I1266" s="0" t="n">
        <f aca="false">1.82*30*(G1266^1.5)</f>
        <v>2.52974769082666</v>
      </c>
      <c r="J1266" s="0" t="n">
        <f aca="false">I1266*60</f>
        <v>151.7848614496</v>
      </c>
      <c r="K1266" s="0" t="n">
        <f aca="false">(I1266*86400)/24</f>
        <v>9107.09168697599</v>
      </c>
    </row>
    <row r="1267" customFormat="false" ht="16.5" hidden="false" customHeight="false" outlineLevel="0" collapsed="false">
      <c r="A1267" s="56" t="n">
        <v>45887.4583333333</v>
      </c>
      <c r="B1267" s="57" t="n">
        <f aca="false">MOD(A1267,1)</f>
        <v>0.458333333343035</v>
      </c>
      <c r="C1267" s="0" t="n">
        <v>0</v>
      </c>
      <c r="D1267" s="0" t="n">
        <v>489.828</v>
      </c>
      <c r="E1267" s="0" t="n">
        <f aca="false">D1267-0.155</f>
        <v>489.673</v>
      </c>
      <c r="F1267" s="0" t="n">
        <v>489.545</v>
      </c>
      <c r="G1267" s="0" t="n">
        <f aca="false">IF(E1267 - F1267 &lt; 0, 0, E1267 - F1267)</f>
        <v>0.127999999999986</v>
      </c>
      <c r="H1267" s="0" t="n">
        <v>1.82</v>
      </c>
      <c r="I1267" s="0" t="n">
        <f aca="false">1.82*30*(G1267^1.5)</f>
        <v>2.50038910098367</v>
      </c>
      <c r="J1267" s="0" t="n">
        <f aca="false">I1267*60</f>
        <v>150.02334605902</v>
      </c>
      <c r="K1267" s="0" t="n">
        <f aca="false">(I1267*86400)/24</f>
        <v>9001.40076354122</v>
      </c>
    </row>
    <row r="1268" customFormat="false" ht="16.5" hidden="false" customHeight="false" outlineLevel="0" collapsed="false">
      <c r="A1268" s="56" t="n">
        <v>45887.5</v>
      </c>
      <c r="B1268" s="57" t="n">
        <f aca="false">MOD(A1268,1)</f>
        <v>0.5</v>
      </c>
      <c r="C1268" s="0" t="n">
        <v>0</v>
      </c>
      <c r="D1268" s="0" t="n">
        <v>489.822</v>
      </c>
      <c r="E1268" s="0" t="n">
        <f aca="false">D1268-0.155</f>
        <v>489.667</v>
      </c>
      <c r="F1268" s="0" t="n">
        <v>489.545</v>
      </c>
      <c r="G1268" s="0" t="n">
        <f aca="false">IF(E1268 - F1268 &lt; 0, 0, E1268 - F1268)</f>
        <v>0.122000000000014</v>
      </c>
      <c r="H1268" s="0" t="n">
        <v>1.82</v>
      </c>
      <c r="I1268" s="0" t="n">
        <f aca="false">1.82*30*(G1268^1.5)</f>
        <v>2.32665713496464</v>
      </c>
      <c r="J1268" s="0" t="n">
        <f aca="false">I1268*60</f>
        <v>139.599428097879</v>
      </c>
      <c r="K1268" s="0" t="n">
        <f aca="false">(I1268*86400)/24</f>
        <v>8375.96568587271</v>
      </c>
    </row>
    <row r="1269" customFormat="false" ht="16.5" hidden="false" customHeight="false" outlineLevel="0" collapsed="false">
      <c r="A1269" s="56" t="n">
        <v>45887.5416666667</v>
      </c>
      <c r="B1269" s="57" t="n">
        <f aca="false">MOD(A1269,1)</f>
        <v>0.541666666656965</v>
      </c>
      <c r="C1269" s="0" t="n">
        <v>0</v>
      </c>
      <c r="D1269" s="0" t="n">
        <v>489.816</v>
      </c>
      <c r="E1269" s="0" t="n">
        <f aca="false">D1269-0.155</f>
        <v>489.661</v>
      </c>
      <c r="F1269" s="0" t="n">
        <v>489.545</v>
      </c>
      <c r="G1269" s="0" t="n">
        <f aca="false">IF(E1269 - F1269 &lt; 0, 0, E1269 - F1269)</f>
        <v>0.115999999999985</v>
      </c>
      <c r="H1269" s="0" t="n">
        <v>1.82</v>
      </c>
      <c r="I1269" s="0" t="n">
        <f aca="false">1.82*30*(G1269^1.5)</f>
        <v>2.15714642974422</v>
      </c>
      <c r="J1269" s="0" t="n">
        <f aca="false">I1269*60</f>
        <v>129.428785784653</v>
      </c>
      <c r="K1269" s="0" t="n">
        <f aca="false">(I1269*86400)/24</f>
        <v>7765.7271470792</v>
      </c>
    </row>
    <row r="1270" customFormat="false" ht="16.5" hidden="false" customHeight="false" outlineLevel="0" collapsed="false">
      <c r="A1270" s="56" t="n">
        <v>45887.5833333333</v>
      </c>
      <c r="B1270" s="57" t="n">
        <f aca="false">MOD(A1270,1)</f>
        <v>0.583333333343035</v>
      </c>
      <c r="C1270" s="0" t="n">
        <v>0</v>
      </c>
      <c r="D1270" s="0" t="n">
        <v>489.816</v>
      </c>
      <c r="E1270" s="0" t="n">
        <f aca="false">D1270-0.155</f>
        <v>489.661</v>
      </c>
      <c r="F1270" s="0" t="n">
        <v>489.545</v>
      </c>
      <c r="G1270" s="0" t="n">
        <f aca="false">IF(E1270 - F1270 &lt; 0, 0, E1270 - F1270)</f>
        <v>0.115999999999985</v>
      </c>
      <c r="H1270" s="0" t="n">
        <v>1.82</v>
      </c>
      <c r="I1270" s="0" t="n">
        <f aca="false">1.82*30*(G1270^1.5)</f>
        <v>2.15714642974422</v>
      </c>
      <c r="J1270" s="0" t="n">
        <f aca="false">I1270*60</f>
        <v>129.428785784653</v>
      </c>
      <c r="K1270" s="0" t="n">
        <f aca="false">(I1270*86400)/24</f>
        <v>7765.7271470792</v>
      </c>
    </row>
    <row r="1271" customFormat="false" ht="16.5" hidden="false" customHeight="false" outlineLevel="0" collapsed="false">
      <c r="A1271" s="56" t="n">
        <v>45887.625</v>
      </c>
      <c r="B1271" s="57" t="n">
        <f aca="false">MOD(A1271,1)</f>
        <v>0.625</v>
      </c>
      <c r="C1271" s="0" t="n">
        <v>0</v>
      </c>
      <c r="D1271" s="0" t="n">
        <v>489.81</v>
      </c>
      <c r="E1271" s="0" t="n">
        <f aca="false">D1271-0.155</f>
        <v>489.655</v>
      </c>
      <c r="F1271" s="0" t="n">
        <v>489.545</v>
      </c>
      <c r="G1271" s="0" t="n">
        <f aca="false">IF(E1271 - F1271 &lt; 0, 0, E1271 - F1271)</f>
        <v>0.110000000000014</v>
      </c>
      <c r="H1271" s="0" t="n">
        <v>1.82</v>
      </c>
      <c r="I1271" s="0" t="n">
        <f aca="false">1.82*30*(G1271^1.5)</f>
        <v>1.99196484908782</v>
      </c>
      <c r="J1271" s="0" t="n">
        <f aca="false">I1271*60</f>
        <v>119.517890945269</v>
      </c>
      <c r="K1271" s="0" t="n">
        <f aca="false">(I1271*86400)/24</f>
        <v>7171.07345671617</v>
      </c>
    </row>
    <row r="1272" customFormat="false" ht="16.5" hidden="false" customHeight="false" outlineLevel="0" collapsed="false">
      <c r="A1272" s="56" t="n">
        <v>45887.6666666667</v>
      </c>
      <c r="B1272" s="57" t="n">
        <f aca="false">MOD(A1272,1)</f>
        <v>0.666666666656965</v>
      </c>
      <c r="C1272" s="0" t="n">
        <v>0</v>
      </c>
      <c r="D1272" s="0" t="n">
        <v>489.81</v>
      </c>
      <c r="E1272" s="0" t="n">
        <f aca="false">D1272-0.155</f>
        <v>489.655</v>
      </c>
      <c r="F1272" s="0" t="n">
        <v>489.545</v>
      </c>
      <c r="G1272" s="0" t="n">
        <f aca="false">IF(E1272 - F1272 &lt; 0, 0, E1272 - F1272)</f>
        <v>0.110000000000014</v>
      </c>
      <c r="H1272" s="0" t="n">
        <v>1.82</v>
      </c>
      <c r="I1272" s="0" t="n">
        <f aca="false">1.82*30*(G1272^1.5)</f>
        <v>1.99196484908782</v>
      </c>
      <c r="J1272" s="0" t="n">
        <f aca="false">I1272*60</f>
        <v>119.517890945269</v>
      </c>
      <c r="K1272" s="0" t="n">
        <f aca="false">(I1272*86400)/24</f>
        <v>7171.07345671617</v>
      </c>
    </row>
    <row r="1273" customFormat="false" ht="16.5" hidden="false" customHeight="false" outlineLevel="0" collapsed="false">
      <c r="A1273" s="56" t="n">
        <v>45887.7083333333</v>
      </c>
      <c r="B1273" s="57" t="n">
        <f aca="false">MOD(A1273,1)</f>
        <v>0.708333333343035</v>
      </c>
      <c r="C1273" s="0" t="n">
        <v>0</v>
      </c>
      <c r="D1273" s="0" t="n">
        <v>489.81</v>
      </c>
      <c r="E1273" s="0" t="n">
        <f aca="false">D1273-0.155</f>
        <v>489.655</v>
      </c>
      <c r="F1273" s="0" t="n">
        <v>489.545</v>
      </c>
      <c r="G1273" s="0" t="n">
        <f aca="false">IF(E1273 - F1273 &lt; 0, 0, E1273 - F1273)</f>
        <v>0.110000000000014</v>
      </c>
      <c r="H1273" s="0" t="n">
        <v>1.82</v>
      </c>
      <c r="I1273" s="0" t="n">
        <f aca="false">1.82*30*(G1273^1.5)</f>
        <v>1.99196484908782</v>
      </c>
      <c r="J1273" s="0" t="n">
        <f aca="false">I1273*60</f>
        <v>119.517890945269</v>
      </c>
      <c r="K1273" s="0" t="n">
        <f aca="false">(I1273*86400)/24</f>
        <v>7171.07345671617</v>
      </c>
    </row>
    <row r="1274" customFormat="false" ht="16.5" hidden="false" customHeight="false" outlineLevel="0" collapsed="false">
      <c r="A1274" s="56" t="n">
        <v>45887.75</v>
      </c>
      <c r="B1274" s="57" t="n">
        <f aca="false">MOD(A1274,1)</f>
        <v>0.75</v>
      </c>
      <c r="C1274" s="0" t="n">
        <v>0</v>
      </c>
      <c r="D1274" s="0" t="n">
        <v>489.803</v>
      </c>
      <c r="E1274" s="0" t="n">
        <f aca="false">D1274-0.155</f>
        <v>489.648</v>
      </c>
      <c r="F1274" s="0" t="n">
        <v>489.545</v>
      </c>
      <c r="G1274" s="0" t="n">
        <f aca="false">IF(E1274 - F1274 &lt; 0, 0, E1274 - F1274)</f>
        <v>0.103000000000009</v>
      </c>
      <c r="H1274" s="0" t="n">
        <v>1.82</v>
      </c>
      <c r="I1274" s="0" t="n">
        <f aca="false">1.82*30*(G1274^1.5)</f>
        <v>1.80488061193</v>
      </c>
      <c r="J1274" s="0" t="n">
        <f aca="false">I1274*60</f>
        <v>108.2928367158</v>
      </c>
      <c r="K1274" s="0" t="n">
        <f aca="false">(I1274*86400)/24</f>
        <v>6497.57020294801</v>
      </c>
    </row>
    <row r="1275" customFormat="false" ht="16.5" hidden="false" customHeight="false" outlineLevel="0" collapsed="false">
      <c r="A1275" s="56" t="n">
        <v>45887.7916666667</v>
      </c>
      <c r="B1275" s="57" t="n">
        <f aca="false">MOD(A1275,1)</f>
        <v>0.791666666656965</v>
      </c>
      <c r="C1275" s="0" t="n">
        <v>0</v>
      </c>
      <c r="D1275" s="0" t="n">
        <v>489.797</v>
      </c>
      <c r="E1275" s="0" t="n">
        <f aca="false">D1275-0.155</f>
        <v>489.642</v>
      </c>
      <c r="F1275" s="0" t="n">
        <v>489.545</v>
      </c>
      <c r="G1275" s="0" t="n">
        <f aca="false">IF(E1275 - F1275 &lt; 0, 0, E1275 - F1275)</f>
        <v>0.0970000000000368</v>
      </c>
      <c r="H1275" s="0" t="n">
        <v>1.82</v>
      </c>
      <c r="I1275" s="0" t="n">
        <f aca="false">1.82*30*(G1275^1.5)</f>
        <v>1.64949211598089</v>
      </c>
      <c r="J1275" s="0" t="n">
        <f aca="false">I1275*60</f>
        <v>98.9695269588532</v>
      </c>
      <c r="K1275" s="0" t="n">
        <f aca="false">(I1275*86400)/24</f>
        <v>5938.17161753119</v>
      </c>
    </row>
    <row r="1276" customFormat="false" ht="16.5" hidden="false" customHeight="false" outlineLevel="0" collapsed="false">
      <c r="A1276" s="56" t="n">
        <v>45887.8333333333</v>
      </c>
      <c r="B1276" s="57" t="n">
        <f aca="false">MOD(A1276,1)</f>
        <v>0.833333333343035</v>
      </c>
      <c r="C1276" s="0" t="n">
        <v>0</v>
      </c>
      <c r="D1276" s="0" t="n">
        <v>489.791</v>
      </c>
      <c r="E1276" s="0" t="n">
        <f aca="false">D1276-0.155</f>
        <v>489.636</v>
      </c>
      <c r="F1276" s="0" t="n">
        <v>489.545</v>
      </c>
      <c r="G1276" s="0" t="n">
        <f aca="false">IF(E1276 - F1276 &lt; 0, 0, E1276 - F1276)</f>
        <v>0.0910000000000082</v>
      </c>
      <c r="H1276" s="0" t="n">
        <v>1.82</v>
      </c>
      <c r="I1276" s="0" t="n">
        <f aca="false">1.82*30*(G1276^1.5)</f>
        <v>1.49883812413503</v>
      </c>
      <c r="J1276" s="0" t="n">
        <f aca="false">I1276*60</f>
        <v>89.9302874481016</v>
      </c>
      <c r="K1276" s="0" t="n">
        <f aca="false">(I1276*86400)/24</f>
        <v>5395.8172468861</v>
      </c>
    </row>
    <row r="1277" customFormat="false" ht="16.5" hidden="false" customHeight="false" outlineLevel="0" collapsed="false">
      <c r="A1277" s="56" t="n">
        <v>45887.875</v>
      </c>
      <c r="B1277" s="57" t="n">
        <f aca="false">MOD(A1277,1)</f>
        <v>0.875</v>
      </c>
      <c r="C1277" s="0" t="n">
        <v>0</v>
      </c>
      <c r="D1277" s="0" t="n">
        <v>489.792</v>
      </c>
      <c r="E1277" s="0" t="n">
        <f aca="false">D1277-0.155</f>
        <v>489.637</v>
      </c>
      <c r="F1277" s="0" t="n">
        <v>489.545</v>
      </c>
      <c r="G1277" s="0" t="n">
        <f aca="false">IF(E1277 - F1277 &lt; 0, 0, E1277 - F1277)</f>
        <v>0.0919999999999845</v>
      </c>
      <c r="H1277" s="0" t="n">
        <v>1.82</v>
      </c>
      <c r="I1277" s="0" t="n">
        <f aca="false">1.82*30*(G1277^1.5)</f>
        <v>1.52361199722201</v>
      </c>
      <c r="J1277" s="0" t="n">
        <f aca="false">I1277*60</f>
        <v>91.4167198333204</v>
      </c>
      <c r="K1277" s="0" t="n">
        <f aca="false">(I1277*86400)/24</f>
        <v>5485.00318999922</v>
      </c>
    </row>
    <row r="1278" customFormat="false" ht="16.5" hidden="false" customHeight="false" outlineLevel="0" collapsed="false">
      <c r="A1278" s="56" t="n">
        <v>45887.9166666667</v>
      </c>
      <c r="B1278" s="57" t="n">
        <f aca="false">MOD(A1278,1)</f>
        <v>0.916666666656965</v>
      </c>
      <c r="C1278" s="0" t="n">
        <v>0</v>
      </c>
      <c r="D1278" s="0" t="n">
        <v>489.791</v>
      </c>
      <c r="E1278" s="0" t="n">
        <f aca="false">D1278-0.155</f>
        <v>489.636</v>
      </c>
      <c r="F1278" s="0" t="n">
        <v>489.545</v>
      </c>
      <c r="G1278" s="0" t="n">
        <f aca="false">IF(E1278 - F1278 &lt; 0, 0, E1278 - F1278)</f>
        <v>0.0910000000000082</v>
      </c>
      <c r="H1278" s="0" t="n">
        <v>1.82</v>
      </c>
      <c r="I1278" s="0" t="n">
        <f aca="false">1.82*30*(G1278^1.5)</f>
        <v>1.49883812413503</v>
      </c>
      <c r="J1278" s="0" t="n">
        <f aca="false">I1278*60</f>
        <v>89.9302874481016</v>
      </c>
      <c r="K1278" s="0" t="n">
        <f aca="false">(I1278*86400)/24</f>
        <v>5395.8172468861</v>
      </c>
    </row>
    <row r="1279" customFormat="false" ht="16.5" hidden="false" customHeight="false" outlineLevel="0" collapsed="false">
      <c r="A1279" s="56" t="n">
        <v>45887.9583333333</v>
      </c>
      <c r="B1279" s="57" t="n">
        <f aca="false">MOD(A1279,1)</f>
        <v>0.958333333343035</v>
      </c>
      <c r="C1279" s="0" t="n">
        <v>0</v>
      </c>
      <c r="D1279" s="0" t="n">
        <v>489.785</v>
      </c>
      <c r="E1279" s="0" t="n">
        <f aca="false">D1279-0.155</f>
        <v>489.63</v>
      </c>
      <c r="F1279" s="0" t="n">
        <v>489.545</v>
      </c>
      <c r="G1279" s="0" t="n">
        <f aca="false">IF(E1279 - F1279 &lt; 0, 0, E1279 - F1279)</f>
        <v>0.0850000000000364</v>
      </c>
      <c r="H1279" s="0" t="n">
        <v>1.82</v>
      </c>
      <c r="I1279" s="0" t="n">
        <f aca="false">1.82*30*(G1279^1.5)</f>
        <v>1.35307238719972</v>
      </c>
      <c r="J1279" s="0" t="n">
        <f aca="false">I1279*60</f>
        <v>81.1843432319832</v>
      </c>
      <c r="K1279" s="0" t="n">
        <f aca="false">(I1279*86400)/24</f>
        <v>4871.06059391899</v>
      </c>
    </row>
    <row r="1280" customFormat="false" ht="16.5" hidden="false" customHeight="false" outlineLevel="0" collapsed="false">
      <c r="A1280" s="56" t="n">
        <v>45888</v>
      </c>
      <c r="B1280" s="57" t="n">
        <f aca="false">MOD(A1280,1)</f>
        <v>0</v>
      </c>
      <c r="C1280" s="0" t="n">
        <v>0</v>
      </c>
      <c r="D1280" s="0" t="n">
        <v>489.785</v>
      </c>
      <c r="E1280" s="0" t="n">
        <f aca="false">D1280-0.155</f>
        <v>489.63</v>
      </c>
      <c r="F1280" s="0" t="n">
        <v>489.545</v>
      </c>
      <c r="G1280" s="0" t="n">
        <f aca="false">IF(E1280 - F1280 &lt; 0, 0, E1280 - F1280)</f>
        <v>0.0850000000000364</v>
      </c>
      <c r="H1280" s="0" t="n">
        <v>1.82</v>
      </c>
      <c r="I1280" s="0" t="n">
        <f aca="false">1.82*30*(G1280^1.5)</f>
        <v>1.35307238719972</v>
      </c>
      <c r="J1280" s="0" t="n">
        <f aca="false">I1280*60</f>
        <v>81.1843432319832</v>
      </c>
      <c r="K1280" s="0" t="n">
        <f aca="false">(I1280*86400)/24</f>
        <v>4871.06059391899</v>
      </c>
    </row>
    <row r="1281" customFormat="false" ht="16.5" hidden="false" customHeight="false" outlineLevel="0" collapsed="false">
      <c r="A1281" s="56" t="n">
        <v>45888.0416666667</v>
      </c>
      <c r="B1281" s="57" t="n">
        <f aca="false">MOD(A1281,1)</f>
        <v>0.0416666666569654</v>
      </c>
      <c r="C1281" s="0" t="n">
        <v>0</v>
      </c>
      <c r="D1281" s="0" t="n">
        <v>489.778</v>
      </c>
      <c r="E1281" s="0" t="n">
        <f aca="false">D1281-0.155</f>
        <v>489.623</v>
      </c>
      <c r="F1281" s="0" t="n">
        <v>489.545</v>
      </c>
      <c r="G1281" s="0" t="n">
        <f aca="false">IF(E1281 - F1281 &lt; 0, 0, E1281 - F1281)</f>
        <v>0.0780000000000314</v>
      </c>
      <c r="H1281" s="0" t="n">
        <v>1.82</v>
      </c>
      <c r="I1281" s="0" t="n">
        <f aca="false">1.82*30*(G1281^1.5)</f>
        <v>1.18941810996878</v>
      </c>
      <c r="J1281" s="0" t="n">
        <f aca="false">I1281*60</f>
        <v>71.3650865981269</v>
      </c>
      <c r="K1281" s="0" t="n">
        <f aca="false">(I1281*86400)/24</f>
        <v>4281.90519588761</v>
      </c>
    </row>
    <row r="1282" customFormat="false" ht="16.5" hidden="false" customHeight="false" outlineLevel="0" collapsed="false">
      <c r="A1282" s="56" t="n">
        <v>45888.0833333333</v>
      </c>
      <c r="B1282" s="57" t="n">
        <f aca="false">MOD(A1282,1)</f>
        <v>0.0833333333430346</v>
      </c>
      <c r="C1282" s="0" t="n">
        <v>0</v>
      </c>
      <c r="D1282" s="0" t="n">
        <v>489.778</v>
      </c>
      <c r="E1282" s="0" t="n">
        <f aca="false">D1282-0.155</f>
        <v>489.623</v>
      </c>
      <c r="F1282" s="0" t="n">
        <v>489.545</v>
      </c>
      <c r="G1282" s="0" t="n">
        <f aca="false">IF(E1282 - F1282 &lt; 0, 0, E1282 - F1282)</f>
        <v>0.0780000000000314</v>
      </c>
      <c r="H1282" s="0" t="n">
        <v>1.82</v>
      </c>
      <c r="I1282" s="0" t="n">
        <f aca="false">1.82*30*(G1282^1.5)</f>
        <v>1.18941810996878</v>
      </c>
      <c r="J1282" s="0" t="n">
        <f aca="false">I1282*60</f>
        <v>71.3650865981269</v>
      </c>
      <c r="K1282" s="0" t="n">
        <f aca="false">(I1282*86400)/24</f>
        <v>4281.90519588761</v>
      </c>
    </row>
    <row r="1283" customFormat="false" ht="16.5" hidden="false" customHeight="false" outlineLevel="0" collapsed="false">
      <c r="A1283" s="56" t="n">
        <v>45888.125</v>
      </c>
      <c r="B1283" s="57" t="n">
        <f aca="false">MOD(A1283,1)</f>
        <v>0.125</v>
      </c>
      <c r="C1283" s="0" t="n">
        <v>0</v>
      </c>
      <c r="D1283" s="0" t="n">
        <v>489.779</v>
      </c>
      <c r="E1283" s="0" t="n">
        <f aca="false">D1283-0.155</f>
        <v>489.624</v>
      </c>
      <c r="F1283" s="0" t="n">
        <v>489.545</v>
      </c>
      <c r="G1283" s="0" t="n">
        <f aca="false">IF(E1283 - F1283 &lt; 0, 0, E1283 - F1283)</f>
        <v>0.0790000000000077</v>
      </c>
      <c r="H1283" s="0" t="n">
        <v>1.82</v>
      </c>
      <c r="I1283" s="0" t="n">
        <f aca="false">1.82*30*(G1283^1.5)</f>
        <v>1.21236469151837</v>
      </c>
      <c r="J1283" s="0" t="n">
        <f aca="false">I1283*60</f>
        <v>72.7418814911022</v>
      </c>
      <c r="K1283" s="0" t="n">
        <f aca="false">(I1283*86400)/24</f>
        <v>4364.51288946613</v>
      </c>
    </row>
    <row r="1284" customFormat="false" ht="16.5" hidden="false" customHeight="false" outlineLevel="0" collapsed="false">
      <c r="A1284" s="56" t="n">
        <v>45888.1666666667</v>
      </c>
      <c r="B1284" s="57" t="n">
        <f aca="false">MOD(A1284,1)</f>
        <v>0.166666666656965</v>
      </c>
      <c r="C1284" s="0" t="n">
        <v>0</v>
      </c>
      <c r="D1284" s="0" t="n">
        <v>489.772</v>
      </c>
      <c r="E1284" s="0" t="n">
        <f aca="false">D1284-0.155</f>
        <v>489.617</v>
      </c>
      <c r="F1284" s="0" t="n">
        <v>489.545</v>
      </c>
      <c r="G1284" s="0" t="n">
        <f aca="false">IF(E1284 - F1284 &lt; 0, 0, E1284 - F1284)</f>
        <v>0.0720000000000027</v>
      </c>
      <c r="H1284" s="0" t="n">
        <v>1.82</v>
      </c>
      <c r="I1284" s="0" t="n">
        <f aca="false">1.82*30*(G1284^1.5)</f>
        <v>1.05485165197772</v>
      </c>
      <c r="J1284" s="0" t="n">
        <f aca="false">I1284*60</f>
        <v>63.2910991186633</v>
      </c>
      <c r="K1284" s="0" t="n">
        <f aca="false">(I1284*86400)/24</f>
        <v>3797.4659471198</v>
      </c>
    </row>
    <row r="1285" customFormat="false" ht="16.5" hidden="false" customHeight="false" outlineLevel="0" collapsed="false">
      <c r="A1285" s="56" t="n">
        <v>45888.2083333333</v>
      </c>
      <c r="B1285" s="57" t="n">
        <f aca="false">MOD(A1285,1)</f>
        <v>0.208333333343035</v>
      </c>
      <c r="C1285" s="0" t="n">
        <v>0</v>
      </c>
      <c r="D1285" s="0" t="n">
        <v>489.771</v>
      </c>
      <c r="E1285" s="0" t="n">
        <f aca="false">D1285-0.155</f>
        <v>489.616</v>
      </c>
      <c r="F1285" s="0" t="n">
        <v>489.545</v>
      </c>
      <c r="G1285" s="0" t="n">
        <f aca="false">IF(E1285 - F1285 &lt; 0, 0, E1285 - F1285)</f>
        <v>0.0710000000000264</v>
      </c>
      <c r="H1285" s="0" t="n">
        <v>1.82</v>
      </c>
      <c r="I1285" s="0" t="n">
        <f aca="false">1.82*30*(G1285^1.5)</f>
        <v>1.03295205927535</v>
      </c>
      <c r="J1285" s="0" t="n">
        <f aca="false">I1285*60</f>
        <v>61.9771235565211</v>
      </c>
      <c r="K1285" s="0" t="n">
        <f aca="false">(I1285*86400)/24</f>
        <v>3718.62741339127</v>
      </c>
    </row>
    <row r="1286" customFormat="false" ht="16.5" hidden="false" customHeight="false" outlineLevel="0" collapsed="false">
      <c r="A1286" s="56" t="n">
        <v>45888.25</v>
      </c>
      <c r="B1286" s="57" t="n">
        <f aca="false">MOD(A1286,1)</f>
        <v>0.25</v>
      </c>
      <c r="C1286" s="0" t="n">
        <v>0</v>
      </c>
      <c r="D1286" s="0" t="n">
        <v>489.766</v>
      </c>
      <c r="E1286" s="0" t="n">
        <f aca="false">D1286-0.155</f>
        <v>489.611</v>
      </c>
      <c r="F1286" s="0" t="n">
        <v>489.545</v>
      </c>
      <c r="G1286" s="0" t="n">
        <f aca="false">IF(E1286 - F1286 &lt; 0, 0, E1286 - F1286)</f>
        <v>0.0660000000000309</v>
      </c>
      <c r="H1286" s="0" t="n">
        <v>1.82</v>
      </c>
      <c r="I1286" s="0" t="n">
        <f aca="false">1.82*30*(G1286^1.5)</f>
        <v>0.925781602410204</v>
      </c>
      <c r="J1286" s="0" t="n">
        <f aca="false">I1286*60</f>
        <v>55.5468961446122</v>
      </c>
      <c r="K1286" s="0" t="n">
        <f aca="false">(I1286*86400)/24</f>
        <v>3332.81376867673</v>
      </c>
    </row>
    <row r="1287" customFormat="false" ht="16.5" hidden="false" customHeight="false" outlineLevel="0" collapsed="false">
      <c r="A1287" s="56" t="n">
        <v>45888.2916666667</v>
      </c>
      <c r="B1287" s="57" t="n">
        <f aca="false">MOD(A1287,1)</f>
        <v>0.291666666656965</v>
      </c>
      <c r="C1287" s="0" t="n">
        <v>0</v>
      </c>
      <c r="D1287" s="0" t="n">
        <v>489.766</v>
      </c>
      <c r="E1287" s="0" t="n">
        <f aca="false">D1287-0.155</f>
        <v>489.611</v>
      </c>
      <c r="F1287" s="0" t="n">
        <v>489.545</v>
      </c>
      <c r="G1287" s="0" t="n">
        <f aca="false">IF(E1287 - F1287 &lt; 0, 0, E1287 - F1287)</f>
        <v>0.0660000000000309</v>
      </c>
      <c r="H1287" s="0" t="n">
        <v>1.82</v>
      </c>
      <c r="I1287" s="0" t="n">
        <f aca="false">1.82*30*(G1287^1.5)</f>
        <v>0.925781602410204</v>
      </c>
      <c r="J1287" s="0" t="n">
        <f aca="false">I1287*60</f>
        <v>55.5468961446122</v>
      </c>
      <c r="K1287" s="0" t="n">
        <f aca="false">(I1287*86400)/24</f>
        <v>3332.81376867673</v>
      </c>
    </row>
    <row r="1288" customFormat="false" ht="16.5" hidden="false" customHeight="false" outlineLevel="0" collapsed="false">
      <c r="A1288" s="56" t="n">
        <v>45888.3333333333</v>
      </c>
      <c r="B1288" s="57" t="n">
        <f aca="false">MOD(A1288,1)</f>
        <v>0.333333333343035</v>
      </c>
      <c r="C1288" s="0" t="n">
        <v>0</v>
      </c>
      <c r="D1288" s="0" t="n">
        <v>489.765</v>
      </c>
      <c r="E1288" s="0" t="n">
        <f aca="false">D1288-0.155</f>
        <v>489.61</v>
      </c>
      <c r="F1288" s="0" t="n">
        <v>489.545</v>
      </c>
      <c r="G1288" s="0" t="n">
        <f aca="false">IF(E1288 - F1288 &lt; 0, 0, E1288 - F1288)</f>
        <v>0.0649999999999977</v>
      </c>
      <c r="H1288" s="0" t="n">
        <v>1.82</v>
      </c>
      <c r="I1288" s="0" t="n">
        <f aca="false">1.82*30*(G1288^1.5)</f>
        <v>0.904821012686992</v>
      </c>
      <c r="J1288" s="0" t="n">
        <f aca="false">I1288*60</f>
        <v>54.2892607612195</v>
      </c>
      <c r="K1288" s="0" t="n">
        <f aca="false">(I1288*86400)/24</f>
        <v>3257.35564567317</v>
      </c>
    </row>
    <row r="1289" customFormat="false" ht="16.5" hidden="false" customHeight="false" outlineLevel="0" collapsed="false">
      <c r="A1289" s="56" t="n">
        <v>45888.375</v>
      </c>
      <c r="B1289" s="57" t="n">
        <f aca="false">MOD(A1289,1)</f>
        <v>0.375</v>
      </c>
      <c r="C1289" s="0" t="n">
        <v>0</v>
      </c>
      <c r="D1289" s="0" t="n">
        <v>489.758</v>
      </c>
      <c r="E1289" s="0" t="n">
        <f aca="false">D1289-0.155</f>
        <v>489.603</v>
      </c>
      <c r="F1289" s="0" t="n">
        <v>489.545</v>
      </c>
      <c r="G1289" s="0" t="n">
        <f aca="false">IF(E1289 - F1289 &lt; 0, 0, E1289 - F1289)</f>
        <v>0.0579999999999927</v>
      </c>
      <c r="H1289" s="0" t="n">
        <v>1.82</v>
      </c>
      <c r="I1289" s="0" t="n">
        <f aca="false">1.82*30*(G1289^1.5)</f>
        <v>0.762666434242245</v>
      </c>
      <c r="J1289" s="0" t="n">
        <f aca="false">I1289*60</f>
        <v>45.7599860545347</v>
      </c>
      <c r="K1289" s="0" t="n">
        <f aca="false">(I1289*86400)/24</f>
        <v>2745.59916327208</v>
      </c>
    </row>
    <row r="1290" customFormat="false" ht="16.5" hidden="false" customHeight="false" outlineLevel="0" collapsed="false">
      <c r="A1290" s="56" t="n">
        <v>45888.4166666667</v>
      </c>
      <c r="B1290" s="57" t="n">
        <f aca="false">MOD(A1290,1)</f>
        <v>0.416666666656965</v>
      </c>
      <c r="C1290" s="0" t="n">
        <v>0</v>
      </c>
      <c r="D1290" s="0" t="n">
        <v>489.758</v>
      </c>
      <c r="E1290" s="0" t="n">
        <f aca="false">D1290-0.155</f>
        <v>489.603</v>
      </c>
      <c r="F1290" s="0" t="n">
        <v>489.545</v>
      </c>
      <c r="G1290" s="0" t="n">
        <f aca="false">IF(E1290 - F1290 &lt; 0, 0, E1290 - F1290)</f>
        <v>0.0579999999999927</v>
      </c>
      <c r="H1290" s="0" t="n">
        <v>1.82</v>
      </c>
      <c r="I1290" s="0" t="n">
        <f aca="false">1.82*30*(G1290^1.5)</f>
        <v>0.762666434242245</v>
      </c>
      <c r="J1290" s="0" t="n">
        <f aca="false">I1290*60</f>
        <v>45.7599860545347</v>
      </c>
      <c r="K1290" s="0" t="n">
        <f aca="false">(I1290*86400)/24</f>
        <v>2745.59916327208</v>
      </c>
    </row>
    <row r="1291" customFormat="false" ht="16.5" hidden="false" customHeight="false" outlineLevel="0" collapsed="false">
      <c r="A1291" s="56" t="n">
        <v>45888.4583333333</v>
      </c>
      <c r="B1291" s="57" t="n">
        <f aca="false">MOD(A1291,1)</f>
        <v>0.458333333343035</v>
      </c>
      <c r="C1291" s="0" t="n">
        <v>0.2</v>
      </c>
      <c r="D1291" s="0" t="n">
        <v>489.758</v>
      </c>
      <c r="E1291" s="0" t="n">
        <f aca="false">D1291-0.155</f>
        <v>489.603</v>
      </c>
      <c r="F1291" s="0" t="n">
        <v>489.545</v>
      </c>
      <c r="G1291" s="0" t="n">
        <f aca="false">IF(E1291 - F1291 &lt; 0, 0, E1291 - F1291)</f>
        <v>0.0579999999999927</v>
      </c>
      <c r="H1291" s="0" t="n">
        <v>1.82</v>
      </c>
      <c r="I1291" s="0" t="n">
        <f aca="false">1.82*30*(G1291^1.5)</f>
        <v>0.762666434242245</v>
      </c>
      <c r="J1291" s="0" t="n">
        <f aca="false">I1291*60</f>
        <v>45.7599860545347</v>
      </c>
      <c r="K1291" s="0" t="n">
        <f aca="false">(I1291*86400)/24</f>
        <v>2745.59916327208</v>
      </c>
    </row>
    <row r="1292" customFormat="false" ht="16.5" hidden="false" customHeight="false" outlineLevel="0" collapsed="false">
      <c r="A1292" s="56" t="n">
        <v>45888.5</v>
      </c>
      <c r="B1292" s="57" t="n">
        <f aca="false">MOD(A1292,1)</f>
        <v>0.5</v>
      </c>
      <c r="C1292" s="0" t="n">
        <v>0</v>
      </c>
      <c r="D1292" s="0" t="n">
        <v>489.752</v>
      </c>
      <c r="E1292" s="0" t="n">
        <f aca="false">D1292-0.155</f>
        <v>489.597</v>
      </c>
      <c r="F1292" s="0" t="n">
        <v>489.545</v>
      </c>
      <c r="G1292" s="0" t="n">
        <f aca="false">IF(E1292 - F1292 &lt; 0, 0, E1292 - F1292)</f>
        <v>0.0520000000000209</v>
      </c>
      <c r="H1292" s="0" t="n">
        <v>1.82</v>
      </c>
      <c r="I1292" s="0" t="n">
        <f aca="false">1.82*30*(G1292^1.5)</f>
        <v>0.647437213388685</v>
      </c>
      <c r="J1292" s="0" t="n">
        <f aca="false">I1292*60</f>
        <v>38.8462328033211</v>
      </c>
      <c r="K1292" s="0" t="n">
        <f aca="false">(I1292*86400)/24</f>
        <v>2330.77396819927</v>
      </c>
    </row>
    <row r="1293" customFormat="false" ht="16.5" hidden="false" customHeight="false" outlineLevel="0" collapsed="false">
      <c r="A1293" s="56" t="n">
        <v>45888.5416666667</v>
      </c>
      <c r="B1293" s="57" t="n">
        <f aca="false">MOD(A1293,1)</f>
        <v>0.541666666656965</v>
      </c>
      <c r="C1293" s="0" t="n">
        <v>0</v>
      </c>
      <c r="D1293" s="0" t="n">
        <v>489.752</v>
      </c>
      <c r="E1293" s="0" t="n">
        <f aca="false">D1293-0.155</f>
        <v>489.597</v>
      </c>
      <c r="F1293" s="0" t="n">
        <v>489.545</v>
      </c>
      <c r="G1293" s="0" t="n">
        <f aca="false">IF(E1293 - F1293 &lt; 0, 0, E1293 - F1293)</f>
        <v>0.0520000000000209</v>
      </c>
      <c r="H1293" s="0" t="n">
        <v>1.82</v>
      </c>
      <c r="I1293" s="0" t="n">
        <f aca="false">1.82*30*(G1293^1.5)</f>
        <v>0.647437213388685</v>
      </c>
      <c r="J1293" s="0" t="n">
        <f aca="false">I1293*60</f>
        <v>38.8462328033211</v>
      </c>
      <c r="K1293" s="0" t="n">
        <f aca="false">(I1293*86400)/24</f>
        <v>2330.77396819927</v>
      </c>
    </row>
    <row r="1294" customFormat="false" ht="16.5" hidden="false" customHeight="false" outlineLevel="0" collapsed="false">
      <c r="A1294" s="56" t="n">
        <v>45888.5833333333</v>
      </c>
      <c r="B1294" s="57" t="n">
        <f aca="false">MOD(A1294,1)</f>
        <v>0.583333333343035</v>
      </c>
      <c r="C1294" s="0" t="n">
        <v>0</v>
      </c>
      <c r="D1294" s="0" t="n">
        <v>489.752</v>
      </c>
      <c r="E1294" s="0" t="n">
        <f aca="false">D1294-0.155</f>
        <v>489.597</v>
      </c>
      <c r="F1294" s="0" t="n">
        <v>489.545</v>
      </c>
      <c r="G1294" s="0" t="n">
        <f aca="false">IF(E1294 - F1294 &lt; 0, 0, E1294 - F1294)</f>
        <v>0.0520000000000209</v>
      </c>
      <c r="H1294" s="0" t="n">
        <v>1.82</v>
      </c>
      <c r="I1294" s="0" t="n">
        <f aca="false">1.82*30*(G1294^1.5)</f>
        <v>0.647437213388685</v>
      </c>
      <c r="J1294" s="0" t="n">
        <f aca="false">I1294*60</f>
        <v>38.8462328033211</v>
      </c>
      <c r="K1294" s="0" t="n">
        <f aca="false">(I1294*86400)/24</f>
        <v>2330.77396819927</v>
      </c>
    </row>
    <row r="1295" customFormat="false" ht="16.5" hidden="false" customHeight="false" outlineLevel="0" collapsed="false">
      <c r="A1295" s="56" t="n">
        <v>45888.625</v>
      </c>
      <c r="B1295" s="57" t="n">
        <f aca="false">MOD(A1295,1)</f>
        <v>0.625</v>
      </c>
      <c r="C1295" s="0" t="n">
        <v>0</v>
      </c>
      <c r="D1295" s="0" t="n">
        <v>489.752</v>
      </c>
      <c r="E1295" s="0" t="n">
        <f aca="false">D1295-0.155</f>
        <v>489.597</v>
      </c>
      <c r="F1295" s="0" t="n">
        <v>489.545</v>
      </c>
      <c r="G1295" s="0" t="n">
        <f aca="false">IF(E1295 - F1295 &lt; 0, 0, E1295 - F1295)</f>
        <v>0.0520000000000209</v>
      </c>
      <c r="H1295" s="0" t="n">
        <v>1.82</v>
      </c>
      <c r="I1295" s="0" t="n">
        <f aca="false">1.82*30*(G1295^1.5)</f>
        <v>0.647437213388685</v>
      </c>
      <c r="J1295" s="0" t="n">
        <f aca="false">I1295*60</f>
        <v>38.8462328033211</v>
      </c>
      <c r="K1295" s="0" t="n">
        <f aca="false">(I1295*86400)/24</f>
        <v>2330.77396819927</v>
      </c>
    </row>
    <row r="1296" customFormat="false" ht="16.5" hidden="false" customHeight="false" outlineLevel="0" collapsed="false">
      <c r="A1296" s="56" t="n">
        <v>45888.6666666667</v>
      </c>
      <c r="B1296" s="57" t="n">
        <f aca="false">MOD(A1296,1)</f>
        <v>0.666666666656965</v>
      </c>
      <c r="C1296" s="0" t="n">
        <v>0</v>
      </c>
      <c r="D1296" s="0" t="n">
        <v>489.745</v>
      </c>
      <c r="E1296" s="0" t="n">
        <f aca="false">D1296-0.155</f>
        <v>489.59</v>
      </c>
      <c r="F1296" s="0" t="n">
        <v>489.545</v>
      </c>
      <c r="G1296" s="0" t="n">
        <f aca="false">IF(E1296 - F1296 &lt; 0, 0, E1296 - F1296)</f>
        <v>0.0450000000000159</v>
      </c>
      <c r="H1296" s="0" t="n">
        <v>1.82</v>
      </c>
      <c r="I1296" s="0" t="n">
        <f aca="false">1.82*30*(G1296^1.5)</f>
        <v>0.521208408412881</v>
      </c>
      <c r="J1296" s="0" t="n">
        <f aca="false">I1296*60</f>
        <v>31.2725045047728</v>
      </c>
      <c r="K1296" s="0" t="n">
        <f aca="false">(I1296*86400)/24</f>
        <v>1876.35027028637</v>
      </c>
    </row>
    <row r="1297" customFormat="false" ht="16.5" hidden="false" customHeight="false" outlineLevel="0" collapsed="false">
      <c r="A1297" s="56" t="n">
        <v>45888.7083333333</v>
      </c>
      <c r="B1297" s="57" t="n">
        <f aca="false">MOD(A1297,1)</f>
        <v>0.708333333343035</v>
      </c>
      <c r="C1297" s="0" t="n">
        <v>0</v>
      </c>
      <c r="D1297" s="0" t="n">
        <v>489.745</v>
      </c>
      <c r="E1297" s="0" t="n">
        <f aca="false">D1297-0.155</f>
        <v>489.59</v>
      </c>
      <c r="F1297" s="0" t="n">
        <v>489.545</v>
      </c>
      <c r="G1297" s="0" t="n">
        <f aca="false">IF(E1297 - F1297 &lt; 0, 0, E1297 - F1297)</f>
        <v>0.0450000000000159</v>
      </c>
      <c r="H1297" s="0" t="n">
        <v>1.82</v>
      </c>
      <c r="I1297" s="0" t="n">
        <f aca="false">1.82*30*(G1297^1.5)</f>
        <v>0.521208408412881</v>
      </c>
      <c r="J1297" s="0" t="n">
        <f aca="false">I1297*60</f>
        <v>31.2725045047728</v>
      </c>
      <c r="K1297" s="0" t="n">
        <f aca="false">(I1297*86400)/24</f>
        <v>1876.35027028637</v>
      </c>
    </row>
    <row r="1298" customFormat="false" ht="16.5" hidden="false" customHeight="false" outlineLevel="0" collapsed="false">
      <c r="A1298" s="56" t="n">
        <v>45888.75</v>
      </c>
      <c r="B1298" s="57" t="n">
        <f aca="false">MOD(A1298,1)</f>
        <v>0.75</v>
      </c>
      <c r="C1298" s="0" t="n">
        <v>0</v>
      </c>
      <c r="D1298" s="0" t="n">
        <v>489.739</v>
      </c>
      <c r="E1298" s="0" t="n">
        <f aca="false">D1298-0.155</f>
        <v>489.584</v>
      </c>
      <c r="F1298" s="0" t="n">
        <v>489.545</v>
      </c>
      <c r="G1298" s="0" t="n">
        <f aca="false">IF(E1298 - F1298 &lt; 0, 0, E1298 - F1298)</f>
        <v>0.0389999999999873</v>
      </c>
      <c r="H1298" s="0" t="n">
        <v>1.82</v>
      </c>
      <c r="I1298" s="0" t="n">
        <f aca="false">1.82*30*(G1298^1.5)</f>
        <v>0.420522805612046</v>
      </c>
      <c r="J1298" s="0" t="n">
        <f aca="false">I1298*60</f>
        <v>25.2313683367228</v>
      </c>
      <c r="K1298" s="0" t="n">
        <f aca="false">(I1298*86400)/24</f>
        <v>1513.88210020337</v>
      </c>
    </row>
    <row r="1299" customFormat="false" ht="16.5" hidden="false" customHeight="false" outlineLevel="0" collapsed="false">
      <c r="A1299" s="56" t="n">
        <v>45888.7916666667</v>
      </c>
      <c r="B1299" s="57" t="n">
        <f aca="false">MOD(A1299,1)</f>
        <v>0.791666666656965</v>
      </c>
      <c r="C1299" s="0" t="n">
        <v>0</v>
      </c>
      <c r="D1299" s="0" t="n">
        <v>489.739</v>
      </c>
      <c r="E1299" s="0" t="n">
        <f aca="false">D1299-0.155</f>
        <v>489.584</v>
      </c>
      <c r="F1299" s="0" t="n">
        <v>489.545</v>
      </c>
      <c r="G1299" s="0" t="n">
        <f aca="false">IF(E1299 - F1299 &lt; 0, 0, E1299 - F1299)</f>
        <v>0.0389999999999873</v>
      </c>
      <c r="H1299" s="0" t="n">
        <v>1.82</v>
      </c>
      <c r="I1299" s="0" t="n">
        <f aca="false">1.82*30*(G1299^1.5)</f>
        <v>0.420522805612046</v>
      </c>
      <c r="J1299" s="0" t="n">
        <f aca="false">I1299*60</f>
        <v>25.2313683367228</v>
      </c>
      <c r="K1299" s="0" t="n">
        <f aca="false">(I1299*86400)/24</f>
        <v>1513.88210020337</v>
      </c>
    </row>
    <row r="1300" customFormat="false" ht="16.5" hidden="false" customHeight="false" outlineLevel="0" collapsed="false">
      <c r="A1300" s="56" t="n">
        <v>45888.8333333333</v>
      </c>
      <c r="B1300" s="57" t="n">
        <f aca="false">MOD(A1300,1)</f>
        <v>0.833333333343035</v>
      </c>
      <c r="C1300" s="0" t="n">
        <v>0</v>
      </c>
      <c r="D1300" s="0" t="n">
        <v>489.732</v>
      </c>
      <c r="E1300" s="0" t="n">
        <f aca="false">D1300-0.155</f>
        <v>489.577</v>
      </c>
      <c r="F1300" s="0" t="n">
        <v>489.545</v>
      </c>
      <c r="G1300" s="0" t="n">
        <f aca="false">IF(E1300 - F1300 &lt; 0, 0, E1300 - F1300)</f>
        <v>0.0320000000000391</v>
      </c>
      <c r="H1300" s="0" t="n">
        <v>1.82</v>
      </c>
      <c r="I1300" s="0" t="n">
        <f aca="false">1.82*30*(G1300^1.5)</f>
        <v>0.312548637623584</v>
      </c>
      <c r="J1300" s="0" t="n">
        <f aca="false">I1300*60</f>
        <v>18.752918257415</v>
      </c>
      <c r="K1300" s="0" t="n">
        <f aca="false">(I1300*86400)/24</f>
        <v>1125.1750954449</v>
      </c>
    </row>
    <row r="1301" customFormat="false" ht="16.5" hidden="false" customHeight="false" outlineLevel="0" collapsed="false">
      <c r="A1301" s="56" t="n">
        <v>45888.875</v>
      </c>
      <c r="B1301" s="57" t="n">
        <f aca="false">MOD(A1301,1)</f>
        <v>0.875</v>
      </c>
      <c r="C1301" s="0" t="n">
        <v>0</v>
      </c>
      <c r="D1301" s="0" t="n">
        <v>489.732</v>
      </c>
      <c r="E1301" s="0" t="n">
        <f aca="false">D1301-0.155</f>
        <v>489.577</v>
      </c>
      <c r="F1301" s="0" t="n">
        <v>489.545</v>
      </c>
      <c r="G1301" s="0" t="n">
        <f aca="false">IF(E1301 - F1301 &lt; 0, 0, E1301 - F1301)</f>
        <v>0.0320000000000391</v>
      </c>
      <c r="H1301" s="0" t="n">
        <v>1.82</v>
      </c>
      <c r="I1301" s="0" t="n">
        <f aca="false">1.82*30*(G1301^1.5)</f>
        <v>0.312548637623584</v>
      </c>
      <c r="J1301" s="0" t="n">
        <f aca="false">I1301*60</f>
        <v>18.752918257415</v>
      </c>
      <c r="K1301" s="0" t="n">
        <f aca="false">(I1301*86400)/24</f>
        <v>1125.1750954449</v>
      </c>
    </row>
    <row r="1302" customFormat="false" ht="16.5" hidden="false" customHeight="false" outlineLevel="0" collapsed="false">
      <c r="A1302" s="56" t="n">
        <v>45888.9166666667</v>
      </c>
      <c r="B1302" s="57" t="n">
        <f aca="false">MOD(A1302,1)</f>
        <v>0.916666666656965</v>
      </c>
      <c r="C1302" s="0" t="n">
        <v>0</v>
      </c>
      <c r="D1302" s="0" t="n">
        <v>489.732</v>
      </c>
      <c r="E1302" s="0" t="n">
        <f aca="false">D1302-0.155</f>
        <v>489.577</v>
      </c>
      <c r="F1302" s="0" t="n">
        <v>489.545</v>
      </c>
      <c r="G1302" s="0" t="n">
        <f aca="false">IF(E1302 - F1302 &lt; 0, 0, E1302 - F1302)</f>
        <v>0.0320000000000391</v>
      </c>
      <c r="H1302" s="0" t="n">
        <v>1.82</v>
      </c>
      <c r="I1302" s="0" t="n">
        <f aca="false">1.82*30*(G1302^1.5)</f>
        <v>0.312548637623584</v>
      </c>
      <c r="J1302" s="0" t="n">
        <f aca="false">I1302*60</f>
        <v>18.752918257415</v>
      </c>
      <c r="K1302" s="0" t="n">
        <f aca="false">(I1302*86400)/24</f>
        <v>1125.1750954449</v>
      </c>
    </row>
    <row r="1303" customFormat="false" ht="16.5" hidden="false" customHeight="false" outlineLevel="0" collapsed="false">
      <c r="A1303" s="56" t="n">
        <v>45888.9583333333</v>
      </c>
      <c r="B1303" s="57" t="n">
        <f aca="false">MOD(A1303,1)</f>
        <v>0.958333333343035</v>
      </c>
      <c r="C1303" s="0" t="n">
        <v>0</v>
      </c>
      <c r="D1303" s="0" t="n">
        <v>489.726</v>
      </c>
      <c r="E1303" s="0" t="n">
        <f aca="false">D1303-0.155</f>
        <v>489.571</v>
      </c>
      <c r="F1303" s="0" t="n">
        <v>489.545</v>
      </c>
      <c r="G1303" s="0" t="n">
        <f aca="false">IF(E1303 - F1303 &lt; 0, 0, E1303 - F1303)</f>
        <v>0.0260000000000105</v>
      </c>
      <c r="H1303" s="0" t="n">
        <v>1.82</v>
      </c>
      <c r="I1303" s="0" t="n">
        <f aca="false">1.82*30*(G1303^1.5)</f>
        <v>0.228903621989831</v>
      </c>
      <c r="J1303" s="0" t="n">
        <f aca="false">I1303*60</f>
        <v>13.7342173193898</v>
      </c>
      <c r="K1303" s="0" t="n">
        <f aca="false">(I1303*86400)/24</f>
        <v>824.05303916339</v>
      </c>
    </row>
    <row r="1304" customFormat="false" ht="16.5" hidden="false" customHeight="false" outlineLevel="0" collapsed="false">
      <c r="A1304" s="56" t="n">
        <v>45889</v>
      </c>
      <c r="B1304" s="57" t="n">
        <f aca="false">MOD(A1304,1)</f>
        <v>0</v>
      </c>
      <c r="C1304" s="0" t="n">
        <v>0</v>
      </c>
      <c r="D1304" s="0" t="n">
        <v>489.726</v>
      </c>
      <c r="E1304" s="0" t="n">
        <f aca="false">D1304-0.155</f>
        <v>489.571</v>
      </c>
      <c r="F1304" s="0" t="n">
        <v>489.545</v>
      </c>
      <c r="G1304" s="0" t="n">
        <f aca="false">IF(E1304 - F1304 &lt; 0, 0, E1304 - F1304)</f>
        <v>0.0260000000000105</v>
      </c>
      <c r="H1304" s="0" t="n">
        <v>1.82</v>
      </c>
      <c r="I1304" s="0" t="n">
        <f aca="false">1.82*30*(G1304^1.5)</f>
        <v>0.228903621989831</v>
      </c>
      <c r="J1304" s="0" t="n">
        <f aca="false">I1304*60</f>
        <v>13.7342173193898</v>
      </c>
      <c r="K1304" s="0" t="n">
        <f aca="false">(I1304*86400)/24</f>
        <v>824.05303916339</v>
      </c>
    </row>
    <row r="1305" customFormat="false" ht="16.5" hidden="false" customHeight="false" outlineLevel="0" collapsed="false">
      <c r="A1305" s="56" t="n">
        <v>45889.0416666667</v>
      </c>
      <c r="B1305" s="57" t="n">
        <f aca="false">MOD(A1305,1)</f>
        <v>0.0416666666569654</v>
      </c>
      <c r="C1305" s="0" t="n">
        <v>0</v>
      </c>
      <c r="D1305" s="0" t="n">
        <v>489.72</v>
      </c>
      <c r="E1305" s="0" t="n">
        <f aca="false">D1305-0.155</f>
        <v>489.565</v>
      </c>
      <c r="F1305" s="0" t="n">
        <v>489.545</v>
      </c>
      <c r="G1305" s="0" t="n">
        <f aca="false">IF(E1305 - F1305 &lt; 0, 0, E1305 - F1305)</f>
        <v>0.0200000000000387</v>
      </c>
      <c r="H1305" s="0" t="n">
        <v>1.82</v>
      </c>
      <c r="I1305" s="0" t="n">
        <f aca="false">1.82*30*(G1305^1.5)</f>
        <v>0.15443212101159</v>
      </c>
      <c r="J1305" s="0" t="n">
        <f aca="false">I1305*60</f>
        <v>9.26592726069538</v>
      </c>
      <c r="K1305" s="0" t="n">
        <f aca="false">(I1305*86400)/24</f>
        <v>555.955635641723</v>
      </c>
    </row>
    <row r="1306" customFormat="false" ht="16.5" hidden="false" customHeight="false" outlineLevel="0" collapsed="false">
      <c r="A1306" s="56" t="n">
        <v>45889.0833333333</v>
      </c>
      <c r="B1306" s="57" t="n">
        <f aca="false">MOD(A1306,1)</f>
        <v>0.0833333333430346</v>
      </c>
      <c r="C1306" s="0" t="n">
        <v>0</v>
      </c>
      <c r="D1306" s="0" t="n">
        <v>489.72</v>
      </c>
      <c r="E1306" s="0" t="n">
        <f aca="false">D1306-0.155</f>
        <v>489.565</v>
      </c>
      <c r="F1306" s="0" t="n">
        <v>489.545</v>
      </c>
      <c r="G1306" s="0" t="n">
        <f aca="false">IF(E1306 - F1306 &lt; 0, 0, E1306 - F1306)</f>
        <v>0.0200000000000387</v>
      </c>
      <c r="H1306" s="0" t="n">
        <v>1.82</v>
      </c>
      <c r="I1306" s="0" t="n">
        <f aca="false">1.82*30*(G1306^1.5)</f>
        <v>0.15443212101159</v>
      </c>
      <c r="J1306" s="0" t="n">
        <f aca="false">I1306*60</f>
        <v>9.26592726069538</v>
      </c>
      <c r="K1306" s="0" t="n">
        <f aca="false">(I1306*86400)/24</f>
        <v>555.955635641723</v>
      </c>
    </row>
    <row r="1307" customFormat="false" ht="16.5" hidden="false" customHeight="false" outlineLevel="0" collapsed="false">
      <c r="A1307" s="56" t="n">
        <v>45889.125</v>
      </c>
      <c r="B1307" s="57" t="n">
        <f aca="false">MOD(A1307,1)</f>
        <v>0.125</v>
      </c>
      <c r="C1307" s="0" t="n">
        <v>0</v>
      </c>
      <c r="D1307" s="0" t="n">
        <v>489.72</v>
      </c>
      <c r="E1307" s="0" t="n">
        <f aca="false">D1307-0.155</f>
        <v>489.565</v>
      </c>
      <c r="F1307" s="0" t="n">
        <v>489.545</v>
      </c>
      <c r="G1307" s="0" t="n">
        <f aca="false">IF(E1307 - F1307 &lt; 0, 0, E1307 - F1307)</f>
        <v>0.0200000000000387</v>
      </c>
      <c r="H1307" s="0" t="n">
        <v>1.82</v>
      </c>
      <c r="I1307" s="0" t="n">
        <f aca="false">1.82*30*(G1307^1.5)</f>
        <v>0.15443212101159</v>
      </c>
      <c r="J1307" s="0" t="n">
        <f aca="false">I1307*60</f>
        <v>9.26592726069538</v>
      </c>
      <c r="K1307" s="0" t="n">
        <f aca="false">(I1307*86400)/24</f>
        <v>555.955635641723</v>
      </c>
    </row>
    <row r="1308" customFormat="false" ht="16.5" hidden="false" customHeight="false" outlineLevel="0" collapsed="false">
      <c r="A1308" s="56" t="n">
        <v>45889.1666666667</v>
      </c>
      <c r="B1308" s="57" t="n">
        <f aca="false">MOD(A1308,1)</f>
        <v>0.166666666656965</v>
      </c>
      <c r="C1308" s="0" t="n">
        <v>0</v>
      </c>
      <c r="D1308" s="0" t="n">
        <v>489.72</v>
      </c>
      <c r="E1308" s="0" t="n">
        <f aca="false">D1308-0.155</f>
        <v>489.565</v>
      </c>
      <c r="F1308" s="0" t="n">
        <v>489.545</v>
      </c>
      <c r="G1308" s="0" t="n">
        <f aca="false">IF(E1308 - F1308 &lt; 0, 0, E1308 - F1308)</f>
        <v>0.0200000000000387</v>
      </c>
      <c r="H1308" s="0" t="n">
        <v>1.82</v>
      </c>
      <c r="I1308" s="0" t="n">
        <f aca="false">1.82*30*(G1308^1.5)</f>
        <v>0.15443212101159</v>
      </c>
      <c r="J1308" s="0" t="n">
        <f aca="false">I1308*60</f>
        <v>9.26592726069538</v>
      </c>
      <c r="K1308" s="0" t="n">
        <f aca="false">(I1308*86400)/24</f>
        <v>555.955635641723</v>
      </c>
    </row>
    <row r="1309" customFormat="false" ht="16.5" hidden="false" customHeight="false" outlineLevel="0" collapsed="false">
      <c r="A1309" s="56" t="n">
        <v>45889.2083333333</v>
      </c>
      <c r="B1309" s="57" t="n">
        <f aca="false">MOD(A1309,1)</f>
        <v>0.208333333343035</v>
      </c>
      <c r="C1309" s="0" t="n">
        <v>0</v>
      </c>
      <c r="D1309" s="0" t="n">
        <v>489.714</v>
      </c>
      <c r="E1309" s="0" t="n">
        <f aca="false">D1309-0.155</f>
        <v>489.559</v>
      </c>
      <c r="F1309" s="0" t="n">
        <v>489.545</v>
      </c>
      <c r="G1309" s="0" t="n">
        <f aca="false">IF(E1309 - F1309 &lt; 0, 0, E1309 - F1309)</f>
        <v>0.01400000000001</v>
      </c>
      <c r="H1309" s="0" t="n">
        <v>1.82</v>
      </c>
      <c r="I1309" s="0" t="n">
        <f aca="false">1.82*30*(G1309^1.5)</f>
        <v>0.0904450277241239</v>
      </c>
      <c r="J1309" s="0" t="n">
        <f aca="false">I1309*60</f>
        <v>5.42670166344743</v>
      </c>
      <c r="K1309" s="0" t="n">
        <f aca="false">(I1309*86400)/24</f>
        <v>325.602099806846</v>
      </c>
    </row>
    <row r="1310" customFormat="false" ht="16.5" hidden="false" customHeight="false" outlineLevel="0" collapsed="false">
      <c r="A1310" s="56" t="n">
        <v>45889.25</v>
      </c>
      <c r="B1310" s="57" t="n">
        <f aca="false">MOD(A1310,1)</f>
        <v>0.25</v>
      </c>
      <c r="C1310" s="0" t="n">
        <v>0</v>
      </c>
      <c r="D1310" s="0" t="n">
        <v>489.713</v>
      </c>
      <c r="E1310" s="0" t="n">
        <f aca="false">D1310-0.155</f>
        <v>489.558</v>
      </c>
      <c r="F1310" s="0" t="n">
        <v>489.545</v>
      </c>
      <c r="G1310" s="0" t="n">
        <f aca="false">IF(E1310 - F1310 &lt; 0, 0, E1310 - F1310)</f>
        <v>0.0130000000000337</v>
      </c>
      <c r="H1310" s="0" t="n">
        <v>1.82</v>
      </c>
      <c r="I1310" s="0" t="n">
        <f aca="false">1.82*30*(G1310^1.5)</f>
        <v>0.0809296516738511</v>
      </c>
      <c r="J1310" s="0" t="n">
        <f aca="false">I1310*60</f>
        <v>4.85577910043106</v>
      </c>
      <c r="K1310" s="0" t="n">
        <f aca="false">(I1310*86400)/24</f>
        <v>291.346746025864</v>
      </c>
    </row>
    <row r="1311" customFormat="false" ht="16.5" hidden="false" customHeight="false" outlineLevel="0" collapsed="false">
      <c r="A1311" s="56" t="n">
        <v>45889.2916666667</v>
      </c>
      <c r="B1311" s="57" t="n">
        <f aca="false">MOD(A1311,1)</f>
        <v>0.291666666656965</v>
      </c>
      <c r="C1311" s="0" t="n">
        <v>0</v>
      </c>
      <c r="D1311" s="0" t="n">
        <v>489.714</v>
      </c>
      <c r="E1311" s="0" t="n">
        <f aca="false">D1311-0.155</f>
        <v>489.559</v>
      </c>
      <c r="F1311" s="0" t="n">
        <v>489.545</v>
      </c>
      <c r="G1311" s="0" t="n">
        <f aca="false">IF(E1311 - F1311 &lt; 0, 0, E1311 - F1311)</f>
        <v>0.01400000000001</v>
      </c>
      <c r="H1311" s="0" t="n">
        <v>1.82</v>
      </c>
      <c r="I1311" s="0" t="n">
        <f aca="false">1.82*30*(G1311^1.5)</f>
        <v>0.0904450277241239</v>
      </c>
      <c r="J1311" s="0" t="n">
        <f aca="false">I1311*60</f>
        <v>5.42670166344743</v>
      </c>
      <c r="K1311" s="0" t="n">
        <f aca="false">(I1311*86400)/24</f>
        <v>325.602099806846</v>
      </c>
    </row>
    <row r="1312" customFormat="false" ht="16.5" hidden="false" customHeight="false" outlineLevel="0" collapsed="false">
      <c r="A1312" s="56" t="n">
        <v>45889.3333333333</v>
      </c>
      <c r="B1312" s="57" t="n">
        <f aca="false">MOD(A1312,1)</f>
        <v>0.333333333343035</v>
      </c>
      <c r="C1312" s="0" t="n">
        <v>0</v>
      </c>
      <c r="D1312" s="0" t="n">
        <v>489.707</v>
      </c>
      <c r="E1312" s="0" t="n">
        <f aca="false">D1312-0.155</f>
        <v>489.552</v>
      </c>
      <c r="F1312" s="0" t="n">
        <v>489.545</v>
      </c>
      <c r="G1312" s="0" t="n">
        <f aca="false">IF(E1312 - F1312 &lt; 0, 0, E1312 - F1312)</f>
        <v>0.007000000000005</v>
      </c>
      <c r="H1312" s="0" t="n">
        <v>1.82</v>
      </c>
      <c r="I1312" s="0" t="n">
        <f aca="false">1.82*30*(G1312^1.5)</f>
        <v>0.0319771462141666</v>
      </c>
      <c r="J1312" s="0" t="n">
        <f aca="false">I1312*60</f>
        <v>1.91862877285</v>
      </c>
      <c r="K1312" s="0" t="n">
        <f aca="false">(I1312*86400)/24</f>
        <v>115.117726371</v>
      </c>
    </row>
    <row r="1313" customFormat="false" ht="16.5" hidden="false" customHeight="false" outlineLevel="0" collapsed="false">
      <c r="A1313" s="56" t="n">
        <v>45889.375</v>
      </c>
      <c r="B1313" s="57" t="n">
        <f aca="false">MOD(A1313,1)</f>
        <v>0.375</v>
      </c>
      <c r="C1313" s="0" t="n">
        <v>0</v>
      </c>
      <c r="D1313" s="0" t="n">
        <v>489.707</v>
      </c>
      <c r="E1313" s="0" t="n">
        <f aca="false">D1313-0.155</f>
        <v>489.552</v>
      </c>
      <c r="F1313" s="0" t="n">
        <v>489.545</v>
      </c>
      <c r="G1313" s="0" t="n">
        <f aca="false">IF(E1313 - F1313 &lt; 0, 0, E1313 - F1313)</f>
        <v>0.007000000000005</v>
      </c>
      <c r="H1313" s="0" t="n">
        <v>1.82</v>
      </c>
      <c r="I1313" s="0" t="n">
        <f aca="false">1.82*30*(G1313^1.5)</f>
        <v>0.0319771462141666</v>
      </c>
      <c r="J1313" s="0" t="n">
        <f aca="false">I1313*60</f>
        <v>1.91862877285</v>
      </c>
      <c r="K1313" s="0" t="n">
        <f aca="false">(I1313*86400)/24</f>
        <v>115.117726371</v>
      </c>
    </row>
    <row r="1314" customFormat="false" ht="16.5" hidden="false" customHeight="false" outlineLevel="0" collapsed="false">
      <c r="A1314" s="56" t="n">
        <v>45889.4166666667</v>
      </c>
      <c r="B1314" s="57" t="n">
        <f aca="false">MOD(A1314,1)</f>
        <v>0.416666666656965</v>
      </c>
      <c r="C1314" s="0" t="n">
        <v>0</v>
      </c>
      <c r="D1314" s="0" t="n">
        <v>489.707</v>
      </c>
      <c r="E1314" s="0" t="n">
        <f aca="false">D1314-0.155</f>
        <v>489.552</v>
      </c>
      <c r="F1314" s="0" t="n">
        <v>489.545</v>
      </c>
      <c r="G1314" s="0" t="n">
        <f aca="false">IF(E1314 - F1314 &lt; 0, 0, E1314 - F1314)</f>
        <v>0.007000000000005</v>
      </c>
      <c r="H1314" s="0" t="n">
        <v>1.82</v>
      </c>
      <c r="I1314" s="0" t="n">
        <f aca="false">1.82*30*(G1314^1.5)</f>
        <v>0.0319771462141666</v>
      </c>
      <c r="J1314" s="0" t="n">
        <f aca="false">I1314*60</f>
        <v>1.91862877285</v>
      </c>
      <c r="K1314" s="0" t="n">
        <f aca="false">(I1314*86400)/24</f>
        <v>115.117726371</v>
      </c>
    </row>
    <row r="1315" customFormat="false" ht="16.5" hidden="false" customHeight="false" outlineLevel="0" collapsed="false">
      <c r="A1315" s="56" t="n">
        <v>45889.4583333333</v>
      </c>
      <c r="B1315" s="57" t="n">
        <f aca="false">MOD(A1315,1)</f>
        <v>0.458333333343035</v>
      </c>
      <c r="C1315" s="0" t="n">
        <v>0</v>
      </c>
      <c r="D1315" s="0" t="n">
        <v>489.707</v>
      </c>
      <c r="E1315" s="0" t="n">
        <f aca="false">D1315-0.155</f>
        <v>489.552</v>
      </c>
      <c r="F1315" s="0" t="n">
        <v>489.545</v>
      </c>
      <c r="G1315" s="0" t="n">
        <f aca="false">IF(E1315 - F1315 &lt; 0, 0, E1315 - F1315)</f>
        <v>0.007000000000005</v>
      </c>
      <c r="H1315" s="0" t="n">
        <v>1.82</v>
      </c>
      <c r="I1315" s="0" t="n">
        <f aca="false">1.82*30*(G1315^1.5)</f>
        <v>0.0319771462141666</v>
      </c>
      <c r="J1315" s="0" t="n">
        <f aca="false">I1315*60</f>
        <v>1.91862877285</v>
      </c>
      <c r="K1315" s="0" t="n">
        <f aca="false">(I1315*86400)/24</f>
        <v>115.117726371</v>
      </c>
    </row>
    <row r="1316" customFormat="false" ht="16.5" hidden="false" customHeight="false" outlineLevel="0" collapsed="false">
      <c r="A1316" s="56" t="n">
        <v>45889.5</v>
      </c>
      <c r="B1316" s="57" t="n">
        <f aca="false">MOD(A1316,1)</f>
        <v>0.5</v>
      </c>
      <c r="C1316" s="0" t="n">
        <v>0</v>
      </c>
      <c r="D1316" s="0" t="n">
        <v>489.7</v>
      </c>
      <c r="E1316" s="0" t="n">
        <f aca="false">D1316-0.155</f>
        <v>489.545</v>
      </c>
      <c r="F1316" s="0" t="n">
        <v>489.545</v>
      </c>
      <c r="G1316" s="0" t="n">
        <f aca="false">IF(E1316 - F1316 &lt; 0, 0, E1316 - F1316)</f>
        <v>0</v>
      </c>
      <c r="H1316" s="0" t="n">
        <v>1.82</v>
      </c>
      <c r="I1316" s="0" t="n">
        <f aca="false">1.82*30*(G1316^1.5)</f>
        <v>0</v>
      </c>
      <c r="J1316" s="0" t="n">
        <f aca="false">I1316*60</f>
        <v>0</v>
      </c>
      <c r="K1316" s="0" t="n">
        <f aca="false">(I1316*86400)/24</f>
        <v>0</v>
      </c>
    </row>
    <row r="1317" customFormat="false" ht="16.5" hidden="false" customHeight="false" outlineLevel="0" collapsed="false">
      <c r="A1317" s="56" t="n">
        <v>45889.5416666667</v>
      </c>
      <c r="B1317" s="57" t="n">
        <f aca="false">MOD(A1317,1)</f>
        <v>0.541666666656965</v>
      </c>
      <c r="C1317" s="0" t="n">
        <v>0</v>
      </c>
      <c r="D1317" s="0" t="n">
        <v>489.7</v>
      </c>
      <c r="E1317" s="0" t="n">
        <f aca="false">D1317-0.155</f>
        <v>489.545</v>
      </c>
      <c r="F1317" s="0" t="n">
        <v>489.545</v>
      </c>
      <c r="G1317" s="0" t="n">
        <f aca="false">IF(E1317 - F1317 &lt; 0, 0, E1317 - F1317)</f>
        <v>0</v>
      </c>
      <c r="H1317" s="0" t="n">
        <v>1.82</v>
      </c>
      <c r="I1317" s="0" t="n">
        <f aca="false">1.82*30*(G1317^1.5)</f>
        <v>0</v>
      </c>
      <c r="J1317" s="0" t="n">
        <f aca="false">I1317*60</f>
        <v>0</v>
      </c>
      <c r="K1317" s="0" t="n">
        <f aca="false">(I1317*86400)/24</f>
        <v>0</v>
      </c>
    </row>
    <row r="1318" customFormat="false" ht="16.5" hidden="false" customHeight="false" outlineLevel="0" collapsed="false">
      <c r="A1318" s="56" t="n">
        <v>45889.5833333333</v>
      </c>
      <c r="B1318" s="57" t="n">
        <f aca="false">MOD(A1318,1)</f>
        <v>0.583333333343035</v>
      </c>
      <c r="C1318" s="0" t="n">
        <v>0</v>
      </c>
      <c r="D1318" s="0" t="n">
        <v>489.7</v>
      </c>
      <c r="E1318" s="0" t="n">
        <f aca="false">D1318-0.155</f>
        <v>489.545</v>
      </c>
      <c r="F1318" s="0" t="n">
        <v>489.545</v>
      </c>
      <c r="G1318" s="0" t="n">
        <f aca="false">IF(E1318 - F1318 &lt; 0, 0, E1318 - F1318)</f>
        <v>0</v>
      </c>
      <c r="H1318" s="0" t="n">
        <v>1.82</v>
      </c>
      <c r="I1318" s="0" t="n">
        <f aca="false">1.82*30*(G1318^1.5)</f>
        <v>0</v>
      </c>
      <c r="J1318" s="0" t="n">
        <f aca="false">I1318*60</f>
        <v>0</v>
      </c>
      <c r="K1318" s="0" t="n">
        <f aca="false">(I1318*86400)/24</f>
        <v>0</v>
      </c>
    </row>
    <row r="1319" customFormat="false" ht="16.5" hidden="false" customHeight="false" outlineLevel="0" collapsed="false">
      <c r="A1319" s="56" t="n">
        <v>45889.625</v>
      </c>
      <c r="B1319" s="57" t="n">
        <f aca="false">MOD(A1319,1)</f>
        <v>0.625</v>
      </c>
      <c r="C1319" s="0" t="n">
        <v>0</v>
      </c>
      <c r="D1319" s="0" t="n">
        <v>489.694</v>
      </c>
      <c r="E1319" s="0" t="n">
        <f aca="false">D1319-0.155</f>
        <v>489.539</v>
      </c>
      <c r="F1319" s="0" t="n">
        <v>489.545</v>
      </c>
      <c r="G1319" s="0" t="n">
        <f aca="false">IF(E1319 - F1319 &lt; 0, 0, E1319 - F1319)</f>
        <v>0</v>
      </c>
      <c r="H1319" s="0" t="n">
        <v>1.82</v>
      </c>
      <c r="I1319" s="0" t="n">
        <f aca="false">1.82*30*(G1319^1.5)</f>
        <v>0</v>
      </c>
      <c r="J1319" s="0" t="n">
        <f aca="false">I1319*60</f>
        <v>0</v>
      </c>
      <c r="K1319" s="0" t="n">
        <f aca="false">(I1319*86400)/24</f>
        <v>0</v>
      </c>
    </row>
    <row r="1320" customFormat="false" ht="16.5" hidden="false" customHeight="false" outlineLevel="0" collapsed="false">
      <c r="A1320" s="56" t="n">
        <v>45889.6666666667</v>
      </c>
      <c r="B1320" s="57" t="n">
        <f aca="false">MOD(A1320,1)</f>
        <v>0.666666666656965</v>
      </c>
      <c r="C1320" s="0" t="n">
        <v>0</v>
      </c>
      <c r="D1320" s="0" t="n">
        <v>489.694</v>
      </c>
      <c r="E1320" s="0" t="n">
        <f aca="false">D1320-0.155</f>
        <v>489.539</v>
      </c>
      <c r="F1320" s="0" t="n">
        <v>489.545</v>
      </c>
      <c r="G1320" s="0" t="n">
        <f aca="false">IF(E1320 - F1320 &lt; 0, 0, E1320 - F1320)</f>
        <v>0</v>
      </c>
      <c r="H1320" s="0" t="n">
        <v>1.82</v>
      </c>
      <c r="I1320" s="0" t="n">
        <f aca="false">1.82*30*(G1320^1.5)</f>
        <v>0</v>
      </c>
      <c r="J1320" s="0" t="n">
        <f aca="false">I1320*60</f>
        <v>0</v>
      </c>
      <c r="K1320" s="0" t="n">
        <f aca="false">(I1320*86400)/24</f>
        <v>0</v>
      </c>
    </row>
    <row r="1321" customFormat="false" ht="16.5" hidden="false" customHeight="false" outlineLevel="0" collapsed="false">
      <c r="A1321" s="56" t="n">
        <v>45889.7083333333</v>
      </c>
      <c r="B1321" s="57" t="n">
        <f aca="false">MOD(A1321,1)</f>
        <v>0.708333333343035</v>
      </c>
      <c r="C1321" s="0" t="n">
        <v>0</v>
      </c>
      <c r="D1321" s="0" t="n">
        <v>489.694</v>
      </c>
      <c r="E1321" s="0" t="n">
        <f aca="false">D1321-0.155</f>
        <v>489.539</v>
      </c>
      <c r="F1321" s="0" t="n">
        <v>489.545</v>
      </c>
      <c r="G1321" s="0" t="n">
        <f aca="false">IF(E1321 - F1321 &lt; 0, 0, E1321 - F1321)</f>
        <v>0</v>
      </c>
      <c r="H1321" s="0" t="n">
        <v>1.82</v>
      </c>
      <c r="I1321" s="0" t="n">
        <f aca="false">1.82*30*(G1321^1.5)</f>
        <v>0</v>
      </c>
      <c r="J1321" s="0" t="n">
        <f aca="false">I1321*60</f>
        <v>0</v>
      </c>
      <c r="K1321" s="0" t="n">
        <f aca="false">(I1321*86400)/24</f>
        <v>0</v>
      </c>
    </row>
    <row r="1322" customFormat="false" ht="16.5" hidden="false" customHeight="false" outlineLevel="0" collapsed="false">
      <c r="A1322" s="56" t="n">
        <v>45889.75</v>
      </c>
      <c r="B1322" s="57" t="n">
        <f aca="false">MOD(A1322,1)</f>
        <v>0.75</v>
      </c>
      <c r="C1322" s="0" t="n">
        <v>0</v>
      </c>
      <c r="D1322" s="0" t="n">
        <v>489.694</v>
      </c>
      <c r="E1322" s="0" t="n">
        <f aca="false">D1322-0.155</f>
        <v>489.539</v>
      </c>
      <c r="F1322" s="0" t="n">
        <v>489.545</v>
      </c>
      <c r="G1322" s="0" t="n">
        <f aca="false">IF(E1322 - F1322 &lt; 0, 0, E1322 - F1322)</f>
        <v>0</v>
      </c>
      <c r="H1322" s="0" t="n">
        <v>1.82</v>
      </c>
      <c r="I1322" s="0" t="n">
        <f aca="false">1.82*30*(G1322^1.5)</f>
        <v>0</v>
      </c>
      <c r="J1322" s="0" t="n">
        <f aca="false">I1322*60</f>
        <v>0</v>
      </c>
      <c r="K1322" s="0" t="n">
        <f aca="false">(I1322*86400)/24</f>
        <v>0</v>
      </c>
    </row>
    <row r="1323" customFormat="false" ht="16.5" hidden="false" customHeight="false" outlineLevel="0" collapsed="false">
      <c r="A1323" s="56" t="n">
        <v>45889.7916666667</v>
      </c>
      <c r="B1323" s="57" t="n">
        <f aca="false">MOD(A1323,1)</f>
        <v>0.791666666656965</v>
      </c>
      <c r="C1323" s="0" t="n">
        <v>0</v>
      </c>
      <c r="D1323" s="0" t="n">
        <v>489.689</v>
      </c>
      <c r="E1323" s="0" t="n">
        <f aca="false">D1323-0.155</f>
        <v>489.534</v>
      </c>
      <c r="F1323" s="0" t="n">
        <v>489.545</v>
      </c>
      <c r="G1323" s="0" t="n">
        <f aca="false">IF(E1323 - F1323 &lt; 0, 0, E1323 - F1323)</f>
        <v>0</v>
      </c>
      <c r="H1323" s="0" t="n">
        <v>1.82</v>
      </c>
      <c r="I1323" s="0" t="n">
        <f aca="false">1.82*30*(G1323^1.5)</f>
        <v>0</v>
      </c>
      <c r="J1323" s="0" t="n">
        <f aca="false">I1323*60</f>
        <v>0</v>
      </c>
      <c r="K1323" s="0" t="n">
        <f aca="false">(I1323*86400)/24</f>
        <v>0</v>
      </c>
    </row>
    <row r="1324" customFormat="false" ht="16.5" hidden="false" customHeight="false" outlineLevel="0" collapsed="false">
      <c r="A1324" s="56" t="n">
        <v>45889.8333333333</v>
      </c>
      <c r="B1324" s="57" t="n">
        <f aca="false">MOD(A1324,1)</f>
        <v>0.833333333343035</v>
      </c>
      <c r="C1324" s="0" t="n">
        <v>0</v>
      </c>
      <c r="D1324" s="0" t="n">
        <v>489.689</v>
      </c>
      <c r="E1324" s="0" t="n">
        <f aca="false">D1324-0.155</f>
        <v>489.534</v>
      </c>
      <c r="F1324" s="0" t="n">
        <v>489.545</v>
      </c>
      <c r="G1324" s="0" t="n">
        <f aca="false">IF(E1324 - F1324 &lt; 0, 0, E1324 - F1324)</f>
        <v>0</v>
      </c>
      <c r="H1324" s="0" t="n">
        <v>1.82</v>
      </c>
      <c r="I1324" s="0" t="n">
        <f aca="false">1.82*30*(G1324^1.5)</f>
        <v>0</v>
      </c>
      <c r="J1324" s="0" t="n">
        <f aca="false">I1324*60</f>
        <v>0</v>
      </c>
      <c r="K1324" s="0" t="n">
        <f aca="false">(I1324*86400)/24</f>
        <v>0</v>
      </c>
    </row>
    <row r="1325" customFormat="false" ht="16.5" hidden="false" customHeight="false" outlineLevel="0" collapsed="false">
      <c r="A1325" s="56" t="n">
        <v>45889.875</v>
      </c>
      <c r="B1325" s="57" t="n">
        <f aca="false">MOD(A1325,1)</f>
        <v>0.875</v>
      </c>
      <c r="C1325" s="0" t="n">
        <v>0</v>
      </c>
      <c r="D1325" s="0" t="n">
        <v>489.689</v>
      </c>
      <c r="E1325" s="0" t="n">
        <f aca="false">D1325-0.155</f>
        <v>489.534</v>
      </c>
      <c r="F1325" s="0" t="n">
        <v>489.545</v>
      </c>
      <c r="G1325" s="0" t="n">
        <f aca="false">IF(E1325 - F1325 &lt; 0, 0, E1325 - F1325)</f>
        <v>0</v>
      </c>
      <c r="H1325" s="0" t="n">
        <v>1.82</v>
      </c>
      <c r="I1325" s="0" t="n">
        <f aca="false">1.82*30*(G1325^1.5)</f>
        <v>0</v>
      </c>
      <c r="J1325" s="0" t="n">
        <f aca="false">I1325*60</f>
        <v>0</v>
      </c>
      <c r="K1325" s="0" t="n">
        <f aca="false">(I1325*86400)/24</f>
        <v>0</v>
      </c>
    </row>
    <row r="1326" customFormat="false" ht="16.5" hidden="false" customHeight="false" outlineLevel="0" collapsed="false">
      <c r="A1326" s="56" t="n">
        <v>45889.9166666667</v>
      </c>
      <c r="B1326" s="57" t="n">
        <f aca="false">MOD(A1326,1)</f>
        <v>0.916666666656965</v>
      </c>
      <c r="C1326" s="0" t="n">
        <v>0</v>
      </c>
      <c r="D1326" s="0" t="n">
        <v>489.682</v>
      </c>
      <c r="E1326" s="0" t="n">
        <f aca="false">D1326-0.155</f>
        <v>489.527</v>
      </c>
      <c r="F1326" s="0" t="n">
        <v>489.545</v>
      </c>
      <c r="G1326" s="0" t="n">
        <f aca="false">IF(E1326 - F1326 &lt; 0, 0, E1326 - F1326)</f>
        <v>0</v>
      </c>
      <c r="H1326" s="0" t="n">
        <v>1.82</v>
      </c>
      <c r="I1326" s="0" t="n">
        <f aca="false">1.82*30*(G1326^1.5)</f>
        <v>0</v>
      </c>
      <c r="J1326" s="0" t="n">
        <f aca="false">I1326*60</f>
        <v>0</v>
      </c>
      <c r="K1326" s="0" t="n">
        <f aca="false">(I1326*86400)/24</f>
        <v>0</v>
      </c>
    </row>
    <row r="1327" customFormat="false" ht="16.5" hidden="false" customHeight="false" outlineLevel="0" collapsed="false">
      <c r="A1327" s="56" t="n">
        <v>45889.9583333333</v>
      </c>
      <c r="B1327" s="57" t="n">
        <f aca="false">MOD(A1327,1)</f>
        <v>0.958333333343035</v>
      </c>
      <c r="C1327" s="0" t="n">
        <v>0</v>
      </c>
      <c r="D1327" s="0" t="n">
        <v>489.683</v>
      </c>
      <c r="E1327" s="0" t="n">
        <f aca="false">D1327-0.155</f>
        <v>489.528</v>
      </c>
      <c r="F1327" s="0" t="n">
        <v>489.545</v>
      </c>
      <c r="G1327" s="0" t="n">
        <f aca="false">IF(E1327 - F1327 &lt; 0, 0, E1327 - F1327)</f>
        <v>0</v>
      </c>
      <c r="H1327" s="0" t="n">
        <v>1.82</v>
      </c>
      <c r="I1327" s="0" t="n">
        <f aca="false">1.82*30*(G1327^1.5)</f>
        <v>0</v>
      </c>
      <c r="J1327" s="0" t="n">
        <f aca="false">I1327*60</f>
        <v>0</v>
      </c>
      <c r="K1327" s="0" t="n">
        <f aca="false">(I1327*86400)/24</f>
        <v>0</v>
      </c>
    </row>
    <row r="1328" customFormat="false" ht="16.5" hidden="false" customHeight="false" outlineLevel="0" collapsed="false">
      <c r="A1328" s="56" t="n">
        <v>45890</v>
      </c>
      <c r="B1328" s="57" t="n">
        <f aca="false">MOD(A1328,1)</f>
        <v>0</v>
      </c>
      <c r="C1328" s="0" t="n">
        <v>0</v>
      </c>
      <c r="D1328" s="0" t="n">
        <v>489.682</v>
      </c>
      <c r="E1328" s="0" t="n">
        <f aca="false">D1328-0.155</f>
        <v>489.527</v>
      </c>
      <c r="F1328" s="0" t="n">
        <v>489.545</v>
      </c>
      <c r="G1328" s="0" t="n">
        <f aca="false">IF(E1328 - F1328 &lt; 0, 0, E1328 - F1328)</f>
        <v>0</v>
      </c>
      <c r="H1328" s="0" t="n">
        <v>1.82</v>
      </c>
      <c r="I1328" s="0" t="n">
        <f aca="false">1.82*30*(G1328^1.5)</f>
        <v>0</v>
      </c>
      <c r="J1328" s="0" t="n">
        <f aca="false">I1328*60</f>
        <v>0</v>
      </c>
      <c r="K1328" s="0" t="n">
        <f aca="false">(I1328*86400)/24</f>
        <v>0</v>
      </c>
    </row>
    <row r="1329" customFormat="false" ht="16.5" hidden="false" customHeight="false" outlineLevel="0" collapsed="false">
      <c r="A1329" s="56" t="n">
        <v>45890.0416666667</v>
      </c>
      <c r="B1329" s="57" t="n">
        <f aca="false">MOD(A1329,1)</f>
        <v>0.0416666666569654</v>
      </c>
      <c r="C1329" s="0" t="n">
        <v>0</v>
      </c>
      <c r="D1329" s="0" t="n">
        <v>489.683</v>
      </c>
      <c r="E1329" s="0" t="n">
        <f aca="false">D1329-0.155</f>
        <v>489.528</v>
      </c>
      <c r="F1329" s="0" t="n">
        <v>489.545</v>
      </c>
      <c r="G1329" s="0" t="n">
        <f aca="false">IF(E1329 - F1329 &lt; 0, 0, E1329 - F1329)</f>
        <v>0</v>
      </c>
      <c r="H1329" s="0" t="n">
        <v>1.82</v>
      </c>
      <c r="I1329" s="0" t="n">
        <f aca="false">1.82*30*(G1329^1.5)</f>
        <v>0</v>
      </c>
      <c r="J1329" s="0" t="n">
        <f aca="false">I1329*60</f>
        <v>0</v>
      </c>
      <c r="K1329" s="0" t="n">
        <f aca="false">(I1329*86400)/24</f>
        <v>0</v>
      </c>
    </row>
    <row r="1330" customFormat="false" ht="16.5" hidden="false" customHeight="false" outlineLevel="0" collapsed="false">
      <c r="A1330" s="56" t="n">
        <v>45890.0833333333</v>
      </c>
      <c r="B1330" s="57" t="n">
        <f aca="false">MOD(A1330,1)</f>
        <v>0.0833333333430346</v>
      </c>
      <c r="C1330" s="0" t="n">
        <v>0</v>
      </c>
      <c r="D1330" s="0" t="n">
        <v>489.683</v>
      </c>
      <c r="E1330" s="0" t="n">
        <f aca="false">D1330-0.155</f>
        <v>489.528</v>
      </c>
      <c r="F1330" s="0" t="n">
        <v>489.545</v>
      </c>
      <c r="G1330" s="0" t="n">
        <f aca="false">IF(E1330 - F1330 &lt; 0, 0, E1330 - F1330)</f>
        <v>0</v>
      </c>
      <c r="H1330" s="0" t="n">
        <v>1.82</v>
      </c>
      <c r="I1330" s="0" t="n">
        <f aca="false">1.82*30*(G1330^1.5)</f>
        <v>0</v>
      </c>
      <c r="J1330" s="0" t="n">
        <f aca="false">I1330*60</f>
        <v>0</v>
      </c>
      <c r="K1330" s="0" t="n">
        <f aca="false">(I1330*86400)/24</f>
        <v>0</v>
      </c>
    </row>
    <row r="1331" customFormat="false" ht="16.5" hidden="false" customHeight="false" outlineLevel="0" collapsed="false">
      <c r="A1331" s="56" t="n">
        <v>45890.125</v>
      </c>
      <c r="B1331" s="57" t="n">
        <f aca="false">MOD(A1331,1)</f>
        <v>0.125</v>
      </c>
      <c r="C1331" s="0" t="n">
        <v>0</v>
      </c>
      <c r="D1331" s="0" t="n">
        <v>489.683</v>
      </c>
      <c r="E1331" s="0" t="n">
        <f aca="false">D1331-0.155</f>
        <v>489.528</v>
      </c>
      <c r="F1331" s="0" t="n">
        <v>489.545</v>
      </c>
      <c r="G1331" s="0" t="n">
        <f aca="false">IF(E1331 - F1331 &lt; 0, 0, E1331 - F1331)</f>
        <v>0</v>
      </c>
      <c r="H1331" s="0" t="n">
        <v>1.82</v>
      </c>
      <c r="I1331" s="0" t="n">
        <f aca="false">1.82*30*(G1331^1.5)</f>
        <v>0</v>
      </c>
      <c r="J1331" s="0" t="n">
        <f aca="false">I1331*60</f>
        <v>0</v>
      </c>
      <c r="K1331" s="0" t="n">
        <f aca="false">(I1331*86400)/24</f>
        <v>0</v>
      </c>
    </row>
    <row r="1332" customFormat="false" ht="16.5" hidden="false" customHeight="false" outlineLevel="0" collapsed="false">
      <c r="A1332" s="56" t="n">
        <v>45890.1666666667</v>
      </c>
      <c r="B1332" s="57" t="n">
        <f aca="false">MOD(A1332,1)</f>
        <v>0.166666666656965</v>
      </c>
      <c r="C1332" s="0" t="n">
        <v>0</v>
      </c>
      <c r="D1332" s="0" t="n">
        <v>489.675</v>
      </c>
      <c r="E1332" s="0" t="n">
        <f aca="false">D1332-0.155</f>
        <v>489.52</v>
      </c>
      <c r="F1332" s="0" t="n">
        <v>489.545</v>
      </c>
      <c r="G1332" s="0" t="n">
        <f aca="false">IF(E1332 - F1332 &lt; 0, 0, E1332 - F1332)</f>
        <v>0</v>
      </c>
      <c r="H1332" s="0" t="n">
        <v>1.82</v>
      </c>
      <c r="I1332" s="0" t="n">
        <f aca="false">1.82*30*(G1332^1.5)</f>
        <v>0</v>
      </c>
      <c r="J1332" s="0" t="n">
        <f aca="false">I1332*60</f>
        <v>0</v>
      </c>
      <c r="K1332" s="0" t="n">
        <f aca="false">(I1332*86400)/24</f>
        <v>0</v>
      </c>
    </row>
    <row r="1333" customFormat="false" ht="16.5" hidden="false" customHeight="false" outlineLevel="0" collapsed="false">
      <c r="A1333" s="56" t="n">
        <v>45890.2083333333</v>
      </c>
      <c r="B1333" s="57" t="n">
        <f aca="false">MOD(A1333,1)</f>
        <v>0.208333333343035</v>
      </c>
      <c r="C1333" s="0" t="n">
        <v>0</v>
      </c>
      <c r="D1333" s="0" t="n">
        <v>489.67</v>
      </c>
      <c r="E1333" s="0" t="n">
        <f aca="false">D1333-0.155</f>
        <v>489.515</v>
      </c>
      <c r="F1333" s="0" t="n">
        <v>489.545</v>
      </c>
      <c r="G1333" s="0" t="n">
        <f aca="false">IF(E1333 - F1333 &lt; 0, 0, E1333 - F1333)</f>
        <v>0</v>
      </c>
      <c r="H1333" s="0" t="n">
        <v>1.82</v>
      </c>
      <c r="I1333" s="0" t="n">
        <f aca="false">1.82*30*(G1333^1.5)</f>
        <v>0</v>
      </c>
      <c r="J1333" s="0" t="n">
        <f aca="false">I1333*60</f>
        <v>0</v>
      </c>
      <c r="K1333" s="0" t="n">
        <f aca="false">(I1333*86400)/24</f>
        <v>0</v>
      </c>
    </row>
    <row r="1334" customFormat="false" ht="16.5" hidden="false" customHeight="false" outlineLevel="0" collapsed="false">
      <c r="A1334" s="56" t="n">
        <v>45890.25</v>
      </c>
      <c r="B1334" s="57" t="n">
        <f aca="false">MOD(A1334,1)</f>
        <v>0.25</v>
      </c>
      <c r="C1334" s="0" t="n">
        <v>0</v>
      </c>
      <c r="D1334" s="0" t="n">
        <v>489.67</v>
      </c>
      <c r="E1334" s="0" t="n">
        <f aca="false">D1334-0.155</f>
        <v>489.515</v>
      </c>
      <c r="F1334" s="0" t="n">
        <v>489.545</v>
      </c>
      <c r="G1334" s="0" t="n">
        <f aca="false">IF(E1334 - F1334 &lt; 0, 0, E1334 - F1334)</f>
        <v>0</v>
      </c>
      <c r="H1334" s="0" t="n">
        <v>1.82</v>
      </c>
      <c r="I1334" s="0" t="n">
        <f aca="false">1.82*30*(G1334^1.5)</f>
        <v>0</v>
      </c>
      <c r="J1334" s="0" t="n">
        <f aca="false">I1334*60</f>
        <v>0</v>
      </c>
      <c r="K1334" s="0" t="n">
        <f aca="false">(I1334*86400)/24</f>
        <v>0</v>
      </c>
    </row>
    <row r="1335" customFormat="false" ht="16.5" hidden="false" customHeight="false" outlineLevel="0" collapsed="false">
      <c r="A1335" s="56" t="n">
        <v>45890.2916666667</v>
      </c>
      <c r="B1335" s="57" t="n">
        <f aca="false">MOD(A1335,1)</f>
        <v>0.291666666656965</v>
      </c>
      <c r="C1335" s="0" t="n">
        <v>0</v>
      </c>
      <c r="D1335" s="0" t="n">
        <v>489.669</v>
      </c>
      <c r="E1335" s="0" t="n">
        <f aca="false">D1335-0.155</f>
        <v>489.514</v>
      </c>
      <c r="F1335" s="0" t="n">
        <v>489.545</v>
      </c>
      <c r="G1335" s="0" t="n">
        <f aca="false">IF(E1335 - F1335 &lt; 0, 0, E1335 - F1335)</f>
        <v>0</v>
      </c>
      <c r="H1335" s="0" t="n">
        <v>1.82</v>
      </c>
      <c r="I1335" s="0" t="n">
        <f aca="false">1.82*30*(G1335^1.5)</f>
        <v>0</v>
      </c>
      <c r="J1335" s="0" t="n">
        <f aca="false">I1335*60</f>
        <v>0</v>
      </c>
      <c r="K1335" s="0" t="n">
        <f aca="false">(I1335*86400)/24</f>
        <v>0</v>
      </c>
    </row>
    <row r="1336" customFormat="false" ht="16.5" hidden="false" customHeight="false" outlineLevel="0" collapsed="false">
      <c r="A1336" s="56" t="n">
        <v>45890.3333333333</v>
      </c>
      <c r="B1336" s="57" t="n">
        <f aca="false">MOD(A1336,1)</f>
        <v>0.333333333343035</v>
      </c>
      <c r="C1336" s="0" t="n">
        <v>0</v>
      </c>
      <c r="D1336" s="0" t="n">
        <v>489.669</v>
      </c>
      <c r="E1336" s="0" t="n">
        <f aca="false">D1336-0.155</f>
        <v>489.514</v>
      </c>
      <c r="F1336" s="0" t="n">
        <v>489.545</v>
      </c>
      <c r="G1336" s="0" t="n">
        <f aca="false">IF(E1336 - F1336 &lt; 0, 0, E1336 - F1336)</f>
        <v>0</v>
      </c>
      <c r="H1336" s="0" t="n">
        <v>1.82</v>
      </c>
      <c r="I1336" s="0" t="n">
        <f aca="false">1.82*30*(G1336^1.5)</f>
        <v>0</v>
      </c>
      <c r="J1336" s="0" t="n">
        <f aca="false">I1336*60</f>
        <v>0</v>
      </c>
      <c r="K1336" s="0" t="n">
        <f aca="false">(I1336*86400)/24</f>
        <v>0</v>
      </c>
    </row>
    <row r="1337" customFormat="false" ht="16.5" hidden="false" customHeight="false" outlineLevel="0" collapsed="false">
      <c r="A1337" s="56" t="n">
        <v>45890.375</v>
      </c>
      <c r="B1337" s="57" t="n">
        <f aca="false">MOD(A1337,1)</f>
        <v>0.375</v>
      </c>
      <c r="C1337" s="0" t="n">
        <v>0</v>
      </c>
      <c r="D1337" s="0" t="n">
        <v>489.669</v>
      </c>
      <c r="E1337" s="0" t="n">
        <f aca="false">D1337-0.155</f>
        <v>489.514</v>
      </c>
      <c r="F1337" s="0" t="n">
        <v>489.545</v>
      </c>
      <c r="G1337" s="0" t="n">
        <f aca="false">IF(E1337 - F1337 &lt; 0, 0, E1337 - F1337)</f>
        <v>0</v>
      </c>
      <c r="H1337" s="0" t="n">
        <v>1.82</v>
      </c>
      <c r="I1337" s="0" t="n">
        <f aca="false">1.82*30*(G1337^1.5)</f>
        <v>0</v>
      </c>
      <c r="J1337" s="0" t="n">
        <f aca="false">I1337*60</f>
        <v>0</v>
      </c>
      <c r="K1337" s="0" t="n">
        <f aca="false">(I1337*86400)/24</f>
        <v>0</v>
      </c>
    </row>
    <row r="1338" customFormat="false" ht="16.5" hidden="false" customHeight="false" outlineLevel="0" collapsed="false">
      <c r="A1338" s="56" t="n">
        <v>45890.4166666667</v>
      </c>
      <c r="B1338" s="57" t="n">
        <f aca="false">MOD(A1338,1)</f>
        <v>0.416666666656965</v>
      </c>
      <c r="C1338" s="0" t="n">
        <v>0</v>
      </c>
      <c r="D1338" s="0" t="n">
        <v>489.669</v>
      </c>
      <c r="E1338" s="0" t="n">
        <f aca="false">D1338-0.155</f>
        <v>489.514</v>
      </c>
      <c r="F1338" s="0" t="n">
        <v>489.545</v>
      </c>
      <c r="G1338" s="0" t="n">
        <f aca="false">IF(E1338 - F1338 &lt; 0, 0, E1338 - F1338)</f>
        <v>0</v>
      </c>
      <c r="H1338" s="0" t="n">
        <v>1.82</v>
      </c>
      <c r="I1338" s="0" t="n">
        <f aca="false">1.82*30*(G1338^1.5)</f>
        <v>0</v>
      </c>
      <c r="J1338" s="0" t="n">
        <f aca="false">I1338*60</f>
        <v>0</v>
      </c>
      <c r="K1338" s="0" t="n">
        <f aca="false">(I1338*86400)/24</f>
        <v>0</v>
      </c>
    </row>
    <row r="1339" customFormat="false" ht="16.5" hidden="false" customHeight="false" outlineLevel="0" collapsed="false">
      <c r="A1339" s="56" t="n">
        <v>45890.4583333333</v>
      </c>
      <c r="B1339" s="57" t="n">
        <f aca="false">MOD(A1339,1)</f>
        <v>0.458333333343035</v>
      </c>
      <c r="C1339" s="0" t="n">
        <v>0</v>
      </c>
      <c r="D1339" s="0" t="n">
        <v>489.669</v>
      </c>
      <c r="E1339" s="0" t="n">
        <f aca="false">D1339-0.155</f>
        <v>489.514</v>
      </c>
      <c r="F1339" s="0" t="n">
        <v>489.545</v>
      </c>
      <c r="G1339" s="0" t="n">
        <f aca="false">IF(E1339 - F1339 &lt; 0, 0, E1339 - F1339)</f>
        <v>0</v>
      </c>
      <c r="H1339" s="0" t="n">
        <v>1.82</v>
      </c>
      <c r="I1339" s="0" t="n">
        <f aca="false">1.82*30*(G1339^1.5)</f>
        <v>0</v>
      </c>
      <c r="J1339" s="0" t="n">
        <f aca="false">I1339*60</f>
        <v>0</v>
      </c>
      <c r="K1339" s="0" t="n">
        <f aca="false">(I1339*86400)/24</f>
        <v>0</v>
      </c>
    </row>
    <row r="1340" customFormat="false" ht="16.5" hidden="false" customHeight="false" outlineLevel="0" collapsed="false">
      <c r="A1340" s="56" t="n">
        <v>45890.5</v>
      </c>
      <c r="B1340" s="57" t="n">
        <f aca="false">MOD(A1340,1)</f>
        <v>0.5</v>
      </c>
      <c r="C1340" s="0" t="n">
        <v>0</v>
      </c>
      <c r="D1340" s="0" t="n">
        <v>489.662</v>
      </c>
      <c r="E1340" s="0" t="n">
        <f aca="false">D1340-0.155</f>
        <v>489.507</v>
      </c>
      <c r="F1340" s="0" t="n">
        <v>489.545</v>
      </c>
      <c r="G1340" s="0" t="n">
        <f aca="false">IF(E1340 - F1340 &lt; 0, 0, E1340 - F1340)</f>
        <v>0</v>
      </c>
      <c r="H1340" s="0" t="n">
        <v>1.82</v>
      </c>
      <c r="I1340" s="0" t="n">
        <f aca="false">1.82*30*(G1340^1.5)</f>
        <v>0</v>
      </c>
      <c r="J1340" s="0" t="n">
        <f aca="false">I1340*60</f>
        <v>0</v>
      </c>
      <c r="K1340" s="0" t="n">
        <f aca="false">(I1340*86400)/24</f>
        <v>0</v>
      </c>
    </row>
    <row r="1341" customFormat="false" ht="16.5" hidden="false" customHeight="false" outlineLevel="0" collapsed="false">
      <c r="A1341" s="56" t="n">
        <v>45890.5416666667</v>
      </c>
      <c r="B1341" s="57" t="n">
        <f aca="false">MOD(A1341,1)</f>
        <v>0.541666666656965</v>
      </c>
      <c r="C1341" s="0" t="n">
        <v>0</v>
      </c>
      <c r="D1341" s="0" t="n">
        <v>489.662</v>
      </c>
      <c r="E1341" s="0" t="n">
        <f aca="false">D1341-0.155</f>
        <v>489.507</v>
      </c>
      <c r="F1341" s="0" t="n">
        <v>489.545</v>
      </c>
      <c r="G1341" s="0" t="n">
        <f aca="false">IF(E1341 - F1341 &lt; 0, 0, E1341 - F1341)</f>
        <v>0</v>
      </c>
      <c r="H1341" s="0" t="n">
        <v>1.82</v>
      </c>
      <c r="I1341" s="0" t="n">
        <f aca="false">1.82*30*(G1341^1.5)</f>
        <v>0</v>
      </c>
      <c r="J1341" s="0" t="n">
        <f aca="false">I1341*60</f>
        <v>0</v>
      </c>
      <c r="K1341" s="0" t="n">
        <f aca="false">(I1341*86400)/24</f>
        <v>0</v>
      </c>
    </row>
    <row r="1342" customFormat="false" ht="16.5" hidden="false" customHeight="false" outlineLevel="0" collapsed="false">
      <c r="A1342" s="56" t="n">
        <v>45890.5833333333</v>
      </c>
      <c r="B1342" s="57" t="n">
        <f aca="false">MOD(A1342,1)</f>
        <v>0.583333333343035</v>
      </c>
      <c r="C1342" s="0" t="n">
        <v>0</v>
      </c>
      <c r="D1342" s="0" t="n">
        <v>489.663</v>
      </c>
      <c r="E1342" s="0" t="n">
        <f aca="false">D1342-0.155</f>
        <v>489.508</v>
      </c>
      <c r="F1342" s="0" t="n">
        <v>489.545</v>
      </c>
      <c r="G1342" s="0" t="n">
        <f aca="false">IF(E1342 - F1342 &lt; 0, 0, E1342 - F1342)</f>
        <v>0</v>
      </c>
      <c r="H1342" s="0" t="n">
        <v>1.82</v>
      </c>
      <c r="I1342" s="0" t="n">
        <f aca="false">1.82*30*(G1342^1.5)</f>
        <v>0</v>
      </c>
      <c r="J1342" s="0" t="n">
        <f aca="false">I1342*60</f>
        <v>0</v>
      </c>
      <c r="K1342" s="0" t="n">
        <f aca="false">(I1342*86400)/24</f>
        <v>0</v>
      </c>
    </row>
    <row r="1343" customFormat="false" ht="16.5" hidden="false" customHeight="false" outlineLevel="0" collapsed="false">
      <c r="A1343" s="56" t="n">
        <v>45890.625</v>
      </c>
      <c r="B1343" s="57" t="n">
        <f aca="false">MOD(A1343,1)</f>
        <v>0.625</v>
      </c>
      <c r="C1343" s="0" t="n">
        <v>0</v>
      </c>
      <c r="D1343" s="0" t="n">
        <v>489.663</v>
      </c>
      <c r="E1343" s="0" t="n">
        <f aca="false">D1343-0.155</f>
        <v>489.508</v>
      </c>
      <c r="F1343" s="0" t="n">
        <v>489.545</v>
      </c>
      <c r="G1343" s="0" t="n">
        <f aca="false">IF(E1343 - F1343 &lt; 0, 0, E1343 - F1343)</f>
        <v>0</v>
      </c>
      <c r="H1343" s="0" t="n">
        <v>1.82</v>
      </c>
      <c r="I1343" s="0" t="n">
        <f aca="false">1.82*30*(G1343^1.5)</f>
        <v>0</v>
      </c>
      <c r="J1343" s="0" t="n">
        <f aca="false">I1343*60</f>
        <v>0</v>
      </c>
      <c r="K1343" s="0" t="n">
        <f aca="false">(I1343*86400)/24</f>
        <v>0</v>
      </c>
    </row>
    <row r="1344" customFormat="false" ht="16.5" hidden="false" customHeight="false" outlineLevel="0" collapsed="false">
      <c r="A1344" s="56" t="n">
        <v>45890.6666666667</v>
      </c>
      <c r="B1344" s="57" t="n">
        <f aca="false">MOD(A1344,1)</f>
        <v>0.666666666656965</v>
      </c>
      <c r="C1344" s="0" t="n">
        <v>0</v>
      </c>
      <c r="D1344" s="0" t="n">
        <v>489.662</v>
      </c>
      <c r="E1344" s="0" t="n">
        <f aca="false">D1344-0.155</f>
        <v>489.507</v>
      </c>
      <c r="F1344" s="0" t="n">
        <v>489.545</v>
      </c>
      <c r="G1344" s="0" t="n">
        <f aca="false">IF(E1344 - F1344 &lt; 0, 0, E1344 - F1344)</f>
        <v>0</v>
      </c>
      <c r="H1344" s="0" t="n">
        <v>1.82</v>
      </c>
      <c r="I1344" s="0" t="n">
        <f aca="false">1.82*30*(G1344^1.5)</f>
        <v>0</v>
      </c>
      <c r="J1344" s="0" t="n">
        <f aca="false">I1344*60</f>
        <v>0</v>
      </c>
      <c r="K1344" s="0" t="n">
        <f aca="false">(I1344*86400)/24</f>
        <v>0</v>
      </c>
    </row>
    <row r="1345" customFormat="false" ht="16.5" hidden="false" customHeight="false" outlineLevel="0" collapsed="false">
      <c r="A1345" s="56" t="n">
        <v>45890.7083333333</v>
      </c>
      <c r="B1345" s="57" t="n">
        <f aca="false">MOD(A1345,1)</f>
        <v>0.708333333343035</v>
      </c>
      <c r="C1345" s="0" t="n">
        <v>0</v>
      </c>
      <c r="D1345" s="0" t="n">
        <v>489.662</v>
      </c>
      <c r="E1345" s="0" t="n">
        <f aca="false">D1345-0.155</f>
        <v>489.507</v>
      </c>
      <c r="F1345" s="0" t="n">
        <v>489.545</v>
      </c>
      <c r="G1345" s="0" t="n">
        <f aca="false">IF(E1345 - F1345 &lt; 0, 0, E1345 - F1345)</f>
        <v>0</v>
      </c>
      <c r="H1345" s="0" t="n">
        <v>1.82</v>
      </c>
      <c r="I1345" s="0" t="n">
        <f aca="false">1.82*30*(G1345^1.5)</f>
        <v>0</v>
      </c>
      <c r="J1345" s="0" t="n">
        <f aca="false">I1345*60</f>
        <v>0</v>
      </c>
      <c r="K1345" s="0" t="n">
        <f aca="false">(I1345*86400)/24</f>
        <v>0</v>
      </c>
    </row>
    <row r="1346" customFormat="false" ht="16.5" hidden="false" customHeight="false" outlineLevel="0" collapsed="false">
      <c r="A1346" s="56" t="n">
        <v>45890.75</v>
      </c>
      <c r="B1346" s="57" t="n">
        <f aca="false">MOD(A1346,1)</f>
        <v>0.75</v>
      </c>
      <c r="C1346" s="0" t="n">
        <v>0</v>
      </c>
      <c r="D1346" s="0" t="n">
        <v>489.663</v>
      </c>
      <c r="E1346" s="0" t="n">
        <f aca="false">D1346-0.155</f>
        <v>489.508</v>
      </c>
      <c r="F1346" s="0" t="n">
        <v>489.545</v>
      </c>
      <c r="G1346" s="0" t="n">
        <f aca="false">IF(E1346 - F1346 &lt; 0, 0, E1346 - F1346)</f>
        <v>0</v>
      </c>
      <c r="H1346" s="0" t="n">
        <v>1.82</v>
      </c>
      <c r="I1346" s="0" t="n">
        <f aca="false">1.82*30*(G1346^1.5)</f>
        <v>0</v>
      </c>
      <c r="J1346" s="0" t="n">
        <f aca="false">I1346*60</f>
        <v>0</v>
      </c>
      <c r="K1346" s="0" t="n">
        <f aca="false">(I1346*86400)/24</f>
        <v>0</v>
      </c>
    </row>
    <row r="1347" customFormat="false" ht="16.5" hidden="false" customHeight="false" outlineLevel="0" collapsed="false">
      <c r="A1347" s="56" t="n">
        <v>45890.7916666667</v>
      </c>
      <c r="B1347" s="57" t="n">
        <f aca="false">MOD(A1347,1)</f>
        <v>0.791666666656965</v>
      </c>
      <c r="C1347" s="0" t="n">
        <v>0</v>
      </c>
      <c r="D1347" s="0" t="n">
        <v>489.657</v>
      </c>
      <c r="E1347" s="0" t="n">
        <f aca="false">D1347-0.155</f>
        <v>489.502</v>
      </c>
      <c r="F1347" s="0" t="n">
        <v>489.545</v>
      </c>
      <c r="G1347" s="0" t="n">
        <f aca="false">IF(E1347 - F1347 &lt; 0, 0, E1347 - F1347)</f>
        <v>0</v>
      </c>
      <c r="H1347" s="0" t="n">
        <v>1.82</v>
      </c>
      <c r="I1347" s="0" t="n">
        <f aca="false">1.82*30*(G1347^1.5)</f>
        <v>0</v>
      </c>
      <c r="J1347" s="0" t="n">
        <f aca="false">I1347*60</f>
        <v>0</v>
      </c>
      <c r="K1347" s="0" t="n">
        <f aca="false">(I1347*86400)/24</f>
        <v>0</v>
      </c>
    </row>
    <row r="1348" customFormat="false" ht="16.5" hidden="false" customHeight="false" outlineLevel="0" collapsed="false">
      <c r="A1348" s="56" t="n">
        <v>45890.8333333333</v>
      </c>
      <c r="B1348" s="57" t="n">
        <f aca="false">MOD(A1348,1)</f>
        <v>0.833333333343035</v>
      </c>
      <c r="C1348" s="0" t="n">
        <v>0</v>
      </c>
      <c r="D1348" s="0" t="n">
        <v>489.657</v>
      </c>
      <c r="E1348" s="0" t="n">
        <f aca="false">D1348-0.155</f>
        <v>489.502</v>
      </c>
      <c r="F1348" s="0" t="n">
        <v>489.545</v>
      </c>
      <c r="G1348" s="0" t="n">
        <f aca="false">IF(E1348 - F1348 &lt; 0, 0, E1348 - F1348)</f>
        <v>0</v>
      </c>
      <c r="H1348" s="0" t="n">
        <v>1.82</v>
      </c>
      <c r="I1348" s="0" t="n">
        <f aca="false">1.82*30*(G1348^1.5)</f>
        <v>0</v>
      </c>
      <c r="J1348" s="0" t="n">
        <f aca="false">I1348*60</f>
        <v>0</v>
      </c>
      <c r="K1348" s="0" t="n">
        <f aca="false">(I1348*86400)/24</f>
        <v>0</v>
      </c>
    </row>
    <row r="1349" customFormat="false" ht="16.5" hidden="false" customHeight="false" outlineLevel="0" collapsed="false">
      <c r="A1349" s="56" t="n">
        <v>45890.875</v>
      </c>
      <c r="B1349" s="57" t="n">
        <f aca="false">MOD(A1349,1)</f>
        <v>0.875</v>
      </c>
      <c r="C1349" s="0" t="n">
        <v>0</v>
      </c>
      <c r="D1349" s="0" t="n">
        <v>489.657</v>
      </c>
      <c r="E1349" s="0" t="n">
        <f aca="false">D1349-0.155</f>
        <v>489.502</v>
      </c>
      <c r="F1349" s="0" t="n">
        <v>489.545</v>
      </c>
      <c r="G1349" s="0" t="n">
        <f aca="false">IF(E1349 - F1349 &lt; 0, 0, E1349 - F1349)</f>
        <v>0</v>
      </c>
      <c r="H1349" s="0" t="n">
        <v>1.82</v>
      </c>
      <c r="I1349" s="0" t="n">
        <f aca="false">1.82*30*(G1349^1.5)</f>
        <v>0</v>
      </c>
      <c r="J1349" s="0" t="n">
        <f aca="false">I1349*60</f>
        <v>0</v>
      </c>
      <c r="K1349" s="0" t="n">
        <f aca="false">(I1349*86400)/24</f>
        <v>0</v>
      </c>
    </row>
    <row r="1350" customFormat="false" ht="16.5" hidden="false" customHeight="false" outlineLevel="0" collapsed="false">
      <c r="A1350" s="56" t="n">
        <v>45890.9166666667</v>
      </c>
      <c r="B1350" s="57" t="n">
        <f aca="false">MOD(A1350,1)</f>
        <v>0.916666666656965</v>
      </c>
      <c r="C1350" s="0" t="n">
        <v>0</v>
      </c>
      <c r="D1350" s="0" t="n">
        <v>489.649</v>
      </c>
      <c r="E1350" s="0" t="n">
        <f aca="false">D1350-0.155</f>
        <v>489.494</v>
      </c>
      <c r="F1350" s="0" t="n">
        <v>489.545</v>
      </c>
      <c r="G1350" s="0" t="n">
        <f aca="false">IF(E1350 - F1350 &lt; 0, 0, E1350 - F1350)</f>
        <v>0</v>
      </c>
      <c r="H1350" s="0" t="n">
        <v>1.82</v>
      </c>
      <c r="I1350" s="0" t="n">
        <f aca="false">1.82*30*(G1350^1.5)</f>
        <v>0</v>
      </c>
      <c r="J1350" s="0" t="n">
        <f aca="false">I1350*60</f>
        <v>0</v>
      </c>
      <c r="K1350" s="0" t="n">
        <f aca="false">(I1350*86400)/24</f>
        <v>0</v>
      </c>
    </row>
    <row r="1351" customFormat="false" ht="16.5" hidden="false" customHeight="false" outlineLevel="0" collapsed="false">
      <c r="A1351" s="56" t="n">
        <v>45890.9583333333</v>
      </c>
      <c r="B1351" s="57" t="n">
        <f aca="false">MOD(A1351,1)</f>
        <v>0.958333333343035</v>
      </c>
      <c r="C1351" s="0" t="n">
        <v>0</v>
      </c>
      <c r="D1351" s="0" t="n">
        <v>489.65</v>
      </c>
      <c r="E1351" s="0" t="n">
        <f aca="false">D1351-0.155</f>
        <v>489.495</v>
      </c>
      <c r="F1351" s="0" t="n">
        <v>489.545</v>
      </c>
      <c r="G1351" s="0" t="n">
        <f aca="false">IF(E1351 - F1351 &lt; 0, 0, E1351 - F1351)</f>
        <v>0</v>
      </c>
      <c r="H1351" s="0" t="n">
        <v>1.82</v>
      </c>
      <c r="I1351" s="0" t="n">
        <f aca="false">1.82*30*(G1351^1.5)</f>
        <v>0</v>
      </c>
      <c r="J1351" s="0" t="n">
        <f aca="false">I1351*60</f>
        <v>0</v>
      </c>
      <c r="K1351" s="0" t="n">
        <f aca="false">(I1351*86400)/24</f>
        <v>0</v>
      </c>
    </row>
    <row r="1352" customFormat="false" ht="16.5" hidden="false" customHeight="false" outlineLevel="0" collapsed="false">
      <c r="A1352" s="56" t="n">
        <v>45891</v>
      </c>
      <c r="B1352" s="57" t="n">
        <f aca="false">MOD(A1352,1)</f>
        <v>0</v>
      </c>
      <c r="C1352" s="0" t="n">
        <v>0</v>
      </c>
      <c r="D1352" s="0" t="n">
        <v>489.649</v>
      </c>
      <c r="E1352" s="0" t="n">
        <f aca="false">D1352-0.155</f>
        <v>489.494</v>
      </c>
      <c r="F1352" s="0" t="n">
        <v>489.545</v>
      </c>
      <c r="G1352" s="0" t="n">
        <f aca="false">IF(E1352 - F1352 &lt; 0, 0, E1352 - F1352)</f>
        <v>0</v>
      </c>
      <c r="H1352" s="0" t="n">
        <v>1.82</v>
      </c>
      <c r="I1352" s="0" t="n">
        <f aca="false">1.82*30*(G1352^1.5)</f>
        <v>0</v>
      </c>
      <c r="J1352" s="0" t="n">
        <f aca="false">I1352*60</f>
        <v>0</v>
      </c>
      <c r="K1352" s="0" t="n">
        <f aca="false">(I1352*86400)/24</f>
        <v>0</v>
      </c>
    </row>
    <row r="1353" customFormat="false" ht="16.5" hidden="false" customHeight="false" outlineLevel="0" collapsed="false">
      <c r="A1353" s="56" t="n">
        <v>45891.0416666667</v>
      </c>
      <c r="B1353" s="57" t="n">
        <f aca="false">MOD(A1353,1)</f>
        <v>0.0416666666569654</v>
      </c>
      <c r="C1353" s="0" t="n">
        <v>0</v>
      </c>
      <c r="D1353" s="0" t="n">
        <v>489.649</v>
      </c>
      <c r="E1353" s="0" t="n">
        <f aca="false">D1353-0.155</f>
        <v>489.494</v>
      </c>
      <c r="F1353" s="0" t="n">
        <v>489.545</v>
      </c>
      <c r="G1353" s="0" t="n">
        <f aca="false">IF(E1353 - F1353 &lt; 0, 0, E1353 - F1353)</f>
        <v>0</v>
      </c>
      <c r="H1353" s="0" t="n">
        <v>1.82</v>
      </c>
      <c r="I1353" s="0" t="n">
        <f aca="false">1.82*30*(G1353^1.5)</f>
        <v>0</v>
      </c>
      <c r="J1353" s="0" t="n">
        <f aca="false">I1353*60</f>
        <v>0</v>
      </c>
      <c r="K1353" s="0" t="n">
        <f aca="false">(I1353*86400)/24</f>
        <v>0</v>
      </c>
    </row>
    <row r="1354" customFormat="false" ht="16.5" hidden="false" customHeight="false" outlineLevel="0" collapsed="false">
      <c r="A1354" s="56" t="n">
        <v>45891.0833333333</v>
      </c>
      <c r="B1354" s="57" t="n">
        <f aca="false">MOD(A1354,1)</f>
        <v>0.0833333333430346</v>
      </c>
      <c r="C1354" s="0" t="n">
        <v>0</v>
      </c>
      <c r="D1354" s="0" t="n">
        <v>489.643</v>
      </c>
      <c r="E1354" s="0" t="n">
        <f aca="false">D1354-0.155</f>
        <v>489.488</v>
      </c>
      <c r="F1354" s="0" t="n">
        <v>489.545</v>
      </c>
      <c r="G1354" s="0" t="n">
        <f aca="false">IF(E1354 - F1354 &lt; 0, 0, E1354 - F1354)</f>
        <v>0</v>
      </c>
      <c r="H1354" s="0" t="n">
        <v>1.82</v>
      </c>
      <c r="I1354" s="0" t="n">
        <f aca="false">1.82*30*(G1354^1.5)</f>
        <v>0</v>
      </c>
      <c r="J1354" s="0" t="n">
        <f aca="false">I1354*60</f>
        <v>0</v>
      </c>
      <c r="K1354" s="0" t="n">
        <f aca="false">(I1354*86400)/24</f>
        <v>0</v>
      </c>
    </row>
    <row r="1355" customFormat="false" ht="16.5" hidden="false" customHeight="false" outlineLevel="0" collapsed="false">
      <c r="A1355" s="56" t="n">
        <v>45891.125</v>
      </c>
      <c r="B1355" s="57" t="n">
        <f aca="false">MOD(A1355,1)</f>
        <v>0.125</v>
      </c>
      <c r="C1355" s="0" t="n">
        <v>0</v>
      </c>
      <c r="D1355" s="0" t="n">
        <v>489.643</v>
      </c>
      <c r="E1355" s="0" t="n">
        <f aca="false">D1355-0.155</f>
        <v>489.488</v>
      </c>
      <c r="F1355" s="0" t="n">
        <v>489.545</v>
      </c>
      <c r="G1355" s="0" t="n">
        <f aca="false">IF(E1355 - F1355 &lt; 0, 0, E1355 - F1355)</f>
        <v>0</v>
      </c>
      <c r="H1355" s="0" t="n">
        <v>1.82</v>
      </c>
      <c r="I1355" s="0" t="n">
        <f aca="false">1.82*30*(G1355^1.5)</f>
        <v>0</v>
      </c>
      <c r="J1355" s="0" t="n">
        <f aca="false">I1355*60</f>
        <v>0</v>
      </c>
      <c r="K1355" s="0" t="n">
        <f aca="false">(I1355*86400)/24</f>
        <v>0</v>
      </c>
    </row>
    <row r="1356" customFormat="false" ht="16.5" hidden="false" customHeight="false" outlineLevel="0" collapsed="false">
      <c r="A1356" s="56" t="n">
        <v>45891.1666666667</v>
      </c>
      <c r="B1356" s="57" t="n">
        <f aca="false">MOD(A1356,1)</f>
        <v>0.166666666656965</v>
      </c>
      <c r="C1356" s="0" t="n">
        <v>0</v>
      </c>
      <c r="D1356" s="0" t="n">
        <v>489.643</v>
      </c>
      <c r="E1356" s="0" t="n">
        <f aca="false">D1356-0.155</f>
        <v>489.488</v>
      </c>
      <c r="F1356" s="0" t="n">
        <v>489.545</v>
      </c>
      <c r="G1356" s="0" t="n">
        <f aca="false">IF(E1356 - F1356 &lt; 0, 0, E1356 - F1356)</f>
        <v>0</v>
      </c>
      <c r="H1356" s="0" t="n">
        <v>1.82</v>
      </c>
      <c r="I1356" s="0" t="n">
        <f aca="false">1.82*30*(G1356^1.5)</f>
        <v>0</v>
      </c>
      <c r="J1356" s="0" t="n">
        <f aca="false">I1356*60</f>
        <v>0</v>
      </c>
      <c r="K1356" s="0" t="n">
        <f aca="false">(I1356*86400)/24</f>
        <v>0</v>
      </c>
    </row>
    <row r="1357" customFormat="false" ht="16.5" hidden="false" customHeight="false" outlineLevel="0" collapsed="false">
      <c r="A1357" s="56" t="n">
        <v>45891.2083333333</v>
      </c>
      <c r="B1357" s="57" t="n">
        <f aca="false">MOD(A1357,1)</f>
        <v>0.208333333343035</v>
      </c>
      <c r="C1357" s="0" t="n">
        <v>0</v>
      </c>
      <c r="D1357" s="0" t="n">
        <v>489.657</v>
      </c>
      <c r="E1357" s="0" t="n">
        <f aca="false">D1357-0.155</f>
        <v>489.502</v>
      </c>
      <c r="F1357" s="0" t="n">
        <v>489.545</v>
      </c>
      <c r="G1357" s="0" t="n">
        <f aca="false">IF(E1357 - F1357 &lt; 0, 0, E1357 - F1357)</f>
        <v>0</v>
      </c>
      <c r="H1357" s="0" t="n">
        <v>1.82</v>
      </c>
      <c r="I1357" s="0" t="n">
        <f aca="false">1.82*30*(G1357^1.5)</f>
        <v>0</v>
      </c>
      <c r="J1357" s="0" t="n">
        <f aca="false">I1357*60</f>
        <v>0</v>
      </c>
      <c r="K1357" s="0" t="n">
        <f aca="false">(I1357*86400)/24</f>
        <v>0</v>
      </c>
    </row>
    <row r="1358" customFormat="false" ht="16.5" hidden="false" customHeight="false" outlineLevel="0" collapsed="false">
      <c r="A1358" s="56" t="n">
        <v>45891.25</v>
      </c>
      <c r="B1358" s="57" t="n">
        <f aca="false">MOD(A1358,1)</f>
        <v>0.25</v>
      </c>
      <c r="C1358" s="0" t="n">
        <v>0</v>
      </c>
      <c r="D1358" s="0" t="n">
        <v>489.657</v>
      </c>
      <c r="E1358" s="0" t="n">
        <f aca="false">D1358-0.155</f>
        <v>489.502</v>
      </c>
      <c r="F1358" s="0" t="n">
        <v>489.545</v>
      </c>
      <c r="G1358" s="0" t="n">
        <f aca="false">IF(E1358 - F1358 &lt; 0, 0, E1358 - F1358)</f>
        <v>0</v>
      </c>
      <c r="H1358" s="0" t="n">
        <v>1.82</v>
      </c>
      <c r="I1358" s="0" t="n">
        <f aca="false">1.82*30*(G1358^1.5)</f>
        <v>0</v>
      </c>
      <c r="J1358" s="0" t="n">
        <f aca="false">I1358*60</f>
        <v>0</v>
      </c>
      <c r="K1358" s="0" t="n">
        <f aca="false">(I1358*86400)/24</f>
        <v>0</v>
      </c>
    </row>
    <row r="1359" customFormat="false" ht="16.5" hidden="false" customHeight="false" outlineLevel="0" collapsed="false">
      <c r="A1359" s="56" t="n">
        <v>45891.2916666667</v>
      </c>
      <c r="B1359" s="57" t="n">
        <f aca="false">MOD(A1359,1)</f>
        <v>0.291666666656965</v>
      </c>
      <c r="C1359" s="0" t="n">
        <v>9.4</v>
      </c>
      <c r="D1359" s="0" t="n">
        <v>489.67</v>
      </c>
      <c r="E1359" s="0" t="n">
        <f aca="false">D1359-0.155</f>
        <v>489.515</v>
      </c>
      <c r="F1359" s="0" t="n">
        <v>489.545</v>
      </c>
      <c r="G1359" s="0" t="n">
        <f aca="false">IF(E1359 - F1359 &lt; 0, 0, E1359 - F1359)</f>
        <v>0</v>
      </c>
      <c r="H1359" s="0" t="n">
        <v>1.82</v>
      </c>
      <c r="I1359" s="0" t="n">
        <f aca="false">1.82*30*(G1359^1.5)</f>
        <v>0</v>
      </c>
      <c r="J1359" s="0" t="n">
        <f aca="false">I1359*60</f>
        <v>0</v>
      </c>
      <c r="K1359" s="0" t="n">
        <f aca="false">(I1359*86400)/24</f>
        <v>0</v>
      </c>
    </row>
    <row r="1360" customFormat="false" ht="16.5" hidden="false" customHeight="false" outlineLevel="0" collapsed="false">
      <c r="A1360" s="56" t="n">
        <v>45891.3333333333</v>
      </c>
      <c r="B1360" s="57" t="n">
        <f aca="false">MOD(A1360,1)</f>
        <v>0.333333333343035</v>
      </c>
      <c r="C1360" s="0" t="n">
        <v>0</v>
      </c>
      <c r="D1360" s="0" t="n">
        <v>489.67</v>
      </c>
      <c r="E1360" s="0" t="n">
        <f aca="false">D1360-0.155</f>
        <v>489.515</v>
      </c>
      <c r="F1360" s="0" t="n">
        <v>489.545</v>
      </c>
      <c r="G1360" s="0" t="n">
        <f aca="false">IF(E1360 - F1360 &lt; 0, 0, E1360 - F1360)</f>
        <v>0</v>
      </c>
      <c r="H1360" s="0" t="n">
        <v>1.82</v>
      </c>
      <c r="I1360" s="0" t="n">
        <f aca="false">1.82*30*(G1360^1.5)</f>
        <v>0</v>
      </c>
      <c r="J1360" s="0" t="n">
        <f aca="false">I1360*60</f>
        <v>0</v>
      </c>
      <c r="K1360" s="0" t="n">
        <f aca="false">(I1360*86400)/24</f>
        <v>0</v>
      </c>
    </row>
    <row r="1361" customFormat="false" ht="16.5" hidden="false" customHeight="false" outlineLevel="0" collapsed="false">
      <c r="A1361" s="56" t="n">
        <v>45891.375</v>
      </c>
      <c r="B1361" s="57" t="n">
        <f aca="false">MOD(A1361,1)</f>
        <v>0.375</v>
      </c>
      <c r="C1361" s="0" t="n">
        <v>0</v>
      </c>
      <c r="D1361" s="0" t="n">
        <v>489.669</v>
      </c>
      <c r="E1361" s="0" t="n">
        <f aca="false">D1361-0.155</f>
        <v>489.514</v>
      </c>
      <c r="F1361" s="0" t="n">
        <v>489.545</v>
      </c>
      <c r="G1361" s="0" t="n">
        <f aca="false">IF(E1361 - F1361 &lt; 0, 0, E1361 - F1361)</f>
        <v>0</v>
      </c>
      <c r="H1361" s="0" t="n">
        <v>1.82</v>
      </c>
      <c r="I1361" s="0" t="n">
        <f aca="false">1.82*30*(G1361^1.5)</f>
        <v>0</v>
      </c>
      <c r="J1361" s="0" t="n">
        <f aca="false">I1361*60</f>
        <v>0</v>
      </c>
      <c r="K1361" s="0" t="n">
        <f aca="false">(I1361*86400)/24</f>
        <v>0</v>
      </c>
    </row>
    <row r="1362" customFormat="false" ht="16.5" hidden="false" customHeight="false" outlineLevel="0" collapsed="false">
      <c r="A1362" s="56" t="n">
        <v>45891.4166666667</v>
      </c>
      <c r="B1362" s="57" t="n">
        <f aca="false">MOD(A1362,1)</f>
        <v>0.416666666656965</v>
      </c>
      <c r="C1362" s="0" t="n">
        <v>0</v>
      </c>
      <c r="D1362" s="0" t="n">
        <v>489.67</v>
      </c>
      <c r="E1362" s="0" t="n">
        <f aca="false">D1362-0.155</f>
        <v>489.515</v>
      </c>
      <c r="F1362" s="0" t="n">
        <v>489.545</v>
      </c>
      <c r="G1362" s="0" t="n">
        <f aca="false">IF(E1362 - F1362 &lt; 0, 0, E1362 - F1362)</f>
        <v>0</v>
      </c>
      <c r="H1362" s="0" t="n">
        <v>1.82</v>
      </c>
      <c r="I1362" s="0" t="n">
        <f aca="false">1.82*30*(G1362^1.5)</f>
        <v>0</v>
      </c>
      <c r="J1362" s="0" t="n">
        <f aca="false">I1362*60</f>
        <v>0</v>
      </c>
      <c r="K1362" s="0" t="n">
        <f aca="false">(I1362*86400)/24</f>
        <v>0</v>
      </c>
    </row>
    <row r="1363" customFormat="false" ht="16.5" hidden="false" customHeight="false" outlineLevel="0" collapsed="false">
      <c r="A1363" s="56" t="n">
        <v>45891.4583333333</v>
      </c>
      <c r="B1363" s="57" t="n">
        <f aca="false">MOD(A1363,1)</f>
        <v>0.458333333343035</v>
      </c>
      <c r="C1363" s="0" t="n">
        <v>0</v>
      </c>
      <c r="D1363" s="0" t="n">
        <v>489.67</v>
      </c>
      <c r="E1363" s="0" t="n">
        <f aca="false">D1363-0.155</f>
        <v>489.515</v>
      </c>
      <c r="F1363" s="0" t="n">
        <v>489.545</v>
      </c>
      <c r="G1363" s="0" t="n">
        <f aca="false">IF(E1363 - F1363 &lt; 0, 0, E1363 - F1363)</f>
        <v>0</v>
      </c>
      <c r="H1363" s="0" t="n">
        <v>1.82</v>
      </c>
      <c r="I1363" s="0" t="n">
        <f aca="false">1.82*30*(G1363^1.5)</f>
        <v>0</v>
      </c>
      <c r="J1363" s="0" t="n">
        <f aca="false">I1363*60</f>
        <v>0</v>
      </c>
      <c r="K1363" s="0" t="n">
        <f aca="false">(I1363*86400)/24</f>
        <v>0</v>
      </c>
    </row>
    <row r="1364" customFormat="false" ht="16.5" hidden="false" customHeight="false" outlineLevel="0" collapsed="false">
      <c r="A1364" s="56" t="n">
        <v>45891.5</v>
      </c>
      <c r="B1364" s="57" t="n">
        <f aca="false">MOD(A1364,1)</f>
        <v>0.5</v>
      </c>
      <c r="C1364" s="0" t="n">
        <v>0</v>
      </c>
      <c r="D1364" s="0" t="n">
        <v>489.669</v>
      </c>
      <c r="E1364" s="0" t="n">
        <f aca="false">D1364-0.155</f>
        <v>489.514</v>
      </c>
      <c r="F1364" s="0" t="n">
        <v>489.545</v>
      </c>
      <c r="G1364" s="0" t="n">
        <f aca="false">IF(E1364 - F1364 &lt; 0, 0, E1364 - F1364)</f>
        <v>0</v>
      </c>
      <c r="H1364" s="0" t="n">
        <v>1.82</v>
      </c>
      <c r="I1364" s="0" t="n">
        <f aca="false">1.82*30*(G1364^1.5)</f>
        <v>0</v>
      </c>
      <c r="J1364" s="0" t="n">
        <f aca="false">I1364*60</f>
        <v>0</v>
      </c>
      <c r="K1364" s="0" t="n">
        <f aca="false">(I1364*86400)/24</f>
        <v>0</v>
      </c>
    </row>
    <row r="1365" customFormat="false" ht="16.5" hidden="false" customHeight="false" outlineLevel="0" collapsed="false">
      <c r="A1365" s="56" t="n">
        <v>45891.5416666667</v>
      </c>
      <c r="B1365" s="57" t="n">
        <f aca="false">MOD(A1365,1)</f>
        <v>0.541666666656965</v>
      </c>
      <c r="C1365" s="0" t="n">
        <v>0</v>
      </c>
      <c r="D1365" s="0" t="n">
        <v>489.663</v>
      </c>
      <c r="E1365" s="0" t="n">
        <f aca="false">D1365-0.155</f>
        <v>489.508</v>
      </c>
      <c r="F1365" s="0" t="n">
        <v>489.545</v>
      </c>
      <c r="G1365" s="0" t="n">
        <f aca="false">IF(E1365 - F1365 &lt; 0, 0, E1365 - F1365)</f>
        <v>0</v>
      </c>
      <c r="H1365" s="0" t="n">
        <v>1.82</v>
      </c>
      <c r="I1365" s="0" t="n">
        <f aca="false">1.82*30*(G1365^1.5)</f>
        <v>0</v>
      </c>
      <c r="J1365" s="0" t="n">
        <f aca="false">I1365*60</f>
        <v>0</v>
      </c>
      <c r="K1365" s="0" t="n">
        <f aca="false">(I1365*86400)/24</f>
        <v>0</v>
      </c>
    </row>
    <row r="1366" customFormat="false" ht="16.5" hidden="false" customHeight="false" outlineLevel="0" collapsed="false">
      <c r="A1366" s="56" t="n">
        <v>45891.5833333333</v>
      </c>
      <c r="B1366" s="57" t="n">
        <f aca="false">MOD(A1366,1)</f>
        <v>0.583333333343035</v>
      </c>
      <c r="C1366" s="0" t="n">
        <v>0</v>
      </c>
      <c r="D1366" s="0" t="n">
        <v>489.669</v>
      </c>
      <c r="E1366" s="0" t="n">
        <f aca="false">D1366-0.155</f>
        <v>489.514</v>
      </c>
      <c r="F1366" s="0" t="n">
        <v>489.545</v>
      </c>
      <c r="G1366" s="0" t="n">
        <f aca="false">IF(E1366 - F1366 &lt; 0, 0, E1366 - F1366)</f>
        <v>0</v>
      </c>
      <c r="H1366" s="0" t="n">
        <v>1.82</v>
      </c>
      <c r="I1366" s="0" t="n">
        <f aca="false">1.82*30*(G1366^1.5)</f>
        <v>0</v>
      </c>
      <c r="J1366" s="0" t="n">
        <f aca="false">I1366*60</f>
        <v>0</v>
      </c>
      <c r="K1366" s="0" t="n">
        <f aca="false">(I1366*86400)/24</f>
        <v>0</v>
      </c>
    </row>
    <row r="1367" customFormat="false" ht="16.5" hidden="false" customHeight="false" outlineLevel="0" collapsed="false">
      <c r="A1367" s="56" t="n">
        <v>45891.625</v>
      </c>
      <c r="B1367" s="57" t="n">
        <f aca="false">MOD(A1367,1)</f>
        <v>0.625</v>
      </c>
      <c r="C1367" s="0" t="n">
        <v>0</v>
      </c>
      <c r="D1367" s="0" t="n">
        <v>489.662</v>
      </c>
      <c r="E1367" s="0" t="n">
        <f aca="false">D1367-0.155</f>
        <v>489.507</v>
      </c>
      <c r="F1367" s="0" t="n">
        <v>489.545</v>
      </c>
      <c r="G1367" s="0" t="n">
        <f aca="false">IF(E1367 - F1367 &lt; 0, 0, E1367 - F1367)</f>
        <v>0</v>
      </c>
      <c r="H1367" s="0" t="n">
        <v>1.82</v>
      </c>
      <c r="I1367" s="0" t="n">
        <f aca="false">1.82*30*(G1367^1.5)</f>
        <v>0</v>
      </c>
      <c r="J1367" s="0" t="n">
        <f aca="false">I1367*60</f>
        <v>0</v>
      </c>
      <c r="K1367" s="0" t="n">
        <f aca="false">(I1367*86400)/24</f>
        <v>0</v>
      </c>
    </row>
    <row r="1368" customFormat="false" ht="16.5" hidden="false" customHeight="false" outlineLevel="0" collapsed="false">
      <c r="A1368" s="56" t="n">
        <v>45891.6666666667</v>
      </c>
      <c r="B1368" s="57" t="n">
        <f aca="false">MOD(A1368,1)</f>
        <v>0.666666666656965</v>
      </c>
      <c r="C1368" s="0" t="n">
        <v>0</v>
      </c>
      <c r="D1368" s="0" t="n">
        <v>489.662</v>
      </c>
      <c r="E1368" s="0" t="n">
        <f aca="false">D1368-0.155</f>
        <v>489.507</v>
      </c>
      <c r="F1368" s="0" t="n">
        <v>489.545</v>
      </c>
      <c r="G1368" s="0" t="n">
        <f aca="false">IF(E1368 - F1368 &lt; 0, 0, E1368 - F1368)</f>
        <v>0</v>
      </c>
      <c r="H1368" s="0" t="n">
        <v>1.82</v>
      </c>
      <c r="I1368" s="0" t="n">
        <f aca="false">1.82*30*(G1368^1.5)</f>
        <v>0</v>
      </c>
      <c r="J1368" s="0" t="n">
        <f aca="false">I1368*60</f>
        <v>0</v>
      </c>
      <c r="K1368" s="0" t="n">
        <f aca="false">(I1368*86400)/24</f>
        <v>0</v>
      </c>
    </row>
    <row r="1369" customFormat="false" ht="16.5" hidden="false" customHeight="false" outlineLevel="0" collapsed="false">
      <c r="A1369" s="56" t="n">
        <v>45891.7083333333</v>
      </c>
      <c r="B1369" s="57" t="n">
        <f aca="false">MOD(A1369,1)</f>
        <v>0.708333333343035</v>
      </c>
      <c r="C1369" s="0" t="n">
        <v>0</v>
      </c>
      <c r="D1369" s="0" t="n">
        <v>489.656</v>
      </c>
      <c r="E1369" s="0" t="n">
        <f aca="false">D1369-0.155</f>
        <v>489.501</v>
      </c>
      <c r="F1369" s="0" t="n">
        <v>489.545</v>
      </c>
      <c r="G1369" s="0" t="n">
        <f aca="false">IF(E1369 - F1369 &lt; 0, 0, E1369 - F1369)</f>
        <v>0</v>
      </c>
      <c r="H1369" s="0" t="n">
        <v>1.82</v>
      </c>
      <c r="I1369" s="0" t="n">
        <f aca="false">1.82*30*(G1369^1.5)</f>
        <v>0</v>
      </c>
      <c r="J1369" s="0" t="n">
        <f aca="false">I1369*60</f>
        <v>0</v>
      </c>
      <c r="K1369" s="0" t="n">
        <f aca="false">(I1369*86400)/24</f>
        <v>0</v>
      </c>
    </row>
    <row r="1370" customFormat="false" ht="16.5" hidden="false" customHeight="false" outlineLevel="0" collapsed="false">
      <c r="A1370" s="56" t="n">
        <v>45891.75</v>
      </c>
      <c r="B1370" s="57" t="n">
        <f aca="false">MOD(A1370,1)</f>
        <v>0.75</v>
      </c>
      <c r="C1370" s="0" t="n">
        <v>0</v>
      </c>
      <c r="D1370" s="0" t="n">
        <v>489.657</v>
      </c>
      <c r="E1370" s="0" t="n">
        <f aca="false">D1370-0.155</f>
        <v>489.502</v>
      </c>
      <c r="F1370" s="0" t="n">
        <v>489.545</v>
      </c>
      <c r="G1370" s="0" t="n">
        <f aca="false">IF(E1370 - F1370 &lt; 0, 0, E1370 - F1370)</f>
        <v>0</v>
      </c>
      <c r="H1370" s="0" t="n">
        <v>1.82</v>
      </c>
      <c r="I1370" s="0" t="n">
        <f aca="false">1.82*30*(G1370^1.5)</f>
        <v>0</v>
      </c>
      <c r="J1370" s="0" t="n">
        <f aca="false">I1370*60</f>
        <v>0</v>
      </c>
      <c r="K1370" s="0" t="n">
        <f aca="false">(I1370*86400)/24</f>
        <v>0</v>
      </c>
    </row>
    <row r="1371" customFormat="false" ht="16.5" hidden="false" customHeight="false" outlineLevel="0" collapsed="false">
      <c r="A1371" s="56" t="n">
        <v>45891.7916666667</v>
      </c>
      <c r="B1371" s="57" t="n">
        <f aca="false">MOD(A1371,1)</f>
        <v>0.791666666656965</v>
      </c>
      <c r="C1371" s="0" t="n">
        <v>0</v>
      </c>
      <c r="D1371" s="0" t="n">
        <v>489.657</v>
      </c>
      <c r="E1371" s="0" t="n">
        <f aca="false">D1371-0.155</f>
        <v>489.502</v>
      </c>
      <c r="F1371" s="0" t="n">
        <v>489.545</v>
      </c>
      <c r="G1371" s="0" t="n">
        <f aca="false">IF(E1371 - F1371 &lt; 0, 0, E1371 - F1371)</f>
        <v>0</v>
      </c>
      <c r="H1371" s="0" t="n">
        <v>1.82</v>
      </c>
      <c r="I1371" s="0" t="n">
        <f aca="false">1.82*30*(G1371^1.5)</f>
        <v>0</v>
      </c>
      <c r="J1371" s="0" t="n">
        <f aca="false">I1371*60</f>
        <v>0</v>
      </c>
      <c r="K1371" s="0" t="n">
        <f aca="false">(I1371*86400)/24</f>
        <v>0</v>
      </c>
    </row>
    <row r="1372" customFormat="false" ht="16.5" hidden="false" customHeight="false" outlineLevel="0" collapsed="false">
      <c r="A1372" s="56" t="n">
        <v>45891.8333333333</v>
      </c>
      <c r="B1372" s="57" t="n">
        <f aca="false">MOD(A1372,1)</f>
        <v>0.833333333343035</v>
      </c>
      <c r="C1372" s="0" t="n">
        <v>0</v>
      </c>
      <c r="D1372" s="0" t="n">
        <v>489.649</v>
      </c>
      <c r="E1372" s="0" t="n">
        <f aca="false">D1372-0.155</f>
        <v>489.494</v>
      </c>
      <c r="F1372" s="0" t="n">
        <v>489.545</v>
      </c>
      <c r="G1372" s="0" t="n">
        <f aca="false">IF(E1372 - F1372 &lt; 0, 0, E1372 - F1372)</f>
        <v>0</v>
      </c>
      <c r="H1372" s="0" t="n">
        <v>1.82</v>
      </c>
      <c r="I1372" s="0" t="n">
        <f aca="false">1.82*30*(G1372^1.5)</f>
        <v>0</v>
      </c>
      <c r="J1372" s="0" t="n">
        <f aca="false">I1372*60</f>
        <v>0</v>
      </c>
      <c r="K1372" s="0" t="n">
        <f aca="false">(I1372*86400)/24</f>
        <v>0</v>
      </c>
    </row>
    <row r="1373" customFormat="false" ht="16.5" hidden="false" customHeight="false" outlineLevel="0" collapsed="false">
      <c r="A1373" s="56" t="n">
        <v>45891.875</v>
      </c>
      <c r="B1373" s="57" t="n">
        <f aca="false">MOD(A1373,1)</f>
        <v>0.875</v>
      </c>
      <c r="C1373" s="0" t="n">
        <v>0</v>
      </c>
      <c r="D1373" s="0" t="n">
        <v>489.65</v>
      </c>
      <c r="E1373" s="0" t="n">
        <f aca="false">D1373-0.155</f>
        <v>489.495</v>
      </c>
      <c r="F1373" s="0" t="n">
        <v>489.545</v>
      </c>
      <c r="G1373" s="0" t="n">
        <f aca="false">IF(E1373 - F1373 &lt; 0, 0, E1373 - F1373)</f>
        <v>0</v>
      </c>
      <c r="H1373" s="0" t="n">
        <v>1.82</v>
      </c>
      <c r="I1373" s="0" t="n">
        <f aca="false">1.82*30*(G1373^1.5)</f>
        <v>0</v>
      </c>
      <c r="J1373" s="0" t="n">
        <f aca="false">I1373*60</f>
        <v>0</v>
      </c>
      <c r="K1373" s="0" t="n">
        <f aca="false">(I1373*86400)/24</f>
        <v>0</v>
      </c>
    </row>
    <row r="1374" customFormat="false" ht="16.5" hidden="false" customHeight="false" outlineLevel="0" collapsed="false">
      <c r="A1374" s="56" t="n">
        <v>45891.9166666667</v>
      </c>
      <c r="B1374" s="57" t="n">
        <f aca="false">MOD(A1374,1)</f>
        <v>0.916666666656965</v>
      </c>
      <c r="C1374" s="0" t="n">
        <v>0</v>
      </c>
      <c r="D1374" s="0" t="n">
        <v>489.65</v>
      </c>
      <c r="E1374" s="0" t="n">
        <f aca="false">D1374-0.155</f>
        <v>489.495</v>
      </c>
      <c r="F1374" s="0" t="n">
        <v>489.545</v>
      </c>
      <c r="G1374" s="0" t="n">
        <f aca="false">IF(E1374 - F1374 &lt; 0, 0, E1374 - F1374)</f>
        <v>0</v>
      </c>
      <c r="H1374" s="0" t="n">
        <v>1.82</v>
      </c>
      <c r="I1374" s="0" t="n">
        <f aca="false">1.82*30*(G1374^1.5)</f>
        <v>0</v>
      </c>
      <c r="J1374" s="0" t="n">
        <f aca="false">I1374*60</f>
        <v>0</v>
      </c>
      <c r="K1374" s="0" t="n">
        <f aca="false">(I1374*86400)/24</f>
        <v>0</v>
      </c>
    </row>
    <row r="1375" customFormat="false" ht="16.5" hidden="false" customHeight="false" outlineLevel="0" collapsed="false">
      <c r="A1375" s="56" t="n">
        <v>45891.9583333333</v>
      </c>
      <c r="B1375" s="57" t="n">
        <f aca="false">MOD(A1375,1)</f>
        <v>0.958333333343035</v>
      </c>
      <c r="C1375" s="0" t="n">
        <v>0</v>
      </c>
      <c r="D1375" s="0" t="n">
        <v>489.65</v>
      </c>
      <c r="E1375" s="0" t="n">
        <f aca="false">D1375-0.155</f>
        <v>489.495</v>
      </c>
      <c r="F1375" s="0" t="n">
        <v>489.545</v>
      </c>
      <c r="G1375" s="0" t="n">
        <f aca="false">IF(E1375 - F1375 &lt; 0, 0, E1375 - F1375)</f>
        <v>0</v>
      </c>
      <c r="H1375" s="0" t="n">
        <v>1.82</v>
      </c>
      <c r="I1375" s="0" t="n">
        <f aca="false">1.82*30*(G1375^1.5)</f>
        <v>0</v>
      </c>
      <c r="J1375" s="0" t="n">
        <f aca="false">I1375*60</f>
        <v>0</v>
      </c>
      <c r="K1375" s="0" t="n">
        <f aca="false">(I1375*86400)/24</f>
        <v>0</v>
      </c>
    </row>
    <row r="1376" customFormat="false" ht="16.5" hidden="false" customHeight="false" outlineLevel="0" collapsed="false">
      <c r="A1376" s="56" t="n">
        <v>45892</v>
      </c>
      <c r="B1376" s="57" t="n">
        <f aca="false">MOD(A1376,1)</f>
        <v>0</v>
      </c>
      <c r="C1376" s="0" t="n">
        <v>0</v>
      </c>
      <c r="D1376" s="0" t="n">
        <v>489.65</v>
      </c>
      <c r="E1376" s="0" t="n">
        <f aca="false">D1376-0.155</f>
        <v>489.495</v>
      </c>
      <c r="F1376" s="0" t="n">
        <v>489.545</v>
      </c>
      <c r="G1376" s="0" t="n">
        <f aca="false">IF(E1376 - F1376 &lt; 0, 0, E1376 - F1376)</f>
        <v>0</v>
      </c>
      <c r="H1376" s="0" t="n">
        <v>1.82</v>
      </c>
      <c r="I1376" s="0" t="n">
        <f aca="false">1.82*30*(G1376^1.5)</f>
        <v>0</v>
      </c>
      <c r="J1376" s="0" t="n">
        <f aca="false">I1376*60</f>
        <v>0</v>
      </c>
      <c r="K1376" s="0" t="n">
        <f aca="false">(I1376*86400)/24</f>
        <v>0</v>
      </c>
    </row>
    <row r="1377" customFormat="false" ht="16.5" hidden="false" customHeight="false" outlineLevel="0" collapsed="false">
      <c r="A1377" s="56" t="n">
        <v>45892.0416666667</v>
      </c>
      <c r="B1377" s="57" t="n">
        <f aca="false">MOD(A1377,1)</f>
        <v>0.0416666666569654</v>
      </c>
      <c r="C1377" s="0" t="n">
        <v>0</v>
      </c>
      <c r="D1377" s="0" t="n">
        <v>489.649</v>
      </c>
      <c r="E1377" s="0" t="n">
        <f aca="false">D1377-0.155</f>
        <v>489.494</v>
      </c>
      <c r="F1377" s="0" t="n">
        <v>489.545</v>
      </c>
      <c r="G1377" s="0" t="n">
        <f aca="false">IF(E1377 - F1377 &lt; 0, 0, E1377 - F1377)</f>
        <v>0</v>
      </c>
      <c r="H1377" s="0" t="n">
        <v>1.82</v>
      </c>
      <c r="I1377" s="0" t="n">
        <f aca="false">1.82*30*(G1377^1.5)</f>
        <v>0</v>
      </c>
      <c r="J1377" s="0" t="n">
        <f aca="false">I1377*60</f>
        <v>0</v>
      </c>
      <c r="K1377" s="0" t="n">
        <f aca="false">(I1377*86400)/24</f>
        <v>0</v>
      </c>
    </row>
    <row r="1378" customFormat="false" ht="16.5" hidden="false" customHeight="false" outlineLevel="0" collapsed="false">
      <c r="A1378" s="56" t="n">
        <v>45892.0833333333</v>
      </c>
      <c r="B1378" s="57" t="n">
        <f aca="false">MOD(A1378,1)</f>
        <v>0.0833333333430346</v>
      </c>
      <c r="C1378" s="0" t="n">
        <v>1.8</v>
      </c>
      <c r="D1378" s="0" t="n">
        <v>489.65</v>
      </c>
      <c r="E1378" s="0" t="n">
        <f aca="false">D1378-0.155</f>
        <v>489.495</v>
      </c>
      <c r="F1378" s="0" t="n">
        <v>489.545</v>
      </c>
      <c r="G1378" s="0" t="n">
        <f aca="false">IF(E1378 - F1378 &lt; 0, 0, E1378 - F1378)</f>
        <v>0</v>
      </c>
      <c r="H1378" s="0" t="n">
        <v>1.82</v>
      </c>
      <c r="I1378" s="0" t="n">
        <f aca="false">1.82*30*(G1378^1.5)</f>
        <v>0</v>
      </c>
      <c r="J1378" s="0" t="n">
        <f aca="false">I1378*60</f>
        <v>0</v>
      </c>
      <c r="K1378" s="0" t="n">
        <f aca="false">(I1378*86400)/24</f>
        <v>0</v>
      </c>
    </row>
    <row r="1379" customFormat="false" ht="16.5" hidden="false" customHeight="false" outlineLevel="0" collapsed="false">
      <c r="A1379" s="56" t="n">
        <v>45892.125</v>
      </c>
      <c r="B1379" s="57" t="n">
        <f aca="false">MOD(A1379,1)</f>
        <v>0.125</v>
      </c>
      <c r="C1379" s="0" t="n">
        <v>0</v>
      </c>
      <c r="D1379" s="0" t="n">
        <v>489.643</v>
      </c>
      <c r="E1379" s="0" t="n">
        <f aca="false">D1379-0.155</f>
        <v>489.488</v>
      </c>
      <c r="F1379" s="0" t="n">
        <v>489.545</v>
      </c>
      <c r="G1379" s="0" t="n">
        <f aca="false">IF(E1379 - F1379 &lt; 0, 0, E1379 - F1379)</f>
        <v>0</v>
      </c>
      <c r="H1379" s="0" t="n">
        <v>1.82</v>
      </c>
      <c r="I1379" s="0" t="n">
        <f aca="false">1.82*30*(G1379^1.5)</f>
        <v>0</v>
      </c>
      <c r="J1379" s="0" t="n">
        <f aca="false">I1379*60</f>
        <v>0</v>
      </c>
      <c r="K1379" s="0" t="n">
        <f aca="false">(I1379*86400)/24</f>
        <v>0</v>
      </c>
    </row>
    <row r="1380" customFormat="false" ht="16.5" hidden="false" customHeight="false" outlineLevel="0" collapsed="false">
      <c r="A1380" s="56" t="n">
        <v>45892.1666666667</v>
      </c>
      <c r="B1380" s="57" t="n">
        <f aca="false">MOD(A1380,1)</f>
        <v>0.166666666656965</v>
      </c>
      <c r="C1380" s="0" t="n">
        <v>0</v>
      </c>
      <c r="D1380" s="0" t="n">
        <v>489.643</v>
      </c>
      <c r="E1380" s="0" t="n">
        <f aca="false">D1380-0.155</f>
        <v>489.488</v>
      </c>
      <c r="F1380" s="0" t="n">
        <v>489.545</v>
      </c>
      <c r="G1380" s="0" t="n">
        <f aca="false">IF(E1380 - F1380 &lt; 0, 0, E1380 - F1380)</f>
        <v>0</v>
      </c>
      <c r="H1380" s="0" t="n">
        <v>1.82</v>
      </c>
      <c r="I1380" s="0" t="n">
        <f aca="false">1.82*30*(G1380^1.5)</f>
        <v>0</v>
      </c>
      <c r="J1380" s="0" t="n">
        <f aca="false">I1380*60</f>
        <v>0</v>
      </c>
      <c r="K1380" s="0" t="n">
        <f aca="false">(I1380*86400)/24</f>
        <v>0</v>
      </c>
    </row>
    <row r="1381" customFormat="false" ht="16.5" hidden="false" customHeight="false" outlineLevel="0" collapsed="false">
      <c r="A1381" s="56" t="n">
        <v>45892.2083333333</v>
      </c>
      <c r="B1381" s="57" t="n">
        <f aca="false">MOD(A1381,1)</f>
        <v>0.208333333343035</v>
      </c>
      <c r="C1381" s="0" t="n">
        <v>0</v>
      </c>
      <c r="D1381" s="0" t="n">
        <v>489.643</v>
      </c>
      <c r="E1381" s="0" t="n">
        <f aca="false">D1381-0.155</f>
        <v>489.488</v>
      </c>
      <c r="F1381" s="0" t="n">
        <v>489.545</v>
      </c>
      <c r="G1381" s="0" t="n">
        <f aca="false">IF(E1381 - F1381 &lt; 0, 0, E1381 - F1381)</f>
        <v>0</v>
      </c>
      <c r="H1381" s="0" t="n">
        <v>1.82</v>
      </c>
      <c r="I1381" s="0" t="n">
        <f aca="false">1.82*30*(G1381^1.5)</f>
        <v>0</v>
      </c>
      <c r="J1381" s="0" t="n">
        <f aca="false">I1381*60</f>
        <v>0</v>
      </c>
      <c r="K1381" s="0" t="n">
        <f aca="false">(I1381*86400)/24</f>
        <v>0</v>
      </c>
    </row>
    <row r="1382" customFormat="false" ht="16.5" hidden="false" customHeight="false" outlineLevel="0" collapsed="false">
      <c r="A1382" s="56" t="n">
        <v>45892.25</v>
      </c>
      <c r="B1382" s="57" t="n">
        <f aca="false">MOD(A1382,1)</f>
        <v>0.25</v>
      </c>
      <c r="C1382" s="0" t="n">
        <v>0</v>
      </c>
      <c r="D1382" s="0" t="n">
        <v>489.643</v>
      </c>
      <c r="E1382" s="0" t="n">
        <f aca="false">D1382-0.155</f>
        <v>489.488</v>
      </c>
      <c r="F1382" s="0" t="n">
        <v>489.545</v>
      </c>
      <c r="G1382" s="0" t="n">
        <f aca="false">IF(E1382 - F1382 &lt; 0, 0, E1382 - F1382)</f>
        <v>0</v>
      </c>
      <c r="H1382" s="0" t="n">
        <v>1.82</v>
      </c>
      <c r="I1382" s="0" t="n">
        <f aca="false">1.82*30*(G1382^1.5)</f>
        <v>0</v>
      </c>
      <c r="J1382" s="0" t="n">
        <f aca="false">I1382*60</f>
        <v>0</v>
      </c>
      <c r="K1382" s="0" t="n">
        <f aca="false">(I1382*86400)/24</f>
        <v>0</v>
      </c>
    </row>
    <row r="1383" customFormat="false" ht="16.5" hidden="false" customHeight="false" outlineLevel="0" collapsed="false">
      <c r="A1383" s="56" t="n">
        <v>45892.2916666667</v>
      </c>
      <c r="B1383" s="57" t="n">
        <f aca="false">MOD(A1383,1)</f>
        <v>0.291666666656965</v>
      </c>
      <c r="C1383" s="0" t="n">
        <v>0</v>
      </c>
      <c r="D1383" s="0" t="n">
        <v>489.643</v>
      </c>
      <c r="E1383" s="0" t="n">
        <f aca="false">D1383-0.155</f>
        <v>489.488</v>
      </c>
      <c r="F1383" s="0" t="n">
        <v>489.545</v>
      </c>
      <c r="G1383" s="0" t="n">
        <f aca="false">IF(E1383 - F1383 &lt; 0, 0, E1383 - F1383)</f>
        <v>0</v>
      </c>
      <c r="H1383" s="0" t="n">
        <v>1.82</v>
      </c>
      <c r="I1383" s="0" t="n">
        <f aca="false">1.82*30*(G1383^1.5)</f>
        <v>0</v>
      </c>
      <c r="J1383" s="0" t="n">
        <f aca="false">I1383*60</f>
        <v>0</v>
      </c>
      <c r="K1383" s="0" t="n">
        <f aca="false">(I1383*86400)/24</f>
        <v>0</v>
      </c>
    </row>
    <row r="1384" customFormat="false" ht="16.5" hidden="false" customHeight="false" outlineLevel="0" collapsed="false">
      <c r="A1384" s="56" t="n">
        <v>45892.3333333333</v>
      </c>
      <c r="B1384" s="57" t="n">
        <f aca="false">MOD(A1384,1)</f>
        <v>0.333333333343035</v>
      </c>
      <c r="C1384" s="0" t="n">
        <v>0</v>
      </c>
      <c r="D1384" s="0" t="n">
        <v>489.643</v>
      </c>
      <c r="E1384" s="0" t="n">
        <f aca="false">D1384-0.155</f>
        <v>489.488</v>
      </c>
      <c r="F1384" s="0" t="n">
        <v>489.545</v>
      </c>
      <c r="G1384" s="0" t="n">
        <f aca="false">IF(E1384 - F1384 &lt; 0, 0, E1384 - F1384)</f>
        <v>0</v>
      </c>
      <c r="H1384" s="0" t="n">
        <v>1.82</v>
      </c>
      <c r="I1384" s="0" t="n">
        <f aca="false">1.82*30*(G1384^1.5)</f>
        <v>0</v>
      </c>
      <c r="J1384" s="0" t="n">
        <f aca="false">I1384*60</f>
        <v>0</v>
      </c>
      <c r="K1384" s="0" t="n">
        <f aca="false">(I1384*86400)/24</f>
        <v>0</v>
      </c>
    </row>
    <row r="1385" customFormat="false" ht="16.5" hidden="false" customHeight="false" outlineLevel="0" collapsed="false">
      <c r="A1385" s="56" t="n">
        <v>45892.375</v>
      </c>
      <c r="B1385" s="57" t="n">
        <f aca="false">MOD(A1385,1)</f>
        <v>0.375</v>
      </c>
      <c r="C1385" s="0" t="n">
        <v>0</v>
      </c>
      <c r="D1385" s="0" t="n">
        <v>489.643</v>
      </c>
      <c r="E1385" s="0" t="n">
        <f aca="false">D1385-0.155</f>
        <v>489.488</v>
      </c>
      <c r="F1385" s="0" t="n">
        <v>489.545</v>
      </c>
      <c r="G1385" s="0" t="n">
        <f aca="false">IF(E1385 - F1385 &lt; 0, 0, E1385 - F1385)</f>
        <v>0</v>
      </c>
      <c r="H1385" s="0" t="n">
        <v>1.82</v>
      </c>
      <c r="I1385" s="0" t="n">
        <f aca="false">1.82*30*(G1385^1.5)</f>
        <v>0</v>
      </c>
      <c r="J1385" s="0" t="n">
        <f aca="false">I1385*60</f>
        <v>0</v>
      </c>
      <c r="K1385" s="0" t="n">
        <f aca="false">(I1385*86400)/24</f>
        <v>0</v>
      </c>
    </row>
    <row r="1386" customFormat="false" ht="16.5" hidden="false" customHeight="false" outlineLevel="0" collapsed="false">
      <c r="A1386" s="56" t="n">
        <v>45892.4166666667</v>
      </c>
      <c r="B1386" s="57" t="n">
        <f aca="false">MOD(A1386,1)</f>
        <v>0.416666666656965</v>
      </c>
      <c r="C1386" s="0" t="n">
        <v>0</v>
      </c>
      <c r="D1386" s="0" t="n">
        <v>489.643</v>
      </c>
      <c r="E1386" s="0" t="n">
        <f aca="false">D1386-0.155</f>
        <v>489.488</v>
      </c>
      <c r="F1386" s="0" t="n">
        <v>489.545</v>
      </c>
      <c r="G1386" s="0" t="n">
        <f aca="false">IF(E1386 - F1386 &lt; 0, 0, E1386 - F1386)</f>
        <v>0</v>
      </c>
      <c r="H1386" s="0" t="n">
        <v>1.82</v>
      </c>
      <c r="I1386" s="0" t="n">
        <f aca="false">1.82*30*(G1386^1.5)</f>
        <v>0</v>
      </c>
      <c r="J1386" s="0" t="n">
        <f aca="false">I1386*60</f>
        <v>0</v>
      </c>
      <c r="K1386" s="0" t="n">
        <f aca="false">(I1386*86400)/24</f>
        <v>0</v>
      </c>
    </row>
    <row r="1387" customFormat="false" ht="16.5" hidden="false" customHeight="false" outlineLevel="0" collapsed="false">
      <c r="A1387" s="56" t="n">
        <v>45892.4583333333</v>
      </c>
      <c r="B1387" s="57" t="n">
        <f aca="false">MOD(A1387,1)</f>
        <v>0.458333333343035</v>
      </c>
      <c r="C1387" s="0" t="n">
        <v>1.2</v>
      </c>
      <c r="D1387" s="0" t="n">
        <v>489.636</v>
      </c>
      <c r="E1387" s="0" t="n">
        <f aca="false">D1387-0.155</f>
        <v>489.481</v>
      </c>
      <c r="F1387" s="0" t="n">
        <v>489.545</v>
      </c>
      <c r="G1387" s="0" t="n">
        <f aca="false">IF(E1387 - F1387 &lt; 0, 0, E1387 - F1387)</f>
        <v>0</v>
      </c>
      <c r="H1387" s="0" t="n">
        <v>1.82</v>
      </c>
      <c r="I1387" s="0" t="n">
        <f aca="false">1.82*30*(G1387^1.5)</f>
        <v>0</v>
      </c>
      <c r="J1387" s="0" t="n">
        <f aca="false">I1387*60</f>
        <v>0</v>
      </c>
      <c r="K1387" s="0" t="n">
        <f aca="false">(I1387*86400)/24</f>
        <v>0</v>
      </c>
    </row>
    <row r="1388" customFormat="false" ht="16.5" hidden="false" customHeight="false" outlineLevel="0" collapsed="false">
      <c r="A1388" s="56" t="n">
        <v>45892.5</v>
      </c>
      <c r="B1388" s="57" t="n">
        <f aca="false">MOD(A1388,1)</f>
        <v>0.5</v>
      </c>
      <c r="C1388" s="0" t="n">
        <v>0.2</v>
      </c>
      <c r="D1388" s="0" t="n">
        <v>489.643</v>
      </c>
      <c r="E1388" s="0" t="n">
        <f aca="false">D1388-0.155</f>
        <v>489.488</v>
      </c>
      <c r="F1388" s="0" t="n">
        <v>489.545</v>
      </c>
      <c r="G1388" s="0" t="n">
        <f aca="false">IF(E1388 - F1388 &lt; 0, 0, E1388 - F1388)</f>
        <v>0</v>
      </c>
      <c r="H1388" s="0" t="n">
        <v>1.82</v>
      </c>
      <c r="I1388" s="0" t="n">
        <f aca="false">1.82*30*(G1388^1.5)</f>
        <v>0</v>
      </c>
      <c r="J1388" s="0" t="n">
        <f aca="false">I1388*60</f>
        <v>0</v>
      </c>
      <c r="K1388" s="0" t="n">
        <f aca="false">(I1388*86400)/24</f>
        <v>0</v>
      </c>
    </row>
    <row r="1389" customFormat="false" ht="16.5" hidden="false" customHeight="false" outlineLevel="0" collapsed="false">
      <c r="A1389" s="56" t="n">
        <v>45892.5416666667</v>
      </c>
      <c r="B1389" s="57" t="n">
        <f aca="false">MOD(A1389,1)</f>
        <v>0.541666666656965</v>
      </c>
      <c r="C1389" s="0" t="n">
        <v>0</v>
      </c>
      <c r="D1389" s="0" t="n">
        <v>489.649</v>
      </c>
      <c r="E1389" s="0" t="n">
        <f aca="false">D1389-0.155</f>
        <v>489.494</v>
      </c>
      <c r="F1389" s="0" t="n">
        <v>489.545</v>
      </c>
      <c r="G1389" s="0" t="n">
        <f aca="false">IF(E1389 - F1389 &lt; 0, 0, E1389 - F1389)</f>
        <v>0</v>
      </c>
      <c r="H1389" s="0" t="n">
        <v>1.82</v>
      </c>
      <c r="I1389" s="0" t="n">
        <f aca="false">1.82*30*(G1389^1.5)</f>
        <v>0</v>
      </c>
      <c r="J1389" s="0" t="n">
        <f aca="false">I1389*60</f>
        <v>0</v>
      </c>
      <c r="K1389" s="0" t="n">
        <f aca="false">(I1389*86400)/24</f>
        <v>0</v>
      </c>
    </row>
    <row r="1390" customFormat="false" ht="16.5" hidden="false" customHeight="false" outlineLevel="0" collapsed="false">
      <c r="A1390" s="56" t="n">
        <v>45892.5833333333</v>
      </c>
      <c r="B1390" s="57" t="n">
        <f aca="false">MOD(A1390,1)</f>
        <v>0.583333333343035</v>
      </c>
      <c r="C1390" s="0" t="n">
        <v>0</v>
      </c>
      <c r="D1390" s="0" t="n">
        <v>489.656</v>
      </c>
      <c r="E1390" s="0" t="n">
        <f aca="false">D1390-0.155</f>
        <v>489.501</v>
      </c>
      <c r="F1390" s="0" t="n">
        <v>489.545</v>
      </c>
      <c r="G1390" s="0" t="n">
        <f aca="false">IF(E1390 - F1390 &lt; 0, 0, E1390 - F1390)</f>
        <v>0</v>
      </c>
      <c r="H1390" s="0" t="n">
        <v>1.82</v>
      </c>
      <c r="I1390" s="0" t="n">
        <f aca="false">1.82*30*(G1390^1.5)</f>
        <v>0</v>
      </c>
      <c r="J1390" s="0" t="n">
        <f aca="false">I1390*60</f>
        <v>0</v>
      </c>
      <c r="K1390" s="0" t="n">
        <f aca="false">(I1390*86400)/24</f>
        <v>0</v>
      </c>
    </row>
    <row r="1391" customFormat="false" ht="16.5" hidden="false" customHeight="false" outlineLevel="0" collapsed="false">
      <c r="A1391" s="56" t="n">
        <v>45892.625</v>
      </c>
      <c r="B1391" s="57" t="n">
        <f aca="false">MOD(A1391,1)</f>
        <v>0.625</v>
      </c>
      <c r="C1391" s="0" t="n">
        <v>0</v>
      </c>
      <c r="D1391" s="0" t="n">
        <v>489.656</v>
      </c>
      <c r="E1391" s="0" t="n">
        <f aca="false">D1391-0.155</f>
        <v>489.501</v>
      </c>
      <c r="F1391" s="0" t="n">
        <v>489.545</v>
      </c>
      <c r="G1391" s="0" t="n">
        <f aca="false">IF(E1391 - F1391 &lt; 0, 0, E1391 - F1391)</f>
        <v>0</v>
      </c>
      <c r="H1391" s="0" t="n">
        <v>1.82</v>
      </c>
      <c r="I1391" s="0" t="n">
        <f aca="false">1.82*30*(G1391^1.5)</f>
        <v>0</v>
      </c>
      <c r="J1391" s="0" t="n">
        <f aca="false">I1391*60</f>
        <v>0</v>
      </c>
      <c r="K1391" s="0" t="n">
        <f aca="false">(I1391*86400)/24</f>
        <v>0</v>
      </c>
    </row>
    <row r="1392" customFormat="false" ht="16.5" hidden="false" customHeight="false" outlineLevel="0" collapsed="false">
      <c r="A1392" s="56" t="n">
        <v>45892.6666666667</v>
      </c>
      <c r="B1392" s="57" t="n">
        <f aca="false">MOD(A1392,1)</f>
        <v>0.666666666656965</v>
      </c>
      <c r="C1392" s="0" t="n">
        <v>0</v>
      </c>
      <c r="D1392" s="0" t="n">
        <v>489.656</v>
      </c>
      <c r="E1392" s="0" t="n">
        <f aca="false">D1392-0.155</f>
        <v>489.501</v>
      </c>
      <c r="F1392" s="0" t="n">
        <v>489.545</v>
      </c>
      <c r="G1392" s="0" t="n">
        <f aca="false">IF(E1392 - F1392 &lt; 0, 0, E1392 - F1392)</f>
        <v>0</v>
      </c>
      <c r="H1392" s="0" t="n">
        <v>1.82</v>
      </c>
      <c r="I1392" s="0" t="n">
        <f aca="false">1.82*30*(G1392^1.5)</f>
        <v>0</v>
      </c>
      <c r="J1392" s="0" t="n">
        <f aca="false">I1392*60</f>
        <v>0</v>
      </c>
      <c r="K1392" s="0" t="n">
        <f aca="false">(I1392*86400)/24</f>
        <v>0</v>
      </c>
    </row>
    <row r="1393" customFormat="false" ht="16.5" hidden="false" customHeight="false" outlineLevel="0" collapsed="false">
      <c r="A1393" s="56" t="n">
        <v>45892.7083333333</v>
      </c>
      <c r="B1393" s="57" t="n">
        <f aca="false">MOD(A1393,1)</f>
        <v>0.708333333343035</v>
      </c>
      <c r="C1393" s="0" t="n">
        <v>0</v>
      </c>
      <c r="D1393" s="0" t="n">
        <v>489.656</v>
      </c>
      <c r="E1393" s="0" t="n">
        <f aca="false">D1393-0.155</f>
        <v>489.501</v>
      </c>
      <c r="F1393" s="0" t="n">
        <v>489.545</v>
      </c>
      <c r="G1393" s="0" t="n">
        <f aca="false">IF(E1393 - F1393 &lt; 0, 0, E1393 - F1393)</f>
        <v>0</v>
      </c>
      <c r="H1393" s="0" t="n">
        <v>1.82</v>
      </c>
      <c r="I1393" s="0" t="n">
        <f aca="false">1.82*30*(G1393^1.5)</f>
        <v>0</v>
      </c>
      <c r="J1393" s="0" t="n">
        <f aca="false">I1393*60</f>
        <v>0</v>
      </c>
      <c r="K1393" s="0" t="n">
        <f aca="false">(I1393*86400)/24</f>
        <v>0</v>
      </c>
    </row>
    <row r="1394" customFormat="false" ht="16.5" hidden="false" customHeight="false" outlineLevel="0" collapsed="false">
      <c r="A1394" s="56" t="n">
        <v>45892.75</v>
      </c>
      <c r="B1394" s="57" t="n">
        <f aca="false">MOD(A1394,1)</f>
        <v>0.75</v>
      </c>
      <c r="C1394" s="0" t="n">
        <v>1.2</v>
      </c>
      <c r="D1394" s="0" t="n">
        <v>489.67</v>
      </c>
      <c r="E1394" s="0" t="n">
        <f aca="false">D1394-0.155</f>
        <v>489.515</v>
      </c>
      <c r="F1394" s="0" t="n">
        <v>489.545</v>
      </c>
      <c r="G1394" s="0" t="n">
        <f aca="false">IF(E1394 - F1394 &lt; 0, 0, E1394 - F1394)</f>
        <v>0</v>
      </c>
      <c r="H1394" s="0" t="n">
        <v>1.82</v>
      </c>
      <c r="I1394" s="0" t="n">
        <f aca="false">1.82*30*(G1394^1.5)</f>
        <v>0</v>
      </c>
      <c r="J1394" s="0" t="n">
        <f aca="false">I1394*60</f>
        <v>0</v>
      </c>
      <c r="K1394" s="0" t="n">
        <f aca="false">(I1394*86400)/24</f>
        <v>0</v>
      </c>
    </row>
    <row r="1395" customFormat="false" ht="16.5" hidden="false" customHeight="false" outlineLevel="0" collapsed="false">
      <c r="A1395" s="56" t="n">
        <v>45892.7916666667</v>
      </c>
      <c r="B1395" s="57" t="n">
        <f aca="false">MOD(A1395,1)</f>
        <v>0.791666666656965</v>
      </c>
      <c r="C1395" s="0" t="n">
        <v>0</v>
      </c>
      <c r="D1395" s="0" t="n">
        <v>489.689</v>
      </c>
      <c r="E1395" s="0" t="n">
        <f aca="false">D1395-0.155</f>
        <v>489.534</v>
      </c>
      <c r="F1395" s="0" t="n">
        <v>489.545</v>
      </c>
      <c r="G1395" s="0" t="n">
        <f aca="false">IF(E1395 - F1395 &lt; 0, 0, E1395 - F1395)</f>
        <v>0</v>
      </c>
      <c r="H1395" s="0" t="n">
        <v>1.82</v>
      </c>
      <c r="I1395" s="0" t="n">
        <f aca="false">1.82*30*(G1395^1.5)</f>
        <v>0</v>
      </c>
      <c r="J1395" s="0" t="n">
        <f aca="false">I1395*60</f>
        <v>0</v>
      </c>
      <c r="K1395" s="0" t="n">
        <f aca="false">(I1395*86400)/24</f>
        <v>0</v>
      </c>
    </row>
    <row r="1396" customFormat="false" ht="16.5" hidden="false" customHeight="false" outlineLevel="0" collapsed="false">
      <c r="A1396" s="56" t="n">
        <v>45892.8333333333</v>
      </c>
      <c r="B1396" s="57" t="n">
        <f aca="false">MOD(A1396,1)</f>
        <v>0.833333333343035</v>
      </c>
      <c r="C1396" s="0" t="n">
        <v>0</v>
      </c>
      <c r="D1396" s="0" t="n">
        <v>489.701</v>
      </c>
      <c r="E1396" s="0" t="n">
        <f aca="false">D1396-0.155</f>
        <v>489.546</v>
      </c>
      <c r="F1396" s="0" t="n">
        <v>489.545</v>
      </c>
      <c r="G1396" s="0" t="n">
        <f aca="false">IF(E1396 - F1396 &lt; 0, 0, E1396 - F1396)</f>
        <v>0.0010000000000332</v>
      </c>
      <c r="H1396" s="0" t="n">
        <v>1.82</v>
      </c>
      <c r="I1396" s="0" t="n">
        <f aca="false">1.82*30*(G1396^1.5)</f>
        <v>0.00172660360253791</v>
      </c>
      <c r="J1396" s="0" t="n">
        <f aca="false">I1396*60</f>
        <v>0.103596216152275</v>
      </c>
      <c r="K1396" s="0" t="n">
        <f aca="false">(I1396*86400)/24</f>
        <v>6.21577296913648</v>
      </c>
    </row>
    <row r="1397" customFormat="false" ht="16.5" hidden="false" customHeight="false" outlineLevel="0" collapsed="false">
      <c r="A1397" s="56" t="n">
        <v>45892.875</v>
      </c>
      <c r="B1397" s="57" t="n">
        <f aca="false">MOD(A1397,1)</f>
        <v>0.875</v>
      </c>
      <c r="C1397" s="0" t="n">
        <v>0</v>
      </c>
      <c r="D1397" s="0" t="n">
        <v>489.707</v>
      </c>
      <c r="E1397" s="0" t="n">
        <f aca="false">D1397-0.155</f>
        <v>489.552</v>
      </c>
      <c r="F1397" s="0" t="n">
        <v>489.545</v>
      </c>
      <c r="G1397" s="0" t="n">
        <f aca="false">IF(E1397 - F1397 &lt; 0, 0, E1397 - F1397)</f>
        <v>0.007000000000005</v>
      </c>
      <c r="H1397" s="0" t="n">
        <v>1.82</v>
      </c>
      <c r="I1397" s="0" t="n">
        <f aca="false">1.82*30*(G1397^1.5)</f>
        <v>0.0319771462141666</v>
      </c>
      <c r="J1397" s="0" t="n">
        <f aca="false">I1397*60</f>
        <v>1.91862877285</v>
      </c>
      <c r="K1397" s="0" t="n">
        <f aca="false">(I1397*86400)/24</f>
        <v>115.117726371</v>
      </c>
    </row>
    <row r="1398" customFormat="false" ht="16.5" hidden="false" customHeight="false" outlineLevel="0" collapsed="false">
      <c r="A1398" s="56" t="n">
        <v>45892.9166666667</v>
      </c>
      <c r="B1398" s="57" t="n">
        <f aca="false">MOD(A1398,1)</f>
        <v>0.916666666656965</v>
      </c>
      <c r="C1398" s="0" t="n">
        <v>0</v>
      </c>
      <c r="D1398" s="0" t="n">
        <v>489.714</v>
      </c>
      <c r="E1398" s="0" t="n">
        <f aca="false">D1398-0.155</f>
        <v>489.559</v>
      </c>
      <c r="F1398" s="0" t="n">
        <v>489.545</v>
      </c>
      <c r="G1398" s="0" t="n">
        <f aca="false">IF(E1398 - F1398 &lt; 0, 0, E1398 - F1398)</f>
        <v>0.01400000000001</v>
      </c>
      <c r="H1398" s="0" t="n">
        <v>1.82</v>
      </c>
      <c r="I1398" s="0" t="n">
        <f aca="false">1.82*30*(G1398^1.5)</f>
        <v>0.0904450277241239</v>
      </c>
      <c r="J1398" s="0" t="n">
        <f aca="false">I1398*60</f>
        <v>5.42670166344743</v>
      </c>
      <c r="K1398" s="0" t="n">
        <f aca="false">(I1398*86400)/24</f>
        <v>325.602099806846</v>
      </c>
    </row>
    <row r="1399" customFormat="false" ht="16.5" hidden="false" customHeight="false" outlineLevel="0" collapsed="false">
      <c r="A1399" s="56" t="n">
        <v>45892.9583333333</v>
      </c>
      <c r="B1399" s="57" t="n">
        <f aca="false">MOD(A1399,1)</f>
        <v>0.958333333343035</v>
      </c>
      <c r="C1399" s="0" t="n">
        <v>0</v>
      </c>
      <c r="D1399" s="0" t="n">
        <v>489.714</v>
      </c>
      <c r="E1399" s="0" t="n">
        <f aca="false">D1399-0.155</f>
        <v>489.559</v>
      </c>
      <c r="F1399" s="0" t="n">
        <v>489.545</v>
      </c>
      <c r="G1399" s="0" t="n">
        <f aca="false">IF(E1399 - F1399 &lt; 0, 0, E1399 - F1399)</f>
        <v>0.01400000000001</v>
      </c>
      <c r="H1399" s="0" t="n">
        <v>1.82</v>
      </c>
      <c r="I1399" s="0" t="n">
        <f aca="false">1.82*30*(G1399^1.5)</f>
        <v>0.0904450277241239</v>
      </c>
      <c r="J1399" s="0" t="n">
        <f aca="false">I1399*60</f>
        <v>5.42670166344743</v>
      </c>
      <c r="K1399" s="0" t="n">
        <f aca="false">(I1399*86400)/24</f>
        <v>325.602099806846</v>
      </c>
    </row>
    <row r="1400" customFormat="false" ht="16.5" hidden="false" customHeight="false" outlineLevel="0" collapsed="false">
      <c r="A1400" s="56" t="n">
        <v>45893</v>
      </c>
      <c r="B1400" s="57" t="n">
        <f aca="false">MOD(A1400,1)</f>
        <v>0</v>
      </c>
      <c r="C1400" s="0" t="n">
        <v>0</v>
      </c>
      <c r="D1400" s="0" t="n">
        <v>489.714</v>
      </c>
      <c r="E1400" s="0" t="n">
        <f aca="false">D1400-0.155</f>
        <v>489.559</v>
      </c>
      <c r="F1400" s="0" t="n">
        <v>489.545</v>
      </c>
      <c r="G1400" s="0" t="n">
        <f aca="false">IF(E1400 - F1400 &lt; 0, 0, E1400 - F1400)</f>
        <v>0.01400000000001</v>
      </c>
      <c r="H1400" s="0" t="n">
        <v>1.82</v>
      </c>
      <c r="I1400" s="0" t="n">
        <f aca="false">1.82*30*(G1400^1.5)</f>
        <v>0.0904450277241239</v>
      </c>
      <c r="J1400" s="0" t="n">
        <f aca="false">I1400*60</f>
        <v>5.42670166344743</v>
      </c>
      <c r="K1400" s="0" t="n">
        <f aca="false">(I1400*86400)/24</f>
        <v>325.602099806846</v>
      </c>
    </row>
    <row r="1401" customFormat="false" ht="16.5" hidden="false" customHeight="false" outlineLevel="0" collapsed="false">
      <c r="A1401" s="56" t="n">
        <v>45893.0416666667</v>
      </c>
      <c r="B1401" s="57" t="n">
        <f aca="false">MOD(A1401,1)</f>
        <v>0.0416666666569654</v>
      </c>
      <c r="C1401" s="0" t="n">
        <v>0</v>
      </c>
      <c r="D1401" s="0" t="n">
        <v>489.714</v>
      </c>
      <c r="E1401" s="0" t="n">
        <f aca="false">D1401-0.155</f>
        <v>489.559</v>
      </c>
      <c r="F1401" s="0" t="n">
        <v>489.545</v>
      </c>
      <c r="G1401" s="0" t="n">
        <f aca="false">IF(E1401 - F1401 &lt; 0, 0, E1401 - F1401)</f>
        <v>0.01400000000001</v>
      </c>
      <c r="H1401" s="0" t="n">
        <v>1.82</v>
      </c>
      <c r="I1401" s="0" t="n">
        <f aca="false">1.82*30*(G1401^1.5)</f>
        <v>0.0904450277241239</v>
      </c>
      <c r="J1401" s="0" t="n">
        <f aca="false">I1401*60</f>
        <v>5.42670166344743</v>
      </c>
      <c r="K1401" s="0" t="n">
        <f aca="false">(I1401*86400)/24</f>
        <v>325.602099806846</v>
      </c>
    </row>
    <row r="1402" customFormat="false" ht="16.5" hidden="false" customHeight="false" outlineLevel="0" collapsed="false">
      <c r="A1402" s="56" t="n">
        <v>45893.0833333333</v>
      </c>
      <c r="B1402" s="57" t="n">
        <f aca="false">MOD(A1402,1)</f>
        <v>0.0833333333430346</v>
      </c>
      <c r="C1402" s="0" t="n">
        <v>0</v>
      </c>
      <c r="D1402" s="0" t="n">
        <v>489.714</v>
      </c>
      <c r="E1402" s="0" t="n">
        <f aca="false">D1402-0.155</f>
        <v>489.559</v>
      </c>
      <c r="F1402" s="0" t="n">
        <v>489.545</v>
      </c>
      <c r="G1402" s="0" t="n">
        <f aca="false">IF(E1402 - F1402 &lt; 0, 0, E1402 - F1402)</f>
        <v>0.01400000000001</v>
      </c>
      <c r="H1402" s="0" t="n">
        <v>1.82</v>
      </c>
      <c r="I1402" s="0" t="n">
        <f aca="false">1.82*30*(G1402^1.5)</f>
        <v>0.0904450277241239</v>
      </c>
      <c r="J1402" s="0" t="n">
        <f aca="false">I1402*60</f>
        <v>5.42670166344743</v>
      </c>
      <c r="K1402" s="0" t="n">
        <f aca="false">(I1402*86400)/24</f>
        <v>325.602099806846</v>
      </c>
    </row>
    <row r="1403" customFormat="false" ht="16.5" hidden="false" customHeight="false" outlineLevel="0" collapsed="false">
      <c r="A1403" s="56" t="n">
        <v>45893.125</v>
      </c>
      <c r="B1403" s="57" t="n">
        <f aca="false">MOD(A1403,1)</f>
        <v>0.125</v>
      </c>
      <c r="C1403" s="0" t="n">
        <v>0</v>
      </c>
      <c r="D1403" s="0" t="n">
        <v>489.714</v>
      </c>
      <c r="E1403" s="0" t="n">
        <f aca="false">D1403-0.155</f>
        <v>489.559</v>
      </c>
      <c r="F1403" s="0" t="n">
        <v>489.545</v>
      </c>
      <c r="G1403" s="0" t="n">
        <f aca="false">IF(E1403 - F1403 &lt; 0, 0, E1403 - F1403)</f>
        <v>0.01400000000001</v>
      </c>
      <c r="H1403" s="0" t="n">
        <v>1.82</v>
      </c>
      <c r="I1403" s="0" t="n">
        <f aca="false">1.82*30*(G1403^1.5)</f>
        <v>0.0904450277241239</v>
      </c>
      <c r="J1403" s="0" t="n">
        <f aca="false">I1403*60</f>
        <v>5.42670166344743</v>
      </c>
      <c r="K1403" s="0" t="n">
        <f aca="false">(I1403*86400)/24</f>
        <v>325.602099806846</v>
      </c>
    </row>
    <row r="1404" customFormat="false" ht="16.5" hidden="false" customHeight="false" outlineLevel="0" collapsed="false">
      <c r="A1404" s="56" t="n">
        <v>45893.1666666667</v>
      </c>
      <c r="B1404" s="57" t="n">
        <f aca="false">MOD(A1404,1)</f>
        <v>0.166666666656965</v>
      </c>
      <c r="C1404" s="0" t="n">
        <v>0</v>
      </c>
      <c r="D1404" s="0" t="n">
        <v>489.714</v>
      </c>
      <c r="E1404" s="0" t="n">
        <f aca="false">D1404-0.155</f>
        <v>489.559</v>
      </c>
      <c r="F1404" s="0" t="n">
        <v>489.545</v>
      </c>
      <c r="G1404" s="0" t="n">
        <f aca="false">IF(E1404 - F1404 &lt; 0, 0, E1404 - F1404)</f>
        <v>0.01400000000001</v>
      </c>
      <c r="H1404" s="0" t="n">
        <v>1.82</v>
      </c>
      <c r="I1404" s="0" t="n">
        <f aca="false">1.82*30*(G1404^1.5)</f>
        <v>0.0904450277241239</v>
      </c>
      <c r="J1404" s="0" t="n">
        <f aca="false">I1404*60</f>
        <v>5.42670166344743</v>
      </c>
      <c r="K1404" s="0" t="n">
        <f aca="false">(I1404*86400)/24</f>
        <v>325.602099806846</v>
      </c>
    </row>
    <row r="1405" customFormat="false" ht="16.5" hidden="false" customHeight="false" outlineLevel="0" collapsed="false">
      <c r="A1405" s="56" t="n">
        <v>45893.2083333333</v>
      </c>
      <c r="B1405" s="57" t="n">
        <f aca="false">MOD(A1405,1)</f>
        <v>0.208333333343035</v>
      </c>
      <c r="C1405" s="0" t="n">
        <v>0</v>
      </c>
      <c r="D1405" s="0" t="n">
        <v>489.721</v>
      </c>
      <c r="E1405" s="0" t="n">
        <f aca="false">D1405-0.155</f>
        <v>489.566</v>
      </c>
      <c r="F1405" s="0" t="n">
        <v>489.545</v>
      </c>
      <c r="G1405" s="0" t="n">
        <f aca="false">IF(E1405 - F1405 &lt; 0, 0, E1405 - F1405)</f>
        <v>0.021000000000015</v>
      </c>
      <c r="H1405" s="0" t="n">
        <v>1.82</v>
      </c>
      <c r="I1405" s="0" t="n">
        <f aca="false">1.82*30*(G1405^1.5)</f>
        <v>0.166158125771986</v>
      </c>
      <c r="J1405" s="0" t="n">
        <f aca="false">I1405*60</f>
        <v>9.96948754631917</v>
      </c>
      <c r="K1405" s="0" t="n">
        <f aca="false">(I1405*86400)/24</f>
        <v>598.16925277915</v>
      </c>
    </row>
    <row r="1406" customFormat="false" ht="16.5" hidden="false" customHeight="false" outlineLevel="0" collapsed="false">
      <c r="A1406" s="56" t="n">
        <v>45893.25</v>
      </c>
      <c r="B1406" s="57" t="n">
        <f aca="false">MOD(A1406,1)</f>
        <v>0.25</v>
      </c>
      <c r="C1406" s="0" t="n">
        <v>0</v>
      </c>
      <c r="D1406" s="0" t="n">
        <v>489.714</v>
      </c>
      <c r="E1406" s="0" t="n">
        <f aca="false">D1406-0.155</f>
        <v>489.559</v>
      </c>
      <c r="F1406" s="0" t="n">
        <v>489.545</v>
      </c>
      <c r="G1406" s="0" t="n">
        <f aca="false">IF(E1406 - F1406 &lt; 0, 0, E1406 - F1406)</f>
        <v>0.01400000000001</v>
      </c>
      <c r="H1406" s="0" t="n">
        <v>1.82</v>
      </c>
      <c r="I1406" s="0" t="n">
        <f aca="false">1.82*30*(G1406^1.5)</f>
        <v>0.0904450277241239</v>
      </c>
      <c r="J1406" s="0" t="n">
        <f aca="false">I1406*60</f>
        <v>5.42670166344743</v>
      </c>
      <c r="K1406" s="0" t="n">
        <f aca="false">(I1406*86400)/24</f>
        <v>325.602099806846</v>
      </c>
    </row>
    <row r="1407" customFormat="false" ht="16.5" hidden="false" customHeight="false" outlineLevel="0" collapsed="false">
      <c r="A1407" s="56" t="n">
        <v>45893.2916666667</v>
      </c>
      <c r="B1407" s="57" t="n">
        <f aca="false">MOD(A1407,1)</f>
        <v>0.291666666656965</v>
      </c>
      <c r="C1407" s="0" t="n">
        <v>0</v>
      </c>
      <c r="D1407" s="0" t="n">
        <v>489.714</v>
      </c>
      <c r="E1407" s="0" t="n">
        <f aca="false">D1407-0.155</f>
        <v>489.559</v>
      </c>
      <c r="F1407" s="0" t="n">
        <v>489.545</v>
      </c>
      <c r="G1407" s="0" t="n">
        <f aca="false">IF(E1407 - F1407 &lt; 0, 0, E1407 - F1407)</f>
        <v>0.01400000000001</v>
      </c>
      <c r="H1407" s="0" t="n">
        <v>1.82</v>
      </c>
      <c r="I1407" s="0" t="n">
        <f aca="false">1.82*30*(G1407^1.5)</f>
        <v>0.0904450277241239</v>
      </c>
      <c r="J1407" s="0" t="n">
        <f aca="false">I1407*60</f>
        <v>5.42670166344743</v>
      </c>
      <c r="K1407" s="0" t="n">
        <f aca="false">(I1407*86400)/24</f>
        <v>325.602099806846</v>
      </c>
    </row>
    <row r="1408" customFormat="false" ht="16.5" hidden="false" customHeight="false" outlineLevel="0" collapsed="false">
      <c r="A1408" s="56" t="n">
        <v>45893.3333333333</v>
      </c>
      <c r="B1408" s="57" t="n">
        <f aca="false">MOD(A1408,1)</f>
        <v>0.333333333343035</v>
      </c>
      <c r="C1408" s="0" t="n">
        <v>0</v>
      </c>
      <c r="D1408" s="0" t="n">
        <v>489.72</v>
      </c>
      <c r="E1408" s="0" t="n">
        <f aca="false">D1408-0.155</f>
        <v>489.565</v>
      </c>
      <c r="F1408" s="0" t="n">
        <v>489.545</v>
      </c>
      <c r="G1408" s="0" t="n">
        <f aca="false">IF(E1408 - F1408 &lt; 0, 0, E1408 - F1408)</f>
        <v>0.0200000000000387</v>
      </c>
      <c r="H1408" s="0" t="n">
        <v>1.82</v>
      </c>
      <c r="I1408" s="0" t="n">
        <f aca="false">1.82*30*(G1408^1.5)</f>
        <v>0.15443212101159</v>
      </c>
      <c r="J1408" s="0" t="n">
        <f aca="false">I1408*60</f>
        <v>9.26592726069538</v>
      </c>
      <c r="K1408" s="0" t="n">
        <f aca="false">(I1408*86400)/24</f>
        <v>555.955635641723</v>
      </c>
    </row>
    <row r="1409" customFormat="false" ht="16.5" hidden="false" customHeight="false" outlineLevel="0" collapsed="false">
      <c r="A1409" s="56" t="n">
        <v>45893.375</v>
      </c>
      <c r="B1409" s="57" t="n">
        <f aca="false">MOD(A1409,1)</f>
        <v>0.375</v>
      </c>
      <c r="C1409" s="0" t="n">
        <v>0</v>
      </c>
      <c r="D1409" s="0" t="n">
        <v>489.726</v>
      </c>
      <c r="E1409" s="0" t="n">
        <f aca="false">D1409-0.155</f>
        <v>489.571</v>
      </c>
      <c r="F1409" s="0" t="n">
        <v>489.545</v>
      </c>
      <c r="G1409" s="0" t="n">
        <f aca="false">IF(E1409 - F1409 &lt; 0, 0, E1409 - F1409)</f>
        <v>0.0260000000000105</v>
      </c>
      <c r="H1409" s="0" t="n">
        <v>1.82</v>
      </c>
      <c r="I1409" s="0" t="n">
        <f aca="false">1.82*30*(G1409^1.5)</f>
        <v>0.228903621989831</v>
      </c>
      <c r="J1409" s="0" t="n">
        <f aca="false">I1409*60</f>
        <v>13.7342173193898</v>
      </c>
      <c r="K1409" s="0" t="n">
        <f aca="false">(I1409*86400)/24</f>
        <v>824.05303916339</v>
      </c>
    </row>
    <row r="1410" customFormat="false" ht="16.5" hidden="false" customHeight="false" outlineLevel="0" collapsed="false">
      <c r="A1410" s="56" t="n">
        <v>45893.4166666667</v>
      </c>
      <c r="B1410" s="57" t="n">
        <f aca="false">MOD(A1410,1)</f>
        <v>0.416666666656965</v>
      </c>
      <c r="C1410" s="0" t="n">
        <v>0</v>
      </c>
      <c r="D1410" s="0" t="n">
        <v>489.725</v>
      </c>
      <c r="E1410" s="0" t="n">
        <f aca="false">D1410-0.155</f>
        <v>489.57</v>
      </c>
      <c r="F1410" s="0" t="n">
        <v>489.545</v>
      </c>
      <c r="G1410" s="0" t="n">
        <f aca="false">IF(E1410 - F1410 &lt; 0, 0, E1410 - F1410)</f>
        <v>0.0250000000000341</v>
      </c>
      <c r="H1410" s="0" t="n">
        <v>1.82</v>
      </c>
      <c r="I1410" s="0" t="n">
        <f aca="false">1.82*30*(G1410^1.5)</f>
        <v>0.215825450306934</v>
      </c>
      <c r="J1410" s="0" t="n">
        <f aca="false">I1410*60</f>
        <v>12.949527018416</v>
      </c>
      <c r="K1410" s="0" t="n">
        <f aca="false">(I1410*86400)/24</f>
        <v>776.971621104961</v>
      </c>
    </row>
    <row r="1411" customFormat="false" ht="16.5" hidden="false" customHeight="false" outlineLevel="0" collapsed="false">
      <c r="A1411" s="56" t="n">
        <v>45893.4583333333</v>
      </c>
      <c r="B1411" s="57" t="n">
        <f aca="false">MOD(A1411,1)</f>
        <v>0.458333333343035</v>
      </c>
      <c r="C1411" s="0" t="n">
        <v>0</v>
      </c>
      <c r="D1411" s="0" t="n">
        <v>489.726</v>
      </c>
      <c r="E1411" s="0" t="n">
        <f aca="false">D1411-0.155</f>
        <v>489.571</v>
      </c>
      <c r="F1411" s="0" t="n">
        <v>489.545</v>
      </c>
      <c r="G1411" s="0" t="n">
        <f aca="false">IF(E1411 - F1411 &lt; 0, 0, E1411 - F1411)</f>
        <v>0.0260000000000105</v>
      </c>
      <c r="H1411" s="0" t="n">
        <v>1.82</v>
      </c>
      <c r="I1411" s="0" t="n">
        <f aca="false">1.82*30*(G1411^1.5)</f>
        <v>0.228903621989831</v>
      </c>
      <c r="J1411" s="0" t="n">
        <f aca="false">I1411*60</f>
        <v>13.7342173193898</v>
      </c>
      <c r="K1411" s="0" t="n">
        <f aca="false">(I1411*86400)/24</f>
        <v>824.05303916339</v>
      </c>
    </row>
    <row r="1412" customFormat="false" ht="16.5" hidden="false" customHeight="false" outlineLevel="0" collapsed="false">
      <c r="A1412" s="56" t="n">
        <v>45893.5</v>
      </c>
      <c r="B1412" s="57" t="n">
        <f aca="false">MOD(A1412,1)</f>
        <v>0.5</v>
      </c>
      <c r="C1412" s="0" t="n">
        <v>0</v>
      </c>
      <c r="D1412" s="0" t="n">
        <v>489.725</v>
      </c>
      <c r="E1412" s="0" t="n">
        <f aca="false">D1412-0.155</f>
        <v>489.57</v>
      </c>
      <c r="F1412" s="0" t="n">
        <v>489.545</v>
      </c>
      <c r="G1412" s="0" t="n">
        <f aca="false">IF(E1412 - F1412 &lt; 0, 0, E1412 - F1412)</f>
        <v>0.0250000000000341</v>
      </c>
      <c r="H1412" s="0" t="n">
        <v>1.82</v>
      </c>
      <c r="I1412" s="0" t="n">
        <f aca="false">1.82*30*(G1412^1.5)</f>
        <v>0.215825450306934</v>
      </c>
      <c r="J1412" s="0" t="n">
        <f aca="false">I1412*60</f>
        <v>12.949527018416</v>
      </c>
      <c r="K1412" s="0" t="n">
        <f aca="false">(I1412*86400)/24</f>
        <v>776.971621104961</v>
      </c>
    </row>
    <row r="1413" customFormat="false" ht="16.5" hidden="false" customHeight="false" outlineLevel="0" collapsed="false">
      <c r="A1413" s="56" t="n">
        <v>45893.5416666667</v>
      </c>
      <c r="B1413" s="57" t="n">
        <f aca="false">MOD(A1413,1)</f>
        <v>0.541666666656965</v>
      </c>
      <c r="C1413" s="0" t="n">
        <v>0</v>
      </c>
      <c r="D1413" s="0" t="n">
        <v>489.72</v>
      </c>
      <c r="E1413" s="0" t="n">
        <f aca="false">D1413-0.155</f>
        <v>489.565</v>
      </c>
      <c r="F1413" s="0" t="n">
        <v>489.545</v>
      </c>
      <c r="G1413" s="0" t="n">
        <f aca="false">IF(E1413 - F1413 &lt; 0, 0, E1413 - F1413)</f>
        <v>0.0200000000000387</v>
      </c>
      <c r="H1413" s="0" t="n">
        <v>1.82</v>
      </c>
      <c r="I1413" s="0" t="n">
        <f aca="false">1.82*30*(G1413^1.5)</f>
        <v>0.15443212101159</v>
      </c>
      <c r="J1413" s="0" t="n">
        <f aca="false">I1413*60</f>
        <v>9.26592726069538</v>
      </c>
      <c r="K1413" s="0" t="n">
        <f aca="false">(I1413*86400)/24</f>
        <v>555.955635641723</v>
      </c>
    </row>
    <row r="1414" customFormat="false" ht="16.5" hidden="false" customHeight="false" outlineLevel="0" collapsed="false">
      <c r="A1414" s="56" t="n">
        <v>45893.5833333333</v>
      </c>
      <c r="B1414" s="57" t="n">
        <f aca="false">MOD(A1414,1)</f>
        <v>0.583333333343035</v>
      </c>
      <c r="C1414" s="0" t="n">
        <v>0</v>
      </c>
      <c r="D1414" s="0" t="n">
        <v>489.725</v>
      </c>
      <c r="E1414" s="0" t="n">
        <f aca="false">D1414-0.155</f>
        <v>489.57</v>
      </c>
      <c r="F1414" s="0" t="n">
        <v>489.545</v>
      </c>
      <c r="G1414" s="0" t="n">
        <f aca="false">IF(E1414 - F1414 &lt; 0, 0, E1414 - F1414)</f>
        <v>0.0250000000000341</v>
      </c>
      <c r="H1414" s="0" t="n">
        <v>1.82</v>
      </c>
      <c r="I1414" s="0" t="n">
        <f aca="false">1.82*30*(G1414^1.5)</f>
        <v>0.215825450306934</v>
      </c>
      <c r="J1414" s="0" t="n">
        <f aca="false">I1414*60</f>
        <v>12.949527018416</v>
      </c>
      <c r="K1414" s="0" t="n">
        <f aca="false">(I1414*86400)/24</f>
        <v>776.971621104961</v>
      </c>
    </row>
    <row r="1415" customFormat="false" ht="16.5" hidden="false" customHeight="false" outlineLevel="0" collapsed="false">
      <c r="A1415" s="56" t="n">
        <v>45893.625</v>
      </c>
      <c r="B1415" s="57" t="n">
        <f aca="false">MOD(A1415,1)</f>
        <v>0.625</v>
      </c>
      <c r="C1415" s="0" t="n">
        <v>0</v>
      </c>
      <c r="D1415" s="0" t="n">
        <v>489.713</v>
      </c>
      <c r="E1415" s="0" t="n">
        <f aca="false">D1415-0.155</f>
        <v>489.558</v>
      </c>
      <c r="F1415" s="0" t="n">
        <v>489.545</v>
      </c>
      <c r="G1415" s="0" t="n">
        <f aca="false">IF(E1415 - F1415 &lt; 0, 0, E1415 - F1415)</f>
        <v>0.0130000000000337</v>
      </c>
      <c r="H1415" s="0" t="n">
        <v>1.82</v>
      </c>
      <c r="I1415" s="0" t="n">
        <f aca="false">1.82*30*(G1415^1.5)</f>
        <v>0.0809296516738511</v>
      </c>
      <c r="J1415" s="0" t="n">
        <f aca="false">I1415*60</f>
        <v>4.85577910043106</v>
      </c>
      <c r="K1415" s="0" t="n">
        <f aca="false">(I1415*86400)/24</f>
        <v>291.346746025864</v>
      </c>
    </row>
    <row r="1416" customFormat="false" ht="16.5" hidden="false" customHeight="false" outlineLevel="0" collapsed="false">
      <c r="A1416" s="56" t="n">
        <v>45893.6666666667</v>
      </c>
      <c r="B1416" s="57" t="n">
        <f aca="false">MOD(A1416,1)</f>
        <v>0.666666666656965</v>
      </c>
      <c r="C1416" s="0" t="n">
        <v>6</v>
      </c>
      <c r="D1416" s="0" t="n">
        <v>489.707</v>
      </c>
      <c r="E1416" s="0" t="n">
        <f aca="false">D1416-0.155</f>
        <v>489.552</v>
      </c>
      <c r="F1416" s="0" t="n">
        <v>489.545</v>
      </c>
      <c r="G1416" s="0" t="n">
        <f aca="false">IF(E1416 - F1416 &lt; 0, 0, E1416 - F1416)</f>
        <v>0.007000000000005</v>
      </c>
      <c r="H1416" s="0" t="n">
        <v>1.82</v>
      </c>
      <c r="I1416" s="0" t="n">
        <f aca="false">1.82*30*(G1416^1.5)</f>
        <v>0.0319771462141666</v>
      </c>
      <c r="J1416" s="0" t="n">
        <f aca="false">I1416*60</f>
        <v>1.91862877285</v>
      </c>
      <c r="K1416" s="0" t="n">
        <f aca="false">(I1416*86400)/24</f>
        <v>115.117726371</v>
      </c>
    </row>
    <row r="1417" customFormat="false" ht="16.5" hidden="false" customHeight="false" outlineLevel="0" collapsed="false">
      <c r="A1417" s="56" t="n">
        <v>45893.7083333333</v>
      </c>
      <c r="B1417" s="57" t="n">
        <f aca="false">MOD(A1417,1)</f>
        <v>0.708333333343035</v>
      </c>
      <c r="C1417" s="0" t="n">
        <v>0</v>
      </c>
      <c r="D1417" s="0" t="n">
        <v>489.707</v>
      </c>
      <c r="E1417" s="0" t="n">
        <f aca="false">D1417-0.155</f>
        <v>489.552</v>
      </c>
      <c r="F1417" s="0" t="n">
        <v>489.545</v>
      </c>
      <c r="G1417" s="0" t="n">
        <f aca="false">IF(E1417 - F1417 &lt; 0, 0, E1417 - F1417)</f>
        <v>0.007000000000005</v>
      </c>
      <c r="H1417" s="0" t="n">
        <v>1.82</v>
      </c>
      <c r="I1417" s="0" t="n">
        <f aca="false">1.82*30*(G1417^1.5)</f>
        <v>0.0319771462141666</v>
      </c>
      <c r="J1417" s="0" t="n">
        <f aca="false">I1417*60</f>
        <v>1.91862877285</v>
      </c>
      <c r="K1417" s="0" t="n">
        <f aca="false">(I1417*86400)/24</f>
        <v>115.117726371</v>
      </c>
    </row>
    <row r="1418" customFormat="false" ht="16.5" hidden="false" customHeight="false" outlineLevel="0" collapsed="false">
      <c r="A1418" s="56" t="n">
        <v>45893.75</v>
      </c>
      <c r="B1418" s="57" t="n">
        <f aca="false">MOD(A1418,1)</f>
        <v>0.75</v>
      </c>
      <c r="C1418" s="0" t="n">
        <v>0.4</v>
      </c>
      <c r="D1418" s="0" t="n">
        <v>489.707</v>
      </c>
      <c r="E1418" s="0" t="n">
        <f aca="false">D1418-0.155</f>
        <v>489.552</v>
      </c>
      <c r="F1418" s="0" t="n">
        <v>489.545</v>
      </c>
      <c r="G1418" s="0" t="n">
        <f aca="false">IF(E1418 - F1418 &lt; 0, 0, E1418 - F1418)</f>
        <v>0.007000000000005</v>
      </c>
      <c r="H1418" s="0" t="n">
        <v>1.82</v>
      </c>
      <c r="I1418" s="0" t="n">
        <f aca="false">1.82*30*(G1418^1.5)</f>
        <v>0.0319771462141666</v>
      </c>
      <c r="J1418" s="0" t="n">
        <f aca="false">I1418*60</f>
        <v>1.91862877285</v>
      </c>
      <c r="K1418" s="0" t="n">
        <f aca="false">(I1418*86400)/24</f>
        <v>115.117726371</v>
      </c>
    </row>
    <row r="1419" customFormat="false" ht="16.5" hidden="false" customHeight="false" outlineLevel="0" collapsed="false">
      <c r="A1419" s="56" t="n">
        <v>45893.7916666667</v>
      </c>
      <c r="B1419" s="57" t="n">
        <f aca="false">MOD(A1419,1)</f>
        <v>0.791666666656965</v>
      </c>
      <c r="C1419" s="0" t="n">
        <v>0</v>
      </c>
      <c r="D1419" s="0" t="n">
        <v>489.701</v>
      </c>
      <c r="E1419" s="0" t="n">
        <f aca="false">D1419-0.155</f>
        <v>489.546</v>
      </c>
      <c r="F1419" s="0" t="n">
        <v>489.545</v>
      </c>
      <c r="G1419" s="0" t="n">
        <f aca="false">IF(E1419 - F1419 &lt; 0, 0, E1419 - F1419)</f>
        <v>0.0010000000000332</v>
      </c>
      <c r="H1419" s="0" t="n">
        <v>1.82</v>
      </c>
      <c r="I1419" s="0" t="n">
        <f aca="false">1.82*30*(G1419^1.5)</f>
        <v>0.00172660360253791</v>
      </c>
      <c r="J1419" s="0" t="n">
        <f aca="false">I1419*60</f>
        <v>0.103596216152275</v>
      </c>
      <c r="K1419" s="0" t="n">
        <f aca="false">(I1419*86400)/24</f>
        <v>6.21577296913648</v>
      </c>
    </row>
    <row r="1420" customFormat="false" ht="16.5" hidden="false" customHeight="false" outlineLevel="0" collapsed="false">
      <c r="A1420" s="56" t="n">
        <v>45893.8333333333</v>
      </c>
      <c r="B1420" s="57" t="n">
        <f aca="false">MOD(A1420,1)</f>
        <v>0.833333333343035</v>
      </c>
      <c r="C1420" s="0" t="n">
        <v>0</v>
      </c>
      <c r="D1420" s="0" t="n">
        <v>489.701</v>
      </c>
      <c r="E1420" s="0" t="n">
        <f aca="false">D1420-0.155</f>
        <v>489.546</v>
      </c>
      <c r="F1420" s="0" t="n">
        <v>489.545</v>
      </c>
      <c r="G1420" s="0" t="n">
        <f aca="false">IF(E1420 - F1420 &lt; 0, 0, E1420 - F1420)</f>
        <v>0.0010000000000332</v>
      </c>
      <c r="H1420" s="0" t="n">
        <v>1.82</v>
      </c>
      <c r="I1420" s="0" t="n">
        <f aca="false">1.82*30*(G1420^1.5)</f>
        <v>0.00172660360253791</v>
      </c>
      <c r="J1420" s="0" t="n">
        <f aca="false">I1420*60</f>
        <v>0.103596216152275</v>
      </c>
      <c r="K1420" s="0" t="n">
        <f aca="false">(I1420*86400)/24</f>
        <v>6.21577296913648</v>
      </c>
    </row>
    <row r="1421" customFormat="false" ht="16.5" hidden="false" customHeight="false" outlineLevel="0" collapsed="false">
      <c r="A1421" s="56" t="n">
        <v>45893.875</v>
      </c>
      <c r="B1421" s="57" t="n">
        <f aca="false">MOD(A1421,1)</f>
        <v>0.875</v>
      </c>
      <c r="C1421" s="0" t="n">
        <v>0</v>
      </c>
      <c r="D1421" s="0" t="n">
        <v>489.701</v>
      </c>
      <c r="E1421" s="0" t="n">
        <f aca="false">D1421-0.155</f>
        <v>489.546</v>
      </c>
      <c r="F1421" s="0" t="n">
        <v>489.545</v>
      </c>
      <c r="G1421" s="0" t="n">
        <f aca="false">IF(E1421 - F1421 &lt; 0, 0, E1421 - F1421)</f>
        <v>0.0010000000000332</v>
      </c>
      <c r="H1421" s="0" t="n">
        <v>1.82</v>
      </c>
      <c r="I1421" s="0" t="n">
        <f aca="false">1.82*30*(G1421^1.5)</f>
        <v>0.00172660360253791</v>
      </c>
      <c r="J1421" s="0" t="n">
        <f aca="false">I1421*60</f>
        <v>0.103596216152275</v>
      </c>
      <c r="K1421" s="0" t="n">
        <f aca="false">(I1421*86400)/24</f>
        <v>6.21577296913648</v>
      </c>
    </row>
    <row r="1422" customFormat="false" ht="16.5" hidden="false" customHeight="false" outlineLevel="0" collapsed="false">
      <c r="A1422" s="56" t="n">
        <v>45893.9166666667</v>
      </c>
      <c r="B1422" s="57" t="n">
        <f aca="false">MOD(A1422,1)</f>
        <v>0.916666666656965</v>
      </c>
      <c r="C1422" s="0" t="n">
        <v>0</v>
      </c>
      <c r="D1422" s="0" t="n">
        <v>489.707</v>
      </c>
      <c r="E1422" s="0" t="n">
        <f aca="false">D1422-0.155</f>
        <v>489.552</v>
      </c>
      <c r="F1422" s="0" t="n">
        <v>489.545</v>
      </c>
      <c r="G1422" s="0" t="n">
        <f aca="false">IF(E1422 - F1422 &lt; 0, 0, E1422 - F1422)</f>
        <v>0.007000000000005</v>
      </c>
      <c r="H1422" s="0" t="n">
        <v>1.82</v>
      </c>
      <c r="I1422" s="0" t="n">
        <f aca="false">1.82*30*(G1422^1.5)</f>
        <v>0.0319771462141666</v>
      </c>
      <c r="J1422" s="0" t="n">
        <f aca="false">I1422*60</f>
        <v>1.91862877285</v>
      </c>
      <c r="K1422" s="0" t="n">
        <f aca="false">(I1422*86400)/24</f>
        <v>115.117726371</v>
      </c>
    </row>
    <row r="1423" customFormat="false" ht="16.5" hidden="false" customHeight="false" outlineLevel="0" collapsed="false">
      <c r="A1423" s="56" t="n">
        <v>45893.9583333333</v>
      </c>
      <c r="B1423" s="57" t="n">
        <f aca="false">MOD(A1423,1)</f>
        <v>0.958333333343035</v>
      </c>
      <c r="C1423" s="0" t="n">
        <v>0</v>
      </c>
      <c r="D1423" s="0" t="n">
        <v>489.701</v>
      </c>
      <c r="E1423" s="0" t="n">
        <f aca="false">D1423-0.155</f>
        <v>489.546</v>
      </c>
      <c r="F1423" s="0" t="n">
        <v>489.545</v>
      </c>
      <c r="G1423" s="0" t="n">
        <f aca="false">IF(E1423 - F1423 &lt; 0, 0, E1423 - F1423)</f>
        <v>0.0010000000000332</v>
      </c>
      <c r="H1423" s="0" t="n">
        <v>1.82</v>
      </c>
      <c r="I1423" s="0" t="n">
        <f aca="false">1.82*30*(G1423^1.5)</f>
        <v>0.00172660360253791</v>
      </c>
      <c r="J1423" s="0" t="n">
        <f aca="false">I1423*60</f>
        <v>0.103596216152275</v>
      </c>
      <c r="K1423" s="0" t="n">
        <f aca="false">(I1423*86400)/24</f>
        <v>6.21577296913648</v>
      </c>
    </row>
    <row r="1424" customFormat="false" ht="16.5" hidden="false" customHeight="false" outlineLevel="0" collapsed="false">
      <c r="A1424" s="56" t="n">
        <v>45894</v>
      </c>
      <c r="B1424" s="57" t="n">
        <f aca="false">MOD(A1424,1)</f>
        <v>0</v>
      </c>
      <c r="C1424" s="0" t="n">
        <v>0</v>
      </c>
      <c r="D1424" s="0" t="n">
        <v>489.701</v>
      </c>
      <c r="E1424" s="0" t="n">
        <f aca="false">D1424-0.155</f>
        <v>489.546</v>
      </c>
      <c r="F1424" s="0" t="n">
        <v>489.545</v>
      </c>
      <c r="G1424" s="0" t="n">
        <f aca="false">IF(E1424 - F1424 &lt; 0, 0, E1424 - F1424)</f>
        <v>0.0010000000000332</v>
      </c>
      <c r="H1424" s="0" t="n">
        <v>1.82</v>
      </c>
      <c r="I1424" s="0" t="n">
        <f aca="false">1.82*30*(G1424^1.5)</f>
        <v>0.00172660360253791</v>
      </c>
      <c r="J1424" s="0" t="n">
        <f aca="false">I1424*60</f>
        <v>0.103596216152275</v>
      </c>
      <c r="K1424" s="0" t="n">
        <f aca="false">(I1424*86400)/24</f>
        <v>6.21577296913648</v>
      </c>
    </row>
    <row r="1425" customFormat="false" ht="16.5" hidden="false" customHeight="false" outlineLevel="0" collapsed="false">
      <c r="A1425" s="56" t="n">
        <v>45894.0416666667</v>
      </c>
      <c r="B1425" s="57" t="n">
        <f aca="false">MOD(A1425,1)</f>
        <v>0.0416666666569654</v>
      </c>
      <c r="C1425" s="0" t="n">
        <v>0</v>
      </c>
      <c r="D1425" s="0" t="n">
        <v>489.701</v>
      </c>
      <c r="E1425" s="0" t="n">
        <f aca="false">D1425-0.155</f>
        <v>489.546</v>
      </c>
      <c r="F1425" s="0" t="n">
        <v>489.545</v>
      </c>
      <c r="G1425" s="0" t="n">
        <f aca="false">IF(E1425 - F1425 &lt; 0, 0, E1425 - F1425)</f>
        <v>0.0010000000000332</v>
      </c>
      <c r="H1425" s="0" t="n">
        <v>1.82</v>
      </c>
      <c r="I1425" s="0" t="n">
        <f aca="false">1.82*30*(G1425^1.5)</f>
        <v>0.00172660360253791</v>
      </c>
      <c r="J1425" s="0" t="n">
        <f aca="false">I1425*60</f>
        <v>0.103596216152275</v>
      </c>
      <c r="K1425" s="0" t="n">
        <f aca="false">(I1425*86400)/24</f>
        <v>6.21577296913648</v>
      </c>
    </row>
    <row r="1426" customFormat="false" ht="16.5" hidden="false" customHeight="false" outlineLevel="0" collapsed="false">
      <c r="A1426" s="56" t="n">
        <v>45894.0833333333</v>
      </c>
      <c r="B1426" s="57" t="n">
        <f aca="false">MOD(A1426,1)</f>
        <v>0.0833333333430346</v>
      </c>
      <c r="C1426" s="0" t="n">
        <v>0</v>
      </c>
      <c r="D1426" s="0" t="n">
        <v>489.702</v>
      </c>
      <c r="E1426" s="0" t="n">
        <f aca="false">D1426-0.155</f>
        <v>489.547</v>
      </c>
      <c r="F1426" s="0" t="n">
        <v>489.545</v>
      </c>
      <c r="G1426" s="0" t="n">
        <f aca="false">IF(E1426 - F1426 &lt; 0, 0, E1426 - F1426)</f>
        <v>0.00200000000000955</v>
      </c>
      <c r="H1426" s="0" t="n">
        <v>1.82</v>
      </c>
      <c r="I1426" s="0" t="n">
        <f aca="false">1.82*30*(G1426^1.5)</f>
        <v>0.00488357246289452</v>
      </c>
      <c r="J1426" s="0" t="n">
        <f aca="false">I1426*60</f>
        <v>0.293014347773671</v>
      </c>
      <c r="K1426" s="0" t="n">
        <f aca="false">(I1426*86400)/24</f>
        <v>17.5808608664203</v>
      </c>
    </row>
    <row r="1427" customFormat="false" ht="16.5" hidden="false" customHeight="false" outlineLevel="0" collapsed="false">
      <c r="A1427" s="56" t="n">
        <v>45894.125</v>
      </c>
      <c r="B1427" s="57" t="n">
        <f aca="false">MOD(A1427,1)</f>
        <v>0.125</v>
      </c>
      <c r="C1427" s="0" t="n">
        <v>0</v>
      </c>
      <c r="D1427" s="0" t="n">
        <v>489.694</v>
      </c>
      <c r="E1427" s="0" t="n">
        <f aca="false">D1427-0.155</f>
        <v>489.539</v>
      </c>
      <c r="F1427" s="0" t="n">
        <v>489.545</v>
      </c>
      <c r="G1427" s="0" t="n">
        <f aca="false">IF(E1427 - F1427 &lt; 0, 0, E1427 - F1427)</f>
        <v>0</v>
      </c>
      <c r="H1427" s="0" t="n">
        <v>1.82</v>
      </c>
      <c r="I1427" s="0" t="n">
        <f aca="false">1.82*30*(G1427^1.5)</f>
        <v>0</v>
      </c>
      <c r="J1427" s="0" t="n">
        <f aca="false">I1427*60</f>
        <v>0</v>
      </c>
      <c r="K1427" s="0" t="n">
        <f aca="false">(I1427*86400)/24</f>
        <v>0</v>
      </c>
    </row>
    <row r="1428" customFormat="false" ht="16.5" hidden="false" customHeight="false" outlineLevel="0" collapsed="false">
      <c r="A1428" s="56" t="n">
        <v>45894.1666666667</v>
      </c>
      <c r="B1428" s="57" t="n">
        <f aca="false">MOD(A1428,1)</f>
        <v>0.166666666656965</v>
      </c>
      <c r="C1428" s="0" t="n">
        <v>0</v>
      </c>
      <c r="D1428" s="0" t="n">
        <v>489.695</v>
      </c>
      <c r="E1428" s="0" t="n">
        <f aca="false">D1428-0.155</f>
        <v>489.54</v>
      </c>
      <c r="F1428" s="0" t="n">
        <v>489.545</v>
      </c>
      <c r="G1428" s="0" t="n">
        <f aca="false">IF(E1428 - F1428 &lt; 0, 0, E1428 - F1428)</f>
        <v>0</v>
      </c>
      <c r="H1428" s="0" t="n">
        <v>1.82</v>
      </c>
      <c r="I1428" s="0" t="n">
        <f aca="false">1.82*30*(G1428^1.5)</f>
        <v>0</v>
      </c>
      <c r="J1428" s="0" t="n">
        <f aca="false">I1428*60</f>
        <v>0</v>
      </c>
      <c r="K1428" s="0" t="n">
        <f aca="false">(I1428*86400)/24</f>
        <v>0</v>
      </c>
    </row>
    <row r="1429" customFormat="false" ht="16.5" hidden="false" customHeight="false" outlineLevel="0" collapsed="false">
      <c r="A1429" s="56" t="n">
        <v>45894.2083333333</v>
      </c>
      <c r="B1429" s="57" t="n">
        <f aca="false">MOD(A1429,1)</f>
        <v>0.208333333343035</v>
      </c>
      <c r="C1429" s="0" t="n">
        <v>0</v>
      </c>
      <c r="D1429" s="0" t="n">
        <v>489.695</v>
      </c>
      <c r="E1429" s="0" t="n">
        <f aca="false">D1429-0.155</f>
        <v>489.54</v>
      </c>
      <c r="F1429" s="0" t="n">
        <v>489.545</v>
      </c>
      <c r="G1429" s="0" t="n">
        <f aca="false">IF(E1429 - F1429 &lt; 0, 0, E1429 - F1429)</f>
        <v>0</v>
      </c>
      <c r="H1429" s="0" t="n">
        <v>1.82</v>
      </c>
      <c r="I1429" s="0" t="n">
        <f aca="false">1.82*30*(G1429^1.5)</f>
        <v>0</v>
      </c>
      <c r="J1429" s="0" t="n">
        <f aca="false">I1429*60</f>
        <v>0</v>
      </c>
      <c r="K1429" s="0" t="n">
        <f aca="false">(I1429*86400)/24</f>
        <v>0</v>
      </c>
    </row>
    <row r="1430" customFormat="false" ht="16.5" hidden="false" customHeight="false" outlineLevel="0" collapsed="false">
      <c r="A1430" s="56" t="n">
        <v>45894.25</v>
      </c>
      <c r="B1430" s="57" t="n">
        <f aca="false">MOD(A1430,1)</f>
        <v>0.25</v>
      </c>
      <c r="C1430" s="0" t="n">
        <v>0</v>
      </c>
      <c r="D1430" s="0" t="n">
        <v>489.695</v>
      </c>
      <c r="E1430" s="0" t="n">
        <f aca="false">D1430-0.155</f>
        <v>489.54</v>
      </c>
      <c r="F1430" s="0" t="n">
        <v>489.545</v>
      </c>
      <c r="G1430" s="0" t="n">
        <f aca="false">IF(E1430 - F1430 &lt; 0, 0, E1430 - F1430)</f>
        <v>0</v>
      </c>
      <c r="H1430" s="0" t="n">
        <v>1.82</v>
      </c>
      <c r="I1430" s="0" t="n">
        <f aca="false">1.82*30*(G1430^1.5)</f>
        <v>0</v>
      </c>
      <c r="J1430" s="0" t="n">
        <f aca="false">I1430*60</f>
        <v>0</v>
      </c>
      <c r="K1430" s="0" t="n">
        <f aca="false">(I1430*86400)/24</f>
        <v>0</v>
      </c>
    </row>
    <row r="1431" customFormat="false" ht="16.5" hidden="false" customHeight="false" outlineLevel="0" collapsed="false">
      <c r="A1431" s="56" t="n">
        <v>45894.2916666667</v>
      </c>
      <c r="B1431" s="57" t="n">
        <f aca="false">MOD(A1431,1)</f>
        <v>0.291666666656965</v>
      </c>
      <c r="C1431" s="0" t="n">
        <v>0</v>
      </c>
      <c r="D1431" s="0" t="n">
        <v>489.695</v>
      </c>
      <c r="E1431" s="0" t="n">
        <f aca="false">D1431-0.155</f>
        <v>489.54</v>
      </c>
      <c r="F1431" s="0" t="n">
        <v>489.545</v>
      </c>
      <c r="G1431" s="0" t="n">
        <f aca="false">IF(E1431 - F1431 &lt; 0, 0, E1431 - F1431)</f>
        <v>0</v>
      </c>
      <c r="H1431" s="0" t="n">
        <v>1.82</v>
      </c>
      <c r="I1431" s="0" t="n">
        <f aca="false">1.82*30*(G1431^1.5)</f>
        <v>0</v>
      </c>
      <c r="J1431" s="0" t="n">
        <f aca="false">I1431*60</f>
        <v>0</v>
      </c>
      <c r="K1431" s="0" t="n">
        <f aca="false">(I1431*86400)/24</f>
        <v>0</v>
      </c>
    </row>
    <row r="1432" customFormat="false" ht="16.5" hidden="false" customHeight="false" outlineLevel="0" collapsed="false">
      <c r="A1432" s="56" t="n">
        <v>45894.3333333333</v>
      </c>
      <c r="B1432" s="57" t="n">
        <f aca="false">MOD(A1432,1)</f>
        <v>0.333333333343035</v>
      </c>
      <c r="C1432" s="0" t="n">
        <v>0</v>
      </c>
      <c r="D1432" s="0" t="n">
        <v>489.695</v>
      </c>
      <c r="E1432" s="0" t="n">
        <f aca="false">D1432-0.155</f>
        <v>489.54</v>
      </c>
      <c r="F1432" s="0" t="n">
        <v>489.545</v>
      </c>
      <c r="G1432" s="0" t="n">
        <f aca="false">IF(E1432 - F1432 &lt; 0, 0, E1432 - F1432)</f>
        <v>0</v>
      </c>
      <c r="H1432" s="0" t="n">
        <v>1.82</v>
      </c>
      <c r="I1432" s="0" t="n">
        <f aca="false">1.82*30*(G1432^1.5)</f>
        <v>0</v>
      </c>
      <c r="J1432" s="0" t="n">
        <f aca="false">I1432*60</f>
        <v>0</v>
      </c>
      <c r="K1432" s="0" t="n">
        <f aca="false">(I1432*86400)/24</f>
        <v>0</v>
      </c>
    </row>
    <row r="1433" customFormat="false" ht="16.5" hidden="false" customHeight="false" outlineLevel="0" collapsed="false">
      <c r="A1433" s="56" t="n">
        <v>45894.375</v>
      </c>
      <c r="B1433" s="57" t="n">
        <f aca="false">MOD(A1433,1)</f>
        <v>0.375</v>
      </c>
      <c r="C1433" s="0" t="n">
        <v>0</v>
      </c>
      <c r="D1433" s="0" t="n">
        <v>489.701</v>
      </c>
      <c r="E1433" s="0" t="n">
        <f aca="false">D1433-0.155</f>
        <v>489.546</v>
      </c>
      <c r="F1433" s="0" t="n">
        <v>489.545</v>
      </c>
      <c r="G1433" s="0" t="n">
        <f aca="false">IF(E1433 - F1433 &lt; 0, 0, E1433 - F1433)</f>
        <v>0.0010000000000332</v>
      </c>
      <c r="H1433" s="0" t="n">
        <v>1.82</v>
      </c>
      <c r="I1433" s="0" t="n">
        <f aca="false">1.82*30*(G1433^1.5)</f>
        <v>0.00172660360253791</v>
      </c>
      <c r="J1433" s="0" t="n">
        <f aca="false">I1433*60</f>
        <v>0.103596216152275</v>
      </c>
      <c r="K1433" s="0" t="n">
        <f aca="false">(I1433*86400)/24</f>
        <v>6.21577296913648</v>
      </c>
    </row>
    <row r="1434" customFormat="false" ht="16.5" hidden="false" customHeight="false" outlineLevel="0" collapsed="false">
      <c r="A1434" s="56" t="n">
        <v>45894.4166666667</v>
      </c>
      <c r="B1434" s="57" t="n">
        <f aca="false">MOD(A1434,1)</f>
        <v>0.416666666656965</v>
      </c>
      <c r="C1434" s="0" t="n">
        <v>0</v>
      </c>
      <c r="D1434" s="0" t="n">
        <v>489.694</v>
      </c>
      <c r="E1434" s="0" t="n">
        <f aca="false">D1434-0.155</f>
        <v>489.539</v>
      </c>
      <c r="F1434" s="0" t="n">
        <v>489.545</v>
      </c>
      <c r="G1434" s="0" t="n">
        <f aca="false">IF(E1434 - F1434 &lt; 0, 0, E1434 - F1434)</f>
        <v>0</v>
      </c>
      <c r="H1434" s="0" t="n">
        <v>1.82</v>
      </c>
      <c r="I1434" s="0" t="n">
        <f aca="false">1.82*30*(G1434^1.5)</f>
        <v>0</v>
      </c>
      <c r="J1434" s="0" t="n">
        <f aca="false">I1434*60</f>
        <v>0</v>
      </c>
      <c r="K1434" s="0" t="n">
        <f aca="false">(I1434*86400)/24</f>
        <v>0</v>
      </c>
    </row>
    <row r="1435" customFormat="false" ht="16.5" hidden="false" customHeight="false" outlineLevel="0" collapsed="false">
      <c r="A1435" s="56" t="n">
        <v>45894.4583333333</v>
      </c>
      <c r="B1435" s="57" t="n">
        <f aca="false">MOD(A1435,1)</f>
        <v>0.458333333343035</v>
      </c>
      <c r="C1435" s="0" t="n">
        <v>0</v>
      </c>
      <c r="D1435" s="0" t="n">
        <v>489.701</v>
      </c>
      <c r="E1435" s="0" t="n">
        <f aca="false">D1435-0.155</f>
        <v>489.546</v>
      </c>
      <c r="F1435" s="0" t="n">
        <v>489.545</v>
      </c>
      <c r="G1435" s="0" t="n">
        <f aca="false">IF(E1435 - F1435 &lt; 0, 0, E1435 - F1435)</f>
        <v>0.0010000000000332</v>
      </c>
      <c r="H1435" s="0" t="n">
        <v>1.82</v>
      </c>
      <c r="I1435" s="0" t="n">
        <f aca="false">1.82*30*(G1435^1.5)</f>
        <v>0.00172660360253791</v>
      </c>
      <c r="J1435" s="0" t="n">
        <f aca="false">I1435*60</f>
        <v>0.103596216152275</v>
      </c>
      <c r="K1435" s="0" t="n">
        <f aca="false">(I1435*86400)/24</f>
        <v>6.21577296913648</v>
      </c>
    </row>
    <row r="1436" customFormat="false" ht="16.5" hidden="false" customHeight="false" outlineLevel="0" collapsed="false">
      <c r="A1436" s="56" t="n">
        <v>45894.5</v>
      </c>
      <c r="B1436" s="57" t="n">
        <f aca="false">MOD(A1436,1)</f>
        <v>0.5</v>
      </c>
      <c r="C1436" s="0" t="n">
        <v>0</v>
      </c>
      <c r="D1436" s="0" t="n">
        <v>489.694</v>
      </c>
      <c r="E1436" s="0" t="n">
        <f aca="false">D1436-0.155</f>
        <v>489.539</v>
      </c>
      <c r="F1436" s="0" t="n">
        <v>489.545</v>
      </c>
      <c r="G1436" s="0" t="n">
        <f aca="false">IF(E1436 - F1436 &lt; 0, 0, E1436 - F1436)</f>
        <v>0</v>
      </c>
      <c r="H1436" s="0" t="n">
        <v>1.82</v>
      </c>
      <c r="I1436" s="0" t="n">
        <f aca="false">1.82*30*(G1436^1.5)</f>
        <v>0</v>
      </c>
      <c r="J1436" s="0" t="n">
        <f aca="false">I1436*60</f>
        <v>0</v>
      </c>
      <c r="K1436" s="0" t="n">
        <f aca="false">(I1436*86400)/24</f>
        <v>0</v>
      </c>
    </row>
    <row r="1437" customFormat="false" ht="16.5" hidden="false" customHeight="false" outlineLevel="0" collapsed="false">
      <c r="A1437" s="56" t="n">
        <v>45894.5416666667</v>
      </c>
      <c r="B1437" s="57" t="n">
        <f aca="false">MOD(A1437,1)</f>
        <v>0.541666666656965</v>
      </c>
      <c r="C1437" s="0" t="n">
        <v>0</v>
      </c>
      <c r="D1437" s="0" t="n">
        <v>489.669</v>
      </c>
      <c r="E1437" s="0" t="n">
        <f aca="false">D1437-0.155</f>
        <v>489.514</v>
      </c>
      <c r="F1437" s="0" t="n">
        <v>489.545</v>
      </c>
      <c r="G1437" s="0" t="n">
        <f aca="false">IF(E1437 - F1437 &lt; 0, 0, E1437 - F1437)</f>
        <v>0</v>
      </c>
      <c r="H1437" s="0" t="n">
        <v>1.82</v>
      </c>
      <c r="I1437" s="0" t="n">
        <f aca="false">1.82*30*(G1437^1.5)</f>
        <v>0</v>
      </c>
      <c r="J1437" s="0" t="n">
        <f aca="false">I1437*60</f>
        <v>0</v>
      </c>
      <c r="K1437" s="0" t="n">
        <f aca="false">(I1437*86400)/24</f>
        <v>0</v>
      </c>
    </row>
    <row r="1438" customFormat="false" ht="16.5" hidden="false" customHeight="false" outlineLevel="0" collapsed="false">
      <c r="A1438" s="56" t="n">
        <v>45894.5833333333</v>
      </c>
      <c r="B1438" s="57" t="n">
        <f aca="false">MOD(A1438,1)</f>
        <v>0.583333333343035</v>
      </c>
      <c r="C1438" s="0" t="n">
        <v>0</v>
      </c>
      <c r="D1438" s="0" t="n">
        <v>489.669</v>
      </c>
      <c r="E1438" s="0" t="n">
        <f aca="false">D1438-0.155</f>
        <v>489.514</v>
      </c>
      <c r="F1438" s="0" t="n">
        <v>489.545</v>
      </c>
      <c r="G1438" s="0" t="n">
        <f aca="false">IF(E1438 - F1438 &lt; 0, 0, E1438 - F1438)</f>
        <v>0</v>
      </c>
      <c r="H1438" s="0" t="n">
        <v>1.82</v>
      </c>
      <c r="I1438" s="0" t="n">
        <f aca="false">1.82*30*(G1438^1.5)</f>
        <v>0</v>
      </c>
      <c r="J1438" s="0" t="n">
        <f aca="false">I1438*60</f>
        <v>0</v>
      </c>
      <c r="K1438" s="0" t="n">
        <f aca="false">(I1438*86400)/24</f>
        <v>0</v>
      </c>
    </row>
    <row r="1439" customFormat="false" ht="16.5" hidden="false" customHeight="false" outlineLevel="0" collapsed="false">
      <c r="A1439" s="56" t="n">
        <v>45894.625</v>
      </c>
      <c r="B1439" s="57" t="n">
        <f aca="false">MOD(A1439,1)</f>
        <v>0.625</v>
      </c>
      <c r="C1439" s="0" t="n">
        <v>0</v>
      </c>
      <c r="D1439" s="0" t="n">
        <v>489.662</v>
      </c>
      <c r="E1439" s="0" t="n">
        <f aca="false">D1439-0.155</f>
        <v>489.507</v>
      </c>
      <c r="F1439" s="0" t="n">
        <v>489.545</v>
      </c>
      <c r="G1439" s="0" t="n">
        <f aca="false">IF(E1439 - F1439 &lt; 0, 0, E1439 - F1439)</f>
        <v>0</v>
      </c>
      <c r="H1439" s="0" t="n">
        <v>1.82</v>
      </c>
      <c r="I1439" s="0" t="n">
        <f aca="false">1.82*30*(G1439^1.5)</f>
        <v>0</v>
      </c>
      <c r="J1439" s="0" t="n">
        <f aca="false">I1439*60</f>
        <v>0</v>
      </c>
      <c r="K1439" s="0" t="n">
        <f aca="false">(I1439*86400)/24</f>
        <v>0</v>
      </c>
    </row>
    <row r="1440" customFormat="false" ht="16.5" hidden="false" customHeight="false" outlineLevel="0" collapsed="false">
      <c r="A1440" s="56" t="n">
        <v>45894.6666666667</v>
      </c>
      <c r="B1440" s="57" t="n">
        <f aca="false">MOD(A1440,1)</f>
        <v>0.666666666656965</v>
      </c>
      <c r="C1440" s="0" t="n">
        <v>0</v>
      </c>
      <c r="D1440" s="0" t="n">
        <v>489.662</v>
      </c>
      <c r="E1440" s="0" t="n">
        <f aca="false">D1440-0.155</f>
        <v>489.507</v>
      </c>
      <c r="F1440" s="0" t="n">
        <v>489.545</v>
      </c>
      <c r="G1440" s="0" t="n">
        <f aca="false">IF(E1440 - F1440 &lt; 0, 0, E1440 - F1440)</f>
        <v>0</v>
      </c>
      <c r="H1440" s="0" t="n">
        <v>1.82</v>
      </c>
      <c r="I1440" s="0" t="n">
        <f aca="false">1.82*30*(G1440^1.5)</f>
        <v>0</v>
      </c>
      <c r="J1440" s="0" t="n">
        <f aca="false">I1440*60</f>
        <v>0</v>
      </c>
      <c r="K1440" s="0" t="n">
        <f aca="false">(I1440*86400)/24</f>
        <v>0</v>
      </c>
    </row>
    <row r="1441" customFormat="false" ht="16.5" hidden="false" customHeight="false" outlineLevel="0" collapsed="false">
      <c r="A1441" s="56" t="n">
        <v>45894.7083333333</v>
      </c>
      <c r="B1441" s="57" t="n">
        <f aca="false">MOD(A1441,1)</f>
        <v>0.708333333343035</v>
      </c>
      <c r="C1441" s="0" t="n">
        <v>0</v>
      </c>
      <c r="D1441" s="0" t="n">
        <v>489.662</v>
      </c>
      <c r="E1441" s="0" t="n">
        <f aca="false">D1441-0.155</f>
        <v>489.507</v>
      </c>
      <c r="F1441" s="0" t="n">
        <v>489.545</v>
      </c>
      <c r="G1441" s="0" t="n">
        <f aca="false">IF(E1441 - F1441 &lt; 0, 0, E1441 - F1441)</f>
        <v>0</v>
      </c>
      <c r="H1441" s="0" t="n">
        <v>1.82</v>
      </c>
      <c r="I1441" s="0" t="n">
        <f aca="false">1.82*30*(G1441^1.5)</f>
        <v>0</v>
      </c>
      <c r="J1441" s="0" t="n">
        <f aca="false">I1441*60</f>
        <v>0</v>
      </c>
      <c r="K1441" s="0" t="n">
        <f aca="false">(I1441*86400)/24</f>
        <v>0</v>
      </c>
    </row>
    <row r="1442" customFormat="false" ht="16.5" hidden="false" customHeight="false" outlineLevel="0" collapsed="false">
      <c r="A1442" s="56" t="n">
        <v>45894.75</v>
      </c>
      <c r="B1442" s="57" t="n">
        <f aca="false">MOD(A1442,1)</f>
        <v>0.75</v>
      </c>
      <c r="C1442" s="0" t="n">
        <v>0</v>
      </c>
      <c r="D1442" s="0" t="n">
        <v>489.662</v>
      </c>
      <c r="E1442" s="0" t="n">
        <f aca="false">D1442-0.155</f>
        <v>489.507</v>
      </c>
      <c r="F1442" s="0" t="n">
        <v>489.545</v>
      </c>
      <c r="G1442" s="0" t="n">
        <f aca="false">IF(E1442 - F1442 &lt; 0, 0, E1442 - F1442)</f>
        <v>0</v>
      </c>
      <c r="H1442" s="0" t="n">
        <v>1.82</v>
      </c>
      <c r="I1442" s="0" t="n">
        <f aca="false">1.82*30*(G1442^1.5)</f>
        <v>0</v>
      </c>
      <c r="J1442" s="0" t="n">
        <f aca="false">I1442*60</f>
        <v>0</v>
      </c>
      <c r="K1442" s="0" t="n">
        <f aca="false">(I1442*86400)/24</f>
        <v>0</v>
      </c>
    </row>
    <row r="1443" customFormat="false" ht="16.5" hidden="false" customHeight="false" outlineLevel="0" collapsed="false">
      <c r="A1443" s="56" t="n">
        <v>45894.7916666667</v>
      </c>
      <c r="B1443" s="57" t="n">
        <f aca="false">MOD(A1443,1)</f>
        <v>0.791666666656965</v>
      </c>
      <c r="C1443" s="0" t="n">
        <v>0</v>
      </c>
      <c r="D1443" s="0" t="n">
        <v>489.656</v>
      </c>
      <c r="E1443" s="0" t="n">
        <f aca="false">D1443-0.155</f>
        <v>489.501</v>
      </c>
      <c r="F1443" s="0" t="n">
        <v>489.545</v>
      </c>
      <c r="G1443" s="0" t="n">
        <f aca="false">IF(E1443 - F1443 &lt; 0, 0, E1443 - F1443)</f>
        <v>0</v>
      </c>
      <c r="H1443" s="0" t="n">
        <v>1.82</v>
      </c>
      <c r="I1443" s="0" t="n">
        <f aca="false">1.82*30*(G1443^1.5)</f>
        <v>0</v>
      </c>
      <c r="J1443" s="0" t="n">
        <f aca="false">I1443*60</f>
        <v>0</v>
      </c>
      <c r="K1443" s="0" t="n">
        <f aca="false">(I1443*86400)/24</f>
        <v>0</v>
      </c>
    </row>
    <row r="1444" customFormat="false" ht="16.5" hidden="false" customHeight="false" outlineLevel="0" collapsed="false">
      <c r="A1444" s="56" t="n">
        <v>45894.8333333333</v>
      </c>
      <c r="B1444" s="57" t="n">
        <f aca="false">MOD(A1444,1)</f>
        <v>0.833333333343035</v>
      </c>
      <c r="C1444" s="0" t="n">
        <v>0</v>
      </c>
      <c r="D1444" s="0" t="n">
        <v>489.656</v>
      </c>
      <c r="E1444" s="0" t="n">
        <f aca="false">D1444-0.155</f>
        <v>489.501</v>
      </c>
      <c r="F1444" s="0" t="n">
        <v>489.545</v>
      </c>
      <c r="G1444" s="0" t="n">
        <f aca="false">IF(E1444 - F1444 &lt; 0, 0, E1444 - F1444)</f>
        <v>0</v>
      </c>
      <c r="H1444" s="0" t="n">
        <v>1.82</v>
      </c>
      <c r="I1444" s="0" t="n">
        <f aca="false">1.82*30*(G1444^1.5)</f>
        <v>0</v>
      </c>
      <c r="J1444" s="0" t="n">
        <f aca="false">I1444*60</f>
        <v>0</v>
      </c>
      <c r="K1444" s="0" t="n">
        <f aca="false">(I1444*86400)/24</f>
        <v>0</v>
      </c>
    </row>
    <row r="1445" customFormat="false" ht="16.5" hidden="false" customHeight="false" outlineLevel="0" collapsed="false">
      <c r="A1445" s="56" t="n">
        <v>45894.875</v>
      </c>
      <c r="B1445" s="57" t="n">
        <f aca="false">MOD(A1445,1)</f>
        <v>0.875</v>
      </c>
      <c r="C1445" s="0" t="n">
        <v>0</v>
      </c>
      <c r="D1445" s="0" t="n">
        <v>489.657</v>
      </c>
      <c r="E1445" s="0" t="n">
        <f aca="false">D1445-0.155</f>
        <v>489.502</v>
      </c>
      <c r="F1445" s="0" t="n">
        <v>489.545</v>
      </c>
      <c r="G1445" s="0" t="n">
        <f aca="false">IF(E1445 - F1445 &lt; 0, 0, E1445 - F1445)</f>
        <v>0</v>
      </c>
      <c r="H1445" s="0" t="n">
        <v>1.82</v>
      </c>
      <c r="I1445" s="0" t="n">
        <f aca="false">1.82*30*(G1445^1.5)</f>
        <v>0</v>
      </c>
      <c r="J1445" s="0" t="n">
        <f aca="false">I1445*60</f>
        <v>0</v>
      </c>
      <c r="K1445" s="0" t="n">
        <f aca="false">(I1445*86400)/24</f>
        <v>0</v>
      </c>
    </row>
    <row r="1446" customFormat="false" ht="16.5" hidden="false" customHeight="false" outlineLevel="0" collapsed="false">
      <c r="A1446" s="56" t="n">
        <v>45894.9166666667</v>
      </c>
      <c r="B1446" s="57" t="n">
        <f aca="false">MOD(A1446,1)</f>
        <v>0.916666666656965</v>
      </c>
      <c r="C1446" s="0" t="n">
        <v>0</v>
      </c>
      <c r="D1446" s="0" t="n">
        <v>489.656</v>
      </c>
      <c r="E1446" s="0" t="n">
        <f aca="false">D1446-0.155</f>
        <v>489.501</v>
      </c>
      <c r="F1446" s="0" t="n">
        <v>489.545</v>
      </c>
      <c r="G1446" s="0" t="n">
        <f aca="false">IF(E1446 - F1446 &lt; 0, 0, E1446 - F1446)</f>
        <v>0</v>
      </c>
      <c r="H1446" s="0" t="n">
        <v>1.82</v>
      </c>
      <c r="I1446" s="0" t="n">
        <f aca="false">1.82*30*(G1446^1.5)</f>
        <v>0</v>
      </c>
      <c r="J1446" s="0" t="n">
        <f aca="false">I1446*60</f>
        <v>0</v>
      </c>
      <c r="K1446" s="0" t="n">
        <f aca="false">(I1446*86400)/24</f>
        <v>0</v>
      </c>
    </row>
    <row r="1447" customFormat="false" ht="16.5" hidden="false" customHeight="false" outlineLevel="0" collapsed="false">
      <c r="A1447" s="56" t="n">
        <v>45894.9583333333</v>
      </c>
      <c r="B1447" s="57" t="n">
        <f aca="false">MOD(A1447,1)</f>
        <v>0.958333333343035</v>
      </c>
      <c r="C1447" s="0" t="n">
        <v>0</v>
      </c>
      <c r="D1447" s="0" t="n">
        <v>489.649</v>
      </c>
      <c r="E1447" s="0" t="n">
        <f aca="false">D1447-0.155</f>
        <v>489.494</v>
      </c>
      <c r="F1447" s="0" t="n">
        <v>489.545</v>
      </c>
      <c r="G1447" s="0" t="n">
        <f aca="false">IF(E1447 - F1447 &lt; 0, 0, E1447 - F1447)</f>
        <v>0</v>
      </c>
      <c r="H1447" s="0" t="n">
        <v>1.82</v>
      </c>
      <c r="I1447" s="0" t="n">
        <f aca="false">1.82*30*(G1447^1.5)</f>
        <v>0</v>
      </c>
      <c r="J1447" s="0" t="n">
        <f aca="false">I1447*60</f>
        <v>0</v>
      </c>
      <c r="K1447" s="0" t="n">
        <f aca="false">(I1447*86400)/24</f>
        <v>0</v>
      </c>
    </row>
    <row r="1448" customFormat="false" ht="16.5" hidden="false" customHeight="false" outlineLevel="0" collapsed="false">
      <c r="A1448" s="56" t="n">
        <v>45895</v>
      </c>
      <c r="B1448" s="57" t="n">
        <f aca="false">MOD(A1448,1)</f>
        <v>0</v>
      </c>
      <c r="C1448" s="0" t="n">
        <v>0</v>
      </c>
      <c r="D1448" s="0" t="n">
        <v>489.649</v>
      </c>
      <c r="E1448" s="0" t="n">
        <f aca="false">D1448-0.155</f>
        <v>489.494</v>
      </c>
      <c r="F1448" s="0" t="n">
        <v>489.545</v>
      </c>
      <c r="G1448" s="0" t="n">
        <f aca="false">IF(E1448 - F1448 &lt; 0, 0, E1448 - F1448)</f>
        <v>0</v>
      </c>
      <c r="H1448" s="0" t="n">
        <v>1.82</v>
      </c>
      <c r="I1448" s="0" t="n">
        <f aca="false">1.82*30*(G1448^1.5)</f>
        <v>0</v>
      </c>
      <c r="J1448" s="0" t="n">
        <f aca="false">I1448*60</f>
        <v>0</v>
      </c>
      <c r="K1448" s="0" t="n">
        <f aca="false">(I1448*86400)/24</f>
        <v>0</v>
      </c>
    </row>
    <row r="1449" customFormat="false" ht="16.5" hidden="false" customHeight="false" outlineLevel="0" collapsed="false">
      <c r="A1449" s="56" t="n">
        <v>45895.0416666667</v>
      </c>
      <c r="B1449" s="57" t="n">
        <f aca="false">MOD(A1449,1)</f>
        <v>0.0416666666569654</v>
      </c>
      <c r="C1449" s="0" t="n">
        <v>0</v>
      </c>
      <c r="D1449" s="0" t="n">
        <v>489.65</v>
      </c>
      <c r="E1449" s="0" t="n">
        <f aca="false">D1449-0.155</f>
        <v>489.495</v>
      </c>
      <c r="F1449" s="0" t="n">
        <v>489.545</v>
      </c>
      <c r="G1449" s="0" t="n">
        <f aca="false">IF(E1449 - F1449 &lt; 0, 0, E1449 - F1449)</f>
        <v>0</v>
      </c>
      <c r="H1449" s="0" t="n">
        <v>1.82</v>
      </c>
      <c r="I1449" s="0" t="n">
        <f aca="false">1.82*30*(G1449^1.5)</f>
        <v>0</v>
      </c>
      <c r="J1449" s="0" t="n">
        <f aca="false">I1449*60</f>
        <v>0</v>
      </c>
      <c r="K1449" s="0" t="n">
        <f aca="false">(I1449*86400)/24</f>
        <v>0</v>
      </c>
    </row>
    <row r="1450" customFormat="false" ht="16.5" hidden="false" customHeight="false" outlineLevel="0" collapsed="false">
      <c r="A1450" s="56" t="n">
        <v>45895.0833333333</v>
      </c>
      <c r="B1450" s="57" t="n">
        <f aca="false">MOD(A1450,1)</f>
        <v>0.0833333333430346</v>
      </c>
      <c r="C1450" s="0" t="n">
        <v>0</v>
      </c>
      <c r="D1450" s="0" t="n">
        <v>489.649</v>
      </c>
      <c r="E1450" s="0" t="n">
        <f aca="false">D1450-0.155</f>
        <v>489.494</v>
      </c>
      <c r="F1450" s="0" t="n">
        <v>489.545</v>
      </c>
      <c r="G1450" s="0" t="n">
        <f aca="false">IF(E1450 - F1450 &lt; 0, 0, E1450 - F1450)</f>
        <v>0</v>
      </c>
      <c r="H1450" s="0" t="n">
        <v>1.82</v>
      </c>
      <c r="I1450" s="0" t="n">
        <f aca="false">1.82*30*(G1450^1.5)</f>
        <v>0</v>
      </c>
      <c r="J1450" s="0" t="n">
        <f aca="false">I1450*60</f>
        <v>0</v>
      </c>
      <c r="K1450" s="0" t="n">
        <f aca="false">(I1450*86400)/24</f>
        <v>0</v>
      </c>
    </row>
    <row r="1451" customFormat="false" ht="16.5" hidden="false" customHeight="false" outlineLevel="0" collapsed="false">
      <c r="A1451" s="56" t="n">
        <v>45895.125</v>
      </c>
      <c r="B1451" s="57" t="n">
        <f aca="false">MOD(A1451,1)</f>
        <v>0.125</v>
      </c>
      <c r="C1451" s="0" t="n">
        <v>0</v>
      </c>
      <c r="D1451" s="0" t="n">
        <v>489.643</v>
      </c>
      <c r="E1451" s="0" t="n">
        <f aca="false">D1451-0.155</f>
        <v>489.488</v>
      </c>
      <c r="F1451" s="0" t="n">
        <v>489.545</v>
      </c>
      <c r="G1451" s="0" t="n">
        <f aca="false">IF(E1451 - F1451 &lt; 0, 0, E1451 - F1451)</f>
        <v>0</v>
      </c>
      <c r="H1451" s="0" t="n">
        <v>1.82</v>
      </c>
      <c r="I1451" s="0" t="n">
        <f aca="false">1.82*30*(G1451^1.5)</f>
        <v>0</v>
      </c>
      <c r="J1451" s="0" t="n">
        <f aca="false">I1451*60</f>
        <v>0</v>
      </c>
      <c r="K1451" s="0" t="n">
        <f aca="false">(I1451*86400)/24</f>
        <v>0</v>
      </c>
    </row>
    <row r="1452" customFormat="false" ht="16.5" hidden="false" customHeight="false" outlineLevel="0" collapsed="false">
      <c r="A1452" s="56" t="n">
        <v>45895.1666666667</v>
      </c>
      <c r="B1452" s="57" t="n">
        <f aca="false">MOD(A1452,1)</f>
        <v>0.166666666656965</v>
      </c>
      <c r="C1452" s="0" t="n">
        <v>0</v>
      </c>
      <c r="D1452" s="0" t="n">
        <v>489.643</v>
      </c>
      <c r="E1452" s="0" t="n">
        <f aca="false">D1452-0.155</f>
        <v>489.488</v>
      </c>
      <c r="F1452" s="0" t="n">
        <v>489.545</v>
      </c>
      <c r="G1452" s="0" t="n">
        <f aca="false">IF(E1452 - F1452 &lt; 0, 0, E1452 - F1452)</f>
        <v>0</v>
      </c>
      <c r="H1452" s="0" t="n">
        <v>1.82</v>
      </c>
      <c r="I1452" s="0" t="n">
        <f aca="false">1.82*30*(G1452^1.5)</f>
        <v>0</v>
      </c>
      <c r="J1452" s="0" t="n">
        <f aca="false">I1452*60</f>
        <v>0</v>
      </c>
      <c r="K1452" s="0" t="n">
        <f aca="false">(I1452*86400)/24</f>
        <v>0</v>
      </c>
    </row>
    <row r="1453" customFormat="false" ht="16.5" hidden="false" customHeight="false" outlineLevel="0" collapsed="false">
      <c r="A1453" s="56" t="n">
        <v>45895.2083333333</v>
      </c>
      <c r="B1453" s="57" t="n">
        <f aca="false">MOD(A1453,1)</f>
        <v>0.208333333343035</v>
      </c>
      <c r="C1453" s="0" t="n">
        <v>0</v>
      </c>
      <c r="D1453" s="0" t="n">
        <v>489.643</v>
      </c>
      <c r="E1453" s="0" t="n">
        <f aca="false">D1453-0.155</f>
        <v>489.488</v>
      </c>
      <c r="F1453" s="0" t="n">
        <v>489.545</v>
      </c>
      <c r="G1453" s="0" t="n">
        <f aca="false">IF(E1453 - F1453 &lt; 0, 0, E1453 - F1453)</f>
        <v>0</v>
      </c>
      <c r="H1453" s="0" t="n">
        <v>1.82</v>
      </c>
      <c r="I1453" s="0" t="n">
        <f aca="false">1.82*30*(G1453^1.5)</f>
        <v>0</v>
      </c>
      <c r="J1453" s="0" t="n">
        <f aca="false">I1453*60</f>
        <v>0</v>
      </c>
      <c r="K1453" s="0" t="n">
        <f aca="false">(I1453*86400)/24</f>
        <v>0</v>
      </c>
    </row>
    <row r="1454" customFormat="false" ht="16.5" hidden="false" customHeight="false" outlineLevel="0" collapsed="false">
      <c r="A1454" s="56" t="n">
        <v>45895.25</v>
      </c>
      <c r="B1454" s="57" t="n">
        <f aca="false">MOD(A1454,1)</f>
        <v>0.25</v>
      </c>
      <c r="C1454" s="0" t="n">
        <v>8.4</v>
      </c>
      <c r="D1454" s="0" t="n">
        <v>489.65</v>
      </c>
      <c r="E1454" s="0" t="n">
        <f aca="false">D1454-0.155</f>
        <v>489.495</v>
      </c>
      <c r="F1454" s="0" t="n">
        <v>489.545</v>
      </c>
      <c r="G1454" s="0" t="n">
        <f aca="false">IF(E1454 - F1454 &lt; 0, 0, E1454 - F1454)</f>
        <v>0</v>
      </c>
      <c r="H1454" s="0" t="n">
        <v>1.82</v>
      </c>
      <c r="I1454" s="0" t="n">
        <f aca="false">1.82*30*(G1454^1.5)</f>
        <v>0</v>
      </c>
      <c r="J1454" s="0" t="n">
        <f aca="false">I1454*60</f>
        <v>0</v>
      </c>
      <c r="K1454" s="0" t="n">
        <f aca="false">(I1454*86400)/24</f>
        <v>0</v>
      </c>
    </row>
    <row r="1455" customFormat="false" ht="16.5" hidden="false" customHeight="false" outlineLevel="0" collapsed="false">
      <c r="A1455" s="56" t="n">
        <v>45895.2916666667</v>
      </c>
      <c r="B1455" s="57" t="n">
        <f aca="false">MOD(A1455,1)</f>
        <v>0.291666666656965</v>
      </c>
      <c r="C1455" s="0" t="n">
        <v>0</v>
      </c>
      <c r="D1455" s="0" t="n">
        <v>489.657</v>
      </c>
      <c r="E1455" s="0" t="n">
        <f aca="false">D1455-0.155</f>
        <v>489.502</v>
      </c>
      <c r="F1455" s="0" t="n">
        <v>489.545</v>
      </c>
      <c r="G1455" s="0" t="n">
        <f aca="false">IF(E1455 - F1455 &lt; 0, 0, E1455 - F1455)</f>
        <v>0</v>
      </c>
      <c r="H1455" s="0" t="n">
        <v>1.82</v>
      </c>
      <c r="I1455" s="0" t="n">
        <f aca="false">1.82*30*(G1455^1.5)</f>
        <v>0</v>
      </c>
      <c r="J1455" s="0" t="n">
        <f aca="false">I1455*60</f>
        <v>0</v>
      </c>
      <c r="K1455" s="0" t="n">
        <f aca="false">(I1455*86400)/24</f>
        <v>0</v>
      </c>
    </row>
    <row r="1456" customFormat="false" ht="16.5" hidden="false" customHeight="false" outlineLevel="0" collapsed="false">
      <c r="A1456" s="56" t="n">
        <v>45895.3333333333</v>
      </c>
      <c r="B1456" s="57" t="n">
        <f aca="false">MOD(A1456,1)</f>
        <v>0.333333333343035</v>
      </c>
      <c r="C1456" s="0" t="n">
        <v>0</v>
      </c>
      <c r="D1456" s="0" t="n">
        <v>489.656</v>
      </c>
      <c r="E1456" s="0" t="n">
        <f aca="false">D1456-0.155</f>
        <v>489.501</v>
      </c>
      <c r="F1456" s="0" t="n">
        <v>489.545</v>
      </c>
      <c r="G1456" s="0" t="n">
        <f aca="false">IF(E1456 - F1456 &lt; 0, 0, E1456 - F1456)</f>
        <v>0</v>
      </c>
      <c r="H1456" s="0" t="n">
        <v>1.82</v>
      </c>
      <c r="I1456" s="0" t="n">
        <f aca="false">1.82*30*(G1456^1.5)</f>
        <v>0</v>
      </c>
      <c r="J1456" s="0" t="n">
        <f aca="false">I1456*60</f>
        <v>0</v>
      </c>
      <c r="K1456" s="0" t="n">
        <f aca="false">(I1456*86400)/24</f>
        <v>0</v>
      </c>
    </row>
    <row r="1457" customFormat="false" ht="16.5" hidden="false" customHeight="false" outlineLevel="0" collapsed="false">
      <c r="A1457" s="56" t="n">
        <v>45895.375</v>
      </c>
      <c r="B1457" s="57" t="n">
        <f aca="false">MOD(A1457,1)</f>
        <v>0.375</v>
      </c>
      <c r="C1457" s="0" t="n">
        <v>0.2</v>
      </c>
      <c r="D1457" s="0" t="n">
        <v>489.656</v>
      </c>
      <c r="E1457" s="0" t="n">
        <f aca="false">D1457-0.155</f>
        <v>489.501</v>
      </c>
      <c r="F1457" s="0" t="n">
        <v>489.545</v>
      </c>
      <c r="G1457" s="0" t="n">
        <f aca="false">IF(E1457 - F1457 &lt; 0, 0, E1457 - F1457)</f>
        <v>0</v>
      </c>
      <c r="H1457" s="0" t="n">
        <v>1.82</v>
      </c>
      <c r="I1457" s="0" t="n">
        <f aca="false">1.82*30*(G1457^1.5)</f>
        <v>0</v>
      </c>
      <c r="J1457" s="0" t="n">
        <f aca="false">I1457*60</f>
        <v>0</v>
      </c>
      <c r="K1457" s="0" t="n">
        <f aca="false">(I1457*86400)/24</f>
        <v>0</v>
      </c>
    </row>
    <row r="1458" customFormat="false" ht="16.5" hidden="false" customHeight="false" outlineLevel="0" collapsed="false">
      <c r="A1458" s="56" t="n">
        <v>45895.4166666667</v>
      </c>
      <c r="B1458" s="57" t="n">
        <f aca="false">MOD(A1458,1)</f>
        <v>0.416666666656965</v>
      </c>
      <c r="C1458" s="0" t="n">
        <v>0</v>
      </c>
      <c r="D1458" s="0" t="n">
        <v>489.656</v>
      </c>
      <c r="E1458" s="0" t="n">
        <f aca="false">D1458-0.155</f>
        <v>489.501</v>
      </c>
      <c r="F1458" s="0" t="n">
        <v>489.545</v>
      </c>
      <c r="G1458" s="0" t="n">
        <f aca="false">IF(E1458 - F1458 &lt; 0, 0, E1458 - F1458)</f>
        <v>0</v>
      </c>
      <c r="H1458" s="0" t="n">
        <v>1.82</v>
      </c>
      <c r="I1458" s="0" t="n">
        <f aca="false">1.82*30*(G1458^1.5)</f>
        <v>0</v>
      </c>
      <c r="J1458" s="0" t="n">
        <f aca="false">I1458*60</f>
        <v>0</v>
      </c>
      <c r="K1458" s="0" t="n">
        <f aca="false">(I1458*86400)/24</f>
        <v>0</v>
      </c>
    </row>
    <row r="1459" customFormat="false" ht="16.5" hidden="false" customHeight="false" outlineLevel="0" collapsed="false">
      <c r="A1459" s="56" t="n">
        <v>45895.4583333333</v>
      </c>
      <c r="B1459" s="57" t="n">
        <f aca="false">MOD(A1459,1)</f>
        <v>0.458333333343035</v>
      </c>
      <c r="C1459" s="0" t="n">
        <v>0</v>
      </c>
      <c r="D1459" s="0" t="n">
        <v>489.656</v>
      </c>
      <c r="E1459" s="0" t="n">
        <f aca="false">D1459-0.155</f>
        <v>489.501</v>
      </c>
      <c r="F1459" s="0" t="n">
        <v>489.545</v>
      </c>
      <c r="G1459" s="0" t="n">
        <f aca="false">IF(E1459 - F1459 &lt; 0, 0, E1459 - F1459)</f>
        <v>0</v>
      </c>
      <c r="H1459" s="0" t="n">
        <v>1.82</v>
      </c>
      <c r="I1459" s="0" t="n">
        <f aca="false">1.82*30*(G1459^1.5)</f>
        <v>0</v>
      </c>
      <c r="J1459" s="0" t="n">
        <f aca="false">I1459*60</f>
        <v>0</v>
      </c>
      <c r="K1459" s="0" t="n">
        <f aca="false">(I1459*86400)/24</f>
        <v>0</v>
      </c>
    </row>
    <row r="1460" customFormat="false" ht="16.5" hidden="false" customHeight="false" outlineLevel="0" collapsed="false">
      <c r="A1460" s="56" t="n">
        <v>45895.5</v>
      </c>
      <c r="B1460" s="57" t="n">
        <f aca="false">MOD(A1460,1)</f>
        <v>0.5</v>
      </c>
      <c r="C1460" s="0" t="n">
        <v>0</v>
      </c>
      <c r="D1460" s="0" t="n">
        <v>489.656</v>
      </c>
      <c r="E1460" s="0" t="n">
        <f aca="false">D1460-0.155</f>
        <v>489.501</v>
      </c>
      <c r="F1460" s="0" t="n">
        <v>489.545</v>
      </c>
      <c r="G1460" s="0" t="n">
        <f aca="false">IF(E1460 - F1460 &lt; 0, 0, E1460 - F1460)</f>
        <v>0</v>
      </c>
      <c r="H1460" s="0" t="n">
        <v>1.82</v>
      </c>
      <c r="I1460" s="0" t="n">
        <f aca="false">1.82*30*(G1460^1.5)</f>
        <v>0</v>
      </c>
      <c r="J1460" s="0" t="n">
        <f aca="false">I1460*60</f>
        <v>0</v>
      </c>
      <c r="K1460" s="0" t="n">
        <f aca="false">(I1460*86400)/24</f>
        <v>0</v>
      </c>
    </row>
    <row r="1461" customFormat="false" ht="16.5" hidden="false" customHeight="false" outlineLevel="0" collapsed="false">
      <c r="A1461" s="56" t="n">
        <v>45895.5416666667</v>
      </c>
      <c r="B1461" s="57" t="n">
        <f aca="false">MOD(A1461,1)</f>
        <v>0.541666666656965</v>
      </c>
      <c r="C1461" s="0" t="n">
        <v>0</v>
      </c>
      <c r="D1461" s="0" t="n">
        <v>489.663</v>
      </c>
      <c r="E1461" s="0" t="n">
        <f aca="false">D1461-0.155</f>
        <v>489.508</v>
      </c>
      <c r="F1461" s="0" t="n">
        <v>489.545</v>
      </c>
      <c r="G1461" s="0" t="n">
        <f aca="false">IF(E1461 - F1461 &lt; 0, 0, E1461 - F1461)</f>
        <v>0</v>
      </c>
      <c r="H1461" s="0" t="n">
        <v>1.82</v>
      </c>
      <c r="I1461" s="0" t="n">
        <f aca="false">1.82*30*(G1461^1.5)</f>
        <v>0</v>
      </c>
      <c r="J1461" s="0" t="n">
        <f aca="false">I1461*60</f>
        <v>0</v>
      </c>
      <c r="K1461" s="0" t="n">
        <f aca="false">(I1461*86400)/24</f>
        <v>0</v>
      </c>
    </row>
    <row r="1462" customFormat="false" ht="16.5" hidden="false" customHeight="false" outlineLevel="0" collapsed="false">
      <c r="A1462" s="56" t="n">
        <v>45895.5833333333</v>
      </c>
      <c r="B1462" s="57" t="n">
        <f aca="false">MOD(A1462,1)</f>
        <v>0.583333333343035</v>
      </c>
      <c r="C1462" s="0" t="n">
        <v>0.2</v>
      </c>
      <c r="D1462" s="0" t="n">
        <v>489.678</v>
      </c>
      <c r="E1462" s="0" t="n">
        <f aca="false">D1462-0.155</f>
        <v>489.523</v>
      </c>
      <c r="F1462" s="0" t="n">
        <v>489.545</v>
      </c>
      <c r="G1462" s="0" t="n">
        <f aca="false">IF(E1462 - F1462 &lt; 0, 0, E1462 - F1462)</f>
        <v>0</v>
      </c>
      <c r="H1462" s="0" t="n">
        <v>1.82</v>
      </c>
      <c r="I1462" s="0" t="n">
        <f aca="false">1.82*30*(G1462^1.5)</f>
        <v>0</v>
      </c>
      <c r="J1462" s="0" t="n">
        <f aca="false">I1462*60</f>
        <v>0</v>
      </c>
      <c r="K1462" s="0" t="n">
        <f aca="false">(I1462*86400)/24</f>
        <v>0</v>
      </c>
    </row>
    <row r="1463" customFormat="false" ht="16.5" hidden="false" customHeight="false" outlineLevel="0" collapsed="false">
      <c r="A1463" s="56" t="n">
        <v>45895.625</v>
      </c>
      <c r="B1463" s="57" t="n">
        <f aca="false">MOD(A1463,1)</f>
        <v>0.625</v>
      </c>
      <c r="C1463" s="0" t="n">
        <v>0</v>
      </c>
      <c r="D1463" s="0" t="n">
        <v>489.694</v>
      </c>
      <c r="E1463" s="0" t="n">
        <f aca="false">D1463-0.155</f>
        <v>489.539</v>
      </c>
      <c r="F1463" s="0" t="n">
        <v>489.545</v>
      </c>
      <c r="G1463" s="0" t="n">
        <f aca="false">IF(E1463 - F1463 &lt; 0, 0, E1463 - F1463)</f>
        <v>0</v>
      </c>
      <c r="H1463" s="0" t="n">
        <v>1.82</v>
      </c>
      <c r="I1463" s="0" t="n">
        <f aca="false">1.82*30*(G1463^1.5)</f>
        <v>0</v>
      </c>
      <c r="J1463" s="0" t="n">
        <f aca="false">I1463*60</f>
        <v>0</v>
      </c>
      <c r="K1463" s="0" t="n">
        <f aca="false">(I1463*86400)/24</f>
        <v>0</v>
      </c>
    </row>
    <row r="1464" customFormat="false" ht="16.5" hidden="false" customHeight="false" outlineLevel="0" collapsed="false">
      <c r="A1464" s="56" t="n">
        <v>45895.6666666667</v>
      </c>
      <c r="B1464" s="57" t="n">
        <f aca="false">MOD(A1464,1)</f>
        <v>0.666666666656965</v>
      </c>
      <c r="C1464" s="0" t="n">
        <v>0</v>
      </c>
      <c r="D1464" s="0" t="n">
        <v>489.701</v>
      </c>
      <c r="E1464" s="0" t="n">
        <f aca="false">D1464-0.155</f>
        <v>489.546</v>
      </c>
      <c r="F1464" s="0" t="n">
        <v>489.545</v>
      </c>
      <c r="G1464" s="0" t="n">
        <f aca="false">IF(E1464 - F1464 &lt; 0, 0, E1464 - F1464)</f>
        <v>0.0010000000000332</v>
      </c>
      <c r="H1464" s="0" t="n">
        <v>1.82</v>
      </c>
      <c r="I1464" s="0" t="n">
        <f aca="false">1.82*30*(G1464^1.5)</f>
        <v>0.00172660360253791</v>
      </c>
      <c r="J1464" s="0" t="n">
        <f aca="false">I1464*60</f>
        <v>0.103596216152275</v>
      </c>
      <c r="K1464" s="0" t="n">
        <f aca="false">(I1464*86400)/24</f>
        <v>6.21577296913648</v>
      </c>
    </row>
    <row r="1465" customFormat="false" ht="16.5" hidden="false" customHeight="false" outlineLevel="0" collapsed="false">
      <c r="A1465" s="56" t="n">
        <v>45895.7083333333</v>
      </c>
      <c r="B1465" s="57" t="n">
        <f aca="false">MOD(A1465,1)</f>
        <v>0.708333333343035</v>
      </c>
      <c r="C1465" s="0" t="n">
        <v>2.2</v>
      </c>
      <c r="D1465" s="0" t="n">
        <v>489.701</v>
      </c>
      <c r="E1465" s="0" t="n">
        <f aca="false">D1465-0.155</f>
        <v>489.546</v>
      </c>
      <c r="F1465" s="0" t="n">
        <v>489.545</v>
      </c>
      <c r="G1465" s="0" t="n">
        <f aca="false">IF(E1465 - F1465 &lt; 0, 0, E1465 - F1465)</f>
        <v>0.0010000000000332</v>
      </c>
      <c r="H1465" s="0" t="n">
        <v>1.82</v>
      </c>
      <c r="I1465" s="0" t="n">
        <f aca="false">1.82*30*(G1465^1.5)</f>
        <v>0.00172660360253791</v>
      </c>
      <c r="J1465" s="0" t="n">
        <f aca="false">I1465*60</f>
        <v>0.103596216152275</v>
      </c>
      <c r="K1465" s="0" t="n">
        <f aca="false">(I1465*86400)/24</f>
        <v>6.21577296913648</v>
      </c>
    </row>
    <row r="1466" customFormat="false" ht="16.5" hidden="false" customHeight="false" outlineLevel="0" collapsed="false">
      <c r="A1466" s="56" t="n">
        <v>45895.75</v>
      </c>
      <c r="B1466" s="57" t="n">
        <f aca="false">MOD(A1466,1)</f>
        <v>0.75</v>
      </c>
      <c r="C1466" s="0" t="n">
        <v>0.2</v>
      </c>
      <c r="D1466" s="0" t="n">
        <v>489.714</v>
      </c>
      <c r="E1466" s="0" t="n">
        <f aca="false">D1466-0.155</f>
        <v>489.559</v>
      </c>
      <c r="F1466" s="0" t="n">
        <v>489.545</v>
      </c>
      <c r="G1466" s="0" t="n">
        <f aca="false">IF(E1466 - F1466 &lt; 0, 0, E1466 - F1466)</f>
        <v>0.01400000000001</v>
      </c>
      <c r="H1466" s="0" t="n">
        <v>1.82</v>
      </c>
      <c r="I1466" s="0" t="n">
        <f aca="false">1.82*30*(G1466^1.5)</f>
        <v>0.0904450277241239</v>
      </c>
      <c r="J1466" s="0" t="n">
        <f aca="false">I1466*60</f>
        <v>5.42670166344743</v>
      </c>
      <c r="K1466" s="0" t="n">
        <f aca="false">(I1466*86400)/24</f>
        <v>325.602099806846</v>
      </c>
    </row>
    <row r="1467" customFormat="false" ht="16.5" hidden="false" customHeight="false" outlineLevel="0" collapsed="false">
      <c r="A1467" s="56" t="n">
        <v>45895.7916666667</v>
      </c>
      <c r="B1467" s="57" t="n">
        <f aca="false">MOD(A1467,1)</f>
        <v>0.791666666656965</v>
      </c>
      <c r="C1467" s="0" t="n">
        <v>0</v>
      </c>
      <c r="D1467" s="0" t="n">
        <v>489.726</v>
      </c>
      <c r="E1467" s="0" t="n">
        <f aca="false">D1467-0.155</f>
        <v>489.571</v>
      </c>
      <c r="F1467" s="0" t="n">
        <v>489.545</v>
      </c>
      <c r="G1467" s="0" t="n">
        <f aca="false">IF(E1467 - F1467 &lt; 0, 0, E1467 - F1467)</f>
        <v>0.0260000000000105</v>
      </c>
      <c r="H1467" s="0" t="n">
        <v>1.82</v>
      </c>
      <c r="I1467" s="0" t="n">
        <f aca="false">1.82*30*(G1467^1.5)</f>
        <v>0.228903621989831</v>
      </c>
      <c r="J1467" s="0" t="n">
        <f aca="false">I1467*60</f>
        <v>13.7342173193898</v>
      </c>
      <c r="K1467" s="0" t="n">
        <f aca="false">(I1467*86400)/24</f>
        <v>824.05303916339</v>
      </c>
    </row>
    <row r="1468" customFormat="false" ht="16.5" hidden="false" customHeight="false" outlineLevel="0" collapsed="false">
      <c r="A1468" s="56" t="n">
        <v>45895.8333333333</v>
      </c>
      <c r="B1468" s="57" t="n">
        <f aca="false">MOD(A1468,1)</f>
        <v>0.833333333343035</v>
      </c>
      <c r="C1468" s="0" t="n">
        <v>0</v>
      </c>
      <c r="D1468" s="0" t="n">
        <v>489.733</v>
      </c>
      <c r="E1468" s="0" t="n">
        <f aca="false">D1468-0.155</f>
        <v>489.578</v>
      </c>
      <c r="F1468" s="0" t="n">
        <v>489.545</v>
      </c>
      <c r="G1468" s="0" t="n">
        <f aca="false">IF(E1468 - F1468 &lt; 0, 0, E1468 - F1468)</f>
        <v>0.0330000000000155</v>
      </c>
      <c r="H1468" s="0" t="n">
        <v>1.82</v>
      </c>
      <c r="I1468" s="0" t="n">
        <f aca="false">1.82*30*(G1468^1.5)</f>
        <v>0.327313224481002</v>
      </c>
      <c r="J1468" s="0" t="n">
        <f aca="false">I1468*60</f>
        <v>19.6387934688601</v>
      </c>
      <c r="K1468" s="0" t="n">
        <f aca="false">(I1468*86400)/24</f>
        <v>1178.32760813161</v>
      </c>
    </row>
    <row r="1469" customFormat="false" ht="16.5" hidden="false" customHeight="false" outlineLevel="0" collapsed="false">
      <c r="A1469" s="56" t="n">
        <v>45895.875</v>
      </c>
      <c r="B1469" s="57" t="n">
        <f aca="false">MOD(A1469,1)</f>
        <v>0.875</v>
      </c>
      <c r="C1469" s="0" t="n">
        <v>1.6</v>
      </c>
      <c r="D1469" s="0" t="n">
        <v>489.746</v>
      </c>
      <c r="E1469" s="0" t="n">
        <f aca="false">D1469-0.155</f>
        <v>489.591</v>
      </c>
      <c r="F1469" s="0" t="n">
        <v>489.545</v>
      </c>
      <c r="G1469" s="0" t="n">
        <f aca="false">IF(E1469 - F1469 &lt; 0, 0, E1469 - F1469)</f>
        <v>0.0459999999999923</v>
      </c>
      <c r="H1469" s="0" t="n">
        <v>1.82</v>
      </c>
      <c r="I1469" s="0" t="n">
        <f aca="false">1.82*30*(G1469^1.5)</f>
        <v>0.53867818756643</v>
      </c>
      <c r="J1469" s="0" t="n">
        <f aca="false">I1469*60</f>
        <v>32.3206912539858</v>
      </c>
      <c r="K1469" s="0" t="n">
        <f aca="false">(I1469*86400)/24</f>
        <v>1939.24147523915</v>
      </c>
    </row>
    <row r="1470" customFormat="false" ht="16.5" hidden="false" customHeight="false" outlineLevel="0" collapsed="false">
      <c r="A1470" s="56" t="n">
        <v>45895.9166666667</v>
      </c>
      <c r="B1470" s="57" t="n">
        <f aca="false">MOD(A1470,1)</f>
        <v>0.916666666656965</v>
      </c>
      <c r="C1470" s="0" t="n">
        <v>1.8</v>
      </c>
      <c r="D1470" s="0" t="n">
        <v>489.766</v>
      </c>
      <c r="E1470" s="0" t="n">
        <f aca="false">D1470-0.155</f>
        <v>489.611</v>
      </c>
      <c r="F1470" s="0" t="n">
        <v>489.545</v>
      </c>
      <c r="G1470" s="0" t="n">
        <f aca="false">IF(E1470 - F1470 &lt; 0, 0, E1470 - F1470)</f>
        <v>0.0660000000000309</v>
      </c>
      <c r="H1470" s="0" t="n">
        <v>1.82</v>
      </c>
      <c r="I1470" s="0" t="n">
        <f aca="false">1.82*30*(G1470^1.5)</f>
        <v>0.925781602410204</v>
      </c>
      <c r="J1470" s="0" t="n">
        <f aca="false">I1470*60</f>
        <v>55.5468961446122</v>
      </c>
      <c r="K1470" s="0" t="n">
        <f aca="false">(I1470*86400)/24</f>
        <v>3332.81376867673</v>
      </c>
    </row>
    <row r="1471" customFormat="false" ht="16.5" hidden="false" customHeight="false" outlineLevel="0" collapsed="false">
      <c r="A1471" s="56" t="n">
        <v>45895.9583333333</v>
      </c>
      <c r="B1471" s="57" t="n">
        <f aca="false">MOD(A1471,1)</f>
        <v>0.958333333343035</v>
      </c>
      <c r="C1471" s="0" t="n">
        <v>0</v>
      </c>
      <c r="D1471" s="0" t="n">
        <v>489.792</v>
      </c>
      <c r="E1471" s="0" t="n">
        <f aca="false">D1471-0.155</f>
        <v>489.637</v>
      </c>
      <c r="F1471" s="0" t="n">
        <v>489.545</v>
      </c>
      <c r="G1471" s="0" t="n">
        <f aca="false">IF(E1471 - F1471 &lt; 0, 0, E1471 - F1471)</f>
        <v>0.0919999999999845</v>
      </c>
      <c r="H1471" s="0" t="n">
        <v>1.82</v>
      </c>
      <c r="I1471" s="0" t="n">
        <f aca="false">1.82*30*(G1471^1.5)</f>
        <v>1.52361199722201</v>
      </c>
      <c r="J1471" s="0" t="n">
        <f aca="false">I1471*60</f>
        <v>91.4167198333204</v>
      </c>
      <c r="K1471" s="0" t="n">
        <f aca="false">(I1471*86400)/24</f>
        <v>5485.00318999922</v>
      </c>
    </row>
    <row r="1472" customFormat="false" ht="16.5" hidden="false" customHeight="false" outlineLevel="0" collapsed="false">
      <c r="A1472" s="56" t="n">
        <v>45896</v>
      </c>
      <c r="B1472" s="57" t="n">
        <f aca="false">MOD(A1472,1)</f>
        <v>0</v>
      </c>
      <c r="C1472" s="0" t="n">
        <v>0.2</v>
      </c>
      <c r="D1472" s="0" t="n">
        <v>489.811</v>
      </c>
      <c r="E1472" s="0" t="n">
        <f aca="false">D1472-0.155</f>
        <v>489.656</v>
      </c>
      <c r="F1472" s="0" t="n">
        <v>489.545</v>
      </c>
      <c r="G1472" s="0" t="n">
        <f aca="false">IF(E1472 - F1472 &lt; 0, 0, E1472 - F1472)</f>
        <v>0.11099999999999</v>
      </c>
      <c r="H1472" s="0" t="n">
        <v>1.82</v>
      </c>
      <c r="I1472" s="0" t="n">
        <f aca="false">1.82*30*(G1472^1.5)</f>
        <v>2.01918964734839</v>
      </c>
      <c r="J1472" s="0" t="n">
        <f aca="false">I1472*60</f>
        <v>121.151378840903</v>
      </c>
      <c r="K1472" s="0" t="n">
        <f aca="false">(I1472*86400)/24</f>
        <v>7269.08273045419</v>
      </c>
    </row>
    <row r="1473" customFormat="false" ht="16.5" hidden="false" customHeight="false" outlineLevel="0" collapsed="false">
      <c r="A1473" s="56" t="n">
        <v>45896.0416666667</v>
      </c>
      <c r="B1473" s="57" t="n">
        <f aca="false">MOD(A1473,1)</f>
        <v>0.0416666666569654</v>
      </c>
      <c r="C1473" s="0" t="n">
        <v>0.6</v>
      </c>
      <c r="D1473" s="0" t="n">
        <v>489.83</v>
      </c>
      <c r="E1473" s="0" t="n">
        <f aca="false">D1473-0.155</f>
        <v>489.675</v>
      </c>
      <c r="F1473" s="0" t="n">
        <v>489.545</v>
      </c>
      <c r="G1473" s="0" t="n">
        <f aca="false">IF(E1473 - F1473 &lt; 0, 0, E1473 - F1473)</f>
        <v>0.129999999999995</v>
      </c>
      <c r="H1473" s="0" t="n">
        <v>1.82</v>
      </c>
      <c r="I1473" s="0" t="n">
        <f aca="false">1.82*30*(G1473^1.5)</f>
        <v>2.55922029532421</v>
      </c>
      <c r="J1473" s="0" t="n">
        <f aca="false">I1473*60</f>
        <v>153.553217719452</v>
      </c>
      <c r="K1473" s="0" t="n">
        <f aca="false">(I1473*86400)/24</f>
        <v>9213.19306316714</v>
      </c>
    </row>
    <row r="1474" customFormat="false" ht="16.5" hidden="false" customHeight="false" outlineLevel="0" collapsed="false">
      <c r="A1474" s="56" t="n">
        <v>45896.0833333333</v>
      </c>
      <c r="B1474" s="57" t="n">
        <f aca="false">MOD(A1474,1)</f>
        <v>0.0833333333430346</v>
      </c>
      <c r="C1474" s="0" t="n">
        <v>0</v>
      </c>
      <c r="D1474" s="0" t="n">
        <v>489.842</v>
      </c>
      <c r="E1474" s="0" t="n">
        <f aca="false">D1474-0.155</f>
        <v>489.687</v>
      </c>
      <c r="F1474" s="0" t="n">
        <v>489.545</v>
      </c>
      <c r="G1474" s="0" t="n">
        <f aca="false">IF(E1474 - F1474 &lt; 0, 0, E1474 - F1474)</f>
        <v>0.141999999999996</v>
      </c>
      <c r="H1474" s="0" t="n">
        <v>1.82</v>
      </c>
      <c r="I1474" s="0" t="n">
        <f aca="false">1.82*30*(G1474^1.5)</f>
        <v>2.92162962301508</v>
      </c>
      <c r="J1474" s="0" t="n">
        <f aca="false">I1474*60</f>
        <v>175.297777380905</v>
      </c>
      <c r="K1474" s="0" t="n">
        <f aca="false">(I1474*86400)/24</f>
        <v>10517.8666428543</v>
      </c>
    </row>
    <row r="1475" customFormat="false" ht="16.5" hidden="false" customHeight="false" outlineLevel="0" collapsed="false">
      <c r="A1475" s="56" t="n">
        <v>45896.125</v>
      </c>
      <c r="B1475" s="57" t="n">
        <f aca="false">MOD(A1475,1)</f>
        <v>0.125</v>
      </c>
      <c r="C1475" s="0" t="n">
        <v>0</v>
      </c>
      <c r="D1475" s="0" t="n">
        <v>489.862</v>
      </c>
      <c r="E1475" s="0" t="n">
        <f aca="false">D1475-0.155</f>
        <v>489.707</v>
      </c>
      <c r="F1475" s="0" t="n">
        <v>489.545</v>
      </c>
      <c r="G1475" s="0" t="n">
        <f aca="false">IF(E1475 - F1475 &lt; 0, 0, E1475 - F1475)</f>
        <v>0.162000000000035</v>
      </c>
      <c r="H1475" s="0" t="n">
        <v>1.82</v>
      </c>
      <c r="I1475" s="0" t="n">
        <f aca="false">1.82*30*(G1475^1.5)</f>
        <v>3.56012432542574</v>
      </c>
      <c r="J1475" s="0" t="n">
        <f aca="false">I1475*60</f>
        <v>213.607459525545</v>
      </c>
      <c r="K1475" s="0" t="n">
        <f aca="false">(I1475*86400)/24</f>
        <v>12816.4475715327</v>
      </c>
    </row>
    <row r="1476" customFormat="false" ht="16.5" hidden="false" customHeight="false" outlineLevel="0" collapsed="false">
      <c r="A1476" s="56" t="n">
        <v>45896.1666666667</v>
      </c>
      <c r="B1476" s="57" t="n">
        <f aca="false">MOD(A1476,1)</f>
        <v>0.166666666656965</v>
      </c>
      <c r="C1476" s="0" t="n">
        <v>0</v>
      </c>
      <c r="D1476" s="0" t="n">
        <v>489.869</v>
      </c>
      <c r="E1476" s="0" t="n">
        <f aca="false">D1476-0.155</f>
        <v>489.714</v>
      </c>
      <c r="F1476" s="0" t="n">
        <v>489.545</v>
      </c>
      <c r="G1476" s="0" t="n">
        <f aca="false">IF(E1476 - F1476 &lt; 0, 0, E1476 - F1476)</f>
        <v>0.16900000000004</v>
      </c>
      <c r="H1476" s="0" t="n">
        <v>1.82</v>
      </c>
      <c r="I1476" s="0" t="n">
        <f aca="false">1.82*30*(G1476^1.5)</f>
        <v>3.79334811458823</v>
      </c>
      <c r="J1476" s="0" t="n">
        <f aca="false">I1476*60</f>
        <v>227.600886875294</v>
      </c>
      <c r="K1476" s="0" t="n">
        <f aca="false">(I1476*86400)/24</f>
        <v>13656.0532125176</v>
      </c>
    </row>
    <row r="1477" customFormat="false" ht="16.5" hidden="false" customHeight="false" outlineLevel="0" collapsed="false">
      <c r="A1477" s="56" t="n">
        <v>45896.2083333333</v>
      </c>
      <c r="B1477" s="57" t="n">
        <f aca="false">MOD(A1477,1)</f>
        <v>0.208333333343035</v>
      </c>
      <c r="C1477" s="0" t="n">
        <v>0</v>
      </c>
      <c r="D1477" s="0" t="n">
        <v>489.876</v>
      </c>
      <c r="E1477" s="0" t="n">
        <f aca="false">D1477-0.155</f>
        <v>489.721</v>
      </c>
      <c r="F1477" s="0" t="n">
        <v>489.545</v>
      </c>
      <c r="G1477" s="0" t="n">
        <f aca="false">IF(E1477 - F1477 &lt; 0, 0, E1477 - F1477)</f>
        <v>0.175999999999988</v>
      </c>
      <c r="H1477" s="0" t="n">
        <v>1.82</v>
      </c>
      <c r="I1477" s="0" t="n">
        <f aca="false">1.82*30*(G1477^1.5)</f>
        <v>4.03145340294993</v>
      </c>
      <c r="J1477" s="0" t="n">
        <f aca="false">I1477*60</f>
        <v>241.887204176996</v>
      </c>
      <c r="K1477" s="0" t="n">
        <f aca="false">(I1477*86400)/24</f>
        <v>14513.2322506198</v>
      </c>
    </row>
    <row r="1478" customFormat="false" ht="16.5" hidden="false" customHeight="false" outlineLevel="0" collapsed="false">
      <c r="A1478" s="56" t="n">
        <v>45896.25</v>
      </c>
      <c r="B1478" s="57" t="n">
        <f aca="false">MOD(A1478,1)</f>
        <v>0.25</v>
      </c>
      <c r="C1478" s="0" t="n">
        <v>0</v>
      </c>
      <c r="D1478" s="0" t="n">
        <v>489.881</v>
      </c>
      <c r="E1478" s="0" t="n">
        <f aca="false">D1478-0.155</f>
        <v>489.726</v>
      </c>
      <c r="F1478" s="0" t="n">
        <v>489.545</v>
      </c>
      <c r="G1478" s="0" t="n">
        <f aca="false">IF(E1478 - F1478 &lt; 0, 0, E1478 - F1478)</f>
        <v>0.180999999999983</v>
      </c>
      <c r="H1478" s="0" t="n">
        <v>1.82</v>
      </c>
      <c r="I1478" s="0" t="n">
        <f aca="false">1.82*30*(G1478^1.5)</f>
        <v>4.20446270997319</v>
      </c>
      <c r="J1478" s="0" t="n">
        <f aca="false">I1478*60</f>
        <v>252.267762598391</v>
      </c>
      <c r="K1478" s="0" t="n">
        <f aca="false">(I1478*86400)/24</f>
        <v>15136.0657559035</v>
      </c>
    </row>
    <row r="1479" customFormat="false" ht="16.5" hidden="false" customHeight="false" outlineLevel="0" collapsed="false">
      <c r="A1479" s="56" t="n">
        <v>45896.2916666667</v>
      </c>
      <c r="B1479" s="57" t="n">
        <f aca="false">MOD(A1479,1)</f>
        <v>0.291666666656965</v>
      </c>
      <c r="C1479" s="0" t="n">
        <v>0</v>
      </c>
      <c r="D1479" s="0" t="n">
        <v>489.881</v>
      </c>
      <c r="E1479" s="0" t="n">
        <f aca="false">D1479-0.155</f>
        <v>489.726</v>
      </c>
      <c r="F1479" s="0" t="n">
        <v>489.545</v>
      </c>
      <c r="G1479" s="0" t="n">
        <f aca="false">IF(E1479 - F1479 &lt; 0, 0, E1479 - F1479)</f>
        <v>0.180999999999983</v>
      </c>
      <c r="H1479" s="0" t="n">
        <v>1.82</v>
      </c>
      <c r="I1479" s="0" t="n">
        <f aca="false">1.82*30*(G1479^1.5)</f>
        <v>4.20446270997319</v>
      </c>
      <c r="J1479" s="0" t="n">
        <f aca="false">I1479*60</f>
        <v>252.267762598391</v>
      </c>
      <c r="K1479" s="0" t="n">
        <f aca="false">(I1479*86400)/24</f>
        <v>15136.0657559035</v>
      </c>
    </row>
    <row r="1480" customFormat="false" ht="16.5" hidden="false" customHeight="false" outlineLevel="0" collapsed="false">
      <c r="A1480" s="56" t="n">
        <v>45896.3333333333</v>
      </c>
      <c r="B1480" s="57" t="n">
        <f aca="false">MOD(A1480,1)</f>
        <v>0.333333333343035</v>
      </c>
      <c r="C1480" s="0" t="n">
        <v>0</v>
      </c>
      <c r="D1480" s="0" t="n">
        <v>489.881</v>
      </c>
      <c r="E1480" s="0" t="n">
        <f aca="false">D1480-0.155</f>
        <v>489.726</v>
      </c>
      <c r="F1480" s="0" t="n">
        <v>489.545</v>
      </c>
      <c r="G1480" s="0" t="n">
        <f aca="false">IF(E1480 - F1480 &lt; 0, 0, E1480 - F1480)</f>
        <v>0.180999999999983</v>
      </c>
      <c r="H1480" s="0" t="n">
        <v>1.82</v>
      </c>
      <c r="I1480" s="0" t="n">
        <f aca="false">1.82*30*(G1480^1.5)</f>
        <v>4.20446270997319</v>
      </c>
      <c r="J1480" s="0" t="n">
        <f aca="false">I1480*60</f>
        <v>252.267762598391</v>
      </c>
      <c r="K1480" s="0" t="n">
        <f aca="false">(I1480*86400)/24</f>
        <v>15136.0657559035</v>
      </c>
    </row>
    <row r="1481" customFormat="false" ht="16.5" hidden="false" customHeight="false" outlineLevel="0" collapsed="false">
      <c r="A1481" s="56" t="n">
        <v>45896.375</v>
      </c>
      <c r="B1481" s="57" t="n">
        <f aca="false">MOD(A1481,1)</f>
        <v>0.375</v>
      </c>
      <c r="C1481" s="0" t="n">
        <v>0</v>
      </c>
      <c r="D1481" s="0" t="n">
        <v>489.881</v>
      </c>
      <c r="E1481" s="0" t="n">
        <f aca="false">D1481-0.155</f>
        <v>489.726</v>
      </c>
      <c r="F1481" s="0" t="n">
        <v>489.545</v>
      </c>
      <c r="G1481" s="0" t="n">
        <f aca="false">IF(E1481 - F1481 &lt; 0, 0, E1481 - F1481)</f>
        <v>0.180999999999983</v>
      </c>
      <c r="H1481" s="0" t="n">
        <v>1.82</v>
      </c>
      <c r="I1481" s="0" t="n">
        <f aca="false">1.82*30*(G1481^1.5)</f>
        <v>4.20446270997319</v>
      </c>
      <c r="J1481" s="0" t="n">
        <f aca="false">I1481*60</f>
        <v>252.267762598391</v>
      </c>
      <c r="K1481" s="0" t="n">
        <f aca="false">(I1481*86400)/24</f>
        <v>15136.0657559035</v>
      </c>
    </row>
    <row r="1482" customFormat="false" ht="16.5" hidden="false" customHeight="false" outlineLevel="0" collapsed="false">
      <c r="A1482" s="56" t="n">
        <v>45896.4166666667</v>
      </c>
      <c r="B1482" s="57" t="n">
        <f aca="false">MOD(A1482,1)</f>
        <v>0.416666666656965</v>
      </c>
      <c r="C1482" s="0" t="n">
        <v>0</v>
      </c>
      <c r="D1482" s="0" t="n">
        <v>489.881</v>
      </c>
      <c r="E1482" s="0" t="n">
        <f aca="false">D1482-0.155</f>
        <v>489.726</v>
      </c>
      <c r="F1482" s="0" t="n">
        <v>489.545</v>
      </c>
      <c r="G1482" s="0" t="n">
        <f aca="false">IF(E1482 - F1482 &lt; 0, 0, E1482 - F1482)</f>
        <v>0.180999999999983</v>
      </c>
      <c r="H1482" s="0" t="n">
        <v>1.82</v>
      </c>
      <c r="I1482" s="0" t="n">
        <f aca="false">1.82*30*(G1482^1.5)</f>
        <v>4.20446270997319</v>
      </c>
      <c r="J1482" s="0" t="n">
        <f aca="false">I1482*60</f>
        <v>252.267762598391</v>
      </c>
      <c r="K1482" s="0" t="n">
        <f aca="false">(I1482*86400)/24</f>
        <v>15136.0657559035</v>
      </c>
    </row>
    <row r="1483" customFormat="false" ht="16.5" hidden="false" customHeight="false" outlineLevel="0" collapsed="false">
      <c r="A1483" s="56" t="n">
        <v>45896.4583333333</v>
      </c>
      <c r="B1483" s="57" t="n">
        <f aca="false">MOD(A1483,1)</f>
        <v>0.458333333343035</v>
      </c>
      <c r="C1483" s="0" t="n">
        <v>0</v>
      </c>
      <c r="D1483" s="0" t="n">
        <v>489.881</v>
      </c>
      <c r="E1483" s="0" t="n">
        <f aca="false">D1483-0.155</f>
        <v>489.726</v>
      </c>
      <c r="F1483" s="0" t="n">
        <v>489.545</v>
      </c>
      <c r="G1483" s="0" t="n">
        <f aca="false">IF(E1483 - F1483 &lt; 0, 0, E1483 - F1483)</f>
        <v>0.180999999999983</v>
      </c>
      <c r="H1483" s="0" t="n">
        <v>1.82</v>
      </c>
      <c r="I1483" s="0" t="n">
        <f aca="false">1.82*30*(G1483^1.5)</f>
        <v>4.20446270997319</v>
      </c>
      <c r="J1483" s="0" t="n">
        <f aca="false">I1483*60</f>
        <v>252.267762598391</v>
      </c>
      <c r="K1483" s="0" t="n">
        <f aca="false">(I1483*86400)/24</f>
        <v>15136.0657559035</v>
      </c>
    </row>
    <row r="1484" customFormat="false" ht="16.5" hidden="false" customHeight="false" outlineLevel="0" collapsed="false">
      <c r="A1484" s="56" t="n">
        <v>45896.5</v>
      </c>
      <c r="B1484" s="57" t="n">
        <f aca="false">MOD(A1484,1)</f>
        <v>0.5</v>
      </c>
      <c r="C1484" s="0" t="n">
        <v>0</v>
      </c>
      <c r="D1484" s="0" t="n">
        <v>489.881</v>
      </c>
      <c r="E1484" s="0" t="n">
        <f aca="false">D1484-0.155</f>
        <v>489.726</v>
      </c>
      <c r="F1484" s="0" t="n">
        <v>489.545</v>
      </c>
      <c r="G1484" s="0" t="n">
        <f aca="false">IF(E1484 - F1484 &lt; 0, 0, E1484 - F1484)</f>
        <v>0.180999999999983</v>
      </c>
      <c r="H1484" s="0" t="n">
        <v>1.82</v>
      </c>
      <c r="I1484" s="0" t="n">
        <f aca="false">1.82*30*(G1484^1.5)</f>
        <v>4.20446270997319</v>
      </c>
      <c r="J1484" s="0" t="n">
        <f aca="false">I1484*60</f>
        <v>252.267762598391</v>
      </c>
      <c r="K1484" s="0" t="n">
        <f aca="false">(I1484*86400)/24</f>
        <v>15136.0657559035</v>
      </c>
    </row>
    <row r="1485" customFormat="false" ht="16.5" hidden="false" customHeight="false" outlineLevel="0" collapsed="false">
      <c r="A1485" s="56" t="n">
        <v>45896.5416666667</v>
      </c>
      <c r="B1485" s="57" t="n">
        <f aca="false">MOD(A1485,1)</f>
        <v>0.541666666656965</v>
      </c>
      <c r="C1485" s="0" t="n">
        <v>0.4</v>
      </c>
      <c r="D1485" s="0" t="n">
        <v>489.881</v>
      </c>
      <c r="E1485" s="0" t="n">
        <f aca="false">D1485-0.155</f>
        <v>489.726</v>
      </c>
      <c r="F1485" s="0" t="n">
        <v>489.545</v>
      </c>
      <c r="G1485" s="0" t="n">
        <f aca="false">IF(E1485 - F1485 &lt; 0, 0, E1485 - F1485)</f>
        <v>0.180999999999983</v>
      </c>
      <c r="H1485" s="0" t="n">
        <v>1.82</v>
      </c>
      <c r="I1485" s="0" t="n">
        <f aca="false">1.82*30*(G1485^1.5)</f>
        <v>4.20446270997319</v>
      </c>
      <c r="J1485" s="0" t="n">
        <f aca="false">I1485*60</f>
        <v>252.267762598391</v>
      </c>
      <c r="K1485" s="0" t="n">
        <f aca="false">(I1485*86400)/24</f>
        <v>15136.0657559035</v>
      </c>
    </row>
    <row r="1486" customFormat="false" ht="16.5" hidden="false" customHeight="false" outlineLevel="0" collapsed="false">
      <c r="A1486" s="56" t="n">
        <v>45896.5833333333</v>
      </c>
      <c r="B1486" s="57" t="n">
        <f aca="false">MOD(A1486,1)</f>
        <v>0.583333333343035</v>
      </c>
      <c r="C1486" s="0" t="n">
        <v>0</v>
      </c>
      <c r="D1486" s="0" t="n">
        <v>489.875</v>
      </c>
      <c r="E1486" s="0" t="n">
        <f aca="false">D1486-0.155</f>
        <v>489.72</v>
      </c>
      <c r="F1486" s="0" t="n">
        <v>489.545</v>
      </c>
      <c r="G1486" s="0" t="n">
        <f aca="false">IF(E1486 - F1486 &lt; 0, 0, E1486 - F1486)</f>
        <v>0.175000000000011</v>
      </c>
      <c r="H1486" s="0" t="n">
        <v>1.82</v>
      </c>
      <c r="I1486" s="0" t="n">
        <f aca="false">1.82*30*(G1486^1.5)</f>
        <v>3.99714327676694</v>
      </c>
      <c r="J1486" s="0" t="n">
        <f aca="false">I1486*60</f>
        <v>239.828596606016</v>
      </c>
      <c r="K1486" s="0" t="n">
        <f aca="false">(I1486*86400)/24</f>
        <v>14389.715796361</v>
      </c>
    </row>
    <row r="1487" customFormat="false" ht="16.5" hidden="false" customHeight="false" outlineLevel="0" collapsed="false">
      <c r="A1487" s="56" t="n">
        <v>45896.625</v>
      </c>
      <c r="B1487" s="57" t="n">
        <f aca="false">MOD(A1487,1)</f>
        <v>0.625</v>
      </c>
      <c r="C1487" s="0" t="n">
        <v>0</v>
      </c>
      <c r="D1487" s="0" t="n">
        <v>489.875</v>
      </c>
      <c r="E1487" s="0" t="n">
        <f aca="false">D1487-0.155</f>
        <v>489.72</v>
      </c>
      <c r="F1487" s="0" t="n">
        <v>489.545</v>
      </c>
      <c r="G1487" s="0" t="n">
        <f aca="false">IF(E1487 - F1487 &lt; 0, 0, E1487 - F1487)</f>
        <v>0.175000000000011</v>
      </c>
      <c r="H1487" s="0" t="n">
        <v>1.82</v>
      </c>
      <c r="I1487" s="0" t="n">
        <f aca="false">1.82*30*(G1487^1.5)</f>
        <v>3.99714327676694</v>
      </c>
      <c r="J1487" s="0" t="n">
        <f aca="false">I1487*60</f>
        <v>239.828596606016</v>
      </c>
      <c r="K1487" s="0" t="n">
        <f aca="false">(I1487*86400)/24</f>
        <v>14389.715796361</v>
      </c>
    </row>
    <row r="1488" customFormat="false" ht="16.5" hidden="false" customHeight="false" outlineLevel="0" collapsed="false">
      <c r="A1488" s="56" t="n">
        <v>45896.6666666667</v>
      </c>
      <c r="B1488" s="57" t="n">
        <f aca="false">MOD(A1488,1)</f>
        <v>0.666666666656965</v>
      </c>
      <c r="C1488" s="0" t="n">
        <v>0</v>
      </c>
      <c r="D1488" s="0" t="n">
        <v>489.868</v>
      </c>
      <c r="E1488" s="0" t="n">
        <f aca="false">D1488-0.155</f>
        <v>489.713</v>
      </c>
      <c r="F1488" s="0" t="n">
        <v>489.545</v>
      </c>
      <c r="G1488" s="0" t="n">
        <f aca="false">IF(E1488 - F1488 &lt; 0, 0, E1488 - F1488)</f>
        <v>0.168000000000006</v>
      </c>
      <c r="H1488" s="0" t="n">
        <v>1.82</v>
      </c>
      <c r="I1488" s="0" t="n">
        <f aca="false">1.82*30*(G1488^1.5)</f>
        <v>3.75972919943998</v>
      </c>
      <c r="J1488" s="0" t="n">
        <f aca="false">I1488*60</f>
        <v>225.583751966399</v>
      </c>
      <c r="K1488" s="0" t="n">
        <f aca="false">(I1488*86400)/24</f>
        <v>13535.0251179839</v>
      </c>
    </row>
    <row r="1489" customFormat="false" ht="16.5" hidden="false" customHeight="false" outlineLevel="0" collapsed="false">
      <c r="A1489" s="56" t="n">
        <v>45896.7083333333</v>
      </c>
      <c r="B1489" s="57" t="n">
        <f aca="false">MOD(A1489,1)</f>
        <v>0.708333333343035</v>
      </c>
      <c r="C1489" s="0" t="n">
        <v>0.4</v>
      </c>
      <c r="D1489" s="0" t="n">
        <v>489.888</v>
      </c>
      <c r="E1489" s="0" t="n">
        <f aca="false">D1489-0.155</f>
        <v>489.733</v>
      </c>
      <c r="F1489" s="0" t="n">
        <v>489.545</v>
      </c>
      <c r="G1489" s="0" t="n">
        <f aca="false">IF(E1489 - F1489 &lt; 0, 0, E1489 - F1489)</f>
        <v>0.187999999999988</v>
      </c>
      <c r="H1489" s="0" t="n">
        <v>1.82</v>
      </c>
      <c r="I1489" s="0" t="n">
        <f aca="false">1.82*30*(G1489^1.5)</f>
        <v>4.45071122176178</v>
      </c>
      <c r="J1489" s="0" t="n">
        <f aca="false">I1489*60</f>
        <v>267.042673305707</v>
      </c>
      <c r="K1489" s="0" t="n">
        <f aca="false">(I1489*86400)/24</f>
        <v>16022.5603983424</v>
      </c>
    </row>
    <row r="1490" customFormat="false" ht="16.5" hidden="false" customHeight="false" outlineLevel="0" collapsed="false">
      <c r="A1490" s="56" t="n">
        <v>45896.75</v>
      </c>
      <c r="B1490" s="57" t="n">
        <f aca="false">MOD(A1490,1)</f>
        <v>0.75</v>
      </c>
      <c r="C1490" s="0" t="n">
        <v>0</v>
      </c>
      <c r="D1490" s="0" t="n">
        <v>489.894</v>
      </c>
      <c r="E1490" s="0" t="n">
        <f aca="false">D1490-0.155</f>
        <v>489.739</v>
      </c>
      <c r="F1490" s="0" t="n">
        <v>489.545</v>
      </c>
      <c r="G1490" s="0" t="n">
        <f aca="false">IF(E1490 - F1490 &lt; 0, 0, E1490 - F1490)</f>
        <v>0.194000000000017</v>
      </c>
      <c r="H1490" s="0" t="n">
        <v>1.82</v>
      </c>
      <c r="I1490" s="0" t="n">
        <f aca="false">1.82*30*(G1490^1.5)</f>
        <v>4.66546824289328</v>
      </c>
      <c r="J1490" s="0" t="n">
        <f aca="false">I1490*60</f>
        <v>279.928094573597</v>
      </c>
      <c r="K1490" s="0" t="n">
        <f aca="false">(I1490*86400)/24</f>
        <v>16795.6856744158</v>
      </c>
    </row>
    <row r="1491" customFormat="false" ht="16.5" hidden="false" customHeight="false" outlineLevel="0" collapsed="false">
      <c r="A1491" s="56" t="n">
        <v>45896.7916666667</v>
      </c>
      <c r="B1491" s="57" t="n">
        <f aca="false">MOD(A1491,1)</f>
        <v>0.791666666656965</v>
      </c>
      <c r="C1491" s="0" t="n">
        <v>0.6</v>
      </c>
      <c r="D1491" s="0" t="n">
        <v>489.889</v>
      </c>
      <c r="E1491" s="0" t="n">
        <f aca="false">D1491-0.155</f>
        <v>489.734</v>
      </c>
      <c r="F1491" s="0" t="n">
        <v>489.545</v>
      </c>
      <c r="G1491" s="0" t="n">
        <f aca="false">IF(E1491 - F1491 &lt; 0, 0, E1491 - F1491)</f>
        <v>0.189000000000021</v>
      </c>
      <c r="H1491" s="0" t="n">
        <v>1.82</v>
      </c>
      <c r="I1491" s="0" t="n">
        <f aca="false">1.82*30*(G1491^1.5)</f>
        <v>4.48626939583958</v>
      </c>
      <c r="J1491" s="0" t="n">
        <f aca="false">I1491*60</f>
        <v>269.176163750375</v>
      </c>
      <c r="K1491" s="0" t="n">
        <f aca="false">(I1491*86400)/24</f>
        <v>16150.5698250225</v>
      </c>
    </row>
    <row r="1492" customFormat="false" ht="16.5" hidden="false" customHeight="false" outlineLevel="0" collapsed="false">
      <c r="A1492" s="56" t="n">
        <v>45896.8333333333</v>
      </c>
      <c r="B1492" s="57" t="n">
        <f aca="false">MOD(A1492,1)</f>
        <v>0.833333333343035</v>
      </c>
      <c r="C1492" s="0" t="n">
        <v>0</v>
      </c>
      <c r="D1492" s="0" t="n">
        <v>489.889</v>
      </c>
      <c r="E1492" s="0" t="n">
        <f aca="false">D1492-0.155</f>
        <v>489.734</v>
      </c>
      <c r="F1492" s="0" t="n">
        <v>489.545</v>
      </c>
      <c r="G1492" s="0" t="n">
        <f aca="false">IF(E1492 - F1492 &lt; 0, 0, E1492 - F1492)</f>
        <v>0.189000000000021</v>
      </c>
      <c r="H1492" s="0" t="n">
        <v>1.82</v>
      </c>
      <c r="I1492" s="0" t="n">
        <f aca="false">1.82*30*(G1492^1.5)</f>
        <v>4.48626939583958</v>
      </c>
      <c r="J1492" s="0" t="n">
        <f aca="false">I1492*60</f>
        <v>269.176163750375</v>
      </c>
      <c r="K1492" s="0" t="n">
        <f aca="false">(I1492*86400)/24</f>
        <v>16150.5698250225</v>
      </c>
    </row>
    <row r="1493" customFormat="false" ht="16.5" hidden="false" customHeight="false" outlineLevel="0" collapsed="false">
      <c r="A1493" s="56" t="n">
        <v>45896.875</v>
      </c>
      <c r="B1493" s="57" t="n">
        <f aca="false">MOD(A1493,1)</f>
        <v>0.875</v>
      </c>
      <c r="C1493" s="0" t="n">
        <v>0</v>
      </c>
      <c r="D1493" s="0" t="n">
        <v>489.881</v>
      </c>
      <c r="E1493" s="0" t="n">
        <f aca="false">D1493-0.155</f>
        <v>489.726</v>
      </c>
      <c r="F1493" s="0" t="n">
        <v>489.545</v>
      </c>
      <c r="G1493" s="0" t="n">
        <f aca="false">IF(E1493 - F1493 &lt; 0, 0, E1493 - F1493)</f>
        <v>0.180999999999983</v>
      </c>
      <c r="H1493" s="0" t="n">
        <v>1.82</v>
      </c>
      <c r="I1493" s="0" t="n">
        <f aca="false">1.82*30*(G1493^1.5)</f>
        <v>4.20446270997319</v>
      </c>
      <c r="J1493" s="0" t="n">
        <f aca="false">I1493*60</f>
        <v>252.267762598391</v>
      </c>
      <c r="K1493" s="0" t="n">
        <f aca="false">(I1493*86400)/24</f>
        <v>15136.0657559035</v>
      </c>
    </row>
    <row r="1494" customFormat="false" ht="16.5" hidden="false" customHeight="false" outlineLevel="0" collapsed="false">
      <c r="A1494" s="56" t="n">
        <v>45896.9166666667</v>
      </c>
      <c r="B1494" s="57" t="n">
        <f aca="false">MOD(A1494,1)</f>
        <v>0.916666666656965</v>
      </c>
      <c r="C1494" s="0" t="n">
        <v>0</v>
      </c>
      <c r="D1494" s="0" t="n">
        <v>489.876</v>
      </c>
      <c r="E1494" s="0" t="n">
        <f aca="false">D1494-0.155</f>
        <v>489.721</v>
      </c>
      <c r="F1494" s="0" t="n">
        <v>489.545</v>
      </c>
      <c r="G1494" s="0" t="n">
        <f aca="false">IF(E1494 - F1494 &lt; 0, 0, E1494 - F1494)</f>
        <v>0.175999999999988</v>
      </c>
      <c r="H1494" s="0" t="n">
        <v>1.82</v>
      </c>
      <c r="I1494" s="0" t="n">
        <f aca="false">1.82*30*(G1494^1.5)</f>
        <v>4.03145340294993</v>
      </c>
      <c r="J1494" s="0" t="n">
        <f aca="false">I1494*60</f>
        <v>241.887204176996</v>
      </c>
      <c r="K1494" s="0" t="n">
        <f aca="false">(I1494*86400)/24</f>
        <v>14513.2322506198</v>
      </c>
    </row>
    <row r="1495" customFormat="false" ht="16.5" hidden="false" customHeight="false" outlineLevel="0" collapsed="false">
      <c r="A1495" s="56" t="n">
        <v>45896.9583333333</v>
      </c>
      <c r="B1495" s="57" t="n">
        <f aca="false">MOD(A1495,1)</f>
        <v>0.958333333343035</v>
      </c>
      <c r="C1495" s="0" t="n">
        <v>0</v>
      </c>
      <c r="D1495" s="0" t="n">
        <v>489.876</v>
      </c>
      <c r="E1495" s="0" t="n">
        <f aca="false">D1495-0.155</f>
        <v>489.721</v>
      </c>
      <c r="F1495" s="0" t="n">
        <v>489.545</v>
      </c>
      <c r="G1495" s="0" t="n">
        <f aca="false">IF(E1495 - F1495 &lt; 0, 0, E1495 - F1495)</f>
        <v>0.175999999999988</v>
      </c>
      <c r="H1495" s="0" t="n">
        <v>1.82</v>
      </c>
      <c r="I1495" s="0" t="n">
        <f aca="false">1.82*30*(G1495^1.5)</f>
        <v>4.03145340294993</v>
      </c>
      <c r="J1495" s="0" t="n">
        <f aca="false">I1495*60</f>
        <v>241.887204176996</v>
      </c>
      <c r="K1495" s="0" t="n">
        <f aca="false">(I1495*86400)/24</f>
        <v>14513.2322506198</v>
      </c>
    </row>
    <row r="1496" customFormat="false" ht="16.5" hidden="false" customHeight="false" outlineLevel="0" collapsed="false">
      <c r="A1496" s="56" t="n">
        <v>45897</v>
      </c>
      <c r="B1496" s="57" t="n">
        <f aca="false">MOD(A1496,1)</f>
        <v>0</v>
      </c>
      <c r="C1496" s="0" t="n">
        <v>0</v>
      </c>
      <c r="D1496" s="0" t="n">
        <v>489.869</v>
      </c>
      <c r="E1496" s="0" t="n">
        <f aca="false">D1496-0.155</f>
        <v>489.714</v>
      </c>
      <c r="F1496" s="0" t="n">
        <v>489.545</v>
      </c>
      <c r="G1496" s="0" t="n">
        <f aca="false">IF(E1496 - F1496 &lt; 0, 0, E1496 - F1496)</f>
        <v>0.16900000000004</v>
      </c>
      <c r="H1496" s="0" t="n">
        <v>1.82</v>
      </c>
      <c r="I1496" s="0" t="n">
        <f aca="false">1.82*30*(G1496^1.5)</f>
        <v>3.79334811458823</v>
      </c>
      <c r="J1496" s="0" t="n">
        <f aca="false">I1496*60</f>
        <v>227.600886875294</v>
      </c>
      <c r="K1496" s="0" t="n">
        <f aca="false">(I1496*86400)/24</f>
        <v>13656.0532125176</v>
      </c>
    </row>
    <row r="1497" customFormat="false" ht="16.5" hidden="false" customHeight="false" outlineLevel="0" collapsed="false">
      <c r="A1497" s="56" t="n">
        <v>45897.0416666667</v>
      </c>
      <c r="B1497" s="57" t="n">
        <f aca="false">MOD(A1497,1)</f>
        <v>0.0416666666569654</v>
      </c>
      <c r="C1497" s="0" t="n">
        <v>0</v>
      </c>
      <c r="D1497" s="0" t="n">
        <v>489.869</v>
      </c>
      <c r="E1497" s="0" t="n">
        <f aca="false">D1497-0.155</f>
        <v>489.714</v>
      </c>
      <c r="F1497" s="0" t="n">
        <v>489.545</v>
      </c>
      <c r="G1497" s="0" t="n">
        <f aca="false">IF(E1497 - F1497 &lt; 0, 0, E1497 - F1497)</f>
        <v>0.16900000000004</v>
      </c>
      <c r="H1497" s="0" t="n">
        <v>1.82</v>
      </c>
      <c r="I1497" s="0" t="n">
        <f aca="false">1.82*30*(G1497^1.5)</f>
        <v>3.79334811458823</v>
      </c>
      <c r="J1497" s="0" t="n">
        <f aca="false">I1497*60</f>
        <v>227.600886875294</v>
      </c>
      <c r="K1497" s="0" t="n">
        <f aca="false">(I1497*86400)/24</f>
        <v>13656.0532125176</v>
      </c>
    </row>
    <row r="1498" customFormat="false" ht="16.5" hidden="false" customHeight="false" outlineLevel="0" collapsed="false">
      <c r="A1498" s="56" t="n">
        <v>45897.0833333333</v>
      </c>
      <c r="B1498" s="57" t="n">
        <f aca="false">MOD(A1498,1)</f>
        <v>0.0833333333430346</v>
      </c>
      <c r="C1498" s="0" t="n">
        <v>0</v>
      </c>
      <c r="D1498" s="0" t="n">
        <v>489.862</v>
      </c>
      <c r="E1498" s="0" t="n">
        <f aca="false">D1498-0.155</f>
        <v>489.707</v>
      </c>
      <c r="F1498" s="0" t="n">
        <v>489.545</v>
      </c>
      <c r="G1498" s="0" t="n">
        <f aca="false">IF(E1498 - F1498 &lt; 0, 0, E1498 - F1498)</f>
        <v>0.162000000000035</v>
      </c>
      <c r="H1498" s="0" t="n">
        <v>1.82</v>
      </c>
      <c r="I1498" s="0" t="n">
        <f aca="false">1.82*30*(G1498^1.5)</f>
        <v>3.56012432542574</v>
      </c>
      <c r="J1498" s="0" t="n">
        <f aca="false">I1498*60</f>
        <v>213.607459525545</v>
      </c>
      <c r="K1498" s="0" t="n">
        <f aca="false">(I1498*86400)/24</f>
        <v>12816.4475715327</v>
      </c>
    </row>
    <row r="1499" customFormat="false" ht="16.5" hidden="false" customHeight="false" outlineLevel="0" collapsed="false">
      <c r="A1499" s="56" t="n">
        <v>45897.125</v>
      </c>
      <c r="B1499" s="57" t="n">
        <f aca="false">MOD(A1499,1)</f>
        <v>0.125</v>
      </c>
      <c r="C1499" s="0" t="n">
        <v>0</v>
      </c>
      <c r="D1499" s="0" t="n">
        <v>489.862</v>
      </c>
      <c r="E1499" s="0" t="n">
        <f aca="false">D1499-0.155</f>
        <v>489.707</v>
      </c>
      <c r="F1499" s="0" t="n">
        <v>489.545</v>
      </c>
      <c r="G1499" s="0" t="n">
        <f aca="false">IF(E1499 - F1499 &lt; 0, 0, E1499 - F1499)</f>
        <v>0.162000000000035</v>
      </c>
      <c r="H1499" s="0" t="n">
        <v>1.82</v>
      </c>
      <c r="I1499" s="0" t="n">
        <f aca="false">1.82*30*(G1499^1.5)</f>
        <v>3.56012432542574</v>
      </c>
      <c r="J1499" s="0" t="n">
        <f aca="false">I1499*60</f>
        <v>213.607459525545</v>
      </c>
      <c r="K1499" s="0" t="n">
        <f aca="false">(I1499*86400)/24</f>
        <v>12816.4475715327</v>
      </c>
    </row>
    <row r="1500" customFormat="false" ht="16.5" hidden="false" customHeight="false" outlineLevel="0" collapsed="false">
      <c r="A1500" s="56" t="n">
        <v>45897.1666666667</v>
      </c>
      <c r="B1500" s="57" t="n">
        <f aca="false">MOD(A1500,1)</f>
        <v>0.166666666656965</v>
      </c>
      <c r="C1500" s="0" t="n">
        <v>0</v>
      </c>
      <c r="D1500" s="0" t="n">
        <v>489.855</v>
      </c>
      <c r="E1500" s="0" t="n">
        <f aca="false">D1500-0.155</f>
        <v>489.7</v>
      </c>
      <c r="F1500" s="0" t="n">
        <v>489.545</v>
      </c>
      <c r="G1500" s="0" t="n">
        <f aca="false">IF(E1500 - F1500 &lt; 0, 0, E1500 - F1500)</f>
        <v>0.15500000000003</v>
      </c>
      <c r="H1500" s="0" t="n">
        <v>1.82</v>
      </c>
      <c r="I1500" s="0" t="n">
        <f aca="false">1.82*30*(G1500^1.5)</f>
        <v>3.33188643188905</v>
      </c>
      <c r="J1500" s="0" t="n">
        <f aca="false">I1500*60</f>
        <v>199.913185913343</v>
      </c>
      <c r="K1500" s="0" t="n">
        <f aca="false">(I1500*86400)/24</f>
        <v>11994.7911548006</v>
      </c>
    </row>
    <row r="1501" customFormat="false" ht="16.5" hidden="false" customHeight="false" outlineLevel="0" collapsed="false">
      <c r="A1501" s="56" t="n">
        <v>45897.2083333333</v>
      </c>
      <c r="B1501" s="57" t="n">
        <f aca="false">MOD(A1501,1)</f>
        <v>0.208333333343035</v>
      </c>
      <c r="C1501" s="0" t="n">
        <v>0</v>
      </c>
      <c r="D1501" s="0" t="n">
        <v>489.848</v>
      </c>
      <c r="E1501" s="0" t="n">
        <f aca="false">D1501-0.155</f>
        <v>489.693</v>
      </c>
      <c r="F1501" s="0" t="n">
        <v>489.545</v>
      </c>
      <c r="G1501" s="0" t="n">
        <f aca="false">IF(E1501 - F1501 &lt; 0, 0, E1501 - F1501)</f>
        <v>0.148000000000025</v>
      </c>
      <c r="H1501" s="0" t="n">
        <v>1.82</v>
      </c>
      <c r="I1501" s="0" t="n">
        <f aca="false">1.82*30*(G1501^1.5)</f>
        <v>3.10874583051185</v>
      </c>
      <c r="J1501" s="0" t="n">
        <f aca="false">I1501*60</f>
        <v>186.524749830711</v>
      </c>
      <c r="K1501" s="0" t="n">
        <f aca="false">(I1501*86400)/24</f>
        <v>11191.4849898427</v>
      </c>
    </row>
    <row r="1502" customFormat="false" ht="16.5" hidden="false" customHeight="false" outlineLevel="0" collapsed="false">
      <c r="A1502" s="56" t="n">
        <v>45897.25</v>
      </c>
      <c r="B1502" s="57" t="n">
        <f aca="false">MOD(A1502,1)</f>
        <v>0.25</v>
      </c>
      <c r="C1502" s="0" t="n">
        <v>0</v>
      </c>
      <c r="D1502" s="0" t="n">
        <v>489.848</v>
      </c>
      <c r="E1502" s="0" t="n">
        <f aca="false">D1502-0.155</f>
        <v>489.693</v>
      </c>
      <c r="F1502" s="0" t="n">
        <v>489.545</v>
      </c>
      <c r="G1502" s="0" t="n">
        <f aca="false">IF(E1502 - F1502 &lt; 0, 0, E1502 - F1502)</f>
        <v>0.148000000000025</v>
      </c>
      <c r="H1502" s="0" t="n">
        <v>1.82</v>
      </c>
      <c r="I1502" s="0" t="n">
        <f aca="false">1.82*30*(G1502^1.5)</f>
        <v>3.10874583051185</v>
      </c>
      <c r="J1502" s="0" t="n">
        <f aca="false">I1502*60</f>
        <v>186.524749830711</v>
      </c>
      <c r="K1502" s="0" t="n">
        <f aca="false">(I1502*86400)/24</f>
        <v>11191.4849898427</v>
      </c>
    </row>
    <row r="1503" customFormat="false" ht="16.5" hidden="false" customHeight="false" outlineLevel="0" collapsed="false">
      <c r="A1503" s="56" t="n">
        <v>45897.2916666667</v>
      </c>
      <c r="B1503" s="57" t="n">
        <f aca="false">MOD(A1503,1)</f>
        <v>0.291666666656965</v>
      </c>
      <c r="C1503" s="0" t="n">
        <v>0</v>
      </c>
      <c r="D1503" s="0" t="n">
        <v>489.848</v>
      </c>
      <c r="E1503" s="0" t="n">
        <f aca="false">D1503-0.155</f>
        <v>489.693</v>
      </c>
      <c r="F1503" s="0" t="n">
        <v>489.545</v>
      </c>
      <c r="G1503" s="0" t="n">
        <f aca="false">IF(E1503 - F1503 &lt; 0, 0, E1503 - F1503)</f>
        <v>0.148000000000025</v>
      </c>
      <c r="H1503" s="0" t="n">
        <v>1.82</v>
      </c>
      <c r="I1503" s="0" t="n">
        <f aca="false">1.82*30*(G1503^1.5)</f>
        <v>3.10874583051185</v>
      </c>
      <c r="J1503" s="0" t="n">
        <f aca="false">I1503*60</f>
        <v>186.524749830711</v>
      </c>
      <c r="K1503" s="0" t="n">
        <f aca="false">(I1503*86400)/24</f>
        <v>11191.4849898427</v>
      </c>
    </row>
    <row r="1504" customFormat="false" ht="16.5" hidden="false" customHeight="false" outlineLevel="0" collapsed="false">
      <c r="A1504" s="56" t="n">
        <v>45897.3333333333</v>
      </c>
      <c r="B1504" s="57" t="n">
        <f aca="false">MOD(A1504,1)</f>
        <v>0.333333333343035</v>
      </c>
      <c r="C1504" s="0" t="n">
        <v>0</v>
      </c>
      <c r="D1504" s="0" t="n">
        <v>489.842</v>
      </c>
      <c r="E1504" s="0" t="n">
        <f aca="false">D1504-0.155</f>
        <v>489.687</v>
      </c>
      <c r="F1504" s="0" t="n">
        <v>489.545</v>
      </c>
      <c r="G1504" s="0" t="n">
        <f aca="false">IF(E1504 - F1504 &lt; 0, 0, E1504 - F1504)</f>
        <v>0.141999999999996</v>
      </c>
      <c r="H1504" s="0" t="n">
        <v>1.82</v>
      </c>
      <c r="I1504" s="0" t="n">
        <f aca="false">1.82*30*(G1504^1.5)</f>
        <v>2.92162962301508</v>
      </c>
      <c r="J1504" s="0" t="n">
        <f aca="false">I1504*60</f>
        <v>175.297777380905</v>
      </c>
      <c r="K1504" s="0" t="n">
        <f aca="false">(I1504*86400)/24</f>
        <v>10517.8666428543</v>
      </c>
    </row>
    <row r="1505" customFormat="false" ht="16.5" hidden="false" customHeight="false" outlineLevel="0" collapsed="false">
      <c r="A1505" s="56" t="n">
        <v>45897.375</v>
      </c>
      <c r="B1505" s="57" t="n">
        <f aca="false">MOD(A1505,1)</f>
        <v>0.375</v>
      </c>
      <c r="C1505" s="0" t="n">
        <v>0</v>
      </c>
      <c r="D1505" s="0" t="n">
        <v>489.841</v>
      </c>
      <c r="E1505" s="0" t="n">
        <f aca="false">D1505-0.155</f>
        <v>489.686</v>
      </c>
      <c r="F1505" s="0" t="n">
        <v>489.545</v>
      </c>
      <c r="G1505" s="0" t="n">
        <f aca="false">IF(E1505 - F1505 &lt; 0, 0, E1505 - F1505)</f>
        <v>0.14100000000002</v>
      </c>
      <c r="H1505" s="0" t="n">
        <v>1.82</v>
      </c>
      <c r="I1505" s="0" t="n">
        <f aca="false">1.82*30*(G1505^1.5)</f>
        <v>2.89082173721651</v>
      </c>
      <c r="J1505" s="0" t="n">
        <f aca="false">I1505*60</f>
        <v>173.449304232991</v>
      </c>
      <c r="K1505" s="0" t="n">
        <f aca="false">(I1505*86400)/24</f>
        <v>10406.9582539794</v>
      </c>
    </row>
    <row r="1506" customFormat="false" ht="16.5" hidden="false" customHeight="false" outlineLevel="0" collapsed="false">
      <c r="A1506" s="56" t="n">
        <v>45897.4166666667</v>
      </c>
      <c r="B1506" s="57" t="n">
        <f aca="false">MOD(A1506,1)</f>
        <v>0.416666666656965</v>
      </c>
      <c r="C1506" s="0" t="n">
        <v>0</v>
      </c>
      <c r="D1506" s="0" t="n">
        <v>489.835</v>
      </c>
      <c r="E1506" s="0" t="n">
        <f aca="false">D1506-0.155</f>
        <v>489.68</v>
      </c>
      <c r="F1506" s="0" t="n">
        <v>489.545</v>
      </c>
      <c r="G1506" s="0" t="n">
        <f aca="false">IF(E1506 - F1506 &lt; 0, 0, E1506 - F1506)</f>
        <v>0.134999999999991</v>
      </c>
      <c r="H1506" s="0" t="n">
        <v>1.82</v>
      </c>
      <c r="I1506" s="0" t="n">
        <f aca="false">1.82*30*(G1506^1.5)</f>
        <v>2.70827833410795</v>
      </c>
      <c r="J1506" s="0" t="n">
        <f aca="false">I1506*60</f>
        <v>162.496700046477</v>
      </c>
      <c r="K1506" s="0" t="n">
        <f aca="false">(I1506*86400)/24</f>
        <v>9749.80200278861</v>
      </c>
    </row>
    <row r="1507" customFormat="false" ht="16.5" hidden="false" customHeight="false" outlineLevel="0" collapsed="false">
      <c r="A1507" s="56" t="n">
        <v>45897.4583333333</v>
      </c>
      <c r="B1507" s="57" t="n">
        <f aca="false">MOD(A1507,1)</f>
        <v>0.458333333343035</v>
      </c>
      <c r="C1507" s="0" t="n">
        <v>0</v>
      </c>
      <c r="D1507" s="0" t="n">
        <v>489.835</v>
      </c>
      <c r="E1507" s="0" t="n">
        <f aca="false">D1507-0.155</f>
        <v>489.68</v>
      </c>
      <c r="F1507" s="0" t="n">
        <v>489.545</v>
      </c>
      <c r="G1507" s="0" t="n">
        <f aca="false">IF(E1507 - F1507 &lt; 0, 0, E1507 - F1507)</f>
        <v>0.134999999999991</v>
      </c>
      <c r="H1507" s="0" t="n">
        <v>1.82</v>
      </c>
      <c r="I1507" s="0" t="n">
        <f aca="false">1.82*30*(G1507^1.5)</f>
        <v>2.70827833410795</v>
      </c>
      <c r="J1507" s="0" t="n">
        <f aca="false">I1507*60</f>
        <v>162.496700046477</v>
      </c>
      <c r="K1507" s="0" t="n">
        <f aca="false">(I1507*86400)/24</f>
        <v>9749.80200278861</v>
      </c>
    </row>
    <row r="1508" customFormat="false" ht="16.5" hidden="false" customHeight="false" outlineLevel="0" collapsed="false">
      <c r="A1508" s="56" t="n">
        <v>45897.5</v>
      </c>
      <c r="B1508" s="57" t="n">
        <f aca="false">MOD(A1508,1)</f>
        <v>0.5</v>
      </c>
      <c r="C1508" s="0" t="n">
        <v>0</v>
      </c>
      <c r="D1508" s="0" t="n">
        <v>489.828</v>
      </c>
      <c r="E1508" s="0" t="n">
        <f aca="false">D1508-0.155</f>
        <v>489.673</v>
      </c>
      <c r="F1508" s="0" t="n">
        <v>489.545</v>
      </c>
      <c r="G1508" s="0" t="n">
        <f aca="false">IF(E1508 - F1508 &lt; 0, 0, E1508 - F1508)</f>
        <v>0.127999999999986</v>
      </c>
      <c r="H1508" s="0" t="n">
        <v>1.82</v>
      </c>
      <c r="I1508" s="0" t="n">
        <f aca="false">1.82*30*(G1508^1.5)</f>
        <v>2.50038910098367</v>
      </c>
      <c r="J1508" s="0" t="n">
        <f aca="false">I1508*60</f>
        <v>150.02334605902</v>
      </c>
      <c r="K1508" s="0" t="n">
        <f aca="false">(I1508*86400)/24</f>
        <v>9001.40076354122</v>
      </c>
    </row>
    <row r="1509" customFormat="false" ht="16.5" hidden="false" customHeight="false" outlineLevel="0" collapsed="false">
      <c r="A1509" s="56" t="n">
        <v>45897.5416666667</v>
      </c>
      <c r="B1509" s="57" t="n">
        <f aca="false">MOD(A1509,1)</f>
        <v>0.541666666656965</v>
      </c>
      <c r="C1509" s="0" t="n">
        <v>0</v>
      </c>
      <c r="D1509" s="0" t="n">
        <v>489.828</v>
      </c>
      <c r="E1509" s="0" t="n">
        <f aca="false">D1509-0.155</f>
        <v>489.673</v>
      </c>
      <c r="F1509" s="0" t="n">
        <v>489.545</v>
      </c>
      <c r="G1509" s="0" t="n">
        <f aca="false">IF(E1509 - F1509 &lt; 0, 0, E1509 - F1509)</f>
        <v>0.127999999999986</v>
      </c>
      <c r="H1509" s="0" t="n">
        <v>1.82</v>
      </c>
      <c r="I1509" s="0" t="n">
        <f aca="false">1.82*30*(G1509^1.5)</f>
        <v>2.50038910098367</v>
      </c>
      <c r="J1509" s="0" t="n">
        <f aca="false">I1509*60</f>
        <v>150.02334605902</v>
      </c>
      <c r="K1509" s="0" t="n">
        <f aca="false">(I1509*86400)/24</f>
        <v>9001.40076354122</v>
      </c>
    </row>
    <row r="1510" customFormat="false" ht="16.5" hidden="false" customHeight="false" outlineLevel="0" collapsed="false">
      <c r="A1510" s="56" t="n">
        <v>45897.5833333333</v>
      </c>
      <c r="B1510" s="57" t="n">
        <f aca="false">MOD(A1510,1)</f>
        <v>0.583333333343035</v>
      </c>
      <c r="C1510" s="0" t="n">
        <v>0</v>
      </c>
      <c r="D1510" s="0" t="n">
        <v>489.822</v>
      </c>
      <c r="E1510" s="0" t="n">
        <f aca="false">D1510-0.155</f>
        <v>489.667</v>
      </c>
      <c r="F1510" s="0" t="n">
        <v>489.545</v>
      </c>
      <c r="G1510" s="0" t="n">
        <f aca="false">IF(E1510 - F1510 &lt; 0, 0, E1510 - F1510)</f>
        <v>0.122000000000014</v>
      </c>
      <c r="H1510" s="0" t="n">
        <v>1.82</v>
      </c>
      <c r="I1510" s="0" t="n">
        <f aca="false">1.82*30*(G1510^1.5)</f>
        <v>2.32665713496464</v>
      </c>
      <c r="J1510" s="0" t="n">
        <f aca="false">I1510*60</f>
        <v>139.599428097879</v>
      </c>
      <c r="K1510" s="0" t="n">
        <f aca="false">(I1510*86400)/24</f>
        <v>8375.96568587271</v>
      </c>
    </row>
    <row r="1511" customFormat="false" ht="16.5" hidden="false" customHeight="false" outlineLevel="0" collapsed="false">
      <c r="A1511" s="56" t="n">
        <v>45897.625</v>
      </c>
      <c r="B1511" s="57" t="n">
        <f aca="false">MOD(A1511,1)</f>
        <v>0.625</v>
      </c>
      <c r="C1511" s="0" t="n">
        <v>0</v>
      </c>
      <c r="D1511" s="0" t="n">
        <v>489.822</v>
      </c>
      <c r="E1511" s="0" t="n">
        <f aca="false">D1511-0.155</f>
        <v>489.667</v>
      </c>
      <c r="F1511" s="0" t="n">
        <v>489.545</v>
      </c>
      <c r="G1511" s="0" t="n">
        <f aca="false">IF(E1511 - F1511 &lt; 0, 0, E1511 - F1511)</f>
        <v>0.122000000000014</v>
      </c>
      <c r="H1511" s="0" t="n">
        <v>1.82</v>
      </c>
      <c r="I1511" s="0" t="n">
        <f aca="false">1.82*30*(G1511^1.5)</f>
        <v>2.32665713496464</v>
      </c>
      <c r="J1511" s="0" t="n">
        <f aca="false">I1511*60</f>
        <v>139.599428097879</v>
      </c>
      <c r="K1511" s="0" t="n">
        <f aca="false">(I1511*86400)/24</f>
        <v>8375.96568587271</v>
      </c>
    </row>
    <row r="1512" customFormat="false" ht="16.5" hidden="false" customHeight="false" outlineLevel="0" collapsed="false">
      <c r="A1512" s="56" t="n">
        <v>45897.6666666667</v>
      </c>
      <c r="B1512" s="57" t="n">
        <f aca="false">MOD(A1512,1)</f>
        <v>0.666666666656965</v>
      </c>
      <c r="C1512" s="0" t="n">
        <v>0</v>
      </c>
      <c r="D1512" s="0" t="n">
        <v>489.816</v>
      </c>
      <c r="E1512" s="0" t="n">
        <f aca="false">D1512-0.155</f>
        <v>489.661</v>
      </c>
      <c r="F1512" s="0" t="n">
        <v>489.545</v>
      </c>
      <c r="G1512" s="0" t="n">
        <f aca="false">IF(E1512 - F1512 &lt; 0, 0, E1512 - F1512)</f>
        <v>0.115999999999985</v>
      </c>
      <c r="H1512" s="0" t="n">
        <v>1.82</v>
      </c>
      <c r="I1512" s="0" t="n">
        <f aca="false">1.82*30*(G1512^1.5)</f>
        <v>2.15714642974422</v>
      </c>
      <c r="J1512" s="0" t="n">
        <f aca="false">I1512*60</f>
        <v>129.428785784653</v>
      </c>
      <c r="K1512" s="0" t="n">
        <f aca="false">(I1512*86400)/24</f>
        <v>7765.7271470792</v>
      </c>
    </row>
    <row r="1513" customFormat="false" ht="16.5" hidden="false" customHeight="false" outlineLevel="0" collapsed="false">
      <c r="A1513" s="56" t="n">
        <v>45897.7083333333</v>
      </c>
      <c r="B1513" s="57" t="n">
        <f aca="false">MOD(A1513,1)</f>
        <v>0.708333333343035</v>
      </c>
      <c r="C1513" s="0" t="n">
        <v>0</v>
      </c>
      <c r="D1513" s="0" t="n">
        <v>489.816</v>
      </c>
      <c r="E1513" s="0" t="n">
        <f aca="false">D1513-0.155</f>
        <v>489.661</v>
      </c>
      <c r="F1513" s="0" t="n">
        <v>489.545</v>
      </c>
      <c r="G1513" s="0" t="n">
        <f aca="false">IF(E1513 - F1513 &lt; 0, 0, E1513 - F1513)</f>
        <v>0.115999999999985</v>
      </c>
      <c r="H1513" s="0" t="n">
        <v>1.82</v>
      </c>
      <c r="I1513" s="0" t="n">
        <f aca="false">1.82*30*(G1513^1.5)</f>
        <v>2.15714642974422</v>
      </c>
      <c r="J1513" s="0" t="n">
        <f aca="false">I1513*60</f>
        <v>129.428785784653</v>
      </c>
      <c r="K1513" s="0" t="n">
        <f aca="false">(I1513*86400)/24</f>
        <v>7765.7271470792</v>
      </c>
    </row>
    <row r="1514" customFormat="false" ht="16.5" hidden="false" customHeight="false" outlineLevel="0" collapsed="false">
      <c r="A1514" s="56" t="n">
        <v>45897.75</v>
      </c>
      <c r="B1514" s="57" t="n">
        <f aca="false">MOD(A1514,1)</f>
        <v>0.75</v>
      </c>
      <c r="C1514" s="0" t="n">
        <v>0</v>
      </c>
      <c r="D1514" s="0" t="n">
        <v>489.81</v>
      </c>
      <c r="E1514" s="0" t="n">
        <f aca="false">D1514-0.155</f>
        <v>489.655</v>
      </c>
      <c r="F1514" s="0" t="n">
        <v>489.545</v>
      </c>
      <c r="G1514" s="0" t="n">
        <f aca="false">IF(E1514 - F1514 &lt; 0, 0, E1514 - F1514)</f>
        <v>0.110000000000014</v>
      </c>
      <c r="H1514" s="0" t="n">
        <v>1.82</v>
      </c>
      <c r="I1514" s="0" t="n">
        <f aca="false">1.82*30*(G1514^1.5)</f>
        <v>1.99196484908782</v>
      </c>
      <c r="J1514" s="0" t="n">
        <f aca="false">I1514*60</f>
        <v>119.517890945269</v>
      </c>
      <c r="K1514" s="0" t="n">
        <f aca="false">(I1514*86400)/24</f>
        <v>7171.07345671617</v>
      </c>
    </row>
    <row r="1515" customFormat="false" ht="16.5" hidden="false" customHeight="false" outlineLevel="0" collapsed="false">
      <c r="A1515" s="56" t="n">
        <v>45897.7916666667</v>
      </c>
      <c r="B1515" s="57" t="n">
        <f aca="false">MOD(A1515,1)</f>
        <v>0.791666666656965</v>
      </c>
      <c r="C1515" s="0" t="n">
        <v>0</v>
      </c>
      <c r="D1515" s="0" t="n">
        <v>489.804</v>
      </c>
      <c r="E1515" s="0" t="n">
        <f aca="false">D1515-0.155</f>
        <v>489.649</v>
      </c>
      <c r="F1515" s="0" t="n">
        <v>489.545</v>
      </c>
      <c r="G1515" s="0" t="n">
        <f aca="false">IF(E1515 - F1515 &lt; 0, 0, E1515 - F1515)</f>
        <v>0.103999999999985</v>
      </c>
      <c r="H1515" s="0" t="n">
        <v>1.82</v>
      </c>
      <c r="I1515" s="0" t="n">
        <f aca="false">1.82*30*(G1515^1.5)</f>
        <v>1.83122897591714</v>
      </c>
      <c r="J1515" s="0" t="n">
        <f aca="false">I1515*60</f>
        <v>109.873738555029</v>
      </c>
      <c r="K1515" s="0" t="n">
        <f aca="false">(I1515*86400)/24</f>
        <v>6592.42431330171</v>
      </c>
    </row>
    <row r="1516" customFormat="false" ht="16.5" hidden="false" customHeight="false" outlineLevel="0" collapsed="false">
      <c r="A1516" s="56" t="n">
        <v>45897.8333333333</v>
      </c>
      <c r="B1516" s="57" t="n">
        <f aca="false">MOD(A1516,1)</f>
        <v>0.833333333343035</v>
      </c>
      <c r="C1516" s="0" t="n">
        <v>0</v>
      </c>
      <c r="D1516" s="0" t="n">
        <v>489.803</v>
      </c>
      <c r="E1516" s="0" t="n">
        <f aca="false">D1516-0.155</f>
        <v>489.648</v>
      </c>
      <c r="F1516" s="0" t="n">
        <v>489.545</v>
      </c>
      <c r="G1516" s="0" t="n">
        <f aca="false">IF(E1516 - F1516 &lt; 0, 0, E1516 - F1516)</f>
        <v>0.103000000000009</v>
      </c>
      <c r="H1516" s="0" t="n">
        <v>1.82</v>
      </c>
      <c r="I1516" s="0" t="n">
        <f aca="false">1.82*30*(G1516^1.5)</f>
        <v>1.80488061193</v>
      </c>
      <c r="J1516" s="0" t="n">
        <f aca="false">I1516*60</f>
        <v>108.2928367158</v>
      </c>
      <c r="K1516" s="0" t="n">
        <f aca="false">(I1516*86400)/24</f>
        <v>6497.57020294801</v>
      </c>
    </row>
    <row r="1517" customFormat="false" ht="16.5" hidden="false" customHeight="false" outlineLevel="0" collapsed="false">
      <c r="A1517" s="56" t="n">
        <v>45897.875</v>
      </c>
      <c r="B1517" s="57" t="n">
        <f aca="false">MOD(A1517,1)</f>
        <v>0.875</v>
      </c>
      <c r="C1517" s="0" t="n">
        <v>0</v>
      </c>
      <c r="D1517" s="0" t="n">
        <v>489.803</v>
      </c>
      <c r="E1517" s="0" t="n">
        <f aca="false">D1517-0.155</f>
        <v>489.648</v>
      </c>
      <c r="F1517" s="0" t="n">
        <v>489.545</v>
      </c>
      <c r="G1517" s="0" t="n">
        <f aca="false">IF(E1517 - F1517 &lt; 0, 0, E1517 - F1517)</f>
        <v>0.103000000000009</v>
      </c>
      <c r="H1517" s="0" t="n">
        <v>1.82</v>
      </c>
      <c r="I1517" s="0" t="n">
        <f aca="false">1.82*30*(G1517^1.5)</f>
        <v>1.80488061193</v>
      </c>
      <c r="J1517" s="0" t="n">
        <f aca="false">I1517*60</f>
        <v>108.2928367158</v>
      </c>
      <c r="K1517" s="0" t="n">
        <f aca="false">(I1517*86400)/24</f>
        <v>6497.57020294801</v>
      </c>
    </row>
    <row r="1518" customFormat="false" ht="16.5" hidden="false" customHeight="false" outlineLevel="0" collapsed="false">
      <c r="A1518" s="56" t="n">
        <v>45897.9166666667</v>
      </c>
      <c r="B1518" s="57" t="n">
        <f aca="false">MOD(A1518,1)</f>
        <v>0.916666666656965</v>
      </c>
      <c r="C1518" s="0" t="n">
        <v>0</v>
      </c>
      <c r="D1518" s="0" t="n">
        <v>489.798</v>
      </c>
      <c r="E1518" s="0" t="n">
        <f aca="false">D1518-0.155</f>
        <v>489.643</v>
      </c>
      <c r="F1518" s="0" t="n">
        <v>489.545</v>
      </c>
      <c r="G1518" s="0" t="n">
        <f aca="false">IF(E1518 - F1518 &lt; 0, 0, E1518 - F1518)</f>
        <v>0.0980000000000132</v>
      </c>
      <c r="H1518" s="0" t="n">
        <v>1.82</v>
      </c>
      <c r="I1518" s="0" t="n">
        <f aca="false">1.82*30*(G1518^1.5)</f>
        <v>1.67506535476116</v>
      </c>
      <c r="J1518" s="0" t="n">
        <f aca="false">I1518*60</f>
        <v>100.50392128567</v>
      </c>
      <c r="K1518" s="0" t="n">
        <f aca="false">(I1518*86400)/24</f>
        <v>6030.23527714018</v>
      </c>
    </row>
    <row r="1519" customFormat="false" ht="16.5" hidden="false" customHeight="false" outlineLevel="0" collapsed="false">
      <c r="A1519" s="56" t="n">
        <v>45897.9583333333</v>
      </c>
      <c r="B1519" s="57" t="n">
        <f aca="false">MOD(A1519,1)</f>
        <v>0.958333333343035</v>
      </c>
      <c r="C1519" s="0" t="n">
        <v>0</v>
      </c>
      <c r="D1519" s="0" t="n">
        <v>489.798</v>
      </c>
      <c r="E1519" s="0" t="n">
        <f aca="false">D1519-0.155</f>
        <v>489.643</v>
      </c>
      <c r="F1519" s="0" t="n">
        <v>489.545</v>
      </c>
      <c r="G1519" s="0" t="n">
        <f aca="false">IF(E1519 - F1519 &lt; 0, 0, E1519 - F1519)</f>
        <v>0.0980000000000132</v>
      </c>
      <c r="H1519" s="0" t="n">
        <v>1.82</v>
      </c>
      <c r="I1519" s="0" t="n">
        <f aca="false">1.82*30*(G1519^1.5)</f>
        <v>1.67506535476116</v>
      </c>
      <c r="J1519" s="0" t="n">
        <f aca="false">I1519*60</f>
        <v>100.50392128567</v>
      </c>
      <c r="K1519" s="0" t="n">
        <f aca="false">(I1519*86400)/24</f>
        <v>6030.23527714018</v>
      </c>
    </row>
    <row r="1520" customFormat="false" ht="16.5" hidden="false" customHeight="false" outlineLevel="0" collapsed="false">
      <c r="A1520" s="56" t="n">
        <v>45898</v>
      </c>
      <c r="B1520" s="57" t="n">
        <f aca="false">MOD(A1520,1)</f>
        <v>0</v>
      </c>
      <c r="C1520" s="0" t="n">
        <v>0</v>
      </c>
      <c r="D1520" s="0" t="n">
        <v>489.792</v>
      </c>
      <c r="E1520" s="0" t="n">
        <f aca="false">D1520-0.155</f>
        <v>489.637</v>
      </c>
      <c r="F1520" s="0" t="n">
        <v>489.545</v>
      </c>
      <c r="G1520" s="0" t="n">
        <f aca="false">IF(E1520 - F1520 &lt; 0, 0, E1520 - F1520)</f>
        <v>0.0919999999999845</v>
      </c>
      <c r="H1520" s="0" t="n">
        <v>1.82</v>
      </c>
      <c r="I1520" s="0" t="n">
        <f aca="false">1.82*30*(G1520^1.5)</f>
        <v>1.52361199722201</v>
      </c>
      <c r="J1520" s="0" t="n">
        <f aca="false">I1520*60</f>
        <v>91.4167198333204</v>
      </c>
      <c r="K1520" s="0" t="n">
        <f aca="false">(I1520*86400)/24</f>
        <v>5485.00318999922</v>
      </c>
    </row>
    <row r="1521" customFormat="false" ht="16.5" hidden="false" customHeight="false" outlineLevel="0" collapsed="false">
      <c r="A1521" s="56" t="n">
        <v>45898.0416666667</v>
      </c>
      <c r="B1521" s="57" t="n">
        <f aca="false">MOD(A1521,1)</f>
        <v>0.0416666666569654</v>
      </c>
      <c r="C1521" s="0" t="n">
        <v>0</v>
      </c>
      <c r="D1521" s="0" t="n">
        <v>489.792</v>
      </c>
      <c r="E1521" s="0" t="n">
        <f aca="false">D1521-0.155</f>
        <v>489.637</v>
      </c>
      <c r="F1521" s="0" t="n">
        <v>489.545</v>
      </c>
      <c r="G1521" s="0" t="n">
        <f aca="false">IF(E1521 - F1521 &lt; 0, 0, E1521 - F1521)</f>
        <v>0.0919999999999845</v>
      </c>
      <c r="H1521" s="0" t="n">
        <v>1.82</v>
      </c>
      <c r="I1521" s="0" t="n">
        <f aca="false">1.82*30*(G1521^1.5)</f>
        <v>1.52361199722201</v>
      </c>
      <c r="J1521" s="0" t="n">
        <f aca="false">I1521*60</f>
        <v>91.4167198333204</v>
      </c>
      <c r="K1521" s="0" t="n">
        <f aca="false">(I1521*86400)/24</f>
        <v>5485.00318999922</v>
      </c>
    </row>
    <row r="1522" customFormat="false" ht="16.5" hidden="false" customHeight="false" outlineLevel="0" collapsed="false">
      <c r="A1522" s="56" t="n">
        <v>45898.0833333333</v>
      </c>
      <c r="B1522" s="57" t="n">
        <f aca="false">MOD(A1522,1)</f>
        <v>0.0833333333430346</v>
      </c>
      <c r="C1522" s="0" t="n">
        <v>0</v>
      </c>
      <c r="D1522" s="0" t="n">
        <v>489.785</v>
      </c>
      <c r="E1522" s="0" t="n">
        <f aca="false">D1522-0.155</f>
        <v>489.63</v>
      </c>
      <c r="F1522" s="0" t="n">
        <v>489.545</v>
      </c>
      <c r="G1522" s="0" t="n">
        <f aca="false">IF(E1522 - F1522 &lt; 0, 0, E1522 - F1522)</f>
        <v>0.0850000000000364</v>
      </c>
      <c r="H1522" s="0" t="n">
        <v>1.82</v>
      </c>
      <c r="I1522" s="0" t="n">
        <f aca="false">1.82*30*(G1522^1.5)</f>
        <v>1.35307238719972</v>
      </c>
      <c r="J1522" s="0" t="n">
        <f aca="false">I1522*60</f>
        <v>81.1843432319832</v>
      </c>
      <c r="K1522" s="0" t="n">
        <f aca="false">(I1522*86400)/24</f>
        <v>4871.06059391899</v>
      </c>
    </row>
    <row r="1523" customFormat="false" ht="16.5" hidden="false" customHeight="false" outlineLevel="0" collapsed="false">
      <c r="A1523" s="56" t="n">
        <v>45898.125</v>
      </c>
      <c r="B1523" s="57" t="n">
        <f aca="false">MOD(A1523,1)</f>
        <v>0.125</v>
      </c>
      <c r="C1523" s="0" t="n">
        <v>0</v>
      </c>
      <c r="D1523" s="0" t="n">
        <v>489.785</v>
      </c>
      <c r="E1523" s="0" t="n">
        <f aca="false">D1523-0.155</f>
        <v>489.63</v>
      </c>
      <c r="F1523" s="0" t="n">
        <v>489.545</v>
      </c>
      <c r="G1523" s="0" t="n">
        <f aca="false">IF(E1523 - F1523 &lt; 0, 0, E1523 - F1523)</f>
        <v>0.0850000000000364</v>
      </c>
      <c r="H1523" s="0" t="n">
        <v>1.82</v>
      </c>
      <c r="I1523" s="0" t="n">
        <f aca="false">1.82*30*(G1523^1.5)</f>
        <v>1.35307238719972</v>
      </c>
      <c r="J1523" s="0" t="n">
        <f aca="false">I1523*60</f>
        <v>81.1843432319832</v>
      </c>
      <c r="K1523" s="0" t="n">
        <f aca="false">(I1523*86400)/24</f>
        <v>4871.06059391899</v>
      </c>
    </row>
    <row r="1524" customFormat="false" ht="16.5" hidden="false" customHeight="false" outlineLevel="0" collapsed="false">
      <c r="A1524" s="56" t="n">
        <v>45898.1666666667</v>
      </c>
      <c r="B1524" s="57" t="n">
        <f aca="false">MOD(A1524,1)</f>
        <v>0.166666666656965</v>
      </c>
      <c r="C1524" s="0" t="n">
        <v>0</v>
      </c>
      <c r="D1524" s="0" t="n">
        <v>489.785</v>
      </c>
      <c r="E1524" s="0" t="n">
        <f aca="false">D1524-0.155</f>
        <v>489.63</v>
      </c>
      <c r="F1524" s="0" t="n">
        <v>489.545</v>
      </c>
      <c r="G1524" s="0" t="n">
        <f aca="false">IF(E1524 - F1524 &lt; 0, 0, E1524 - F1524)</f>
        <v>0.0850000000000364</v>
      </c>
      <c r="H1524" s="0" t="n">
        <v>1.82</v>
      </c>
      <c r="I1524" s="0" t="n">
        <f aca="false">1.82*30*(G1524^1.5)</f>
        <v>1.35307238719972</v>
      </c>
      <c r="J1524" s="0" t="n">
        <f aca="false">I1524*60</f>
        <v>81.1843432319832</v>
      </c>
      <c r="K1524" s="0" t="n">
        <f aca="false">(I1524*86400)/24</f>
        <v>4871.06059391899</v>
      </c>
    </row>
    <row r="1525" customFormat="false" ht="16.5" hidden="false" customHeight="false" outlineLevel="0" collapsed="false">
      <c r="A1525" s="56" t="n">
        <v>45898.2083333333</v>
      </c>
      <c r="B1525" s="57" t="n">
        <f aca="false">MOD(A1525,1)</f>
        <v>0.208333333343035</v>
      </c>
      <c r="C1525" s="0" t="n">
        <v>0</v>
      </c>
      <c r="D1525" s="0" t="n">
        <v>489.779</v>
      </c>
      <c r="E1525" s="0" t="n">
        <f aca="false">D1525-0.155</f>
        <v>489.624</v>
      </c>
      <c r="F1525" s="0" t="n">
        <v>489.545</v>
      </c>
      <c r="G1525" s="0" t="n">
        <f aca="false">IF(E1525 - F1525 &lt; 0, 0, E1525 - F1525)</f>
        <v>0.0790000000000077</v>
      </c>
      <c r="H1525" s="0" t="n">
        <v>1.82</v>
      </c>
      <c r="I1525" s="0" t="n">
        <f aca="false">1.82*30*(G1525^1.5)</f>
        <v>1.21236469151837</v>
      </c>
      <c r="J1525" s="0" t="n">
        <f aca="false">I1525*60</f>
        <v>72.7418814911022</v>
      </c>
      <c r="K1525" s="0" t="n">
        <f aca="false">(I1525*86400)/24</f>
        <v>4364.51288946613</v>
      </c>
    </row>
    <row r="1526" customFormat="false" ht="16.5" hidden="false" customHeight="false" outlineLevel="0" collapsed="false">
      <c r="A1526" s="56" t="n">
        <v>45898.25</v>
      </c>
      <c r="B1526" s="57" t="n">
        <f aca="false">MOD(A1526,1)</f>
        <v>0.25</v>
      </c>
      <c r="C1526" s="0" t="n">
        <v>0</v>
      </c>
      <c r="D1526" s="0" t="n">
        <v>489.779</v>
      </c>
      <c r="E1526" s="0" t="n">
        <f aca="false">D1526-0.155</f>
        <v>489.624</v>
      </c>
      <c r="F1526" s="0" t="n">
        <v>489.545</v>
      </c>
      <c r="G1526" s="0" t="n">
        <f aca="false">IF(E1526 - F1526 &lt; 0, 0, E1526 - F1526)</f>
        <v>0.0790000000000077</v>
      </c>
      <c r="H1526" s="0" t="n">
        <v>1.82</v>
      </c>
      <c r="I1526" s="0" t="n">
        <f aca="false">1.82*30*(G1526^1.5)</f>
        <v>1.21236469151837</v>
      </c>
      <c r="J1526" s="0" t="n">
        <f aca="false">I1526*60</f>
        <v>72.7418814911022</v>
      </c>
      <c r="K1526" s="0" t="n">
        <f aca="false">(I1526*86400)/24</f>
        <v>4364.51288946613</v>
      </c>
    </row>
    <row r="1527" customFormat="false" ht="16.5" hidden="false" customHeight="false" outlineLevel="0" collapsed="false">
      <c r="A1527" s="56" t="n">
        <v>45898.2916666667</v>
      </c>
      <c r="B1527" s="57" t="n">
        <f aca="false">MOD(A1527,1)</f>
        <v>0.291666666656965</v>
      </c>
      <c r="C1527" s="0" t="n">
        <v>0</v>
      </c>
      <c r="D1527" s="0" t="n">
        <v>489.772</v>
      </c>
      <c r="E1527" s="0" t="n">
        <f aca="false">D1527-0.155</f>
        <v>489.617</v>
      </c>
      <c r="F1527" s="0" t="n">
        <v>489.545</v>
      </c>
      <c r="G1527" s="0" t="n">
        <f aca="false">IF(E1527 - F1527 &lt; 0, 0, E1527 - F1527)</f>
        <v>0.0720000000000027</v>
      </c>
      <c r="H1527" s="0" t="n">
        <v>1.82</v>
      </c>
      <c r="I1527" s="0" t="n">
        <f aca="false">1.82*30*(G1527^1.5)</f>
        <v>1.05485165197772</v>
      </c>
      <c r="J1527" s="0" t="n">
        <f aca="false">I1527*60</f>
        <v>63.2910991186633</v>
      </c>
      <c r="K1527" s="0" t="n">
        <f aca="false">(I1527*86400)/24</f>
        <v>3797.4659471198</v>
      </c>
    </row>
    <row r="1528" customFormat="false" ht="16.5" hidden="false" customHeight="false" outlineLevel="0" collapsed="false">
      <c r="A1528" s="56" t="n">
        <v>45898.3333333333</v>
      </c>
      <c r="B1528" s="57" t="n">
        <f aca="false">MOD(A1528,1)</f>
        <v>0.333333333343035</v>
      </c>
      <c r="C1528" s="0" t="n">
        <v>0</v>
      </c>
      <c r="D1528" s="0" t="n">
        <v>489.771</v>
      </c>
      <c r="E1528" s="0" t="n">
        <f aca="false">D1528-0.155</f>
        <v>489.616</v>
      </c>
      <c r="F1528" s="0" t="n">
        <v>489.545</v>
      </c>
      <c r="G1528" s="0" t="n">
        <f aca="false">IF(E1528 - F1528 &lt; 0, 0, E1528 - F1528)</f>
        <v>0.0710000000000264</v>
      </c>
      <c r="H1528" s="0" t="n">
        <v>1.82</v>
      </c>
      <c r="I1528" s="0" t="n">
        <f aca="false">1.82*30*(G1528^1.5)</f>
        <v>1.03295205927535</v>
      </c>
      <c r="J1528" s="0" t="n">
        <f aca="false">I1528*60</f>
        <v>61.9771235565211</v>
      </c>
      <c r="K1528" s="0" t="n">
        <f aca="false">(I1528*86400)/24</f>
        <v>3718.62741339127</v>
      </c>
    </row>
    <row r="1529" customFormat="false" ht="16.5" hidden="false" customHeight="false" outlineLevel="0" collapsed="false">
      <c r="A1529" s="56" t="n">
        <v>45898.375</v>
      </c>
      <c r="B1529" s="57" t="n">
        <f aca="false">MOD(A1529,1)</f>
        <v>0.375</v>
      </c>
      <c r="C1529" s="0" t="n">
        <v>0</v>
      </c>
      <c r="D1529" s="0" t="n">
        <v>489.771</v>
      </c>
      <c r="E1529" s="0" t="n">
        <f aca="false">D1529-0.155</f>
        <v>489.616</v>
      </c>
      <c r="F1529" s="0" t="n">
        <v>489.545</v>
      </c>
      <c r="G1529" s="0" t="n">
        <f aca="false">IF(E1529 - F1529 &lt; 0, 0, E1529 - F1529)</f>
        <v>0.0710000000000264</v>
      </c>
      <c r="H1529" s="0" t="n">
        <v>1.82</v>
      </c>
      <c r="I1529" s="0" t="n">
        <f aca="false">1.82*30*(G1529^1.5)</f>
        <v>1.03295205927535</v>
      </c>
      <c r="J1529" s="0" t="n">
        <f aca="false">I1529*60</f>
        <v>61.9771235565211</v>
      </c>
      <c r="K1529" s="0" t="n">
        <f aca="false">(I1529*86400)/24</f>
        <v>3718.62741339127</v>
      </c>
    </row>
    <row r="1530" customFormat="false" ht="16.5" hidden="false" customHeight="false" outlineLevel="0" collapsed="false">
      <c r="A1530" s="56" t="n">
        <v>45898.4166666667</v>
      </c>
      <c r="B1530" s="57" t="n">
        <f aca="false">MOD(A1530,1)</f>
        <v>0.416666666656965</v>
      </c>
      <c r="C1530" s="0" t="n">
        <v>0</v>
      </c>
      <c r="D1530" s="0" t="n">
        <v>489.772</v>
      </c>
      <c r="E1530" s="0" t="n">
        <f aca="false">D1530-0.155</f>
        <v>489.617</v>
      </c>
      <c r="F1530" s="0" t="n">
        <v>489.545</v>
      </c>
      <c r="G1530" s="0" t="n">
        <f aca="false">IF(E1530 - F1530 &lt; 0, 0, E1530 - F1530)</f>
        <v>0.0720000000000027</v>
      </c>
      <c r="H1530" s="0" t="n">
        <v>1.82</v>
      </c>
      <c r="I1530" s="0" t="n">
        <f aca="false">1.82*30*(G1530^1.5)</f>
        <v>1.05485165197772</v>
      </c>
      <c r="J1530" s="0" t="n">
        <f aca="false">I1530*60</f>
        <v>63.2910991186633</v>
      </c>
      <c r="K1530" s="0" t="n">
        <f aca="false">(I1530*86400)/24</f>
        <v>3797.4659471198</v>
      </c>
    </row>
    <row r="1531" customFormat="false" ht="16.5" hidden="false" customHeight="false" outlineLevel="0" collapsed="false">
      <c r="A1531" s="56" t="n">
        <v>45898.4583333333</v>
      </c>
      <c r="B1531" s="57" t="n">
        <f aca="false">MOD(A1531,1)</f>
        <v>0.458333333343035</v>
      </c>
      <c r="C1531" s="0" t="n">
        <v>0</v>
      </c>
      <c r="D1531" s="0" t="n">
        <v>489.771</v>
      </c>
      <c r="E1531" s="0" t="n">
        <f aca="false">D1531-0.155</f>
        <v>489.616</v>
      </c>
      <c r="F1531" s="0" t="n">
        <v>489.545</v>
      </c>
      <c r="G1531" s="0" t="n">
        <f aca="false">IF(E1531 - F1531 &lt; 0, 0, E1531 - F1531)</f>
        <v>0.0710000000000264</v>
      </c>
      <c r="H1531" s="0" t="n">
        <v>1.82</v>
      </c>
      <c r="I1531" s="0" t="n">
        <f aca="false">1.82*30*(G1531^1.5)</f>
        <v>1.03295205927535</v>
      </c>
      <c r="J1531" s="0" t="n">
        <f aca="false">I1531*60</f>
        <v>61.9771235565211</v>
      </c>
      <c r="K1531" s="0" t="n">
        <f aca="false">(I1531*86400)/24</f>
        <v>3718.62741339127</v>
      </c>
    </row>
    <row r="1532" customFormat="false" ht="16.5" hidden="false" customHeight="false" outlineLevel="0" collapsed="false">
      <c r="A1532" s="56" t="n">
        <v>45898.5</v>
      </c>
      <c r="B1532" s="57" t="n">
        <f aca="false">MOD(A1532,1)</f>
        <v>0.5</v>
      </c>
      <c r="C1532" s="0" t="n">
        <v>0</v>
      </c>
      <c r="D1532" s="0" t="n">
        <v>489.765</v>
      </c>
      <c r="E1532" s="0" t="n">
        <f aca="false">D1532-0.155</f>
        <v>489.61</v>
      </c>
      <c r="F1532" s="0" t="n">
        <v>489.545</v>
      </c>
      <c r="G1532" s="0" t="n">
        <f aca="false">IF(E1532 - F1532 &lt; 0, 0, E1532 - F1532)</f>
        <v>0.0649999999999977</v>
      </c>
      <c r="H1532" s="0" t="n">
        <v>1.82</v>
      </c>
      <c r="I1532" s="0" t="n">
        <f aca="false">1.82*30*(G1532^1.5)</f>
        <v>0.904821012686992</v>
      </c>
      <c r="J1532" s="0" t="n">
        <f aca="false">I1532*60</f>
        <v>54.2892607612195</v>
      </c>
      <c r="K1532" s="0" t="n">
        <f aca="false">(I1532*86400)/24</f>
        <v>3257.35564567317</v>
      </c>
    </row>
    <row r="1533" customFormat="false" ht="16.5" hidden="false" customHeight="false" outlineLevel="0" collapsed="false">
      <c r="A1533" s="56" t="n">
        <v>45898.5416666667</v>
      </c>
      <c r="B1533" s="57" t="n">
        <f aca="false">MOD(A1533,1)</f>
        <v>0.541666666656965</v>
      </c>
      <c r="C1533" s="0" t="n">
        <v>0</v>
      </c>
      <c r="D1533" s="0" t="n">
        <v>489.765</v>
      </c>
      <c r="E1533" s="0" t="n">
        <f aca="false">D1533-0.155</f>
        <v>489.61</v>
      </c>
      <c r="F1533" s="0" t="n">
        <v>489.545</v>
      </c>
      <c r="G1533" s="0" t="n">
        <f aca="false">IF(E1533 - F1533 &lt; 0, 0, E1533 - F1533)</f>
        <v>0.0649999999999977</v>
      </c>
      <c r="H1533" s="0" t="n">
        <v>1.82</v>
      </c>
      <c r="I1533" s="0" t="n">
        <f aca="false">1.82*30*(G1533^1.5)</f>
        <v>0.904821012686992</v>
      </c>
      <c r="J1533" s="0" t="n">
        <f aca="false">I1533*60</f>
        <v>54.2892607612195</v>
      </c>
      <c r="K1533" s="0" t="n">
        <f aca="false">(I1533*86400)/24</f>
        <v>3257.35564567317</v>
      </c>
    </row>
    <row r="1534" customFormat="false" ht="16.5" hidden="false" customHeight="false" outlineLevel="0" collapsed="false">
      <c r="A1534" s="56" t="n">
        <v>45898.5833333333</v>
      </c>
      <c r="B1534" s="57" t="n">
        <f aca="false">MOD(A1534,1)</f>
        <v>0.583333333343035</v>
      </c>
      <c r="C1534" s="0" t="n">
        <v>0</v>
      </c>
      <c r="D1534" s="0" t="n">
        <v>489.765</v>
      </c>
      <c r="E1534" s="0" t="n">
        <f aca="false">D1534-0.155</f>
        <v>489.61</v>
      </c>
      <c r="F1534" s="0" t="n">
        <v>489.545</v>
      </c>
      <c r="G1534" s="0" t="n">
        <f aca="false">IF(E1534 - F1534 &lt; 0, 0, E1534 - F1534)</f>
        <v>0.0649999999999977</v>
      </c>
      <c r="H1534" s="0" t="n">
        <v>1.82</v>
      </c>
      <c r="I1534" s="0" t="n">
        <f aca="false">1.82*30*(G1534^1.5)</f>
        <v>0.904821012686992</v>
      </c>
      <c r="J1534" s="0" t="n">
        <f aca="false">I1534*60</f>
        <v>54.2892607612195</v>
      </c>
      <c r="K1534" s="0" t="n">
        <f aca="false">(I1534*86400)/24</f>
        <v>3257.35564567317</v>
      </c>
    </row>
    <row r="1535" customFormat="false" ht="16.5" hidden="false" customHeight="false" outlineLevel="0" collapsed="false">
      <c r="A1535" s="56" t="n">
        <v>45898.625</v>
      </c>
      <c r="B1535" s="57" t="n">
        <f aca="false">MOD(A1535,1)</f>
        <v>0.625</v>
      </c>
      <c r="C1535" s="0" t="n">
        <v>0</v>
      </c>
      <c r="D1535" s="0" t="n">
        <v>489.758</v>
      </c>
      <c r="E1535" s="0" t="n">
        <f aca="false">D1535-0.155</f>
        <v>489.603</v>
      </c>
      <c r="F1535" s="0" t="n">
        <v>489.545</v>
      </c>
      <c r="G1535" s="0" t="n">
        <f aca="false">IF(E1535 - F1535 &lt; 0, 0, E1535 - F1535)</f>
        <v>0.0579999999999927</v>
      </c>
      <c r="H1535" s="0" t="n">
        <v>1.82</v>
      </c>
      <c r="I1535" s="0" t="n">
        <f aca="false">1.82*30*(G1535^1.5)</f>
        <v>0.762666434242245</v>
      </c>
      <c r="J1535" s="0" t="n">
        <f aca="false">I1535*60</f>
        <v>45.7599860545347</v>
      </c>
      <c r="K1535" s="0" t="n">
        <f aca="false">(I1535*86400)/24</f>
        <v>2745.59916327208</v>
      </c>
    </row>
    <row r="1536" customFormat="false" ht="16.5" hidden="false" customHeight="false" outlineLevel="0" collapsed="false">
      <c r="A1536" s="56" t="n">
        <v>45898.6666666667</v>
      </c>
      <c r="B1536" s="57" t="n">
        <f aca="false">MOD(A1536,1)</f>
        <v>0.666666666656965</v>
      </c>
      <c r="C1536" s="0" t="n">
        <v>0</v>
      </c>
      <c r="D1536" s="0" t="n">
        <v>489.752</v>
      </c>
      <c r="E1536" s="0" t="n">
        <f aca="false">D1536-0.155</f>
        <v>489.597</v>
      </c>
      <c r="F1536" s="0" t="n">
        <v>489.545</v>
      </c>
      <c r="G1536" s="0" t="n">
        <f aca="false">IF(E1536 - F1536 &lt; 0, 0, E1536 - F1536)</f>
        <v>0.0520000000000209</v>
      </c>
      <c r="H1536" s="0" t="n">
        <v>1.82</v>
      </c>
      <c r="I1536" s="0" t="n">
        <f aca="false">1.82*30*(G1536^1.5)</f>
        <v>0.647437213388685</v>
      </c>
      <c r="J1536" s="0" t="n">
        <f aca="false">I1536*60</f>
        <v>38.8462328033211</v>
      </c>
      <c r="K1536" s="0" t="n">
        <f aca="false">(I1536*86400)/24</f>
        <v>2330.77396819927</v>
      </c>
    </row>
    <row r="1537" customFormat="false" ht="16.5" hidden="false" customHeight="false" outlineLevel="0" collapsed="false">
      <c r="A1537" s="56" t="n">
        <v>45898.7083333333</v>
      </c>
      <c r="B1537" s="57" t="n">
        <f aca="false">MOD(A1537,1)</f>
        <v>0.708333333343035</v>
      </c>
      <c r="C1537" s="0" t="n">
        <v>0</v>
      </c>
      <c r="D1537" s="0" t="n">
        <v>489.752</v>
      </c>
      <c r="E1537" s="0" t="n">
        <f aca="false">D1537-0.155</f>
        <v>489.597</v>
      </c>
      <c r="F1537" s="0" t="n">
        <v>489.545</v>
      </c>
      <c r="G1537" s="0" t="n">
        <f aca="false">IF(E1537 - F1537 &lt; 0, 0, E1537 - F1537)</f>
        <v>0.0520000000000209</v>
      </c>
      <c r="H1537" s="0" t="n">
        <v>1.82</v>
      </c>
      <c r="I1537" s="0" t="n">
        <f aca="false">1.82*30*(G1537^1.5)</f>
        <v>0.647437213388685</v>
      </c>
      <c r="J1537" s="0" t="n">
        <f aca="false">I1537*60</f>
        <v>38.8462328033211</v>
      </c>
      <c r="K1537" s="0" t="n">
        <f aca="false">(I1537*86400)/24</f>
        <v>2330.77396819927</v>
      </c>
    </row>
    <row r="1538" customFormat="false" ht="16.5" hidden="false" customHeight="false" outlineLevel="0" collapsed="false">
      <c r="A1538" s="56" t="n">
        <v>45898.75</v>
      </c>
      <c r="B1538" s="57" t="n">
        <f aca="false">MOD(A1538,1)</f>
        <v>0.75</v>
      </c>
      <c r="C1538" s="0" t="n">
        <v>0</v>
      </c>
      <c r="D1538" s="0" t="n">
        <v>489.752</v>
      </c>
      <c r="E1538" s="0" t="n">
        <f aca="false">D1538-0.155</f>
        <v>489.597</v>
      </c>
      <c r="F1538" s="0" t="n">
        <v>489.545</v>
      </c>
      <c r="G1538" s="0" t="n">
        <f aca="false">IF(E1538 - F1538 &lt; 0, 0, E1538 - F1538)</f>
        <v>0.0520000000000209</v>
      </c>
      <c r="H1538" s="0" t="n">
        <v>1.82</v>
      </c>
      <c r="I1538" s="0" t="n">
        <f aca="false">1.82*30*(G1538^1.5)</f>
        <v>0.647437213388685</v>
      </c>
      <c r="J1538" s="0" t="n">
        <f aca="false">I1538*60</f>
        <v>38.8462328033211</v>
      </c>
      <c r="K1538" s="0" t="n">
        <f aca="false">(I1538*86400)/24</f>
        <v>2330.77396819927</v>
      </c>
    </row>
    <row r="1539" customFormat="false" ht="16.5" hidden="false" customHeight="false" outlineLevel="0" collapsed="false">
      <c r="A1539" s="56" t="n">
        <v>45898.7916666667</v>
      </c>
      <c r="B1539" s="57" t="n">
        <f aca="false">MOD(A1539,1)</f>
        <v>0.791666666656965</v>
      </c>
      <c r="C1539" s="0" t="n">
        <v>0</v>
      </c>
      <c r="D1539" s="0" t="n">
        <v>489.745</v>
      </c>
      <c r="E1539" s="0" t="n">
        <f aca="false">D1539-0.155</f>
        <v>489.59</v>
      </c>
      <c r="F1539" s="0" t="n">
        <v>489.545</v>
      </c>
      <c r="G1539" s="0" t="n">
        <f aca="false">IF(E1539 - F1539 &lt; 0, 0, E1539 - F1539)</f>
        <v>0.0450000000000159</v>
      </c>
      <c r="H1539" s="0" t="n">
        <v>1.82</v>
      </c>
      <c r="I1539" s="0" t="n">
        <f aca="false">1.82*30*(G1539^1.5)</f>
        <v>0.521208408412881</v>
      </c>
      <c r="J1539" s="0" t="n">
        <f aca="false">I1539*60</f>
        <v>31.2725045047728</v>
      </c>
      <c r="K1539" s="0" t="n">
        <f aca="false">(I1539*86400)/24</f>
        <v>1876.35027028637</v>
      </c>
    </row>
    <row r="1540" customFormat="false" ht="16.5" hidden="false" customHeight="false" outlineLevel="0" collapsed="false">
      <c r="A1540" s="56" t="n">
        <v>45898.8333333333</v>
      </c>
      <c r="B1540" s="57" t="n">
        <f aca="false">MOD(A1540,1)</f>
        <v>0.833333333343035</v>
      </c>
      <c r="C1540" s="0" t="n">
        <v>0</v>
      </c>
      <c r="D1540" s="0" t="n">
        <v>489.745</v>
      </c>
      <c r="E1540" s="0" t="n">
        <f aca="false">D1540-0.155</f>
        <v>489.59</v>
      </c>
      <c r="F1540" s="0" t="n">
        <v>489.545</v>
      </c>
      <c r="G1540" s="0" t="n">
        <f aca="false">IF(E1540 - F1540 &lt; 0, 0, E1540 - F1540)</f>
        <v>0.0450000000000159</v>
      </c>
      <c r="H1540" s="0" t="n">
        <v>1.82</v>
      </c>
      <c r="I1540" s="0" t="n">
        <f aca="false">1.82*30*(G1540^1.5)</f>
        <v>0.521208408412881</v>
      </c>
      <c r="J1540" s="0" t="n">
        <f aca="false">I1540*60</f>
        <v>31.2725045047728</v>
      </c>
      <c r="K1540" s="0" t="n">
        <f aca="false">(I1540*86400)/24</f>
        <v>1876.35027028637</v>
      </c>
    </row>
    <row r="1541" customFormat="false" ht="16.5" hidden="false" customHeight="false" outlineLevel="0" collapsed="false">
      <c r="A1541" s="56" t="n">
        <v>45898.875</v>
      </c>
      <c r="B1541" s="57" t="n">
        <f aca="false">MOD(A1541,1)</f>
        <v>0.875</v>
      </c>
      <c r="C1541" s="0" t="n">
        <v>0</v>
      </c>
      <c r="D1541" s="0" t="n">
        <v>489.745</v>
      </c>
      <c r="E1541" s="0" t="n">
        <f aca="false">D1541-0.155</f>
        <v>489.59</v>
      </c>
      <c r="F1541" s="0" t="n">
        <v>489.545</v>
      </c>
      <c r="G1541" s="0" t="n">
        <f aca="false">IF(E1541 - F1541 &lt; 0, 0, E1541 - F1541)</f>
        <v>0.0450000000000159</v>
      </c>
      <c r="H1541" s="0" t="n">
        <v>1.82</v>
      </c>
      <c r="I1541" s="0" t="n">
        <f aca="false">1.82*30*(G1541^1.5)</f>
        <v>0.521208408412881</v>
      </c>
      <c r="J1541" s="0" t="n">
        <f aca="false">I1541*60</f>
        <v>31.2725045047728</v>
      </c>
      <c r="K1541" s="0" t="n">
        <f aca="false">(I1541*86400)/24</f>
        <v>1876.35027028637</v>
      </c>
    </row>
    <row r="1542" customFormat="false" ht="16.5" hidden="false" customHeight="false" outlineLevel="0" collapsed="false">
      <c r="A1542" s="56" t="n">
        <v>45898.9166666667</v>
      </c>
      <c r="B1542" s="57" t="n">
        <f aca="false">MOD(A1542,1)</f>
        <v>0.916666666656965</v>
      </c>
      <c r="C1542" s="0" t="n">
        <v>0</v>
      </c>
      <c r="D1542" s="0" t="n">
        <v>489.739</v>
      </c>
      <c r="E1542" s="0" t="n">
        <f aca="false">D1542-0.155</f>
        <v>489.584</v>
      </c>
      <c r="F1542" s="0" t="n">
        <v>489.545</v>
      </c>
      <c r="G1542" s="0" t="n">
        <f aca="false">IF(E1542 - F1542 &lt; 0, 0, E1542 - F1542)</f>
        <v>0.0389999999999873</v>
      </c>
      <c r="H1542" s="0" t="n">
        <v>1.82</v>
      </c>
      <c r="I1542" s="0" t="n">
        <f aca="false">1.82*30*(G1542^1.5)</f>
        <v>0.420522805612046</v>
      </c>
      <c r="J1542" s="0" t="n">
        <f aca="false">I1542*60</f>
        <v>25.2313683367228</v>
      </c>
      <c r="K1542" s="0" t="n">
        <f aca="false">(I1542*86400)/24</f>
        <v>1513.88210020337</v>
      </c>
    </row>
    <row r="1543" customFormat="false" ht="16.5" hidden="false" customHeight="false" outlineLevel="0" collapsed="false">
      <c r="A1543" s="56" t="n">
        <v>45898.9583333333</v>
      </c>
      <c r="B1543" s="57" t="n">
        <f aca="false">MOD(A1543,1)</f>
        <v>0.958333333343035</v>
      </c>
      <c r="C1543" s="0" t="n">
        <v>0</v>
      </c>
      <c r="D1543" s="0" t="n">
        <v>489.739</v>
      </c>
      <c r="E1543" s="0" t="n">
        <f aca="false">D1543-0.155</f>
        <v>489.584</v>
      </c>
      <c r="F1543" s="0" t="n">
        <v>489.545</v>
      </c>
      <c r="G1543" s="0" t="n">
        <f aca="false">IF(E1543 - F1543 &lt; 0, 0, E1543 - F1543)</f>
        <v>0.0389999999999873</v>
      </c>
      <c r="H1543" s="0" t="n">
        <v>1.82</v>
      </c>
      <c r="I1543" s="0" t="n">
        <f aca="false">1.82*30*(G1543^1.5)</f>
        <v>0.420522805612046</v>
      </c>
      <c r="J1543" s="0" t="n">
        <f aca="false">I1543*60</f>
        <v>25.2313683367228</v>
      </c>
      <c r="K1543" s="0" t="n">
        <f aca="false">(I1543*86400)/24</f>
        <v>1513.88210020337</v>
      </c>
    </row>
    <row r="1544" customFormat="false" ht="16.5" hidden="false" customHeight="false" outlineLevel="0" collapsed="false">
      <c r="A1544" s="56" t="n">
        <v>45899</v>
      </c>
      <c r="B1544" s="57" t="n">
        <f aca="false">MOD(A1544,1)</f>
        <v>0</v>
      </c>
      <c r="C1544" s="0" t="n">
        <v>0</v>
      </c>
      <c r="D1544" s="0" t="n">
        <v>489.739</v>
      </c>
      <c r="E1544" s="0" t="n">
        <f aca="false">D1544-0.155</f>
        <v>489.584</v>
      </c>
      <c r="F1544" s="0" t="n">
        <v>489.545</v>
      </c>
      <c r="G1544" s="0" t="n">
        <f aca="false">IF(E1544 - F1544 &lt; 0, 0, E1544 - F1544)</f>
        <v>0.0389999999999873</v>
      </c>
      <c r="H1544" s="0" t="n">
        <v>1.82</v>
      </c>
      <c r="I1544" s="0" t="n">
        <f aca="false">1.82*30*(G1544^1.5)</f>
        <v>0.420522805612046</v>
      </c>
      <c r="J1544" s="0" t="n">
        <f aca="false">I1544*60</f>
        <v>25.2313683367228</v>
      </c>
      <c r="K1544" s="0" t="n">
        <f aca="false">(I1544*86400)/24</f>
        <v>1513.88210020337</v>
      </c>
    </row>
    <row r="1545" customFormat="false" ht="16.5" hidden="false" customHeight="false" outlineLevel="0" collapsed="false">
      <c r="A1545" s="56" t="n">
        <v>45899.0416666667</v>
      </c>
      <c r="B1545" s="57" t="n">
        <f aca="false">MOD(A1545,1)</f>
        <v>0.0416666666569654</v>
      </c>
      <c r="C1545" s="0" t="n">
        <v>0</v>
      </c>
      <c r="D1545" s="0" t="n">
        <v>489.739</v>
      </c>
      <c r="E1545" s="0" t="n">
        <f aca="false">D1545-0.155</f>
        <v>489.584</v>
      </c>
      <c r="F1545" s="0" t="n">
        <v>489.545</v>
      </c>
      <c r="G1545" s="0" t="n">
        <f aca="false">IF(E1545 - F1545 &lt; 0, 0, E1545 - F1545)</f>
        <v>0.0389999999999873</v>
      </c>
      <c r="H1545" s="0" t="n">
        <v>1.82</v>
      </c>
      <c r="I1545" s="0" t="n">
        <f aca="false">1.82*30*(G1545^1.5)</f>
        <v>0.420522805612046</v>
      </c>
      <c r="J1545" s="0" t="n">
        <f aca="false">I1545*60</f>
        <v>25.2313683367228</v>
      </c>
      <c r="K1545" s="0" t="n">
        <f aca="false">(I1545*86400)/24</f>
        <v>1513.88210020337</v>
      </c>
    </row>
    <row r="1546" customFormat="false" ht="16.5" hidden="false" customHeight="false" outlineLevel="0" collapsed="false">
      <c r="A1546" s="56" t="n">
        <v>45899.0833333333</v>
      </c>
      <c r="B1546" s="57" t="n">
        <f aca="false">MOD(A1546,1)</f>
        <v>0.0833333333430346</v>
      </c>
      <c r="C1546" s="0" t="n">
        <v>0</v>
      </c>
      <c r="D1546" s="0" t="n">
        <v>489.733</v>
      </c>
      <c r="E1546" s="0" t="n">
        <f aca="false">D1546-0.155</f>
        <v>489.578</v>
      </c>
      <c r="F1546" s="0" t="n">
        <v>489.545</v>
      </c>
      <c r="G1546" s="0" t="n">
        <f aca="false">IF(E1546 - F1546 &lt; 0, 0, E1546 - F1546)</f>
        <v>0.0330000000000155</v>
      </c>
      <c r="H1546" s="0" t="n">
        <v>1.82</v>
      </c>
      <c r="I1546" s="0" t="n">
        <f aca="false">1.82*30*(G1546^1.5)</f>
        <v>0.327313224481002</v>
      </c>
      <c r="J1546" s="0" t="n">
        <f aca="false">I1546*60</f>
        <v>19.6387934688601</v>
      </c>
      <c r="K1546" s="0" t="n">
        <f aca="false">(I1546*86400)/24</f>
        <v>1178.32760813161</v>
      </c>
    </row>
    <row r="1547" customFormat="false" ht="16.5" hidden="false" customHeight="false" outlineLevel="0" collapsed="false">
      <c r="A1547" s="56" t="n">
        <v>45899.125</v>
      </c>
      <c r="B1547" s="57" t="n">
        <f aca="false">MOD(A1547,1)</f>
        <v>0.125</v>
      </c>
      <c r="C1547" s="0" t="n">
        <v>0</v>
      </c>
      <c r="D1547" s="0" t="n">
        <v>489.733</v>
      </c>
      <c r="E1547" s="0" t="n">
        <f aca="false">D1547-0.155</f>
        <v>489.578</v>
      </c>
      <c r="F1547" s="0" t="n">
        <v>489.545</v>
      </c>
      <c r="G1547" s="0" t="n">
        <f aca="false">IF(E1547 - F1547 &lt; 0, 0, E1547 - F1547)</f>
        <v>0.0330000000000155</v>
      </c>
      <c r="H1547" s="0" t="n">
        <v>1.82</v>
      </c>
      <c r="I1547" s="0" t="n">
        <f aca="false">1.82*30*(G1547^1.5)</f>
        <v>0.327313224481002</v>
      </c>
      <c r="J1547" s="0" t="n">
        <f aca="false">I1547*60</f>
        <v>19.6387934688601</v>
      </c>
      <c r="K1547" s="0" t="n">
        <f aca="false">(I1547*86400)/24</f>
        <v>1178.32760813161</v>
      </c>
    </row>
    <row r="1548" customFormat="false" ht="16.5" hidden="false" customHeight="false" outlineLevel="0" collapsed="false">
      <c r="A1548" s="56" t="n">
        <v>45899.1666666667</v>
      </c>
      <c r="B1548" s="57" t="n">
        <f aca="false">MOD(A1548,1)</f>
        <v>0.166666666656965</v>
      </c>
      <c r="C1548" s="0" t="n">
        <v>0</v>
      </c>
      <c r="D1548" s="0" t="n">
        <v>489.733</v>
      </c>
      <c r="E1548" s="0" t="n">
        <f aca="false">D1548-0.155</f>
        <v>489.578</v>
      </c>
      <c r="F1548" s="0" t="n">
        <v>489.545</v>
      </c>
      <c r="G1548" s="0" t="n">
        <f aca="false">IF(E1548 - F1548 &lt; 0, 0, E1548 - F1548)</f>
        <v>0.0330000000000155</v>
      </c>
      <c r="H1548" s="0" t="n">
        <v>1.82</v>
      </c>
      <c r="I1548" s="0" t="n">
        <f aca="false">1.82*30*(G1548^1.5)</f>
        <v>0.327313224481002</v>
      </c>
      <c r="J1548" s="0" t="n">
        <f aca="false">I1548*60</f>
        <v>19.6387934688601</v>
      </c>
      <c r="K1548" s="0" t="n">
        <f aca="false">(I1548*86400)/24</f>
        <v>1178.32760813161</v>
      </c>
    </row>
    <row r="1549" customFormat="false" ht="16.5" hidden="false" customHeight="false" outlineLevel="0" collapsed="false">
      <c r="A1549" s="56" t="n">
        <v>45899.2083333333</v>
      </c>
      <c r="B1549" s="57" t="n">
        <f aca="false">MOD(A1549,1)</f>
        <v>0.208333333343035</v>
      </c>
      <c r="C1549" s="0" t="n">
        <v>0</v>
      </c>
      <c r="D1549" s="0" t="n">
        <v>489.726</v>
      </c>
      <c r="E1549" s="0" t="n">
        <f aca="false">D1549-0.155</f>
        <v>489.571</v>
      </c>
      <c r="F1549" s="0" t="n">
        <v>489.545</v>
      </c>
      <c r="G1549" s="0" t="n">
        <f aca="false">IF(E1549 - F1549 &lt; 0, 0, E1549 - F1549)</f>
        <v>0.0260000000000105</v>
      </c>
      <c r="H1549" s="0" t="n">
        <v>1.82</v>
      </c>
      <c r="I1549" s="0" t="n">
        <f aca="false">1.82*30*(G1549^1.5)</f>
        <v>0.228903621989831</v>
      </c>
      <c r="J1549" s="0" t="n">
        <f aca="false">I1549*60</f>
        <v>13.7342173193898</v>
      </c>
      <c r="K1549" s="0" t="n">
        <f aca="false">(I1549*86400)/24</f>
        <v>824.05303916339</v>
      </c>
    </row>
    <row r="1550" customFormat="false" ht="16.5" hidden="false" customHeight="false" outlineLevel="0" collapsed="false">
      <c r="A1550" s="56" t="n">
        <v>45899.25</v>
      </c>
      <c r="B1550" s="57" t="n">
        <f aca="false">MOD(A1550,1)</f>
        <v>0.25</v>
      </c>
      <c r="C1550" s="0" t="n">
        <v>0</v>
      </c>
      <c r="D1550" s="0" t="n">
        <v>489.726</v>
      </c>
      <c r="E1550" s="0" t="n">
        <f aca="false">D1550-0.155</f>
        <v>489.571</v>
      </c>
      <c r="F1550" s="0" t="n">
        <v>489.545</v>
      </c>
      <c r="G1550" s="0" t="n">
        <f aca="false">IF(E1550 - F1550 &lt; 0, 0, E1550 - F1550)</f>
        <v>0.0260000000000105</v>
      </c>
      <c r="H1550" s="0" t="n">
        <v>1.82</v>
      </c>
      <c r="I1550" s="0" t="n">
        <f aca="false">1.82*30*(G1550^1.5)</f>
        <v>0.228903621989831</v>
      </c>
      <c r="J1550" s="0" t="n">
        <f aca="false">I1550*60</f>
        <v>13.7342173193898</v>
      </c>
      <c r="K1550" s="0" t="n">
        <f aca="false">(I1550*86400)/24</f>
        <v>824.05303916339</v>
      </c>
    </row>
    <row r="1551" customFormat="false" ht="16.5" hidden="false" customHeight="false" outlineLevel="0" collapsed="false">
      <c r="A1551" s="56" t="n">
        <v>45899.2916666667</v>
      </c>
      <c r="B1551" s="57" t="n">
        <f aca="false">MOD(A1551,1)</f>
        <v>0.291666666656965</v>
      </c>
      <c r="C1551" s="0" t="n">
        <v>0</v>
      </c>
      <c r="D1551" s="0" t="n">
        <v>489.726</v>
      </c>
      <c r="E1551" s="0" t="n">
        <f aca="false">D1551-0.155</f>
        <v>489.571</v>
      </c>
      <c r="F1551" s="0" t="n">
        <v>489.545</v>
      </c>
      <c r="G1551" s="0" t="n">
        <f aca="false">IF(E1551 - F1551 &lt; 0, 0, E1551 - F1551)</f>
        <v>0.0260000000000105</v>
      </c>
      <c r="H1551" s="0" t="n">
        <v>1.82</v>
      </c>
      <c r="I1551" s="0" t="n">
        <f aca="false">1.82*30*(G1551^1.5)</f>
        <v>0.228903621989831</v>
      </c>
      <c r="J1551" s="0" t="n">
        <f aca="false">I1551*60</f>
        <v>13.7342173193898</v>
      </c>
      <c r="K1551" s="0" t="n">
        <f aca="false">(I1551*86400)/24</f>
        <v>824.05303916339</v>
      </c>
    </row>
    <row r="1552" customFormat="false" ht="16.5" hidden="false" customHeight="false" outlineLevel="0" collapsed="false">
      <c r="A1552" s="56" t="n">
        <v>45899.3333333333</v>
      </c>
      <c r="B1552" s="57" t="n">
        <f aca="false">MOD(A1552,1)</f>
        <v>0.333333333343035</v>
      </c>
      <c r="C1552" s="0" t="n">
        <v>0</v>
      </c>
      <c r="D1552" s="0" t="n">
        <v>489.726</v>
      </c>
      <c r="E1552" s="0" t="n">
        <f aca="false">D1552-0.155</f>
        <v>489.571</v>
      </c>
      <c r="F1552" s="0" t="n">
        <v>489.545</v>
      </c>
      <c r="G1552" s="0" t="n">
        <f aca="false">IF(E1552 - F1552 &lt; 0, 0, E1552 - F1552)</f>
        <v>0.0260000000000105</v>
      </c>
      <c r="H1552" s="0" t="n">
        <v>1.82</v>
      </c>
      <c r="I1552" s="0" t="n">
        <f aca="false">1.82*30*(G1552^1.5)</f>
        <v>0.228903621989831</v>
      </c>
      <c r="J1552" s="0" t="n">
        <f aca="false">I1552*60</f>
        <v>13.7342173193898</v>
      </c>
      <c r="K1552" s="0" t="n">
        <f aca="false">(I1552*86400)/24</f>
        <v>824.05303916339</v>
      </c>
    </row>
    <row r="1553" customFormat="false" ht="16.5" hidden="false" customHeight="false" outlineLevel="0" collapsed="false">
      <c r="A1553" s="56" t="n">
        <v>45899.375</v>
      </c>
      <c r="B1553" s="57" t="n">
        <f aca="false">MOD(A1553,1)</f>
        <v>0.375</v>
      </c>
      <c r="C1553" s="0" t="n">
        <v>0</v>
      </c>
      <c r="D1553" s="0" t="n">
        <v>489.725</v>
      </c>
      <c r="E1553" s="0" t="n">
        <f aca="false">D1553-0.155</f>
        <v>489.57</v>
      </c>
      <c r="F1553" s="0" t="n">
        <v>489.545</v>
      </c>
      <c r="G1553" s="0" t="n">
        <f aca="false">IF(E1553 - F1553 &lt; 0, 0, E1553 - F1553)</f>
        <v>0.0250000000000341</v>
      </c>
      <c r="H1553" s="0" t="n">
        <v>1.82</v>
      </c>
      <c r="I1553" s="0" t="n">
        <f aca="false">1.82*30*(G1553^1.5)</f>
        <v>0.215825450306934</v>
      </c>
      <c r="J1553" s="0" t="n">
        <f aca="false">I1553*60</f>
        <v>12.949527018416</v>
      </c>
      <c r="K1553" s="0" t="n">
        <f aca="false">(I1553*86400)/24</f>
        <v>776.971621104961</v>
      </c>
    </row>
    <row r="1554" customFormat="false" ht="16.5" hidden="false" customHeight="false" outlineLevel="0" collapsed="false">
      <c r="A1554" s="56" t="n">
        <v>45899.4166666667</v>
      </c>
      <c r="B1554" s="57" t="n">
        <f aca="false">MOD(A1554,1)</f>
        <v>0.416666666656965</v>
      </c>
      <c r="C1554" s="0" t="n">
        <v>0</v>
      </c>
      <c r="D1554" s="0" t="n">
        <v>489.725</v>
      </c>
      <c r="E1554" s="0" t="n">
        <f aca="false">D1554-0.155</f>
        <v>489.57</v>
      </c>
      <c r="F1554" s="0" t="n">
        <v>489.545</v>
      </c>
      <c r="G1554" s="0" t="n">
        <f aca="false">IF(E1554 - F1554 &lt; 0, 0, E1554 - F1554)</f>
        <v>0.0250000000000341</v>
      </c>
      <c r="H1554" s="0" t="n">
        <v>1.82</v>
      </c>
      <c r="I1554" s="0" t="n">
        <f aca="false">1.82*30*(G1554^1.5)</f>
        <v>0.215825450306934</v>
      </c>
      <c r="J1554" s="0" t="n">
        <f aca="false">I1554*60</f>
        <v>12.949527018416</v>
      </c>
      <c r="K1554" s="0" t="n">
        <f aca="false">(I1554*86400)/24</f>
        <v>776.971621104961</v>
      </c>
    </row>
    <row r="1555" customFormat="false" ht="16.5" hidden="false" customHeight="false" outlineLevel="0" collapsed="false">
      <c r="A1555" s="56" t="n">
        <v>45899.4583333333</v>
      </c>
      <c r="B1555" s="57" t="n">
        <f aca="false">MOD(A1555,1)</f>
        <v>0.458333333343035</v>
      </c>
      <c r="C1555" s="0" t="n">
        <v>0</v>
      </c>
      <c r="D1555" s="0" t="n">
        <v>489.72</v>
      </c>
      <c r="E1555" s="0" t="n">
        <f aca="false">D1555-0.155</f>
        <v>489.565</v>
      </c>
      <c r="F1555" s="0" t="n">
        <v>489.545</v>
      </c>
      <c r="G1555" s="0" t="n">
        <f aca="false">IF(E1555 - F1555 &lt; 0, 0, E1555 - F1555)</f>
        <v>0.0200000000000387</v>
      </c>
      <c r="H1555" s="0" t="n">
        <v>1.82</v>
      </c>
      <c r="I1555" s="0" t="n">
        <f aca="false">1.82*30*(G1555^1.5)</f>
        <v>0.15443212101159</v>
      </c>
      <c r="J1555" s="0" t="n">
        <f aca="false">I1555*60</f>
        <v>9.26592726069538</v>
      </c>
      <c r="K1555" s="0" t="n">
        <f aca="false">(I1555*86400)/24</f>
        <v>555.955635641723</v>
      </c>
    </row>
    <row r="1556" customFormat="false" ht="16.5" hidden="false" customHeight="false" outlineLevel="0" collapsed="false">
      <c r="A1556" s="56" t="n">
        <v>45899.5</v>
      </c>
      <c r="B1556" s="57" t="n">
        <f aca="false">MOD(A1556,1)</f>
        <v>0.5</v>
      </c>
      <c r="C1556" s="0" t="n">
        <v>0</v>
      </c>
      <c r="D1556" s="0" t="n">
        <v>489.719</v>
      </c>
      <c r="E1556" s="0" t="n">
        <f aca="false">D1556-0.155</f>
        <v>489.564</v>
      </c>
      <c r="F1556" s="0" t="n">
        <v>489.545</v>
      </c>
      <c r="G1556" s="0" t="n">
        <f aca="false">IF(E1556 - F1556 &lt; 0, 0, E1556 - F1556)</f>
        <v>0.0190000000000055</v>
      </c>
      <c r="H1556" s="0" t="n">
        <v>1.82</v>
      </c>
      <c r="I1556" s="0" t="n">
        <f aca="false">1.82*30*(G1556^1.5)</f>
        <v>0.142995721754246</v>
      </c>
      <c r="J1556" s="0" t="n">
        <f aca="false">I1556*60</f>
        <v>8.57974330525473</v>
      </c>
      <c r="K1556" s="0" t="n">
        <f aca="false">(I1556*86400)/24</f>
        <v>514.784598315284</v>
      </c>
    </row>
    <row r="1557" customFormat="false" ht="16.5" hidden="false" customHeight="false" outlineLevel="0" collapsed="false">
      <c r="A1557" s="56" t="n">
        <v>45899.5416666667</v>
      </c>
      <c r="B1557" s="57" t="n">
        <f aca="false">MOD(A1557,1)</f>
        <v>0.541666666656965</v>
      </c>
      <c r="C1557" s="0" t="n">
        <v>0</v>
      </c>
      <c r="D1557" s="0" t="n">
        <v>489.719</v>
      </c>
      <c r="E1557" s="0" t="n">
        <f aca="false">D1557-0.155</f>
        <v>489.564</v>
      </c>
      <c r="F1557" s="0" t="n">
        <v>489.545</v>
      </c>
      <c r="G1557" s="0" t="n">
        <f aca="false">IF(E1557 - F1557 &lt; 0, 0, E1557 - F1557)</f>
        <v>0.0190000000000055</v>
      </c>
      <c r="H1557" s="0" t="n">
        <v>1.82</v>
      </c>
      <c r="I1557" s="0" t="n">
        <f aca="false">1.82*30*(G1557^1.5)</f>
        <v>0.142995721754246</v>
      </c>
      <c r="J1557" s="0" t="n">
        <f aca="false">I1557*60</f>
        <v>8.57974330525473</v>
      </c>
      <c r="K1557" s="0" t="n">
        <f aca="false">(I1557*86400)/24</f>
        <v>514.784598315284</v>
      </c>
    </row>
    <row r="1558" customFormat="false" ht="16.5" hidden="false" customHeight="false" outlineLevel="0" collapsed="false">
      <c r="A1558" s="56" t="n">
        <v>45899.5833333333</v>
      </c>
      <c r="B1558" s="57" t="n">
        <f aca="false">MOD(A1558,1)</f>
        <v>0.583333333343035</v>
      </c>
      <c r="C1558" s="0" t="n">
        <v>0</v>
      </c>
      <c r="D1558" s="0" t="n">
        <v>489.719</v>
      </c>
      <c r="E1558" s="0" t="n">
        <f aca="false">D1558-0.155</f>
        <v>489.564</v>
      </c>
      <c r="F1558" s="0" t="n">
        <v>489.545</v>
      </c>
      <c r="G1558" s="0" t="n">
        <f aca="false">IF(E1558 - F1558 &lt; 0, 0, E1558 - F1558)</f>
        <v>0.0190000000000055</v>
      </c>
      <c r="H1558" s="0" t="n">
        <v>1.82</v>
      </c>
      <c r="I1558" s="0" t="n">
        <f aca="false">1.82*30*(G1558^1.5)</f>
        <v>0.142995721754246</v>
      </c>
      <c r="J1558" s="0" t="n">
        <f aca="false">I1558*60</f>
        <v>8.57974330525473</v>
      </c>
      <c r="K1558" s="0" t="n">
        <f aca="false">(I1558*86400)/24</f>
        <v>514.784598315284</v>
      </c>
    </row>
    <row r="1559" customFormat="false" ht="16.5" hidden="false" customHeight="false" outlineLevel="0" collapsed="false">
      <c r="A1559" s="56" t="n">
        <v>45899.625</v>
      </c>
      <c r="B1559" s="57" t="n">
        <f aca="false">MOD(A1559,1)</f>
        <v>0.625</v>
      </c>
      <c r="C1559" s="0" t="n">
        <v>0</v>
      </c>
      <c r="D1559" s="0" t="n">
        <v>489.72</v>
      </c>
      <c r="E1559" s="0" t="n">
        <f aca="false">D1559-0.155</f>
        <v>489.565</v>
      </c>
      <c r="F1559" s="0" t="n">
        <v>489.545</v>
      </c>
      <c r="G1559" s="0" t="n">
        <f aca="false">IF(E1559 - F1559 &lt; 0, 0, E1559 - F1559)</f>
        <v>0.0200000000000387</v>
      </c>
      <c r="H1559" s="0" t="n">
        <v>1.82</v>
      </c>
      <c r="I1559" s="0" t="n">
        <f aca="false">1.82*30*(G1559^1.5)</f>
        <v>0.15443212101159</v>
      </c>
      <c r="J1559" s="0" t="n">
        <f aca="false">I1559*60</f>
        <v>9.26592726069538</v>
      </c>
      <c r="K1559" s="0" t="n">
        <f aca="false">(I1559*86400)/24</f>
        <v>555.955635641723</v>
      </c>
    </row>
    <row r="1560" customFormat="false" ht="16.5" hidden="false" customHeight="false" outlineLevel="0" collapsed="false">
      <c r="A1560" s="56" t="n">
        <v>45899.6666666667</v>
      </c>
      <c r="B1560" s="57" t="n">
        <f aca="false">MOD(A1560,1)</f>
        <v>0.666666666656965</v>
      </c>
      <c r="C1560" s="0" t="n">
        <v>5</v>
      </c>
      <c r="D1560" s="0" t="n">
        <v>489.726</v>
      </c>
      <c r="E1560" s="0" t="n">
        <f aca="false">D1560-0.155</f>
        <v>489.571</v>
      </c>
      <c r="F1560" s="0" t="n">
        <v>489.545</v>
      </c>
      <c r="G1560" s="0" t="n">
        <f aca="false">IF(E1560 - F1560 &lt; 0, 0, E1560 - F1560)</f>
        <v>0.0260000000000105</v>
      </c>
      <c r="H1560" s="0" t="n">
        <v>1.82</v>
      </c>
      <c r="I1560" s="0" t="n">
        <f aca="false">1.82*30*(G1560^1.5)</f>
        <v>0.228903621989831</v>
      </c>
      <c r="J1560" s="0" t="n">
        <f aca="false">I1560*60</f>
        <v>13.7342173193898</v>
      </c>
      <c r="K1560" s="0" t="n">
        <f aca="false">(I1560*86400)/24</f>
        <v>824.05303916339</v>
      </c>
    </row>
    <row r="1561" customFormat="false" ht="16.5" hidden="false" customHeight="false" outlineLevel="0" collapsed="false">
      <c r="A1561" s="56" t="n">
        <v>45899.7083333333</v>
      </c>
      <c r="B1561" s="57" t="n">
        <f aca="false">MOD(A1561,1)</f>
        <v>0.708333333343035</v>
      </c>
      <c r="C1561" s="0" t="n">
        <v>0</v>
      </c>
      <c r="D1561" s="0" t="n">
        <v>489.732</v>
      </c>
      <c r="E1561" s="0" t="n">
        <f aca="false">D1561-0.155</f>
        <v>489.577</v>
      </c>
      <c r="F1561" s="0" t="n">
        <v>489.545</v>
      </c>
      <c r="G1561" s="0" t="n">
        <f aca="false">IF(E1561 - F1561 &lt; 0, 0, E1561 - F1561)</f>
        <v>0.0320000000000391</v>
      </c>
      <c r="H1561" s="0" t="n">
        <v>1.82</v>
      </c>
      <c r="I1561" s="0" t="n">
        <f aca="false">1.82*30*(G1561^1.5)</f>
        <v>0.312548637623584</v>
      </c>
      <c r="J1561" s="0" t="n">
        <f aca="false">I1561*60</f>
        <v>18.752918257415</v>
      </c>
      <c r="K1561" s="0" t="n">
        <f aca="false">(I1561*86400)/24</f>
        <v>1125.1750954449</v>
      </c>
    </row>
    <row r="1562" customFormat="false" ht="16.5" hidden="false" customHeight="false" outlineLevel="0" collapsed="false">
      <c r="A1562" s="56" t="n">
        <v>45899.75</v>
      </c>
      <c r="B1562" s="57" t="n">
        <f aca="false">MOD(A1562,1)</f>
        <v>0.75</v>
      </c>
      <c r="C1562" s="0" t="n">
        <v>0</v>
      </c>
      <c r="D1562" s="0" t="n">
        <v>489.732</v>
      </c>
      <c r="E1562" s="0" t="n">
        <f aca="false">D1562-0.155</f>
        <v>489.577</v>
      </c>
      <c r="F1562" s="0" t="n">
        <v>489.545</v>
      </c>
      <c r="G1562" s="0" t="n">
        <f aca="false">IF(E1562 - F1562 &lt; 0, 0, E1562 - F1562)</f>
        <v>0.0320000000000391</v>
      </c>
      <c r="H1562" s="0" t="n">
        <v>1.82</v>
      </c>
      <c r="I1562" s="0" t="n">
        <f aca="false">1.82*30*(G1562^1.5)</f>
        <v>0.312548637623584</v>
      </c>
      <c r="J1562" s="0" t="n">
        <f aca="false">I1562*60</f>
        <v>18.752918257415</v>
      </c>
      <c r="K1562" s="0" t="n">
        <f aca="false">(I1562*86400)/24</f>
        <v>1125.1750954449</v>
      </c>
    </row>
    <row r="1563" customFormat="false" ht="16.5" hidden="false" customHeight="false" outlineLevel="0" collapsed="false">
      <c r="A1563" s="56" t="n">
        <v>45899.7916666667</v>
      </c>
      <c r="B1563" s="57" t="n">
        <f aca="false">MOD(A1563,1)</f>
        <v>0.791666666656965</v>
      </c>
      <c r="C1563" s="0" t="n">
        <v>0</v>
      </c>
      <c r="D1563" s="0" t="n">
        <v>489.732</v>
      </c>
      <c r="E1563" s="0" t="n">
        <f aca="false">D1563-0.155</f>
        <v>489.577</v>
      </c>
      <c r="F1563" s="0" t="n">
        <v>489.545</v>
      </c>
      <c r="G1563" s="0" t="n">
        <f aca="false">IF(E1563 - F1563 &lt; 0, 0, E1563 - F1563)</f>
        <v>0.0320000000000391</v>
      </c>
      <c r="H1563" s="0" t="n">
        <v>1.82</v>
      </c>
      <c r="I1563" s="0" t="n">
        <f aca="false">1.82*30*(G1563^1.5)</f>
        <v>0.312548637623584</v>
      </c>
      <c r="J1563" s="0" t="n">
        <f aca="false">I1563*60</f>
        <v>18.752918257415</v>
      </c>
      <c r="K1563" s="0" t="n">
        <f aca="false">(I1563*86400)/24</f>
        <v>1125.1750954449</v>
      </c>
    </row>
    <row r="1564" customFormat="false" ht="16.5" hidden="false" customHeight="false" outlineLevel="0" collapsed="false">
      <c r="A1564" s="56" t="n">
        <v>45899.8333333333</v>
      </c>
      <c r="B1564" s="57" t="n">
        <f aca="false">MOD(A1564,1)</f>
        <v>0.833333333343035</v>
      </c>
      <c r="C1564" s="0" t="n">
        <v>0</v>
      </c>
      <c r="D1564" s="0" t="n">
        <v>489.726</v>
      </c>
      <c r="E1564" s="0" t="n">
        <f aca="false">D1564-0.155</f>
        <v>489.571</v>
      </c>
      <c r="F1564" s="0" t="n">
        <v>489.545</v>
      </c>
      <c r="G1564" s="0" t="n">
        <f aca="false">IF(E1564 - F1564 &lt; 0, 0, E1564 - F1564)</f>
        <v>0.0260000000000105</v>
      </c>
      <c r="H1564" s="0" t="n">
        <v>1.82</v>
      </c>
      <c r="I1564" s="0" t="n">
        <f aca="false">1.82*30*(G1564^1.5)</f>
        <v>0.228903621989831</v>
      </c>
      <c r="J1564" s="0" t="n">
        <f aca="false">I1564*60</f>
        <v>13.7342173193898</v>
      </c>
      <c r="K1564" s="0" t="n">
        <f aca="false">(I1564*86400)/24</f>
        <v>824.05303916339</v>
      </c>
    </row>
    <row r="1565" customFormat="false" ht="16.5" hidden="false" customHeight="false" outlineLevel="0" collapsed="false">
      <c r="A1565" s="56" t="n">
        <v>45899.875</v>
      </c>
      <c r="B1565" s="57" t="n">
        <f aca="false">MOD(A1565,1)</f>
        <v>0.875</v>
      </c>
      <c r="C1565" s="0" t="n">
        <v>0</v>
      </c>
      <c r="D1565" s="0" t="n">
        <v>489.726</v>
      </c>
      <c r="E1565" s="0" t="n">
        <f aca="false">D1565-0.155</f>
        <v>489.571</v>
      </c>
      <c r="F1565" s="0" t="n">
        <v>489.545</v>
      </c>
      <c r="G1565" s="0" t="n">
        <f aca="false">IF(E1565 - F1565 &lt; 0, 0, E1565 - F1565)</f>
        <v>0.0260000000000105</v>
      </c>
      <c r="H1565" s="0" t="n">
        <v>1.82</v>
      </c>
      <c r="I1565" s="0" t="n">
        <f aca="false">1.82*30*(G1565^1.5)</f>
        <v>0.228903621989831</v>
      </c>
      <c r="J1565" s="0" t="n">
        <f aca="false">I1565*60</f>
        <v>13.7342173193898</v>
      </c>
      <c r="K1565" s="0" t="n">
        <f aca="false">(I1565*86400)/24</f>
        <v>824.05303916339</v>
      </c>
    </row>
    <row r="1566" customFormat="false" ht="16.5" hidden="false" customHeight="false" outlineLevel="0" collapsed="false">
      <c r="A1566" s="56" t="n">
        <v>45899.9166666667</v>
      </c>
      <c r="B1566" s="57" t="n">
        <f aca="false">MOD(A1566,1)</f>
        <v>0.916666666656965</v>
      </c>
      <c r="C1566" s="0" t="n">
        <v>0</v>
      </c>
      <c r="D1566" s="0" t="n">
        <v>489.726</v>
      </c>
      <c r="E1566" s="0" t="n">
        <f aca="false">D1566-0.155</f>
        <v>489.571</v>
      </c>
      <c r="F1566" s="0" t="n">
        <v>489.545</v>
      </c>
      <c r="G1566" s="0" t="n">
        <f aca="false">IF(E1566 - F1566 &lt; 0, 0, E1566 - F1566)</f>
        <v>0.0260000000000105</v>
      </c>
      <c r="H1566" s="0" t="n">
        <v>1.82</v>
      </c>
      <c r="I1566" s="0" t="n">
        <f aca="false">1.82*30*(G1566^1.5)</f>
        <v>0.228903621989831</v>
      </c>
      <c r="J1566" s="0" t="n">
        <f aca="false">I1566*60</f>
        <v>13.7342173193898</v>
      </c>
      <c r="K1566" s="0" t="n">
        <f aca="false">(I1566*86400)/24</f>
        <v>824.05303916339</v>
      </c>
    </row>
    <row r="1567" customFormat="false" ht="16.5" hidden="false" customHeight="false" outlineLevel="0" collapsed="false">
      <c r="A1567" s="56" t="n">
        <v>45899.9583333333</v>
      </c>
      <c r="B1567" s="57" t="n">
        <f aca="false">MOD(A1567,1)</f>
        <v>0.958333333343035</v>
      </c>
      <c r="C1567" s="0" t="n">
        <v>0</v>
      </c>
      <c r="D1567" s="0" t="n">
        <v>489.726</v>
      </c>
      <c r="E1567" s="0" t="n">
        <f aca="false">D1567-0.155</f>
        <v>489.571</v>
      </c>
      <c r="F1567" s="0" t="n">
        <v>489.545</v>
      </c>
      <c r="G1567" s="0" t="n">
        <f aca="false">IF(E1567 - F1567 &lt; 0, 0, E1567 - F1567)</f>
        <v>0.0260000000000105</v>
      </c>
      <c r="H1567" s="0" t="n">
        <v>1.82</v>
      </c>
      <c r="I1567" s="0" t="n">
        <f aca="false">1.82*30*(G1567^1.5)</f>
        <v>0.228903621989831</v>
      </c>
      <c r="J1567" s="0" t="n">
        <f aca="false">I1567*60</f>
        <v>13.7342173193898</v>
      </c>
      <c r="K1567" s="0" t="n">
        <f aca="false">(I1567*86400)/24</f>
        <v>824.05303916339</v>
      </c>
    </row>
    <row r="1568" customFormat="false" ht="16.5" hidden="false" customHeight="false" outlineLevel="0" collapsed="false">
      <c r="A1568" s="56" t="n">
        <v>45900</v>
      </c>
      <c r="B1568" s="57" t="n">
        <f aca="false">MOD(A1568,1)</f>
        <v>0</v>
      </c>
      <c r="C1568" s="0" t="n">
        <v>0</v>
      </c>
      <c r="D1568" s="0" t="n">
        <v>489.726</v>
      </c>
      <c r="E1568" s="0" t="n">
        <f aca="false">D1568-0.155</f>
        <v>489.571</v>
      </c>
      <c r="F1568" s="0" t="n">
        <v>489.545</v>
      </c>
      <c r="G1568" s="0" t="n">
        <f aca="false">IF(E1568 - F1568 &lt; 0, 0, E1568 - F1568)</f>
        <v>0.0260000000000105</v>
      </c>
      <c r="H1568" s="0" t="n">
        <v>1.82</v>
      </c>
      <c r="I1568" s="0" t="n">
        <f aca="false">1.82*30*(G1568^1.5)</f>
        <v>0.228903621989831</v>
      </c>
      <c r="J1568" s="0" t="n">
        <f aca="false">I1568*60</f>
        <v>13.7342173193898</v>
      </c>
      <c r="K1568" s="0" t="n">
        <f aca="false">(I1568*86400)/24</f>
        <v>824.05303916339</v>
      </c>
    </row>
    <row r="1569" customFormat="false" ht="16.5" hidden="false" customHeight="false" outlineLevel="0" collapsed="false">
      <c r="A1569" s="56" t="n">
        <v>45900.0416666667</v>
      </c>
      <c r="B1569" s="57" t="n">
        <f aca="false">MOD(A1569,1)</f>
        <v>0.0416666666569654</v>
      </c>
      <c r="C1569" s="0" t="n">
        <v>0.2</v>
      </c>
      <c r="D1569" s="0" t="n">
        <v>489.72</v>
      </c>
      <c r="E1569" s="0" t="n">
        <f aca="false">D1569-0.155</f>
        <v>489.565</v>
      </c>
      <c r="F1569" s="0" t="n">
        <v>489.545</v>
      </c>
      <c r="G1569" s="0" t="n">
        <f aca="false">IF(E1569 - F1569 &lt; 0, 0, E1569 - F1569)</f>
        <v>0.0200000000000387</v>
      </c>
      <c r="H1569" s="0" t="n">
        <v>1.82</v>
      </c>
      <c r="I1569" s="0" t="n">
        <f aca="false">1.82*30*(G1569^1.5)</f>
        <v>0.15443212101159</v>
      </c>
      <c r="J1569" s="0" t="n">
        <f aca="false">I1569*60</f>
        <v>9.26592726069538</v>
      </c>
      <c r="K1569" s="0" t="n">
        <f aca="false">(I1569*86400)/24</f>
        <v>555.955635641723</v>
      </c>
    </row>
    <row r="1570" customFormat="false" ht="16.5" hidden="false" customHeight="false" outlineLevel="0" collapsed="false">
      <c r="A1570" s="56" t="n">
        <v>45900.0833333333</v>
      </c>
      <c r="B1570" s="57" t="n">
        <f aca="false">MOD(A1570,1)</f>
        <v>0.0833333333430346</v>
      </c>
      <c r="C1570" s="0" t="n">
        <v>0</v>
      </c>
      <c r="D1570" s="0" t="n">
        <v>489.72</v>
      </c>
      <c r="E1570" s="0" t="n">
        <f aca="false">D1570-0.155</f>
        <v>489.565</v>
      </c>
      <c r="F1570" s="0" t="n">
        <v>489.545</v>
      </c>
      <c r="G1570" s="0" t="n">
        <f aca="false">IF(E1570 - F1570 &lt; 0, 0, E1570 - F1570)</f>
        <v>0.0200000000000387</v>
      </c>
      <c r="H1570" s="0" t="n">
        <v>1.82</v>
      </c>
      <c r="I1570" s="0" t="n">
        <f aca="false">1.82*30*(G1570^1.5)</f>
        <v>0.15443212101159</v>
      </c>
      <c r="J1570" s="0" t="n">
        <f aca="false">I1570*60</f>
        <v>9.26592726069538</v>
      </c>
      <c r="K1570" s="0" t="n">
        <f aca="false">(I1570*86400)/24</f>
        <v>555.955635641723</v>
      </c>
    </row>
    <row r="1571" customFormat="false" ht="16.5" hidden="false" customHeight="false" outlineLevel="0" collapsed="false">
      <c r="A1571" s="56" t="n">
        <v>45900.125</v>
      </c>
      <c r="B1571" s="57" t="n">
        <f aca="false">MOD(A1571,1)</f>
        <v>0.125</v>
      </c>
      <c r="C1571" s="0" t="n">
        <v>0</v>
      </c>
      <c r="D1571" s="0" t="n">
        <v>489.72</v>
      </c>
      <c r="E1571" s="0" t="n">
        <f aca="false">D1571-0.155</f>
        <v>489.565</v>
      </c>
      <c r="F1571" s="0" t="n">
        <v>489.545</v>
      </c>
      <c r="G1571" s="0" t="n">
        <f aca="false">IF(E1571 - F1571 &lt; 0, 0, E1571 - F1571)</f>
        <v>0.0200000000000387</v>
      </c>
      <c r="H1571" s="0" t="n">
        <v>1.82</v>
      </c>
      <c r="I1571" s="0" t="n">
        <f aca="false">1.82*30*(G1571^1.5)</f>
        <v>0.15443212101159</v>
      </c>
      <c r="J1571" s="0" t="n">
        <f aca="false">I1571*60</f>
        <v>9.26592726069538</v>
      </c>
      <c r="K1571" s="0" t="n">
        <f aca="false">(I1571*86400)/24</f>
        <v>555.955635641723</v>
      </c>
    </row>
    <row r="1572" customFormat="false" ht="16.5" hidden="false" customHeight="false" outlineLevel="0" collapsed="false">
      <c r="A1572" s="56" t="n">
        <v>45900.1666666667</v>
      </c>
      <c r="B1572" s="57" t="n">
        <f aca="false">MOD(A1572,1)</f>
        <v>0.166666666656965</v>
      </c>
      <c r="C1572" s="0" t="n">
        <v>0</v>
      </c>
      <c r="D1572" s="0" t="n">
        <v>489.721</v>
      </c>
      <c r="E1572" s="0" t="n">
        <f aca="false">D1572-0.155</f>
        <v>489.566</v>
      </c>
      <c r="F1572" s="0" t="n">
        <v>489.545</v>
      </c>
      <c r="G1572" s="0" t="n">
        <f aca="false">IF(E1572 - F1572 &lt; 0, 0, E1572 - F1572)</f>
        <v>0.021000000000015</v>
      </c>
      <c r="H1572" s="0" t="n">
        <v>1.82</v>
      </c>
      <c r="I1572" s="0" t="n">
        <f aca="false">1.82*30*(G1572^1.5)</f>
        <v>0.166158125771986</v>
      </c>
      <c r="J1572" s="0" t="n">
        <f aca="false">I1572*60</f>
        <v>9.96948754631917</v>
      </c>
      <c r="K1572" s="0" t="n">
        <f aca="false">(I1572*86400)/24</f>
        <v>598.16925277915</v>
      </c>
    </row>
    <row r="1573" customFormat="false" ht="16.5" hidden="false" customHeight="false" outlineLevel="0" collapsed="false">
      <c r="A1573" s="56" t="n">
        <v>45900.2083333333</v>
      </c>
      <c r="B1573" s="57" t="n">
        <f aca="false">MOD(A1573,1)</f>
        <v>0.208333333343035</v>
      </c>
      <c r="C1573" s="0" t="n">
        <v>0</v>
      </c>
      <c r="D1573" s="0" t="n">
        <v>489.714</v>
      </c>
      <c r="E1573" s="0" t="n">
        <f aca="false">D1573-0.155</f>
        <v>489.559</v>
      </c>
      <c r="F1573" s="0" t="n">
        <v>489.545</v>
      </c>
      <c r="G1573" s="0" t="n">
        <f aca="false">IF(E1573 - F1573 &lt; 0, 0, E1573 - F1573)</f>
        <v>0.01400000000001</v>
      </c>
      <c r="H1573" s="0" t="n">
        <v>1.82</v>
      </c>
      <c r="I1573" s="0" t="n">
        <f aca="false">1.82*30*(G1573^1.5)</f>
        <v>0.0904450277241239</v>
      </c>
      <c r="J1573" s="0" t="n">
        <f aca="false">I1573*60</f>
        <v>5.42670166344743</v>
      </c>
      <c r="K1573" s="0" t="n">
        <f aca="false">(I1573*86400)/24</f>
        <v>325.602099806846</v>
      </c>
    </row>
    <row r="1574" customFormat="false" ht="16.5" hidden="false" customHeight="false" outlineLevel="0" collapsed="false">
      <c r="A1574" s="56" t="n">
        <v>45900.25</v>
      </c>
      <c r="B1574" s="57" t="n">
        <f aca="false">MOD(A1574,1)</f>
        <v>0.25</v>
      </c>
      <c r="C1574" s="0" t="n">
        <v>0</v>
      </c>
      <c r="D1574" s="0" t="n">
        <v>489.714</v>
      </c>
      <c r="E1574" s="0" t="n">
        <f aca="false">D1574-0.155</f>
        <v>489.559</v>
      </c>
      <c r="F1574" s="0" t="n">
        <v>489.545</v>
      </c>
      <c r="G1574" s="0" t="n">
        <f aca="false">IF(E1574 - F1574 &lt; 0, 0, E1574 - F1574)</f>
        <v>0.01400000000001</v>
      </c>
      <c r="H1574" s="0" t="n">
        <v>1.82</v>
      </c>
      <c r="I1574" s="0" t="n">
        <f aca="false">1.82*30*(G1574^1.5)</f>
        <v>0.0904450277241239</v>
      </c>
      <c r="J1574" s="0" t="n">
        <f aca="false">I1574*60</f>
        <v>5.42670166344743</v>
      </c>
      <c r="K1574" s="0" t="n">
        <f aca="false">(I1574*86400)/24</f>
        <v>325.602099806846</v>
      </c>
    </row>
    <row r="1575" customFormat="false" ht="16.5" hidden="false" customHeight="false" outlineLevel="0" collapsed="false">
      <c r="A1575" s="56" t="n">
        <v>45900.2916666667</v>
      </c>
      <c r="B1575" s="57" t="n">
        <f aca="false">MOD(A1575,1)</f>
        <v>0.291666666656965</v>
      </c>
      <c r="C1575" s="0" t="n">
        <v>0</v>
      </c>
      <c r="D1575" s="0" t="n">
        <v>489.714</v>
      </c>
      <c r="E1575" s="0" t="n">
        <f aca="false">D1575-0.155</f>
        <v>489.559</v>
      </c>
      <c r="F1575" s="0" t="n">
        <v>489.545</v>
      </c>
      <c r="G1575" s="0" t="n">
        <f aca="false">IF(E1575 - F1575 &lt; 0, 0, E1575 - F1575)</f>
        <v>0.01400000000001</v>
      </c>
      <c r="H1575" s="0" t="n">
        <v>1.82</v>
      </c>
      <c r="I1575" s="0" t="n">
        <f aca="false">1.82*30*(G1575^1.5)</f>
        <v>0.0904450277241239</v>
      </c>
      <c r="J1575" s="0" t="n">
        <f aca="false">I1575*60</f>
        <v>5.42670166344743</v>
      </c>
      <c r="K1575" s="0" t="n">
        <f aca="false">(I1575*86400)/24</f>
        <v>325.602099806846</v>
      </c>
    </row>
    <row r="1576" customFormat="false" ht="16.5" hidden="false" customHeight="false" outlineLevel="0" collapsed="false">
      <c r="A1576" s="56" t="n">
        <v>45900.3333333333</v>
      </c>
      <c r="B1576" s="57" t="n">
        <f aca="false">MOD(A1576,1)</f>
        <v>0.333333333343035</v>
      </c>
      <c r="C1576" s="0" t="n">
        <v>0</v>
      </c>
      <c r="D1576" s="0" t="n">
        <v>489.713</v>
      </c>
      <c r="E1576" s="0" t="n">
        <f aca="false">D1576-0.155</f>
        <v>489.558</v>
      </c>
      <c r="F1576" s="0" t="n">
        <v>489.545</v>
      </c>
      <c r="G1576" s="0" t="n">
        <f aca="false">IF(E1576 - F1576 &lt; 0, 0, E1576 - F1576)</f>
        <v>0.0130000000000337</v>
      </c>
      <c r="H1576" s="0" t="n">
        <v>1.82</v>
      </c>
      <c r="I1576" s="0" t="n">
        <f aca="false">1.82*30*(G1576^1.5)</f>
        <v>0.0809296516738511</v>
      </c>
      <c r="J1576" s="0" t="n">
        <f aca="false">I1576*60</f>
        <v>4.85577910043106</v>
      </c>
      <c r="K1576" s="0" t="n">
        <f aca="false">(I1576*86400)/24</f>
        <v>291.346746025864</v>
      </c>
    </row>
    <row r="1577" customFormat="false" ht="16.5" hidden="false" customHeight="false" outlineLevel="0" collapsed="false">
      <c r="A1577" s="56" t="n">
        <v>45900.375</v>
      </c>
      <c r="B1577" s="57" t="n">
        <f aca="false">MOD(A1577,1)</f>
        <v>0.375</v>
      </c>
      <c r="C1577" s="0" t="n">
        <v>0</v>
      </c>
      <c r="D1577" s="0" t="n">
        <v>489.713</v>
      </c>
      <c r="E1577" s="0" t="n">
        <f aca="false">D1577-0.155</f>
        <v>489.558</v>
      </c>
      <c r="F1577" s="0" t="n">
        <v>489.545</v>
      </c>
      <c r="G1577" s="0" t="n">
        <f aca="false">IF(E1577 - F1577 &lt; 0, 0, E1577 - F1577)</f>
        <v>0.0130000000000337</v>
      </c>
      <c r="H1577" s="0" t="n">
        <v>1.82</v>
      </c>
      <c r="I1577" s="0" t="n">
        <f aca="false">1.82*30*(G1577^1.5)</f>
        <v>0.0809296516738511</v>
      </c>
      <c r="J1577" s="0" t="n">
        <f aca="false">I1577*60</f>
        <v>4.85577910043106</v>
      </c>
      <c r="K1577" s="0" t="n">
        <f aca="false">(I1577*86400)/24</f>
        <v>291.346746025864</v>
      </c>
    </row>
    <row r="1578" customFormat="false" ht="16.5" hidden="false" customHeight="false" outlineLevel="0" collapsed="false">
      <c r="A1578" s="56" t="n">
        <v>45900.4166666667</v>
      </c>
      <c r="B1578" s="57" t="n">
        <f aca="false">MOD(A1578,1)</f>
        <v>0.416666666656965</v>
      </c>
      <c r="C1578" s="0" t="n">
        <v>0</v>
      </c>
      <c r="D1578" s="0" t="n">
        <v>489.707</v>
      </c>
      <c r="E1578" s="0" t="n">
        <f aca="false">D1578-0.155</f>
        <v>489.552</v>
      </c>
      <c r="F1578" s="0" t="n">
        <v>489.545</v>
      </c>
      <c r="G1578" s="0" t="n">
        <f aca="false">IF(E1578 - F1578 &lt; 0, 0, E1578 - F1578)</f>
        <v>0.007000000000005</v>
      </c>
      <c r="H1578" s="0" t="n">
        <v>1.82</v>
      </c>
      <c r="I1578" s="0" t="n">
        <f aca="false">1.82*30*(G1578^1.5)</f>
        <v>0.0319771462141666</v>
      </c>
      <c r="J1578" s="0" t="n">
        <f aca="false">I1578*60</f>
        <v>1.91862877285</v>
      </c>
      <c r="K1578" s="0" t="n">
        <f aca="false">(I1578*86400)/24</f>
        <v>115.117726371</v>
      </c>
    </row>
    <row r="1579" customFormat="false" ht="16.5" hidden="false" customHeight="false" outlineLevel="0" collapsed="false">
      <c r="A1579" s="56" t="n">
        <v>45900.4583333333</v>
      </c>
      <c r="B1579" s="57" t="n">
        <f aca="false">MOD(A1579,1)</f>
        <v>0.458333333343035</v>
      </c>
      <c r="C1579" s="0" t="n">
        <v>0</v>
      </c>
      <c r="D1579" s="0" t="n">
        <v>489.707</v>
      </c>
      <c r="E1579" s="0" t="n">
        <f aca="false">D1579-0.155</f>
        <v>489.552</v>
      </c>
      <c r="F1579" s="0" t="n">
        <v>489.545</v>
      </c>
      <c r="G1579" s="0" t="n">
        <f aca="false">IF(E1579 - F1579 &lt; 0, 0, E1579 - F1579)</f>
        <v>0.007000000000005</v>
      </c>
      <c r="H1579" s="0" t="n">
        <v>1.82</v>
      </c>
      <c r="I1579" s="0" t="n">
        <f aca="false">1.82*30*(G1579^1.5)</f>
        <v>0.0319771462141666</v>
      </c>
      <c r="J1579" s="0" t="n">
        <f aca="false">I1579*60</f>
        <v>1.91862877285</v>
      </c>
      <c r="K1579" s="0" t="n">
        <f aca="false">(I1579*86400)/24</f>
        <v>115.117726371</v>
      </c>
    </row>
    <row r="1580" customFormat="false" ht="16.5" hidden="false" customHeight="false" outlineLevel="0" collapsed="false">
      <c r="A1580" s="56" t="n">
        <v>45900.5</v>
      </c>
      <c r="B1580" s="57" t="n">
        <f aca="false">MOD(A1580,1)</f>
        <v>0.5</v>
      </c>
      <c r="C1580" s="0" t="n">
        <v>0</v>
      </c>
      <c r="D1580" s="0" t="n">
        <v>489.707</v>
      </c>
      <c r="E1580" s="0" t="n">
        <f aca="false">D1580-0.155</f>
        <v>489.552</v>
      </c>
      <c r="F1580" s="0" t="n">
        <v>489.545</v>
      </c>
      <c r="G1580" s="0" t="n">
        <f aca="false">IF(E1580 - F1580 &lt; 0, 0, E1580 - F1580)</f>
        <v>0.007000000000005</v>
      </c>
      <c r="H1580" s="0" t="n">
        <v>1.82</v>
      </c>
      <c r="I1580" s="0" t="n">
        <f aca="false">1.82*30*(G1580^1.5)</f>
        <v>0.0319771462141666</v>
      </c>
      <c r="J1580" s="0" t="n">
        <f aca="false">I1580*60</f>
        <v>1.91862877285</v>
      </c>
      <c r="K1580" s="0" t="n">
        <f aca="false">(I1580*86400)/24</f>
        <v>115.117726371</v>
      </c>
    </row>
    <row r="1581" customFormat="false" ht="16.5" hidden="false" customHeight="false" outlineLevel="0" collapsed="false">
      <c r="A1581" s="56" t="n">
        <v>45900.5416666667</v>
      </c>
      <c r="B1581" s="57" t="n">
        <f aca="false">MOD(A1581,1)</f>
        <v>0.541666666656965</v>
      </c>
      <c r="C1581" s="0" t="n">
        <v>1.6</v>
      </c>
      <c r="D1581" s="0" t="n">
        <v>489.707</v>
      </c>
      <c r="E1581" s="0" t="n">
        <f aca="false">D1581-0.155</f>
        <v>489.552</v>
      </c>
      <c r="F1581" s="0" t="n">
        <v>489.545</v>
      </c>
      <c r="G1581" s="0" t="n">
        <f aca="false">IF(E1581 - F1581 &lt; 0, 0, E1581 - F1581)</f>
        <v>0.007000000000005</v>
      </c>
      <c r="H1581" s="0" t="n">
        <v>1.82</v>
      </c>
      <c r="I1581" s="0" t="n">
        <f aca="false">1.82*30*(G1581^1.5)</f>
        <v>0.0319771462141666</v>
      </c>
      <c r="J1581" s="0" t="n">
        <f aca="false">I1581*60</f>
        <v>1.91862877285</v>
      </c>
      <c r="K1581" s="0" t="n">
        <f aca="false">(I1581*86400)/24</f>
        <v>115.117726371</v>
      </c>
    </row>
    <row r="1582" customFormat="false" ht="16.5" hidden="false" customHeight="false" outlineLevel="0" collapsed="false">
      <c r="A1582" s="56" t="n">
        <v>45900.5833333333</v>
      </c>
      <c r="B1582" s="57" t="n">
        <f aca="false">MOD(A1582,1)</f>
        <v>0.583333333343035</v>
      </c>
      <c r="C1582" s="0" t="n">
        <v>0.2</v>
      </c>
      <c r="D1582" s="0" t="n">
        <v>489.707</v>
      </c>
      <c r="E1582" s="0" t="n">
        <f aca="false">D1582-0.155</f>
        <v>489.552</v>
      </c>
      <c r="F1582" s="0" t="n">
        <v>489.545</v>
      </c>
      <c r="G1582" s="0" t="n">
        <f aca="false">IF(E1582 - F1582 &lt; 0, 0, E1582 - F1582)</f>
        <v>0.007000000000005</v>
      </c>
      <c r="H1582" s="0" t="n">
        <v>1.82</v>
      </c>
      <c r="I1582" s="0" t="n">
        <f aca="false">1.82*30*(G1582^1.5)</f>
        <v>0.0319771462141666</v>
      </c>
      <c r="J1582" s="0" t="n">
        <f aca="false">I1582*60</f>
        <v>1.91862877285</v>
      </c>
      <c r="K1582" s="0" t="n">
        <f aca="false">(I1582*86400)/24</f>
        <v>115.117726371</v>
      </c>
    </row>
    <row r="1583" customFormat="false" ht="16.5" hidden="false" customHeight="false" outlineLevel="0" collapsed="false">
      <c r="A1583" s="56" t="n">
        <v>45900.625</v>
      </c>
      <c r="B1583" s="57" t="n">
        <f aca="false">MOD(A1583,1)</f>
        <v>0.625</v>
      </c>
      <c r="C1583" s="0" t="n">
        <v>0</v>
      </c>
      <c r="D1583" s="0" t="n">
        <v>489.707</v>
      </c>
      <c r="E1583" s="0" t="n">
        <f aca="false">D1583-0.155</f>
        <v>489.552</v>
      </c>
      <c r="F1583" s="0" t="n">
        <v>489.545</v>
      </c>
      <c r="G1583" s="0" t="n">
        <f aca="false">IF(E1583 - F1583 &lt; 0, 0, E1583 - F1583)</f>
        <v>0.007000000000005</v>
      </c>
      <c r="H1583" s="0" t="n">
        <v>1.82</v>
      </c>
      <c r="I1583" s="0" t="n">
        <f aca="false">1.82*30*(G1583^1.5)</f>
        <v>0.0319771462141666</v>
      </c>
      <c r="J1583" s="0" t="n">
        <f aca="false">I1583*60</f>
        <v>1.91862877285</v>
      </c>
      <c r="K1583" s="0" t="n">
        <f aca="false">(I1583*86400)/24</f>
        <v>115.117726371</v>
      </c>
    </row>
    <row r="1584" customFormat="false" ht="16.5" hidden="false" customHeight="false" outlineLevel="0" collapsed="false">
      <c r="A1584" s="56" t="n">
        <v>45900.6666666667</v>
      </c>
      <c r="B1584" s="57" t="n">
        <f aca="false">MOD(A1584,1)</f>
        <v>0.666666666656965</v>
      </c>
      <c r="C1584" s="0" t="n">
        <v>0</v>
      </c>
      <c r="D1584" s="0" t="n">
        <v>489.707</v>
      </c>
      <c r="E1584" s="0" t="n">
        <f aca="false">D1584-0.155</f>
        <v>489.552</v>
      </c>
      <c r="F1584" s="0" t="n">
        <v>489.545</v>
      </c>
      <c r="G1584" s="0" t="n">
        <f aca="false">IF(E1584 - F1584 &lt; 0, 0, E1584 - F1584)</f>
        <v>0.007000000000005</v>
      </c>
      <c r="H1584" s="0" t="n">
        <v>1.82</v>
      </c>
      <c r="I1584" s="0" t="n">
        <f aca="false">1.82*30*(G1584^1.5)</f>
        <v>0.0319771462141666</v>
      </c>
      <c r="J1584" s="0" t="n">
        <f aca="false">I1584*60</f>
        <v>1.91862877285</v>
      </c>
      <c r="K1584" s="0" t="n">
        <f aca="false">(I1584*86400)/24</f>
        <v>115.117726371</v>
      </c>
    </row>
    <row r="1585" customFormat="false" ht="16.5" hidden="false" customHeight="false" outlineLevel="0" collapsed="false">
      <c r="A1585" s="56" t="n">
        <v>45900.7083333333</v>
      </c>
      <c r="B1585" s="57" t="n">
        <f aca="false">MOD(A1585,1)</f>
        <v>0.708333333343035</v>
      </c>
      <c r="C1585" s="0" t="n">
        <v>0</v>
      </c>
      <c r="D1585" s="0" t="n">
        <v>489.707</v>
      </c>
      <c r="E1585" s="0" t="n">
        <f aca="false">D1585-0.155</f>
        <v>489.552</v>
      </c>
      <c r="F1585" s="0" t="n">
        <v>489.545</v>
      </c>
      <c r="G1585" s="0" t="n">
        <f aca="false">IF(E1585 - F1585 &lt; 0, 0, E1585 - F1585)</f>
        <v>0.007000000000005</v>
      </c>
      <c r="H1585" s="0" t="n">
        <v>1.82</v>
      </c>
      <c r="I1585" s="0" t="n">
        <f aca="false">1.82*30*(G1585^1.5)</f>
        <v>0.0319771462141666</v>
      </c>
      <c r="J1585" s="0" t="n">
        <f aca="false">I1585*60</f>
        <v>1.91862877285</v>
      </c>
      <c r="K1585" s="0" t="n">
        <f aca="false">(I1585*86400)/24</f>
        <v>115.117726371</v>
      </c>
    </row>
    <row r="1586" customFormat="false" ht="16.5" hidden="false" customHeight="false" outlineLevel="0" collapsed="false">
      <c r="A1586" s="56" t="n">
        <v>45900.75</v>
      </c>
      <c r="B1586" s="57" t="n">
        <f aca="false">MOD(A1586,1)</f>
        <v>0.75</v>
      </c>
      <c r="C1586" s="0" t="n">
        <v>0</v>
      </c>
      <c r="D1586" s="0" t="n">
        <v>489.707</v>
      </c>
      <c r="E1586" s="0" t="n">
        <f aca="false">D1586-0.155</f>
        <v>489.552</v>
      </c>
      <c r="F1586" s="0" t="n">
        <v>489.545</v>
      </c>
      <c r="G1586" s="0" t="n">
        <f aca="false">IF(E1586 - F1586 &lt; 0, 0, E1586 - F1586)</f>
        <v>0.007000000000005</v>
      </c>
      <c r="H1586" s="0" t="n">
        <v>1.82</v>
      </c>
      <c r="I1586" s="0" t="n">
        <f aca="false">1.82*30*(G1586^1.5)</f>
        <v>0.0319771462141666</v>
      </c>
      <c r="J1586" s="0" t="n">
        <f aca="false">I1586*60</f>
        <v>1.91862877285</v>
      </c>
      <c r="K1586" s="0" t="n">
        <f aca="false">(I1586*86400)/24</f>
        <v>115.117726371</v>
      </c>
    </row>
    <row r="1587" customFormat="false" ht="16.5" hidden="false" customHeight="false" outlineLevel="0" collapsed="false">
      <c r="A1587" s="56" t="n">
        <v>45900.7916666667</v>
      </c>
      <c r="B1587" s="57" t="n">
        <f aca="false">MOD(A1587,1)</f>
        <v>0.791666666656965</v>
      </c>
      <c r="C1587" s="0" t="n">
        <v>0</v>
      </c>
      <c r="D1587" s="0" t="n">
        <v>489.707</v>
      </c>
      <c r="E1587" s="0" t="n">
        <f aca="false">D1587-0.155</f>
        <v>489.552</v>
      </c>
      <c r="F1587" s="0" t="n">
        <v>489.545</v>
      </c>
      <c r="G1587" s="0" t="n">
        <f aca="false">IF(E1587 - F1587 &lt; 0, 0, E1587 - F1587)</f>
        <v>0.007000000000005</v>
      </c>
      <c r="H1587" s="0" t="n">
        <v>1.82</v>
      </c>
      <c r="I1587" s="0" t="n">
        <f aca="false">1.82*30*(G1587^1.5)</f>
        <v>0.0319771462141666</v>
      </c>
      <c r="J1587" s="0" t="n">
        <f aca="false">I1587*60</f>
        <v>1.91862877285</v>
      </c>
      <c r="K1587" s="0" t="n">
        <f aca="false">(I1587*86400)/24</f>
        <v>115.117726371</v>
      </c>
    </row>
    <row r="1588" customFormat="false" ht="16.5" hidden="false" customHeight="false" outlineLevel="0" collapsed="false">
      <c r="A1588" s="56" t="n">
        <v>45900.8333333333</v>
      </c>
      <c r="B1588" s="57" t="n">
        <f aca="false">MOD(A1588,1)</f>
        <v>0.833333333343035</v>
      </c>
      <c r="C1588" s="0" t="n">
        <v>0</v>
      </c>
      <c r="D1588" s="0" t="n">
        <v>489.701</v>
      </c>
      <c r="E1588" s="0" t="n">
        <f aca="false">D1588-0.155</f>
        <v>489.546</v>
      </c>
      <c r="F1588" s="0" t="n">
        <v>489.545</v>
      </c>
      <c r="G1588" s="0" t="n">
        <f aca="false">IF(E1588 - F1588 &lt; 0, 0, E1588 - F1588)</f>
        <v>0.0010000000000332</v>
      </c>
      <c r="H1588" s="0" t="n">
        <v>1.82</v>
      </c>
      <c r="I1588" s="0" t="n">
        <f aca="false">1.82*30*(G1588^1.5)</f>
        <v>0.00172660360253791</v>
      </c>
      <c r="J1588" s="0" t="n">
        <f aca="false">I1588*60</f>
        <v>0.103596216152275</v>
      </c>
      <c r="K1588" s="0" t="n">
        <f aca="false">(I1588*86400)/24</f>
        <v>6.21577296913648</v>
      </c>
    </row>
    <row r="1589" customFormat="false" ht="16.5" hidden="false" customHeight="false" outlineLevel="0" collapsed="false">
      <c r="A1589" s="56" t="n">
        <v>45900.875</v>
      </c>
      <c r="B1589" s="57" t="n">
        <f aca="false">MOD(A1589,1)</f>
        <v>0.875</v>
      </c>
      <c r="C1589" s="0" t="n">
        <v>0</v>
      </c>
      <c r="D1589" s="0" t="n">
        <v>489.701</v>
      </c>
      <c r="E1589" s="0" t="n">
        <f aca="false">D1589-0.155</f>
        <v>489.546</v>
      </c>
      <c r="F1589" s="0" t="n">
        <v>489.545</v>
      </c>
      <c r="G1589" s="0" t="n">
        <f aca="false">IF(E1589 - F1589 &lt; 0, 0, E1589 - F1589)</f>
        <v>0.0010000000000332</v>
      </c>
      <c r="H1589" s="0" t="n">
        <v>1.82</v>
      </c>
      <c r="I1589" s="0" t="n">
        <f aca="false">1.82*30*(G1589^1.5)</f>
        <v>0.00172660360253791</v>
      </c>
      <c r="J1589" s="0" t="n">
        <f aca="false">I1589*60</f>
        <v>0.103596216152275</v>
      </c>
      <c r="K1589" s="0" t="n">
        <f aca="false">(I1589*86400)/24</f>
        <v>6.21577296913648</v>
      </c>
    </row>
    <row r="1590" customFormat="false" ht="16.5" hidden="false" customHeight="false" outlineLevel="0" collapsed="false">
      <c r="A1590" s="56" t="n">
        <v>45900.9166666667</v>
      </c>
      <c r="B1590" s="57" t="n">
        <f aca="false">MOD(A1590,1)</f>
        <v>0.916666666656965</v>
      </c>
      <c r="C1590" s="0" t="n">
        <v>0</v>
      </c>
      <c r="D1590" s="0" t="n">
        <v>489.701</v>
      </c>
      <c r="E1590" s="0" t="n">
        <f aca="false">D1590-0.155</f>
        <v>489.546</v>
      </c>
      <c r="F1590" s="0" t="n">
        <v>489.545</v>
      </c>
      <c r="G1590" s="0" t="n">
        <f aca="false">IF(E1590 - F1590 &lt; 0, 0, E1590 - F1590)</f>
        <v>0.0010000000000332</v>
      </c>
      <c r="H1590" s="0" t="n">
        <v>1.82</v>
      </c>
      <c r="I1590" s="0" t="n">
        <f aca="false">1.82*30*(G1590^1.5)</f>
        <v>0.00172660360253791</v>
      </c>
      <c r="J1590" s="0" t="n">
        <f aca="false">I1590*60</f>
        <v>0.103596216152275</v>
      </c>
      <c r="K1590" s="0" t="n">
        <f aca="false">(I1590*86400)/24</f>
        <v>6.21577296913648</v>
      </c>
    </row>
    <row r="1591" customFormat="false" ht="16.5" hidden="false" customHeight="false" outlineLevel="0" collapsed="false">
      <c r="A1591" s="56" t="n">
        <v>45900.9583333333</v>
      </c>
      <c r="B1591" s="57" t="n">
        <f aca="false">MOD(A1591,1)</f>
        <v>0.958333333343035</v>
      </c>
      <c r="C1591" s="0" t="n">
        <v>0</v>
      </c>
      <c r="D1591" s="0" t="n">
        <v>489.701</v>
      </c>
      <c r="E1591" s="0" t="n">
        <f aca="false">D1591-0.155</f>
        <v>489.546</v>
      </c>
      <c r="F1591" s="0" t="n">
        <v>489.545</v>
      </c>
      <c r="G1591" s="0" t="n">
        <f aca="false">IF(E1591 - F1591 &lt; 0, 0, E1591 - F1591)</f>
        <v>0.0010000000000332</v>
      </c>
      <c r="H1591" s="0" t="n">
        <v>1.82</v>
      </c>
      <c r="I1591" s="0" t="n">
        <f aca="false">1.82*30*(G1591^1.5)</f>
        <v>0.00172660360253791</v>
      </c>
      <c r="J1591" s="0" t="n">
        <f aca="false">I1591*60</f>
        <v>0.103596216152275</v>
      </c>
      <c r="K1591" s="0" t="n">
        <f aca="false">(I1591*86400)/24</f>
        <v>6.21577296913648</v>
      </c>
    </row>
    <row r="1592" customFormat="false" ht="16.5" hidden="false" customHeight="false" outlineLevel="0" collapsed="false">
      <c r="A1592" s="56" t="n">
        <v>45901</v>
      </c>
      <c r="B1592" s="57" t="n">
        <f aca="false">MOD(A1592,1)</f>
        <v>0</v>
      </c>
      <c r="C1592" s="0" t="n">
        <v>0</v>
      </c>
      <c r="D1592" s="0" t="n">
        <v>489.702</v>
      </c>
      <c r="E1592" s="0" t="n">
        <f aca="false">D1592-0.155</f>
        <v>489.547</v>
      </c>
      <c r="F1592" s="0" t="n">
        <v>489.545</v>
      </c>
      <c r="G1592" s="0" t="n">
        <f aca="false">IF(E1592 - F1592 &lt; 0, 0, E1592 - F1592)</f>
        <v>0.00200000000000955</v>
      </c>
      <c r="H1592" s="0" t="n">
        <v>1.82</v>
      </c>
      <c r="I1592" s="0" t="n">
        <f aca="false">1.82*30*(G1592^1.5)</f>
        <v>0.00488357246289452</v>
      </c>
      <c r="J1592" s="0" t="n">
        <f aca="false">I1592*60</f>
        <v>0.293014347773671</v>
      </c>
      <c r="K1592" s="0" t="n">
        <f aca="false">(I1592*86400)/24</f>
        <v>17.5808608664203</v>
      </c>
    </row>
    <row r="1593" customFormat="false" ht="16.5" hidden="false" customHeight="false" outlineLevel="0" collapsed="false">
      <c r="A1593" s="56" t="n">
        <v>45901.0416666667</v>
      </c>
      <c r="B1593" s="57" t="n">
        <f aca="false">MOD(A1593,1)</f>
        <v>0.0416666666569654</v>
      </c>
      <c r="C1593" s="0" t="n">
        <v>0</v>
      </c>
      <c r="D1593" s="0" t="n">
        <v>489.694</v>
      </c>
      <c r="E1593" s="0" t="n">
        <f aca="false">D1593-0.155</f>
        <v>489.539</v>
      </c>
      <c r="F1593" s="0" t="n">
        <v>489.545</v>
      </c>
      <c r="G1593" s="0" t="n">
        <f aca="false">IF(E1593 - F1593 &lt; 0, 0, E1593 - F1593)</f>
        <v>0</v>
      </c>
      <c r="H1593" s="0" t="n">
        <v>1.82</v>
      </c>
      <c r="I1593" s="0" t="n">
        <f aca="false">1.82*30*(G1593^1.5)</f>
        <v>0</v>
      </c>
      <c r="J1593" s="0" t="n">
        <f aca="false">I1593*60</f>
        <v>0</v>
      </c>
      <c r="K1593" s="0" t="n">
        <f aca="false">(I1593*86400)/24</f>
        <v>0</v>
      </c>
    </row>
    <row r="1594" customFormat="false" ht="16.5" hidden="false" customHeight="false" outlineLevel="0" collapsed="false">
      <c r="A1594" s="56" t="n">
        <v>45901.0833333333</v>
      </c>
      <c r="B1594" s="57" t="n">
        <f aca="false">MOD(A1594,1)</f>
        <v>0.0833333333430346</v>
      </c>
      <c r="C1594" s="0" t="n">
        <v>0</v>
      </c>
      <c r="D1594" s="0" t="n">
        <v>489.695</v>
      </c>
      <c r="E1594" s="0" t="n">
        <f aca="false">D1594-0.155</f>
        <v>489.54</v>
      </c>
      <c r="F1594" s="0" t="n">
        <v>489.545</v>
      </c>
      <c r="G1594" s="0" t="n">
        <f aca="false">IF(E1594 - F1594 &lt; 0, 0, E1594 - F1594)</f>
        <v>0</v>
      </c>
      <c r="H1594" s="0" t="n">
        <v>1.82</v>
      </c>
      <c r="I1594" s="0" t="n">
        <f aca="false">1.82*30*(G1594^1.5)</f>
        <v>0</v>
      </c>
      <c r="J1594" s="0" t="n">
        <f aca="false">I1594*60</f>
        <v>0</v>
      </c>
      <c r="K1594" s="0" t="n">
        <f aca="false">(I1594*86400)/24</f>
        <v>0</v>
      </c>
    </row>
    <row r="1595" customFormat="false" ht="16.5" hidden="false" customHeight="false" outlineLevel="0" collapsed="false">
      <c r="A1595" s="56" t="n">
        <v>45901.125</v>
      </c>
      <c r="B1595" s="57" t="n">
        <f aca="false">MOD(A1595,1)</f>
        <v>0.125</v>
      </c>
      <c r="C1595" s="0" t="n">
        <v>0</v>
      </c>
      <c r="D1595" s="0" t="n">
        <v>489.694</v>
      </c>
      <c r="E1595" s="0" t="n">
        <f aca="false">D1595-0.155</f>
        <v>489.539</v>
      </c>
      <c r="F1595" s="0" t="n">
        <v>489.545</v>
      </c>
      <c r="G1595" s="0" t="n">
        <f aca="false">IF(E1595 - F1595 &lt; 0, 0, E1595 - F1595)</f>
        <v>0</v>
      </c>
      <c r="H1595" s="0" t="n">
        <v>1.82</v>
      </c>
      <c r="I1595" s="0" t="n">
        <f aca="false">1.82*30*(G1595^1.5)</f>
        <v>0</v>
      </c>
      <c r="J1595" s="0" t="n">
        <f aca="false">I1595*60</f>
        <v>0</v>
      </c>
      <c r="K1595" s="0" t="n">
        <f aca="false">(I1595*86400)/24</f>
        <v>0</v>
      </c>
    </row>
    <row r="1596" customFormat="false" ht="16.5" hidden="false" customHeight="false" outlineLevel="0" collapsed="false">
      <c r="A1596" s="56" t="n">
        <v>45901.1666666667</v>
      </c>
      <c r="B1596" s="57" t="n">
        <f aca="false">MOD(A1596,1)</f>
        <v>0.166666666656965</v>
      </c>
      <c r="C1596" s="0" t="n">
        <v>0</v>
      </c>
      <c r="D1596" s="0" t="n">
        <v>489.695</v>
      </c>
      <c r="E1596" s="0" t="n">
        <f aca="false">D1596-0.155</f>
        <v>489.54</v>
      </c>
      <c r="F1596" s="0" t="n">
        <v>489.545</v>
      </c>
      <c r="G1596" s="0" t="n">
        <f aca="false">IF(E1596 - F1596 &lt; 0, 0, E1596 - F1596)</f>
        <v>0</v>
      </c>
      <c r="H1596" s="0" t="n">
        <v>1.82</v>
      </c>
      <c r="I1596" s="0" t="n">
        <f aca="false">1.82*30*(G1596^1.5)</f>
        <v>0</v>
      </c>
      <c r="J1596" s="0" t="n">
        <f aca="false">I1596*60</f>
        <v>0</v>
      </c>
      <c r="K1596" s="0" t="n">
        <f aca="false">(I1596*86400)/24</f>
        <v>0</v>
      </c>
    </row>
    <row r="1597" customFormat="false" ht="16.5" hidden="false" customHeight="false" outlineLevel="0" collapsed="false">
      <c r="A1597" s="56" t="n">
        <v>45901.2083333333</v>
      </c>
      <c r="B1597" s="57" t="n">
        <f aca="false">MOD(A1597,1)</f>
        <v>0.208333333343035</v>
      </c>
      <c r="C1597" s="0" t="n">
        <v>0</v>
      </c>
      <c r="D1597" s="0" t="n">
        <v>489.695</v>
      </c>
      <c r="E1597" s="0" t="n">
        <f aca="false">D1597-0.155</f>
        <v>489.54</v>
      </c>
      <c r="F1597" s="0" t="n">
        <v>489.545</v>
      </c>
      <c r="G1597" s="0" t="n">
        <f aca="false">IF(E1597 - F1597 &lt; 0, 0, E1597 - F1597)</f>
        <v>0</v>
      </c>
      <c r="H1597" s="0" t="n">
        <v>1.82</v>
      </c>
      <c r="I1597" s="0" t="n">
        <f aca="false">1.82*30*(G1597^1.5)</f>
        <v>0</v>
      </c>
      <c r="J1597" s="0" t="n">
        <f aca="false">I1597*60</f>
        <v>0</v>
      </c>
      <c r="K1597" s="0" t="n">
        <f aca="false">(I1597*86400)/24</f>
        <v>0</v>
      </c>
    </row>
    <row r="1598" customFormat="false" ht="16.5" hidden="false" customHeight="false" outlineLevel="0" collapsed="false">
      <c r="A1598" s="56" t="n">
        <v>45901.25</v>
      </c>
      <c r="B1598" s="57" t="n">
        <f aca="false">MOD(A1598,1)</f>
        <v>0.25</v>
      </c>
      <c r="C1598" s="0" t="n">
        <v>0</v>
      </c>
      <c r="D1598" s="0" t="n">
        <v>489.689</v>
      </c>
      <c r="E1598" s="0" t="n">
        <f aca="false">D1598-0.155</f>
        <v>489.534</v>
      </c>
      <c r="F1598" s="0" t="n">
        <v>489.545</v>
      </c>
      <c r="G1598" s="0" t="n">
        <f aca="false">IF(E1598 - F1598 &lt; 0, 0, E1598 - F1598)</f>
        <v>0</v>
      </c>
      <c r="H1598" s="0" t="n">
        <v>1.82</v>
      </c>
      <c r="I1598" s="0" t="n">
        <f aca="false">1.82*30*(G1598^1.5)</f>
        <v>0</v>
      </c>
      <c r="J1598" s="0" t="n">
        <f aca="false">I1598*60</f>
        <v>0</v>
      </c>
      <c r="K1598" s="0" t="n">
        <f aca="false">(I1598*86400)/24</f>
        <v>0</v>
      </c>
    </row>
    <row r="1599" customFormat="false" ht="16.5" hidden="false" customHeight="false" outlineLevel="0" collapsed="false">
      <c r="A1599" s="56" t="n">
        <v>45901.2916666667</v>
      </c>
      <c r="B1599" s="57" t="n">
        <f aca="false">MOD(A1599,1)</f>
        <v>0.291666666656965</v>
      </c>
      <c r="C1599" s="0" t="n">
        <v>0</v>
      </c>
      <c r="D1599" s="0" t="n">
        <v>489.689</v>
      </c>
      <c r="E1599" s="0" t="n">
        <f aca="false">D1599-0.155</f>
        <v>489.534</v>
      </c>
      <c r="F1599" s="0" t="n">
        <v>489.545</v>
      </c>
      <c r="G1599" s="0" t="n">
        <f aca="false">IF(E1599 - F1599 &lt; 0, 0, E1599 - F1599)</f>
        <v>0</v>
      </c>
      <c r="H1599" s="0" t="n">
        <v>1.82</v>
      </c>
      <c r="I1599" s="0" t="n">
        <f aca="false">1.82*30*(G1599^1.5)</f>
        <v>0</v>
      </c>
      <c r="J1599" s="0" t="n">
        <f aca="false">I1599*60</f>
        <v>0</v>
      </c>
      <c r="K1599" s="0" t="n">
        <f aca="false">(I1599*86400)/24</f>
        <v>0</v>
      </c>
    </row>
    <row r="1600" customFormat="false" ht="16.5" hidden="false" customHeight="false" outlineLevel="0" collapsed="false">
      <c r="A1600" s="56" t="n">
        <v>45901.3333333333</v>
      </c>
      <c r="B1600" s="57" t="n">
        <f aca="false">MOD(A1600,1)</f>
        <v>0.333333333343035</v>
      </c>
      <c r="C1600" s="0" t="n">
        <v>0</v>
      </c>
      <c r="D1600" s="0" t="n">
        <v>489.689</v>
      </c>
      <c r="E1600" s="0" t="n">
        <f aca="false">D1600-0.155</f>
        <v>489.534</v>
      </c>
      <c r="F1600" s="0" t="n">
        <v>489.545</v>
      </c>
      <c r="G1600" s="0" t="n">
        <f aca="false">IF(E1600 - F1600 &lt; 0, 0, E1600 - F1600)</f>
        <v>0</v>
      </c>
      <c r="H1600" s="0" t="n">
        <v>1.82</v>
      </c>
      <c r="I1600" s="0" t="n">
        <f aca="false">1.82*30*(G1600^1.5)</f>
        <v>0</v>
      </c>
      <c r="J1600" s="0" t="n">
        <f aca="false">I1600*60</f>
        <v>0</v>
      </c>
      <c r="K1600" s="0" t="n">
        <f aca="false">(I1600*86400)/24</f>
        <v>0</v>
      </c>
    </row>
    <row r="1601" customFormat="false" ht="16.5" hidden="false" customHeight="false" outlineLevel="0" collapsed="false">
      <c r="A1601" s="56" t="n">
        <v>45901.375</v>
      </c>
      <c r="B1601" s="57" t="n">
        <f aca="false">MOD(A1601,1)</f>
        <v>0.375</v>
      </c>
      <c r="C1601" s="0" t="n">
        <v>0</v>
      </c>
      <c r="D1601" s="0" t="n">
        <v>489.688</v>
      </c>
      <c r="E1601" s="0" t="n">
        <f aca="false">D1601-0.155</f>
        <v>489.533</v>
      </c>
      <c r="F1601" s="0" t="n">
        <v>489.545</v>
      </c>
      <c r="G1601" s="0" t="n">
        <f aca="false">IF(E1601 - F1601 &lt; 0, 0, E1601 - F1601)</f>
        <v>0</v>
      </c>
      <c r="H1601" s="0" t="n">
        <v>1.82</v>
      </c>
      <c r="I1601" s="0" t="n">
        <f aca="false">1.82*30*(G1601^1.5)</f>
        <v>0</v>
      </c>
      <c r="J1601" s="0" t="n">
        <f aca="false">I1601*60</f>
        <v>0</v>
      </c>
      <c r="K1601" s="0" t="n">
        <f aca="false">(I1601*86400)/24</f>
        <v>0</v>
      </c>
    </row>
    <row r="1602" customFormat="false" ht="16.5" hidden="false" customHeight="false" outlineLevel="0" collapsed="false">
      <c r="A1602" s="56" t="n">
        <v>45901.4166666667</v>
      </c>
      <c r="B1602" s="57" t="n">
        <f aca="false">MOD(A1602,1)</f>
        <v>0.416666666656965</v>
      </c>
      <c r="C1602" s="0" t="n">
        <v>0</v>
      </c>
      <c r="D1602" s="0" t="n">
        <v>489.688</v>
      </c>
      <c r="E1602" s="0" t="n">
        <f aca="false">D1602-0.155</f>
        <v>489.533</v>
      </c>
      <c r="F1602" s="0" t="n">
        <v>489.545</v>
      </c>
      <c r="G1602" s="0" t="n">
        <f aca="false">IF(E1602 - F1602 &lt; 0, 0, E1602 - F1602)</f>
        <v>0</v>
      </c>
      <c r="H1602" s="0" t="n">
        <v>1.82</v>
      </c>
      <c r="I1602" s="0" t="n">
        <f aca="false">1.82*30*(G1602^1.5)</f>
        <v>0</v>
      </c>
      <c r="J1602" s="0" t="n">
        <f aca="false">I1602*60</f>
        <v>0</v>
      </c>
      <c r="K1602" s="0" t="n">
        <f aca="false">(I1602*86400)/24</f>
        <v>0</v>
      </c>
    </row>
    <row r="1603" customFormat="false" ht="16.5" hidden="false" customHeight="false" outlineLevel="0" collapsed="false">
      <c r="A1603" s="56" t="n">
        <v>45901.4583333333</v>
      </c>
      <c r="B1603" s="57" t="n">
        <f aca="false">MOD(A1603,1)</f>
        <v>0.458333333343035</v>
      </c>
      <c r="C1603" s="0" t="n">
        <v>0</v>
      </c>
      <c r="D1603" s="0" t="n">
        <v>489.682</v>
      </c>
      <c r="E1603" s="0" t="n">
        <f aca="false">D1603-0.155</f>
        <v>489.527</v>
      </c>
      <c r="F1603" s="0" t="n">
        <v>489.545</v>
      </c>
      <c r="G1603" s="0" t="n">
        <f aca="false">IF(E1603 - F1603 &lt; 0, 0, E1603 - F1603)</f>
        <v>0</v>
      </c>
      <c r="H1603" s="0" t="n">
        <v>1.82</v>
      </c>
      <c r="I1603" s="0" t="n">
        <f aca="false">1.82*30*(G1603^1.5)</f>
        <v>0</v>
      </c>
      <c r="J1603" s="0" t="n">
        <f aca="false">I1603*60</f>
        <v>0</v>
      </c>
      <c r="K1603" s="0" t="n">
        <f aca="false">(I1603*86400)/24</f>
        <v>0</v>
      </c>
    </row>
    <row r="1604" customFormat="false" ht="16.5" hidden="false" customHeight="false" outlineLevel="0" collapsed="false">
      <c r="A1604" s="56" t="n">
        <v>45901.5</v>
      </c>
      <c r="B1604" s="57" t="n">
        <f aca="false">MOD(A1604,1)</f>
        <v>0.5</v>
      </c>
      <c r="C1604" s="0" t="n">
        <v>0.2</v>
      </c>
      <c r="D1604" s="0" t="n">
        <v>489.689</v>
      </c>
      <c r="E1604" s="0" t="n">
        <f aca="false">D1604-0.155</f>
        <v>489.534</v>
      </c>
      <c r="F1604" s="0" t="n">
        <v>489.545</v>
      </c>
      <c r="G1604" s="0" t="n">
        <f aca="false">IF(E1604 - F1604 &lt; 0, 0, E1604 - F1604)</f>
        <v>0</v>
      </c>
      <c r="H1604" s="0" t="n">
        <v>1.82</v>
      </c>
      <c r="I1604" s="0" t="n">
        <f aca="false">1.82*30*(G1604^1.5)</f>
        <v>0</v>
      </c>
      <c r="J1604" s="0" t="n">
        <f aca="false">I1604*60</f>
        <v>0</v>
      </c>
      <c r="K1604" s="0" t="n">
        <f aca="false">(I1604*86400)/24</f>
        <v>0</v>
      </c>
    </row>
    <row r="1605" customFormat="false" ht="16.5" hidden="false" customHeight="false" outlineLevel="0" collapsed="false">
      <c r="A1605" s="56" t="n">
        <v>45901.5416666667</v>
      </c>
      <c r="B1605" s="57" t="n">
        <f aca="false">MOD(A1605,1)</f>
        <v>0.541666666656965</v>
      </c>
      <c r="C1605" s="0" t="n">
        <v>0</v>
      </c>
      <c r="D1605" s="0" t="n">
        <v>489.689</v>
      </c>
      <c r="E1605" s="0" t="n">
        <f aca="false">D1605-0.155</f>
        <v>489.534</v>
      </c>
      <c r="F1605" s="0" t="n">
        <v>489.545</v>
      </c>
      <c r="G1605" s="0" t="n">
        <f aca="false">IF(E1605 - F1605 &lt; 0, 0, E1605 - F1605)</f>
        <v>0</v>
      </c>
      <c r="H1605" s="0" t="n">
        <v>1.82</v>
      </c>
      <c r="I1605" s="0" t="n">
        <f aca="false">1.82*30*(G1605^1.5)</f>
        <v>0</v>
      </c>
      <c r="J1605" s="0" t="n">
        <f aca="false">I1605*60</f>
        <v>0</v>
      </c>
      <c r="K1605" s="0" t="n">
        <f aca="false">(I1605*86400)/24</f>
        <v>0</v>
      </c>
    </row>
    <row r="1606" customFormat="false" ht="16.5" hidden="false" customHeight="false" outlineLevel="0" collapsed="false">
      <c r="A1606" s="56" t="n">
        <v>45901.5833333333</v>
      </c>
      <c r="B1606" s="57" t="n">
        <f aca="false">MOD(A1606,1)</f>
        <v>0.583333333343035</v>
      </c>
      <c r="C1606" s="0" t="n">
        <v>0</v>
      </c>
      <c r="D1606" s="0" t="n">
        <v>489.688</v>
      </c>
      <c r="E1606" s="0" t="n">
        <f aca="false">D1606-0.155</f>
        <v>489.533</v>
      </c>
      <c r="F1606" s="0" t="n">
        <v>489.545</v>
      </c>
      <c r="G1606" s="0" t="n">
        <f aca="false">IF(E1606 - F1606 &lt; 0, 0, E1606 - F1606)</f>
        <v>0</v>
      </c>
      <c r="H1606" s="0" t="n">
        <v>1.82</v>
      </c>
      <c r="I1606" s="0" t="n">
        <f aca="false">1.82*30*(G1606^1.5)</f>
        <v>0</v>
      </c>
      <c r="J1606" s="0" t="n">
        <f aca="false">I1606*60</f>
        <v>0</v>
      </c>
      <c r="K1606" s="0" t="n">
        <f aca="false">(I1606*86400)/24</f>
        <v>0</v>
      </c>
    </row>
    <row r="1607" customFormat="false" ht="16.5" hidden="false" customHeight="false" outlineLevel="0" collapsed="false">
      <c r="A1607" s="56" t="n">
        <v>45901.625</v>
      </c>
      <c r="B1607" s="57" t="n">
        <f aca="false">MOD(A1607,1)</f>
        <v>0.625</v>
      </c>
      <c r="C1607" s="0" t="n">
        <v>0</v>
      </c>
      <c r="D1607" s="0" t="n">
        <v>489.682</v>
      </c>
      <c r="E1607" s="0" t="n">
        <f aca="false">D1607-0.155</f>
        <v>489.527</v>
      </c>
      <c r="F1607" s="0" t="n">
        <v>489.545</v>
      </c>
      <c r="G1607" s="0" t="n">
        <f aca="false">IF(E1607 - F1607 &lt; 0, 0, E1607 - F1607)</f>
        <v>0</v>
      </c>
      <c r="H1607" s="0" t="n">
        <v>1.82</v>
      </c>
      <c r="I1607" s="0" t="n">
        <f aca="false">1.82*30*(G1607^1.5)</f>
        <v>0</v>
      </c>
      <c r="J1607" s="0" t="n">
        <f aca="false">I1607*60</f>
        <v>0</v>
      </c>
      <c r="K1607" s="0" t="n">
        <f aca="false">(I1607*86400)/24</f>
        <v>0</v>
      </c>
    </row>
    <row r="1608" customFormat="false" ht="16.5" hidden="false" customHeight="false" outlineLevel="0" collapsed="false">
      <c r="A1608" s="56" t="n">
        <v>45901.6666666667</v>
      </c>
      <c r="B1608" s="57" t="n">
        <f aca="false">MOD(A1608,1)</f>
        <v>0.666666666656965</v>
      </c>
      <c r="C1608" s="0" t="n">
        <v>0</v>
      </c>
      <c r="D1608" s="0" t="n">
        <v>489.682</v>
      </c>
      <c r="E1608" s="0" t="n">
        <f aca="false">D1608-0.155</f>
        <v>489.527</v>
      </c>
      <c r="F1608" s="0" t="n">
        <v>489.545</v>
      </c>
      <c r="G1608" s="0" t="n">
        <f aca="false">IF(E1608 - F1608 &lt; 0, 0, E1608 - F1608)</f>
        <v>0</v>
      </c>
      <c r="H1608" s="0" t="n">
        <v>1.82</v>
      </c>
      <c r="I1608" s="0" t="n">
        <f aca="false">1.82*30*(G1608^1.5)</f>
        <v>0</v>
      </c>
      <c r="J1608" s="0" t="n">
        <f aca="false">I1608*60</f>
        <v>0</v>
      </c>
      <c r="K1608" s="0" t="n">
        <f aca="false">(I1608*86400)/24</f>
        <v>0</v>
      </c>
    </row>
    <row r="1609" customFormat="false" ht="16.5" hidden="false" customHeight="false" outlineLevel="0" collapsed="false">
      <c r="A1609" s="56" t="n">
        <v>45901.7083333333</v>
      </c>
      <c r="B1609" s="57" t="n">
        <f aca="false">MOD(A1609,1)</f>
        <v>0.708333333343035</v>
      </c>
      <c r="C1609" s="0" t="n">
        <v>0</v>
      </c>
      <c r="D1609" s="0" t="n">
        <v>489.682</v>
      </c>
      <c r="E1609" s="0" t="n">
        <f aca="false">D1609-0.155</f>
        <v>489.527</v>
      </c>
      <c r="F1609" s="0" t="n">
        <v>489.545</v>
      </c>
      <c r="G1609" s="0" t="n">
        <f aca="false">IF(E1609 - F1609 &lt; 0, 0, E1609 - F1609)</f>
        <v>0</v>
      </c>
      <c r="H1609" s="0" t="n">
        <v>1.82</v>
      </c>
      <c r="I1609" s="0" t="n">
        <f aca="false">1.82*30*(G1609^1.5)</f>
        <v>0</v>
      </c>
      <c r="J1609" s="0" t="n">
        <f aca="false">I1609*60</f>
        <v>0</v>
      </c>
      <c r="K1609" s="0" t="n">
        <f aca="false">(I1609*86400)/24</f>
        <v>0</v>
      </c>
    </row>
    <row r="1610" customFormat="false" ht="16.5" hidden="false" customHeight="false" outlineLevel="0" collapsed="false">
      <c r="A1610" s="56" t="n">
        <v>45901.75</v>
      </c>
      <c r="B1610" s="57" t="n">
        <f aca="false">MOD(A1610,1)</f>
        <v>0.75</v>
      </c>
      <c r="C1610" s="0" t="n">
        <v>0</v>
      </c>
      <c r="D1610" s="0" t="n">
        <v>489.682</v>
      </c>
      <c r="E1610" s="0" t="n">
        <f aca="false">D1610-0.155</f>
        <v>489.527</v>
      </c>
      <c r="F1610" s="0" t="n">
        <v>489.545</v>
      </c>
      <c r="G1610" s="0" t="n">
        <f aca="false">IF(E1610 - F1610 &lt; 0, 0, E1610 - F1610)</f>
        <v>0</v>
      </c>
      <c r="H1610" s="0" t="n">
        <v>1.82</v>
      </c>
      <c r="I1610" s="0" t="n">
        <f aca="false">1.82*30*(G1610^1.5)</f>
        <v>0</v>
      </c>
      <c r="J1610" s="0" t="n">
        <f aca="false">I1610*60</f>
        <v>0</v>
      </c>
      <c r="K1610" s="0" t="n">
        <f aca="false">(I1610*86400)/24</f>
        <v>0</v>
      </c>
    </row>
    <row r="1611" customFormat="false" ht="16.5" hidden="false" customHeight="false" outlineLevel="0" collapsed="false">
      <c r="A1611" s="56" t="n">
        <v>45901.7916666667</v>
      </c>
      <c r="B1611" s="57" t="n">
        <f aca="false">MOD(A1611,1)</f>
        <v>0.791666666656965</v>
      </c>
      <c r="C1611" s="0" t="n">
        <v>0</v>
      </c>
      <c r="D1611" s="0" t="n">
        <v>489.682</v>
      </c>
      <c r="E1611" s="0" t="n">
        <f aca="false">D1611-0.155</f>
        <v>489.527</v>
      </c>
      <c r="F1611" s="0" t="n">
        <v>489.545</v>
      </c>
      <c r="G1611" s="0" t="n">
        <f aca="false">IF(E1611 - F1611 &lt; 0, 0, E1611 - F1611)</f>
        <v>0</v>
      </c>
      <c r="H1611" s="0" t="n">
        <v>1.82</v>
      </c>
      <c r="I1611" s="0" t="n">
        <f aca="false">1.82*30*(G1611^1.5)</f>
        <v>0</v>
      </c>
      <c r="J1611" s="0" t="n">
        <f aca="false">I1611*60</f>
        <v>0</v>
      </c>
      <c r="K1611" s="0" t="n">
        <f aca="false">(I1611*86400)/24</f>
        <v>0</v>
      </c>
    </row>
    <row r="1612" customFormat="false" ht="16.5" hidden="false" customHeight="false" outlineLevel="0" collapsed="false">
      <c r="A1612" s="56" t="n">
        <v>45901.8333333333</v>
      </c>
      <c r="B1612" s="57" t="n">
        <f aca="false">MOD(A1612,1)</f>
        <v>0.833333333343035</v>
      </c>
      <c r="C1612" s="0" t="n">
        <v>0</v>
      </c>
      <c r="D1612" s="0" t="n">
        <v>489.675</v>
      </c>
      <c r="E1612" s="0" t="n">
        <f aca="false">D1612-0.155</f>
        <v>489.52</v>
      </c>
      <c r="F1612" s="0" t="n">
        <v>489.545</v>
      </c>
      <c r="G1612" s="0" t="n">
        <f aca="false">IF(E1612 - F1612 &lt; 0, 0, E1612 - F1612)</f>
        <v>0</v>
      </c>
      <c r="H1612" s="0" t="n">
        <v>1.82</v>
      </c>
      <c r="I1612" s="0" t="n">
        <f aca="false">1.82*30*(G1612^1.5)</f>
        <v>0</v>
      </c>
      <c r="J1612" s="0" t="n">
        <f aca="false">I1612*60</f>
        <v>0</v>
      </c>
      <c r="K1612" s="0" t="n">
        <f aca="false">(I1612*86400)/24</f>
        <v>0</v>
      </c>
    </row>
    <row r="1613" customFormat="false" ht="16.5" hidden="false" customHeight="false" outlineLevel="0" collapsed="false">
      <c r="A1613" s="56" t="n">
        <v>45901.875</v>
      </c>
      <c r="B1613" s="57" t="n">
        <f aca="false">MOD(A1613,1)</f>
        <v>0.875</v>
      </c>
      <c r="C1613" s="0" t="n">
        <v>0</v>
      </c>
      <c r="D1613" s="0" t="n">
        <v>489.675</v>
      </c>
      <c r="E1613" s="0" t="n">
        <f aca="false">D1613-0.155</f>
        <v>489.52</v>
      </c>
      <c r="F1613" s="0" t="n">
        <v>489.545</v>
      </c>
      <c r="G1613" s="0" t="n">
        <f aca="false">IF(E1613 - F1613 &lt; 0, 0, E1613 - F1613)</f>
        <v>0</v>
      </c>
      <c r="H1613" s="0" t="n">
        <v>1.82</v>
      </c>
      <c r="I1613" s="0" t="n">
        <f aca="false">1.82*30*(G1613^1.5)</f>
        <v>0</v>
      </c>
      <c r="J1613" s="0" t="n">
        <f aca="false">I1613*60</f>
        <v>0</v>
      </c>
      <c r="K1613" s="0" t="n">
        <f aca="false">(I1613*86400)/24</f>
        <v>0</v>
      </c>
    </row>
    <row r="1614" customFormat="false" ht="16.5" hidden="false" customHeight="false" outlineLevel="0" collapsed="false">
      <c r="A1614" s="56" t="n">
        <v>45901.9166666667</v>
      </c>
      <c r="B1614" s="57" t="n">
        <f aca="false">MOD(A1614,1)</f>
        <v>0.916666666656965</v>
      </c>
      <c r="C1614" s="0" t="n">
        <v>0</v>
      </c>
      <c r="D1614" s="0" t="n">
        <v>489.675</v>
      </c>
      <c r="E1614" s="0" t="n">
        <f aca="false">D1614-0.155</f>
        <v>489.52</v>
      </c>
      <c r="F1614" s="0" t="n">
        <v>489.545</v>
      </c>
      <c r="G1614" s="0" t="n">
        <f aca="false">IF(E1614 - F1614 &lt; 0, 0, E1614 - F1614)</f>
        <v>0</v>
      </c>
      <c r="H1614" s="0" t="n">
        <v>1.82</v>
      </c>
      <c r="I1614" s="0" t="n">
        <f aca="false">1.82*30*(G1614^1.5)</f>
        <v>0</v>
      </c>
      <c r="J1614" s="0" t="n">
        <f aca="false">I1614*60</f>
        <v>0</v>
      </c>
      <c r="K1614" s="0" t="n">
        <f aca="false">(I1614*86400)/24</f>
        <v>0</v>
      </c>
    </row>
    <row r="1615" customFormat="false" ht="16.5" hidden="false" customHeight="false" outlineLevel="0" collapsed="false">
      <c r="A1615" s="56" t="n">
        <v>45901.9583333333</v>
      </c>
      <c r="B1615" s="57" t="n">
        <f aca="false">MOD(A1615,1)</f>
        <v>0.958333333343035</v>
      </c>
      <c r="C1615" s="0" t="n">
        <v>0</v>
      </c>
      <c r="D1615" s="0" t="n">
        <v>489.675</v>
      </c>
      <c r="E1615" s="0" t="n">
        <f aca="false">D1615-0.155</f>
        <v>489.52</v>
      </c>
      <c r="F1615" s="0" t="n">
        <v>489.545</v>
      </c>
      <c r="G1615" s="0" t="n">
        <f aca="false">IF(E1615 - F1615 &lt; 0, 0, E1615 - F1615)</f>
        <v>0</v>
      </c>
      <c r="H1615" s="0" t="n">
        <v>1.82</v>
      </c>
      <c r="I1615" s="0" t="n">
        <f aca="false">1.82*30*(G1615^1.5)</f>
        <v>0</v>
      </c>
      <c r="J1615" s="0" t="n">
        <f aca="false">I1615*60</f>
        <v>0</v>
      </c>
      <c r="K1615" s="0" t="n">
        <f aca="false">(I1615*86400)/24</f>
        <v>0</v>
      </c>
    </row>
    <row r="1616" customFormat="false" ht="16.5" hidden="false" customHeight="false" outlineLevel="0" collapsed="false">
      <c r="A1616" s="56" t="n">
        <v>45902</v>
      </c>
      <c r="B1616" s="57" t="n">
        <f aca="false">MOD(A1616,1)</f>
        <v>0</v>
      </c>
      <c r="C1616" s="0" t="n">
        <v>0</v>
      </c>
      <c r="D1616" s="0" t="n">
        <v>489.675</v>
      </c>
      <c r="E1616" s="0" t="n">
        <f aca="false">D1616-0.155</f>
        <v>489.52</v>
      </c>
      <c r="F1616" s="0" t="n">
        <v>489.545</v>
      </c>
      <c r="G1616" s="0" t="n">
        <f aca="false">IF(E1616 - F1616 &lt; 0, 0, E1616 - F1616)</f>
        <v>0</v>
      </c>
      <c r="H1616" s="0" t="n">
        <v>1.82</v>
      </c>
      <c r="I1616" s="0" t="n">
        <f aca="false">1.82*30*(G1616^1.5)</f>
        <v>0</v>
      </c>
      <c r="J1616" s="0" t="n">
        <f aca="false">I1616*60</f>
        <v>0</v>
      </c>
      <c r="K1616" s="0" t="n">
        <f aca="false">(I1616*86400)/24</f>
        <v>0</v>
      </c>
    </row>
    <row r="1617" customFormat="false" ht="16.5" hidden="false" customHeight="false" outlineLevel="0" collapsed="false">
      <c r="A1617" s="56" t="n">
        <v>45902.0416666667</v>
      </c>
      <c r="B1617" s="57" t="n">
        <f aca="false">MOD(A1617,1)</f>
        <v>0.0416666666569654</v>
      </c>
      <c r="C1617" s="0" t="n">
        <v>0</v>
      </c>
      <c r="D1617" s="0" t="n">
        <v>489.675</v>
      </c>
      <c r="E1617" s="0" t="n">
        <f aca="false">D1617-0.155</f>
        <v>489.52</v>
      </c>
      <c r="F1617" s="0" t="n">
        <v>489.545</v>
      </c>
      <c r="G1617" s="0" t="n">
        <f aca="false">IF(E1617 - F1617 &lt; 0, 0, E1617 - F1617)</f>
        <v>0</v>
      </c>
      <c r="H1617" s="0" t="n">
        <v>1.82</v>
      </c>
      <c r="I1617" s="0" t="n">
        <f aca="false">1.82*30*(G1617^1.5)</f>
        <v>0</v>
      </c>
      <c r="J1617" s="0" t="n">
        <f aca="false">I1617*60</f>
        <v>0</v>
      </c>
      <c r="K1617" s="0" t="n">
        <f aca="false">(I1617*86400)/24</f>
        <v>0</v>
      </c>
    </row>
    <row r="1618" customFormat="false" ht="16.5" hidden="false" customHeight="false" outlineLevel="0" collapsed="false">
      <c r="A1618" s="56" t="n">
        <v>45902.0833333333</v>
      </c>
      <c r="B1618" s="57" t="n">
        <f aca="false">MOD(A1618,1)</f>
        <v>0.0833333333430346</v>
      </c>
      <c r="C1618" s="0" t="n">
        <v>0</v>
      </c>
      <c r="D1618" s="0" t="n">
        <v>489.675</v>
      </c>
      <c r="E1618" s="0" t="n">
        <f aca="false">D1618-0.155</f>
        <v>489.52</v>
      </c>
      <c r="F1618" s="0" t="n">
        <v>489.545</v>
      </c>
      <c r="G1618" s="0" t="n">
        <f aca="false">IF(E1618 - F1618 &lt; 0, 0, E1618 - F1618)</f>
        <v>0</v>
      </c>
      <c r="H1618" s="0" t="n">
        <v>1.82</v>
      </c>
      <c r="I1618" s="0" t="n">
        <f aca="false">1.82*30*(G1618^1.5)</f>
        <v>0</v>
      </c>
      <c r="J1618" s="0" t="n">
        <f aca="false">I1618*60</f>
        <v>0</v>
      </c>
      <c r="K1618" s="0" t="n">
        <f aca="false">(I1618*86400)/24</f>
        <v>0</v>
      </c>
    </row>
    <row r="1619" customFormat="false" ht="16.5" hidden="false" customHeight="false" outlineLevel="0" collapsed="false">
      <c r="A1619" s="56" t="n">
        <v>45902.125</v>
      </c>
      <c r="B1619" s="57" t="n">
        <f aca="false">MOD(A1619,1)</f>
        <v>0.125</v>
      </c>
      <c r="C1619" s="0" t="n">
        <v>0</v>
      </c>
      <c r="D1619" s="0" t="n">
        <v>489.67</v>
      </c>
      <c r="E1619" s="0" t="n">
        <f aca="false">D1619-0.155</f>
        <v>489.515</v>
      </c>
      <c r="F1619" s="0" t="n">
        <v>489.545</v>
      </c>
      <c r="G1619" s="0" t="n">
        <f aca="false">IF(E1619 - F1619 &lt; 0, 0, E1619 - F1619)</f>
        <v>0</v>
      </c>
      <c r="H1619" s="0" t="n">
        <v>1.82</v>
      </c>
      <c r="I1619" s="0" t="n">
        <f aca="false">1.82*30*(G1619^1.5)</f>
        <v>0</v>
      </c>
      <c r="J1619" s="0" t="n">
        <f aca="false">I1619*60</f>
        <v>0</v>
      </c>
      <c r="K1619" s="0" t="n">
        <f aca="false">(I1619*86400)/24</f>
        <v>0</v>
      </c>
    </row>
    <row r="1620" customFormat="false" ht="16.5" hidden="false" customHeight="false" outlineLevel="0" collapsed="false">
      <c r="A1620" s="56" t="n">
        <v>45902.1666666667</v>
      </c>
      <c r="B1620" s="57" t="n">
        <f aca="false">MOD(A1620,1)</f>
        <v>0.166666666656965</v>
      </c>
      <c r="C1620" s="0" t="n">
        <v>0</v>
      </c>
      <c r="D1620" s="0" t="n">
        <v>489.67</v>
      </c>
      <c r="E1620" s="0" t="n">
        <f aca="false">D1620-0.155</f>
        <v>489.515</v>
      </c>
      <c r="F1620" s="0" t="n">
        <v>489.545</v>
      </c>
      <c r="G1620" s="0" t="n">
        <f aca="false">IF(E1620 - F1620 &lt; 0, 0, E1620 - F1620)</f>
        <v>0</v>
      </c>
      <c r="H1620" s="0" t="n">
        <v>1.82</v>
      </c>
      <c r="I1620" s="0" t="n">
        <f aca="false">1.82*30*(G1620^1.5)</f>
        <v>0</v>
      </c>
      <c r="J1620" s="0" t="n">
        <f aca="false">I1620*60</f>
        <v>0</v>
      </c>
      <c r="K1620" s="0" t="n">
        <f aca="false">(I1620*86400)/24</f>
        <v>0</v>
      </c>
    </row>
    <row r="1621" customFormat="false" ht="16.5" hidden="false" customHeight="false" outlineLevel="0" collapsed="false">
      <c r="A1621" s="56" t="n">
        <v>45902.2083333333</v>
      </c>
      <c r="B1621" s="57" t="n">
        <f aca="false">MOD(A1621,1)</f>
        <v>0.208333333343035</v>
      </c>
      <c r="C1621" s="0" t="n">
        <v>0</v>
      </c>
      <c r="D1621" s="0" t="n">
        <v>489.67</v>
      </c>
      <c r="E1621" s="0" t="n">
        <f aca="false">D1621-0.155</f>
        <v>489.515</v>
      </c>
      <c r="F1621" s="0" t="n">
        <v>489.545</v>
      </c>
      <c r="G1621" s="0" t="n">
        <f aca="false">IF(E1621 - F1621 &lt; 0, 0, E1621 - F1621)</f>
        <v>0</v>
      </c>
      <c r="H1621" s="0" t="n">
        <v>1.82</v>
      </c>
      <c r="I1621" s="0" t="n">
        <f aca="false">1.82*30*(G1621^1.5)</f>
        <v>0</v>
      </c>
      <c r="J1621" s="0" t="n">
        <f aca="false">I1621*60</f>
        <v>0</v>
      </c>
      <c r="K1621" s="0" t="n">
        <f aca="false">(I1621*86400)/24</f>
        <v>0</v>
      </c>
    </row>
    <row r="1622" customFormat="false" ht="16.5" hidden="false" customHeight="false" outlineLevel="0" collapsed="false">
      <c r="A1622" s="56" t="n">
        <v>45902.25</v>
      </c>
      <c r="B1622" s="57" t="n">
        <f aca="false">MOD(A1622,1)</f>
        <v>0.25</v>
      </c>
      <c r="C1622" s="0" t="n">
        <v>0</v>
      </c>
      <c r="D1622" s="0" t="n">
        <v>489.663</v>
      </c>
      <c r="E1622" s="0" t="n">
        <f aca="false">D1622-0.155</f>
        <v>489.508</v>
      </c>
      <c r="F1622" s="0" t="n">
        <v>489.545</v>
      </c>
      <c r="G1622" s="0" t="n">
        <f aca="false">IF(E1622 - F1622 &lt; 0, 0, E1622 - F1622)</f>
        <v>0</v>
      </c>
      <c r="H1622" s="0" t="n">
        <v>1.82</v>
      </c>
      <c r="I1622" s="0" t="n">
        <f aca="false">1.82*30*(G1622^1.5)</f>
        <v>0</v>
      </c>
      <c r="J1622" s="0" t="n">
        <f aca="false">I1622*60</f>
        <v>0</v>
      </c>
      <c r="K1622" s="0" t="n">
        <f aca="false">(I1622*86400)/24</f>
        <v>0</v>
      </c>
    </row>
    <row r="1623" customFormat="false" ht="16.5" hidden="false" customHeight="false" outlineLevel="0" collapsed="false">
      <c r="A1623" s="56" t="n">
        <v>45902.2916666667</v>
      </c>
      <c r="B1623" s="57" t="n">
        <f aca="false">MOD(A1623,1)</f>
        <v>0.291666666656965</v>
      </c>
      <c r="C1623" s="0" t="n">
        <v>0</v>
      </c>
      <c r="D1623" s="0" t="n">
        <v>489.669</v>
      </c>
      <c r="E1623" s="0" t="n">
        <f aca="false">D1623-0.155</f>
        <v>489.514</v>
      </c>
      <c r="F1623" s="0" t="n">
        <v>489.545</v>
      </c>
      <c r="G1623" s="0" t="n">
        <f aca="false">IF(E1623 - F1623 &lt; 0, 0, E1623 - F1623)</f>
        <v>0</v>
      </c>
      <c r="H1623" s="0" t="n">
        <v>1.82</v>
      </c>
      <c r="I1623" s="0" t="n">
        <f aca="false">1.82*30*(G1623^1.5)</f>
        <v>0</v>
      </c>
      <c r="J1623" s="0" t="n">
        <f aca="false">I1623*60</f>
        <v>0</v>
      </c>
      <c r="K1623" s="0" t="n">
        <f aca="false">(I1623*86400)/24</f>
        <v>0</v>
      </c>
    </row>
    <row r="1624" customFormat="false" ht="16.5" hidden="false" customHeight="false" outlineLevel="0" collapsed="false">
      <c r="A1624" s="56" t="n">
        <v>45902.3333333333</v>
      </c>
      <c r="B1624" s="57" t="n">
        <f aca="false">MOD(A1624,1)</f>
        <v>0.333333333343035</v>
      </c>
      <c r="C1624" s="0" t="n">
        <v>0</v>
      </c>
      <c r="D1624" s="0" t="n">
        <v>489.669</v>
      </c>
      <c r="E1624" s="0" t="n">
        <f aca="false">D1624-0.155</f>
        <v>489.514</v>
      </c>
      <c r="F1624" s="0" t="n">
        <v>489.545</v>
      </c>
      <c r="G1624" s="0" t="n">
        <f aca="false">IF(E1624 - F1624 &lt; 0, 0, E1624 - F1624)</f>
        <v>0</v>
      </c>
      <c r="H1624" s="0" t="n">
        <v>1.82</v>
      </c>
      <c r="I1624" s="0" t="n">
        <f aca="false">1.82*30*(G1624^1.5)</f>
        <v>0</v>
      </c>
      <c r="J1624" s="0" t="n">
        <f aca="false">I1624*60</f>
        <v>0</v>
      </c>
      <c r="K1624" s="0" t="n">
        <f aca="false">(I1624*86400)/24</f>
        <v>0</v>
      </c>
    </row>
    <row r="1625" customFormat="false" ht="16.5" hidden="false" customHeight="false" outlineLevel="0" collapsed="false">
      <c r="A1625" s="56" t="n">
        <v>45902.375</v>
      </c>
      <c r="B1625" s="57" t="n">
        <f aca="false">MOD(A1625,1)</f>
        <v>0.375</v>
      </c>
      <c r="C1625" s="0" t="n">
        <v>0</v>
      </c>
      <c r="D1625" s="0" t="n">
        <v>489.669</v>
      </c>
      <c r="E1625" s="0" t="n">
        <f aca="false">D1625-0.155</f>
        <v>489.514</v>
      </c>
      <c r="F1625" s="0" t="n">
        <v>489.545</v>
      </c>
      <c r="G1625" s="0" t="n">
        <f aca="false">IF(E1625 - F1625 &lt; 0, 0, E1625 - F1625)</f>
        <v>0</v>
      </c>
      <c r="H1625" s="0" t="n">
        <v>1.82</v>
      </c>
      <c r="I1625" s="0" t="n">
        <f aca="false">1.82*30*(G1625^1.5)</f>
        <v>0</v>
      </c>
      <c r="J1625" s="0" t="n">
        <f aca="false">I1625*60</f>
        <v>0</v>
      </c>
      <c r="K1625" s="0" t="n">
        <f aca="false">(I1625*86400)/24</f>
        <v>0</v>
      </c>
    </row>
    <row r="1626" customFormat="false" ht="16.5" hidden="false" customHeight="false" outlineLevel="0" collapsed="false">
      <c r="A1626" s="56" t="n">
        <v>45902.4166666667</v>
      </c>
      <c r="B1626" s="57" t="n">
        <f aca="false">MOD(A1626,1)</f>
        <v>0.416666666656965</v>
      </c>
      <c r="C1626" s="0" t="n">
        <v>0</v>
      </c>
      <c r="D1626" s="0" t="n">
        <v>489.662</v>
      </c>
      <c r="E1626" s="0" t="n">
        <f aca="false">D1626-0.155</f>
        <v>489.507</v>
      </c>
      <c r="F1626" s="0" t="n">
        <v>489.545</v>
      </c>
      <c r="G1626" s="0" t="n">
        <f aca="false">IF(E1626 - F1626 &lt; 0, 0, E1626 - F1626)</f>
        <v>0</v>
      </c>
      <c r="H1626" s="0" t="n">
        <v>1.82</v>
      </c>
      <c r="I1626" s="0" t="n">
        <f aca="false">1.82*30*(G1626^1.5)</f>
        <v>0</v>
      </c>
      <c r="J1626" s="0" t="n">
        <f aca="false">I1626*60</f>
        <v>0</v>
      </c>
      <c r="K1626" s="0" t="n">
        <f aca="false">(I1626*86400)/24</f>
        <v>0</v>
      </c>
    </row>
    <row r="1627" customFormat="false" ht="16.5" hidden="false" customHeight="false" outlineLevel="0" collapsed="false">
      <c r="A1627" s="56" t="n">
        <v>45902.4583333333</v>
      </c>
      <c r="B1627" s="57" t="n">
        <f aca="false">MOD(A1627,1)</f>
        <v>0.458333333343035</v>
      </c>
      <c r="C1627" s="0" t="n">
        <v>0</v>
      </c>
      <c r="D1627" s="0" t="n">
        <v>489.662</v>
      </c>
      <c r="E1627" s="0" t="n">
        <f aca="false">D1627-0.155</f>
        <v>489.507</v>
      </c>
      <c r="F1627" s="0" t="n">
        <v>489.545</v>
      </c>
      <c r="G1627" s="0" t="n">
        <f aca="false">IF(E1627 - F1627 &lt; 0, 0, E1627 - F1627)</f>
        <v>0</v>
      </c>
      <c r="H1627" s="0" t="n">
        <v>1.82</v>
      </c>
      <c r="I1627" s="0" t="n">
        <f aca="false">1.82*30*(G1627^1.5)</f>
        <v>0</v>
      </c>
      <c r="J1627" s="0" t="n">
        <f aca="false">I1627*60</f>
        <v>0</v>
      </c>
      <c r="K1627" s="0" t="n">
        <f aca="false">(I1627*86400)/24</f>
        <v>0</v>
      </c>
    </row>
    <row r="1628" customFormat="false" ht="16.5" hidden="false" customHeight="false" outlineLevel="0" collapsed="false">
      <c r="A1628" s="56" t="n">
        <v>45902.5</v>
      </c>
      <c r="B1628" s="57" t="n">
        <f aca="false">MOD(A1628,1)</f>
        <v>0.5</v>
      </c>
      <c r="C1628" s="0" t="n">
        <v>0</v>
      </c>
      <c r="D1628" s="0" t="n">
        <v>489.662</v>
      </c>
      <c r="E1628" s="0" t="n">
        <f aca="false">D1628-0.155</f>
        <v>489.507</v>
      </c>
      <c r="F1628" s="0" t="n">
        <v>489.545</v>
      </c>
      <c r="G1628" s="0" t="n">
        <f aca="false">IF(E1628 - F1628 &lt; 0, 0, E1628 - F1628)</f>
        <v>0</v>
      </c>
      <c r="H1628" s="0" t="n">
        <v>1.82</v>
      </c>
      <c r="I1628" s="0" t="n">
        <f aca="false">1.82*30*(G1628^1.5)</f>
        <v>0</v>
      </c>
      <c r="J1628" s="0" t="n">
        <f aca="false">I1628*60</f>
        <v>0</v>
      </c>
      <c r="K1628" s="0" t="n">
        <f aca="false">(I1628*86400)/24</f>
        <v>0</v>
      </c>
    </row>
    <row r="1629" customFormat="false" ht="16.5" hidden="false" customHeight="false" outlineLevel="0" collapsed="false">
      <c r="A1629" s="56" t="n">
        <v>45902.5416666667</v>
      </c>
      <c r="B1629" s="57" t="n">
        <f aca="false">MOD(A1629,1)</f>
        <v>0.541666666656965</v>
      </c>
      <c r="C1629" s="0" t="n">
        <v>0</v>
      </c>
      <c r="D1629" s="0" t="n">
        <v>489.662</v>
      </c>
      <c r="E1629" s="0" t="n">
        <f aca="false">D1629-0.155</f>
        <v>489.507</v>
      </c>
      <c r="F1629" s="0" t="n">
        <v>489.545</v>
      </c>
      <c r="G1629" s="0" t="n">
        <f aca="false">IF(E1629 - F1629 &lt; 0, 0, E1629 - F1629)</f>
        <v>0</v>
      </c>
      <c r="H1629" s="0" t="n">
        <v>1.82</v>
      </c>
      <c r="I1629" s="0" t="n">
        <f aca="false">1.82*30*(G1629^1.5)</f>
        <v>0</v>
      </c>
      <c r="J1629" s="0" t="n">
        <f aca="false">I1629*60</f>
        <v>0</v>
      </c>
      <c r="K1629" s="0" t="n">
        <f aca="false">(I1629*86400)/24</f>
        <v>0</v>
      </c>
    </row>
    <row r="1630" customFormat="false" ht="16.5" hidden="false" customHeight="false" outlineLevel="0" collapsed="false">
      <c r="A1630" s="56" t="n">
        <v>45902.5833333333</v>
      </c>
      <c r="B1630" s="57" t="n">
        <f aca="false">MOD(A1630,1)</f>
        <v>0.583333333343035</v>
      </c>
      <c r="C1630" s="0" t="n">
        <v>1.2</v>
      </c>
      <c r="D1630" s="0" t="n">
        <v>489.662</v>
      </c>
      <c r="E1630" s="0" t="n">
        <f aca="false">D1630-0.155</f>
        <v>489.507</v>
      </c>
      <c r="F1630" s="0" t="n">
        <v>489.545</v>
      </c>
      <c r="G1630" s="0" t="n">
        <f aca="false">IF(E1630 - F1630 &lt; 0, 0, E1630 - F1630)</f>
        <v>0</v>
      </c>
      <c r="H1630" s="0" t="n">
        <v>1.82</v>
      </c>
      <c r="I1630" s="0" t="n">
        <f aca="false">1.82*30*(G1630^1.5)</f>
        <v>0</v>
      </c>
      <c r="J1630" s="0" t="n">
        <f aca="false">I1630*60</f>
        <v>0</v>
      </c>
      <c r="K1630" s="0" t="n">
        <f aca="false">(I1630*86400)/24</f>
        <v>0</v>
      </c>
    </row>
    <row r="1631" customFormat="false" ht="16.5" hidden="false" customHeight="false" outlineLevel="0" collapsed="false">
      <c r="A1631" s="56" t="n">
        <v>45902.625</v>
      </c>
      <c r="B1631" s="57" t="n">
        <f aca="false">MOD(A1631,1)</f>
        <v>0.625</v>
      </c>
      <c r="C1631" s="0" t="n">
        <v>0</v>
      </c>
      <c r="D1631" s="0" t="n">
        <v>489.669</v>
      </c>
      <c r="E1631" s="0" t="n">
        <f aca="false">D1631-0.155</f>
        <v>489.514</v>
      </c>
      <c r="F1631" s="0" t="n">
        <v>489.545</v>
      </c>
      <c r="G1631" s="0" t="n">
        <f aca="false">IF(E1631 - F1631 &lt; 0, 0, E1631 - F1631)</f>
        <v>0</v>
      </c>
      <c r="H1631" s="0" t="n">
        <v>1.82</v>
      </c>
      <c r="I1631" s="0" t="n">
        <f aca="false">1.82*30*(G1631^1.5)</f>
        <v>0</v>
      </c>
      <c r="J1631" s="0" t="n">
        <f aca="false">I1631*60</f>
        <v>0</v>
      </c>
      <c r="K1631" s="0" t="n">
        <f aca="false">(I1631*86400)/24</f>
        <v>0</v>
      </c>
    </row>
    <row r="1632" customFormat="false" ht="16.5" hidden="false" customHeight="false" outlineLevel="0" collapsed="false">
      <c r="A1632" s="56" t="n">
        <v>45902.6666666667</v>
      </c>
      <c r="B1632" s="57" t="n">
        <f aca="false">MOD(A1632,1)</f>
        <v>0.666666666656965</v>
      </c>
      <c r="C1632" s="0" t="n">
        <v>0</v>
      </c>
      <c r="D1632" s="0" t="n">
        <v>489.675</v>
      </c>
      <c r="E1632" s="0" t="n">
        <f aca="false">D1632-0.155</f>
        <v>489.52</v>
      </c>
      <c r="F1632" s="0" t="n">
        <v>489.545</v>
      </c>
      <c r="G1632" s="0" t="n">
        <f aca="false">IF(E1632 - F1632 &lt; 0, 0, E1632 - F1632)</f>
        <v>0</v>
      </c>
      <c r="H1632" s="0" t="n">
        <v>1.82</v>
      </c>
      <c r="I1632" s="0" t="n">
        <f aca="false">1.82*30*(G1632^1.5)</f>
        <v>0</v>
      </c>
      <c r="J1632" s="0" t="n">
        <f aca="false">I1632*60</f>
        <v>0</v>
      </c>
      <c r="K1632" s="0" t="n">
        <f aca="false">(I1632*86400)/24</f>
        <v>0</v>
      </c>
    </row>
    <row r="1633" customFormat="false" ht="16.5" hidden="false" customHeight="false" outlineLevel="0" collapsed="false">
      <c r="A1633" s="56" t="n">
        <v>45902.7083333333</v>
      </c>
      <c r="B1633" s="57" t="n">
        <f aca="false">MOD(A1633,1)</f>
        <v>0.708333333343035</v>
      </c>
      <c r="C1633" s="0" t="n">
        <v>0.2</v>
      </c>
      <c r="D1633" s="0" t="n">
        <v>489.675</v>
      </c>
      <c r="E1633" s="0" t="n">
        <f aca="false">D1633-0.155</f>
        <v>489.52</v>
      </c>
      <c r="F1633" s="0" t="n">
        <v>489.545</v>
      </c>
      <c r="G1633" s="0" t="n">
        <f aca="false">IF(E1633 - F1633 &lt; 0, 0, E1633 - F1633)</f>
        <v>0</v>
      </c>
      <c r="H1633" s="0" t="n">
        <v>1.82</v>
      </c>
      <c r="I1633" s="0" t="n">
        <f aca="false">1.82*30*(G1633^1.5)</f>
        <v>0</v>
      </c>
      <c r="J1633" s="0" t="n">
        <f aca="false">I1633*60</f>
        <v>0</v>
      </c>
      <c r="K1633" s="0" t="n">
        <f aca="false">(I1633*86400)/24</f>
        <v>0</v>
      </c>
    </row>
    <row r="1634" customFormat="false" ht="16.5" hidden="false" customHeight="false" outlineLevel="0" collapsed="false">
      <c r="A1634" s="56" t="n">
        <v>45902.75</v>
      </c>
      <c r="B1634" s="57" t="n">
        <f aca="false">MOD(A1634,1)</f>
        <v>0.75</v>
      </c>
      <c r="C1634" s="0" t="n">
        <v>0</v>
      </c>
      <c r="D1634" s="0" t="n">
        <v>489.675</v>
      </c>
      <c r="E1634" s="0" t="n">
        <f aca="false">D1634-0.155</f>
        <v>489.52</v>
      </c>
      <c r="F1634" s="0" t="n">
        <v>489.545</v>
      </c>
      <c r="G1634" s="0" t="n">
        <f aca="false">IF(E1634 - F1634 &lt; 0, 0, E1634 - F1634)</f>
        <v>0</v>
      </c>
      <c r="H1634" s="0" t="n">
        <v>1.82</v>
      </c>
      <c r="I1634" s="0" t="n">
        <f aca="false">1.82*30*(G1634^1.5)</f>
        <v>0</v>
      </c>
      <c r="J1634" s="0" t="n">
        <f aca="false">I1634*60</f>
        <v>0</v>
      </c>
      <c r="K1634" s="0" t="n">
        <f aca="false">(I1634*86400)/24</f>
        <v>0</v>
      </c>
    </row>
    <row r="1635" customFormat="false" ht="16.5" hidden="false" customHeight="false" outlineLevel="0" collapsed="false">
      <c r="A1635" s="56" t="n">
        <v>45902.7916666667</v>
      </c>
      <c r="B1635" s="57" t="n">
        <f aca="false">MOD(A1635,1)</f>
        <v>0.791666666656965</v>
      </c>
      <c r="C1635" s="0" t="n">
        <v>0</v>
      </c>
      <c r="D1635" s="0" t="n">
        <v>489.675</v>
      </c>
      <c r="E1635" s="0" t="n">
        <f aca="false">D1635-0.155</f>
        <v>489.52</v>
      </c>
      <c r="F1635" s="0" t="n">
        <v>489.545</v>
      </c>
      <c r="G1635" s="0" t="n">
        <f aca="false">IF(E1635 - F1635 &lt; 0, 0, E1635 - F1635)</f>
        <v>0</v>
      </c>
      <c r="H1635" s="0" t="n">
        <v>1.82</v>
      </c>
      <c r="I1635" s="0" t="n">
        <f aca="false">1.82*30*(G1635^1.5)</f>
        <v>0</v>
      </c>
      <c r="J1635" s="0" t="n">
        <f aca="false">I1635*60</f>
        <v>0</v>
      </c>
      <c r="K1635" s="0" t="n">
        <f aca="false">(I1635*86400)/24</f>
        <v>0</v>
      </c>
    </row>
    <row r="1636" customFormat="false" ht="16.5" hidden="false" customHeight="false" outlineLevel="0" collapsed="false">
      <c r="A1636" s="56" t="n">
        <v>45902.8333333333</v>
      </c>
      <c r="B1636" s="57" t="n">
        <f aca="false">MOD(A1636,1)</f>
        <v>0.833333333343035</v>
      </c>
      <c r="C1636" s="0" t="n">
        <v>0</v>
      </c>
      <c r="D1636" s="0" t="n">
        <v>489.675</v>
      </c>
      <c r="E1636" s="0" t="n">
        <f aca="false">D1636-0.155</f>
        <v>489.52</v>
      </c>
      <c r="F1636" s="0" t="n">
        <v>489.545</v>
      </c>
      <c r="G1636" s="0" t="n">
        <f aca="false">IF(E1636 - F1636 &lt; 0, 0, E1636 - F1636)</f>
        <v>0</v>
      </c>
      <c r="H1636" s="0" t="n">
        <v>1.82</v>
      </c>
      <c r="I1636" s="0" t="n">
        <f aca="false">1.82*30*(G1636^1.5)</f>
        <v>0</v>
      </c>
      <c r="J1636" s="0" t="n">
        <f aca="false">I1636*60</f>
        <v>0</v>
      </c>
      <c r="K1636" s="0" t="n">
        <f aca="false">(I1636*86400)/24</f>
        <v>0</v>
      </c>
    </row>
    <row r="1637" customFormat="false" ht="16.5" hidden="false" customHeight="false" outlineLevel="0" collapsed="false">
      <c r="A1637" s="56" t="n">
        <v>45902.875</v>
      </c>
      <c r="B1637" s="57" t="n">
        <f aca="false">MOD(A1637,1)</f>
        <v>0.875</v>
      </c>
      <c r="C1637" s="0" t="n">
        <v>0</v>
      </c>
      <c r="D1637" s="0" t="n">
        <v>489.675</v>
      </c>
      <c r="E1637" s="0" t="n">
        <f aca="false">D1637-0.155</f>
        <v>489.52</v>
      </c>
      <c r="F1637" s="0" t="n">
        <v>489.545</v>
      </c>
      <c r="G1637" s="0" t="n">
        <f aca="false">IF(E1637 - F1637 &lt; 0, 0, E1637 - F1637)</f>
        <v>0</v>
      </c>
      <c r="H1637" s="0" t="n">
        <v>1.82</v>
      </c>
      <c r="I1637" s="0" t="n">
        <f aca="false">1.82*30*(G1637^1.5)</f>
        <v>0</v>
      </c>
      <c r="J1637" s="0" t="n">
        <f aca="false">I1637*60</f>
        <v>0</v>
      </c>
      <c r="K1637" s="0" t="n">
        <f aca="false">(I1637*86400)/24</f>
        <v>0</v>
      </c>
    </row>
    <row r="1638" customFormat="false" ht="16.5" hidden="false" customHeight="false" outlineLevel="0" collapsed="false">
      <c r="A1638" s="56" t="n">
        <v>45902.9166666667</v>
      </c>
      <c r="B1638" s="57" t="n">
        <f aca="false">MOD(A1638,1)</f>
        <v>0.916666666656965</v>
      </c>
      <c r="C1638" s="0" t="n">
        <v>0</v>
      </c>
      <c r="D1638" s="0" t="n">
        <v>489.675</v>
      </c>
      <c r="E1638" s="0" t="n">
        <f aca="false">D1638-0.155</f>
        <v>489.52</v>
      </c>
      <c r="F1638" s="0" t="n">
        <v>489.545</v>
      </c>
      <c r="G1638" s="0" t="n">
        <f aca="false">IF(E1638 - F1638 &lt; 0, 0, E1638 - F1638)</f>
        <v>0</v>
      </c>
      <c r="H1638" s="0" t="n">
        <v>1.82</v>
      </c>
      <c r="I1638" s="0" t="n">
        <f aca="false">1.82*30*(G1638^1.5)</f>
        <v>0</v>
      </c>
      <c r="J1638" s="0" t="n">
        <f aca="false">I1638*60</f>
        <v>0</v>
      </c>
      <c r="K1638" s="0" t="n">
        <f aca="false">(I1638*86400)/24</f>
        <v>0</v>
      </c>
    </row>
    <row r="1639" customFormat="false" ht="16.5" hidden="false" customHeight="false" outlineLevel="0" collapsed="false">
      <c r="A1639" s="56" t="n">
        <v>45902.9583333333</v>
      </c>
      <c r="B1639" s="57" t="n">
        <f aca="false">MOD(A1639,1)</f>
        <v>0.958333333343035</v>
      </c>
      <c r="C1639" s="0" t="n">
        <v>0</v>
      </c>
      <c r="D1639" s="0" t="n">
        <v>489.675</v>
      </c>
      <c r="E1639" s="0" t="n">
        <f aca="false">D1639-0.155</f>
        <v>489.52</v>
      </c>
      <c r="F1639" s="0" t="n">
        <v>489.545</v>
      </c>
      <c r="G1639" s="0" t="n">
        <f aca="false">IF(E1639 - F1639 &lt; 0, 0, E1639 - F1639)</f>
        <v>0</v>
      </c>
      <c r="H1639" s="0" t="n">
        <v>1.82</v>
      </c>
      <c r="I1639" s="0" t="n">
        <f aca="false">1.82*30*(G1639^1.5)</f>
        <v>0</v>
      </c>
      <c r="J1639" s="0" t="n">
        <f aca="false">I1639*60</f>
        <v>0</v>
      </c>
      <c r="K1639" s="0" t="n">
        <f aca="false">(I1639*86400)/24</f>
        <v>0</v>
      </c>
    </row>
    <row r="1640" customFormat="false" ht="16.5" hidden="false" customHeight="false" outlineLevel="0" collapsed="false">
      <c r="A1640" s="56" t="n">
        <v>45903</v>
      </c>
      <c r="B1640" s="57" t="n">
        <f aca="false">MOD(A1640,1)</f>
        <v>0</v>
      </c>
      <c r="C1640" s="0" t="n">
        <v>0</v>
      </c>
      <c r="D1640" s="0" t="n">
        <v>489.676</v>
      </c>
      <c r="E1640" s="0" t="n">
        <f aca="false">D1640-0.155</f>
        <v>489.521</v>
      </c>
      <c r="F1640" s="0" t="n">
        <v>489.545</v>
      </c>
      <c r="G1640" s="0" t="n">
        <f aca="false">IF(E1640 - F1640 &lt; 0, 0, E1640 - F1640)</f>
        <v>0</v>
      </c>
      <c r="H1640" s="0" t="n">
        <v>1.82</v>
      </c>
      <c r="I1640" s="0" t="n">
        <f aca="false">1.82*30*(G1640^1.5)</f>
        <v>0</v>
      </c>
      <c r="J1640" s="0" t="n">
        <f aca="false">I1640*60</f>
        <v>0</v>
      </c>
      <c r="K1640" s="0" t="n">
        <f aca="false">(I1640*86400)/24</f>
        <v>0</v>
      </c>
    </row>
    <row r="1641" customFormat="false" ht="16.5" hidden="false" customHeight="false" outlineLevel="0" collapsed="false">
      <c r="A1641" s="56" t="n">
        <v>45903.0416666667</v>
      </c>
      <c r="B1641" s="57" t="n">
        <f aca="false">MOD(A1641,1)</f>
        <v>0.0416666666569654</v>
      </c>
      <c r="C1641" s="0" t="n">
        <v>0</v>
      </c>
      <c r="D1641" s="0" t="n">
        <v>489.675</v>
      </c>
      <c r="E1641" s="0" t="n">
        <f aca="false">D1641-0.155</f>
        <v>489.52</v>
      </c>
      <c r="F1641" s="0" t="n">
        <v>489.545</v>
      </c>
      <c r="G1641" s="0" t="n">
        <f aca="false">IF(E1641 - F1641 &lt; 0, 0, E1641 - F1641)</f>
        <v>0</v>
      </c>
      <c r="H1641" s="0" t="n">
        <v>1.82</v>
      </c>
      <c r="I1641" s="0" t="n">
        <f aca="false">1.82*30*(G1641^1.5)</f>
        <v>0</v>
      </c>
      <c r="J1641" s="0" t="n">
        <f aca="false">I1641*60</f>
        <v>0</v>
      </c>
      <c r="K1641" s="0" t="n">
        <f aca="false">(I1641*86400)/24</f>
        <v>0</v>
      </c>
    </row>
    <row r="1642" customFormat="false" ht="16.5" hidden="false" customHeight="false" outlineLevel="0" collapsed="false">
      <c r="A1642" s="56" t="n">
        <v>45903.0833333333</v>
      </c>
      <c r="B1642" s="57" t="n">
        <f aca="false">MOD(A1642,1)</f>
        <v>0.0833333333430346</v>
      </c>
      <c r="C1642" s="0" t="n">
        <v>0</v>
      </c>
      <c r="D1642" s="0" t="n">
        <v>489.676</v>
      </c>
      <c r="E1642" s="0" t="n">
        <f aca="false">D1642-0.155</f>
        <v>489.521</v>
      </c>
      <c r="F1642" s="0" t="n">
        <v>489.545</v>
      </c>
      <c r="G1642" s="0" t="n">
        <f aca="false">IF(E1642 - F1642 &lt; 0, 0, E1642 - F1642)</f>
        <v>0</v>
      </c>
      <c r="H1642" s="0" t="n">
        <v>1.82</v>
      </c>
      <c r="I1642" s="0" t="n">
        <f aca="false">1.82*30*(G1642^1.5)</f>
        <v>0</v>
      </c>
      <c r="J1642" s="0" t="n">
        <f aca="false">I1642*60</f>
        <v>0</v>
      </c>
      <c r="K1642" s="0" t="n">
        <f aca="false">(I1642*86400)/24</f>
        <v>0</v>
      </c>
    </row>
    <row r="1643" customFormat="false" ht="16.5" hidden="false" customHeight="false" outlineLevel="0" collapsed="false">
      <c r="A1643" s="56" t="n">
        <v>45903.125</v>
      </c>
      <c r="B1643" s="57" t="n">
        <f aca="false">MOD(A1643,1)</f>
        <v>0.125</v>
      </c>
      <c r="C1643" s="0" t="n">
        <v>0</v>
      </c>
      <c r="D1643" s="0" t="n">
        <v>489.675</v>
      </c>
      <c r="E1643" s="0" t="n">
        <f aca="false">D1643-0.155</f>
        <v>489.52</v>
      </c>
      <c r="F1643" s="0" t="n">
        <v>489.545</v>
      </c>
      <c r="G1643" s="0" t="n">
        <f aca="false">IF(E1643 - F1643 &lt; 0, 0, E1643 - F1643)</f>
        <v>0</v>
      </c>
      <c r="H1643" s="0" t="n">
        <v>1.82</v>
      </c>
      <c r="I1643" s="0" t="n">
        <f aca="false">1.82*30*(G1643^1.5)</f>
        <v>0</v>
      </c>
      <c r="J1643" s="0" t="n">
        <f aca="false">I1643*60</f>
        <v>0</v>
      </c>
      <c r="K1643" s="0" t="n">
        <f aca="false">(I1643*86400)/24</f>
        <v>0</v>
      </c>
    </row>
    <row r="1644" customFormat="false" ht="16.5" hidden="false" customHeight="false" outlineLevel="0" collapsed="false">
      <c r="A1644" s="56" t="n">
        <v>45903.1666666667</v>
      </c>
      <c r="B1644" s="57" t="n">
        <f aca="false">MOD(A1644,1)</f>
        <v>0.166666666656965</v>
      </c>
      <c r="C1644" s="0" t="n">
        <v>0</v>
      </c>
      <c r="D1644" s="0" t="n">
        <v>489.669</v>
      </c>
      <c r="E1644" s="0" t="n">
        <f aca="false">D1644-0.155</f>
        <v>489.514</v>
      </c>
      <c r="F1644" s="0" t="n">
        <v>489.545</v>
      </c>
      <c r="G1644" s="0" t="n">
        <f aca="false">IF(E1644 - F1644 &lt; 0, 0, E1644 - F1644)</f>
        <v>0</v>
      </c>
      <c r="H1644" s="0" t="n">
        <v>1.82</v>
      </c>
      <c r="I1644" s="0" t="n">
        <f aca="false">1.82*30*(G1644^1.5)</f>
        <v>0</v>
      </c>
      <c r="J1644" s="0" t="n">
        <f aca="false">I1644*60</f>
        <v>0</v>
      </c>
      <c r="K1644" s="0" t="n">
        <f aca="false">(I1644*86400)/24</f>
        <v>0</v>
      </c>
    </row>
    <row r="1645" customFormat="false" ht="16.5" hidden="false" customHeight="false" outlineLevel="0" collapsed="false">
      <c r="A1645" s="56" t="n">
        <v>45903.2083333333</v>
      </c>
      <c r="B1645" s="57" t="n">
        <f aca="false">MOD(A1645,1)</f>
        <v>0.208333333343035</v>
      </c>
      <c r="C1645" s="0" t="n">
        <v>0</v>
      </c>
      <c r="D1645" s="0" t="n">
        <v>489.67</v>
      </c>
      <c r="E1645" s="0" t="n">
        <f aca="false">D1645-0.155</f>
        <v>489.515</v>
      </c>
      <c r="F1645" s="0" t="n">
        <v>489.545</v>
      </c>
      <c r="G1645" s="0" t="n">
        <f aca="false">IF(E1645 - F1645 &lt; 0, 0, E1645 - F1645)</f>
        <v>0</v>
      </c>
      <c r="H1645" s="0" t="n">
        <v>1.82</v>
      </c>
      <c r="I1645" s="0" t="n">
        <f aca="false">1.82*30*(G1645^1.5)</f>
        <v>0</v>
      </c>
      <c r="J1645" s="0" t="n">
        <f aca="false">I1645*60</f>
        <v>0</v>
      </c>
      <c r="K1645" s="0" t="n">
        <f aca="false">(I1645*86400)/24</f>
        <v>0</v>
      </c>
    </row>
    <row r="1646" customFormat="false" ht="16.5" hidden="false" customHeight="false" outlineLevel="0" collapsed="false">
      <c r="A1646" s="56" t="n">
        <v>45903.25</v>
      </c>
      <c r="B1646" s="57" t="n">
        <f aca="false">MOD(A1646,1)</f>
        <v>0.25</v>
      </c>
      <c r="C1646" s="0" t="n">
        <v>0</v>
      </c>
      <c r="D1646" s="0" t="n">
        <v>489.669</v>
      </c>
      <c r="E1646" s="0" t="n">
        <f aca="false">D1646-0.155</f>
        <v>489.514</v>
      </c>
      <c r="F1646" s="0" t="n">
        <v>489.545</v>
      </c>
      <c r="G1646" s="0" t="n">
        <f aca="false">IF(E1646 - F1646 &lt; 0, 0, E1646 - F1646)</f>
        <v>0</v>
      </c>
      <c r="H1646" s="0" t="n">
        <v>1.82</v>
      </c>
      <c r="I1646" s="0" t="n">
        <f aca="false">1.82*30*(G1646^1.5)</f>
        <v>0</v>
      </c>
      <c r="J1646" s="0" t="n">
        <f aca="false">I1646*60</f>
        <v>0</v>
      </c>
      <c r="K1646" s="0" t="n">
        <f aca="false">(I1646*86400)/24</f>
        <v>0</v>
      </c>
    </row>
    <row r="1647" customFormat="false" ht="16.5" hidden="false" customHeight="false" outlineLevel="0" collapsed="false">
      <c r="A1647" s="56" t="n">
        <v>45903.2916666667</v>
      </c>
      <c r="B1647" s="57" t="n">
        <f aca="false">MOD(A1647,1)</f>
        <v>0.291666666656965</v>
      </c>
      <c r="C1647" s="0" t="n">
        <v>0</v>
      </c>
      <c r="D1647" s="0" t="n">
        <v>489.67</v>
      </c>
      <c r="E1647" s="0" t="n">
        <f aca="false">D1647-0.155</f>
        <v>489.515</v>
      </c>
      <c r="F1647" s="0" t="n">
        <v>489.545</v>
      </c>
      <c r="G1647" s="0" t="n">
        <f aca="false">IF(E1647 - F1647 &lt; 0, 0, E1647 - F1647)</f>
        <v>0</v>
      </c>
      <c r="H1647" s="0" t="n">
        <v>1.82</v>
      </c>
      <c r="I1647" s="0" t="n">
        <f aca="false">1.82*30*(G1647^1.5)</f>
        <v>0</v>
      </c>
      <c r="J1647" s="0" t="n">
        <f aca="false">I1647*60</f>
        <v>0</v>
      </c>
      <c r="K1647" s="0" t="n">
        <f aca="false">(I1647*86400)/24</f>
        <v>0</v>
      </c>
    </row>
    <row r="1648" customFormat="false" ht="16.5" hidden="false" customHeight="false" outlineLevel="0" collapsed="false">
      <c r="A1648" s="56" t="n">
        <v>45903.3333333333</v>
      </c>
      <c r="B1648" s="57" t="n">
        <f aca="false">MOD(A1648,1)</f>
        <v>0.333333333343035</v>
      </c>
      <c r="C1648" s="0" t="n">
        <v>0</v>
      </c>
      <c r="D1648" s="0" t="n">
        <v>489.669</v>
      </c>
      <c r="E1648" s="0" t="n">
        <f aca="false">D1648-0.155</f>
        <v>489.514</v>
      </c>
      <c r="F1648" s="0" t="n">
        <v>489.545</v>
      </c>
      <c r="G1648" s="0" t="n">
        <f aca="false">IF(E1648 - F1648 &lt; 0, 0, E1648 - F1648)</f>
        <v>0</v>
      </c>
      <c r="H1648" s="0" t="n">
        <v>1.82</v>
      </c>
      <c r="I1648" s="0" t="n">
        <f aca="false">1.82*30*(G1648^1.5)</f>
        <v>0</v>
      </c>
      <c r="J1648" s="0" t="n">
        <f aca="false">I1648*60</f>
        <v>0</v>
      </c>
      <c r="K1648" s="0" t="n">
        <f aca="false">(I1648*86400)/24</f>
        <v>0</v>
      </c>
    </row>
    <row r="1649" customFormat="false" ht="16.5" hidden="false" customHeight="false" outlineLevel="0" collapsed="false">
      <c r="A1649" s="56" t="n">
        <v>45903.375</v>
      </c>
      <c r="B1649" s="57" t="n">
        <f aca="false">MOD(A1649,1)</f>
        <v>0.375</v>
      </c>
      <c r="C1649" s="0" t="n">
        <v>0</v>
      </c>
      <c r="D1649" s="0" t="n">
        <v>489.675</v>
      </c>
      <c r="E1649" s="0" t="n">
        <f aca="false">D1649-0.155</f>
        <v>489.52</v>
      </c>
      <c r="F1649" s="0" t="n">
        <v>489.545</v>
      </c>
      <c r="G1649" s="0" t="n">
        <f aca="false">IF(E1649 - F1649 &lt; 0, 0, E1649 - F1649)</f>
        <v>0</v>
      </c>
      <c r="H1649" s="0" t="n">
        <v>1.82</v>
      </c>
      <c r="I1649" s="0" t="n">
        <f aca="false">1.82*30*(G1649^1.5)</f>
        <v>0</v>
      </c>
      <c r="J1649" s="0" t="n">
        <f aca="false">I1649*60</f>
        <v>0</v>
      </c>
      <c r="K1649" s="0" t="n">
        <f aca="false">(I1649*86400)/24</f>
        <v>0</v>
      </c>
    </row>
    <row r="1650" customFormat="false" ht="16.5" hidden="false" customHeight="false" outlineLevel="0" collapsed="false">
      <c r="A1650" s="56" t="n">
        <v>45903.4166666667</v>
      </c>
      <c r="B1650" s="57" t="n">
        <f aca="false">MOD(A1650,1)</f>
        <v>0.416666666656965</v>
      </c>
      <c r="C1650" s="0" t="n">
        <v>0</v>
      </c>
      <c r="D1650" s="0" t="n">
        <v>489.669</v>
      </c>
      <c r="E1650" s="0" t="n">
        <f aca="false">D1650-0.155</f>
        <v>489.514</v>
      </c>
      <c r="F1650" s="0" t="n">
        <v>489.545</v>
      </c>
      <c r="G1650" s="0" t="n">
        <f aca="false">IF(E1650 - F1650 &lt; 0, 0, E1650 - F1650)</f>
        <v>0</v>
      </c>
      <c r="H1650" s="0" t="n">
        <v>1.82</v>
      </c>
      <c r="I1650" s="0" t="n">
        <f aca="false">1.82*30*(G1650^1.5)</f>
        <v>0</v>
      </c>
      <c r="J1650" s="0" t="n">
        <f aca="false">I1650*60</f>
        <v>0</v>
      </c>
      <c r="K1650" s="0" t="n">
        <f aca="false">(I1650*86400)/24</f>
        <v>0</v>
      </c>
    </row>
    <row r="1651" customFormat="false" ht="16.5" hidden="false" customHeight="false" outlineLevel="0" collapsed="false">
      <c r="A1651" s="56" t="n">
        <v>45903.4583333333</v>
      </c>
      <c r="B1651" s="57" t="n">
        <f aca="false">MOD(A1651,1)</f>
        <v>0.458333333343035</v>
      </c>
      <c r="C1651" s="0" t="n">
        <v>0</v>
      </c>
      <c r="D1651" s="0" t="n">
        <v>489.668</v>
      </c>
      <c r="E1651" s="0" t="n">
        <f aca="false">D1651-0.155</f>
        <v>489.513</v>
      </c>
      <c r="F1651" s="0" t="n">
        <v>489.545</v>
      </c>
      <c r="G1651" s="0" t="n">
        <f aca="false">IF(E1651 - F1651 &lt; 0, 0, E1651 - F1651)</f>
        <v>0</v>
      </c>
      <c r="H1651" s="0" t="n">
        <v>1.82</v>
      </c>
      <c r="I1651" s="0" t="n">
        <f aca="false">1.82*30*(G1651^1.5)</f>
        <v>0</v>
      </c>
      <c r="J1651" s="0" t="n">
        <f aca="false">I1651*60</f>
        <v>0</v>
      </c>
      <c r="K1651" s="0" t="n">
        <f aca="false">(I1651*86400)/24</f>
        <v>0</v>
      </c>
    </row>
    <row r="1652" customFormat="false" ht="16.5" hidden="false" customHeight="false" outlineLevel="0" collapsed="false">
      <c r="A1652" s="56" t="n">
        <v>45903.5</v>
      </c>
      <c r="B1652" s="57" t="n">
        <f aca="false">MOD(A1652,1)</f>
        <v>0.5</v>
      </c>
      <c r="C1652" s="0" t="n">
        <v>0</v>
      </c>
      <c r="D1652" s="0" t="n">
        <v>489.675</v>
      </c>
      <c r="E1652" s="0" t="n">
        <f aca="false">D1652-0.155</f>
        <v>489.52</v>
      </c>
      <c r="F1652" s="0" t="n">
        <v>489.545</v>
      </c>
      <c r="G1652" s="0" t="n">
        <f aca="false">IF(E1652 - F1652 &lt; 0, 0, E1652 - F1652)</f>
        <v>0</v>
      </c>
      <c r="H1652" s="0" t="n">
        <v>1.82</v>
      </c>
      <c r="I1652" s="0" t="n">
        <f aca="false">1.82*30*(G1652^1.5)</f>
        <v>0</v>
      </c>
      <c r="J1652" s="0" t="n">
        <f aca="false">I1652*60</f>
        <v>0</v>
      </c>
      <c r="K1652" s="0" t="n">
        <f aca="false">(I1652*86400)/24</f>
        <v>0</v>
      </c>
    </row>
    <row r="1653" customFormat="false" ht="16.5" hidden="false" customHeight="false" outlineLevel="0" collapsed="false">
      <c r="A1653" s="56" t="n">
        <v>45903.5416666667</v>
      </c>
      <c r="B1653" s="57" t="n">
        <f aca="false">MOD(A1653,1)</f>
        <v>0.541666666656965</v>
      </c>
      <c r="C1653" s="0" t="n">
        <v>0</v>
      </c>
      <c r="D1653" s="0" t="n">
        <v>489.669</v>
      </c>
      <c r="E1653" s="0" t="n">
        <f aca="false">D1653-0.155</f>
        <v>489.514</v>
      </c>
      <c r="F1653" s="0" t="n">
        <v>489.545</v>
      </c>
      <c r="G1653" s="0" t="n">
        <f aca="false">IF(E1653 - F1653 &lt; 0, 0, E1653 - F1653)</f>
        <v>0</v>
      </c>
      <c r="H1653" s="0" t="n">
        <v>1.82</v>
      </c>
      <c r="I1653" s="0" t="n">
        <f aca="false">1.82*30*(G1653^1.5)</f>
        <v>0</v>
      </c>
      <c r="J1653" s="0" t="n">
        <f aca="false">I1653*60</f>
        <v>0</v>
      </c>
      <c r="K1653" s="0" t="n">
        <f aca="false">(I1653*86400)/24</f>
        <v>0</v>
      </c>
    </row>
    <row r="1654" customFormat="false" ht="16.5" hidden="false" customHeight="false" outlineLevel="0" collapsed="false">
      <c r="A1654" s="56" t="n">
        <v>45903.5833333333</v>
      </c>
      <c r="B1654" s="57" t="n">
        <f aca="false">MOD(A1654,1)</f>
        <v>0.583333333343035</v>
      </c>
      <c r="C1654" s="0" t="n">
        <v>0</v>
      </c>
      <c r="D1654" s="0" t="n">
        <v>489.668</v>
      </c>
      <c r="E1654" s="0" t="n">
        <f aca="false">D1654-0.155</f>
        <v>489.513</v>
      </c>
      <c r="F1654" s="0" t="n">
        <v>489.545</v>
      </c>
      <c r="G1654" s="0" t="n">
        <f aca="false">IF(E1654 - F1654 &lt; 0, 0, E1654 - F1654)</f>
        <v>0</v>
      </c>
      <c r="H1654" s="0" t="n">
        <v>1.82</v>
      </c>
      <c r="I1654" s="0" t="n">
        <f aca="false">1.82*30*(G1654^1.5)</f>
        <v>0</v>
      </c>
      <c r="J1654" s="0" t="n">
        <f aca="false">I1654*60</f>
        <v>0</v>
      </c>
      <c r="K1654" s="0" t="n">
        <f aca="false">(I1654*86400)/24</f>
        <v>0</v>
      </c>
    </row>
    <row r="1655" customFormat="false" ht="16.5" hidden="false" customHeight="false" outlineLevel="0" collapsed="false">
      <c r="A1655" s="56" t="n">
        <v>45903.625</v>
      </c>
      <c r="B1655" s="57" t="n">
        <f aca="false">MOD(A1655,1)</f>
        <v>0.625</v>
      </c>
      <c r="C1655" s="0" t="n">
        <v>0</v>
      </c>
      <c r="D1655" s="0" t="n">
        <v>489.669</v>
      </c>
      <c r="E1655" s="0" t="n">
        <f aca="false">D1655-0.155</f>
        <v>489.514</v>
      </c>
      <c r="F1655" s="0" t="n">
        <v>489.545</v>
      </c>
      <c r="G1655" s="0" t="n">
        <f aca="false">IF(E1655 - F1655 &lt; 0, 0, E1655 - F1655)</f>
        <v>0</v>
      </c>
      <c r="H1655" s="0" t="n">
        <v>1.82</v>
      </c>
      <c r="I1655" s="0" t="n">
        <f aca="false">1.82*30*(G1655^1.5)</f>
        <v>0</v>
      </c>
      <c r="J1655" s="0" t="n">
        <f aca="false">I1655*60</f>
        <v>0</v>
      </c>
      <c r="K1655" s="0" t="n">
        <f aca="false">(I1655*86400)/24</f>
        <v>0</v>
      </c>
    </row>
    <row r="1656" customFormat="false" ht="16.5" hidden="false" customHeight="false" outlineLevel="0" collapsed="false">
      <c r="A1656" s="56" t="n">
        <v>45903.6666666667</v>
      </c>
      <c r="B1656" s="57" t="n">
        <f aca="false">MOD(A1656,1)</f>
        <v>0.666666666656965</v>
      </c>
      <c r="C1656" s="0" t="n">
        <v>0</v>
      </c>
      <c r="D1656" s="0" t="n">
        <v>489.662</v>
      </c>
      <c r="E1656" s="0" t="n">
        <f aca="false">D1656-0.155</f>
        <v>489.507</v>
      </c>
      <c r="F1656" s="0" t="n">
        <v>489.545</v>
      </c>
      <c r="G1656" s="0" t="n">
        <f aca="false">IF(E1656 - F1656 &lt; 0, 0, E1656 - F1656)</f>
        <v>0</v>
      </c>
      <c r="H1656" s="0" t="n">
        <v>1.82</v>
      </c>
      <c r="I1656" s="0" t="n">
        <f aca="false">1.82*30*(G1656^1.5)</f>
        <v>0</v>
      </c>
      <c r="J1656" s="0" t="n">
        <f aca="false">I1656*60</f>
        <v>0</v>
      </c>
      <c r="K1656" s="0" t="n">
        <f aca="false">(I1656*86400)/24</f>
        <v>0</v>
      </c>
    </row>
    <row r="1657" customFormat="false" ht="16.5" hidden="false" customHeight="false" outlineLevel="0" collapsed="false">
      <c r="A1657" s="56" t="n">
        <v>45903.7083333333</v>
      </c>
      <c r="B1657" s="57" t="n">
        <f aca="false">MOD(A1657,1)</f>
        <v>0.708333333343035</v>
      </c>
      <c r="C1657" s="0" t="n">
        <v>0</v>
      </c>
      <c r="D1657" s="0" t="n">
        <v>489.662</v>
      </c>
      <c r="E1657" s="0" t="n">
        <f aca="false">D1657-0.155</f>
        <v>489.507</v>
      </c>
      <c r="F1657" s="0" t="n">
        <v>489.545</v>
      </c>
      <c r="G1657" s="0" t="n">
        <f aca="false">IF(E1657 - F1657 &lt; 0, 0, E1657 - F1657)</f>
        <v>0</v>
      </c>
      <c r="H1657" s="0" t="n">
        <v>1.82</v>
      </c>
      <c r="I1657" s="0" t="n">
        <f aca="false">1.82*30*(G1657^1.5)</f>
        <v>0</v>
      </c>
      <c r="J1657" s="0" t="n">
        <f aca="false">I1657*60</f>
        <v>0</v>
      </c>
      <c r="K1657" s="0" t="n">
        <f aca="false">(I1657*86400)/24</f>
        <v>0</v>
      </c>
    </row>
    <row r="1658" customFormat="false" ht="16.5" hidden="false" customHeight="false" outlineLevel="0" collapsed="false">
      <c r="A1658" s="56" t="n">
        <v>45903.75</v>
      </c>
      <c r="B1658" s="57" t="n">
        <f aca="false">MOD(A1658,1)</f>
        <v>0.75</v>
      </c>
      <c r="C1658" s="0" t="n">
        <v>0</v>
      </c>
      <c r="D1658" s="0" t="n">
        <v>489.663</v>
      </c>
      <c r="E1658" s="0" t="n">
        <f aca="false">D1658-0.155</f>
        <v>489.508</v>
      </c>
      <c r="F1658" s="0" t="n">
        <v>489.545</v>
      </c>
      <c r="G1658" s="0" t="n">
        <f aca="false">IF(E1658 - F1658 &lt; 0, 0, E1658 - F1658)</f>
        <v>0</v>
      </c>
      <c r="H1658" s="0" t="n">
        <v>1.82</v>
      </c>
      <c r="I1658" s="0" t="n">
        <f aca="false">1.82*30*(G1658^1.5)</f>
        <v>0</v>
      </c>
      <c r="J1658" s="0" t="n">
        <f aca="false">I1658*60</f>
        <v>0</v>
      </c>
      <c r="K1658" s="0" t="n">
        <f aca="false">(I1658*86400)/24</f>
        <v>0</v>
      </c>
    </row>
    <row r="1659" customFormat="false" ht="16.5" hidden="false" customHeight="false" outlineLevel="0" collapsed="false">
      <c r="A1659" s="56" t="n">
        <v>45903.7916666667</v>
      </c>
      <c r="B1659" s="57" t="n">
        <f aca="false">MOD(A1659,1)</f>
        <v>0.791666666656965</v>
      </c>
      <c r="C1659" s="0" t="n">
        <v>0</v>
      </c>
      <c r="D1659" s="0" t="n">
        <v>489.663</v>
      </c>
      <c r="E1659" s="0" t="n">
        <f aca="false">D1659-0.155</f>
        <v>489.508</v>
      </c>
      <c r="F1659" s="0" t="n">
        <v>489.545</v>
      </c>
      <c r="G1659" s="0" t="n">
        <f aca="false">IF(E1659 - F1659 &lt; 0, 0, E1659 - F1659)</f>
        <v>0</v>
      </c>
      <c r="H1659" s="0" t="n">
        <v>1.82</v>
      </c>
      <c r="I1659" s="0" t="n">
        <f aca="false">1.82*30*(G1659^1.5)</f>
        <v>0</v>
      </c>
      <c r="J1659" s="0" t="n">
        <f aca="false">I1659*60</f>
        <v>0</v>
      </c>
      <c r="K1659" s="0" t="n">
        <f aca="false">(I1659*86400)/24</f>
        <v>0</v>
      </c>
    </row>
    <row r="1660" customFormat="false" ht="16.5" hidden="false" customHeight="false" outlineLevel="0" collapsed="false">
      <c r="A1660" s="56" t="n">
        <v>45903.8333333333</v>
      </c>
      <c r="B1660" s="57" t="n">
        <f aca="false">MOD(A1660,1)</f>
        <v>0.833333333343035</v>
      </c>
      <c r="C1660" s="0" t="n">
        <v>0</v>
      </c>
      <c r="D1660" s="0" t="n">
        <v>489.656</v>
      </c>
      <c r="E1660" s="0" t="n">
        <f aca="false">D1660-0.155</f>
        <v>489.501</v>
      </c>
      <c r="F1660" s="0" t="n">
        <v>489.545</v>
      </c>
      <c r="G1660" s="0" t="n">
        <f aca="false">IF(E1660 - F1660 &lt; 0, 0, E1660 - F1660)</f>
        <v>0</v>
      </c>
      <c r="H1660" s="0" t="n">
        <v>1.82</v>
      </c>
      <c r="I1660" s="0" t="n">
        <f aca="false">1.82*30*(G1660^1.5)</f>
        <v>0</v>
      </c>
      <c r="J1660" s="0" t="n">
        <f aca="false">I1660*60</f>
        <v>0</v>
      </c>
      <c r="K1660" s="0" t="n">
        <f aca="false">(I1660*86400)/24</f>
        <v>0</v>
      </c>
    </row>
    <row r="1661" customFormat="false" ht="16.5" hidden="false" customHeight="false" outlineLevel="0" collapsed="false">
      <c r="A1661" s="56" t="n">
        <v>45903.875</v>
      </c>
      <c r="B1661" s="57" t="n">
        <f aca="false">MOD(A1661,1)</f>
        <v>0.875</v>
      </c>
      <c r="C1661" s="0" t="n">
        <v>0</v>
      </c>
      <c r="D1661" s="0" t="n">
        <v>489.656</v>
      </c>
      <c r="E1661" s="0" t="n">
        <f aca="false">D1661-0.155</f>
        <v>489.501</v>
      </c>
      <c r="F1661" s="0" t="n">
        <v>489.545</v>
      </c>
      <c r="G1661" s="0" t="n">
        <f aca="false">IF(E1661 - F1661 &lt; 0, 0, E1661 - F1661)</f>
        <v>0</v>
      </c>
      <c r="H1661" s="0" t="n">
        <v>1.82</v>
      </c>
      <c r="I1661" s="0" t="n">
        <f aca="false">1.82*30*(G1661^1.5)</f>
        <v>0</v>
      </c>
      <c r="J1661" s="0" t="n">
        <f aca="false">I1661*60</f>
        <v>0</v>
      </c>
      <c r="K1661" s="0" t="n">
        <f aca="false">(I1661*86400)/24</f>
        <v>0</v>
      </c>
    </row>
    <row r="1662" customFormat="false" ht="16.5" hidden="false" customHeight="false" outlineLevel="0" collapsed="false">
      <c r="A1662" s="56" t="n">
        <v>45903.9166666667</v>
      </c>
      <c r="B1662" s="57" t="n">
        <f aca="false">MOD(A1662,1)</f>
        <v>0.916666666656965</v>
      </c>
      <c r="C1662" s="0" t="n">
        <v>0</v>
      </c>
      <c r="D1662" s="0" t="n">
        <v>489.656</v>
      </c>
      <c r="E1662" s="0" t="n">
        <f aca="false">D1662-0.155</f>
        <v>489.501</v>
      </c>
      <c r="F1662" s="0" t="n">
        <v>489.545</v>
      </c>
      <c r="G1662" s="0" t="n">
        <f aca="false">IF(E1662 - F1662 &lt; 0, 0, E1662 - F1662)</f>
        <v>0</v>
      </c>
      <c r="H1662" s="0" t="n">
        <v>1.82</v>
      </c>
      <c r="I1662" s="0" t="n">
        <f aca="false">1.82*30*(G1662^1.5)</f>
        <v>0</v>
      </c>
      <c r="J1662" s="0" t="n">
        <f aca="false">I1662*60</f>
        <v>0</v>
      </c>
      <c r="K1662" s="0" t="n">
        <f aca="false">(I1662*86400)/24</f>
        <v>0</v>
      </c>
    </row>
    <row r="1663" customFormat="false" ht="16.5" hidden="false" customHeight="false" outlineLevel="0" collapsed="false">
      <c r="A1663" s="56" t="n">
        <v>45903.9583333333</v>
      </c>
      <c r="B1663" s="57" t="n">
        <f aca="false">MOD(A1663,1)</f>
        <v>0.958333333343035</v>
      </c>
      <c r="C1663" s="0" t="n">
        <v>0</v>
      </c>
      <c r="D1663" s="0" t="n">
        <v>489.656</v>
      </c>
      <c r="E1663" s="0" t="n">
        <f aca="false">D1663-0.155</f>
        <v>489.501</v>
      </c>
      <c r="F1663" s="0" t="n">
        <v>489.545</v>
      </c>
      <c r="G1663" s="0" t="n">
        <f aca="false">IF(E1663 - F1663 &lt; 0, 0, E1663 - F1663)</f>
        <v>0</v>
      </c>
      <c r="H1663" s="0" t="n">
        <v>1.82</v>
      </c>
      <c r="I1663" s="0" t="n">
        <f aca="false">1.82*30*(G1663^1.5)</f>
        <v>0</v>
      </c>
      <c r="J1663" s="0" t="n">
        <f aca="false">I1663*60</f>
        <v>0</v>
      </c>
      <c r="K1663" s="0" t="n">
        <f aca="false">(I1663*86400)/24</f>
        <v>0</v>
      </c>
    </row>
    <row r="1664" customFormat="false" ht="16.5" hidden="false" customHeight="false" outlineLevel="0" collapsed="false">
      <c r="A1664" s="56" t="n">
        <v>45904</v>
      </c>
      <c r="B1664" s="57" t="n">
        <f aca="false">MOD(A1664,1)</f>
        <v>0</v>
      </c>
      <c r="C1664" s="0" t="n">
        <v>0</v>
      </c>
      <c r="D1664" s="0" t="n">
        <v>489.657</v>
      </c>
      <c r="E1664" s="0" t="n">
        <f aca="false">D1664-0.155</f>
        <v>489.502</v>
      </c>
      <c r="F1664" s="0" t="n">
        <v>489.545</v>
      </c>
      <c r="G1664" s="0" t="n">
        <f aca="false">IF(E1664 - F1664 &lt; 0, 0, E1664 - F1664)</f>
        <v>0</v>
      </c>
      <c r="H1664" s="0" t="n">
        <v>1.82</v>
      </c>
      <c r="I1664" s="0" t="n">
        <f aca="false">1.82*30*(G1664^1.5)</f>
        <v>0</v>
      </c>
      <c r="J1664" s="0" t="n">
        <f aca="false">I1664*60</f>
        <v>0</v>
      </c>
      <c r="K1664" s="0" t="n">
        <f aca="false">(I1664*86400)/24</f>
        <v>0</v>
      </c>
    </row>
    <row r="1665" customFormat="false" ht="16.5" hidden="false" customHeight="false" outlineLevel="0" collapsed="false">
      <c r="A1665" s="56" t="n">
        <v>45904.0416666667</v>
      </c>
      <c r="B1665" s="57" t="n">
        <f aca="false">MOD(A1665,1)</f>
        <v>0.0416666666569654</v>
      </c>
      <c r="C1665" s="0" t="n">
        <v>0</v>
      </c>
      <c r="D1665" s="0" t="n">
        <v>489.649</v>
      </c>
      <c r="E1665" s="0" t="n">
        <f aca="false">D1665-0.155</f>
        <v>489.494</v>
      </c>
      <c r="F1665" s="0" t="n">
        <v>489.545</v>
      </c>
      <c r="G1665" s="0" t="n">
        <f aca="false">IF(E1665 - F1665 &lt; 0, 0, E1665 - F1665)</f>
        <v>0</v>
      </c>
      <c r="H1665" s="0" t="n">
        <v>1.82</v>
      </c>
      <c r="I1665" s="0" t="n">
        <f aca="false">1.82*30*(G1665^1.5)</f>
        <v>0</v>
      </c>
      <c r="J1665" s="0" t="n">
        <f aca="false">I1665*60</f>
        <v>0</v>
      </c>
      <c r="K1665" s="0" t="n">
        <f aca="false">(I1665*86400)/24</f>
        <v>0</v>
      </c>
    </row>
    <row r="1666" customFormat="false" ht="16.5" hidden="false" customHeight="false" outlineLevel="0" collapsed="false">
      <c r="A1666" s="56" t="n">
        <v>45904.0833333333</v>
      </c>
      <c r="B1666" s="57" t="n">
        <f aca="false">MOD(A1666,1)</f>
        <v>0.0833333333430346</v>
      </c>
      <c r="C1666" s="0" t="n">
        <v>0</v>
      </c>
      <c r="D1666" s="0" t="n">
        <v>489.649</v>
      </c>
      <c r="E1666" s="0" t="n">
        <f aca="false">D1666-0.155</f>
        <v>489.494</v>
      </c>
      <c r="F1666" s="0" t="n">
        <v>489.545</v>
      </c>
      <c r="G1666" s="0" t="n">
        <f aca="false">IF(E1666 - F1666 &lt; 0, 0, E1666 - F1666)</f>
        <v>0</v>
      </c>
      <c r="H1666" s="0" t="n">
        <v>1.82</v>
      </c>
      <c r="I1666" s="0" t="n">
        <f aca="false">1.82*30*(G1666^1.5)</f>
        <v>0</v>
      </c>
      <c r="J1666" s="0" t="n">
        <f aca="false">I1666*60</f>
        <v>0</v>
      </c>
      <c r="K1666" s="0" t="n">
        <f aca="false">(I1666*86400)/24</f>
        <v>0</v>
      </c>
    </row>
    <row r="1667" customFormat="false" ht="16.5" hidden="false" customHeight="false" outlineLevel="0" collapsed="false">
      <c r="A1667" s="56" t="n">
        <v>45904.125</v>
      </c>
      <c r="B1667" s="57" t="n">
        <f aca="false">MOD(A1667,1)</f>
        <v>0.125</v>
      </c>
      <c r="C1667" s="0" t="n">
        <v>0</v>
      </c>
      <c r="D1667" s="0" t="n">
        <v>489.649</v>
      </c>
      <c r="E1667" s="0" t="n">
        <f aca="false">D1667-0.155</f>
        <v>489.494</v>
      </c>
      <c r="F1667" s="0" t="n">
        <v>489.545</v>
      </c>
      <c r="G1667" s="0" t="n">
        <f aca="false">IF(E1667 - F1667 &lt; 0, 0, E1667 - F1667)</f>
        <v>0</v>
      </c>
      <c r="H1667" s="0" t="n">
        <v>1.82</v>
      </c>
      <c r="I1667" s="0" t="n">
        <f aca="false">1.82*30*(G1667^1.5)</f>
        <v>0</v>
      </c>
      <c r="J1667" s="0" t="n">
        <f aca="false">I1667*60</f>
        <v>0</v>
      </c>
      <c r="K1667" s="0" t="n">
        <f aca="false">(I1667*86400)/24</f>
        <v>0</v>
      </c>
    </row>
    <row r="1668" customFormat="false" ht="16.5" hidden="false" customHeight="false" outlineLevel="0" collapsed="false">
      <c r="A1668" s="56" t="n">
        <v>45904.1666666667</v>
      </c>
      <c r="B1668" s="57" t="n">
        <f aca="false">MOD(A1668,1)</f>
        <v>0.166666666656965</v>
      </c>
      <c r="C1668" s="0" t="n">
        <v>0</v>
      </c>
      <c r="D1668" s="0" t="n">
        <v>489.65</v>
      </c>
      <c r="E1668" s="0" t="n">
        <f aca="false">D1668-0.155</f>
        <v>489.495</v>
      </c>
      <c r="F1668" s="0" t="n">
        <v>489.545</v>
      </c>
      <c r="G1668" s="0" t="n">
        <f aca="false">IF(E1668 - F1668 &lt; 0, 0, E1668 - F1668)</f>
        <v>0</v>
      </c>
      <c r="H1668" s="0" t="n">
        <v>1.82</v>
      </c>
      <c r="I1668" s="0" t="n">
        <f aca="false">1.82*30*(G1668^1.5)</f>
        <v>0</v>
      </c>
      <c r="J1668" s="0" t="n">
        <f aca="false">I1668*60</f>
        <v>0</v>
      </c>
      <c r="K1668" s="0" t="n">
        <f aca="false">(I1668*86400)/24</f>
        <v>0</v>
      </c>
    </row>
    <row r="1669" customFormat="false" ht="16.5" hidden="false" customHeight="false" outlineLevel="0" collapsed="false">
      <c r="A1669" s="56" t="n">
        <v>45904.2083333333</v>
      </c>
      <c r="B1669" s="57" t="n">
        <f aca="false">MOD(A1669,1)</f>
        <v>0.208333333343035</v>
      </c>
      <c r="C1669" s="0" t="n">
        <v>0</v>
      </c>
      <c r="D1669" s="0" t="n">
        <v>489.65</v>
      </c>
      <c r="E1669" s="0" t="n">
        <f aca="false">D1669-0.155</f>
        <v>489.495</v>
      </c>
      <c r="F1669" s="0" t="n">
        <v>489.545</v>
      </c>
      <c r="G1669" s="0" t="n">
        <f aca="false">IF(E1669 - F1669 &lt; 0, 0, E1669 - F1669)</f>
        <v>0</v>
      </c>
      <c r="H1669" s="0" t="n">
        <v>1.82</v>
      </c>
      <c r="I1669" s="0" t="n">
        <f aca="false">1.82*30*(G1669^1.5)</f>
        <v>0</v>
      </c>
      <c r="J1669" s="0" t="n">
        <f aca="false">I1669*60</f>
        <v>0</v>
      </c>
      <c r="K1669" s="0" t="n">
        <f aca="false">(I1669*86400)/24</f>
        <v>0</v>
      </c>
    </row>
    <row r="1670" customFormat="false" ht="16.5" hidden="false" customHeight="false" outlineLevel="0" collapsed="false">
      <c r="A1670" s="56" t="n">
        <v>45904.25</v>
      </c>
      <c r="B1670" s="57" t="n">
        <f aca="false">MOD(A1670,1)</f>
        <v>0.25</v>
      </c>
      <c r="C1670" s="0" t="n">
        <v>0</v>
      </c>
      <c r="D1670" s="0" t="n">
        <v>489.65</v>
      </c>
      <c r="E1670" s="0" t="n">
        <f aca="false">D1670-0.155</f>
        <v>489.495</v>
      </c>
      <c r="F1670" s="0" t="n">
        <v>489.545</v>
      </c>
      <c r="G1670" s="0" t="n">
        <f aca="false">IF(E1670 - F1670 &lt; 0, 0, E1670 - F1670)</f>
        <v>0</v>
      </c>
      <c r="H1670" s="0" t="n">
        <v>1.82</v>
      </c>
      <c r="I1670" s="0" t="n">
        <f aca="false">1.82*30*(G1670^1.5)</f>
        <v>0</v>
      </c>
      <c r="J1670" s="0" t="n">
        <f aca="false">I1670*60</f>
        <v>0</v>
      </c>
      <c r="K1670" s="0" t="n">
        <f aca="false">(I1670*86400)/24</f>
        <v>0</v>
      </c>
    </row>
    <row r="1671" customFormat="false" ht="16.5" hidden="false" customHeight="false" outlineLevel="0" collapsed="false">
      <c r="A1671" s="56" t="n">
        <v>45904.2916666667</v>
      </c>
      <c r="B1671" s="57" t="n">
        <f aca="false">MOD(A1671,1)</f>
        <v>0.291666666656965</v>
      </c>
      <c r="C1671" s="0" t="n">
        <v>0</v>
      </c>
      <c r="D1671" s="0" t="n">
        <v>489.643</v>
      </c>
      <c r="E1671" s="0" t="n">
        <f aca="false">D1671-0.155</f>
        <v>489.488</v>
      </c>
      <c r="F1671" s="0" t="n">
        <v>489.545</v>
      </c>
      <c r="G1671" s="0" t="n">
        <f aca="false">IF(E1671 - F1671 &lt; 0, 0, E1671 - F1671)</f>
        <v>0</v>
      </c>
      <c r="H1671" s="0" t="n">
        <v>1.82</v>
      </c>
      <c r="I1671" s="0" t="n">
        <f aca="false">1.82*30*(G1671^1.5)</f>
        <v>0</v>
      </c>
      <c r="J1671" s="0" t="n">
        <f aca="false">I1671*60</f>
        <v>0</v>
      </c>
      <c r="K1671" s="0" t="n">
        <f aca="false">(I1671*86400)/24</f>
        <v>0</v>
      </c>
    </row>
    <row r="1672" customFormat="false" ht="16.5" hidden="false" customHeight="false" outlineLevel="0" collapsed="false">
      <c r="A1672" s="56" t="n">
        <v>45904.3333333333</v>
      </c>
      <c r="B1672" s="57" t="n">
        <f aca="false">MOD(A1672,1)</f>
        <v>0.333333333343035</v>
      </c>
      <c r="C1672" s="0" t="n">
        <v>0</v>
      </c>
      <c r="D1672" s="0" t="n">
        <v>489.648</v>
      </c>
      <c r="E1672" s="0" t="n">
        <f aca="false">D1672-0.155</f>
        <v>489.493</v>
      </c>
      <c r="F1672" s="0" t="n">
        <v>489.545</v>
      </c>
      <c r="G1672" s="0" t="n">
        <f aca="false">IF(E1672 - F1672 &lt; 0, 0, E1672 - F1672)</f>
        <v>0</v>
      </c>
      <c r="H1672" s="0" t="n">
        <v>1.82</v>
      </c>
      <c r="I1672" s="0" t="n">
        <f aca="false">1.82*30*(G1672^1.5)</f>
        <v>0</v>
      </c>
      <c r="J1672" s="0" t="n">
        <f aca="false">I1672*60</f>
        <v>0</v>
      </c>
      <c r="K1672" s="0" t="n">
        <f aca="false">(I1672*86400)/24</f>
        <v>0</v>
      </c>
    </row>
    <row r="1673" customFormat="false" ht="16.5" hidden="false" customHeight="false" outlineLevel="0" collapsed="false">
      <c r="A1673" s="56" t="n">
        <v>45904.375</v>
      </c>
      <c r="B1673" s="57" t="n">
        <f aca="false">MOD(A1673,1)</f>
        <v>0.375</v>
      </c>
      <c r="C1673" s="0" t="n">
        <v>0</v>
      </c>
      <c r="D1673" s="0" t="n">
        <v>489.648</v>
      </c>
      <c r="E1673" s="0" t="n">
        <f aca="false">D1673-0.155</f>
        <v>489.493</v>
      </c>
      <c r="F1673" s="0" t="n">
        <v>489.545</v>
      </c>
      <c r="G1673" s="0" t="n">
        <f aca="false">IF(E1673 - F1673 &lt; 0, 0, E1673 - F1673)</f>
        <v>0</v>
      </c>
      <c r="H1673" s="0" t="n">
        <v>1.82</v>
      </c>
      <c r="I1673" s="0" t="n">
        <f aca="false">1.82*30*(G1673^1.5)</f>
        <v>0</v>
      </c>
      <c r="J1673" s="0" t="n">
        <f aca="false">I1673*60</f>
        <v>0</v>
      </c>
      <c r="K1673" s="0" t="n">
        <f aca="false">(I1673*86400)/24</f>
        <v>0</v>
      </c>
    </row>
    <row r="1674" customFormat="false" ht="16.5" hidden="false" customHeight="false" outlineLevel="0" collapsed="false">
      <c r="A1674" s="56" t="n">
        <v>45904.4166666667</v>
      </c>
      <c r="B1674" s="57" t="n">
        <f aca="false">MOD(A1674,1)</f>
        <v>0.416666666656965</v>
      </c>
      <c r="C1674" s="0" t="n">
        <v>0</v>
      </c>
      <c r="D1674" s="0" t="n">
        <v>489.649</v>
      </c>
      <c r="E1674" s="0" t="n">
        <f aca="false">D1674-0.155</f>
        <v>489.494</v>
      </c>
      <c r="F1674" s="0" t="n">
        <v>489.545</v>
      </c>
      <c r="G1674" s="0" t="n">
        <f aca="false">IF(E1674 - F1674 &lt; 0, 0, E1674 - F1674)</f>
        <v>0</v>
      </c>
      <c r="H1674" s="0" t="n">
        <v>1.82</v>
      </c>
      <c r="I1674" s="0" t="n">
        <f aca="false">1.82*30*(G1674^1.5)</f>
        <v>0</v>
      </c>
      <c r="J1674" s="0" t="n">
        <f aca="false">I1674*60</f>
        <v>0</v>
      </c>
      <c r="K1674" s="0" t="n">
        <f aca="false">(I1674*86400)/24</f>
        <v>0</v>
      </c>
    </row>
    <row r="1675" customFormat="false" ht="16.5" hidden="false" customHeight="false" outlineLevel="0" collapsed="false">
      <c r="A1675" s="56" t="n">
        <v>45904.4583333333</v>
      </c>
      <c r="B1675" s="57" t="n">
        <f aca="false">MOD(A1675,1)</f>
        <v>0.458333333343035</v>
      </c>
      <c r="C1675" s="0" t="n">
        <v>0</v>
      </c>
      <c r="D1675" s="0" t="n">
        <v>489.642</v>
      </c>
      <c r="E1675" s="0" t="n">
        <f aca="false">D1675-0.155</f>
        <v>489.487</v>
      </c>
      <c r="F1675" s="0" t="n">
        <v>489.545</v>
      </c>
      <c r="G1675" s="0" t="n">
        <f aca="false">IF(E1675 - F1675 &lt; 0, 0, E1675 - F1675)</f>
        <v>0</v>
      </c>
      <c r="H1675" s="0" t="n">
        <v>1.82</v>
      </c>
      <c r="I1675" s="0" t="n">
        <f aca="false">1.82*30*(G1675^1.5)</f>
        <v>0</v>
      </c>
      <c r="J1675" s="0" t="n">
        <f aca="false">I1675*60</f>
        <v>0</v>
      </c>
      <c r="K1675" s="0" t="n">
        <f aca="false">(I1675*86400)/24</f>
        <v>0</v>
      </c>
    </row>
    <row r="1676" customFormat="false" ht="16.5" hidden="false" customHeight="false" outlineLevel="0" collapsed="false">
      <c r="A1676" s="56" t="n">
        <v>45904.5</v>
      </c>
      <c r="B1676" s="57" t="n">
        <f aca="false">MOD(A1676,1)</f>
        <v>0.5</v>
      </c>
      <c r="C1676" s="0" t="n">
        <v>0</v>
      </c>
      <c r="D1676" s="0" t="n">
        <v>489.642</v>
      </c>
      <c r="E1676" s="0" t="n">
        <f aca="false">D1676-0.155</f>
        <v>489.487</v>
      </c>
      <c r="F1676" s="0" t="n">
        <v>489.545</v>
      </c>
      <c r="G1676" s="0" t="n">
        <f aca="false">IF(E1676 - F1676 &lt; 0, 0, E1676 - F1676)</f>
        <v>0</v>
      </c>
      <c r="H1676" s="0" t="n">
        <v>1.82</v>
      </c>
      <c r="I1676" s="0" t="n">
        <f aca="false">1.82*30*(G1676^1.5)</f>
        <v>0</v>
      </c>
      <c r="J1676" s="0" t="n">
        <f aca="false">I1676*60</f>
        <v>0</v>
      </c>
      <c r="K1676" s="0" t="n">
        <f aca="false">(I1676*86400)/24</f>
        <v>0</v>
      </c>
    </row>
    <row r="1677" customFormat="false" ht="16.5" hidden="false" customHeight="false" outlineLevel="0" collapsed="false">
      <c r="A1677" s="56" t="n">
        <v>45904.5416666667</v>
      </c>
      <c r="B1677" s="57" t="n">
        <f aca="false">MOD(A1677,1)</f>
        <v>0.541666666656965</v>
      </c>
      <c r="C1677" s="0" t="n">
        <v>0</v>
      </c>
      <c r="D1677" s="0" t="n">
        <v>489.642</v>
      </c>
      <c r="E1677" s="0" t="n">
        <f aca="false">D1677-0.155</f>
        <v>489.487</v>
      </c>
      <c r="F1677" s="0" t="n">
        <v>489.545</v>
      </c>
      <c r="G1677" s="0" t="n">
        <f aca="false">IF(E1677 - F1677 &lt; 0, 0, E1677 - F1677)</f>
        <v>0</v>
      </c>
      <c r="H1677" s="0" t="n">
        <v>1.82</v>
      </c>
      <c r="I1677" s="0" t="n">
        <f aca="false">1.82*30*(G1677^1.5)</f>
        <v>0</v>
      </c>
      <c r="J1677" s="0" t="n">
        <f aca="false">I1677*60</f>
        <v>0</v>
      </c>
      <c r="K1677" s="0" t="n">
        <f aca="false">(I1677*86400)/24</f>
        <v>0</v>
      </c>
    </row>
    <row r="1678" customFormat="false" ht="16.5" hidden="false" customHeight="false" outlineLevel="0" collapsed="false">
      <c r="A1678" s="56" t="n">
        <v>45904.5833333333</v>
      </c>
      <c r="B1678" s="57" t="n">
        <f aca="false">MOD(A1678,1)</f>
        <v>0.583333333343035</v>
      </c>
      <c r="C1678" s="0" t="n">
        <v>0</v>
      </c>
      <c r="D1678" s="0" t="n">
        <v>489.635</v>
      </c>
      <c r="E1678" s="0" t="n">
        <f aca="false">D1678-0.155</f>
        <v>489.48</v>
      </c>
      <c r="F1678" s="0" t="n">
        <v>489.545</v>
      </c>
      <c r="G1678" s="0" t="n">
        <f aca="false">IF(E1678 - F1678 &lt; 0, 0, E1678 - F1678)</f>
        <v>0</v>
      </c>
      <c r="H1678" s="0" t="n">
        <v>1.82</v>
      </c>
      <c r="I1678" s="0" t="n">
        <f aca="false">1.82*30*(G1678^1.5)</f>
        <v>0</v>
      </c>
      <c r="J1678" s="0" t="n">
        <f aca="false">I1678*60</f>
        <v>0</v>
      </c>
      <c r="K1678" s="0" t="n">
        <f aca="false">(I1678*86400)/24</f>
        <v>0</v>
      </c>
    </row>
    <row r="1679" customFormat="false" ht="16.5" hidden="false" customHeight="false" outlineLevel="0" collapsed="false">
      <c r="A1679" s="56" t="n">
        <v>45904.625</v>
      </c>
      <c r="B1679" s="57" t="n">
        <f aca="false">MOD(A1679,1)</f>
        <v>0.625</v>
      </c>
      <c r="C1679" s="0" t="n">
        <v>0</v>
      </c>
      <c r="D1679" s="0" t="n">
        <v>489.642</v>
      </c>
      <c r="E1679" s="0" t="n">
        <f aca="false">D1679-0.155</f>
        <v>489.487</v>
      </c>
      <c r="F1679" s="0" t="n">
        <v>489.545</v>
      </c>
      <c r="G1679" s="0" t="n">
        <f aca="false">IF(E1679 - F1679 &lt; 0, 0, E1679 - F1679)</f>
        <v>0</v>
      </c>
      <c r="H1679" s="0" t="n">
        <v>1.82</v>
      </c>
      <c r="I1679" s="0" t="n">
        <f aca="false">1.82*30*(G1679^1.5)</f>
        <v>0</v>
      </c>
      <c r="J1679" s="0" t="n">
        <f aca="false">I1679*60</f>
        <v>0</v>
      </c>
      <c r="K1679" s="0" t="n">
        <f aca="false">(I1679*86400)/24</f>
        <v>0</v>
      </c>
    </row>
    <row r="1680" customFormat="false" ht="16.5" hidden="false" customHeight="false" outlineLevel="0" collapsed="false">
      <c r="A1680" s="56" t="n">
        <v>45904.6666666667</v>
      </c>
      <c r="B1680" s="57" t="n">
        <f aca="false">MOD(A1680,1)</f>
        <v>0.666666666656965</v>
      </c>
      <c r="C1680" s="0" t="n">
        <v>0</v>
      </c>
      <c r="D1680" s="0" t="n">
        <v>489.636</v>
      </c>
      <c r="E1680" s="0" t="n">
        <f aca="false">D1680-0.155</f>
        <v>489.481</v>
      </c>
      <c r="F1680" s="0" t="n">
        <v>489.545</v>
      </c>
      <c r="G1680" s="0" t="n">
        <f aca="false">IF(E1680 - F1680 &lt; 0, 0, E1680 - F1680)</f>
        <v>0</v>
      </c>
      <c r="H1680" s="0" t="n">
        <v>1.82</v>
      </c>
      <c r="I1680" s="0" t="n">
        <f aca="false">1.82*30*(G1680^1.5)</f>
        <v>0</v>
      </c>
      <c r="J1680" s="0" t="n">
        <f aca="false">I1680*60</f>
        <v>0</v>
      </c>
      <c r="K1680" s="0" t="n">
        <f aca="false">(I1680*86400)/24</f>
        <v>0</v>
      </c>
    </row>
    <row r="1681" customFormat="false" ht="16.5" hidden="false" customHeight="false" outlineLevel="0" collapsed="false">
      <c r="A1681" s="56" t="n">
        <v>45904.7083333333</v>
      </c>
      <c r="B1681" s="57" t="n">
        <f aca="false">MOD(A1681,1)</f>
        <v>0.708333333343035</v>
      </c>
      <c r="C1681" s="0" t="n">
        <v>0</v>
      </c>
      <c r="D1681" s="0" t="n">
        <v>489.636</v>
      </c>
      <c r="E1681" s="0" t="n">
        <f aca="false">D1681-0.155</f>
        <v>489.481</v>
      </c>
      <c r="F1681" s="0" t="n">
        <v>489.545</v>
      </c>
      <c r="G1681" s="0" t="n">
        <f aca="false">IF(E1681 - F1681 &lt; 0, 0, E1681 - F1681)</f>
        <v>0</v>
      </c>
      <c r="H1681" s="0" t="n">
        <v>1.82</v>
      </c>
      <c r="I1681" s="0" t="n">
        <f aca="false">1.82*30*(G1681^1.5)</f>
        <v>0</v>
      </c>
      <c r="J1681" s="0" t="n">
        <f aca="false">I1681*60</f>
        <v>0</v>
      </c>
      <c r="K1681" s="0" t="n">
        <f aca="false">(I1681*86400)/24</f>
        <v>0</v>
      </c>
    </row>
    <row r="1682" customFormat="false" ht="16.5" hidden="false" customHeight="false" outlineLevel="0" collapsed="false">
      <c r="A1682" s="56" t="n">
        <v>45904.75</v>
      </c>
      <c r="B1682" s="57" t="n">
        <f aca="false">MOD(A1682,1)</f>
        <v>0.75</v>
      </c>
      <c r="C1682" s="0" t="n">
        <v>0</v>
      </c>
      <c r="D1682" s="0" t="n">
        <v>489.636</v>
      </c>
      <c r="E1682" s="0" t="n">
        <f aca="false">D1682-0.155</f>
        <v>489.481</v>
      </c>
      <c r="F1682" s="0" t="n">
        <v>489.545</v>
      </c>
      <c r="G1682" s="0" t="n">
        <f aca="false">IF(E1682 - F1682 &lt; 0, 0, E1682 - F1682)</f>
        <v>0</v>
      </c>
      <c r="H1682" s="0" t="n">
        <v>1.82</v>
      </c>
      <c r="I1682" s="0" t="n">
        <f aca="false">1.82*30*(G1682^1.5)</f>
        <v>0</v>
      </c>
      <c r="J1682" s="0" t="n">
        <f aca="false">I1682*60</f>
        <v>0</v>
      </c>
      <c r="K1682" s="0" t="n">
        <f aca="false">(I1682*86400)/24</f>
        <v>0</v>
      </c>
    </row>
    <row r="1683" customFormat="false" ht="16.5" hidden="false" customHeight="false" outlineLevel="0" collapsed="false">
      <c r="A1683" s="56" t="n">
        <v>45904.7916666667</v>
      </c>
      <c r="B1683" s="57" t="n">
        <f aca="false">MOD(A1683,1)</f>
        <v>0.791666666656965</v>
      </c>
      <c r="C1683" s="0" t="n">
        <v>0</v>
      </c>
      <c r="D1683" s="0" t="n">
        <v>489.629</v>
      </c>
      <c r="E1683" s="0" t="n">
        <f aca="false">D1683-0.155</f>
        <v>489.474</v>
      </c>
      <c r="F1683" s="0" t="n">
        <v>489.545</v>
      </c>
      <c r="G1683" s="0" t="n">
        <f aca="false">IF(E1683 - F1683 &lt; 0, 0, E1683 - F1683)</f>
        <v>0</v>
      </c>
      <c r="H1683" s="0" t="n">
        <v>1.82</v>
      </c>
      <c r="I1683" s="0" t="n">
        <f aca="false">1.82*30*(G1683^1.5)</f>
        <v>0</v>
      </c>
      <c r="J1683" s="0" t="n">
        <f aca="false">I1683*60</f>
        <v>0</v>
      </c>
      <c r="K1683" s="0" t="n">
        <f aca="false">(I1683*86400)/24</f>
        <v>0</v>
      </c>
    </row>
    <row r="1684" customFormat="false" ht="16.5" hidden="false" customHeight="false" outlineLevel="0" collapsed="false">
      <c r="A1684" s="56" t="n">
        <v>45904.8333333333</v>
      </c>
      <c r="B1684" s="57" t="n">
        <f aca="false">MOD(A1684,1)</f>
        <v>0.833333333343035</v>
      </c>
      <c r="C1684" s="0" t="n">
        <v>0</v>
      </c>
      <c r="D1684" s="0" t="n">
        <v>489.629</v>
      </c>
      <c r="E1684" s="0" t="n">
        <f aca="false">D1684-0.155</f>
        <v>489.474</v>
      </c>
      <c r="F1684" s="0" t="n">
        <v>489.545</v>
      </c>
      <c r="G1684" s="0" t="n">
        <f aca="false">IF(E1684 - F1684 &lt; 0, 0, E1684 - F1684)</f>
        <v>0</v>
      </c>
      <c r="H1684" s="0" t="n">
        <v>1.82</v>
      </c>
      <c r="I1684" s="0" t="n">
        <f aca="false">1.82*30*(G1684^1.5)</f>
        <v>0</v>
      </c>
      <c r="J1684" s="0" t="n">
        <f aca="false">I1684*60</f>
        <v>0</v>
      </c>
      <c r="K1684" s="0" t="n">
        <f aca="false">(I1684*86400)/24</f>
        <v>0</v>
      </c>
    </row>
    <row r="1685" customFormat="false" ht="16.5" hidden="false" customHeight="false" outlineLevel="0" collapsed="false">
      <c r="A1685" s="56" t="n">
        <v>45904.875</v>
      </c>
      <c r="B1685" s="57" t="n">
        <f aca="false">MOD(A1685,1)</f>
        <v>0.875</v>
      </c>
      <c r="C1685" s="0" t="n">
        <v>0</v>
      </c>
      <c r="D1685" s="0" t="n">
        <v>489.629</v>
      </c>
      <c r="E1685" s="0" t="n">
        <f aca="false">D1685-0.155</f>
        <v>489.474</v>
      </c>
      <c r="F1685" s="0" t="n">
        <v>489.545</v>
      </c>
      <c r="G1685" s="0" t="n">
        <f aca="false">IF(E1685 - F1685 &lt; 0, 0, E1685 - F1685)</f>
        <v>0</v>
      </c>
      <c r="H1685" s="0" t="n">
        <v>1.82</v>
      </c>
      <c r="I1685" s="0" t="n">
        <f aca="false">1.82*30*(G1685^1.5)</f>
        <v>0</v>
      </c>
      <c r="J1685" s="0" t="n">
        <f aca="false">I1685*60</f>
        <v>0</v>
      </c>
      <c r="K1685" s="0" t="n">
        <f aca="false">(I1685*86400)/24</f>
        <v>0</v>
      </c>
    </row>
    <row r="1686" customFormat="false" ht="16.5" hidden="false" customHeight="false" outlineLevel="0" collapsed="false">
      <c r="A1686" s="56" t="n">
        <v>45904.9166666667</v>
      </c>
      <c r="B1686" s="57" t="n">
        <f aca="false">MOD(A1686,1)</f>
        <v>0.916666666656965</v>
      </c>
      <c r="C1686" s="0" t="n">
        <v>0</v>
      </c>
      <c r="D1686" s="0" t="n">
        <v>489.629</v>
      </c>
      <c r="E1686" s="0" t="n">
        <f aca="false">D1686-0.155</f>
        <v>489.474</v>
      </c>
      <c r="F1686" s="0" t="n">
        <v>489.545</v>
      </c>
      <c r="G1686" s="0" t="n">
        <f aca="false">IF(E1686 - F1686 &lt; 0, 0, E1686 - F1686)</f>
        <v>0</v>
      </c>
      <c r="H1686" s="0" t="n">
        <v>1.82</v>
      </c>
      <c r="I1686" s="0" t="n">
        <f aca="false">1.82*30*(G1686^1.5)</f>
        <v>0</v>
      </c>
      <c r="J1686" s="0" t="n">
        <f aca="false">I1686*60</f>
        <v>0</v>
      </c>
      <c r="K1686" s="0" t="n">
        <f aca="false">(I1686*86400)/24</f>
        <v>0</v>
      </c>
    </row>
    <row r="1687" customFormat="false" ht="16.5" hidden="false" customHeight="false" outlineLevel="0" collapsed="false">
      <c r="A1687" s="56" t="n">
        <v>45904.9583333333</v>
      </c>
      <c r="B1687" s="57" t="n">
        <f aca="false">MOD(A1687,1)</f>
        <v>0.958333333343035</v>
      </c>
      <c r="C1687" s="0" t="n">
        <v>0</v>
      </c>
      <c r="D1687" s="0" t="n">
        <v>489.63</v>
      </c>
      <c r="E1687" s="0" t="n">
        <f aca="false">D1687-0.155</f>
        <v>489.475</v>
      </c>
      <c r="F1687" s="0" t="n">
        <v>489.545</v>
      </c>
      <c r="G1687" s="0" t="n">
        <f aca="false">IF(E1687 - F1687 &lt; 0, 0, E1687 - F1687)</f>
        <v>0</v>
      </c>
      <c r="H1687" s="0" t="n">
        <v>1.82</v>
      </c>
      <c r="I1687" s="0" t="n">
        <f aca="false">1.82*30*(G1687^1.5)</f>
        <v>0</v>
      </c>
      <c r="J1687" s="0" t="n">
        <f aca="false">I1687*60</f>
        <v>0</v>
      </c>
      <c r="K1687" s="0" t="n">
        <f aca="false">(I1687*86400)/24</f>
        <v>0</v>
      </c>
    </row>
    <row r="1688" customFormat="false" ht="16.5" hidden="false" customHeight="false" outlineLevel="0" collapsed="false">
      <c r="A1688" s="56" t="n">
        <v>45905</v>
      </c>
      <c r="B1688" s="57" t="n">
        <f aca="false">MOD(A1688,1)</f>
        <v>0</v>
      </c>
      <c r="C1688" s="0" t="n">
        <v>0</v>
      </c>
      <c r="D1688" s="0" t="n">
        <v>489.624</v>
      </c>
      <c r="E1688" s="0" t="n">
        <f aca="false">D1688-0.155</f>
        <v>489.469</v>
      </c>
      <c r="F1688" s="0" t="n">
        <v>489.545</v>
      </c>
      <c r="G1688" s="0" t="n">
        <f aca="false">IF(E1688 - F1688 &lt; 0, 0, E1688 - F1688)</f>
        <v>0</v>
      </c>
      <c r="H1688" s="0" t="n">
        <v>1.82</v>
      </c>
      <c r="I1688" s="0" t="n">
        <f aca="false">1.82*30*(G1688^1.5)</f>
        <v>0</v>
      </c>
      <c r="J1688" s="0" t="n">
        <f aca="false">I1688*60</f>
        <v>0</v>
      </c>
      <c r="K1688" s="0" t="n">
        <f aca="false">(I1688*86400)/24</f>
        <v>0</v>
      </c>
    </row>
    <row r="1689" customFormat="false" ht="16.5" hidden="false" customHeight="false" outlineLevel="0" collapsed="false">
      <c r="A1689" s="56" t="n">
        <v>45905.0416666667</v>
      </c>
      <c r="B1689" s="57" t="n">
        <f aca="false">MOD(A1689,1)</f>
        <v>0.0416666666569654</v>
      </c>
      <c r="C1689" s="0" t="n">
        <v>0</v>
      </c>
      <c r="D1689" s="0" t="n">
        <v>489.624</v>
      </c>
      <c r="E1689" s="0" t="n">
        <f aca="false">D1689-0.155</f>
        <v>489.469</v>
      </c>
      <c r="F1689" s="0" t="n">
        <v>489.545</v>
      </c>
      <c r="G1689" s="0" t="n">
        <f aca="false">IF(E1689 - F1689 &lt; 0, 0, E1689 - F1689)</f>
        <v>0</v>
      </c>
      <c r="H1689" s="0" t="n">
        <v>1.82</v>
      </c>
      <c r="I1689" s="0" t="n">
        <f aca="false">1.82*30*(G1689^1.5)</f>
        <v>0</v>
      </c>
      <c r="J1689" s="0" t="n">
        <f aca="false">I1689*60</f>
        <v>0</v>
      </c>
      <c r="K1689" s="0" t="n">
        <f aca="false">(I1689*86400)/24</f>
        <v>0</v>
      </c>
    </row>
    <row r="1690" customFormat="false" ht="16.5" hidden="false" customHeight="false" outlineLevel="0" collapsed="false">
      <c r="A1690" s="56" t="n">
        <v>45905.0833333333</v>
      </c>
      <c r="B1690" s="57" t="n">
        <f aca="false">MOD(A1690,1)</f>
        <v>0.0833333333430346</v>
      </c>
      <c r="C1690" s="0" t="n">
        <v>0</v>
      </c>
      <c r="D1690" s="0" t="n">
        <v>489.624</v>
      </c>
      <c r="E1690" s="0" t="n">
        <f aca="false">D1690-0.155</f>
        <v>489.469</v>
      </c>
      <c r="F1690" s="0" t="n">
        <v>489.545</v>
      </c>
      <c r="G1690" s="0" t="n">
        <f aca="false">IF(E1690 - F1690 &lt; 0, 0, E1690 - F1690)</f>
        <v>0</v>
      </c>
      <c r="H1690" s="0" t="n">
        <v>1.82</v>
      </c>
      <c r="I1690" s="0" t="n">
        <f aca="false">1.82*30*(G1690^1.5)</f>
        <v>0</v>
      </c>
      <c r="J1690" s="0" t="n">
        <f aca="false">I1690*60</f>
        <v>0</v>
      </c>
      <c r="K1690" s="0" t="n">
        <f aca="false">(I1690*86400)/24</f>
        <v>0</v>
      </c>
    </row>
    <row r="1691" customFormat="false" ht="16.5" hidden="false" customHeight="false" outlineLevel="0" collapsed="false">
      <c r="A1691" s="56" t="n">
        <v>45905.125</v>
      </c>
      <c r="B1691" s="57" t="n">
        <f aca="false">MOD(A1691,1)</f>
        <v>0.125</v>
      </c>
      <c r="C1691" s="0" t="n">
        <v>0</v>
      </c>
      <c r="D1691" s="0" t="n">
        <v>489.624</v>
      </c>
      <c r="E1691" s="0" t="n">
        <f aca="false">D1691-0.155</f>
        <v>489.469</v>
      </c>
      <c r="F1691" s="0" t="n">
        <v>489.545</v>
      </c>
      <c r="G1691" s="0" t="n">
        <f aca="false">IF(E1691 - F1691 &lt; 0, 0, E1691 - F1691)</f>
        <v>0</v>
      </c>
      <c r="H1691" s="0" t="n">
        <v>1.82</v>
      </c>
      <c r="I1691" s="0" t="n">
        <f aca="false">1.82*30*(G1691^1.5)</f>
        <v>0</v>
      </c>
      <c r="J1691" s="0" t="n">
        <f aca="false">I1691*60</f>
        <v>0</v>
      </c>
      <c r="K1691" s="0" t="n">
        <f aca="false">(I1691*86400)/24</f>
        <v>0</v>
      </c>
    </row>
    <row r="1692" customFormat="false" ht="16.5" hidden="false" customHeight="false" outlineLevel="0" collapsed="false">
      <c r="A1692" s="56" t="n">
        <v>45905.1666666667</v>
      </c>
      <c r="B1692" s="57" t="n">
        <f aca="false">MOD(A1692,1)</f>
        <v>0.166666666656965</v>
      </c>
      <c r="C1692" s="0" t="n">
        <v>0</v>
      </c>
      <c r="D1692" s="0" t="n">
        <v>489.624</v>
      </c>
      <c r="E1692" s="0" t="n">
        <f aca="false">D1692-0.155</f>
        <v>489.469</v>
      </c>
      <c r="F1692" s="0" t="n">
        <v>489.545</v>
      </c>
      <c r="G1692" s="0" t="n">
        <f aca="false">IF(E1692 - F1692 &lt; 0, 0, E1692 - F1692)</f>
        <v>0</v>
      </c>
      <c r="H1692" s="0" t="n">
        <v>1.82</v>
      </c>
      <c r="I1692" s="0" t="n">
        <f aca="false">1.82*30*(G1692^1.5)</f>
        <v>0</v>
      </c>
      <c r="J1692" s="0" t="n">
        <f aca="false">I1692*60</f>
        <v>0</v>
      </c>
      <c r="K1692" s="0" t="n">
        <f aca="false">(I1692*86400)/24</f>
        <v>0</v>
      </c>
    </row>
    <row r="1693" customFormat="false" ht="16.5" hidden="false" customHeight="false" outlineLevel="0" collapsed="false">
      <c r="A1693" s="56" t="n">
        <v>45905.2083333333</v>
      </c>
      <c r="B1693" s="57" t="n">
        <f aca="false">MOD(A1693,1)</f>
        <v>0.208333333343035</v>
      </c>
      <c r="C1693" s="0" t="n">
        <v>0</v>
      </c>
      <c r="D1693" s="0" t="n">
        <v>489.624</v>
      </c>
      <c r="E1693" s="0" t="n">
        <f aca="false">D1693-0.155</f>
        <v>489.469</v>
      </c>
      <c r="F1693" s="0" t="n">
        <v>489.545</v>
      </c>
      <c r="G1693" s="0" t="n">
        <f aca="false">IF(E1693 - F1693 &lt; 0, 0, E1693 - F1693)</f>
        <v>0</v>
      </c>
      <c r="H1693" s="0" t="n">
        <v>1.82</v>
      </c>
      <c r="I1693" s="0" t="n">
        <f aca="false">1.82*30*(G1693^1.5)</f>
        <v>0</v>
      </c>
      <c r="J1693" s="0" t="n">
        <f aca="false">I1693*60</f>
        <v>0</v>
      </c>
      <c r="K1693" s="0" t="n">
        <f aca="false">(I1693*86400)/24</f>
        <v>0</v>
      </c>
    </row>
    <row r="1694" customFormat="false" ht="16.5" hidden="false" customHeight="false" outlineLevel="0" collapsed="false">
      <c r="A1694" s="56" t="n">
        <v>45905.25</v>
      </c>
      <c r="B1694" s="57" t="n">
        <f aca="false">MOD(A1694,1)</f>
        <v>0.25</v>
      </c>
      <c r="C1694" s="0" t="n">
        <v>0</v>
      </c>
      <c r="D1694" s="0" t="n">
        <v>489.624</v>
      </c>
      <c r="E1694" s="0" t="n">
        <f aca="false">D1694-0.155</f>
        <v>489.469</v>
      </c>
      <c r="F1694" s="0" t="n">
        <v>489.545</v>
      </c>
      <c r="G1694" s="0" t="n">
        <f aca="false">IF(E1694 - F1694 &lt; 0, 0, E1694 - F1694)</f>
        <v>0</v>
      </c>
      <c r="H1694" s="0" t="n">
        <v>1.82</v>
      </c>
      <c r="I1694" s="0" t="n">
        <f aca="false">1.82*30*(G1694^1.5)</f>
        <v>0</v>
      </c>
      <c r="J1694" s="0" t="n">
        <f aca="false">I1694*60</f>
        <v>0</v>
      </c>
      <c r="K1694" s="0" t="n">
        <f aca="false">(I1694*86400)/24</f>
        <v>0</v>
      </c>
    </row>
    <row r="1695" customFormat="false" ht="16.5" hidden="false" customHeight="false" outlineLevel="0" collapsed="false">
      <c r="A1695" s="56" t="n">
        <v>45905.2916666667</v>
      </c>
      <c r="B1695" s="57" t="n">
        <f aca="false">MOD(A1695,1)</f>
        <v>0.291666666656965</v>
      </c>
      <c r="C1695" s="0" t="n">
        <v>0</v>
      </c>
      <c r="D1695" s="0" t="n">
        <v>489.617</v>
      </c>
      <c r="E1695" s="0" t="n">
        <f aca="false">D1695-0.155</f>
        <v>489.462</v>
      </c>
      <c r="F1695" s="0" t="n">
        <v>489.545</v>
      </c>
      <c r="G1695" s="0" t="n">
        <f aca="false">IF(E1695 - F1695 &lt; 0, 0, E1695 - F1695)</f>
        <v>0</v>
      </c>
      <c r="H1695" s="0" t="n">
        <v>1.82</v>
      </c>
      <c r="I1695" s="0" t="n">
        <f aca="false">1.82*30*(G1695^1.5)</f>
        <v>0</v>
      </c>
      <c r="J1695" s="0" t="n">
        <f aca="false">I1695*60</f>
        <v>0</v>
      </c>
      <c r="K1695" s="0" t="n">
        <f aca="false">(I1695*86400)/24</f>
        <v>0</v>
      </c>
    </row>
    <row r="1696" customFormat="false" ht="16.5" hidden="false" customHeight="false" outlineLevel="0" collapsed="false">
      <c r="A1696" s="56" t="n">
        <v>45905.3333333333</v>
      </c>
      <c r="B1696" s="57" t="n">
        <f aca="false">MOD(A1696,1)</f>
        <v>0.333333333343035</v>
      </c>
      <c r="C1696" s="0" t="n">
        <v>0</v>
      </c>
      <c r="D1696" s="0" t="n">
        <v>489.623</v>
      </c>
      <c r="E1696" s="0" t="n">
        <f aca="false">D1696-0.155</f>
        <v>489.468</v>
      </c>
      <c r="F1696" s="0" t="n">
        <v>489.545</v>
      </c>
      <c r="G1696" s="0" t="n">
        <f aca="false">IF(E1696 - F1696 &lt; 0, 0, E1696 - F1696)</f>
        <v>0</v>
      </c>
      <c r="H1696" s="0" t="n">
        <v>1.82</v>
      </c>
      <c r="I1696" s="0" t="n">
        <f aca="false">1.82*30*(G1696^1.5)</f>
        <v>0</v>
      </c>
      <c r="J1696" s="0" t="n">
        <f aca="false">I1696*60</f>
        <v>0</v>
      </c>
      <c r="K1696" s="0" t="n">
        <f aca="false">(I1696*86400)/24</f>
        <v>0</v>
      </c>
    </row>
    <row r="1697" customFormat="false" ht="16.5" hidden="false" customHeight="false" outlineLevel="0" collapsed="false">
      <c r="A1697" s="56" t="n">
        <v>45905.375</v>
      </c>
      <c r="B1697" s="57" t="n">
        <f aca="false">MOD(A1697,1)</f>
        <v>0.375</v>
      </c>
      <c r="C1697" s="0" t="n">
        <v>0</v>
      </c>
      <c r="D1697" s="0" t="n">
        <v>489.623</v>
      </c>
      <c r="E1697" s="0" t="n">
        <f aca="false">D1697-0.155</f>
        <v>489.468</v>
      </c>
      <c r="F1697" s="0" t="n">
        <v>489.545</v>
      </c>
      <c r="G1697" s="0" t="n">
        <f aca="false">IF(E1697 - F1697 &lt; 0, 0, E1697 - F1697)</f>
        <v>0</v>
      </c>
      <c r="H1697" s="0" t="n">
        <v>1.82</v>
      </c>
      <c r="I1697" s="0" t="n">
        <f aca="false">1.82*30*(G1697^1.5)</f>
        <v>0</v>
      </c>
      <c r="J1697" s="0" t="n">
        <f aca="false">I1697*60</f>
        <v>0</v>
      </c>
      <c r="K1697" s="0" t="n">
        <f aca="false">(I1697*86400)/24</f>
        <v>0</v>
      </c>
    </row>
    <row r="1698" customFormat="false" ht="16.5" hidden="false" customHeight="false" outlineLevel="0" collapsed="false">
      <c r="A1698" s="56" t="n">
        <v>45905.4166666667</v>
      </c>
      <c r="B1698" s="57" t="n">
        <f aca="false">MOD(A1698,1)</f>
        <v>0.416666666656965</v>
      </c>
      <c r="C1698" s="0" t="n">
        <v>0</v>
      </c>
      <c r="D1698" s="0" t="n">
        <v>489.623</v>
      </c>
      <c r="E1698" s="0" t="n">
        <f aca="false">D1698-0.155</f>
        <v>489.468</v>
      </c>
      <c r="F1698" s="0" t="n">
        <v>489.545</v>
      </c>
      <c r="G1698" s="0" t="n">
        <f aca="false">IF(E1698 - F1698 &lt; 0, 0, E1698 - F1698)</f>
        <v>0</v>
      </c>
      <c r="H1698" s="0" t="n">
        <v>1.82</v>
      </c>
      <c r="I1698" s="0" t="n">
        <f aca="false">1.82*30*(G1698^1.5)</f>
        <v>0</v>
      </c>
      <c r="J1698" s="0" t="n">
        <f aca="false">I1698*60</f>
        <v>0</v>
      </c>
      <c r="K1698" s="0" t="n">
        <f aca="false">(I1698*86400)/24</f>
        <v>0</v>
      </c>
    </row>
    <row r="1699" customFormat="false" ht="16.5" hidden="false" customHeight="false" outlineLevel="0" collapsed="false">
      <c r="A1699" s="56" t="n">
        <v>45905.4583333333</v>
      </c>
      <c r="B1699" s="57" t="n">
        <f aca="false">MOD(A1699,1)</f>
        <v>0.458333333343035</v>
      </c>
      <c r="C1699" s="0" t="n">
        <v>0</v>
      </c>
      <c r="D1699" s="0" t="n">
        <v>489.616</v>
      </c>
      <c r="E1699" s="0" t="n">
        <f aca="false">D1699-0.155</f>
        <v>489.461</v>
      </c>
      <c r="F1699" s="0" t="n">
        <v>489.545</v>
      </c>
      <c r="G1699" s="0" t="n">
        <f aca="false">IF(E1699 - F1699 &lt; 0, 0, E1699 - F1699)</f>
        <v>0</v>
      </c>
      <c r="H1699" s="0" t="n">
        <v>1.82</v>
      </c>
      <c r="I1699" s="0" t="n">
        <f aca="false">1.82*30*(G1699^1.5)</f>
        <v>0</v>
      </c>
      <c r="J1699" s="0" t="n">
        <f aca="false">I1699*60</f>
        <v>0</v>
      </c>
      <c r="K1699" s="0" t="n">
        <f aca="false">(I1699*86400)/24</f>
        <v>0</v>
      </c>
    </row>
    <row r="1700" customFormat="false" ht="16.5" hidden="false" customHeight="false" outlineLevel="0" collapsed="false">
      <c r="A1700" s="56" t="n">
        <v>45905.5</v>
      </c>
      <c r="B1700" s="57" t="n">
        <f aca="false">MOD(A1700,1)</f>
        <v>0.5</v>
      </c>
      <c r="C1700" s="0" t="n">
        <v>0</v>
      </c>
      <c r="D1700" s="0" t="n">
        <v>489.616</v>
      </c>
      <c r="E1700" s="0" t="n">
        <f aca="false">D1700-0.155</f>
        <v>489.461</v>
      </c>
      <c r="F1700" s="0" t="n">
        <v>489.545</v>
      </c>
      <c r="G1700" s="0" t="n">
        <f aca="false">IF(E1700 - F1700 &lt; 0, 0, E1700 - F1700)</f>
        <v>0</v>
      </c>
      <c r="H1700" s="0" t="n">
        <v>1.82</v>
      </c>
      <c r="I1700" s="0" t="n">
        <f aca="false">1.82*30*(G1700^1.5)</f>
        <v>0</v>
      </c>
      <c r="J1700" s="0" t="n">
        <f aca="false">I1700*60</f>
        <v>0</v>
      </c>
      <c r="K1700" s="0" t="n">
        <f aca="false">(I1700*86400)/24</f>
        <v>0</v>
      </c>
    </row>
    <row r="1701" customFormat="false" ht="16.5" hidden="false" customHeight="false" outlineLevel="0" collapsed="false">
      <c r="A1701" s="56" t="n">
        <v>45905.5416666667</v>
      </c>
      <c r="B1701" s="57" t="n">
        <f aca="false">MOD(A1701,1)</f>
        <v>0.541666666656965</v>
      </c>
      <c r="C1701" s="0" t="n">
        <v>0</v>
      </c>
      <c r="D1701" s="0" t="n">
        <v>489.616</v>
      </c>
      <c r="E1701" s="0" t="n">
        <f aca="false">D1701-0.155</f>
        <v>489.461</v>
      </c>
      <c r="F1701" s="0" t="n">
        <v>489.545</v>
      </c>
      <c r="G1701" s="0" t="n">
        <f aca="false">IF(E1701 - F1701 &lt; 0, 0, E1701 - F1701)</f>
        <v>0</v>
      </c>
      <c r="H1701" s="0" t="n">
        <v>1.82</v>
      </c>
      <c r="I1701" s="0" t="n">
        <f aca="false">1.82*30*(G1701^1.5)</f>
        <v>0</v>
      </c>
      <c r="J1701" s="0" t="n">
        <f aca="false">I1701*60</f>
        <v>0</v>
      </c>
      <c r="K1701" s="0" t="n">
        <f aca="false">(I1701*86400)/24</f>
        <v>0</v>
      </c>
    </row>
    <row r="1702" customFormat="false" ht="16.5" hidden="false" customHeight="false" outlineLevel="0" collapsed="false">
      <c r="A1702" s="56" t="n">
        <v>45905.5833333333</v>
      </c>
      <c r="B1702" s="57" t="n">
        <f aca="false">MOD(A1702,1)</f>
        <v>0.583333333343035</v>
      </c>
      <c r="C1702" s="0" t="n">
        <v>0</v>
      </c>
      <c r="D1702" s="0" t="n">
        <v>489.617</v>
      </c>
      <c r="E1702" s="0" t="n">
        <f aca="false">D1702-0.155</f>
        <v>489.462</v>
      </c>
      <c r="F1702" s="0" t="n">
        <v>489.545</v>
      </c>
      <c r="G1702" s="0" t="n">
        <f aca="false">IF(E1702 - F1702 &lt; 0, 0, E1702 - F1702)</f>
        <v>0</v>
      </c>
      <c r="H1702" s="0" t="n">
        <v>1.82</v>
      </c>
      <c r="I1702" s="0" t="n">
        <f aca="false">1.82*30*(G1702^1.5)</f>
        <v>0</v>
      </c>
      <c r="J1702" s="0" t="n">
        <f aca="false">I1702*60</f>
        <v>0</v>
      </c>
      <c r="K1702" s="0" t="n">
        <f aca="false">(I1702*86400)/24</f>
        <v>0</v>
      </c>
    </row>
    <row r="1703" customFormat="false" ht="16.5" hidden="false" customHeight="false" outlineLevel="0" collapsed="false">
      <c r="A1703" s="56" t="n">
        <v>45905.625</v>
      </c>
      <c r="B1703" s="57" t="n">
        <f aca="false">MOD(A1703,1)</f>
        <v>0.625</v>
      </c>
      <c r="C1703" s="0" t="n">
        <v>0</v>
      </c>
      <c r="D1703" s="0" t="n">
        <v>489.616</v>
      </c>
      <c r="E1703" s="0" t="n">
        <f aca="false">D1703-0.155</f>
        <v>489.461</v>
      </c>
      <c r="F1703" s="0" t="n">
        <v>489.545</v>
      </c>
      <c r="G1703" s="0" t="n">
        <f aca="false">IF(E1703 - F1703 &lt; 0, 0, E1703 - F1703)</f>
        <v>0</v>
      </c>
      <c r="H1703" s="0" t="n">
        <v>1.82</v>
      </c>
      <c r="I1703" s="0" t="n">
        <f aca="false">1.82*30*(G1703^1.5)</f>
        <v>0</v>
      </c>
      <c r="J1703" s="0" t="n">
        <f aca="false">I1703*60</f>
        <v>0</v>
      </c>
      <c r="K1703" s="0" t="n">
        <f aca="false">(I1703*86400)/24</f>
        <v>0</v>
      </c>
    </row>
    <row r="1704" customFormat="false" ht="16.5" hidden="false" customHeight="false" outlineLevel="0" collapsed="false">
      <c r="A1704" s="56" t="n">
        <v>45905.6666666667</v>
      </c>
      <c r="B1704" s="57" t="n">
        <f aca="false">MOD(A1704,1)</f>
        <v>0.666666666656965</v>
      </c>
      <c r="C1704" s="0" t="n">
        <v>0</v>
      </c>
      <c r="D1704" s="0" t="n">
        <v>489.611</v>
      </c>
      <c r="E1704" s="0" t="n">
        <f aca="false">D1704-0.155</f>
        <v>489.456</v>
      </c>
      <c r="F1704" s="0" t="n">
        <v>489.545</v>
      </c>
      <c r="G1704" s="0" t="n">
        <f aca="false">IF(E1704 - F1704 &lt; 0, 0, E1704 - F1704)</f>
        <v>0</v>
      </c>
      <c r="H1704" s="0" t="n">
        <v>1.82</v>
      </c>
      <c r="I1704" s="0" t="n">
        <f aca="false">1.82*30*(G1704^1.5)</f>
        <v>0</v>
      </c>
      <c r="J1704" s="0" t="n">
        <f aca="false">I1704*60</f>
        <v>0</v>
      </c>
      <c r="K1704" s="0" t="n">
        <f aca="false">(I1704*86400)/24</f>
        <v>0</v>
      </c>
    </row>
    <row r="1705" customFormat="false" ht="16.5" hidden="false" customHeight="false" outlineLevel="0" collapsed="false">
      <c r="A1705" s="56" t="n">
        <v>45905.7083333333</v>
      </c>
      <c r="B1705" s="57" t="n">
        <f aca="false">MOD(A1705,1)</f>
        <v>0.708333333343035</v>
      </c>
      <c r="C1705" s="0" t="n">
        <v>0</v>
      </c>
      <c r="D1705" s="0" t="n">
        <v>489.611</v>
      </c>
      <c r="E1705" s="0" t="n">
        <f aca="false">D1705-0.155</f>
        <v>489.456</v>
      </c>
      <c r="F1705" s="0" t="n">
        <v>489.545</v>
      </c>
      <c r="G1705" s="0" t="n">
        <f aca="false">IF(E1705 - F1705 &lt; 0, 0, E1705 - F1705)</f>
        <v>0</v>
      </c>
      <c r="H1705" s="0" t="n">
        <v>1.82</v>
      </c>
      <c r="I1705" s="0" t="n">
        <f aca="false">1.82*30*(G1705^1.5)</f>
        <v>0</v>
      </c>
      <c r="J1705" s="0" t="n">
        <f aca="false">I1705*60</f>
        <v>0</v>
      </c>
      <c r="K1705" s="0" t="n">
        <f aca="false">(I1705*86400)/24</f>
        <v>0</v>
      </c>
    </row>
    <row r="1706" customFormat="false" ht="16.5" hidden="false" customHeight="false" outlineLevel="0" collapsed="false">
      <c r="A1706" s="56" t="n">
        <v>45905.75</v>
      </c>
      <c r="B1706" s="57" t="n">
        <f aca="false">MOD(A1706,1)</f>
        <v>0.75</v>
      </c>
      <c r="C1706" s="0" t="n">
        <v>0</v>
      </c>
      <c r="D1706" s="0" t="n">
        <v>489.604</v>
      </c>
      <c r="E1706" s="0" t="n">
        <f aca="false">D1706-0.155</f>
        <v>489.449</v>
      </c>
      <c r="F1706" s="0" t="n">
        <v>489.545</v>
      </c>
      <c r="G1706" s="0" t="n">
        <f aca="false">IF(E1706 - F1706 &lt; 0, 0, E1706 - F1706)</f>
        <v>0</v>
      </c>
      <c r="H1706" s="0" t="n">
        <v>1.82</v>
      </c>
      <c r="I1706" s="0" t="n">
        <f aca="false">1.82*30*(G1706^1.5)</f>
        <v>0</v>
      </c>
      <c r="J1706" s="0" t="n">
        <f aca="false">I1706*60</f>
        <v>0</v>
      </c>
      <c r="K1706" s="0" t="n">
        <f aca="false">(I1706*86400)/24</f>
        <v>0</v>
      </c>
    </row>
    <row r="1707" customFormat="false" ht="16.5" hidden="false" customHeight="false" outlineLevel="0" collapsed="false">
      <c r="A1707" s="56" t="n">
        <v>45905.7916666667</v>
      </c>
      <c r="B1707" s="57" t="n">
        <f aca="false">MOD(A1707,1)</f>
        <v>0.791666666656965</v>
      </c>
      <c r="C1707" s="0" t="n">
        <v>0</v>
      </c>
      <c r="D1707" s="0" t="n">
        <v>489.604</v>
      </c>
      <c r="E1707" s="0" t="n">
        <f aca="false">D1707-0.155</f>
        <v>489.449</v>
      </c>
      <c r="F1707" s="0" t="n">
        <v>489.545</v>
      </c>
      <c r="G1707" s="0" t="n">
        <f aca="false">IF(E1707 - F1707 &lt; 0, 0, E1707 - F1707)</f>
        <v>0</v>
      </c>
      <c r="H1707" s="0" t="n">
        <v>1.82</v>
      </c>
      <c r="I1707" s="0" t="n">
        <f aca="false">1.82*30*(G1707^1.5)</f>
        <v>0</v>
      </c>
      <c r="J1707" s="0" t="n">
        <f aca="false">I1707*60</f>
        <v>0</v>
      </c>
      <c r="K1707" s="0" t="n">
        <f aca="false">(I1707*86400)/24</f>
        <v>0</v>
      </c>
    </row>
    <row r="1708" customFormat="false" ht="16.5" hidden="false" customHeight="false" outlineLevel="0" collapsed="false">
      <c r="A1708" s="56" t="n">
        <v>45905.8333333333</v>
      </c>
      <c r="B1708" s="57" t="n">
        <f aca="false">MOD(A1708,1)</f>
        <v>0.833333333343035</v>
      </c>
      <c r="C1708" s="0" t="n">
        <v>0</v>
      </c>
      <c r="D1708" s="0" t="n">
        <v>489.604</v>
      </c>
      <c r="E1708" s="0" t="n">
        <f aca="false">D1708-0.155</f>
        <v>489.449</v>
      </c>
      <c r="F1708" s="0" t="n">
        <v>489.545</v>
      </c>
      <c r="G1708" s="0" t="n">
        <f aca="false">IF(E1708 - F1708 &lt; 0, 0, E1708 - F1708)</f>
        <v>0</v>
      </c>
      <c r="H1708" s="0" t="n">
        <v>1.82</v>
      </c>
      <c r="I1708" s="0" t="n">
        <f aca="false">1.82*30*(G1708^1.5)</f>
        <v>0</v>
      </c>
      <c r="J1708" s="0" t="n">
        <f aca="false">I1708*60</f>
        <v>0</v>
      </c>
      <c r="K1708" s="0" t="n">
        <f aca="false">(I1708*86400)/24</f>
        <v>0</v>
      </c>
    </row>
    <row r="1709" customFormat="false" ht="16.5" hidden="false" customHeight="false" outlineLevel="0" collapsed="false">
      <c r="A1709" s="56" t="n">
        <v>45905.875</v>
      </c>
      <c r="B1709" s="57" t="n">
        <f aca="false">MOD(A1709,1)</f>
        <v>0.875</v>
      </c>
      <c r="C1709" s="0" t="n">
        <v>0</v>
      </c>
      <c r="D1709" s="0" t="n">
        <v>489.604</v>
      </c>
      <c r="E1709" s="0" t="n">
        <f aca="false">D1709-0.155</f>
        <v>489.449</v>
      </c>
      <c r="F1709" s="0" t="n">
        <v>489.545</v>
      </c>
      <c r="G1709" s="0" t="n">
        <f aca="false">IF(E1709 - F1709 &lt; 0, 0, E1709 - F1709)</f>
        <v>0</v>
      </c>
      <c r="H1709" s="0" t="n">
        <v>1.82</v>
      </c>
      <c r="I1709" s="0" t="n">
        <f aca="false">1.82*30*(G1709^1.5)</f>
        <v>0</v>
      </c>
      <c r="J1709" s="0" t="n">
        <f aca="false">I1709*60</f>
        <v>0</v>
      </c>
      <c r="K1709" s="0" t="n">
        <f aca="false">(I1709*86400)/24</f>
        <v>0</v>
      </c>
    </row>
    <row r="1710" customFormat="false" ht="16.5" hidden="false" customHeight="false" outlineLevel="0" collapsed="false">
      <c r="A1710" s="56" t="n">
        <v>45905.9166666667</v>
      </c>
      <c r="B1710" s="57" t="n">
        <f aca="false">MOD(A1710,1)</f>
        <v>0.916666666656965</v>
      </c>
      <c r="C1710" s="0" t="n">
        <v>0</v>
      </c>
      <c r="D1710" s="0" t="n">
        <v>489.604</v>
      </c>
      <c r="E1710" s="0" t="n">
        <f aca="false">D1710-0.155</f>
        <v>489.449</v>
      </c>
      <c r="F1710" s="0" t="n">
        <v>489.545</v>
      </c>
      <c r="G1710" s="0" t="n">
        <f aca="false">IF(E1710 - F1710 &lt; 0, 0, E1710 - F1710)</f>
        <v>0</v>
      </c>
      <c r="H1710" s="0" t="n">
        <v>1.82</v>
      </c>
      <c r="I1710" s="0" t="n">
        <f aca="false">1.82*30*(G1710^1.5)</f>
        <v>0</v>
      </c>
      <c r="J1710" s="0" t="n">
        <f aca="false">I1710*60</f>
        <v>0</v>
      </c>
      <c r="K1710" s="0" t="n">
        <f aca="false">(I1710*86400)/24</f>
        <v>0</v>
      </c>
    </row>
    <row r="1711" customFormat="false" ht="16.5" hidden="false" customHeight="false" outlineLevel="0" collapsed="false">
      <c r="A1711" s="56" t="n">
        <v>45905.9583333333</v>
      </c>
      <c r="B1711" s="57" t="n">
        <f aca="false">MOD(A1711,1)</f>
        <v>0.958333333343035</v>
      </c>
      <c r="C1711" s="0" t="n">
        <v>0</v>
      </c>
      <c r="D1711" s="0" t="n">
        <v>489.604</v>
      </c>
      <c r="E1711" s="0" t="n">
        <f aca="false">D1711-0.155</f>
        <v>489.449</v>
      </c>
      <c r="F1711" s="0" t="n">
        <v>489.545</v>
      </c>
      <c r="G1711" s="0" t="n">
        <f aca="false">IF(E1711 - F1711 &lt; 0, 0, E1711 - F1711)</f>
        <v>0</v>
      </c>
      <c r="H1711" s="0" t="n">
        <v>1.82</v>
      </c>
      <c r="I1711" s="0" t="n">
        <f aca="false">1.82*30*(G1711^1.5)</f>
        <v>0</v>
      </c>
      <c r="J1711" s="0" t="n">
        <f aca="false">I1711*60</f>
        <v>0</v>
      </c>
      <c r="K1711" s="0" t="n">
        <f aca="false">(I1711*86400)/24</f>
        <v>0</v>
      </c>
    </row>
    <row r="1712" customFormat="false" ht="16.5" hidden="false" customHeight="false" outlineLevel="0" collapsed="false">
      <c r="A1712" s="56" t="n">
        <v>45906</v>
      </c>
      <c r="B1712" s="57" t="n">
        <f aca="false">MOD(A1712,1)</f>
        <v>0</v>
      </c>
      <c r="C1712" s="0" t="n">
        <v>0</v>
      </c>
      <c r="D1712" s="0" t="n">
        <v>489.604</v>
      </c>
      <c r="E1712" s="0" t="n">
        <f aca="false">D1712-0.155</f>
        <v>489.449</v>
      </c>
      <c r="F1712" s="0" t="n">
        <v>489.545</v>
      </c>
      <c r="G1712" s="0" t="n">
        <f aca="false">IF(E1712 - F1712 &lt; 0, 0, E1712 - F1712)</f>
        <v>0</v>
      </c>
      <c r="H1712" s="0" t="n">
        <v>1.82</v>
      </c>
      <c r="I1712" s="0" t="n">
        <f aca="false">1.82*30*(G1712^1.5)</f>
        <v>0</v>
      </c>
      <c r="J1712" s="0" t="n">
        <f aca="false">I1712*60</f>
        <v>0</v>
      </c>
      <c r="K1712" s="0" t="n">
        <f aca="false">(I1712*86400)/24</f>
        <v>0</v>
      </c>
    </row>
    <row r="1713" customFormat="false" ht="16.5" hidden="false" customHeight="false" outlineLevel="0" collapsed="false">
      <c r="A1713" s="56" t="n">
        <v>45906.0416666667</v>
      </c>
      <c r="B1713" s="57" t="n">
        <f aca="false">MOD(A1713,1)</f>
        <v>0.0416666666569654</v>
      </c>
      <c r="C1713" s="0" t="n">
        <v>0</v>
      </c>
      <c r="D1713" s="0" t="n">
        <v>489.598</v>
      </c>
      <c r="E1713" s="0" t="n">
        <f aca="false">D1713-0.155</f>
        <v>489.443</v>
      </c>
      <c r="F1713" s="0" t="n">
        <v>489.545</v>
      </c>
      <c r="G1713" s="0" t="n">
        <f aca="false">IF(E1713 - F1713 &lt; 0, 0, E1713 - F1713)</f>
        <v>0</v>
      </c>
      <c r="H1713" s="0" t="n">
        <v>1.82</v>
      </c>
      <c r="I1713" s="0" t="n">
        <f aca="false">1.82*30*(G1713^1.5)</f>
        <v>0</v>
      </c>
      <c r="J1713" s="0" t="n">
        <f aca="false">I1713*60</f>
        <v>0</v>
      </c>
      <c r="K1713" s="0" t="n">
        <f aca="false">(I1713*86400)/24</f>
        <v>0</v>
      </c>
    </row>
    <row r="1714" customFormat="false" ht="16.5" hidden="false" customHeight="false" outlineLevel="0" collapsed="false">
      <c r="A1714" s="56" t="n">
        <v>45906.0833333333</v>
      </c>
      <c r="B1714" s="57" t="n">
        <f aca="false">MOD(A1714,1)</f>
        <v>0.0833333333430346</v>
      </c>
      <c r="C1714" s="0" t="n">
        <v>0</v>
      </c>
      <c r="D1714" s="0" t="n">
        <v>489.598</v>
      </c>
      <c r="E1714" s="0" t="n">
        <f aca="false">D1714-0.155</f>
        <v>489.443</v>
      </c>
      <c r="F1714" s="0" t="n">
        <v>489.545</v>
      </c>
      <c r="G1714" s="0" t="n">
        <f aca="false">IF(E1714 - F1714 &lt; 0, 0, E1714 - F1714)</f>
        <v>0</v>
      </c>
      <c r="H1714" s="0" t="n">
        <v>1.82</v>
      </c>
      <c r="I1714" s="0" t="n">
        <f aca="false">1.82*30*(G1714^1.5)</f>
        <v>0</v>
      </c>
      <c r="J1714" s="0" t="n">
        <f aca="false">I1714*60</f>
        <v>0</v>
      </c>
      <c r="K1714" s="0" t="n">
        <f aca="false">(I1714*86400)/24</f>
        <v>0</v>
      </c>
    </row>
    <row r="1715" customFormat="false" ht="16.5" hidden="false" customHeight="false" outlineLevel="0" collapsed="false">
      <c r="A1715" s="56" t="n">
        <v>45906.125</v>
      </c>
      <c r="B1715" s="57" t="n">
        <f aca="false">MOD(A1715,1)</f>
        <v>0.125</v>
      </c>
      <c r="C1715" s="0" t="n">
        <v>0</v>
      </c>
      <c r="D1715" s="0" t="n">
        <v>489.605</v>
      </c>
      <c r="E1715" s="0" t="n">
        <f aca="false">D1715-0.155</f>
        <v>489.45</v>
      </c>
      <c r="F1715" s="0" t="n">
        <v>489.545</v>
      </c>
      <c r="G1715" s="0" t="n">
        <f aca="false">IF(E1715 - F1715 &lt; 0, 0, E1715 - F1715)</f>
        <v>0</v>
      </c>
      <c r="H1715" s="0" t="n">
        <v>1.82</v>
      </c>
      <c r="I1715" s="0" t="n">
        <f aca="false">1.82*30*(G1715^1.5)</f>
        <v>0</v>
      </c>
      <c r="J1715" s="0" t="n">
        <f aca="false">I1715*60</f>
        <v>0</v>
      </c>
      <c r="K1715" s="0" t="n">
        <f aca="false">(I1715*86400)/24</f>
        <v>0</v>
      </c>
    </row>
    <row r="1716" customFormat="false" ht="16.5" hidden="false" customHeight="false" outlineLevel="0" collapsed="false">
      <c r="A1716" s="56" t="n">
        <v>45906.1666666667</v>
      </c>
      <c r="B1716" s="57" t="n">
        <f aca="false">MOD(A1716,1)</f>
        <v>0.166666666656965</v>
      </c>
      <c r="C1716" s="0" t="n">
        <v>0</v>
      </c>
      <c r="D1716" s="0" t="n">
        <v>489.598</v>
      </c>
      <c r="E1716" s="0" t="n">
        <f aca="false">D1716-0.155</f>
        <v>489.443</v>
      </c>
      <c r="F1716" s="0" t="n">
        <v>489.545</v>
      </c>
      <c r="G1716" s="0" t="n">
        <f aca="false">IF(E1716 - F1716 &lt; 0, 0, E1716 - F1716)</f>
        <v>0</v>
      </c>
      <c r="H1716" s="0" t="n">
        <v>1.82</v>
      </c>
      <c r="I1716" s="0" t="n">
        <f aca="false">1.82*30*(G1716^1.5)</f>
        <v>0</v>
      </c>
      <c r="J1716" s="0" t="n">
        <f aca="false">I1716*60</f>
        <v>0</v>
      </c>
      <c r="K1716" s="0" t="n">
        <f aca="false">(I1716*86400)/24</f>
        <v>0</v>
      </c>
    </row>
    <row r="1717" customFormat="false" ht="16.5" hidden="false" customHeight="false" outlineLevel="0" collapsed="false">
      <c r="A1717" s="56" t="n">
        <v>45906.2083333333</v>
      </c>
      <c r="B1717" s="57" t="n">
        <f aca="false">MOD(A1717,1)</f>
        <v>0.208333333343035</v>
      </c>
      <c r="C1717" s="0" t="n">
        <v>0</v>
      </c>
      <c r="D1717" s="0" t="n">
        <v>489.598</v>
      </c>
      <c r="E1717" s="0" t="n">
        <f aca="false">D1717-0.155</f>
        <v>489.443</v>
      </c>
      <c r="F1717" s="0" t="n">
        <v>489.545</v>
      </c>
      <c r="G1717" s="0" t="n">
        <f aca="false">IF(E1717 - F1717 &lt; 0, 0, E1717 - F1717)</f>
        <v>0</v>
      </c>
      <c r="H1717" s="0" t="n">
        <v>1.82</v>
      </c>
      <c r="I1717" s="0" t="n">
        <f aca="false">1.82*30*(G1717^1.5)</f>
        <v>0</v>
      </c>
      <c r="J1717" s="0" t="n">
        <f aca="false">I1717*60</f>
        <v>0</v>
      </c>
      <c r="K1717" s="0" t="n">
        <f aca="false">(I1717*86400)/24</f>
        <v>0</v>
      </c>
    </row>
    <row r="1718" customFormat="false" ht="16.5" hidden="false" customHeight="false" outlineLevel="0" collapsed="false">
      <c r="A1718" s="56" t="n">
        <v>45906.25</v>
      </c>
      <c r="B1718" s="57" t="n">
        <f aca="false">MOD(A1718,1)</f>
        <v>0.25</v>
      </c>
      <c r="C1718" s="0" t="n">
        <v>0</v>
      </c>
      <c r="D1718" s="0" t="n">
        <v>489.598</v>
      </c>
      <c r="E1718" s="0" t="n">
        <f aca="false">D1718-0.155</f>
        <v>489.443</v>
      </c>
      <c r="F1718" s="0" t="n">
        <v>489.545</v>
      </c>
      <c r="G1718" s="0" t="n">
        <f aca="false">IF(E1718 - F1718 &lt; 0, 0, E1718 - F1718)</f>
        <v>0</v>
      </c>
      <c r="H1718" s="0" t="n">
        <v>1.82</v>
      </c>
      <c r="I1718" s="0" t="n">
        <f aca="false">1.82*30*(G1718^1.5)</f>
        <v>0</v>
      </c>
      <c r="J1718" s="0" t="n">
        <f aca="false">I1718*60</f>
        <v>0</v>
      </c>
      <c r="K1718" s="0" t="n">
        <f aca="false">(I1718*86400)/24</f>
        <v>0</v>
      </c>
    </row>
    <row r="1719" customFormat="false" ht="16.5" hidden="false" customHeight="false" outlineLevel="0" collapsed="false">
      <c r="A1719" s="56" t="n">
        <v>45906.2916666667</v>
      </c>
      <c r="B1719" s="57" t="n">
        <f aca="false">MOD(A1719,1)</f>
        <v>0.291666666656965</v>
      </c>
      <c r="C1719" s="0" t="n">
        <v>0</v>
      </c>
      <c r="D1719" s="0" t="n">
        <v>489.598</v>
      </c>
      <c r="E1719" s="0" t="n">
        <f aca="false">D1719-0.155</f>
        <v>489.443</v>
      </c>
      <c r="F1719" s="0" t="n">
        <v>489.545</v>
      </c>
      <c r="G1719" s="0" t="n">
        <f aca="false">IF(E1719 - F1719 &lt; 0, 0, E1719 - F1719)</f>
        <v>0</v>
      </c>
      <c r="H1719" s="0" t="n">
        <v>1.82</v>
      </c>
      <c r="I1719" s="0" t="n">
        <f aca="false">1.82*30*(G1719^1.5)</f>
        <v>0</v>
      </c>
      <c r="J1719" s="0" t="n">
        <f aca="false">I1719*60</f>
        <v>0</v>
      </c>
      <c r="K1719" s="0" t="n">
        <f aca="false">(I1719*86400)/24</f>
        <v>0</v>
      </c>
    </row>
    <row r="1720" customFormat="false" ht="16.5" hidden="false" customHeight="false" outlineLevel="0" collapsed="false">
      <c r="A1720" s="56" t="n">
        <v>45906.3333333333</v>
      </c>
      <c r="B1720" s="57" t="n">
        <f aca="false">MOD(A1720,1)</f>
        <v>0.333333333343035</v>
      </c>
      <c r="C1720" s="0" t="n">
        <v>0</v>
      </c>
      <c r="D1720" s="0" t="n">
        <v>489.597</v>
      </c>
      <c r="E1720" s="0" t="n">
        <f aca="false">D1720-0.155</f>
        <v>489.442</v>
      </c>
      <c r="F1720" s="0" t="n">
        <v>489.545</v>
      </c>
      <c r="G1720" s="0" t="n">
        <f aca="false">IF(E1720 - F1720 &lt; 0, 0, E1720 - F1720)</f>
        <v>0</v>
      </c>
      <c r="H1720" s="0" t="n">
        <v>1.82</v>
      </c>
      <c r="I1720" s="0" t="n">
        <f aca="false">1.82*30*(G1720^1.5)</f>
        <v>0</v>
      </c>
      <c r="J1720" s="0" t="n">
        <f aca="false">I1720*60</f>
        <v>0</v>
      </c>
      <c r="K1720" s="0" t="n">
        <f aca="false">(I1720*86400)/24</f>
        <v>0</v>
      </c>
    </row>
    <row r="1721" customFormat="false" ht="16.5" hidden="false" customHeight="false" outlineLevel="0" collapsed="false">
      <c r="A1721" s="56" t="n">
        <v>45906.375</v>
      </c>
      <c r="B1721" s="57" t="n">
        <f aca="false">MOD(A1721,1)</f>
        <v>0.375</v>
      </c>
      <c r="C1721" s="0" t="n">
        <v>0</v>
      </c>
      <c r="D1721" s="0" t="n">
        <v>489.598</v>
      </c>
      <c r="E1721" s="0" t="n">
        <f aca="false">D1721-0.155</f>
        <v>489.443</v>
      </c>
      <c r="F1721" s="0" t="n">
        <v>489.545</v>
      </c>
      <c r="G1721" s="0" t="n">
        <f aca="false">IF(E1721 - F1721 &lt; 0, 0, E1721 - F1721)</f>
        <v>0</v>
      </c>
      <c r="H1721" s="0" t="n">
        <v>1.82</v>
      </c>
      <c r="I1721" s="0" t="n">
        <f aca="false">1.82*30*(G1721^1.5)</f>
        <v>0</v>
      </c>
      <c r="J1721" s="0" t="n">
        <f aca="false">I1721*60</f>
        <v>0</v>
      </c>
      <c r="K1721" s="0" t="n">
        <f aca="false">(I1721*86400)/24</f>
        <v>0</v>
      </c>
    </row>
    <row r="1722" customFormat="false" ht="16.5" hidden="false" customHeight="false" outlineLevel="0" collapsed="false">
      <c r="A1722" s="56" t="n">
        <v>45906.4166666667</v>
      </c>
      <c r="B1722" s="57" t="n">
        <f aca="false">MOD(A1722,1)</f>
        <v>0.416666666656965</v>
      </c>
      <c r="C1722" s="0" t="n">
        <v>0</v>
      </c>
      <c r="D1722" s="0" t="n">
        <v>489.597</v>
      </c>
      <c r="E1722" s="0" t="n">
        <f aca="false">D1722-0.155</f>
        <v>489.442</v>
      </c>
      <c r="F1722" s="0" t="n">
        <v>489.545</v>
      </c>
      <c r="G1722" s="0" t="n">
        <f aca="false">IF(E1722 - F1722 &lt; 0, 0, E1722 - F1722)</f>
        <v>0</v>
      </c>
      <c r="H1722" s="0" t="n">
        <v>1.82</v>
      </c>
      <c r="I1722" s="0" t="n">
        <f aca="false">1.82*30*(G1722^1.5)</f>
        <v>0</v>
      </c>
      <c r="J1722" s="0" t="n">
        <f aca="false">I1722*60</f>
        <v>0</v>
      </c>
      <c r="K1722" s="0" t="n">
        <f aca="false">(I1722*86400)/24</f>
        <v>0</v>
      </c>
    </row>
    <row r="1723" customFormat="false" ht="16.5" hidden="false" customHeight="false" outlineLevel="0" collapsed="false">
      <c r="A1723" s="56" t="n">
        <v>45906.4583333333</v>
      </c>
      <c r="B1723" s="57" t="n">
        <f aca="false">MOD(A1723,1)</f>
        <v>0.458333333343035</v>
      </c>
      <c r="C1723" s="0" t="n">
        <v>0</v>
      </c>
      <c r="D1723" s="0" t="n">
        <v>489.597</v>
      </c>
      <c r="E1723" s="0" t="n">
        <f aca="false">D1723-0.155</f>
        <v>489.442</v>
      </c>
      <c r="F1723" s="0" t="n">
        <v>489.545</v>
      </c>
      <c r="G1723" s="0" t="n">
        <f aca="false">IF(E1723 - F1723 &lt; 0, 0, E1723 - F1723)</f>
        <v>0</v>
      </c>
      <c r="H1723" s="0" t="n">
        <v>1.82</v>
      </c>
      <c r="I1723" s="0" t="n">
        <f aca="false">1.82*30*(G1723^1.5)</f>
        <v>0</v>
      </c>
      <c r="J1723" s="0" t="n">
        <f aca="false">I1723*60</f>
        <v>0</v>
      </c>
      <c r="K1723" s="0" t="n">
        <f aca="false">(I1723*86400)/24</f>
        <v>0</v>
      </c>
    </row>
    <row r="1724" customFormat="false" ht="16.5" hidden="false" customHeight="false" outlineLevel="0" collapsed="false">
      <c r="A1724" s="56" t="n">
        <v>45906.5</v>
      </c>
      <c r="B1724" s="57" t="n">
        <f aca="false">MOD(A1724,1)</f>
        <v>0.5</v>
      </c>
      <c r="C1724" s="0" t="n">
        <v>0</v>
      </c>
      <c r="D1724" s="0" t="n">
        <v>489.592</v>
      </c>
      <c r="E1724" s="0" t="n">
        <f aca="false">D1724-0.155</f>
        <v>489.437</v>
      </c>
      <c r="F1724" s="0" t="n">
        <v>489.545</v>
      </c>
      <c r="G1724" s="0" t="n">
        <f aca="false">IF(E1724 - F1724 &lt; 0, 0, E1724 - F1724)</f>
        <v>0</v>
      </c>
      <c r="H1724" s="0" t="n">
        <v>1.82</v>
      </c>
      <c r="I1724" s="0" t="n">
        <f aca="false">1.82*30*(G1724^1.5)</f>
        <v>0</v>
      </c>
      <c r="J1724" s="0" t="n">
        <f aca="false">I1724*60</f>
        <v>0</v>
      </c>
      <c r="K1724" s="0" t="n">
        <f aca="false">(I1724*86400)/24</f>
        <v>0</v>
      </c>
    </row>
    <row r="1725" customFormat="false" ht="16.5" hidden="false" customHeight="false" outlineLevel="0" collapsed="false">
      <c r="A1725" s="56" t="n">
        <v>45906.5416666667</v>
      </c>
      <c r="B1725" s="57" t="n">
        <f aca="false">MOD(A1725,1)</f>
        <v>0.541666666656965</v>
      </c>
      <c r="C1725" s="0" t="n">
        <v>0</v>
      </c>
      <c r="D1725" s="0" t="n">
        <v>489.592</v>
      </c>
      <c r="E1725" s="0" t="n">
        <f aca="false">D1725-0.155</f>
        <v>489.437</v>
      </c>
      <c r="F1725" s="0" t="n">
        <v>489.545</v>
      </c>
      <c r="G1725" s="0" t="n">
        <f aca="false">IF(E1725 - F1725 &lt; 0, 0, E1725 - F1725)</f>
        <v>0</v>
      </c>
      <c r="H1725" s="0" t="n">
        <v>1.82</v>
      </c>
      <c r="I1725" s="0" t="n">
        <f aca="false">1.82*30*(G1725^1.5)</f>
        <v>0</v>
      </c>
      <c r="J1725" s="0" t="n">
        <f aca="false">I1725*60</f>
        <v>0</v>
      </c>
      <c r="K1725" s="0" t="n">
        <f aca="false">(I1725*86400)/24</f>
        <v>0</v>
      </c>
    </row>
    <row r="1726" customFormat="false" ht="16.5" hidden="false" customHeight="false" outlineLevel="0" collapsed="false">
      <c r="A1726" s="56" t="n">
        <v>45906.5833333333</v>
      </c>
      <c r="B1726" s="57" t="n">
        <f aca="false">MOD(A1726,1)</f>
        <v>0.583333333343035</v>
      </c>
      <c r="C1726" s="0" t="n">
        <v>0</v>
      </c>
      <c r="D1726" s="0" t="n">
        <v>489.592</v>
      </c>
      <c r="E1726" s="0" t="n">
        <f aca="false">D1726-0.155</f>
        <v>489.437</v>
      </c>
      <c r="F1726" s="0" t="n">
        <v>489.545</v>
      </c>
      <c r="G1726" s="0" t="n">
        <f aca="false">IF(E1726 - F1726 &lt; 0, 0, E1726 - F1726)</f>
        <v>0</v>
      </c>
      <c r="H1726" s="0" t="n">
        <v>1.82</v>
      </c>
      <c r="I1726" s="0" t="n">
        <f aca="false">1.82*30*(G1726^1.5)</f>
        <v>0</v>
      </c>
      <c r="J1726" s="0" t="n">
        <f aca="false">I1726*60</f>
        <v>0</v>
      </c>
      <c r="K1726" s="0" t="n">
        <f aca="false">(I1726*86400)/24</f>
        <v>0</v>
      </c>
    </row>
    <row r="1727" customFormat="false" ht="16.5" hidden="false" customHeight="false" outlineLevel="0" collapsed="false">
      <c r="A1727" s="56" t="n">
        <v>45906.625</v>
      </c>
      <c r="B1727" s="57" t="n">
        <f aca="false">MOD(A1727,1)</f>
        <v>0.625</v>
      </c>
      <c r="C1727" s="0" t="n">
        <v>0</v>
      </c>
      <c r="D1727" s="0" t="n">
        <v>489.586</v>
      </c>
      <c r="E1727" s="0" t="n">
        <f aca="false">D1727-0.155</f>
        <v>489.431</v>
      </c>
      <c r="F1727" s="0" t="n">
        <v>489.545</v>
      </c>
      <c r="G1727" s="0" t="n">
        <f aca="false">IF(E1727 - F1727 &lt; 0, 0, E1727 - F1727)</f>
        <v>0</v>
      </c>
      <c r="H1727" s="0" t="n">
        <v>1.82</v>
      </c>
      <c r="I1727" s="0" t="n">
        <f aca="false">1.82*30*(G1727^1.5)</f>
        <v>0</v>
      </c>
      <c r="J1727" s="0" t="n">
        <f aca="false">I1727*60</f>
        <v>0</v>
      </c>
      <c r="K1727" s="0" t="n">
        <f aca="false">(I1727*86400)/24</f>
        <v>0</v>
      </c>
    </row>
    <row r="1728" customFormat="false" ht="16.5" hidden="false" customHeight="false" outlineLevel="0" collapsed="false">
      <c r="A1728" s="56" t="n">
        <v>45906.6666666667</v>
      </c>
      <c r="B1728" s="57" t="n">
        <f aca="false">MOD(A1728,1)</f>
        <v>0.666666666656965</v>
      </c>
      <c r="C1728" s="0" t="n">
        <v>0</v>
      </c>
      <c r="D1728" s="0" t="n">
        <v>489.585</v>
      </c>
      <c r="E1728" s="0" t="n">
        <f aca="false">D1728-0.155</f>
        <v>489.43</v>
      </c>
      <c r="F1728" s="0" t="n">
        <v>489.545</v>
      </c>
      <c r="G1728" s="0" t="n">
        <f aca="false">IF(E1728 - F1728 &lt; 0, 0, E1728 - F1728)</f>
        <v>0</v>
      </c>
      <c r="H1728" s="0" t="n">
        <v>1.82</v>
      </c>
      <c r="I1728" s="0" t="n">
        <f aca="false">1.82*30*(G1728^1.5)</f>
        <v>0</v>
      </c>
      <c r="J1728" s="0" t="n">
        <f aca="false">I1728*60</f>
        <v>0</v>
      </c>
      <c r="K1728" s="0" t="n">
        <f aca="false">(I1728*86400)/24</f>
        <v>0</v>
      </c>
    </row>
    <row r="1729" customFormat="false" ht="16.5" hidden="false" customHeight="false" outlineLevel="0" collapsed="false">
      <c r="A1729" s="56" t="n">
        <v>45906.7083333333</v>
      </c>
      <c r="B1729" s="57" t="n">
        <f aca="false">MOD(A1729,1)</f>
        <v>0.708333333343035</v>
      </c>
      <c r="C1729" s="0" t="n">
        <v>0</v>
      </c>
      <c r="D1729" s="0" t="n">
        <v>489.585</v>
      </c>
      <c r="E1729" s="0" t="n">
        <f aca="false">D1729-0.155</f>
        <v>489.43</v>
      </c>
      <c r="F1729" s="0" t="n">
        <v>489.545</v>
      </c>
      <c r="G1729" s="0" t="n">
        <f aca="false">IF(E1729 - F1729 &lt; 0, 0, E1729 - F1729)</f>
        <v>0</v>
      </c>
      <c r="H1729" s="0" t="n">
        <v>1.82</v>
      </c>
      <c r="I1729" s="0" t="n">
        <f aca="false">1.82*30*(G1729^1.5)</f>
        <v>0</v>
      </c>
      <c r="J1729" s="0" t="n">
        <f aca="false">I1729*60</f>
        <v>0</v>
      </c>
      <c r="K1729" s="0" t="n">
        <f aca="false">(I1729*86400)/24</f>
        <v>0</v>
      </c>
    </row>
    <row r="1730" customFormat="false" ht="16.5" hidden="false" customHeight="false" outlineLevel="0" collapsed="false">
      <c r="A1730" s="56" t="n">
        <v>45906.75</v>
      </c>
      <c r="B1730" s="57" t="n">
        <f aca="false">MOD(A1730,1)</f>
        <v>0.75</v>
      </c>
      <c r="C1730" s="0" t="n">
        <v>0</v>
      </c>
      <c r="D1730" s="0" t="n">
        <v>489.585</v>
      </c>
      <c r="E1730" s="0" t="n">
        <f aca="false">D1730-0.155</f>
        <v>489.43</v>
      </c>
      <c r="F1730" s="0" t="n">
        <v>489.545</v>
      </c>
      <c r="G1730" s="0" t="n">
        <f aca="false">IF(E1730 - F1730 &lt; 0, 0, E1730 - F1730)</f>
        <v>0</v>
      </c>
      <c r="H1730" s="0" t="n">
        <v>1.82</v>
      </c>
      <c r="I1730" s="0" t="n">
        <f aca="false">1.82*30*(G1730^1.5)</f>
        <v>0</v>
      </c>
      <c r="J1730" s="0" t="n">
        <f aca="false">I1730*60</f>
        <v>0</v>
      </c>
      <c r="K1730" s="0" t="n">
        <f aca="false">(I1730*86400)/24</f>
        <v>0</v>
      </c>
    </row>
    <row r="1731" customFormat="false" ht="16.5" hidden="false" customHeight="false" outlineLevel="0" collapsed="false">
      <c r="A1731" s="56" t="n">
        <v>45906.7916666667</v>
      </c>
      <c r="B1731" s="57" t="n">
        <f aca="false">MOD(A1731,1)</f>
        <v>0.791666666656965</v>
      </c>
      <c r="C1731" s="0" t="n">
        <v>0</v>
      </c>
      <c r="D1731" s="0" t="n">
        <v>489.586</v>
      </c>
      <c r="E1731" s="0" t="n">
        <f aca="false">D1731-0.155</f>
        <v>489.431</v>
      </c>
      <c r="F1731" s="0" t="n">
        <v>489.545</v>
      </c>
      <c r="G1731" s="0" t="n">
        <f aca="false">IF(E1731 - F1731 &lt; 0, 0, E1731 - F1731)</f>
        <v>0</v>
      </c>
      <c r="H1731" s="0" t="n">
        <v>1.82</v>
      </c>
      <c r="I1731" s="0" t="n">
        <f aca="false">1.82*30*(G1731^1.5)</f>
        <v>0</v>
      </c>
      <c r="J1731" s="0" t="n">
        <f aca="false">I1731*60</f>
        <v>0</v>
      </c>
      <c r="K1731" s="0" t="n">
        <f aca="false">(I1731*86400)/24</f>
        <v>0</v>
      </c>
    </row>
    <row r="1732" customFormat="false" ht="16.5" hidden="false" customHeight="false" outlineLevel="0" collapsed="false">
      <c r="A1732" s="56" t="n">
        <v>45906.8333333333</v>
      </c>
      <c r="B1732" s="57" t="n">
        <f aca="false">MOD(A1732,1)</f>
        <v>0.833333333343035</v>
      </c>
      <c r="C1732" s="0" t="n">
        <v>0</v>
      </c>
      <c r="D1732" s="0" t="n">
        <v>489.579</v>
      </c>
      <c r="E1732" s="0" t="n">
        <f aca="false">D1732-0.155</f>
        <v>489.424</v>
      </c>
      <c r="F1732" s="0" t="n">
        <v>489.545</v>
      </c>
      <c r="G1732" s="0" t="n">
        <f aca="false">IF(E1732 - F1732 &lt; 0, 0, E1732 - F1732)</f>
        <v>0</v>
      </c>
      <c r="H1732" s="0" t="n">
        <v>1.82</v>
      </c>
      <c r="I1732" s="0" t="n">
        <f aca="false">1.82*30*(G1732^1.5)</f>
        <v>0</v>
      </c>
      <c r="J1732" s="0" t="n">
        <f aca="false">I1732*60</f>
        <v>0</v>
      </c>
      <c r="K1732" s="0" t="n">
        <f aca="false">(I1732*86400)/24</f>
        <v>0</v>
      </c>
    </row>
    <row r="1733" customFormat="false" ht="16.5" hidden="false" customHeight="false" outlineLevel="0" collapsed="false">
      <c r="A1733" s="56" t="n">
        <v>45906.875</v>
      </c>
      <c r="B1733" s="57" t="n">
        <f aca="false">MOD(A1733,1)</f>
        <v>0.875</v>
      </c>
      <c r="C1733" s="0" t="n">
        <v>0</v>
      </c>
      <c r="D1733" s="0" t="n">
        <v>489.579</v>
      </c>
      <c r="E1733" s="0" t="n">
        <f aca="false">D1733-0.155</f>
        <v>489.424</v>
      </c>
      <c r="F1733" s="0" t="n">
        <v>489.545</v>
      </c>
      <c r="G1733" s="0" t="n">
        <f aca="false">IF(E1733 - F1733 &lt; 0, 0, E1733 - F1733)</f>
        <v>0</v>
      </c>
      <c r="H1733" s="0" t="n">
        <v>1.82</v>
      </c>
      <c r="I1733" s="0" t="n">
        <f aca="false">1.82*30*(G1733^1.5)</f>
        <v>0</v>
      </c>
      <c r="J1733" s="0" t="n">
        <f aca="false">I1733*60</f>
        <v>0</v>
      </c>
      <c r="K1733" s="0" t="n">
        <f aca="false">(I1733*86400)/24</f>
        <v>0</v>
      </c>
    </row>
    <row r="1734" customFormat="false" ht="16.5" hidden="false" customHeight="false" outlineLevel="0" collapsed="false">
      <c r="A1734" s="56" t="n">
        <v>45906.9166666667</v>
      </c>
      <c r="B1734" s="57" t="n">
        <f aca="false">MOD(A1734,1)</f>
        <v>0.916666666656965</v>
      </c>
      <c r="C1734" s="0" t="n">
        <v>0</v>
      </c>
      <c r="D1734" s="0" t="n">
        <v>489.579</v>
      </c>
      <c r="E1734" s="0" t="n">
        <f aca="false">D1734-0.155</f>
        <v>489.424</v>
      </c>
      <c r="F1734" s="0" t="n">
        <v>489.545</v>
      </c>
      <c r="G1734" s="0" t="n">
        <f aca="false">IF(E1734 - F1734 &lt; 0, 0, E1734 - F1734)</f>
        <v>0</v>
      </c>
      <c r="H1734" s="0" t="n">
        <v>1.82</v>
      </c>
      <c r="I1734" s="0" t="n">
        <f aca="false">1.82*30*(G1734^1.5)</f>
        <v>0</v>
      </c>
      <c r="J1734" s="0" t="n">
        <f aca="false">I1734*60</f>
        <v>0</v>
      </c>
      <c r="K1734" s="0" t="n">
        <f aca="false">(I1734*86400)/24</f>
        <v>0</v>
      </c>
    </row>
    <row r="1735" customFormat="false" ht="16.5" hidden="false" customHeight="false" outlineLevel="0" collapsed="false">
      <c r="A1735" s="56" t="n">
        <v>45906.9583333333</v>
      </c>
      <c r="B1735" s="57" t="n">
        <f aca="false">MOD(A1735,1)</f>
        <v>0.958333333343035</v>
      </c>
      <c r="C1735" s="0" t="n">
        <v>0</v>
      </c>
      <c r="D1735" s="0" t="n">
        <v>489.579</v>
      </c>
      <c r="E1735" s="0" t="n">
        <f aca="false">D1735-0.155</f>
        <v>489.424</v>
      </c>
      <c r="F1735" s="0" t="n">
        <v>489.545</v>
      </c>
      <c r="G1735" s="0" t="n">
        <f aca="false">IF(E1735 - F1735 &lt; 0, 0, E1735 - F1735)</f>
        <v>0</v>
      </c>
      <c r="H1735" s="0" t="n">
        <v>1.82</v>
      </c>
      <c r="I1735" s="0" t="n">
        <f aca="false">1.82*30*(G1735^1.5)</f>
        <v>0</v>
      </c>
      <c r="J1735" s="0" t="n">
        <f aca="false">I1735*60</f>
        <v>0</v>
      </c>
      <c r="K1735" s="0" t="n">
        <f aca="false">(I1735*86400)/24</f>
        <v>0</v>
      </c>
    </row>
    <row r="1736" customFormat="false" ht="16.5" hidden="false" customHeight="false" outlineLevel="0" collapsed="false">
      <c r="A1736" s="56" t="n">
        <v>45907</v>
      </c>
      <c r="B1736" s="57" t="n">
        <f aca="false">MOD(A1736,1)</f>
        <v>0</v>
      </c>
      <c r="C1736" s="0" t="n">
        <v>0</v>
      </c>
      <c r="D1736" s="0" t="n">
        <v>489.579</v>
      </c>
      <c r="E1736" s="0" t="n">
        <f aca="false">D1736-0.155</f>
        <v>489.424</v>
      </c>
      <c r="F1736" s="0" t="n">
        <v>489.545</v>
      </c>
      <c r="G1736" s="0" t="n">
        <f aca="false">IF(E1736 - F1736 &lt; 0, 0, E1736 - F1736)</f>
        <v>0</v>
      </c>
      <c r="H1736" s="0" t="n">
        <v>1.82</v>
      </c>
      <c r="I1736" s="0" t="n">
        <f aca="false">1.82*30*(G1736^1.5)</f>
        <v>0</v>
      </c>
      <c r="J1736" s="0" t="n">
        <f aca="false">I1736*60</f>
        <v>0</v>
      </c>
      <c r="K1736" s="0" t="n">
        <f aca="false">(I1736*86400)/24</f>
        <v>0</v>
      </c>
    </row>
    <row r="1737" customFormat="false" ht="16.5" hidden="false" customHeight="false" outlineLevel="0" collapsed="false">
      <c r="A1737" s="56" t="n">
        <v>45907.0416666667</v>
      </c>
      <c r="B1737" s="57" t="n">
        <f aca="false">MOD(A1737,1)</f>
        <v>0.0416666666569654</v>
      </c>
      <c r="C1737" s="0" t="n">
        <v>0</v>
      </c>
      <c r="D1737" s="0" t="n">
        <v>489.573</v>
      </c>
      <c r="E1737" s="0" t="n">
        <f aca="false">D1737-0.155</f>
        <v>489.418</v>
      </c>
      <c r="F1737" s="0" t="n">
        <v>489.545</v>
      </c>
      <c r="G1737" s="0" t="n">
        <f aca="false">IF(E1737 - F1737 &lt; 0, 0, E1737 - F1737)</f>
        <v>0</v>
      </c>
      <c r="H1737" s="0" t="n">
        <v>1.82</v>
      </c>
      <c r="I1737" s="0" t="n">
        <f aca="false">1.82*30*(G1737^1.5)</f>
        <v>0</v>
      </c>
      <c r="J1737" s="0" t="n">
        <f aca="false">I1737*60</f>
        <v>0</v>
      </c>
      <c r="K1737" s="0" t="n">
        <f aca="false">(I1737*86400)/24</f>
        <v>0</v>
      </c>
    </row>
    <row r="1738" customFormat="false" ht="16.5" hidden="false" customHeight="false" outlineLevel="0" collapsed="false">
      <c r="A1738" s="56" t="n">
        <v>45907.0833333333</v>
      </c>
      <c r="B1738" s="57" t="n">
        <f aca="false">MOD(A1738,1)</f>
        <v>0.0833333333430346</v>
      </c>
      <c r="C1738" s="0" t="n">
        <v>0</v>
      </c>
      <c r="D1738" s="0" t="n">
        <v>489.573</v>
      </c>
      <c r="E1738" s="0" t="n">
        <f aca="false">D1738-0.155</f>
        <v>489.418</v>
      </c>
      <c r="F1738" s="0" t="n">
        <v>489.545</v>
      </c>
      <c r="G1738" s="0" t="n">
        <f aca="false">IF(E1738 - F1738 &lt; 0, 0, E1738 - F1738)</f>
        <v>0</v>
      </c>
      <c r="H1738" s="0" t="n">
        <v>1.82</v>
      </c>
      <c r="I1738" s="0" t="n">
        <f aca="false">1.82*30*(G1738^1.5)</f>
        <v>0</v>
      </c>
      <c r="J1738" s="0" t="n">
        <f aca="false">I1738*60</f>
        <v>0</v>
      </c>
      <c r="K1738" s="0" t="n">
        <f aca="false">(I1738*86400)/24</f>
        <v>0</v>
      </c>
    </row>
    <row r="1739" customFormat="false" ht="16.5" hidden="false" customHeight="false" outlineLevel="0" collapsed="false">
      <c r="A1739" s="56" t="n">
        <v>45907.125</v>
      </c>
      <c r="B1739" s="57" t="n">
        <f aca="false">MOD(A1739,1)</f>
        <v>0.125</v>
      </c>
      <c r="C1739" s="0" t="n">
        <v>0</v>
      </c>
      <c r="D1739" s="0" t="n">
        <v>489.573</v>
      </c>
      <c r="E1739" s="0" t="n">
        <f aca="false">D1739-0.155</f>
        <v>489.418</v>
      </c>
      <c r="F1739" s="0" t="n">
        <v>489.545</v>
      </c>
      <c r="G1739" s="0" t="n">
        <f aca="false">IF(E1739 - F1739 &lt; 0, 0, E1739 - F1739)</f>
        <v>0</v>
      </c>
      <c r="H1739" s="0" t="n">
        <v>1.82</v>
      </c>
      <c r="I1739" s="0" t="n">
        <f aca="false">1.82*30*(G1739^1.5)</f>
        <v>0</v>
      </c>
      <c r="J1739" s="0" t="n">
        <f aca="false">I1739*60</f>
        <v>0</v>
      </c>
      <c r="K1739" s="0" t="n">
        <f aca="false">(I1739*86400)/24</f>
        <v>0</v>
      </c>
    </row>
    <row r="1740" customFormat="false" ht="16.5" hidden="false" customHeight="false" outlineLevel="0" collapsed="false">
      <c r="A1740" s="56" t="n">
        <v>45907.1666666667</v>
      </c>
      <c r="B1740" s="57" t="n">
        <f aca="false">MOD(A1740,1)</f>
        <v>0.166666666656965</v>
      </c>
      <c r="C1740" s="0" t="n">
        <v>0</v>
      </c>
      <c r="D1740" s="0" t="n">
        <v>489.573</v>
      </c>
      <c r="E1740" s="0" t="n">
        <f aca="false">D1740-0.155</f>
        <v>489.418</v>
      </c>
      <c r="F1740" s="0" t="n">
        <v>489.545</v>
      </c>
      <c r="G1740" s="0" t="n">
        <f aca="false">IF(E1740 - F1740 &lt; 0, 0, E1740 - F1740)</f>
        <v>0</v>
      </c>
      <c r="H1740" s="0" t="n">
        <v>1.82</v>
      </c>
      <c r="I1740" s="0" t="n">
        <f aca="false">1.82*30*(G1740^1.5)</f>
        <v>0</v>
      </c>
      <c r="J1740" s="0" t="n">
        <f aca="false">I1740*60</f>
        <v>0</v>
      </c>
      <c r="K1740" s="0" t="n">
        <f aca="false">(I1740*86400)/24</f>
        <v>0</v>
      </c>
    </row>
    <row r="1741" customFormat="false" ht="16.5" hidden="false" customHeight="false" outlineLevel="0" collapsed="false">
      <c r="A1741" s="56" t="n">
        <v>45907.2083333333</v>
      </c>
      <c r="B1741" s="57" t="n">
        <f aca="false">MOD(A1741,1)</f>
        <v>0.208333333343035</v>
      </c>
      <c r="C1741" s="0" t="n">
        <v>0</v>
      </c>
      <c r="D1741" s="0" t="n">
        <v>489.573</v>
      </c>
      <c r="E1741" s="0" t="n">
        <f aca="false">D1741-0.155</f>
        <v>489.418</v>
      </c>
      <c r="F1741" s="0" t="n">
        <v>489.545</v>
      </c>
      <c r="G1741" s="0" t="n">
        <f aca="false">IF(E1741 - F1741 &lt; 0, 0, E1741 - F1741)</f>
        <v>0</v>
      </c>
      <c r="H1741" s="0" t="n">
        <v>1.82</v>
      </c>
      <c r="I1741" s="0" t="n">
        <f aca="false">1.82*30*(G1741^1.5)</f>
        <v>0</v>
      </c>
      <c r="J1741" s="0" t="n">
        <f aca="false">I1741*60</f>
        <v>0</v>
      </c>
      <c r="K1741" s="0" t="n">
        <f aca="false">(I1741*86400)/24</f>
        <v>0</v>
      </c>
    </row>
    <row r="1742" customFormat="false" ht="16.5" hidden="false" customHeight="false" outlineLevel="0" collapsed="false">
      <c r="A1742" s="56" t="n">
        <v>45907.25</v>
      </c>
      <c r="B1742" s="57" t="n">
        <f aca="false">MOD(A1742,1)</f>
        <v>0.25</v>
      </c>
      <c r="C1742" s="0" t="n">
        <v>0</v>
      </c>
      <c r="D1742" s="0" t="n">
        <v>489.573</v>
      </c>
      <c r="E1742" s="0" t="n">
        <f aca="false">D1742-0.155</f>
        <v>489.418</v>
      </c>
      <c r="F1742" s="0" t="n">
        <v>489.545</v>
      </c>
      <c r="G1742" s="0" t="n">
        <f aca="false">IF(E1742 - F1742 &lt; 0, 0, E1742 - F1742)</f>
        <v>0</v>
      </c>
      <c r="H1742" s="0" t="n">
        <v>1.82</v>
      </c>
      <c r="I1742" s="0" t="n">
        <f aca="false">1.82*30*(G1742^1.5)</f>
        <v>0</v>
      </c>
      <c r="J1742" s="0" t="n">
        <f aca="false">I1742*60</f>
        <v>0</v>
      </c>
      <c r="K1742" s="0" t="n">
        <f aca="false">(I1742*86400)/24</f>
        <v>0</v>
      </c>
    </row>
    <row r="1743" customFormat="false" ht="16.5" hidden="false" customHeight="false" outlineLevel="0" collapsed="false">
      <c r="A1743" s="56" t="n">
        <v>45907.2916666667</v>
      </c>
      <c r="B1743" s="57" t="n">
        <f aca="false">MOD(A1743,1)</f>
        <v>0.291666666656965</v>
      </c>
      <c r="C1743" s="0" t="n">
        <v>0.2</v>
      </c>
      <c r="D1743" s="0" t="n">
        <v>489.573</v>
      </c>
      <c r="E1743" s="0" t="n">
        <f aca="false">D1743-0.155</f>
        <v>489.418</v>
      </c>
      <c r="F1743" s="0" t="n">
        <v>489.545</v>
      </c>
      <c r="G1743" s="0" t="n">
        <f aca="false">IF(E1743 - F1743 &lt; 0, 0, E1743 - F1743)</f>
        <v>0</v>
      </c>
      <c r="H1743" s="0" t="n">
        <v>1.82</v>
      </c>
      <c r="I1743" s="0" t="n">
        <f aca="false">1.82*30*(G1743^1.5)</f>
        <v>0</v>
      </c>
      <c r="J1743" s="0" t="n">
        <f aca="false">I1743*60</f>
        <v>0</v>
      </c>
      <c r="K1743" s="0" t="n">
        <f aca="false">(I1743*86400)/24</f>
        <v>0</v>
      </c>
    </row>
    <row r="1744" customFormat="false" ht="16.5" hidden="false" customHeight="false" outlineLevel="0" collapsed="false">
      <c r="A1744" s="56" t="n">
        <v>45907.3333333333</v>
      </c>
      <c r="B1744" s="57" t="n">
        <f aca="false">MOD(A1744,1)</f>
        <v>0.333333333343035</v>
      </c>
      <c r="C1744" s="0" t="n">
        <v>0.4</v>
      </c>
      <c r="D1744" s="0" t="n">
        <v>489.573</v>
      </c>
      <c r="E1744" s="0" t="n">
        <f aca="false">D1744-0.155</f>
        <v>489.418</v>
      </c>
      <c r="F1744" s="0" t="n">
        <v>489.545</v>
      </c>
      <c r="G1744" s="0" t="n">
        <f aca="false">IF(E1744 - F1744 &lt; 0, 0, E1744 - F1744)</f>
        <v>0</v>
      </c>
      <c r="H1744" s="0" t="n">
        <v>1.82</v>
      </c>
      <c r="I1744" s="0" t="n">
        <f aca="false">1.82*30*(G1744^1.5)</f>
        <v>0</v>
      </c>
      <c r="J1744" s="0" t="n">
        <f aca="false">I1744*60</f>
        <v>0</v>
      </c>
      <c r="K1744" s="0" t="n">
        <f aca="false">(I1744*86400)/24</f>
        <v>0</v>
      </c>
    </row>
    <row r="1745" customFormat="false" ht="16.5" hidden="false" customHeight="false" outlineLevel="0" collapsed="false">
      <c r="A1745" s="56" t="n">
        <v>45907.375</v>
      </c>
      <c r="B1745" s="57" t="n">
        <f aca="false">MOD(A1745,1)</f>
        <v>0.375</v>
      </c>
      <c r="C1745" s="0" t="n">
        <v>2.4</v>
      </c>
      <c r="D1745" s="0" t="n">
        <v>489.573</v>
      </c>
      <c r="E1745" s="0" t="n">
        <f aca="false">D1745-0.155</f>
        <v>489.418</v>
      </c>
      <c r="F1745" s="0" t="n">
        <v>489.545</v>
      </c>
      <c r="G1745" s="0" t="n">
        <f aca="false">IF(E1745 - F1745 &lt; 0, 0, E1745 - F1745)</f>
        <v>0</v>
      </c>
      <c r="H1745" s="0" t="n">
        <v>1.82</v>
      </c>
      <c r="I1745" s="0" t="n">
        <f aca="false">1.82*30*(G1745^1.5)</f>
        <v>0</v>
      </c>
      <c r="J1745" s="0" t="n">
        <f aca="false">I1745*60</f>
        <v>0</v>
      </c>
      <c r="K1745" s="0" t="n">
        <f aca="false">(I1745*86400)/24</f>
        <v>0</v>
      </c>
    </row>
    <row r="1746" customFormat="false" ht="16.5" hidden="false" customHeight="false" outlineLevel="0" collapsed="false">
      <c r="A1746" s="56" t="n">
        <v>45907.4166666667</v>
      </c>
      <c r="B1746" s="57" t="n">
        <f aca="false">MOD(A1746,1)</f>
        <v>0.416666666656965</v>
      </c>
      <c r="C1746" s="0" t="n">
        <v>0</v>
      </c>
      <c r="D1746" s="0" t="n">
        <v>489.579</v>
      </c>
      <c r="E1746" s="0" t="n">
        <f aca="false">D1746-0.155</f>
        <v>489.424</v>
      </c>
      <c r="F1746" s="0" t="n">
        <v>489.545</v>
      </c>
      <c r="G1746" s="0" t="n">
        <f aca="false">IF(E1746 - F1746 &lt; 0, 0, E1746 - F1746)</f>
        <v>0</v>
      </c>
      <c r="H1746" s="0" t="n">
        <v>1.82</v>
      </c>
      <c r="I1746" s="0" t="n">
        <f aca="false">1.82*30*(G1746^1.5)</f>
        <v>0</v>
      </c>
      <c r="J1746" s="0" t="n">
        <f aca="false">I1746*60</f>
        <v>0</v>
      </c>
      <c r="K1746" s="0" t="n">
        <f aca="false">(I1746*86400)/24</f>
        <v>0</v>
      </c>
    </row>
    <row r="1747" customFormat="false" ht="16.5" hidden="false" customHeight="false" outlineLevel="0" collapsed="false">
      <c r="A1747" s="56" t="n">
        <v>45907.4583333333</v>
      </c>
      <c r="B1747" s="57" t="n">
        <f aca="false">MOD(A1747,1)</f>
        <v>0.458333333343035</v>
      </c>
      <c r="C1747" s="0" t="n">
        <v>0</v>
      </c>
      <c r="D1747" s="0" t="n">
        <v>489.572</v>
      </c>
      <c r="E1747" s="0" t="n">
        <f aca="false">D1747-0.155</f>
        <v>489.417</v>
      </c>
      <c r="F1747" s="0" t="n">
        <v>489.545</v>
      </c>
      <c r="G1747" s="0" t="n">
        <f aca="false">IF(E1747 - F1747 &lt; 0, 0, E1747 - F1747)</f>
        <v>0</v>
      </c>
      <c r="H1747" s="0" t="n">
        <v>1.82</v>
      </c>
      <c r="I1747" s="0" t="n">
        <f aca="false">1.82*30*(G1747^1.5)</f>
        <v>0</v>
      </c>
      <c r="J1747" s="0" t="n">
        <f aca="false">I1747*60</f>
        <v>0</v>
      </c>
      <c r="K1747" s="0" t="n">
        <f aca="false">(I1747*86400)/24</f>
        <v>0</v>
      </c>
    </row>
    <row r="1748" customFormat="false" ht="16.5" hidden="false" customHeight="false" outlineLevel="0" collapsed="false">
      <c r="A1748" s="56" t="n">
        <v>45907.5</v>
      </c>
      <c r="B1748" s="57" t="n">
        <f aca="false">MOD(A1748,1)</f>
        <v>0.5</v>
      </c>
      <c r="C1748" s="0" t="n">
        <v>0</v>
      </c>
      <c r="D1748" s="0" t="n">
        <v>489.579</v>
      </c>
      <c r="E1748" s="0" t="n">
        <f aca="false">D1748-0.155</f>
        <v>489.424</v>
      </c>
      <c r="F1748" s="0" t="n">
        <v>489.545</v>
      </c>
      <c r="G1748" s="0" t="n">
        <f aca="false">IF(E1748 - F1748 &lt; 0, 0, E1748 - F1748)</f>
        <v>0</v>
      </c>
      <c r="H1748" s="0" t="n">
        <v>1.82</v>
      </c>
      <c r="I1748" s="0" t="n">
        <f aca="false">1.82*30*(G1748^1.5)</f>
        <v>0</v>
      </c>
      <c r="J1748" s="0" t="n">
        <f aca="false">I1748*60</f>
        <v>0</v>
      </c>
      <c r="K1748" s="0" t="n">
        <f aca="false">(I1748*86400)/24</f>
        <v>0</v>
      </c>
    </row>
    <row r="1749" customFormat="false" ht="16.5" hidden="false" customHeight="false" outlineLevel="0" collapsed="false">
      <c r="A1749" s="56" t="n">
        <v>45907.5416666667</v>
      </c>
      <c r="B1749" s="57" t="n">
        <f aca="false">MOD(A1749,1)</f>
        <v>0.541666666656965</v>
      </c>
      <c r="C1749" s="0" t="n">
        <v>0</v>
      </c>
      <c r="D1749" s="0" t="n">
        <v>489.572</v>
      </c>
      <c r="E1749" s="0" t="n">
        <f aca="false">D1749-0.155</f>
        <v>489.417</v>
      </c>
      <c r="F1749" s="0" t="n">
        <v>489.545</v>
      </c>
      <c r="G1749" s="0" t="n">
        <f aca="false">IF(E1749 - F1749 &lt; 0, 0, E1749 - F1749)</f>
        <v>0</v>
      </c>
      <c r="H1749" s="0" t="n">
        <v>1.82</v>
      </c>
      <c r="I1749" s="0" t="n">
        <f aca="false">1.82*30*(G1749^1.5)</f>
        <v>0</v>
      </c>
      <c r="J1749" s="0" t="n">
        <f aca="false">I1749*60</f>
        <v>0</v>
      </c>
      <c r="K1749" s="0" t="n">
        <f aca="false">(I1749*86400)/24</f>
        <v>0</v>
      </c>
    </row>
    <row r="1750" customFormat="false" ht="16.5" hidden="false" customHeight="false" outlineLevel="0" collapsed="false">
      <c r="A1750" s="56" t="n">
        <v>45907.5833333333</v>
      </c>
      <c r="B1750" s="57" t="n">
        <f aca="false">MOD(A1750,1)</f>
        <v>0.583333333343035</v>
      </c>
      <c r="C1750" s="0" t="n">
        <v>0</v>
      </c>
      <c r="D1750" s="0" t="n">
        <v>489.572</v>
      </c>
      <c r="E1750" s="0" t="n">
        <f aca="false">D1750-0.155</f>
        <v>489.417</v>
      </c>
      <c r="F1750" s="0" t="n">
        <v>489.545</v>
      </c>
      <c r="G1750" s="0" t="n">
        <f aca="false">IF(E1750 - F1750 &lt; 0, 0, E1750 - F1750)</f>
        <v>0</v>
      </c>
      <c r="H1750" s="0" t="n">
        <v>1.82</v>
      </c>
      <c r="I1750" s="0" t="n">
        <f aca="false">1.82*30*(G1750^1.5)</f>
        <v>0</v>
      </c>
      <c r="J1750" s="0" t="n">
        <f aca="false">I1750*60</f>
        <v>0</v>
      </c>
      <c r="K1750" s="0" t="n">
        <f aca="false">(I1750*86400)/24</f>
        <v>0</v>
      </c>
    </row>
    <row r="1751" customFormat="false" ht="16.5" hidden="false" customHeight="false" outlineLevel="0" collapsed="false">
      <c r="A1751" s="56" t="n">
        <v>45907.625</v>
      </c>
      <c r="B1751" s="57" t="n">
        <f aca="false">MOD(A1751,1)</f>
        <v>0.625</v>
      </c>
      <c r="C1751" s="0" t="n">
        <v>0</v>
      </c>
      <c r="D1751" s="0" t="n">
        <v>489.565</v>
      </c>
      <c r="E1751" s="0" t="n">
        <f aca="false">D1751-0.155</f>
        <v>489.41</v>
      </c>
      <c r="F1751" s="0" t="n">
        <v>489.545</v>
      </c>
      <c r="G1751" s="0" t="n">
        <f aca="false">IF(E1751 - F1751 &lt; 0, 0, E1751 - F1751)</f>
        <v>0</v>
      </c>
      <c r="H1751" s="0" t="n">
        <v>1.82</v>
      </c>
      <c r="I1751" s="0" t="n">
        <f aca="false">1.82*30*(G1751^1.5)</f>
        <v>0</v>
      </c>
      <c r="J1751" s="0" t="n">
        <f aca="false">I1751*60</f>
        <v>0</v>
      </c>
      <c r="K1751" s="0" t="n">
        <f aca="false">(I1751*86400)/24</f>
        <v>0</v>
      </c>
    </row>
    <row r="1752" customFormat="false" ht="16.5" hidden="false" customHeight="false" outlineLevel="0" collapsed="false">
      <c r="A1752" s="56" t="n">
        <v>45907.6666666667</v>
      </c>
      <c r="B1752" s="57" t="n">
        <f aca="false">MOD(A1752,1)</f>
        <v>0.666666666656965</v>
      </c>
      <c r="C1752" s="0" t="n">
        <v>0</v>
      </c>
      <c r="D1752" s="0" t="n">
        <v>489.566</v>
      </c>
      <c r="E1752" s="0" t="n">
        <f aca="false">D1752-0.155</f>
        <v>489.411</v>
      </c>
      <c r="F1752" s="0" t="n">
        <v>489.545</v>
      </c>
      <c r="G1752" s="0" t="n">
        <f aca="false">IF(E1752 - F1752 &lt; 0, 0, E1752 - F1752)</f>
        <v>0</v>
      </c>
      <c r="H1752" s="0" t="n">
        <v>1.82</v>
      </c>
      <c r="I1752" s="0" t="n">
        <f aca="false">1.82*30*(G1752^1.5)</f>
        <v>0</v>
      </c>
      <c r="J1752" s="0" t="n">
        <f aca="false">I1752*60</f>
        <v>0</v>
      </c>
      <c r="K1752" s="0" t="n">
        <f aca="false">(I1752*86400)/24</f>
        <v>0</v>
      </c>
    </row>
    <row r="1753" customFormat="false" ht="16.5" hidden="false" customHeight="false" outlineLevel="0" collapsed="false">
      <c r="A1753" s="56" t="n">
        <v>45907.7083333333</v>
      </c>
      <c r="B1753" s="57" t="n">
        <f aca="false">MOD(A1753,1)</f>
        <v>0.708333333343035</v>
      </c>
      <c r="C1753" s="0" t="n">
        <v>0</v>
      </c>
      <c r="D1753" s="0" t="n">
        <v>489.566</v>
      </c>
      <c r="E1753" s="0" t="n">
        <f aca="false">D1753-0.155</f>
        <v>489.411</v>
      </c>
      <c r="F1753" s="0" t="n">
        <v>489.545</v>
      </c>
      <c r="G1753" s="0" t="n">
        <f aca="false">IF(E1753 - F1753 &lt; 0, 0, E1753 - F1753)</f>
        <v>0</v>
      </c>
      <c r="H1753" s="0" t="n">
        <v>1.82</v>
      </c>
      <c r="I1753" s="0" t="n">
        <f aca="false">1.82*30*(G1753^1.5)</f>
        <v>0</v>
      </c>
      <c r="J1753" s="0" t="n">
        <f aca="false">I1753*60</f>
        <v>0</v>
      </c>
      <c r="K1753" s="0" t="n">
        <f aca="false">(I1753*86400)/24</f>
        <v>0</v>
      </c>
    </row>
    <row r="1754" customFormat="false" ht="16.5" hidden="false" customHeight="false" outlineLevel="0" collapsed="false">
      <c r="A1754" s="56" t="n">
        <v>45907.75</v>
      </c>
      <c r="B1754" s="57" t="n">
        <f aca="false">MOD(A1754,1)</f>
        <v>0.75</v>
      </c>
      <c r="C1754" s="0" t="n">
        <v>0</v>
      </c>
      <c r="D1754" s="0" t="n">
        <v>489.566</v>
      </c>
      <c r="E1754" s="0" t="n">
        <f aca="false">D1754-0.155</f>
        <v>489.411</v>
      </c>
      <c r="F1754" s="0" t="n">
        <v>489.545</v>
      </c>
      <c r="G1754" s="0" t="n">
        <f aca="false">IF(E1754 - F1754 &lt; 0, 0, E1754 - F1754)</f>
        <v>0</v>
      </c>
      <c r="H1754" s="0" t="n">
        <v>1.82</v>
      </c>
      <c r="I1754" s="0" t="n">
        <f aca="false">1.82*30*(G1754^1.5)</f>
        <v>0</v>
      </c>
      <c r="J1754" s="0" t="n">
        <f aca="false">I1754*60</f>
        <v>0</v>
      </c>
      <c r="K1754" s="0" t="n">
        <f aca="false">(I1754*86400)/24</f>
        <v>0</v>
      </c>
    </row>
    <row r="1755" customFormat="false" ht="16.5" hidden="false" customHeight="false" outlineLevel="0" collapsed="false">
      <c r="A1755" s="56" t="n">
        <v>45907.7916666667</v>
      </c>
      <c r="B1755" s="57" t="n">
        <f aca="false">MOD(A1755,1)</f>
        <v>0.791666666656965</v>
      </c>
      <c r="C1755" s="0" t="n">
        <v>0</v>
      </c>
      <c r="D1755" s="0" t="n">
        <v>489.566</v>
      </c>
      <c r="E1755" s="0" t="n">
        <f aca="false">D1755-0.155</f>
        <v>489.411</v>
      </c>
      <c r="F1755" s="0" t="n">
        <v>489.545</v>
      </c>
      <c r="G1755" s="0" t="n">
        <f aca="false">IF(E1755 - F1755 &lt; 0, 0, E1755 - F1755)</f>
        <v>0</v>
      </c>
      <c r="H1755" s="0" t="n">
        <v>1.82</v>
      </c>
      <c r="I1755" s="0" t="n">
        <f aca="false">1.82*30*(G1755^1.5)</f>
        <v>0</v>
      </c>
      <c r="J1755" s="0" t="n">
        <f aca="false">I1755*60</f>
        <v>0</v>
      </c>
      <c r="K1755" s="0" t="n">
        <f aca="false">(I1755*86400)/24</f>
        <v>0</v>
      </c>
    </row>
    <row r="1756" customFormat="false" ht="16.5" hidden="false" customHeight="false" outlineLevel="0" collapsed="false">
      <c r="A1756" s="56" t="n">
        <v>45907.8333333333</v>
      </c>
      <c r="B1756" s="57" t="n">
        <f aca="false">MOD(A1756,1)</f>
        <v>0.833333333343035</v>
      </c>
      <c r="C1756" s="0" t="n">
        <v>0</v>
      </c>
      <c r="D1756" s="0" t="n">
        <v>489.566</v>
      </c>
      <c r="E1756" s="0" t="n">
        <f aca="false">D1756-0.155</f>
        <v>489.411</v>
      </c>
      <c r="F1756" s="0" t="n">
        <v>489.545</v>
      </c>
      <c r="G1756" s="0" t="n">
        <f aca="false">IF(E1756 - F1756 &lt; 0, 0, E1756 - F1756)</f>
        <v>0</v>
      </c>
      <c r="H1756" s="0" t="n">
        <v>1.82</v>
      </c>
      <c r="I1756" s="0" t="n">
        <f aca="false">1.82*30*(G1756^1.5)</f>
        <v>0</v>
      </c>
      <c r="J1756" s="0" t="n">
        <f aca="false">I1756*60</f>
        <v>0</v>
      </c>
      <c r="K1756" s="0" t="n">
        <f aca="false">(I1756*86400)/24</f>
        <v>0</v>
      </c>
    </row>
    <row r="1757" customFormat="false" ht="16.5" hidden="false" customHeight="false" outlineLevel="0" collapsed="false">
      <c r="A1757" s="56" t="n">
        <v>45907.875</v>
      </c>
      <c r="B1757" s="57" t="n">
        <f aca="false">MOD(A1757,1)</f>
        <v>0.875</v>
      </c>
      <c r="C1757" s="0" t="n">
        <v>0</v>
      </c>
      <c r="D1757" s="0" t="n">
        <v>489.56</v>
      </c>
      <c r="E1757" s="0" t="n">
        <f aca="false">D1757-0.155</f>
        <v>489.405</v>
      </c>
      <c r="F1757" s="0" t="n">
        <v>489.545</v>
      </c>
      <c r="G1757" s="0" t="n">
        <f aca="false">IF(E1757 - F1757 &lt; 0, 0, E1757 - F1757)</f>
        <v>0</v>
      </c>
      <c r="H1757" s="0" t="n">
        <v>1.82</v>
      </c>
      <c r="I1757" s="0" t="n">
        <f aca="false">1.82*30*(G1757^1.5)</f>
        <v>0</v>
      </c>
      <c r="J1757" s="0" t="n">
        <f aca="false">I1757*60</f>
        <v>0</v>
      </c>
      <c r="K1757" s="0" t="n">
        <f aca="false">(I1757*86400)/24</f>
        <v>0</v>
      </c>
    </row>
    <row r="1758" customFormat="false" ht="16.5" hidden="false" customHeight="false" outlineLevel="0" collapsed="false">
      <c r="A1758" s="56" t="n">
        <v>45907.9166666667</v>
      </c>
      <c r="B1758" s="57" t="n">
        <f aca="false">MOD(A1758,1)</f>
        <v>0.916666666656965</v>
      </c>
      <c r="C1758" s="0" t="n">
        <v>0</v>
      </c>
      <c r="D1758" s="0" t="n">
        <v>489.56</v>
      </c>
      <c r="E1758" s="0" t="n">
        <f aca="false">D1758-0.155</f>
        <v>489.405</v>
      </c>
      <c r="F1758" s="0" t="n">
        <v>489.545</v>
      </c>
      <c r="G1758" s="0" t="n">
        <f aca="false">IF(E1758 - F1758 &lt; 0, 0, E1758 - F1758)</f>
        <v>0</v>
      </c>
      <c r="H1758" s="0" t="n">
        <v>1.82</v>
      </c>
      <c r="I1758" s="0" t="n">
        <f aca="false">1.82*30*(G1758^1.5)</f>
        <v>0</v>
      </c>
      <c r="J1758" s="0" t="n">
        <f aca="false">I1758*60</f>
        <v>0</v>
      </c>
      <c r="K1758" s="0" t="n">
        <f aca="false">(I1758*86400)/24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2025-02-18T08:01:43Z</dcterms:created>
  <dc:creator>chananya prasertsup</dc:creator>
  <dc:description/>
  <dc:language>en-US</dc:language>
  <cp:lastModifiedBy>MONTREE PINKAEO</cp:lastModifiedBy>
  <dcterms:modified xsi:type="dcterms:W3CDTF">2026-07-06T03:26:23Z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