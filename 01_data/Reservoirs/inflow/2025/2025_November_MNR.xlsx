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5\"/>
    </mc:Choice>
  </mc:AlternateContent>
  <xr:revisionPtr revIDLastSave="0" documentId="13_ncr:1_{B9A2CF42-85D1-4091-B306-FEDE37F7C761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6" i="2"/>
  <c r="E13" i="2" l="1"/>
  <c r="E12" i="2"/>
  <c r="E11" i="2"/>
  <c r="E9" i="2"/>
  <c r="E10" i="2"/>
  <c r="K22" i="2" l="1"/>
  <c r="K23" i="2"/>
  <c r="K24" i="2"/>
  <c r="K25" i="2"/>
  <c r="C7" i="2"/>
  <c r="C8" i="2"/>
  <c r="K8" i="2" s="1"/>
  <c r="C9" i="2"/>
  <c r="K9" i="2" s="1"/>
  <c r="C10" i="2"/>
  <c r="K10" i="2" s="1"/>
  <c r="C11" i="2"/>
  <c r="K11" i="2" s="1"/>
  <c r="C12" i="2"/>
  <c r="K12" i="2" s="1"/>
  <c r="C13" i="2"/>
  <c r="K13" i="2" s="1"/>
  <c r="C14" i="2"/>
  <c r="C15" i="2"/>
  <c r="K15" i="2" s="1"/>
  <c r="C16" i="2"/>
  <c r="K16" i="2" s="1"/>
  <c r="C17" i="2"/>
  <c r="K17" i="2" s="1"/>
  <c r="C18" i="2"/>
  <c r="K18" i="2" s="1"/>
  <c r="C19" i="2"/>
  <c r="C20" i="2"/>
  <c r="C21" i="2"/>
  <c r="K21" i="2" s="1"/>
  <c r="C22" i="2"/>
  <c r="C23" i="2"/>
  <c r="C24" i="2"/>
  <c r="C25" i="2"/>
  <c r="C26" i="2"/>
  <c r="K26" i="2" s="1"/>
  <c r="C27" i="2"/>
  <c r="C28" i="2"/>
  <c r="C29" i="2"/>
  <c r="C30" i="2"/>
  <c r="C31" i="2"/>
  <c r="C32" i="2"/>
  <c r="C33" i="2"/>
  <c r="C34" i="2"/>
  <c r="C35" i="2"/>
  <c r="C6" i="2"/>
  <c r="K6" i="2" s="1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E7" i="2"/>
  <c r="E8" i="2"/>
  <c r="E6" i="2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14" i="2" l="1"/>
  <c r="K7" i="2"/>
  <c r="K19" i="2"/>
  <c r="K20" i="2"/>
  <c r="K35" i="2"/>
  <c r="K34" i="2"/>
  <c r="K33" i="2"/>
  <c r="K32" i="2"/>
  <c r="K31" i="2"/>
  <c r="K30" i="2"/>
  <c r="K29" i="2"/>
  <c r="K28" i="2"/>
  <c r="K27" i="2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<sst xmlns="http://schemas.openxmlformats.org/spreadsheetml/2006/main" count="110" uniqueCount="76">
  <si>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</si>
  <si>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</si>
  <si>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</si>
  <si>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</si>
  <si>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</si>
  <si>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</si>
  <si>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</si>
  <si>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</si>
  <si>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</si>
  <si>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</si>
  <si>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</si>
  <si>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</si>
  <si>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</si>
  <si>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</si>
  <si>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</si>
  <si>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</si>
  <si>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</si>
  <si>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</si>
  <si>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</si>
  <si>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</si>
  <si>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</si>
  <si>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</si>
  <si>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</si>
  <si>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</si>
  <si>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</si>
  <si>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</si>
  <si>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</si>
  <si>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พฤศจิกายน</t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</si>
  <si>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</si>
  <si>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</si>
  <si>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</si>
  <si>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</si>
  <si>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</si>
  <si>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</si>
  <si>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</si>
  <si>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</si>
  <si>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</si>
  <si>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</si>
  <si>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</si>
  <si>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</si>
  <si>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</si>
  <si>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</si>
  <si>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</si>
  <si>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</si>
  <si>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</si>
  <si>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</si>
  <si>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</si>
  <si>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</si>
  <si>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</si>
  <si>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</si>
  <si>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</si>
  <si>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</si>
  <si>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</si>
  <si>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</si>
  <si>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ΔS</t>
  </si>
  <si>
    <t>O</t>
  </si>
  <si>
    <t>Spill</t>
  </si>
  <si>
    <t>R</t>
  </si>
  <si>
    <t>E</t>
  </si>
  <si>
    <t>Infiltration</t>
  </si>
  <si>
    <t>I=ΔS-R+O+Spill+E</t>
  </si>
  <si>
    <t>Date</t>
  </si>
  <si>
    <t>Water Level (MSL)</t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</si>
  <si>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</si>
  <si>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</si>
  <si>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Plane_Height(MSL)</t>
  </si>
  <si>
    <t>Area_Water (M2)</t>
  </si>
  <si>
    <t>Area_Terrain (M2)</t>
  </si>
  <si>
    <t>Volume (M3)</t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</si>
  <si>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</si>
  <si>
    <r>
      <t>Water Volume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</si>
  <si>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Inflow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</si>
  <si>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discharged through the outlet work.
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</si>
  <si>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overflowing the spillway.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</si>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</sst>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4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sz val="11"/>
      <color rgb="FF7030A0"/>
      <name val="Aptos Narrow"/>
      <family val="2"/>
      <scheme val="minor"/>
    </font>
    <font>
      <sz val="11"/>
      <color rgb="FF7030A0"/>
      <name val="Aptos Narrow"/>
      <family val="2"/>
    </font>
    <font>
      <sz val="11"/>
      <color rgb="FF7030A0"/>
      <name val="Aptos Narrow"/>
      <family val="2"/>
      <charset val="22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7" fontId="2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2" fontId="0" fillId="6" borderId="0" xfId="0" applyNumberFormat="1" applyFill="1"/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0" fontId="16" fillId="0" borderId="0" xfId="0" applyFont="1"/>
    <xf numFmtId="0" fontId="17" fillId="0" borderId="0" xfId="0" applyFont="1" applyAlignment="1">
      <alignment horizontal="center" vertical="top" wrapText="1"/>
    </xf>
    <xf numFmtId="166" fontId="18" fillId="0" borderId="0" xfId="0" applyNumberFormat="1" applyFont="1"/>
    <xf numFmtId="2" fontId="6" fillId="0" borderId="0" xfId="0" applyNumberFormat="1" applyFont="1"/>
    <xf numFmtId="167" fontId="6" fillId="0" borderId="0" xfId="2" applyFont="1"/>
    <xf numFmtId="167" fontId="0" fillId="0" borderId="0" xfId="2" applyFont="1"/>
    <xf numFmtId="0" fontId="10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0" fontId="22" fillId="0" borderId="0" xfId="0" applyFont="1"/>
    <xf numFmtId="2" fontId="22" fillId="6" borderId="0" xfId="0" applyNumberFormat="1" applyFont="1" applyFill="1"/>
    <xf numFmtId="2" fontId="22" fillId="0" borderId="0" xfId="0" applyNumberFormat="1" applyFont="1"/>
    <xf numFmtId="165" fontId="22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 2" xfId="2" xr:uid="{92A503CA-6DB6-46FC-AE84-AADA58795226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L40"/>
  <sheetViews>
    <sheetView tabSelected="1" topLeftCell="A17" workbookViewId="0">
      <selection activeCell="J6" sqref="J6:J35"/>
    </sheetView>
  </sheetViews>
  <sheetFormatPr defaultRowHeight="16.8" x14ac:dyDescent="0.4"/>
  <cols>
    <col min="2" max="2" width="11.8984375" customWidth="1"/>
    <col min="3" max="3" width="10.19921875" customWidth="1"/>
    <col min="4" max="4" width="16.09765625" bestFit="1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6" bestFit="1" customWidth="1"/>
    <col min="12" max="12" width="8.296875" bestFit="1" customWidth="1"/>
  </cols>
  <sheetData>
    <row r="1" spans="1:12" x14ac:dyDescent="0.4">
      <c r="A1" s="50" t="s">
        <v>5</v>
      </c>
      <c r="B1" s="50"/>
      <c r="C1" s="50"/>
      <c r="D1" s="50"/>
      <c r="E1" s="50"/>
      <c r="F1" s="50"/>
      <c r="G1" s="50"/>
      <c r="H1" s="50"/>
      <c r="I1" s="50"/>
      <c r="J1" s="50"/>
    </row>
    <row r="2" spans="1:12" x14ac:dyDescent="0.4">
      <c r="A2" s="50" t="s">
        <v>26</v>
      </c>
      <c r="B2" s="50"/>
      <c r="C2" s="50"/>
      <c r="D2" s="50"/>
      <c r="E2" s="50"/>
      <c r="F2" s="50"/>
      <c r="G2" s="50"/>
      <c r="H2" s="50"/>
      <c r="I2" s="50"/>
      <c r="J2" s="9"/>
    </row>
    <row r="3" spans="1:12" x14ac:dyDescent="0.4">
      <c r="A3" s="10"/>
      <c r="B3" s="10"/>
      <c r="C3" s="10"/>
      <c r="D3" s="10" t="s">
        <v>6</v>
      </c>
      <c r="E3" s="11" t="s">
        <v>27</v>
      </c>
      <c r="F3" s="10" t="s">
        <v>7</v>
      </c>
      <c r="G3" s="11">
        <v>2568</v>
      </c>
      <c r="H3" s="11"/>
      <c r="I3" s="11" t="s">
        <v>8</v>
      </c>
      <c r="J3" s="9"/>
    </row>
    <row r="4" spans="1:12" x14ac:dyDescent="0.4">
      <c r="D4" s="40" t="s">
        <v>60</v>
      </c>
      <c r="E4" s="38" t="s">
        <v>55</v>
      </c>
      <c r="F4" s="38" t="s">
        <v>56</v>
      </c>
      <c r="G4" s="38"/>
      <c r="H4" s="38" t="s">
        <v>57</v>
      </c>
      <c r="I4" s="38" t="s">
        <v>58</v>
      </c>
      <c r="J4" s="38" t="s">
        <v>59</v>
      </c>
      <c r="K4" s="39" t="s">
        <v>54</v>
      </c>
    </row>
    <row r="5" spans="1:12" s="1" customFormat="1" ht="34.200000000000003" customHeight="1" x14ac:dyDescent="0.4">
      <c r="A5" s="3" t="s">
        <v>61</v>
      </c>
      <c r="B5" s="45" t="s">
        <v>62</v>
      </c>
      <c r="C5" s="45" t="s">
        <v>70</v>
      </c>
      <c r="D5" s="45" t="s">
        <v>71</v>
      </c>
      <c r="E5" s="45" t="s">
        <v>72</v>
      </c>
      <c r="F5" s="45" t="s">
        <v>73</v>
      </c>
      <c r="G5" s="45" t="s">
        <v>63</v>
      </c>
      <c r="H5" s="45" t="s">
        <v>74</v>
      </c>
      <c r="I5" s="45" t="s">
        <v>75</v>
      </c>
      <c r="J5" s="44" t="s">
        <v>69</v>
      </c>
      <c r="K5" s="35" t="s">
        <v>64</v>
      </c>
    </row>
    <row r="6" spans="1:12" x14ac:dyDescent="0.4">
      <c r="A6">
        <v>1</v>
      </c>
      <c r="B6" s="46">
        <v>489.483</v>
      </c>
      <c r="C6" s="47">
        <f>_xlfn.XLOOKUP(B6,'Rating Curve 1 CM'!$A$2:$A$500,'Rating Curve 1 CM'!$D$2:$D$500,, -1)</f>
        <v>1607444.5930314001</v>
      </c>
      <c r="D6" s="48">
        <f>IF(K6-H6+E6+F6+I6+J6 &lt; 0, 0, K6-H6+E6+F6+I6+J6)</f>
        <v>8473.8119836439928</v>
      </c>
      <c r="E6" s="46">
        <f>('อัตราการไหล ท่อฝั่งspillway'!L$11*24)+(อัตราการไหลท่อฝั่งทางเข้าอ่าง!L$11*24)</f>
        <v>15019.199999999999</v>
      </c>
      <c r="F6" s="48">
        <v>0</v>
      </c>
      <c r="G6" s="46">
        <v>25.2</v>
      </c>
      <c r="H6" s="49">
        <f>(_xlfn.XLOOKUP(B6,'Rating Curve 1 CM'!$A$2:$A$500,'Rating Curve 1 CM'!$C$2:$C$500,,-1)*(G6/1000))</f>
        <v>7556.5371728531163</v>
      </c>
      <c r="I6" s="48">
        <f>(_xlfn.XLOOKUP(B6,'Rating Curve 1 CM'!$A$2:$A$500,'Rating Curve 1 CM'!$C$2:$C$500,,-1)*((101.07/30)*0.7)/1000)</f>
        <v>707.16593709283745</v>
      </c>
      <c r="J6" s="36">
        <f>_xlfn.XLOOKUP(B6,Area_Terrain!$A$2:$A$500,Area_Terrain!$C$2:$C$500,, -1)*0.001</f>
        <v>303.98018800424001</v>
      </c>
      <c r="K6" s="37">
        <f>C6-1607444.59</f>
        <v>3.0314000323414803E-3</v>
      </c>
    </row>
    <row r="7" spans="1:12" x14ac:dyDescent="0.4">
      <c r="A7">
        <v>2</v>
      </c>
      <c r="B7" s="46">
        <v>489.483</v>
      </c>
      <c r="C7" s="47">
        <f>_xlfn.XLOOKUP(B7,'Rating Curve 1 CM'!$A$2:$A$500,'Rating Curve 1 CM'!$D$2:$D$500,, -1)</f>
        <v>1607444.5930314001</v>
      </c>
      <c r="D7" s="48">
        <f t="shared" ref="D7:D35" si="0">IF(K7-H7+E7+F7+I7+J7 &lt; 0, 0, K7-H7+E7+F7+I7+J7)</f>
        <v>13211.637814588374</v>
      </c>
      <c r="E7" s="46">
        <f>('อัตราการไหล ท่อฝั่งspillway'!L$11*24)+(อัตราการไหลท่อฝั่งทางเข้าอ่าง!L$11*24)</f>
        <v>15019.199999999999</v>
      </c>
      <c r="F7" s="48">
        <v>0</v>
      </c>
      <c r="G7" s="46">
        <v>9.4</v>
      </c>
      <c r="H7" s="49">
        <f>(_xlfn.XLOOKUP(B7,'Rating Curve 1 CM'!$A$2:$A$500,'Rating Curve 1 CM'!$C$2:$C$500,,-1)*(G7/1000))</f>
        <v>2818.7083105087022</v>
      </c>
      <c r="I7" s="48">
        <f>(_xlfn.XLOOKUP(B7,'Rating Curve 1 CM'!$A$2:$A$500,'Rating Curve 1 CM'!$C$2:$C$500,,-1)*((101.07/30)*0.7)/1000)</f>
        <v>707.16593709283745</v>
      </c>
      <c r="J7" s="36">
        <f>_xlfn.XLOOKUP(B7,Area_Terrain!$A$2:$A$500,Area_Terrain!$C$2:$C$500,, -1)*0.001</f>
        <v>303.98018800424001</v>
      </c>
      <c r="K7" s="37">
        <f>C7-C6</f>
        <v>0</v>
      </c>
      <c r="L7" s="6"/>
    </row>
    <row r="8" spans="1:12" x14ac:dyDescent="0.4">
      <c r="A8">
        <v>3</v>
      </c>
      <c r="B8" s="46">
        <v>489.45100000000002</v>
      </c>
      <c r="C8" s="47">
        <f>_xlfn.XLOOKUP(B8,'Rating Curve 1 CM'!$A$2:$A$500,'Rating Curve 1 CM'!$D$2:$D$500,, -1)</f>
        <v>1598455.4724355999</v>
      </c>
      <c r="D8" s="48">
        <f t="shared" si="0"/>
        <v>6860.0464442048233</v>
      </c>
      <c r="E8" s="46">
        <f>('อัตราการไหล ท่อฝั่งspillway'!L$11*24)+(อัตราการไหลท่อฝั่งทางเข้าอ่าง!L$11*24)</f>
        <v>15019.199999999999</v>
      </c>
      <c r="F8" s="48">
        <v>0</v>
      </c>
      <c r="G8" s="46">
        <v>0.6</v>
      </c>
      <c r="H8" s="49">
        <f>(_xlfn.XLOOKUP(B8,'Rating Curve 1 CM'!$A$2:$A$500,'Rating Curve 1 CM'!$C$2:$C$500,,-1)*(G8/1000))</f>
        <v>179.64826445302796</v>
      </c>
      <c r="I8" s="48">
        <f>(_xlfn.XLOOKUP(B8,'Rating Curve 1 CM'!$A$2:$A$500,'Rating Curve 1 CM'!$C$2:$C$500,,-1)*((101.07/30)*0.7)/1000)</f>
        <v>706.10750343262646</v>
      </c>
      <c r="J8" s="36">
        <f>_xlfn.XLOOKUP(B8,Area_Terrain!$A$2:$A$500,Area_Terrain!$C$2:$C$500,, -1)*0.001</f>
        <v>303.50780102545002</v>
      </c>
      <c r="K8" s="37">
        <f t="shared" ref="K8:K35" si="1">C8-C7</f>
        <v>-8989.1205958002247</v>
      </c>
      <c r="L8" s="6"/>
    </row>
    <row r="9" spans="1:12" x14ac:dyDescent="0.4">
      <c r="A9">
        <v>4</v>
      </c>
      <c r="B9" s="46">
        <v>489.43799999999999</v>
      </c>
      <c r="C9" s="47">
        <f>_xlfn.XLOOKUP(B9,'Rating Curve 1 CM'!$A$2:$A$500,'Rating Curve 1 CM'!$D$2:$D$500,, -1)</f>
        <v>1592470.1267521</v>
      </c>
      <c r="D9" s="48">
        <f t="shared" si="0"/>
        <v>10042.452992125218</v>
      </c>
      <c r="E9" s="46">
        <f>('อัตราการไหล ท่อฝั่งspillway'!L$11*24)+(อัตราการไหลท่อฝั่งทางเข้าอ่าง!L$11*24)</f>
        <v>15019.199999999999</v>
      </c>
      <c r="F9" s="48">
        <v>0</v>
      </c>
      <c r="G9" s="46">
        <v>0</v>
      </c>
      <c r="H9" s="49">
        <f>(_xlfn.XLOOKUP(B9,'Rating Curve 1 CM'!$A$2:$A$500,'Rating Curve 1 CM'!$C$2:$C$500,,-1)*(G9/1000))</f>
        <v>0</v>
      </c>
      <c r="I9" s="48">
        <f>(_xlfn.XLOOKUP(B9,'Rating Curve 1 CM'!$A$2:$A$500,'Rating Curve 1 CM'!$C$2:$C$500,,-1)*((101.07/30)*0.7)/1000)</f>
        <v>705.4046579187368</v>
      </c>
      <c r="J9" s="36">
        <f>_xlfn.XLOOKUP(B9,Area_Terrain!$A$2:$A$500,Area_Terrain!$C$2:$C$500,, -1)*0.001</f>
        <v>303.19401770641997</v>
      </c>
      <c r="K9" s="37">
        <f t="shared" si="1"/>
        <v>-5985.3456834999379</v>
      </c>
      <c r="L9" s="6"/>
    </row>
    <row r="10" spans="1:12" x14ac:dyDescent="0.4">
      <c r="A10">
        <v>5</v>
      </c>
      <c r="B10" s="46">
        <v>489.45100000000002</v>
      </c>
      <c r="C10" s="47">
        <f>_xlfn.XLOOKUP(B10,'Rating Curve 1 CM'!$A$2:$A$500,'Rating Curve 1 CM'!$D$2:$D$500,, -1)</f>
        <v>1598455.4724355999</v>
      </c>
      <c r="D10" s="48">
        <f t="shared" si="0"/>
        <v>16504.947544731822</v>
      </c>
      <c r="E10" s="46">
        <f>('อัตราการไหล ท่อฝั่งspillway'!L$11*24)+(อัตราการไหลท่อฝั่งทางเข้าอ่าง!L$11*24)</f>
        <v>15019.199999999999</v>
      </c>
      <c r="F10" s="48">
        <v>0</v>
      </c>
      <c r="G10" s="46">
        <v>18.399999999999999</v>
      </c>
      <c r="H10" s="49">
        <f>(_xlfn.XLOOKUP(B10,'Rating Curve 1 CM'!$A$2:$A$500,'Rating Curve 1 CM'!$C$2:$C$500,,-1)*(G10/1000))</f>
        <v>5509.2134432261919</v>
      </c>
      <c r="I10" s="48">
        <f>(_xlfn.XLOOKUP(B10,'Rating Curve 1 CM'!$A$2:$A$500,'Rating Curve 1 CM'!$C$2:$C$500,,-1)*((101.07/30)*0.7)/1000)</f>
        <v>706.10750343262646</v>
      </c>
      <c r="J10" s="36">
        <f>_xlfn.XLOOKUP(B10,Area_Terrain!$A$2:$A$500,Area_Terrain!$C$2:$C$500,, -1)*0.001</f>
        <v>303.50780102545002</v>
      </c>
      <c r="K10" s="37">
        <f t="shared" si="1"/>
        <v>5985.3456834999379</v>
      </c>
      <c r="L10" s="6"/>
    </row>
    <row r="11" spans="1:12" x14ac:dyDescent="0.4">
      <c r="A11">
        <v>6</v>
      </c>
      <c r="B11" s="46">
        <v>489.45699999999999</v>
      </c>
      <c r="C11" s="47">
        <f>_xlfn.XLOOKUP(B11,'Rating Curve 1 CM'!$A$2:$A$500,'Rating Curve 1 CM'!$D$2:$D$500,, -1)</f>
        <v>1598455.4724355999</v>
      </c>
      <c r="D11" s="48">
        <f t="shared" si="0"/>
        <v>15909.049794822722</v>
      </c>
      <c r="E11" s="46">
        <f>('อัตราการไหล ท่อฝั่งspillway'!L$11*24)+(อัตราการไหลท่อฝั่งทางเข้าอ่าง!L$11*24)</f>
        <v>15019.199999999999</v>
      </c>
      <c r="F11" s="48">
        <v>0</v>
      </c>
      <c r="G11" s="46">
        <v>0.4</v>
      </c>
      <c r="H11" s="49">
        <f>(_xlfn.XLOOKUP(B11,'Rating Curve 1 CM'!$A$2:$A$500,'Rating Curve 1 CM'!$C$2:$C$500,,-1)*(G11/1000))</f>
        <v>119.765509635352</v>
      </c>
      <c r="I11" s="48">
        <f>(_xlfn.XLOOKUP(B11,'Rating Curve 1 CM'!$A$2:$A$500,'Rating Curve 1 CM'!$C$2:$C$500,,-1)*((101.07/30)*0.7)/1000)</f>
        <v>706.10750343262646</v>
      </c>
      <c r="J11" s="36">
        <f>_xlfn.XLOOKUP(B11,Area_Terrain!$A$2:$A$500,Area_Terrain!$C$2:$C$500,, -1)*0.001</f>
        <v>303.50780102545002</v>
      </c>
      <c r="K11" s="37">
        <f t="shared" si="1"/>
        <v>0</v>
      </c>
      <c r="L11" s="6"/>
    </row>
    <row r="12" spans="1:12" x14ac:dyDescent="0.4">
      <c r="A12">
        <v>7</v>
      </c>
      <c r="B12" s="46">
        <v>489.44499999999999</v>
      </c>
      <c r="C12" s="47">
        <f>_xlfn.XLOOKUP(B12,'Rating Curve 1 CM'!$A$2:$A$500,'Rating Curve 1 CM'!$D$2:$D$500,, -1)</f>
        <v>1595462.0162961001</v>
      </c>
      <c r="D12" s="48">
        <f t="shared" si="0"/>
        <v>4769.2512178835768</v>
      </c>
      <c r="E12" s="46">
        <f>('อัตราการไหล ท่อฝั่งspillway'!L$11*3)+(อัตราการไหลท่อฝั่งทางเข้าอ่าง!L$11*24)</f>
        <v>6753.5999999999995</v>
      </c>
      <c r="F12" s="48">
        <v>0</v>
      </c>
      <c r="G12" s="46">
        <v>0</v>
      </c>
      <c r="H12" s="49">
        <f>(_xlfn.XLOOKUP(B12,'Rating Curve 1 CM'!$A$2:$A$500,'Rating Curve 1 CM'!$C$2:$C$500,,-1)*(G12/1000))</f>
        <v>0</v>
      </c>
      <c r="I12" s="48">
        <f>(_xlfn.XLOOKUP(B12,'Rating Curve 1 CM'!$A$2:$A$500,'Rating Curve 1 CM'!$C$2:$C$500,,-1)*((101.07/30)*0.7)/1000)</f>
        <v>705.75633836002419</v>
      </c>
      <c r="J12" s="36">
        <f>_xlfn.XLOOKUP(B12,Area_Terrain!$A$2:$A$500,Area_Terrain!$C$2:$C$500,, -1)*0.001</f>
        <v>303.35101902334003</v>
      </c>
      <c r="K12" s="37">
        <f t="shared" si="1"/>
        <v>-2993.4561394997872</v>
      </c>
      <c r="L12" s="6"/>
    </row>
    <row r="13" spans="1:12" x14ac:dyDescent="0.4">
      <c r="A13">
        <v>8</v>
      </c>
      <c r="B13" s="46">
        <v>489.464</v>
      </c>
      <c r="C13" s="47">
        <f>_xlfn.XLOOKUP(B13,'Rating Curve 1 CM'!$A$2:$A$500,'Rating Curve 1 CM'!$D$2:$D$500,, -1)</f>
        <v>1601450.3446648</v>
      </c>
      <c r="D13" s="48">
        <f t="shared" si="0"/>
        <v>41386.163178485738</v>
      </c>
      <c r="E13" s="46">
        <f>('อัตราการไหล ท่อฝั่งspillway'!L$11*0)+(อัตราการไหลท่อฝั่งทางเข้าอ่าง!L$11*3)</f>
        <v>696.59999999999991</v>
      </c>
      <c r="F13" s="48">
        <v>33810.935879999997</v>
      </c>
      <c r="G13" s="46">
        <v>0.4</v>
      </c>
      <c r="H13" s="49">
        <f>(_xlfn.XLOOKUP(B13,'Rating Curve 1 CM'!$A$2:$A$500,'Rating Curve 1 CM'!$C$2:$C$500,,-1)*(G13/1000))</f>
        <v>119.825174437708</v>
      </c>
      <c r="I13" s="48">
        <f>(_xlfn.XLOOKUP(B13,'Rating Curve 1 CM'!$A$2:$A$500,'Rating Curve 1 CM'!$C$2:$C$500,,-1)*((101.07/30)*0.7)/1000)</f>
        <v>706.45927219111684</v>
      </c>
      <c r="J13" s="36">
        <f>_xlfn.XLOOKUP(B13,Area_Terrain!$A$2:$A$500,Area_Terrain!$C$2:$C$500,, -1)*0.001</f>
        <v>303.66483203245002</v>
      </c>
      <c r="K13" s="37">
        <f t="shared" si="1"/>
        <v>5988.3283686998766</v>
      </c>
      <c r="L13" s="6"/>
    </row>
    <row r="14" spans="1:12" x14ac:dyDescent="0.4">
      <c r="A14">
        <v>9</v>
      </c>
      <c r="B14" s="46">
        <v>489.67700000000002</v>
      </c>
      <c r="C14" s="47">
        <f>_xlfn.XLOOKUP(B14,'Rating Curve 1 CM'!$A$2:$A$500,'Rating Curve 1 CM'!$D$2:$D$500,, -1)</f>
        <v>1664741.6725647999</v>
      </c>
      <c r="D14" s="48">
        <f t="shared" si="0"/>
        <v>324364.26175055519</v>
      </c>
      <c r="E14" s="46">
        <v>0</v>
      </c>
      <c r="F14" s="48">
        <v>272915.62709999998</v>
      </c>
      <c r="G14" s="46">
        <v>42.4</v>
      </c>
      <c r="H14" s="49">
        <f>(_xlfn.XLOOKUP(B14,'Rating Curve 1 CM'!$A$2:$A$500,'Rating Curve 1 CM'!$C$2:$C$500,,-1)*(G14/1000))</f>
        <v>12866.019409253169</v>
      </c>
      <c r="I14" s="48">
        <f>(_xlfn.XLOOKUP(B14,'Rating Curve 1 CM'!$A$2:$A$500,'Rating Curve 1 CM'!$C$2:$C$500,,-1)*((101.07/30)*0.7)/1000)</f>
        <v>715.61164086890903</v>
      </c>
      <c r="J14" s="36">
        <f>_xlfn.XLOOKUP(B14,Area_Terrain!$A$2:$A$500,Area_Terrain!$C$2:$C$500,, -1)*0.001</f>
        <v>307.71451893954998</v>
      </c>
      <c r="K14" s="37">
        <f t="shared" si="1"/>
        <v>63291.327899999917</v>
      </c>
      <c r="L14" s="6"/>
    </row>
    <row r="15" spans="1:12" x14ac:dyDescent="0.4">
      <c r="A15">
        <v>10</v>
      </c>
      <c r="B15" s="46">
        <v>489.721</v>
      </c>
      <c r="C15" s="47">
        <f>_xlfn.XLOOKUP(B15,'Rating Curve 1 CM'!$A$2:$A$500,'Rating Curve 1 CM'!$D$2:$D$500,, -1)</f>
        <v>1679932.8392697</v>
      </c>
      <c r="D15" s="48">
        <f t="shared" si="0"/>
        <v>368655.75888458063</v>
      </c>
      <c r="E15" s="46">
        <v>0</v>
      </c>
      <c r="F15" s="48">
        <v>355298.22330000001</v>
      </c>
      <c r="G15" s="46">
        <v>9.4</v>
      </c>
      <c r="H15" s="49">
        <f>(_xlfn.XLOOKUP(B15,'Rating Curve 1 CM'!$A$2:$A$500,'Rating Curve 1 CM'!$C$2:$C$500,,-1)*(G15/1000))</f>
        <v>2859.573923268928</v>
      </c>
      <c r="I15" s="48">
        <f>(_xlfn.XLOOKUP(B15,'Rating Curve 1 CM'!$A$2:$A$500,'Rating Curve 1 CM'!$C$2:$C$500,,-1)*((101.07/30)*0.7)/1000)</f>
        <v>717.41842374947998</v>
      </c>
      <c r="J15" s="36">
        <f>_xlfn.XLOOKUP(B15,Area_Terrain!$A$2:$A$500,Area_Terrain!$C$2:$C$500,, -1)*0.001</f>
        <v>308.52437919995998</v>
      </c>
      <c r="K15" s="37">
        <f t="shared" si="1"/>
        <v>15191.166704900097</v>
      </c>
      <c r="L15" s="6"/>
    </row>
    <row r="16" spans="1:12" x14ac:dyDescent="0.4">
      <c r="A16">
        <v>11</v>
      </c>
      <c r="B16" s="46">
        <v>489.71499999999997</v>
      </c>
      <c r="C16" s="47">
        <f>_xlfn.XLOOKUP(B16,'Rating Curve 1 CM'!$A$2:$A$500,'Rating Curve 1 CM'!$D$2:$D$500,, -1)</f>
        <v>1676891.4600323001</v>
      </c>
      <c r="D16" s="48">
        <f t="shared" si="0"/>
        <v>323848.51073321624</v>
      </c>
      <c r="E16" s="46">
        <v>0</v>
      </c>
      <c r="F16" s="48">
        <v>325864.47610000003</v>
      </c>
      <c r="G16" s="46">
        <v>0</v>
      </c>
      <c r="H16" s="49">
        <f>(_xlfn.XLOOKUP(B16,'Rating Curve 1 CM'!$A$2:$A$500,'Rating Curve 1 CM'!$C$2:$C$500,,-1)*(G16/1000))</f>
        <v>0</v>
      </c>
      <c r="I16" s="48">
        <f>(_xlfn.XLOOKUP(B16,'Rating Curve 1 CM'!$A$2:$A$500,'Rating Curve 1 CM'!$C$2:$C$500,,-1)*((101.07/30)*0.7)/1000)</f>
        <v>717.05315483627714</v>
      </c>
      <c r="J16" s="36">
        <f>_xlfn.XLOOKUP(B16,Area_Terrain!$A$2:$A$500,Area_Terrain!$C$2:$C$500,, -1)*0.001</f>
        <v>308.36071577983</v>
      </c>
      <c r="K16" s="37">
        <f t="shared" si="1"/>
        <v>-3041.3792373999022</v>
      </c>
      <c r="L16" s="6"/>
    </row>
    <row r="17" spans="1:11" x14ac:dyDescent="0.4">
      <c r="A17">
        <v>12</v>
      </c>
      <c r="B17" s="46">
        <v>489.702</v>
      </c>
      <c r="C17" s="47">
        <f>_xlfn.XLOOKUP(B17,'Rating Curve 1 CM'!$A$2:$A$500,'Rating Curve 1 CM'!$D$2:$D$500,, -1)</f>
        <v>1673851.7406957999</v>
      </c>
      <c r="D17" s="48">
        <f t="shared" si="0"/>
        <v>280267.58193712565</v>
      </c>
      <c r="E17" s="46">
        <v>0</v>
      </c>
      <c r="F17" s="48">
        <v>282282.41340000002</v>
      </c>
      <c r="G17" s="46">
        <v>0</v>
      </c>
      <c r="H17" s="49">
        <f>(_xlfn.XLOOKUP(B17,'Rating Curve 1 CM'!$A$2:$A$500,'Rating Curve 1 CM'!$C$2:$C$500,,-1)*(G17/1000))</f>
        <v>0</v>
      </c>
      <c r="I17" s="48">
        <f>(_xlfn.XLOOKUP(B17,'Rating Curve 1 CM'!$A$2:$A$500,'Rating Curve 1 CM'!$C$2:$C$500,,-1)*((101.07/30)*0.7)/1000)</f>
        <v>716.68993674006697</v>
      </c>
      <c r="J17" s="36">
        <f>_xlfn.XLOOKUP(B17,Area_Terrain!$A$2:$A$500,Area_Terrain!$C$2:$C$500,, -1)*0.001</f>
        <v>308.19793688568001</v>
      </c>
      <c r="K17" s="37">
        <f t="shared" si="1"/>
        <v>-3039.7193365001585</v>
      </c>
    </row>
    <row r="18" spans="1:11" x14ac:dyDescent="0.4">
      <c r="A18">
        <v>13</v>
      </c>
      <c r="B18" s="46">
        <v>489.68297999999999</v>
      </c>
      <c r="C18" s="47">
        <f>_xlfn.XLOOKUP(B18,'Rating Curve 1 CM'!$A$2:$A$500,'Rating Curve 1 CM'!$D$2:$D$500,, -1)</f>
        <v>1667776.8298903999</v>
      </c>
      <c r="D18" s="48">
        <f t="shared" si="0"/>
        <v>238079.59356554842</v>
      </c>
      <c r="E18" s="46">
        <v>0</v>
      </c>
      <c r="F18" s="48">
        <v>243130.6606</v>
      </c>
      <c r="G18" s="46">
        <v>0</v>
      </c>
      <c r="H18" s="49">
        <f>(_xlfn.XLOOKUP(B18,'Rating Curve 1 CM'!$A$2:$A$500,'Rating Curve 1 CM'!$C$2:$C$500,,-1)*(G18/1000))</f>
        <v>0</v>
      </c>
      <c r="I18" s="48">
        <f>(_xlfn.XLOOKUP(B18,'Rating Curve 1 CM'!$A$2:$A$500,'Rating Curve 1 CM'!$C$2:$C$500,,-1)*((101.07/30)*0.7)/1000)</f>
        <v>715.96900675565735</v>
      </c>
      <c r="J18" s="36">
        <f>_xlfn.XLOOKUP(B18,Area_Terrain!$A$2:$A$500,Area_Terrain!$C$2:$C$500,, -1)*0.001</f>
        <v>307.87476419276999</v>
      </c>
      <c r="K18" s="37">
        <f t="shared" si="1"/>
        <v>-6074.9108053999953</v>
      </c>
    </row>
    <row r="19" spans="1:11" x14ac:dyDescent="0.4">
      <c r="A19">
        <v>14</v>
      </c>
      <c r="B19" s="46">
        <v>489.67099999999999</v>
      </c>
      <c r="C19" s="47">
        <f>_xlfn.XLOOKUP(B19,'Rating Curve 1 CM'!$A$2:$A$500,'Rating Curve 1 CM'!$D$2:$D$500,, -1)</f>
        <v>1664741.6725647999</v>
      </c>
      <c r="D19" s="48">
        <f t="shared" si="0"/>
        <v>213597.80433420843</v>
      </c>
      <c r="E19" s="46">
        <v>0</v>
      </c>
      <c r="F19" s="48">
        <v>215609.6355</v>
      </c>
      <c r="G19" s="46">
        <v>0</v>
      </c>
      <c r="H19" s="49">
        <f>(_xlfn.XLOOKUP(B19,'Rating Curve 1 CM'!$A$2:$A$500,'Rating Curve 1 CM'!$C$2:$C$500,,-1)*(G19/1000))</f>
        <v>0</v>
      </c>
      <c r="I19" s="48">
        <f>(_xlfn.XLOOKUP(B19,'Rating Curve 1 CM'!$A$2:$A$500,'Rating Curve 1 CM'!$C$2:$C$500,,-1)*((101.07/30)*0.7)/1000)</f>
        <v>715.61164086890903</v>
      </c>
      <c r="J19" s="36">
        <f>_xlfn.XLOOKUP(B19,Area_Terrain!$A$2:$A$500,Area_Terrain!$C$2:$C$500,, -1)*0.001</f>
        <v>307.71451893954998</v>
      </c>
      <c r="K19" s="37">
        <f t="shared" si="1"/>
        <v>-3035.1573256000411</v>
      </c>
    </row>
    <row r="20" spans="1:11" x14ac:dyDescent="0.4">
      <c r="A20">
        <v>15</v>
      </c>
      <c r="B20" s="46">
        <v>489.66399999999999</v>
      </c>
      <c r="C20" s="47">
        <f>_xlfn.XLOOKUP(B20,'Rating Curve 1 CM'!$A$2:$A$500,'Rating Curve 1 CM'!$D$2:$D$500,, -1)</f>
        <v>1661708.0167959</v>
      </c>
      <c r="D20" s="48">
        <f t="shared" si="0"/>
        <v>192495.62577584962</v>
      </c>
      <c r="E20" s="46">
        <v>0</v>
      </c>
      <c r="F20" s="48">
        <v>194506.47029999999</v>
      </c>
      <c r="G20" s="46">
        <v>0</v>
      </c>
      <c r="H20" s="49">
        <f>(_xlfn.XLOOKUP(B20,'Rating Curve 1 CM'!$A$2:$A$500,'Rating Curve 1 CM'!$C$2:$C$500,,-1)*(G20/1000))</f>
        <v>0</v>
      </c>
      <c r="I20" s="48">
        <f>(_xlfn.XLOOKUP(B20,'Rating Curve 1 CM'!$A$2:$A$500,'Rating Curve 1 CM'!$C$2:$C$500,,-1)*((101.07/30)*0.7)/1000)</f>
        <v>715.25615246273583</v>
      </c>
      <c r="J20" s="36">
        <f>_xlfn.XLOOKUP(B20,Area_Terrain!$A$2:$A$500,Area_Terrain!$C$2:$C$500,, -1)*0.001</f>
        <v>307.55509228684002</v>
      </c>
      <c r="K20" s="37">
        <f t="shared" si="1"/>
        <v>-3033.6557688999455</v>
      </c>
    </row>
    <row r="21" spans="1:11" x14ac:dyDescent="0.4">
      <c r="A21">
        <v>16</v>
      </c>
      <c r="B21" s="46">
        <v>489.65800000000002</v>
      </c>
      <c r="C21" s="47">
        <f>_xlfn.XLOOKUP(B21,'Rating Curve 1 CM'!$A$2:$A$500,'Rating Curve 1 CM'!$D$2:$D$500,, -1)</f>
        <v>1658675.7961466999</v>
      </c>
      <c r="D21" s="48">
        <f t="shared" si="0"/>
        <v>175733.50779371275</v>
      </c>
      <c r="E21" s="46">
        <v>0</v>
      </c>
      <c r="F21" s="48">
        <v>177743.4307</v>
      </c>
      <c r="G21" s="46">
        <v>0</v>
      </c>
      <c r="H21" s="49">
        <f>(_xlfn.XLOOKUP(B21,'Rating Curve 1 CM'!$A$2:$A$500,'Rating Curve 1 CM'!$C$2:$C$500,,-1)*(G21/1000))</f>
        <v>0</v>
      </c>
      <c r="I21" s="48">
        <f>(_xlfn.XLOOKUP(B21,'Rating Curve 1 CM'!$A$2:$A$500,'Rating Curve 1 CM'!$C$2:$C$500,,-1)*((101.07/30)*0.7)/1000)</f>
        <v>714.9016342882087</v>
      </c>
      <c r="J21" s="36">
        <f>_xlfn.XLOOKUP(B21,Area_Terrain!$A$2:$A$500,Area_Terrain!$C$2:$C$500,, -1)*0.001</f>
        <v>307.39610862457005</v>
      </c>
      <c r="K21" s="37">
        <f t="shared" si="1"/>
        <v>-3032.2206492000259</v>
      </c>
    </row>
    <row r="22" spans="1:11" x14ac:dyDescent="0.4">
      <c r="A22">
        <v>17</v>
      </c>
      <c r="B22" s="46">
        <v>489.65697999999998</v>
      </c>
      <c r="C22" s="47">
        <f>_xlfn.XLOOKUP(B22,'Rating Curve 1 CM'!$A$2:$A$500,'Rating Curve 1 CM'!$D$2:$D$500,, -1)</f>
        <v>1658675.7961466999</v>
      </c>
      <c r="D22" s="48">
        <f t="shared" si="0"/>
        <v>177813.58794291277</v>
      </c>
      <c r="E22" s="46">
        <v>0</v>
      </c>
      <c r="F22" s="48">
        <v>176791.29019999999</v>
      </c>
      <c r="G22" s="46">
        <v>0</v>
      </c>
      <c r="H22" s="49">
        <f>(_xlfn.XLOOKUP(B22,'Rating Curve 1 CM'!$A$2:$A$500,'Rating Curve 1 CM'!$C$2:$C$500,,-1)*(G22/1000))</f>
        <v>0</v>
      </c>
      <c r="I22" s="48">
        <f>(_xlfn.XLOOKUP(B22,'Rating Curve 1 CM'!$A$2:$A$500,'Rating Curve 1 CM'!$C$2:$C$500,,-1)*((101.07/30)*0.7)/1000)</f>
        <v>714.9016342882087</v>
      </c>
      <c r="J22" s="36">
        <f>_xlfn.XLOOKUP(B22,Area_Terrain!$A$2:$A$500,Area_Terrain!$C$2:$C$500,, -1)*0.001</f>
        <v>307.39610862457005</v>
      </c>
      <c r="K22" s="37">
        <f t="shared" si="1"/>
        <v>0</v>
      </c>
    </row>
    <row r="23" spans="1:11" x14ac:dyDescent="0.4">
      <c r="A23">
        <v>18</v>
      </c>
      <c r="B23" s="46">
        <v>489.72699999999998</v>
      </c>
      <c r="C23" s="47">
        <f>_xlfn.XLOOKUP(B23,'Rating Curve 1 CM'!$A$2:$A$500,'Rating Curve 1 CM'!$D$2:$D$500,, -1)</f>
        <v>1679932.8392697</v>
      </c>
      <c r="D23" s="48">
        <f t="shared" si="0"/>
        <v>478550.42526226019</v>
      </c>
      <c r="E23" s="46">
        <v>0</v>
      </c>
      <c r="F23" s="48">
        <v>468800.891</v>
      </c>
      <c r="G23" s="46">
        <v>41.2</v>
      </c>
      <c r="H23" s="49">
        <f>(_xlfn.XLOOKUP(B23,'Rating Curve 1 CM'!$A$2:$A$500,'Rating Curve 1 CM'!$C$2:$C$500,,-1)*(G23/1000))</f>
        <v>12533.451663689342</v>
      </c>
      <c r="I23" s="48">
        <f>(_xlfn.XLOOKUP(B23,'Rating Curve 1 CM'!$A$2:$A$500,'Rating Curve 1 CM'!$C$2:$C$500,,-1)*((101.07/30)*0.7)/1000)</f>
        <v>717.41842374947998</v>
      </c>
      <c r="J23" s="36">
        <f>_xlfn.XLOOKUP(B23,Area_Terrain!$A$2:$A$500,Area_Terrain!$C$2:$C$500,, -1)*0.001</f>
        <v>308.52437919995998</v>
      </c>
      <c r="K23" s="37">
        <f t="shared" si="1"/>
        <v>21257.043123000069</v>
      </c>
    </row>
    <row r="24" spans="1:11" x14ac:dyDescent="0.4">
      <c r="A24">
        <v>19</v>
      </c>
      <c r="B24" s="46">
        <v>489.85700000000003</v>
      </c>
      <c r="C24" s="47">
        <f>_xlfn.XLOOKUP(B24,'Rating Curve 1 CM'!$A$2:$A$500,'Rating Curve 1 CM'!$D$2:$D$500,, -1)</f>
        <v>1719668.7023854</v>
      </c>
      <c r="D24" s="48">
        <f t="shared" si="0"/>
        <v>957422.96408633795</v>
      </c>
      <c r="E24" s="46">
        <v>0</v>
      </c>
      <c r="F24" s="48">
        <v>926241.01080000005</v>
      </c>
      <c r="G24" s="46">
        <v>31.2</v>
      </c>
      <c r="H24" s="49">
        <f>(_xlfn.XLOOKUP(B24,'Rating Curve 1 CM'!$A$2:$A$500,'Rating Curve 1 CM'!$C$2:$C$500,,-1)*(G24/1000))</f>
        <v>9590.6595558443278</v>
      </c>
      <c r="I24" s="48">
        <f>(_xlfn.XLOOKUP(B24,'Rating Curve 1 CM'!$A$2:$A$500,'Rating Curve 1 CM'!$C$2:$C$500,,-1)*((101.07/30)*0.7)/1000)</f>
        <v>724.92475738934854</v>
      </c>
      <c r="J24" s="36">
        <f>_xlfn.XLOOKUP(B24,Area_Terrain!$A$2:$A$500,Area_Terrain!$C$2:$C$500,, -1)*0.001</f>
        <v>311.82496909297004</v>
      </c>
      <c r="K24" s="37">
        <f t="shared" si="1"/>
        <v>39735.863115699962</v>
      </c>
    </row>
    <row r="25" spans="1:11" x14ac:dyDescent="0.4">
      <c r="A25">
        <v>20</v>
      </c>
      <c r="B25" s="46">
        <v>489.88997999999998</v>
      </c>
      <c r="C25" s="47">
        <f>_xlfn.XLOOKUP(B25,'Rating Curve 1 CM'!$A$2:$A$500,'Rating Curve 1 CM'!$D$2:$D$500,, -1)</f>
        <v>1728897.6614808999</v>
      </c>
      <c r="D25" s="48">
        <f t="shared" si="0"/>
        <v>893123.02810431598</v>
      </c>
      <c r="E25" s="46">
        <v>0</v>
      </c>
      <c r="F25" s="48">
        <v>887904.93900000001</v>
      </c>
      <c r="G25" s="46">
        <v>16.399999999999999</v>
      </c>
      <c r="H25" s="49">
        <f>(_xlfn.XLOOKUP(B25,'Rating Curve 1 CM'!$A$2:$A$500,'Rating Curve 1 CM'!$C$2:$C$500,,-1)*(G25/1000))</f>
        <v>5049.2978452969319</v>
      </c>
      <c r="I25" s="48">
        <f>(_xlfn.XLOOKUP(B25,'Rating Curve 1 CM'!$A$2:$A$500,'Rating Curve 1 CM'!$C$2:$C$500,,-1)*((101.07/30)*0.7)/1000)</f>
        <v>726.08287247339968</v>
      </c>
      <c r="J25" s="36">
        <f>_xlfn.XLOOKUP(B25,Area_Terrain!$A$2:$A$500,Area_Terrain!$C$2:$C$500,, -1)*0.001</f>
        <v>312.34498163951997</v>
      </c>
      <c r="K25" s="37">
        <f t="shared" si="1"/>
        <v>9228.9590954999439</v>
      </c>
    </row>
    <row r="26" spans="1:11" x14ac:dyDescent="0.4">
      <c r="A26">
        <v>21</v>
      </c>
      <c r="B26" s="46">
        <v>489.81799999999998</v>
      </c>
      <c r="C26" s="47">
        <f>_xlfn.XLOOKUP(B26,'Rating Curve 1 CM'!$A$2:$A$500,'Rating Curve 1 CM'!$D$2:$D$500,, -1)</f>
        <v>1707386.3914463001</v>
      </c>
      <c r="D26" s="48">
        <f t="shared" si="0"/>
        <v>612855.68405975844</v>
      </c>
      <c r="E26" s="46">
        <v>0</v>
      </c>
      <c r="F26" s="48">
        <v>633332.48789999995</v>
      </c>
      <c r="G26" s="46">
        <v>0</v>
      </c>
      <c r="H26" s="49">
        <f>(_xlfn.XLOOKUP(B26,'Rating Curve 1 CM'!$A$2:$A$500,'Rating Curve 1 CM'!$C$2:$C$500,,-1)*(G26/1000))</f>
        <v>0</v>
      </c>
      <c r="I26" s="48">
        <f>(_xlfn.XLOOKUP(B26,'Rating Curve 1 CM'!$A$2:$A$500,'Rating Curve 1 CM'!$C$2:$C$500,,-1)*((101.07/30)*0.7)/1000)</f>
        <v>723.34769158349661</v>
      </c>
      <c r="J26" s="36">
        <f>_xlfn.XLOOKUP(B26,Area_Terrain!$A$2:$A$500,Area_Terrain!$C$2:$C$500,, -1)*0.001</f>
        <v>311.11850277486002</v>
      </c>
      <c r="K26" s="37">
        <f t="shared" si="1"/>
        <v>-21511.270034599816</v>
      </c>
    </row>
    <row r="27" spans="1:11" x14ac:dyDescent="0.4">
      <c r="A27">
        <v>22</v>
      </c>
      <c r="B27" s="46">
        <v>489.774</v>
      </c>
      <c r="C27" s="47">
        <f>_xlfn.XLOOKUP(B27,'Rating Curve 1 CM'!$A$2:$A$500,'Rating Curve 1 CM'!$D$2:$D$500,, -1)</f>
        <v>1695162.8519716</v>
      </c>
      <c r="D27" s="48">
        <f t="shared" si="0"/>
        <v>490683.84776837972</v>
      </c>
      <c r="E27" s="46">
        <v>0</v>
      </c>
      <c r="F27" s="48">
        <v>501878.75870000001</v>
      </c>
      <c r="G27" s="46">
        <v>0</v>
      </c>
      <c r="H27" s="49">
        <f>(_xlfn.XLOOKUP(B27,'Rating Curve 1 CM'!$A$2:$A$500,'Rating Curve 1 CM'!$C$2:$C$500,,-1)*(G27/1000))</f>
        <v>0</v>
      </c>
      <c r="I27" s="48">
        <f>(_xlfn.XLOOKUP(B27,'Rating Curve 1 CM'!$A$2:$A$500,'Rating Curve 1 CM'!$C$2:$C$500,,-1)*((101.07/30)*0.7)/1000)</f>
        <v>719.27345659873299</v>
      </c>
      <c r="J27" s="36">
        <f>_xlfn.XLOOKUP(B27,Area_Terrain!$A$2:$A$500,Area_Terrain!$C$2:$C$500,, -1)*0.001</f>
        <v>309.35508648107998</v>
      </c>
      <c r="K27" s="37">
        <f t="shared" si="1"/>
        <v>-12223.539474700112</v>
      </c>
    </row>
    <row r="28" spans="1:11" x14ac:dyDescent="0.4">
      <c r="A28">
        <v>23</v>
      </c>
      <c r="B28" s="46">
        <v>489.75400000000002</v>
      </c>
      <c r="C28" s="47">
        <f>_xlfn.XLOOKUP(B28,'Rating Curve 1 CM'!$A$2:$A$500,'Rating Curve 1 CM'!$D$2:$D$500,, -1)</f>
        <v>1689066.0691295001</v>
      </c>
      <c r="D28" s="48">
        <f t="shared" si="0"/>
        <v>433718.86956598249</v>
      </c>
      <c r="E28" s="46">
        <v>0</v>
      </c>
      <c r="F28" s="48">
        <v>438788.10629999998</v>
      </c>
      <c r="G28" s="46">
        <v>0</v>
      </c>
      <c r="H28" s="49">
        <f>(_xlfn.XLOOKUP(B28,'Rating Curve 1 CM'!$A$2:$A$500,'Rating Curve 1 CM'!$C$2:$C$500,,-1)*(G28/1000))</f>
        <v>0</v>
      </c>
      <c r="I28" s="48">
        <f>(_xlfn.XLOOKUP(B28,'Rating Curve 1 CM'!$A$2:$A$500,'Rating Curve 1 CM'!$C$2:$C$500,,-1)*((101.07/30)*0.7)/1000)</f>
        <v>718.52576374382477</v>
      </c>
      <c r="J28" s="36">
        <f>_xlfn.XLOOKUP(B28,Area_Terrain!$A$2:$A$500,Area_Terrain!$C$2:$C$500,, -1)*0.001</f>
        <v>309.02034433858</v>
      </c>
      <c r="K28" s="37">
        <f t="shared" si="1"/>
        <v>-6096.7828420998994</v>
      </c>
    </row>
    <row r="29" spans="1:11" x14ac:dyDescent="0.4">
      <c r="A29">
        <v>24</v>
      </c>
      <c r="B29" s="46">
        <v>489.73399999999998</v>
      </c>
      <c r="C29" s="47">
        <f>_xlfn.XLOOKUP(B29,'Rating Curve 1 CM'!$A$2:$A$500,'Rating Curve 1 CM'!$D$2:$D$500,, -1)</f>
        <v>1682975.6527668999</v>
      </c>
      <c r="D29" s="48">
        <f t="shared" si="0"/>
        <v>379498.75290643546</v>
      </c>
      <c r="E29" s="46">
        <v>0</v>
      </c>
      <c r="F29" s="48">
        <v>384562.6948</v>
      </c>
      <c r="G29" s="46">
        <v>0</v>
      </c>
      <c r="H29" s="49">
        <f>(_xlfn.XLOOKUP(B29,'Rating Curve 1 CM'!$A$2:$A$500,'Rating Curve 1 CM'!$C$2:$C$500,,-1)*(G29/1000))</f>
        <v>0</v>
      </c>
      <c r="I29" s="48">
        <f>(_xlfn.XLOOKUP(B29,'Rating Curve 1 CM'!$A$2:$A$500,'Rating Curve 1 CM'!$C$2:$C$500,,-1)*((101.07/30)*0.7)/1000)</f>
        <v>717.78560265973431</v>
      </c>
      <c r="J29" s="36">
        <f>_xlfn.XLOOKUP(B29,Area_Terrain!$A$2:$A$500,Area_Terrain!$C$2:$C$500,, -1)*0.001</f>
        <v>308.68886637588997</v>
      </c>
      <c r="K29" s="37">
        <f t="shared" si="1"/>
        <v>-6090.4163626001682</v>
      </c>
    </row>
    <row r="30" spans="1:11" x14ac:dyDescent="0.4">
      <c r="A30">
        <v>25</v>
      </c>
      <c r="B30" s="46">
        <v>489.721</v>
      </c>
      <c r="C30" s="47">
        <f>_xlfn.XLOOKUP(B30,'Rating Curve 1 CM'!$A$2:$A$500,'Rating Curve 1 CM'!$D$2:$D$500,, -1)</f>
        <v>1679932.8392697</v>
      </c>
      <c r="D30" s="48">
        <f t="shared" si="0"/>
        <v>345857.69810574956</v>
      </c>
      <c r="E30" s="46">
        <v>0</v>
      </c>
      <c r="F30" s="48">
        <v>347874.56880000001</v>
      </c>
      <c r="G30" s="46">
        <v>0</v>
      </c>
      <c r="H30" s="49">
        <f>(_xlfn.XLOOKUP(B30,'Rating Curve 1 CM'!$A$2:$A$500,'Rating Curve 1 CM'!$C$2:$C$500,,-1)*(G30/1000))</f>
        <v>0</v>
      </c>
      <c r="I30" s="48">
        <f>(_xlfn.XLOOKUP(B30,'Rating Curve 1 CM'!$A$2:$A$500,'Rating Curve 1 CM'!$C$2:$C$500,,-1)*((101.07/30)*0.7)/1000)</f>
        <v>717.41842374947998</v>
      </c>
      <c r="J30" s="36">
        <f>_xlfn.XLOOKUP(B30,Area_Terrain!$A$2:$A$500,Area_Terrain!$C$2:$C$500,, -1)*0.001</f>
        <v>308.52437919995998</v>
      </c>
      <c r="K30" s="37">
        <f t="shared" si="1"/>
        <v>-3042.8134971999098</v>
      </c>
    </row>
    <row r="31" spans="1:11" x14ac:dyDescent="0.4">
      <c r="A31">
        <v>26</v>
      </c>
      <c r="B31" s="46">
        <v>489.70898</v>
      </c>
      <c r="C31" s="47">
        <f>_xlfn.XLOOKUP(B31,'Rating Curve 1 CM'!$A$2:$A$500,'Rating Curve 1 CM'!$D$2:$D$500,, -1)</f>
        <v>1673851.7406957999</v>
      </c>
      <c r="D31" s="48">
        <f t="shared" si="0"/>
        <v>310615.11739972571</v>
      </c>
      <c r="E31" s="46">
        <v>0</v>
      </c>
      <c r="F31" s="48">
        <v>315671.32809999998</v>
      </c>
      <c r="G31" s="46">
        <v>0</v>
      </c>
      <c r="H31" s="49">
        <f>(_xlfn.XLOOKUP(B31,'Rating Curve 1 CM'!$A$2:$A$500,'Rating Curve 1 CM'!$C$2:$C$500,,-1)*(G31/1000))</f>
        <v>0</v>
      </c>
      <c r="I31" s="48">
        <f>(_xlfn.XLOOKUP(B31,'Rating Curve 1 CM'!$A$2:$A$500,'Rating Curve 1 CM'!$C$2:$C$500,,-1)*((101.07/30)*0.7)/1000)</f>
        <v>716.68993674006697</v>
      </c>
      <c r="J31" s="36">
        <f>_xlfn.XLOOKUP(B31,Area_Terrain!$A$2:$A$500,Area_Terrain!$C$2:$C$500,, -1)*0.001</f>
        <v>308.19793688568001</v>
      </c>
      <c r="K31" s="37">
        <f t="shared" si="1"/>
        <v>-6081.0985739000607</v>
      </c>
    </row>
    <row r="32" spans="1:11" x14ac:dyDescent="0.4">
      <c r="A32">
        <v>27</v>
      </c>
      <c r="B32" s="46">
        <v>489.697</v>
      </c>
      <c r="C32" s="47">
        <f>_xlfn.XLOOKUP(B32,'Rating Curve 1 CM'!$A$2:$A$500,'Rating Curve 1 CM'!$D$2:$D$500,, -1)</f>
        <v>1670813.4823932</v>
      </c>
      <c r="D32" s="48">
        <f t="shared" si="0"/>
        <v>288864.69826402166</v>
      </c>
      <c r="E32" s="46">
        <v>0</v>
      </c>
      <c r="F32" s="48">
        <v>290878.59220000001</v>
      </c>
      <c r="G32" s="46">
        <v>0</v>
      </c>
      <c r="H32" s="49">
        <f>(_xlfn.XLOOKUP(B32,'Rating Curve 1 CM'!$A$2:$A$500,'Rating Curve 1 CM'!$C$2:$C$500,,-1)*(G32/1000))</f>
        <v>0</v>
      </c>
      <c r="I32" s="48">
        <f>(_xlfn.XLOOKUP(B32,'Rating Curve 1 CM'!$A$2:$A$500,'Rating Curve 1 CM'!$C$2:$C$500,,-1)*((101.07/30)*0.7)/1000)</f>
        <v>716.32845514700307</v>
      </c>
      <c r="J32" s="36">
        <f>_xlfn.XLOOKUP(B32,Area_Terrain!$A$2:$A$500,Area_Terrain!$C$2:$C$500,, -1)*0.001</f>
        <v>308.03591147454</v>
      </c>
      <c r="K32" s="37">
        <f t="shared" si="1"/>
        <v>-3038.2583025998902</v>
      </c>
    </row>
    <row r="33" spans="1:11" x14ac:dyDescent="0.4">
      <c r="A33">
        <v>28</v>
      </c>
      <c r="B33" s="46">
        <v>489.69099999999997</v>
      </c>
      <c r="C33" s="47">
        <f>_xlfn.XLOOKUP(B33,'Rating Curve 1 CM'!$A$2:$A$500,'Rating Curve 1 CM'!$D$2:$D$500,, -1)</f>
        <v>1670813.4823932</v>
      </c>
      <c r="D33" s="48">
        <f t="shared" si="0"/>
        <v>272042.76256662153</v>
      </c>
      <c r="E33" s="46">
        <v>0</v>
      </c>
      <c r="F33" s="48">
        <v>271018.3982</v>
      </c>
      <c r="G33" s="46">
        <v>0</v>
      </c>
      <c r="H33" s="49">
        <f>(_xlfn.XLOOKUP(B33,'Rating Curve 1 CM'!$A$2:$A$500,'Rating Curve 1 CM'!$C$2:$C$500,,-1)*(G33/1000))</f>
        <v>0</v>
      </c>
      <c r="I33" s="48">
        <f>(_xlfn.XLOOKUP(B33,'Rating Curve 1 CM'!$A$2:$A$500,'Rating Curve 1 CM'!$C$2:$C$500,,-1)*((101.07/30)*0.7)/1000)</f>
        <v>716.32845514700307</v>
      </c>
      <c r="J33" s="36">
        <f>_xlfn.XLOOKUP(B33,Area_Terrain!$A$2:$A$500,Area_Terrain!$C$2:$C$500,, -1)*0.001</f>
        <v>308.03591147454</v>
      </c>
      <c r="K33" s="37">
        <f t="shared" si="1"/>
        <v>0</v>
      </c>
    </row>
    <row r="34" spans="1:11" x14ac:dyDescent="0.4">
      <c r="A34">
        <v>29</v>
      </c>
      <c r="B34" s="46">
        <v>489.68400000000003</v>
      </c>
      <c r="C34" s="47">
        <f>_xlfn.XLOOKUP(B34,'Rating Curve 1 CM'!$A$2:$A$500,'Rating Curve 1 CM'!$D$2:$D$500,, -1)</f>
        <v>1667776.8298903999</v>
      </c>
      <c r="D34" s="48">
        <f t="shared" si="0"/>
        <v>252600.3418681483</v>
      </c>
      <c r="E34" s="46">
        <v>0</v>
      </c>
      <c r="F34" s="48">
        <v>254613.15059999999</v>
      </c>
      <c r="G34" s="46">
        <v>0</v>
      </c>
      <c r="H34" s="49">
        <f>(_xlfn.XLOOKUP(B34,'Rating Curve 1 CM'!$A$2:$A$500,'Rating Curve 1 CM'!$C$2:$C$500,,-1)*(G34/1000))</f>
        <v>0</v>
      </c>
      <c r="I34" s="48">
        <f>(_xlfn.XLOOKUP(B34,'Rating Curve 1 CM'!$A$2:$A$500,'Rating Curve 1 CM'!$C$2:$C$500,,-1)*((101.07/30)*0.7)/1000)</f>
        <v>715.96900675565735</v>
      </c>
      <c r="J34" s="36">
        <f>_xlfn.XLOOKUP(B34,Area_Terrain!$A$2:$A$500,Area_Terrain!$C$2:$C$500,, -1)*0.001</f>
        <v>307.87476419276999</v>
      </c>
      <c r="K34" s="37">
        <f t="shared" si="1"/>
        <v>-3036.6525028001051</v>
      </c>
    </row>
    <row r="35" spans="1:11" x14ac:dyDescent="0.4">
      <c r="A35">
        <v>30</v>
      </c>
      <c r="B35" s="46">
        <v>489.68400000000003</v>
      </c>
      <c r="C35" s="47">
        <f>_xlfn.XLOOKUP(B35,'Rating Curve 1 CM'!$A$2:$A$500,'Rating Curve 1 CM'!$D$2:$D$500,, -1)</f>
        <v>1667776.8298903999</v>
      </c>
      <c r="D35" s="48">
        <f t="shared" si="0"/>
        <v>244914.34617094841</v>
      </c>
      <c r="E35" s="46">
        <v>0</v>
      </c>
      <c r="F35" s="48">
        <v>243890.5024</v>
      </c>
      <c r="G35" s="46">
        <v>0</v>
      </c>
      <c r="H35" s="49">
        <f>(_xlfn.XLOOKUP(B35,'Rating Curve 1 CM'!$A$2:$A$500,'Rating Curve 1 CM'!$C$2:$C$500,,-1)*(G35/1000))</f>
        <v>0</v>
      </c>
      <c r="I35" s="48">
        <f>(_xlfn.XLOOKUP(B35,'Rating Curve 1 CM'!$A$2:$A$500,'Rating Curve 1 CM'!$C$2:$C$500,,-1)*((101.07/30)*0.7)/1000)</f>
        <v>715.96900675565735</v>
      </c>
      <c r="J35" s="36">
        <f>_xlfn.XLOOKUP(B35,Area_Terrain!$A$2:$A$500,Area_Terrain!$C$2:$C$500,, -1)*0.001</f>
        <v>307.87476419276999</v>
      </c>
      <c r="K35" s="37">
        <f t="shared" si="1"/>
        <v>0</v>
      </c>
    </row>
    <row r="36" spans="1:11" x14ac:dyDescent="0.4">
      <c r="A36">
        <v>31</v>
      </c>
      <c r="C36" s="34"/>
      <c r="K36" s="37"/>
    </row>
    <row r="40" spans="1:11" ht="117.6" x14ac:dyDescent="0.4">
      <c r="A40" s="3"/>
      <c r="B40" s="8" t="s">
        <v>25</v>
      </c>
      <c r="D40" s="8"/>
      <c r="F40" s="3"/>
      <c r="G40" s="8" t="s">
        <v>25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DA5A-5798-4DFF-967A-9BA1FAECD3EF}">
  <dimension ref="A1:D873"/>
  <sheetViews>
    <sheetView workbookViewId="0">
      <selection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41" t="s">
        <v>65</v>
      </c>
      <c r="B1" s="42" t="s">
        <v>66</v>
      </c>
      <c r="C1" s="42" t="s">
        <v>67</v>
      </c>
      <c r="D1" s="42" t="s">
        <v>68</v>
      </c>
    </row>
    <row r="2" spans="1:4" x14ac:dyDescent="0.4">
      <c r="A2" s="6">
        <v>491.5</v>
      </c>
      <c r="B2" s="43">
        <v>361994.81056329003</v>
      </c>
      <c r="C2" s="43">
        <v>368340.05274868</v>
      </c>
      <c r="D2" s="43">
        <v>2267398.1057934002</v>
      </c>
    </row>
    <row r="3" spans="1:4" x14ac:dyDescent="0.4">
      <c r="A3" s="6">
        <v>491.49</v>
      </c>
      <c r="B3" s="43">
        <v>361599.09217861999</v>
      </c>
      <c r="C3" s="43">
        <v>367932.97570021002</v>
      </c>
      <c r="D3" s="43">
        <v>2263780.1451647002</v>
      </c>
    </row>
    <row r="4" spans="1:4" x14ac:dyDescent="0.4">
      <c r="A4" s="6">
        <v>491.48</v>
      </c>
      <c r="B4" s="43">
        <v>361204.48328425002</v>
      </c>
      <c r="C4" s="43">
        <v>367526.99293025001</v>
      </c>
      <c r="D4" s="43">
        <v>2260166.0975861</v>
      </c>
    </row>
    <row r="5" spans="1:4" x14ac:dyDescent="0.4">
      <c r="A5" s="6">
        <v>491.47</v>
      </c>
      <c r="B5" s="43">
        <v>360810.87578886998</v>
      </c>
      <c r="C5" s="43">
        <v>367121.99631220999</v>
      </c>
      <c r="D5" s="43">
        <v>2256556.0523282001</v>
      </c>
    </row>
    <row r="6" spans="1:4" x14ac:dyDescent="0.4">
      <c r="A6" s="6">
        <v>491.46</v>
      </c>
      <c r="B6" s="43">
        <v>360418.36157864</v>
      </c>
      <c r="C6" s="43">
        <v>366718.07687236997</v>
      </c>
      <c r="D6" s="43">
        <v>2252949.9085300998</v>
      </c>
    </row>
    <row r="7" spans="1:4" x14ac:dyDescent="0.4">
      <c r="A7" s="6">
        <v>491.45</v>
      </c>
      <c r="B7" s="43">
        <v>360026.72667454998</v>
      </c>
      <c r="C7" s="43">
        <v>366315.01866474998</v>
      </c>
      <c r="D7" s="43">
        <v>2249347.6350584002</v>
      </c>
    </row>
    <row r="8" spans="1:4" x14ac:dyDescent="0.4">
      <c r="A8" s="6">
        <v>491.44</v>
      </c>
      <c r="B8" s="43">
        <v>359636.10792063002</v>
      </c>
      <c r="C8" s="43">
        <v>365912.95881956001</v>
      </c>
      <c r="D8" s="43">
        <v>2245749.3000022001</v>
      </c>
    </row>
    <row r="9" spans="1:4" x14ac:dyDescent="0.4">
      <c r="A9" s="6">
        <v>491.43</v>
      </c>
      <c r="B9" s="43">
        <v>359245.89051766001</v>
      </c>
      <c r="C9" s="43">
        <v>365511.28032938001</v>
      </c>
      <c r="D9" s="43">
        <v>2242154.8152557001</v>
      </c>
    </row>
    <row r="10" spans="1:4" x14ac:dyDescent="0.4">
      <c r="A10" s="6">
        <v>491.42</v>
      </c>
      <c r="B10" s="43">
        <v>358854.56899566</v>
      </c>
      <c r="C10" s="43">
        <v>365108.47499984002</v>
      </c>
      <c r="D10" s="43">
        <v>2238564.2927140999</v>
      </c>
    </row>
    <row r="11" spans="1:4" x14ac:dyDescent="0.4">
      <c r="A11" s="6">
        <v>491.41</v>
      </c>
      <c r="B11" s="43">
        <v>358454.94462258002</v>
      </c>
      <c r="C11" s="43">
        <v>364697.36971136997</v>
      </c>
      <c r="D11" s="43">
        <v>2234977.7088191998</v>
      </c>
    </row>
    <row r="12" spans="1:4" x14ac:dyDescent="0.4">
      <c r="A12" s="6">
        <v>491.4</v>
      </c>
      <c r="B12" s="43">
        <v>357875.26972702</v>
      </c>
      <c r="C12" s="43">
        <v>364106.28927918</v>
      </c>
      <c r="D12" s="43">
        <v>2231395.4648157</v>
      </c>
    </row>
    <row r="13" spans="1:4" x14ac:dyDescent="0.4">
      <c r="A13" s="6">
        <v>491.39</v>
      </c>
      <c r="B13" s="43">
        <v>355774.16176699998</v>
      </c>
      <c r="C13" s="43">
        <v>361993.47940244997</v>
      </c>
      <c r="D13" s="43">
        <v>2227834.7025144999</v>
      </c>
    </row>
    <row r="14" spans="1:4" x14ac:dyDescent="0.4">
      <c r="A14" s="6">
        <v>491.38</v>
      </c>
      <c r="B14" s="43">
        <v>355423.66029019997</v>
      </c>
      <c r="C14" s="43">
        <v>361630.83912327001</v>
      </c>
      <c r="D14" s="43">
        <v>2224278.6237130002</v>
      </c>
    </row>
    <row r="15" spans="1:4" x14ac:dyDescent="0.4">
      <c r="A15" s="6">
        <v>491.37</v>
      </c>
      <c r="B15" s="43">
        <v>355094.77136686002</v>
      </c>
      <c r="C15" s="43">
        <v>361289.53597536997</v>
      </c>
      <c r="D15" s="43">
        <v>2220725.9583041999</v>
      </c>
    </row>
    <row r="16" spans="1:4" x14ac:dyDescent="0.4">
      <c r="A16" s="6">
        <v>491.36</v>
      </c>
      <c r="B16" s="43">
        <v>354774.61946383002</v>
      </c>
      <c r="C16" s="43">
        <v>360956.77199739002</v>
      </c>
      <c r="D16" s="43">
        <v>2217176.5620702999</v>
      </c>
    </row>
    <row r="17" spans="1:4" x14ac:dyDescent="0.4">
      <c r="A17" s="6">
        <v>491.35</v>
      </c>
      <c r="B17" s="43">
        <v>354458.49281564</v>
      </c>
      <c r="C17" s="43">
        <v>360627.89738422999</v>
      </c>
      <c r="D17" s="43">
        <v>2213630.4407194001</v>
      </c>
    </row>
    <row r="18" spans="1:4" x14ac:dyDescent="0.4">
      <c r="A18" s="6">
        <v>491.34</v>
      </c>
      <c r="B18" s="43">
        <v>354144.88432865002</v>
      </c>
      <c r="C18" s="43">
        <v>360301.43869634997</v>
      </c>
      <c r="D18" s="43">
        <v>2210087.3554578</v>
      </c>
    </row>
    <row r="19" spans="1:4" x14ac:dyDescent="0.4">
      <c r="A19" s="6">
        <v>491.33</v>
      </c>
      <c r="B19" s="43">
        <v>353833.04541179998</v>
      </c>
      <c r="C19" s="43">
        <v>359976.67029174999</v>
      </c>
      <c r="D19" s="43">
        <v>2206547.5282641998</v>
      </c>
    </row>
    <row r="20" spans="1:4" x14ac:dyDescent="0.4">
      <c r="A20" s="6">
        <v>491.32</v>
      </c>
      <c r="B20" s="43">
        <v>353522.54291130998</v>
      </c>
      <c r="C20" s="43">
        <v>359653.17648819002</v>
      </c>
      <c r="D20" s="43">
        <v>2203010.6791985999</v>
      </c>
    </row>
    <row r="21" spans="1:4" x14ac:dyDescent="0.4">
      <c r="A21" s="6">
        <v>491.31</v>
      </c>
      <c r="B21" s="43">
        <v>353213.14609777002</v>
      </c>
      <c r="C21" s="43">
        <v>359330.74321729998</v>
      </c>
      <c r="D21" s="43">
        <v>2199477.0620276998</v>
      </c>
    </row>
    <row r="22" spans="1:4" x14ac:dyDescent="0.4">
      <c r="A22" s="6">
        <v>491.3</v>
      </c>
      <c r="B22" s="43">
        <v>352904.66295319999</v>
      </c>
      <c r="C22" s="43">
        <v>359009.18799089</v>
      </c>
      <c r="D22" s="43">
        <v>2195946.4522772999</v>
      </c>
    </row>
    <row r="23" spans="1:4" x14ac:dyDescent="0.4">
      <c r="A23" s="6">
        <v>491.29</v>
      </c>
      <c r="B23" s="43">
        <v>352597.04076223</v>
      </c>
      <c r="C23" s="43">
        <v>358688.46231585997</v>
      </c>
      <c r="D23" s="43">
        <v>2192418.9378793999</v>
      </c>
    </row>
    <row r="24" spans="1:4" x14ac:dyDescent="0.4">
      <c r="A24" s="6">
        <v>491.28</v>
      </c>
      <c r="B24" s="43">
        <v>352290.24867085001</v>
      </c>
      <c r="C24" s="43">
        <v>358368.54036821</v>
      </c>
      <c r="D24" s="43">
        <v>2188894.4553939002</v>
      </c>
    </row>
    <row r="25" spans="1:4" x14ac:dyDescent="0.4">
      <c r="A25" s="6">
        <v>491.27</v>
      </c>
      <c r="B25" s="43">
        <v>351984.11745109002</v>
      </c>
      <c r="C25" s="43">
        <v>358049.25928161998</v>
      </c>
      <c r="D25" s="43">
        <v>2185373.0613814001</v>
      </c>
    </row>
    <row r="26" spans="1:4" x14ac:dyDescent="0.4">
      <c r="A26" s="6">
        <v>491.26</v>
      </c>
      <c r="B26" s="43">
        <v>351678.54789704998</v>
      </c>
      <c r="C26" s="43">
        <v>357730.52137246</v>
      </c>
      <c r="D26" s="43">
        <v>2181854.7566109002</v>
      </c>
    </row>
    <row r="27" spans="1:4" x14ac:dyDescent="0.4">
      <c r="A27" s="6">
        <v>491.25</v>
      </c>
      <c r="B27" s="43">
        <v>351373.30300058</v>
      </c>
      <c r="C27" s="43">
        <v>357412.09655915998</v>
      </c>
      <c r="D27" s="43">
        <v>2178339.4728294001</v>
      </c>
    </row>
    <row r="28" spans="1:4" x14ac:dyDescent="0.4">
      <c r="A28" s="6">
        <v>491.24</v>
      </c>
      <c r="B28" s="43">
        <v>351067.69144446001</v>
      </c>
      <c r="C28" s="43">
        <v>357093.30658138002</v>
      </c>
      <c r="D28" s="43">
        <v>2174827.2757795001</v>
      </c>
    </row>
    <row r="29" spans="1:4" x14ac:dyDescent="0.4">
      <c r="A29" s="6">
        <v>491.23</v>
      </c>
      <c r="B29" s="43">
        <v>350760.54667508003</v>
      </c>
      <c r="C29" s="43">
        <v>356772.99914933997</v>
      </c>
      <c r="D29" s="43">
        <v>2171318.2239152999</v>
      </c>
    </row>
    <row r="30" spans="1:4" x14ac:dyDescent="0.4">
      <c r="A30" s="6">
        <v>491.22</v>
      </c>
      <c r="B30" s="43">
        <v>350448.32221671002</v>
      </c>
      <c r="C30" s="43">
        <v>356447.65902234998</v>
      </c>
      <c r="D30" s="43">
        <v>2167812.3269048999</v>
      </c>
    </row>
    <row r="31" spans="1:4" x14ac:dyDescent="0.4">
      <c r="A31" s="6">
        <v>491.21</v>
      </c>
      <c r="B31" s="43">
        <v>350117.88861905999</v>
      </c>
      <c r="C31" s="43">
        <v>356104.22420037002</v>
      </c>
      <c r="D31" s="43">
        <v>2164309.5389024001</v>
      </c>
    </row>
    <row r="32" spans="1:4" x14ac:dyDescent="0.4">
      <c r="A32" s="6">
        <v>491.2</v>
      </c>
      <c r="B32" s="43">
        <v>348469.35554532002</v>
      </c>
      <c r="C32" s="43">
        <v>354442.95473910001</v>
      </c>
      <c r="D32" s="43">
        <v>2160810.3136793999</v>
      </c>
    </row>
    <row r="33" spans="1:4" x14ac:dyDescent="0.4">
      <c r="A33" s="6">
        <v>491.19</v>
      </c>
      <c r="B33" s="43">
        <v>348063.81002815999</v>
      </c>
      <c r="C33" s="43">
        <v>354024.94091250998</v>
      </c>
      <c r="D33" s="43">
        <v>2157327.7464752002</v>
      </c>
    </row>
    <row r="34" spans="1:4" x14ac:dyDescent="0.4">
      <c r="A34" s="6">
        <v>491.18</v>
      </c>
      <c r="B34" s="43">
        <v>347768.88951403002</v>
      </c>
      <c r="C34" s="43">
        <v>353717.36495587003</v>
      </c>
      <c r="D34" s="43">
        <v>2153848.5312756998</v>
      </c>
    </row>
    <row r="35" spans="1:4" x14ac:dyDescent="0.4">
      <c r="A35" s="6">
        <v>491.17</v>
      </c>
      <c r="B35" s="43">
        <v>347483.81645079999</v>
      </c>
      <c r="C35" s="43">
        <v>353419.51144931</v>
      </c>
      <c r="D35" s="43">
        <v>2150372.2201692001</v>
      </c>
    </row>
    <row r="36" spans="1:4" x14ac:dyDescent="0.4">
      <c r="A36" s="6">
        <v>491.16</v>
      </c>
      <c r="B36" s="43">
        <v>347203.01842959999</v>
      </c>
      <c r="C36" s="43">
        <v>353125.83862463001</v>
      </c>
      <c r="D36" s="43">
        <v>2146898.8495493</v>
      </c>
    </row>
    <row r="37" spans="1:4" x14ac:dyDescent="0.4">
      <c r="A37" s="6">
        <v>491.15</v>
      </c>
      <c r="B37" s="43">
        <v>346925.03626109002</v>
      </c>
      <c r="C37" s="43">
        <v>352834.90379865002</v>
      </c>
      <c r="D37" s="43">
        <v>2143428.1549565</v>
      </c>
    </row>
    <row r="38" spans="1:4" x14ac:dyDescent="0.4">
      <c r="A38" s="6">
        <v>491.14</v>
      </c>
      <c r="B38" s="43">
        <v>346649.29335696</v>
      </c>
      <c r="C38" s="43">
        <v>352546.14337775001</v>
      </c>
      <c r="D38" s="43">
        <v>2139960.2476853002</v>
      </c>
    </row>
    <row r="39" spans="1:4" x14ac:dyDescent="0.4">
      <c r="A39" s="6">
        <v>491.13</v>
      </c>
      <c r="B39" s="43">
        <v>346375.31590107002</v>
      </c>
      <c r="C39" s="43">
        <v>352259.09606225003</v>
      </c>
      <c r="D39" s="43">
        <v>2136495.0873159999</v>
      </c>
    </row>
    <row r="40" spans="1:4" x14ac:dyDescent="0.4">
      <c r="A40" s="6">
        <v>491.12</v>
      </c>
      <c r="B40" s="43">
        <v>346102.93652054999</v>
      </c>
      <c r="C40" s="43">
        <v>351973.60707726999</v>
      </c>
      <c r="D40" s="43">
        <v>2133032.7639349001</v>
      </c>
    </row>
    <row r="41" spans="1:4" x14ac:dyDescent="0.4">
      <c r="A41" s="6">
        <v>491.11</v>
      </c>
      <c r="B41" s="43">
        <v>345831.96141933999</v>
      </c>
      <c r="C41" s="43">
        <v>351689.49034740002</v>
      </c>
      <c r="D41" s="43">
        <v>2129573.0747276</v>
      </c>
    </row>
    <row r="42" spans="1:4" x14ac:dyDescent="0.4">
      <c r="A42" s="6">
        <v>491.1</v>
      </c>
      <c r="B42" s="43">
        <v>345562.46075675997</v>
      </c>
      <c r="C42" s="43">
        <v>351406.82509847998</v>
      </c>
      <c r="D42" s="43">
        <v>2126116.0967271002</v>
      </c>
    </row>
    <row r="43" spans="1:4" x14ac:dyDescent="0.4">
      <c r="A43" s="6">
        <v>491.09</v>
      </c>
      <c r="B43" s="43">
        <v>345294.24927000998</v>
      </c>
      <c r="C43" s="43">
        <v>351125.43184500001</v>
      </c>
      <c r="D43" s="43">
        <v>2122661.8483120999</v>
      </c>
    </row>
    <row r="44" spans="1:4" x14ac:dyDescent="0.4">
      <c r="A44" s="6">
        <v>491.08</v>
      </c>
      <c r="B44" s="43">
        <v>345027.08492224</v>
      </c>
      <c r="C44" s="43">
        <v>350845.07568081998</v>
      </c>
      <c r="D44" s="43">
        <v>2119210.2801950001</v>
      </c>
    </row>
    <row r="45" spans="1:4" x14ac:dyDescent="0.4">
      <c r="A45" s="6">
        <v>491.07</v>
      </c>
      <c r="B45" s="43">
        <v>344760.88078526</v>
      </c>
      <c r="C45" s="43">
        <v>350565.67732019001</v>
      </c>
      <c r="D45" s="43">
        <v>2115761.3381375</v>
      </c>
    </row>
    <row r="46" spans="1:4" x14ac:dyDescent="0.4">
      <c r="A46" s="6">
        <v>491.06</v>
      </c>
      <c r="B46" s="43">
        <v>344495.50517665001</v>
      </c>
      <c r="C46" s="43">
        <v>350287.11370058003</v>
      </c>
      <c r="D46" s="43">
        <v>2112315.0806582002</v>
      </c>
    </row>
    <row r="47" spans="1:4" x14ac:dyDescent="0.4">
      <c r="A47" s="6">
        <v>491.05</v>
      </c>
      <c r="B47" s="43">
        <v>344230.56771263003</v>
      </c>
      <c r="C47" s="43">
        <v>350009.00800107</v>
      </c>
      <c r="D47" s="43">
        <v>2108871.5469594002</v>
      </c>
    </row>
    <row r="48" spans="1:4" x14ac:dyDescent="0.4">
      <c r="A48" s="6">
        <v>491.04</v>
      </c>
      <c r="B48" s="43">
        <v>343965.51880130998</v>
      </c>
      <c r="C48" s="43">
        <v>349730.82812681003</v>
      </c>
      <c r="D48" s="43">
        <v>2105430.6179609001</v>
      </c>
    </row>
    <row r="49" spans="1:4" x14ac:dyDescent="0.4">
      <c r="A49" s="6">
        <v>491.03</v>
      </c>
      <c r="B49" s="43">
        <v>343699.13498834998</v>
      </c>
      <c r="C49" s="43">
        <v>349451.37041949999</v>
      </c>
      <c r="D49" s="43">
        <v>2101992.4237683001</v>
      </c>
    </row>
    <row r="50" spans="1:4" x14ac:dyDescent="0.4">
      <c r="A50" s="6">
        <v>491.02</v>
      </c>
      <c r="B50" s="43">
        <v>343428.20610856998</v>
      </c>
      <c r="C50" s="43">
        <v>349167.45838695002</v>
      </c>
      <c r="D50" s="43">
        <v>2098556.9442183999</v>
      </c>
    </row>
    <row r="51" spans="1:4" x14ac:dyDescent="0.4">
      <c r="A51" s="6">
        <v>491.01</v>
      </c>
      <c r="B51" s="43">
        <v>343142.20284008002</v>
      </c>
      <c r="C51" s="43">
        <v>348868.63132665999</v>
      </c>
      <c r="D51" s="43">
        <v>2095124.1898590999</v>
      </c>
    </row>
    <row r="52" spans="1:4" x14ac:dyDescent="0.4">
      <c r="A52" s="6">
        <v>491</v>
      </c>
      <c r="B52" s="43">
        <v>342687.38406000001</v>
      </c>
      <c r="C52" s="43">
        <v>348401.28039693</v>
      </c>
      <c r="D52" s="43">
        <v>2091694.4424974001</v>
      </c>
    </row>
    <row r="53" spans="1:4" x14ac:dyDescent="0.4">
      <c r="A53" s="6">
        <v>490.99</v>
      </c>
      <c r="B53" s="43">
        <v>341048.83724794001</v>
      </c>
      <c r="C53" s="43">
        <v>346750.43961187999</v>
      </c>
      <c r="D53" s="43">
        <v>2088282.2695275999</v>
      </c>
    </row>
    <row r="54" spans="1:4" x14ac:dyDescent="0.4">
      <c r="A54" s="6">
        <v>490.98</v>
      </c>
      <c r="B54" s="43">
        <v>340777.31586441997</v>
      </c>
      <c r="C54" s="43">
        <v>346466.51725332002</v>
      </c>
      <c r="D54" s="43">
        <v>2084873.1042265999</v>
      </c>
    </row>
    <row r="55" spans="1:4" x14ac:dyDescent="0.4">
      <c r="A55" s="6">
        <v>490.97</v>
      </c>
      <c r="B55" s="43">
        <v>340513.86422359</v>
      </c>
      <c r="C55" s="43">
        <v>346190.61141682998</v>
      </c>
      <c r="D55" s="43">
        <v>2081466.6312352</v>
      </c>
    </row>
    <row r="56" spans="1:4" x14ac:dyDescent="0.4">
      <c r="A56" s="6">
        <v>490.96</v>
      </c>
      <c r="B56" s="43">
        <v>340253.10418993997</v>
      </c>
      <c r="C56" s="43">
        <v>345917.36196737998</v>
      </c>
      <c r="D56" s="43">
        <v>2078062.814554</v>
      </c>
    </row>
    <row r="57" spans="1:4" x14ac:dyDescent="0.4">
      <c r="A57" s="6">
        <v>490.95</v>
      </c>
      <c r="B57" s="43">
        <v>339994.23976654001</v>
      </c>
      <c r="C57" s="43">
        <v>345645.98266774003</v>
      </c>
      <c r="D57" s="43">
        <v>2074661.6229377999</v>
      </c>
    </row>
    <row r="58" spans="1:4" x14ac:dyDescent="0.4">
      <c r="A58" s="6">
        <v>490.94</v>
      </c>
      <c r="B58" s="43">
        <v>339736.74564183003</v>
      </c>
      <c r="C58" s="43">
        <v>345375.95342641999</v>
      </c>
      <c r="D58" s="43">
        <v>2071262.9695909999</v>
      </c>
    </row>
    <row r="59" spans="1:4" x14ac:dyDescent="0.4">
      <c r="A59" s="6">
        <v>490.93</v>
      </c>
      <c r="B59" s="43">
        <v>339480.26161848003</v>
      </c>
      <c r="C59" s="43">
        <v>345106.91804298997</v>
      </c>
      <c r="D59" s="43">
        <v>2067866.8161039001</v>
      </c>
    </row>
    <row r="60" spans="1:4" x14ac:dyDescent="0.4">
      <c r="A60" s="6">
        <v>490.92</v>
      </c>
      <c r="B60" s="43">
        <v>339224.81307402998</v>
      </c>
      <c r="C60" s="43">
        <v>344838.90493249003</v>
      </c>
      <c r="D60" s="43">
        <v>2064473.3373987</v>
      </c>
    </row>
    <row r="61" spans="1:4" x14ac:dyDescent="0.4">
      <c r="A61" s="6">
        <v>490.91</v>
      </c>
      <c r="B61" s="43">
        <v>338970.17698988999</v>
      </c>
      <c r="C61" s="43">
        <v>344571.69683387002</v>
      </c>
      <c r="D61" s="43">
        <v>2061082.3567572001</v>
      </c>
    </row>
    <row r="62" spans="1:4" x14ac:dyDescent="0.4">
      <c r="A62" s="6">
        <v>490.9</v>
      </c>
      <c r="B62" s="43">
        <v>338716.55030085001</v>
      </c>
      <c r="C62" s="43">
        <v>344305.49910224997</v>
      </c>
      <c r="D62" s="43">
        <v>2057693.9429265</v>
      </c>
    </row>
    <row r="63" spans="1:4" x14ac:dyDescent="0.4">
      <c r="A63" s="6">
        <v>490.89</v>
      </c>
      <c r="B63" s="43">
        <v>338463.72858649999</v>
      </c>
      <c r="C63" s="43">
        <v>344040.11405226</v>
      </c>
      <c r="D63" s="43">
        <v>2054308.1041403001</v>
      </c>
    </row>
    <row r="64" spans="1:4" x14ac:dyDescent="0.4">
      <c r="A64" s="6">
        <v>490.88</v>
      </c>
      <c r="B64" s="43">
        <v>338211.89065711002</v>
      </c>
      <c r="C64" s="43">
        <v>343775.72555951</v>
      </c>
      <c r="D64" s="43">
        <v>2050924.8395797999</v>
      </c>
    </row>
    <row r="65" spans="1:4" x14ac:dyDescent="0.4">
      <c r="A65" s="6">
        <v>490.87</v>
      </c>
      <c r="B65" s="43">
        <v>337960.64202392002</v>
      </c>
      <c r="C65" s="43">
        <v>343511.94774839003</v>
      </c>
      <c r="D65" s="43">
        <v>2047544.090515</v>
      </c>
    </row>
    <row r="66" spans="1:4" x14ac:dyDescent="0.4">
      <c r="A66" s="6">
        <v>490.86</v>
      </c>
      <c r="B66" s="43">
        <v>337709.94038196001</v>
      </c>
      <c r="C66" s="43">
        <v>343248.74775560002</v>
      </c>
      <c r="D66" s="43">
        <v>2044165.7631326001</v>
      </c>
    </row>
    <row r="67" spans="1:4" x14ac:dyDescent="0.4">
      <c r="A67" s="6">
        <v>490.85</v>
      </c>
      <c r="B67" s="43">
        <v>337459.45293322997</v>
      </c>
      <c r="C67" s="43">
        <v>342985.80535396002</v>
      </c>
      <c r="D67" s="43">
        <v>2040789.9433728999</v>
      </c>
    </row>
    <row r="68" spans="1:4" x14ac:dyDescent="0.4">
      <c r="A68" s="6">
        <v>490.84</v>
      </c>
      <c r="B68" s="43">
        <v>337208.79519998998</v>
      </c>
      <c r="C68" s="43">
        <v>342722.75001358998</v>
      </c>
      <c r="D68" s="43">
        <v>2037416.6519801</v>
      </c>
    </row>
    <row r="69" spans="1:4" x14ac:dyDescent="0.4">
      <c r="A69" s="6">
        <v>490.83</v>
      </c>
      <c r="B69" s="43">
        <v>336957.13016018999</v>
      </c>
      <c r="C69" s="43">
        <v>342458.76157038001</v>
      </c>
      <c r="D69" s="43">
        <v>2034045.9350223001</v>
      </c>
    </row>
    <row r="70" spans="1:4" x14ac:dyDescent="0.4">
      <c r="A70" s="6">
        <v>490.82</v>
      </c>
      <c r="B70" s="43">
        <v>336702.43073283997</v>
      </c>
      <c r="C70" s="43">
        <v>342191.84244779003</v>
      </c>
      <c r="D70" s="43">
        <v>2030677.7810974</v>
      </c>
    </row>
    <row r="71" spans="1:4" x14ac:dyDescent="0.4">
      <c r="A71" s="6">
        <v>490.81</v>
      </c>
      <c r="B71" s="43">
        <v>336437.51978530001</v>
      </c>
      <c r="C71" s="43">
        <v>341914.85777583998</v>
      </c>
      <c r="D71" s="43">
        <v>2027312.1787779001</v>
      </c>
    </row>
    <row r="72" spans="1:4" x14ac:dyDescent="0.4">
      <c r="A72" s="6">
        <v>490.8</v>
      </c>
      <c r="B72" s="43">
        <v>336040.58872121002</v>
      </c>
      <c r="C72" s="43">
        <v>341506.09894121002</v>
      </c>
      <c r="D72" s="43">
        <v>2023949.5565116</v>
      </c>
    </row>
    <row r="73" spans="1:4" x14ac:dyDescent="0.4">
      <c r="A73" s="6">
        <v>490.79</v>
      </c>
      <c r="B73" s="43">
        <v>334456.16375571</v>
      </c>
      <c r="C73" s="43">
        <v>339910.00982648</v>
      </c>
      <c r="D73" s="43">
        <v>2020603.1341386</v>
      </c>
    </row>
    <row r="74" spans="1:4" x14ac:dyDescent="0.4">
      <c r="A74" s="6">
        <v>490.78</v>
      </c>
      <c r="B74" s="43">
        <v>334190.35490181</v>
      </c>
      <c r="C74" s="43">
        <v>339632.51498277998</v>
      </c>
      <c r="D74" s="43">
        <v>2017259.9092401001</v>
      </c>
    </row>
    <row r="75" spans="1:4" x14ac:dyDescent="0.4">
      <c r="A75" s="6">
        <v>490.77</v>
      </c>
      <c r="B75" s="43">
        <v>333930.74267799</v>
      </c>
      <c r="C75" s="43">
        <v>339361.24290688999</v>
      </c>
      <c r="D75" s="43">
        <v>2013919.2603499</v>
      </c>
    </row>
    <row r="76" spans="1:4" x14ac:dyDescent="0.4">
      <c r="A76" s="6">
        <v>490.76</v>
      </c>
      <c r="B76" s="43">
        <v>333672.781885</v>
      </c>
      <c r="C76" s="43">
        <v>339091.64833643998</v>
      </c>
      <c r="D76" s="43">
        <v>2010581.2500636</v>
      </c>
    </row>
    <row r="77" spans="1:4" x14ac:dyDescent="0.4">
      <c r="A77" s="6">
        <v>490.75</v>
      </c>
      <c r="B77" s="43">
        <v>333415.44873490999</v>
      </c>
      <c r="C77" s="43">
        <v>338822.70468114002</v>
      </c>
      <c r="D77" s="43">
        <v>2007245.8198293999</v>
      </c>
    </row>
    <row r="78" spans="1:4" x14ac:dyDescent="0.4">
      <c r="A78" s="6">
        <v>490.74</v>
      </c>
      <c r="B78" s="43">
        <v>333158.75248296</v>
      </c>
      <c r="C78" s="43">
        <v>338554.41607993998</v>
      </c>
      <c r="D78" s="43">
        <v>2003912.9959539</v>
      </c>
    </row>
    <row r="79" spans="1:4" x14ac:dyDescent="0.4">
      <c r="A79" s="6">
        <v>490.73</v>
      </c>
      <c r="B79" s="43">
        <v>332902.74898032</v>
      </c>
      <c r="C79" s="43">
        <v>338286.8316112</v>
      </c>
      <c r="D79" s="43">
        <v>2000582.7320868</v>
      </c>
    </row>
    <row r="80" spans="1:4" x14ac:dyDescent="0.4">
      <c r="A80" s="6">
        <v>490.72</v>
      </c>
      <c r="B80" s="43">
        <v>332647.33418641001</v>
      </c>
      <c r="C80" s="43">
        <v>338019.84132493002</v>
      </c>
      <c r="D80" s="43">
        <v>1997254.9834962999</v>
      </c>
    </row>
    <row r="81" spans="1:4" x14ac:dyDescent="0.4">
      <c r="A81" s="6">
        <v>490.71</v>
      </c>
      <c r="B81" s="43">
        <v>332392.63899860001</v>
      </c>
      <c r="C81" s="43">
        <v>337753.5716504</v>
      </c>
      <c r="D81" s="43">
        <v>1993929.7929346999</v>
      </c>
    </row>
    <row r="82" spans="1:4" x14ac:dyDescent="0.4">
      <c r="A82" s="6">
        <v>490.7</v>
      </c>
      <c r="B82" s="43">
        <v>332138.54721019999</v>
      </c>
      <c r="C82" s="43">
        <v>337487.90915244003</v>
      </c>
      <c r="D82" s="43">
        <v>1990607.1617972001</v>
      </c>
    </row>
    <row r="83" spans="1:4" x14ac:dyDescent="0.4">
      <c r="A83" s="6">
        <v>490.69</v>
      </c>
      <c r="B83" s="43">
        <v>331885.14077538002</v>
      </c>
      <c r="C83" s="43">
        <v>337222.94139769999</v>
      </c>
      <c r="D83" s="43">
        <v>1987287.0272895</v>
      </c>
    </row>
    <row r="84" spans="1:4" x14ac:dyDescent="0.4">
      <c r="A84" s="6">
        <v>490.68</v>
      </c>
      <c r="B84" s="43">
        <v>331632.48394641001</v>
      </c>
      <c r="C84" s="43">
        <v>336958.73243644001</v>
      </c>
      <c r="D84" s="43">
        <v>1983969.5057343</v>
      </c>
    </row>
    <row r="85" spans="1:4" x14ac:dyDescent="0.4">
      <c r="A85" s="6">
        <v>490.67</v>
      </c>
      <c r="B85" s="43">
        <v>331380.36511666997</v>
      </c>
      <c r="C85" s="43">
        <v>336695.07425940002</v>
      </c>
      <c r="D85" s="43">
        <v>1980654.5295861999</v>
      </c>
    </row>
    <row r="86" spans="1:4" x14ac:dyDescent="0.4">
      <c r="A86" s="6">
        <v>490.66</v>
      </c>
      <c r="B86" s="43">
        <v>331128.81659170002</v>
      </c>
      <c r="C86" s="43">
        <v>336432.00554186001</v>
      </c>
      <c r="D86" s="43">
        <v>1977342.0785176</v>
      </c>
    </row>
    <row r="87" spans="1:4" x14ac:dyDescent="0.4">
      <c r="A87" s="6">
        <v>490.65</v>
      </c>
      <c r="B87" s="43">
        <v>330877.43216357997</v>
      </c>
      <c r="C87" s="43">
        <v>336169.1288372</v>
      </c>
      <c r="D87" s="43">
        <v>1974032.1074234999</v>
      </c>
    </row>
    <row r="88" spans="1:4" x14ac:dyDescent="0.4">
      <c r="A88" s="6">
        <v>490.64</v>
      </c>
      <c r="B88" s="43">
        <v>330625.79234555998</v>
      </c>
      <c r="C88" s="43">
        <v>335906.04240024003</v>
      </c>
      <c r="D88" s="43">
        <v>1970724.6477868999</v>
      </c>
    </row>
    <row r="89" spans="1:4" x14ac:dyDescent="0.4">
      <c r="A89" s="6">
        <v>490.63</v>
      </c>
      <c r="B89" s="43">
        <v>330372.67015513999</v>
      </c>
      <c r="C89" s="43">
        <v>335641.53881217999</v>
      </c>
      <c r="D89" s="43">
        <v>1967419.7138497001</v>
      </c>
    </row>
    <row r="90" spans="1:4" x14ac:dyDescent="0.4">
      <c r="A90" s="6">
        <v>490.62</v>
      </c>
      <c r="B90" s="43">
        <v>330115.04078377999</v>
      </c>
      <c r="C90" s="43">
        <v>335372.62312071997</v>
      </c>
      <c r="D90" s="43">
        <v>1964117.3706068001</v>
      </c>
    </row>
    <row r="91" spans="1:4" x14ac:dyDescent="0.4">
      <c r="A91" s="6">
        <v>490.61</v>
      </c>
      <c r="B91" s="43">
        <v>329843.10720555001</v>
      </c>
      <c r="C91" s="43">
        <v>335089.56040955998</v>
      </c>
      <c r="D91" s="43">
        <v>1960817.7316209001</v>
      </c>
    </row>
    <row r="92" spans="1:4" x14ac:dyDescent="0.4">
      <c r="A92" s="6">
        <v>490.6</v>
      </c>
      <c r="B92" s="43">
        <v>328304.14930813003</v>
      </c>
      <c r="C92" s="43">
        <v>333539.76065246999</v>
      </c>
      <c r="D92" s="43">
        <v>1957520.9234</v>
      </c>
    </row>
    <row r="93" spans="1:4" x14ac:dyDescent="0.4">
      <c r="A93" s="6">
        <v>490.59</v>
      </c>
      <c r="B93" s="43">
        <v>327933.31413129001</v>
      </c>
      <c r="C93" s="43">
        <v>333158.35387019999</v>
      </c>
      <c r="D93" s="43">
        <v>1954239.9708648999</v>
      </c>
    </row>
    <row r="94" spans="1:4" x14ac:dyDescent="0.4">
      <c r="A94" s="6">
        <v>490.58</v>
      </c>
      <c r="B94" s="43">
        <v>327667.19117299002</v>
      </c>
      <c r="C94" s="43">
        <v>332881.61262109998</v>
      </c>
      <c r="D94" s="43">
        <v>1950962.0048912</v>
      </c>
    </row>
    <row r="95" spans="1:4" x14ac:dyDescent="0.4">
      <c r="A95" s="6">
        <v>490.57</v>
      </c>
      <c r="B95" s="43">
        <v>327405.55484290002</v>
      </c>
      <c r="C95" s="43">
        <v>332609.35424149001</v>
      </c>
      <c r="D95" s="43">
        <v>1947686.5958455999</v>
      </c>
    </row>
    <row r="96" spans="1:4" x14ac:dyDescent="0.4">
      <c r="A96" s="6">
        <v>490.56</v>
      </c>
      <c r="B96" s="43">
        <v>327145.07855089998</v>
      </c>
      <c r="C96" s="43">
        <v>332338.25114415999</v>
      </c>
      <c r="D96" s="43">
        <v>1944413.8610723999</v>
      </c>
    </row>
    <row r="97" spans="1:4" x14ac:dyDescent="0.4">
      <c r="A97" s="6">
        <v>490.55</v>
      </c>
      <c r="B97" s="43">
        <v>326885.02308820002</v>
      </c>
      <c r="C97" s="43">
        <v>332067.56211214</v>
      </c>
      <c r="D97" s="43">
        <v>1941143.7357828999</v>
      </c>
    </row>
    <row r="98" spans="1:4" x14ac:dyDescent="0.4">
      <c r="A98" s="6">
        <v>490.54</v>
      </c>
      <c r="B98" s="43">
        <v>326625.2604881</v>
      </c>
      <c r="C98" s="43">
        <v>331797.15932946</v>
      </c>
      <c r="D98" s="43">
        <v>1937876.1869852999</v>
      </c>
    </row>
    <row r="99" spans="1:4" x14ac:dyDescent="0.4">
      <c r="A99" s="6">
        <v>490.53</v>
      </c>
      <c r="B99" s="43">
        <v>326365.66345176002</v>
      </c>
      <c r="C99" s="43">
        <v>331526.91691099002</v>
      </c>
      <c r="D99" s="43">
        <v>1934611.1929909</v>
      </c>
    </row>
    <row r="100" spans="1:4" x14ac:dyDescent="0.4">
      <c r="A100" s="6">
        <v>490.52</v>
      </c>
      <c r="B100" s="43">
        <v>326106.29139502998</v>
      </c>
      <c r="C100" s="43">
        <v>331256.89304375998</v>
      </c>
      <c r="D100" s="43">
        <v>1931348.8182196</v>
      </c>
    </row>
    <row r="101" spans="1:4" x14ac:dyDescent="0.4">
      <c r="A101" s="6">
        <v>490.51</v>
      </c>
      <c r="B101" s="43">
        <v>325847.14215107</v>
      </c>
      <c r="C101" s="43">
        <v>330987.08401093999</v>
      </c>
      <c r="D101" s="43">
        <v>1928089.0695133</v>
      </c>
    </row>
    <row r="102" spans="1:4" x14ac:dyDescent="0.4">
      <c r="A102" s="6">
        <v>490.5</v>
      </c>
      <c r="B102" s="43">
        <v>325588.17431893997</v>
      </c>
      <c r="C102" s="43">
        <v>330717.44662313</v>
      </c>
      <c r="D102" s="43">
        <v>1924831.9059820999</v>
      </c>
    </row>
    <row r="103" spans="1:4" x14ac:dyDescent="0.4">
      <c r="A103" s="6">
        <v>490.49</v>
      </c>
      <c r="B103" s="43">
        <v>325329.53681150998</v>
      </c>
      <c r="C103" s="43">
        <v>330448.13197841001</v>
      </c>
      <c r="D103" s="43">
        <v>1921577.3328207</v>
      </c>
    </row>
    <row r="104" spans="1:4" x14ac:dyDescent="0.4">
      <c r="A104" s="6">
        <v>490.48</v>
      </c>
      <c r="B104" s="43">
        <v>325070.96122757997</v>
      </c>
      <c r="C104" s="43">
        <v>330178.87365840998</v>
      </c>
      <c r="D104" s="43">
        <v>1918325.2594951999</v>
      </c>
    </row>
    <row r="105" spans="1:4" x14ac:dyDescent="0.4">
      <c r="A105" s="6">
        <v>490.47</v>
      </c>
      <c r="B105" s="43">
        <v>324812.56339070998</v>
      </c>
      <c r="C105" s="43">
        <v>329909.78910195001</v>
      </c>
      <c r="D105" s="43">
        <v>1915075.8372718</v>
      </c>
    </row>
    <row r="106" spans="1:4" x14ac:dyDescent="0.4">
      <c r="A106" s="6">
        <v>490.46</v>
      </c>
      <c r="B106" s="43">
        <v>324554.23746431002</v>
      </c>
      <c r="C106" s="43">
        <v>329640.76873517002</v>
      </c>
      <c r="D106" s="43">
        <v>1911828.9223908</v>
      </c>
    </row>
    <row r="107" spans="1:4" x14ac:dyDescent="0.4">
      <c r="A107" s="6">
        <v>490.45</v>
      </c>
      <c r="B107" s="43">
        <v>324296.19840637001</v>
      </c>
      <c r="C107" s="43">
        <v>329372.02358913003</v>
      </c>
      <c r="D107" s="43">
        <v>1908584.6045798</v>
      </c>
    </row>
    <row r="108" spans="1:4" x14ac:dyDescent="0.4">
      <c r="A108" s="6">
        <v>490.44</v>
      </c>
      <c r="B108" s="43">
        <v>324038.37448736001</v>
      </c>
      <c r="C108" s="43">
        <v>329103.48172679002</v>
      </c>
      <c r="D108" s="43">
        <v>1905342.9537076</v>
      </c>
    </row>
    <row r="109" spans="1:4" x14ac:dyDescent="0.4">
      <c r="A109" s="6">
        <v>490.43</v>
      </c>
      <c r="B109" s="43">
        <v>323780.31346262002</v>
      </c>
      <c r="C109" s="43">
        <v>328834.69650193001</v>
      </c>
      <c r="D109" s="43">
        <v>1902103.8861231001</v>
      </c>
    </row>
    <row r="110" spans="1:4" x14ac:dyDescent="0.4">
      <c r="A110" s="6">
        <v>490.42</v>
      </c>
      <c r="B110" s="43">
        <v>323520.96327170997</v>
      </c>
      <c r="C110" s="43">
        <v>328564.61501970002</v>
      </c>
      <c r="D110" s="43">
        <v>1898867.3732509001</v>
      </c>
    </row>
    <row r="111" spans="1:4" x14ac:dyDescent="0.4">
      <c r="A111" s="6">
        <v>490.41</v>
      </c>
      <c r="B111" s="43">
        <v>323254.77032682003</v>
      </c>
      <c r="C111" s="43">
        <v>328287.69285594003</v>
      </c>
      <c r="D111" s="43">
        <v>1895633.4937094001</v>
      </c>
    </row>
    <row r="112" spans="1:4" x14ac:dyDescent="0.4">
      <c r="A112" s="6">
        <v>490.4</v>
      </c>
      <c r="B112" s="43">
        <v>322850.90351738001</v>
      </c>
      <c r="C112" s="43">
        <v>327873.17375458003</v>
      </c>
      <c r="D112" s="43">
        <v>1892402.5259835001</v>
      </c>
    </row>
    <row r="113" spans="1:4" x14ac:dyDescent="0.4">
      <c r="A113" s="6">
        <v>490.39</v>
      </c>
      <c r="B113" s="43">
        <v>321169.48549547</v>
      </c>
      <c r="C113" s="43">
        <v>326180.98925863998</v>
      </c>
      <c r="D113" s="43">
        <v>1889188.8624723</v>
      </c>
    </row>
    <row r="114" spans="1:4" x14ac:dyDescent="0.4">
      <c r="A114" s="6">
        <v>490.38</v>
      </c>
      <c r="B114" s="43">
        <v>320922.74637302</v>
      </c>
      <c r="C114" s="43">
        <v>325923.23154432001</v>
      </c>
      <c r="D114" s="43">
        <v>1885978.3210376</v>
      </c>
    </row>
    <row r="115" spans="1:4" x14ac:dyDescent="0.4">
      <c r="A115" s="6">
        <v>490.37</v>
      </c>
      <c r="B115" s="43">
        <v>320688.93035425001</v>
      </c>
      <c r="C115" s="43">
        <v>325678.25378093001</v>
      </c>
      <c r="D115" s="43">
        <v>1882770.2680796999</v>
      </c>
    </row>
    <row r="116" spans="1:4" x14ac:dyDescent="0.4">
      <c r="A116" s="6">
        <v>490.36</v>
      </c>
      <c r="B116" s="43">
        <v>320459.38467628002</v>
      </c>
      <c r="C116" s="43">
        <v>325437.45166274998</v>
      </c>
      <c r="D116" s="43">
        <v>1879564.5511644999</v>
      </c>
    </row>
    <row r="117" spans="1:4" x14ac:dyDescent="0.4">
      <c r="A117" s="6">
        <v>490.35</v>
      </c>
      <c r="B117" s="43">
        <v>320232.25391718</v>
      </c>
      <c r="C117" s="43">
        <v>325198.99067082</v>
      </c>
      <c r="D117" s="43">
        <v>1876361.0360789001</v>
      </c>
    </row>
    <row r="118" spans="1:4" x14ac:dyDescent="0.4">
      <c r="A118" s="6">
        <v>490.34</v>
      </c>
      <c r="B118" s="43">
        <v>320006.80870925001</v>
      </c>
      <c r="C118" s="43">
        <v>324962.16042675998</v>
      </c>
      <c r="D118" s="43">
        <v>1873159.8403145</v>
      </c>
    </row>
    <row r="119" spans="1:4" x14ac:dyDescent="0.4">
      <c r="A119" s="6">
        <v>490.33</v>
      </c>
      <c r="B119" s="43">
        <v>319782.64968491002</v>
      </c>
      <c r="C119" s="43">
        <v>324726.57383235003</v>
      </c>
      <c r="D119" s="43">
        <v>1869960.8721248</v>
      </c>
    </row>
    <row r="120" spans="1:4" x14ac:dyDescent="0.4">
      <c r="A120" s="6">
        <v>490.32</v>
      </c>
      <c r="B120" s="43">
        <v>319559.53947888</v>
      </c>
      <c r="C120" s="43">
        <v>324492.00281366002</v>
      </c>
      <c r="D120" s="43">
        <v>1866764.1746505001</v>
      </c>
    </row>
    <row r="121" spans="1:4" x14ac:dyDescent="0.4">
      <c r="A121" s="6">
        <v>490.31</v>
      </c>
      <c r="B121" s="43">
        <v>319337.45160134998</v>
      </c>
      <c r="C121" s="43">
        <v>324258.42899360001</v>
      </c>
      <c r="D121" s="43">
        <v>1863569.6882728001</v>
      </c>
    </row>
    <row r="122" spans="1:4" x14ac:dyDescent="0.4">
      <c r="A122" s="6">
        <v>490.3</v>
      </c>
      <c r="B122" s="43">
        <v>319116.11146963999</v>
      </c>
      <c r="C122" s="43">
        <v>324025.58344054001</v>
      </c>
      <c r="D122" s="43">
        <v>1860377.4493782001</v>
      </c>
    </row>
    <row r="123" spans="1:4" x14ac:dyDescent="0.4">
      <c r="A123" s="6">
        <v>490.29</v>
      </c>
      <c r="B123" s="43">
        <v>318895.49862695998</v>
      </c>
      <c r="C123" s="43">
        <v>323793.45032179001</v>
      </c>
      <c r="D123" s="43">
        <v>1857187.4190753</v>
      </c>
    </row>
    <row r="124" spans="1:4" x14ac:dyDescent="0.4">
      <c r="A124" s="6">
        <v>490.28</v>
      </c>
      <c r="B124" s="43">
        <v>318675.51763240999</v>
      </c>
      <c r="C124" s="43">
        <v>323561.94201055</v>
      </c>
      <c r="D124" s="43">
        <v>1853999.5281458001</v>
      </c>
    </row>
    <row r="125" spans="1:4" x14ac:dyDescent="0.4">
      <c r="A125" s="6">
        <v>490.27</v>
      </c>
      <c r="B125" s="43">
        <v>318456.17851873999</v>
      </c>
      <c r="C125" s="43">
        <v>323331.07232822001</v>
      </c>
      <c r="D125" s="43">
        <v>1850813.8687485</v>
      </c>
    </row>
    <row r="126" spans="1:4" x14ac:dyDescent="0.4">
      <c r="A126" s="6">
        <v>490.26</v>
      </c>
      <c r="B126" s="43">
        <v>318237.20207664999</v>
      </c>
      <c r="C126" s="43">
        <v>323100.56623827998</v>
      </c>
      <c r="D126" s="43">
        <v>1847630.4164268</v>
      </c>
    </row>
    <row r="127" spans="1:4" x14ac:dyDescent="0.4">
      <c r="A127" s="6">
        <v>490.25</v>
      </c>
      <c r="B127" s="43">
        <v>318018.65045343002</v>
      </c>
      <c r="C127" s="43">
        <v>322870.48857500998</v>
      </c>
      <c r="D127" s="43">
        <v>1844449.1287563001</v>
      </c>
    </row>
    <row r="128" spans="1:4" x14ac:dyDescent="0.4">
      <c r="A128" s="6">
        <v>490.24</v>
      </c>
      <c r="B128" s="43">
        <v>317800.07471131999</v>
      </c>
      <c r="C128" s="43">
        <v>322640.40455184999</v>
      </c>
      <c r="D128" s="43">
        <v>1841270.1013650999</v>
      </c>
    </row>
    <row r="129" spans="1:4" x14ac:dyDescent="0.4">
      <c r="A129" s="6">
        <v>490.23</v>
      </c>
      <c r="B129" s="43">
        <v>317580.14673743001</v>
      </c>
      <c r="C129" s="43">
        <v>322409.00736271997</v>
      </c>
      <c r="D129" s="43">
        <v>1838093.2536219</v>
      </c>
    </row>
    <row r="130" spans="1:4" x14ac:dyDescent="0.4">
      <c r="A130" s="6">
        <v>490.22</v>
      </c>
      <c r="B130" s="43">
        <v>317355.79962897999</v>
      </c>
      <c r="C130" s="43">
        <v>322173.25823838997</v>
      </c>
      <c r="D130" s="43">
        <v>1834918.6568183</v>
      </c>
    </row>
    <row r="131" spans="1:4" x14ac:dyDescent="0.4">
      <c r="A131" s="6">
        <v>490.21</v>
      </c>
      <c r="B131" s="43">
        <v>317117.27117674</v>
      </c>
      <c r="C131" s="43">
        <v>321923.44617924001</v>
      </c>
      <c r="D131" s="43">
        <v>1831746.3314547001</v>
      </c>
    </row>
    <row r="132" spans="1:4" x14ac:dyDescent="0.4">
      <c r="A132" s="6">
        <v>490.2</v>
      </c>
      <c r="B132" s="43">
        <v>315321.84388186003</v>
      </c>
      <c r="C132" s="43">
        <v>320116.97554146999</v>
      </c>
      <c r="D132" s="43">
        <v>1828576.6091322</v>
      </c>
    </row>
    <row r="133" spans="1:4" x14ac:dyDescent="0.4">
      <c r="A133" s="6">
        <v>490.19</v>
      </c>
      <c r="B133" s="43">
        <v>314985.29095639999</v>
      </c>
      <c r="C133" s="43">
        <v>319769.64608256001</v>
      </c>
      <c r="D133" s="43">
        <v>1825425.3189814</v>
      </c>
    </row>
    <row r="134" spans="1:4" x14ac:dyDescent="0.4">
      <c r="A134" s="6">
        <v>490.18</v>
      </c>
      <c r="B134" s="43">
        <v>314754.80334879999</v>
      </c>
      <c r="C134" s="43">
        <v>319528.30285475001</v>
      </c>
      <c r="D134" s="43">
        <v>1822276.6650491999</v>
      </c>
    </row>
    <row r="135" spans="1:4" x14ac:dyDescent="0.4">
      <c r="A135" s="6">
        <v>490.17</v>
      </c>
      <c r="B135" s="43">
        <v>314531.71502735</v>
      </c>
      <c r="C135" s="43">
        <v>319294.31954572001</v>
      </c>
      <c r="D135" s="43">
        <v>1819130.2569063001</v>
      </c>
    </row>
    <row r="136" spans="1:4" x14ac:dyDescent="0.4">
      <c r="A136" s="6">
        <v>490.16</v>
      </c>
      <c r="B136" s="43">
        <v>314312.10060568003</v>
      </c>
      <c r="C136" s="43">
        <v>319063.78908185998</v>
      </c>
      <c r="D136" s="43">
        <v>1815986.1206992001</v>
      </c>
    </row>
    <row r="137" spans="1:4" x14ac:dyDescent="0.4">
      <c r="A137" s="6">
        <v>490.15</v>
      </c>
      <c r="B137" s="43">
        <v>314095.25944717001</v>
      </c>
      <c r="C137" s="43">
        <v>318836.01442860998</v>
      </c>
      <c r="D137" s="43">
        <v>1812844.0720364</v>
      </c>
    </row>
    <row r="138" spans="1:4" x14ac:dyDescent="0.4">
      <c r="A138" s="6">
        <v>490.14</v>
      </c>
      <c r="B138" s="43">
        <v>313880.61339124001</v>
      </c>
      <c r="C138" s="43">
        <v>318610.42469149001</v>
      </c>
      <c r="D138" s="43">
        <v>1809704.1751995999</v>
      </c>
    </row>
    <row r="139" spans="1:4" x14ac:dyDescent="0.4">
      <c r="A139" s="6">
        <v>490.13</v>
      </c>
      <c r="B139" s="43">
        <v>313668.01564880001</v>
      </c>
      <c r="C139" s="43">
        <v>318386.87567053997</v>
      </c>
      <c r="D139" s="43">
        <v>1806566.4209614999</v>
      </c>
    </row>
    <row r="140" spans="1:4" x14ac:dyDescent="0.4">
      <c r="A140" s="6">
        <v>490.12</v>
      </c>
      <c r="B140" s="43">
        <v>313457.41778586002</v>
      </c>
      <c r="C140" s="43">
        <v>318165.32633923</v>
      </c>
      <c r="D140" s="43">
        <v>1803430.7613921</v>
      </c>
    </row>
    <row r="141" spans="1:4" x14ac:dyDescent="0.4">
      <c r="A141" s="6">
        <v>490.11</v>
      </c>
      <c r="B141" s="43">
        <v>313248.70322903001</v>
      </c>
      <c r="C141" s="43">
        <v>317945.66634891002</v>
      </c>
      <c r="D141" s="43">
        <v>1800297.2455358999</v>
      </c>
    </row>
    <row r="142" spans="1:4" x14ac:dyDescent="0.4">
      <c r="A142" s="6">
        <v>490.1</v>
      </c>
      <c r="B142" s="43">
        <v>313041.85312044999</v>
      </c>
      <c r="C142" s="43">
        <v>317727.87793556001</v>
      </c>
      <c r="D142" s="43">
        <v>1797165.7765730999</v>
      </c>
    </row>
    <row r="143" spans="1:4" x14ac:dyDescent="0.4">
      <c r="A143" s="6">
        <v>490.09</v>
      </c>
      <c r="B143" s="43">
        <v>312836.80828557</v>
      </c>
      <c r="C143" s="43">
        <v>317511.90621470002</v>
      </c>
      <c r="D143" s="43">
        <v>1794036.4193347001</v>
      </c>
    </row>
    <row r="144" spans="1:4" x14ac:dyDescent="0.4">
      <c r="A144" s="6">
        <v>490.08</v>
      </c>
      <c r="B144" s="43">
        <v>312633.50058753998</v>
      </c>
      <c r="C144" s="43">
        <v>317297.68851079</v>
      </c>
      <c r="D144" s="43">
        <v>1790909.1200431001</v>
      </c>
    </row>
    <row r="145" spans="1:4" x14ac:dyDescent="0.4">
      <c r="A145" s="6">
        <v>490.07</v>
      </c>
      <c r="B145" s="43">
        <v>312431.91614937998</v>
      </c>
      <c r="C145" s="43">
        <v>317085.21598029003</v>
      </c>
      <c r="D145" s="43">
        <v>1787783.8828942999</v>
      </c>
    </row>
    <row r="146" spans="1:4" x14ac:dyDescent="0.4">
      <c r="A146" s="6">
        <v>490.06</v>
      </c>
      <c r="B146" s="43">
        <v>312232.01997993002</v>
      </c>
      <c r="C146" s="43">
        <v>316874.45766736998</v>
      </c>
      <c r="D146" s="43">
        <v>1784660.6460547</v>
      </c>
    </row>
    <row r="147" spans="1:4" x14ac:dyDescent="0.4">
      <c r="A147" s="6">
        <v>490.05</v>
      </c>
      <c r="B147" s="43">
        <v>312033.48620615999</v>
      </c>
      <c r="C147" s="43">
        <v>316665.09337486001</v>
      </c>
      <c r="D147" s="43">
        <v>1781539.4187105999</v>
      </c>
    </row>
    <row r="148" spans="1:4" x14ac:dyDescent="0.4">
      <c r="A148" s="6">
        <v>490.04</v>
      </c>
      <c r="B148" s="43">
        <v>311835.94864282</v>
      </c>
      <c r="C148" s="43">
        <v>316456.77004738001</v>
      </c>
      <c r="D148" s="43">
        <v>1778420.125093</v>
      </c>
    </row>
    <row r="149" spans="1:4" x14ac:dyDescent="0.4">
      <c r="A149" s="6">
        <v>490.03</v>
      </c>
      <c r="B149" s="43">
        <v>311638.60947079997</v>
      </c>
      <c r="C149" s="43">
        <v>316248.70847767999</v>
      </c>
      <c r="D149" s="43">
        <v>1775302.8732425999</v>
      </c>
    </row>
    <row r="150" spans="1:4" x14ac:dyDescent="0.4">
      <c r="A150" s="6">
        <v>490.02</v>
      </c>
      <c r="B150" s="43">
        <v>311439.00234005001</v>
      </c>
      <c r="C150" s="43">
        <v>316038.46935095999</v>
      </c>
      <c r="D150" s="43">
        <v>1772187.5765015001</v>
      </c>
    </row>
    <row r="151" spans="1:4" x14ac:dyDescent="0.4">
      <c r="A151" s="6">
        <v>490.01</v>
      </c>
      <c r="B151" s="43">
        <v>311228.82997707999</v>
      </c>
      <c r="C151" s="43">
        <v>315817.80603292002</v>
      </c>
      <c r="D151" s="43">
        <v>1769074.3531835999</v>
      </c>
    </row>
    <row r="152" spans="1:4" x14ac:dyDescent="0.4">
      <c r="A152" s="6">
        <v>490</v>
      </c>
      <c r="B152" s="43">
        <v>310873.10328699002</v>
      </c>
      <c r="C152" s="43">
        <v>315451.85337180999</v>
      </c>
      <c r="D152" s="43">
        <v>1765963.5882999001</v>
      </c>
    </row>
    <row r="153" spans="1:4" x14ac:dyDescent="0.4">
      <c r="A153" s="6">
        <v>489.99</v>
      </c>
      <c r="B153" s="43">
        <v>309723.08514618</v>
      </c>
      <c r="C153" s="43">
        <v>314291.96234978002</v>
      </c>
      <c r="D153" s="43">
        <v>1762865.1589162999</v>
      </c>
    </row>
    <row r="154" spans="1:4" x14ac:dyDescent="0.4">
      <c r="A154" s="6">
        <v>489.98</v>
      </c>
      <c r="B154" s="43">
        <v>309549.18200854998</v>
      </c>
      <c r="C154" s="43">
        <v>314108.16425153997</v>
      </c>
      <c r="D154" s="43">
        <v>1759768.7362510001</v>
      </c>
    </row>
    <row r="155" spans="1:4" x14ac:dyDescent="0.4">
      <c r="A155" s="6">
        <v>489.97</v>
      </c>
      <c r="B155" s="43">
        <v>309379.56946447998</v>
      </c>
      <c r="C155" s="43">
        <v>313928.66438471002</v>
      </c>
      <c r="D155" s="43">
        <v>1756674.0791535999</v>
      </c>
    </row>
    <row r="156" spans="1:4" x14ac:dyDescent="0.4">
      <c r="A156" s="6">
        <v>489.96</v>
      </c>
      <c r="B156" s="43">
        <v>309211.16978161997</v>
      </c>
      <c r="C156" s="43">
        <v>313750.39529144001</v>
      </c>
      <c r="D156" s="43">
        <v>1753581.1481608001</v>
      </c>
    </row>
    <row r="157" spans="1:4" x14ac:dyDescent="0.4">
      <c r="A157" s="6">
        <v>489.95</v>
      </c>
      <c r="B157" s="43">
        <v>309043.52449500997</v>
      </c>
      <c r="C157" s="43">
        <v>313572.90000556002</v>
      </c>
      <c r="D157" s="43">
        <v>1750489.8990714001</v>
      </c>
    </row>
    <row r="158" spans="1:4" x14ac:dyDescent="0.4">
      <c r="A158" s="6">
        <v>489.94</v>
      </c>
      <c r="B158" s="43">
        <v>308876.43339088</v>
      </c>
      <c r="C158" s="43">
        <v>313395.97776987002</v>
      </c>
      <c r="D158" s="43">
        <v>1747400.294549</v>
      </c>
    </row>
    <row r="159" spans="1:4" x14ac:dyDescent="0.4">
      <c r="A159" s="6">
        <v>489.93</v>
      </c>
      <c r="B159" s="43">
        <v>308709.80517185002</v>
      </c>
      <c r="C159" s="43">
        <v>313219.53859353001</v>
      </c>
      <c r="D159" s="43">
        <v>1744312.3770924001</v>
      </c>
    </row>
    <row r="160" spans="1:4" x14ac:dyDescent="0.4">
      <c r="A160" s="6">
        <v>489.92</v>
      </c>
      <c r="B160" s="43">
        <v>308543.73717881</v>
      </c>
      <c r="C160" s="43">
        <v>313043.67627960001</v>
      </c>
      <c r="D160" s="43">
        <v>1741226.0555606</v>
      </c>
    </row>
    <row r="161" spans="1:4" x14ac:dyDescent="0.4">
      <c r="A161" s="6">
        <v>489.91</v>
      </c>
      <c r="B161" s="43">
        <v>308378.16819031001</v>
      </c>
      <c r="C161" s="43">
        <v>312868.33197205001</v>
      </c>
      <c r="D161" s="43">
        <v>1738141.5165156999</v>
      </c>
    </row>
    <row r="162" spans="1:4" x14ac:dyDescent="0.4">
      <c r="A162" s="6">
        <v>489.9</v>
      </c>
      <c r="B162" s="43">
        <v>308212.99207225</v>
      </c>
      <c r="C162" s="43">
        <v>312693.40051918</v>
      </c>
      <c r="D162" s="43">
        <v>1735058.5729155</v>
      </c>
    </row>
    <row r="163" spans="1:4" x14ac:dyDescent="0.4">
      <c r="A163" s="6">
        <v>489.89</v>
      </c>
      <c r="B163" s="43">
        <v>308048.30701076001</v>
      </c>
      <c r="C163" s="43">
        <v>312518.98199812003</v>
      </c>
      <c r="D163" s="43">
        <v>1731977.2619970001</v>
      </c>
    </row>
    <row r="164" spans="1:4" x14ac:dyDescent="0.4">
      <c r="A164" s="6">
        <v>489.88</v>
      </c>
      <c r="B164" s="43">
        <v>307884.01495713001</v>
      </c>
      <c r="C164" s="43">
        <v>312344.98163951997</v>
      </c>
      <c r="D164" s="43">
        <v>1728897.6614808999</v>
      </c>
    </row>
    <row r="165" spans="1:4" x14ac:dyDescent="0.4">
      <c r="A165" s="6">
        <v>489.87</v>
      </c>
      <c r="B165" s="43">
        <v>307720.13189096999</v>
      </c>
      <c r="C165" s="43">
        <v>312171.41862011002</v>
      </c>
      <c r="D165" s="43">
        <v>1725819.6938243001</v>
      </c>
    </row>
    <row r="166" spans="1:4" x14ac:dyDescent="0.4">
      <c r="A166" s="6">
        <v>489.86</v>
      </c>
      <c r="B166" s="43">
        <v>307556.42993468</v>
      </c>
      <c r="C166" s="43">
        <v>311998.07104698999</v>
      </c>
      <c r="D166" s="43">
        <v>1722743.3880805001</v>
      </c>
    </row>
    <row r="167" spans="1:4" x14ac:dyDescent="0.4">
      <c r="A167" s="6">
        <v>489.85</v>
      </c>
      <c r="B167" s="43">
        <v>307392.93448221002</v>
      </c>
      <c r="C167" s="43">
        <v>311824.96909297002</v>
      </c>
      <c r="D167" s="43">
        <v>1719668.7023854</v>
      </c>
    </row>
    <row r="168" spans="1:4" x14ac:dyDescent="0.4">
      <c r="A168" s="6">
        <v>489.84</v>
      </c>
      <c r="B168" s="43">
        <v>307229.23397305998</v>
      </c>
      <c r="C168" s="43">
        <v>311651.71286928997</v>
      </c>
      <c r="D168" s="43">
        <v>1716595.6600502999</v>
      </c>
    </row>
    <row r="169" spans="1:4" x14ac:dyDescent="0.4">
      <c r="A169" s="6">
        <v>489.83</v>
      </c>
      <c r="B169" s="43">
        <v>307064.80832528003</v>
      </c>
      <c r="C169" s="43">
        <v>311477.79807627999</v>
      </c>
      <c r="D169" s="43">
        <v>1713524.2337414999</v>
      </c>
    </row>
    <row r="170" spans="1:4" x14ac:dyDescent="0.4">
      <c r="A170" s="6">
        <v>489.82</v>
      </c>
      <c r="B170" s="43">
        <v>306897.98371017998</v>
      </c>
      <c r="C170" s="43">
        <v>311301.56955260999</v>
      </c>
      <c r="D170" s="43">
        <v>1710454.4363394</v>
      </c>
    </row>
    <row r="171" spans="1:4" x14ac:dyDescent="0.4">
      <c r="A171" s="6">
        <v>489.81</v>
      </c>
      <c r="B171" s="43">
        <v>306724.20454713999</v>
      </c>
      <c r="C171" s="43">
        <v>311118.50277486001</v>
      </c>
      <c r="D171" s="43">
        <v>1707386.3914466</v>
      </c>
    </row>
    <row r="172" spans="1:4" x14ac:dyDescent="0.4">
      <c r="A172" s="6">
        <v>489.8</v>
      </c>
      <c r="B172" s="43">
        <v>306471.52273604</v>
      </c>
      <c r="C172" s="43">
        <v>310856.71609544999</v>
      </c>
      <c r="D172" s="43">
        <v>1704320.2680112999</v>
      </c>
    </row>
    <row r="173" spans="1:4" x14ac:dyDescent="0.4">
      <c r="A173" s="6">
        <v>489.79</v>
      </c>
      <c r="B173" s="43">
        <v>305320.35851224</v>
      </c>
      <c r="C173" s="43">
        <v>309696.64513575</v>
      </c>
      <c r="D173" s="43">
        <v>1701265.987282</v>
      </c>
    </row>
    <row r="174" spans="1:4" x14ac:dyDescent="0.4">
      <c r="A174" s="6">
        <v>489.78</v>
      </c>
      <c r="B174" s="43">
        <v>305156.85341689998</v>
      </c>
      <c r="C174" s="43">
        <v>309524.23501320003</v>
      </c>
      <c r="D174" s="43">
        <v>1698213.6426939999</v>
      </c>
    </row>
    <row r="175" spans="1:4" x14ac:dyDescent="0.4">
      <c r="A175" s="6">
        <v>489.77</v>
      </c>
      <c r="B175" s="43">
        <v>304996.58932229999</v>
      </c>
      <c r="C175" s="43">
        <v>309355.08648107998</v>
      </c>
      <c r="D175" s="43">
        <v>1695162.8519716</v>
      </c>
    </row>
    <row r="176" spans="1:4" x14ac:dyDescent="0.4">
      <c r="A176" s="6">
        <v>489.76</v>
      </c>
      <c r="B176" s="43">
        <v>304837.6529778</v>
      </c>
      <c r="C176" s="43">
        <v>309187.29194685002</v>
      </c>
      <c r="D176" s="43">
        <v>1692113.6615758</v>
      </c>
    </row>
    <row r="177" spans="1:4" x14ac:dyDescent="0.4">
      <c r="A177" s="6">
        <v>489.75</v>
      </c>
      <c r="B177" s="43">
        <v>304679.54193439003</v>
      </c>
      <c r="C177" s="43">
        <v>309020.34433857998</v>
      </c>
      <c r="D177" s="43">
        <v>1689066.0691296</v>
      </c>
    </row>
    <row r="178" spans="1:4" x14ac:dyDescent="0.4">
      <c r="A178" s="6">
        <v>489.74</v>
      </c>
      <c r="B178" s="43">
        <v>304522.16932416998</v>
      </c>
      <c r="C178" s="43">
        <v>308854.15246899001</v>
      </c>
      <c r="D178" s="43">
        <v>1686020.0677447999</v>
      </c>
    </row>
    <row r="179" spans="1:4" x14ac:dyDescent="0.4">
      <c r="A179" s="6">
        <v>489.73</v>
      </c>
      <c r="B179" s="43">
        <v>304365.68827535002</v>
      </c>
      <c r="C179" s="43">
        <v>308688.86637588998</v>
      </c>
      <c r="D179" s="43">
        <v>1682975.6527668999</v>
      </c>
    </row>
    <row r="180" spans="1:4" x14ac:dyDescent="0.4">
      <c r="A180" s="6">
        <v>489.72</v>
      </c>
      <c r="B180" s="43">
        <v>304209.99183712999</v>
      </c>
      <c r="C180" s="43">
        <v>308524.37919995998</v>
      </c>
      <c r="D180" s="43">
        <v>1679932.8392743</v>
      </c>
    </row>
    <row r="181" spans="1:4" x14ac:dyDescent="0.4">
      <c r="A181" s="6">
        <v>489.71</v>
      </c>
      <c r="B181" s="43">
        <v>304055.10530310997</v>
      </c>
      <c r="C181" s="43">
        <v>308360.71577983</v>
      </c>
      <c r="D181" s="43">
        <v>1676891.4600323001</v>
      </c>
    </row>
    <row r="182" spans="1:4" x14ac:dyDescent="0.4">
      <c r="A182" s="6">
        <v>489.7</v>
      </c>
      <c r="B182" s="43">
        <v>303901.08838575002</v>
      </c>
      <c r="C182" s="43">
        <v>308197.93688568001</v>
      </c>
      <c r="D182" s="43">
        <v>1673851.7406957999</v>
      </c>
    </row>
    <row r="183" spans="1:4" x14ac:dyDescent="0.4">
      <c r="A183" s="6">
        <v>489.69</v>
      </c>
      <c r="B183" s="43">
        <v>303747.80780521</v>
      </c>
      <c r="C183" s="43">
        <v>308035.91147454001</v>
      </c>
      <c r="D183" s="43">
        <v>1670813.4823932</v>
      </c>
    </row>
    <row r="184" spans="1:4" x14ac:dyDescent="0.4">
      <c r="A184" s="6">
        <v>489.68</v>
      </c>
      <c r="B184" s="43">
        <v>303595.38937187003</v>
      </c>
      <c r="C184" s="43">
        <v>307874.76419277</v>
      </c>
      <c r="D184" s="43">
        <v>1667776.8298905001</v>
      </c>
    </row>
    <row r="185" spans="1:4" x14ac:dyDescent="0.4">
      <c r="A185" s="6">
        <v>489.67</v>
      </c>
      <c r="B185" s="43">
        <v>303443.85399183998</v>
      </c>
      <c r="C185" s="43">
        <v>307714.51893954998</v>
      </c>
      <c r="D185" s="43">
        <v>1664741.6725651</v>
      </c>
    </row>
    <row r="186" spans="1:4" x14ac:dyDescent="0.4">
      <c r="A186" s="6">
        <v>489.66</v>
      </c>
      <c r="B186" s="43">
        <v>303293.11472789</v>
      </c>
      <c r="C186" s="43">
        <v>307555.09228684002</v>
      </c>
      <c r="D186" s="43">
        <v>1661708.0167960001</v>
      </c>
    </row>
    <row r="187" spans="1:4" x14ac:dyDescent="0.4">
      <c r="A187" s="6">
        <v>489.65</v>
      </c>
      <c r="B187" s="43">
        <v>303142.78687538998</v>
      </c>
      <c r="C187" s="43">
        <v>307396.10862457001</v>
      </c>
      <c r="D187" s="43">
        <v>1658675.7961476</v>
      </c>
    </row>
    <row r="188" spans="1:4" x14ac:dyDescent="0.4">
      <c r="A188" s="6">
        <v>489.64</v>
      </c>
      <c r="B188" s="43">
        <v>302992.54288940999</v>
      </c>
      <c r="C188" s="43">
        <v>307237.25027043</v>
      </c>
      <c r="D188" s="43">
        <v>1655645.1614623</v>
      </c>
    </row>
    <row r="189" spans="1:4" x14ac:dyDescent="0.4">
      <c r="A189" s="6">
        <v>489.63</v>
      </c>
      <c r="B189" s="43">
        <v>302841.51787648001</v>
      </c>
      <c r="C189" s="43">
        <v>307077.67048739002</v>
      </c>
      <c r="D189" s="43">
        <v>1652616.006085</v>
      </c>
    </row>
    <row r="190" spans="1:4" x14ac:dyDescent="0.4">
      <c r="A190" s="6">
        <v>489.62</v>
      </c>
      <c r="B190" s="43">
        <v>302687.78228301002</v>
      </c>
      <c r="C190" s="43">
        <v>306915.46560122998</v>
      </c>
      <c r="D190" s="43">
        <v>1649588.4715396999</v>
      </c>
    </row>
    <row r="191" spans="1:4" x14ac:dyDescent="0.4">
      <c r="A191" s="6">
        <v>489.61</v>
      </c>
      <c r="B191" s="43">
        <v>302526.71820380999</v>
      </c>
      <c r="C191" s="43">
        <v>306746.05008754</v>
      </c>
      <c r="D191" s="43">
        <v>1646562.4785364</v>
      </c>
    </row>
    <row r="192" spans="1:4" x14ac:dyDescent="0.4">
      <c r="A192" s="6">
        <v>489.6</v>
      </c>
      <c r="B192" s="43">
        <v>301739.89109286002</v>
      </c>
      <c r="C192" s="43">
        <v>305951.06049556</v>
      </c>
      <c r="D192" s="43">
        <v>1643538.2164868</v>
      </c>
    </row>
    <row r="193" spans="1:4" x14ac:dyDescent="0.4">
      <c r="A193" s="6">
        <v>489.59</v>
      </c>
      <c r="B193" s="43">
        <v>301550.28196718002</v>
      </c>
      <c r="C193" s="43">
        <v>305753.58527401998</v>
      </c>
      <c r="D193" s="43">
        <v>1640521.8742392</v>
      </c>
    </row>
    <row r="194" spans="1:4" x14ac:dyDescent="0.4">
      <c r="A194" s="6">
        <v>489.58</v>
      </c>
      <c r="B194" s="43">
        <v>301394.81108971999</v>
      </c>
      <c r="C194" s="43">
        <v>305590.29657737998</v>
      </c>
      <c r="D194" s="43">
        <v>1637507.2197422001</v>
      </c>
    </row>
    <row r="195" spans="1:4" x14ac:dyDescent="0.4">
      <c r="A195" s="6">
        <v>489.57</v>
      </c>
      <c r="B195" s="43">
        <v>301239.44832113001</v>
      </c>
      <c r="C195" s="43">
        <v>305427.14752752002</v>
      </c>
      <c r="D195" s="43">
        <v>1634494.0165124</v>
      </c>
    </row>
    <row r="196" spans="1:4" x14ac:dyDescent="0.4">
      <c r="A196" s="6">
        <v>489.56</v>
      </c>
      <c r="B196" s="43">
        <v>301084.16214669001</v>
      </c>
      <c r="C196" s="43">
        <v>305264.09130291</v>
      </c>
      <c r="D196" s="43">
        <v>1631482.3951737999</v>
      </c>
    </row>
    <row r="197" spans="1:4" x14ac:dyDescent="0.4">
      <c r="A197" s="6">
        <v>489.55</v>
      </c>
      <c r="B197" s="43">
        <v>300929.40521415003</v>
      </c>
      <c r="C197" s="43">
        <v>305101.57283528999</v>
      </c>
      <c r="D197" s="43">
        <v>1628472.3057533</v>
      </c>
    </row>
    <row r="198" spans="1:4" x14ac:dyDescent="0.4">
      <c r="A198" s="6">
        <v>489.54</v>
      </c>
      <c r="B198" s="43">
        <v>300775.25974926999</v>
      </c>
      <c r="C198" s="43">
        <v>304939.66555141</v>
      </c>
      <c r="D198" s="43">
        <v>1625463.7590197001</v>
      </c>
    </row>
    <row r="199" spans="1:4" x14ac:dyDescent="0.4">
      <c r="A199" s="6">
        <v>489.53</v>
      </c>
      <c r="B199" s="43">
        <v>300621.71354973002</v>
      </c>
      <c r="C199" s="43">
        <v>304778.34940865001</v>
      </c>
      <c r="D199" s="43">
        <v>1622456.7729032</v>
      </c>
    </row>
    <row r="200" spans="1:4" x14ac:dyDescent="0.4">
      <c r="A200" s="6">
        <v>489.52</v>
      </c>
      <c r="B200" s="43">
        <v>300468.72284038999</v>
      </c>
      <c r="C200" s="43">
        <v>304617.57858125999</v>
      </c>
      <c r="D200" s="43">
        <v>1619451.3170382001</v>
      </c>
    </row>
    <row r="201" spans="1:4" x14ac:dyDescent="0.4">
      <c r="A201" s="6">
        <v>489.51</v>
      </c>
      <c r="B201" s="43">
        <v>300316.29618763999</v>
      </c>
      <c r="C201" s="43">
        <v>304457.35831816</v>
      </c>
      <c r="D201" s="43">
        <v>1616447.3000028001</v>
      </c>
    </row>
    <row r="202" spans="1:4" x14ac:dyDescent="0.4">
      <c r="A202" s="6">
        <v>489.5</v>
      </c>
      <c r="B202" s="43">
        <v>300164.52862608997</v>
      </c>
      <c r="C202" s="43">
        <v>304297.78373954998</v>
      </c>
      <c r="D202" s="43">
        <v>1613444.9319479</v>
      </c>
    </row>
    <row r="203" spans="1:4" x14ac:dyDescent="0.4">
      <c r="A203" s="6">
        <v>489.49</v>
      </c>
      <c r="B203" s="43">
        <v>300013.27591264999</v>
      </c>
      <c r="C203" s="43">
        <v>304138.71103042999</v>
      </c>
      <c r="D203" s="43">
        <v>1610444.0173450999</v>
      </c>
    </row>
    <row r="204" spans="1:4" x14ac:dyDescent="0.4">
      <c r="A204" s="6">
        <v>489.48</v>
      </c>
      <c r="B204" s="43">
        <v>299862.58622434997</v>
      </c>
      <c r="C204" s="43">
        <v>303980.18800423999</v>
      </c>
      <c r="D204" s="43">
        <v>1607444.5930315</v>
      </c>
    </row>
    <row r="205" spans="1:4" x14ac:dyDescent="0.4">
      <c r="A205" s="6">
        <v>489.47</v>
      </c>
      <c r="B205" s="43">
        <v>299712.50264577998</v>
      </c>
      <c r="C205" s="43">
        <v>303822.25753896998</v>
      </c>
      <c r="D205" s="43">
        <v>1604446.7185633001</v>
      </c>
    </row>
    <row r="206" spans="1:4" x14ac:dyDescent="0.4">
      <c r="A206" s="6">
        <v>489.46</v>
      </c>
      <c r="B206" s="43">
        <v>299562.93609427998</v>
      </c>
      <c r="C206" s="43">
        <v>303664.83203245001</v>
      </c>
      <c r="D206" s="43">
        <v>1601450.3446649001</v>
      </c>
    </row>
    <row r="207" spans="1:4" x14ac:dyDescent="0.4">
      <c r="A207" s="6">
        <v>489.45</v>
      </c>
      <c r="B207" s="43">
        <v>299413.77408840001</v>
      </c>
      <c r="C207" s="43">
        <v>303507.80102545</v>
      </c>
      <c r="D207" s="43">
        <v>1598455.4724357</v>
      </c>
    </row>
    <row r="208" spans="1:4" x14ac:dyDescent="0.4">
      <c r="A208" s="6">
        <v>489.44</v>
      </c>
      <c r="B208" s="43">
        <v>299264.86806601001</v>
      </c>
      <c r="C208" s="43">
        <v>303351.01902334002</v>
      </c>
      <c r="D208" s="43">
        <v>1595462.0162962</v>
      </c>
    </row>
    <row r="209" spans="1:4" x14ac:dyDescent="0.4">
      <c r="A209" s="6">
        <v>489.43</v>
      </c>
      <c r="B209" s="43">
        <v>299115.74350962997</v>
      </c>
      <c r="C209" s="43">
        <v>303194.01770641998</v>
      </c>
      <c r="D209" s="43">
        <v>1592470.1267521</v>
      </c>
    </row>
    <row r="210" spans="1:4" x14ac:dyDescent="0.4">
      <c r="A210" s="6">
        <v>489.42</v>
      </c>
      <c r="B210" s="43">
        <v>298964.85865006002</v>
      </c>
      <c r="C210" s="43">
        <v>303035.26730682002</v>
      </c>
      <c r="D210" s="43">
        <v>1589479.7778058001</v>
      </c>
    </row>
    <row r="211" spans="1:4" x14ac:dyDescent="0.4">
      <c r="A211" s="6">
        <v>489.41</v>
      </c>
      <c r="B211" s="43">
        <v>298806.56880163</v>
      </c>
      <c r="C211" s="43">
        <v>302869.14575137</v>
      </c>
      <c r="D211" s="43">
        <v>1586490.9615756001</v>
      </c>
    </row>
    <row r="212" spans="1:4" x14ac:dyDescent="0.4">
      <c r="A212" s="6">
        <v>489.4</v>
      </c>
      <c r="B212" s="43">
        <v>298551.84888248</v>
      </c>
      <c r="C212" s="43">
        <v>302606.70097837999</v>
      </c>
      <c r="D212" s="43">
        <v>1583503.9153777</v>
      </c>
    </row>
    <row r="213" spans="1:4" x14ac:dyDescent="0.4">
      <c r="A213" s="6">
        <v>489.39</v>
      </c>
      <c r="B213" s="43">
        <v>296838.12705052999</v>
      </c>
      <c r="C213" s="43">
        <v>300885.36238224001</v>
      </c>
      <c r="D213" s="43">
        <v>1580534.3602253001</v>
      </c>
    </row>
    <row r="214" spans="1:4" x14ac:dyDescent="0.4">
      <c r="A214" s="6">
        <v>489.38</v>
      </c>
      <c r="B214" s="43">
        <v>296660.45488629001</v>
      </c>
      <c r="C214" s="43">
        <v>300699.99401317001</v>
      </c>
      <c r="D214" s="43">
        <v>1577566.8349081001</v>
      </c>
    </row>
    <row r="215" spans="1:4" x14ac:dyDescent="0.4">
      <c r="A215" s="6">
        <v>489.37</v>
      </c>
      <c r="B215" s="43">
        <v>296487.22539004002</v>
      </c>
      <c r="C215" s="43">
        <v>300519.01884839003</v>
      </c>
      <c r="D215" s="43">
        <v>1574601.0268989</v>
      </c>
    </row>
    <row r="216" spans="1:4" x14ac:dyDescent="0.4">
      <c r="A216" s="6">
        <v>489.36</v>
      </c>
      <c r="B216" s="43">
        <v>296316.63673658</v>
      </c>
      <c r="C216" s="43">
        <v>300340.64130463998</v>
      </c>
      <c r="D216" s="43">
        <v>1571636.9871561001</v>
      </c>
    </row>
    <row r="217" spans="1:4" x14ac:dyDescent="0.4">
      <c r="A217" s="6">
        <v>489.35</v>
      </c>
      <c r="B217" s="43">
        <v>296148.24972432997</v>
      </c>
      <c r="C217" s="43">
        <v>300164.43016871001</v>
      </c>
      <c r="D217" s="43">
        <v>1568674.6777429001</v>
      </c>
    </row>
    <row r="218" spans="1:4" x14ac:dyDescent="0.4">
      <c r="A218" s="6">
        <v>489.34</v>
      </c>
      <c r="B218" s="43">
        <v>295981.95013478003</v>
      </c>
      <c r="C218" s="43">
        <v>299990.27349201002</v>
      </c>
      <c r="D218" s="43">
        <v>1565714.0163253001</v>
      </c>
    </row>
    <row r="219" spans="1:4" x14ac:dyDescent="0.4">
      <c r="A219" s="6">
        <v>489.33</v>
      </c>
      <c r="B219" s="43">
        <v>295817.76531036</v>
      </c>
      <c r="C219" s="43">
        <v>299818.19878482999</v>
      </c>
      <c r="D219" s="43">
        <v>1562754.9976625999</v>
      </c>
    </row>
    <row r="220" spans="1:4" x14ac:dyDescent="0.4">
      <c r="A220" s="6">
        <v>489.32</v>
      </c>
      <c r="B220" s="43">
        <v>295655.50279619999</v>
      </c>
      <c r="C220" s="43">
        <v>299648.01709243999</v>
      </c>
      <c r="D220" s="43">
        <v>1559797.5867667</v>
      </c>
    </row>
    <row r="221" spans="1:4" x14ac:dyDescent="0.4">
      <c r="A221" s="6">
        <v>489.31</v>
      </c>
      <c r="B221" s="43">
        <v>295495.20580663002</v>
      </c>
      <c r="C221" s="43">
        <v>299479.77340874</v>
      </c>
      <c r="D221" s="43">
        <v>1556841.7987323001</v>
      </c>
    </row>
    <row r="222" spans="1:4" x14ac:dyDescent="0.4">
      <c r="A222" s="6">
        <v>489.3</v>
      </c>
      <c r="B222" s="43">
        <v>295336.95740982</v>
      </c>
      <c r="C222" s="43">
        <v>299313.55165211001</v>
      </c>
      <c r="D222" s="43">
        <v>1553887.6114459001</v>
      </c>
    </row>
    <row r="223" spans="1:4" x14ac:dyDescent="0.4">
      <c r="A223" s="6">
        <v>489.29</v>
      </c>
      <c r="B223" s="43">
        <v>295180.72458222002</v>
      </c>
      <c r="C223" s="43">
        <v>299149.32228616002</v>
      </c>
      <c r="D223" s="43">
        <v>1550934.9520858</v>
      </c>
    </row>
    <row r="224" spans="1:4" x14ac:dyDescent="0.4">
      <c r="A224" s="6">
        <v>489.28</v>
      </c>
      <c r="B224" s="43">
        <v>295026.38830912998</v>
      </c>
      <c r="C224" s="43">
        <v>298986.96547051001</v>
      </c>
      <c r="D224" s="43">
        <v>1547983.8767253</v>
      </c>
    </row>
    <row r="225" spans="1:4" x14ac:dyDescent="0.4">
      <c r="A225" s="6">
        <v>489.27</v>
      </c>
      <c r="B225" s="43">
        <v>294874.00895346003</v>
      </c>
      <c r="C225" s="43">
        <v>298826.54151434998</v>
      </c>
      <c r="D225" s="43">
        <v>1545034.3582923999</v>
      </c>
    </row>
    <row r="226" spans="1:4" x14ac:dyDescent="0.4">
      <c r="A226" s="6">
        <v>489.26</v>
      </c>
      <c r="B226" s="43">
        <v>294723.85654548998</v>
      </c>
      <c r="C226" s="43">
        <v>298668.31744710001</v>
      </c>
      <c r="D226" s="43">
        <v>1542086.3609643001</v>
      </c>
    </row>
    <row r="227" spans="1:4" x14ac:dyDescent="0.4">
      <c r="A227" s="6">
        <v>489.25</v>
      </c>
      <c r="B227" s="43">
        <v>294575.62108547997</v>
      </c>
      <c r="C227" s="43">
        <v>298511.98267907999</v>
      </c>
      <c r="D227" s="43">
        <v>1539139.8888639</v>
      </c>
    </row>
    <row r="228" spans="1:4" x14ac:dyDescent="0.4">
      <c r="A228" s="6">
        <v>489.24</v>
      </c>
      <c r="B228" s="43">
        <v>294429.47474266001</v>
      </c>
      <c r="C228" s="43">
        <v>298357.70636181999</v>
      </c>
      <c r="D228" s="43">
        <v>1536194.8351116001</v>
      </c>
    </row>
    <row r="229" spans="1:4" x14ac:dyDescent="0.4">
      <c r="A229" s="6">
        <v>489.23</v>
      </c>
      <c r="B229" s="43">
        <v>294285.58589727001</v>
      </c>
      <c r="C229" s="43">
        <v>298205.65395440999</v>
      </c>
      <c r="D229" s="43">
        <v>1533251.2254721001</v>
      </c>
    </row>
    <row r="230" spans="1:4" x14ac:dyDescent="0.4">
      <c r="A230" s="6">
        <v>489.22</v>
      </c>
      <c r="B230" s="43">
        <v>294144.15364713001</v>
      </c>
      <c r="C230" s="43">
        <v>298056.02163506002</v>
      </c>
      <c r="D230" s="43">
        <v>1530308.9801435999</v>
      </c>
    </row>
    <row r="231" spans="1:4" x14ac:dyDescent="0.4">
      <c r="A231" s="6">
        <v>489.21</v>
      </c>
      <c r="B231" s="43">
        <v>294005.70773942</v>
      </c>
      <c r="C231" s="43">
        <v>297909.33382544998</v>
      </c>
      <c r="D231" s="43">
        <v>1527368.2205113</v>
      </c>
    </row>
    <row r="232" spans="1:4" x14ac:dyDescent="0.4">
      <c r="A232" s="6">
        <v>489.2</v>
      </c>
      <c r="B232" s="43">
        <v>293447.44491387001</v>
      </c>
      <c r="C232" s="43">
        <v>297342.77621004998</v>
      </c>
      <c r="D232" s="43">
        <v>1524428.7714925001</v>
      </c>
    </row>
    <row r="233" spans="1:4" x14ac:dyDescent="0.4">
      <c r="A233" s="6">
        <v>489.19</v>
      </c>
      <c r="B233" s="43">
        <v>293343.90033395001</v>
      </c>
      <c r="C233" s="43">
        <v>297230.86911278003</v>
      </c>
      <c r="D233" s="43">
        <v>1521494.7669134</v>
      </c>
    </row>
    <row r="234" spans="1:4" x14ac:dyDescent="0.4">
      <c r="A234" s="6">
        <v>489.18</v>
      </c>
      <c r="B234" s="43">
        <v>293251.32336933998</v>
      </c>
      <c r="C234" s="43">
        <v>297129.86241821997</v>
      </c>
      <c r="D234" s="43">
        <v>1518561.7284057001</v>
      </c>
    </row>
    <row r="235" spans="1:4" x14ac:dyDescent="0.4">
      <c r="A235" s="6">
        <v>489.17</v>
      </c>
      <c r="B235" s="43">
        <v>293160.71954252</v>
      </c>
      <c r="C235" s="43">
        <v>297030.77520158002</v>
      </c>
      <c r="D235" s="43">
        <v>1515629.6565956001</v>
      </c>
    </row>
    <row r="236" spans="1:4" x14ac:dyDescent="0.4">
      <c r="A236" s="6">
        <v>489.16</v>
      </c>
      <c r="B236" s="43">
        <v>293071.14192562999</v>
      </c>
      <c r="C236" s="43">
        <v>296932.66918183002</v>
      </c>
      <c r="D236" s="43">
        <v>1512698.4514313</v>
      </c>
    </row>
    <row r="237" spans="1:4" x14ac:dyDescent="0.4">
      <c r="A237" s="6">
        <v>489.15</v>
      </c>
      <c r="B237" s="43">
        <v>292982.29930870002</v>
      </c>
      <c r="C237" s="43">
        <v>296835.25935573998</v>
      </c>
      <c r="D237" s="43">
        <v>1509768.1303164</v>
      </c>
    </row>
    <row r="238" spans="1:4" x14ac:dyDescent="0.4">
      <c r="A238" s="6">
        <v>489.14</v>
      </c>
      <c r="B238" s="43">
        <v>292894.00726849999</v>
      </c>
      <c r="C238" s="43">
        <v>296738.36514722998</v>
      </c>
      <c r="D238" s="43">
        <v>1506838.6950445999</v>
      </c>
    </row>
    <row r="239" spans="1:4" x14ac:dyDescent="0.4">
      <c r="A239" s="6">
        <v>489.13</v>
      </c>
      <c r="B239" s="43">
        <v>292806.26614796999</v>
      </c>
      <c r="C239" s="43">
        <v>296641.98757146002</v>
      </c>
      <c r="D239" s="43">
        <v>1503910.1094410999</v>
      </c>
    </row>
    <row r="240" spans="1:4" x14ac:dyDescent="0.4">
      <c r="A240" s="6">
        <v>489.12</v>
      </c>
      <c r="B240" s="43">
        <v>292719.10653712001</v>
      </c>
      <c r="C240" s="43">
        <v>296546.15708189999</v>
      </c>
      <c r="D240" s="43">
        <v>1500982.4454630001</v>
      </c>
    </row>
    <row r="241" spans="1:4" x14ac:dyDescent="0.4">
      <c r="A241" s="6">
        <v>489.11</v>
      </c>
      <c r="B241" s="43">
        <v>292632.50123872003</v>
      </c>
      <c r="C241" s="43">
        <v>296450.85027648002</v>
      </c>
      <c r="D241" s="43">
        <v>1498055.6269737999</v>
      </c>
    </row>
    <row r="242" spans="1:4" x14ac:dyDescent="0.4">
      <c r="A242" s="6">
        <v>489.1</v>
      </c>
      <c r="B242" s="43">
        <v>292546.43048821</v>
      </c>
      <c r="C242" s="43">
        <v>296356.04930144001</v>
      </c>
      <c r="D242" s="43">
        <v>1495129.7332866001</v>
      </c>
    </row>
    <row r="243" spans="1:4" x14ac:dyDescent="0.4">
      <c r="A243" s="6">
        <v>489.09</v>
      </c>
      <c r="B243" s="43">
        <v>292460.80522783002</v>
      </c>
      <c r="C243" s="43">
        <v>296261.66761354002</v>
      </c>
      <c r="D243" s="43">
        <v>1492204.6968381</v>
      </c>
    </row>
    <row r="244" spans="1:4" x14ac:dyDescent="0.4">
      <c r="A244" s="6">
        <v>489.08</v>
      </c>
      <c r="B244" s="43">
        <v>292375.64253938</v>
      </c>
      <c r="C244" s="43">
        <v>296167.72282991</v>
      </c>
      <c r="D244" s="43">
        <v>1489280.5058156999</v>
      </c>
    </row>
    <row r="245" spans="1:4" x14ac:dyDescent="0.4">
      <c r="A245" s="6">
        <v>489.07</v>
      </c>
      <c r="B245" s="43">
        <v>292291.02279984002</v>
      </c>
      <c r="C245" s="43">
        <v>296074.29375769</v>
      </c>
      <c r="D245" s="43">
        <v>1486357.1560400999</v>
      </c>
    </row>
    <row r="246" spans="1:4" x14ac:dyDescent="0.4">
      <c r="A246" s="6">
        <v>489.06</v>
      </c>
      <c r="B246" s="43">
        <v>292206.87485342001</v>
      </c>
      <c r="C246" s="43">
        <v>295981.31187148002</v>
      </c>
      <c r="D246" s="43">
        <v>1483434.6079883999</v>
      </c>
    </row>
    <row r="247" spans="1:4" x14ac:dyDescent="0.4">
      <c r="A247" s="6">
        <v>489.05</v>
      </c>
      <c r="B247" s="43">
        <v>292123.19478133001</v>
      </c>
      <c r="C247" s="43">
        <v>295888.77402910998</v>
      </c>
      <c r="D247" s="43">
        <v>1480512.9900537001</v>
      </c>
    </row>
    <row r="248" spans="1:4" x14ac:dyDescent="0.4">
      <c r="A248" s="6">
        <v>489.04</v>
      </c>
      <c r="B248" s="43">
        <v>292039.94859638001</v>
      </c>
      <c r="C248" s="43">
        <v>295796.64575913001</v>
      </c>
      <c r="D248" s="43">
        <v>1477592.1420386999</v>
      </c>
    </row>
    <row r="249" spans="1:4" x14ac:dyDescent="0.4">
      <c r="A249" s="6">
        <v>489.03</v>
      </c>
      <c r="B249" s="43">
        <v>291957.11114446999</v>
      </c>
      <c r="C249" s="43">
        <v>295704.90226732002</v>
      </c>
      <c r="D249" s="43">
        <v>1474672.1813453001</v>
      </c>
    </row>
    <row r="250" spans="1:4" x14ac:dyDescent="0.4">
      <c r="A250" s="6">
        <v>489.02</v>
      </c>
      <c r="B250" s="43">
        <v>291874.74683422002</v>
      </c>
      <c r="C250" s="43">
        <v>295613.60825495003</v>
      </c>
      <c r="D250" s="43">
        <v>1471753.0165593999</v>
      </c>
    </row>
    <row r="251" spans="1:4" x14ac:dyDescent="0.4">
      <c r="A251" s="6">
        <v>489.01</v>
      </c>
      <c r="B251" s="43">
        <v>291792.88645026</v>
      </c>
      <c r="C251" s="43">
        <v>295522.79397992999</v>
      </c>
      <c r="D251" s="43">
        <v>1468834.6627917001</v>
      </c>
    </row>
    <row r="252" spans="1:4" x14ac:dyDescent="0.4">
      <c r="A252" s="6">
        <v>489</v>
      </c>
      <c r="B252" s="43">
        <v>291711.39380188001</v>
      </c>
      <c r="C252" s="43">
        <v>295432.32366787002</v>
      </c>
      <c r="D252" s="43">
        <v>1465917.1830561</v>
      </c>
    </row>
    <row r="253" spans="1:4" x14ac:dyDescent="0.4">
      <c r="A253" s="6">
        <v>488.99</v>
      </c>
      <c r="B253" s="43">
        <v>291629.97569635999</v>
      </c>
      <c r="C253" s="43">
        <v>295341.88876131002</v>
      </c>
      <c r="D253" s="43">
        <v>1463000.4388214001</v>
      </c>
    </row>
    <row r="254" spans="1:4" x14ac:dyDescent="0.4">
      <c r="A254" s="6">
        <v>488.98</v>
      </c>
      <c r="B254" s="43">
        <v>291549.89354213001</v>
      </c>
      <c r="C254" s="43">
        <v>295252.76104816003</v>
      </c>
      <c r="D254" s="43">
        <v>1460084.4867829001</v>
      </c>
    </row>
    <row r="255" spans="1:4" x14ac:dyDescent="0.4">
      <c r="A255" s="6">
        <v>488.97</v>
      </c>
      <c r="B255" s="43">
        <v>291470.25554320001</v>
      </c>
      <c r="C255" s="43">
        <v>295164.05366060999</v>
      </c>
      <c r="D255" s="43">
        <v>1457169.3844303</v>
      </c>
    </row>
    <row r="256" spans="1:4" x14ac:dyDescent="0.4">
      <c r="A256" s="6">
        <v>488.96</v>
      </c>
      <c r="B256" s="43">
        <v>291390.88598791999</v>
      </c>
      <c r="C256" s="43">
        <v>295075.59178784001</v>
      </c>
      <c r="D256" s="43">
        <v>1454255.0691730001</v>
      </c>
    </row>
    <row r="257" spans="1:4" x14ac:dyDescent="0.4">
      <c r="A257" s="6">
        <v>488.95</v>
      </c>
      <c r="B257" s="43">
        <v>291311.68709929998</v>
      </c>
      <c r="C257" s="43">
        <v>294987.27977294999</v>
      </c>
      <c r="D257" s="43">
        <v>1451341.5620411001</v>
      </c>
    </row>
    <row r="258" spans="1:4" x14ac:dyDescent="0.4">
      <c r="A258" s="6">
        <v>488.94</v>
      </c>
      <c r="B258" s="43">
        <v>291232.68019669998</v>
      </c>
      <c r="C258" s="43">
        <v>294899.13974443002</v>
      </c>
      <c r="D258" s="43">
        <v>1448428.8738585</v>
      </c>
    </row>
    <row r="259" spans="1:4" x14ac:dyDescent="0.4">
      <c r="A259" s="6">
        <v>488.93</v>
      </c>
      <c r="B259" s="43">
        <v>291153.86466754001</v>
      </c>
      <c r="C259" s="43">
        <v>294811.16968654998</v>
      </c>
      <c r="D259" s="43">
        <v>1445516.8740723</v>
      </c>
    </row>
    <row r="260" spans="1:4" x14ac:dyDescent="0.4">
      <c r="A260" s="6">
        <v>488.92</v>
      </c>
      <c r="B260" s="43">
        <v>291075.24987627001</v>
      </c>
      <c r="C260" s="43">
        <v>294723.38121755997</v>
      </c>
      <c r="D260" s="43">
        <v>1442605.7158015</v>
      </c>
    </row>
    <row r="261" spans="1:4" x14ac:dyDescent="0.4">
      <c r="A261" s="6">
        <v>488.91</v>
      </c>
      <c r="B261" s="43">
        <v>290996.79863944999</v>
      </c>
      <c r="C261" s="43">
        <v>294635.73809276999</v>
      </c>
      <c r="D261" s="43">
        <v>1439695.2819465001</v>
      </c>
    </row>
    <row r="262" spans="1:4" x14ac:dyDescent="0.4">
      <c r="A262" s="6">
        <v>488.9</v>
      </c>
      <c r="B262" s="43">
        <v>290918.55314857</v>
      </c>
      <c r="C262" s="43">
        <v>294548.28164846997</v>
      </c>
      <c r="D262" s="43">
        <v>1436785.6733049001</v>
      </c>
    </row>
    <row r="263" spans="1:4" x14ac:dyDescent="0.4">
      <c r="A263" s="6">
        <v>488.89</v>
      </c>
      <c r="B263" s="43">
        <v>290840.48570157</v>
      </c>
      <c r="C263" s="43">
        <v>294460.98574121</v>
      </c>
      <c r="D263" s="43">
        <v>1433876.8830075001</v>
      </c>
    </row>
    <row r="264" spans="1:4" x14ac:dyDescent="0.4">
      <c r="A264" s="6">
        <v>488.88</v>
      </c>
      <c r="B264" s="43">
        <v>290762.57673596998</v>
      </c>
      <c r="C264" s="43">
        <v>294373.83191175997</v>
      </c>
      <c r="D264" s="43">
        <v>1430968.8174983</v>
      </c>
    </row>
    <row r="265" spans="1:4" x14ac:dyDescent="0.4">
      <c r="A265" s="6">
        <v>488.87</v>
      </c>
      <c r="B265" s="43">
        <v>290684.87634716998</v>
      </c>
      <c r="C265" s="43">
        <v>294286.87105741998</v>
      </c>
      <c r="D265" s="43">
        <v>1428061.5598544001</v>
      </c>
    </row>
    <row r="266" spans="1:4" x14ac:dyDescent="0.4">
      <c r="A266" s="6">
        <v>488.86</v>
      </c>
      <c r="B266" s="43">
        <v>290607.31934001</v>
      </c>
      <c r="C266" s="43">
        <v>294200.03843180998</v>
      </c>
      <c r="D266" s="43">
        <v>1425155.0669104999</v>
      </c>
    </row>
    <row r="267" spans="1:4" x14ac:dyDescent="0.4">
      <c r="A267" s="6">
        <v>488.85</v>
      </c>
      <c r="B267" s="43">
        <v>290529.93706361001</v>
      </c>
      <c r="C267" s="43">
        <v>294113.36544795998</v>
      </c>
      <c r="D267" s="43">
        <v>1422249.3957137</v>
      </c>
    </row>
    <row r="268" spans="1:4" x14ac:dyDescent="0.4">
      <c r="A268" s="6">
        <v>488.84</v>
      </c>
      <c r="B268" s="43">
        <v>290452.73885620001</v>
      </c>
      <c r="C268" s="43">
        <v>294026.86182989</v>
      </c>
      <c r="D268" s="43">
        <v>1419344.4679610999</v>
      </c>
    </row>
    <row r="269" spans="1:4" x14ac:dyDescent="0.4">
      <c r="A269" s="6">
        <v>488.83</v>
      </c>
      <c r="B269" s="43">
        <v>290375.70003921998</v>
      </c>
      <c r="C269" s="43">
        <v>293940.50507093</v>
      </c>
      <c r="D269" s="43">
        <v>1416440.2927267</v>
      </c>
    </row>
    <row r="270" spans="1:4" x14ac:dyDescent="0.4">
      <c r="A270" s="6">
        <v>488.82</v>
      </c>
      <c r="B270" s="43">
        <v>290298.82125684997</v>
      </c>
      <c r="C270" s="43">
        <v>293854.29550006997</v>
      </c>
      <c r="D270" s="43">
        <v>1413536.9222839</v>
      </c>
    </row>
    <row r="271" spans="1:4" x14ac:dyDescent="0.4">
      <c r="A271" s="6">
        <v>488.81</v>
      </c>
      <c r="B271" s="43">
        <v>290222.06524005003</v>
      </c>
      <c r="C271" s="43">
        <v>293768.19722882</v>
      </c>
      <c r="D271" s="43">
        <v>1410634.2644525999</v>
      </c>
    </row>
    <row r="272" spans="1:4" x14ac:dyDescent="0.4">
      <c r="A272" s="6">
        <v>488.8</v>
      </c>
      <c r="B272" s="43">
        <v>290145.45393880998</v>
      </c>
      <c r="C272" s="43">
        <v>293682.23248226999</v>
      </c>
      <c r="D272" s="43">
        <v>1407732.4119656</v>
      </c>
    </row>
    <row r="273" spans="1:4" x14ac:dyDescent="0.4">
      <c r="A273" s="6">
        <v>488.79</v>
      </c>
      <c r="B273" s="43">
        <v>290069.01590940001</v>
      </c>
      <c r="C273" s="43">
        <v>293596.43049576</v>
      </c>
      <c r="D273" s="43">
        <v>1404831.3032068999</v>
      </c>
    </row>
    <row r="274" spans="1:4" x14ac:dyDescent="0.4">
      <c r="A274" s="6">
        <v>488.78</v>
      </c>
      <c r="B274" s="43">
        <v>289992.86630174</v>
      </c>
      <c r="C274" s="43">
        <v>293510.90551795001</v>
      </c>
      <c r="D274" s="43">
        <v>1401930.9575960001</v>
      </c>
    </row>
    <row r="275" spans="1:4" x14ac:dyDescent="0.4">
      <c r="A275" s="6">
        <v>488.77</v>
      </c>
      <c r="B275" s="43">
        <v>289916.86606615997</v>
      </c>
      <c r="C275" s="43">
        <v>293425.51935447002</v>
      </c>
      <c r="D275" s="43">
        <v>1399031.4112871999</v>
      </c>
    </row>
    <row r="276" spans="1:4" x14ac:dyDescent="0.4">
      <c r="A276" s="6">
        <v>488.76</v>
      </c>
      <c r="B276" s="43">
        <v>289840.96597849001</v>
      </c>
      <c r="C276" s="43">
        <v>293340.22312147002</v>
      </c>
      <c r="D276" s="43">
        <v>1396132.6544669</v>
      </c>
    </row>
    <row r="277" spans="1:4" x14ac:dyDescent="0.4">
      <c r="A277" s="6">
        <v>488.75</v>
      </c>
      <c r="B277" s="43">
        <v>289765.19390198</v>
      </c>
      <c r="C277" s="43">
        <v>293255.04366169003</v>
      </c>
      <c r="D277" s="43">
        <v>1393234.6316032</v>
      </c>
    </row>
    <row r="278" spans="1:4" x14ac:dyDescent="0.4">
      <c r="A278" s="6">
        <v>488.74</v>
      </c>
      <c r="B278" s="43">
        <v>289689.54640971997</v>
      </c>
      <c r="C278" s="43">
        <v>293169.97531338001</v>
      </c>
      <c r="D278" s="43">
        <v>1390337.3398593001</v>
      </c>
    </row>
    <row r="279" spans="1:4" x14ac:dyDescent="0.4">
      <c r="A279" s="6">
        <v>488.73</v>
      </c>
      <c r="B279" s="43">
        <v>289614.00595040002</v>
      </c>
      <c r="C279" s="43">
        <v>293085.00313269999</v>
      </c>
      <c r="D279" s="43">
        <v>1387440.8647572</v>
      </c>
    </row>
    <row r="280" spans="1:4" x14ac:dyDescent="0.4">
      <c r="A280" s="6">
        <v>488.72</v>
      </c>
      <c r="B280" s="43">
        <v>289538.59275021002</v>
      </c>
      <c r="C280" s="43">
        <v>293000.14754759998</v>
      </c>
      <c r="D280" s="43">
        <v>1384545.0927503</v>
      </c>
    </row>
    <row r="281" spans="1:4" x14ac:dyDescent="0.4">
      <c r="A281" s="6">
        <v>488.71</v>
      </c>
      <c r="B281" s="43">
        <v>289463.33263960999</v>
      </c>
      <c r="C281" s="43">
        <v>292915.43540875998</v>
      </c>
      <c r="D281" s="43">
        <v>1381650.071854</v>
      </c>
    </row>
    <row r="282" spans="1:4" x14ac:dyDescent="0.4">
      <c r="A282" s="6">
        <v>488.7</v>
      </c>
      <c r="B282" s="43">
        <v>289388.16373181</v>
      </c>
      <c r="C282" s="43">
        <v>292830.80479153001</v>
      </c>
      <c r="D282" s="43">
        <v>1378755.8348425999</v>
      </c>
    </row>
    <row r="283" spans="1:4" x14ac:dyDescent="0.4">
      <c r="A283" s="6">
        <v>488.69</v>
      </c>
      <c r="B283" s="43">
        <v>289313.10567084001</v>
      </c>
      <c r="C283" s="43">
        <v>292746.27664514002</v>
      </c>
      <c r="D283" s="43">
        <v>1375862.3110326999</v>
      </c>
    </row>
    <row r="284" spans="1:4" x14ac:dyDescent="0.4">
      <c r="A284" s="6">
        <v>488.68</v>
      </c>
      <c r="B284" s="43">
        <v>289238.15997566999</v>
      </c>
      <c r="C284" s="43">
        <v>292661.85347189999</v>
      </c>
      <c r="D284" s="43">
        <v>1372969.6331739</v>
      </c>
    </row>
    <row r="285" spans="1:4" x14ac:dyDescent="0.4">
      <c r="A285" s="6">
        <v>488.67</v>
      </c>
      <c r="B285" s="43">
        <v>289163.29959511</v>
      </c>
      <c r="C285" s="43">
        <v>292577.50841442001</v>
      </c>
      <c r="D285" s="43">
        <v>1370077.6250882</v>
      </c>
    </row>
    <row r="286" spans="1:4" x14ac:dyDescent="0.4">
      <c r="A286" s="6">
        <v>488.66</v>
      </c>
      <c r="B286" s="43">
        <v>289088.54970740998</v>
      </c>
      <c r="C286" s="43">
        <v>292493.26577393</v>
      </c>
      <c r="D286" s="43">
        <v>1367186.3441059</v>
      </c>
    </row>
    <row r="287" spans="1:4" x14ac:dyDescent="0.4">
      <c r="A287" s="6">
        <v>488.65</v>
      </c>
      <c r="B287" s="43">
        <v>289013.89596012997</v>
      </c>
      <c r="C287" s="43">
        <v>292409.11127955001</v>
      </c>
      <c r="D287" s="43">
        <v>1364295.8432312999</v>
      </c>
    </row>
    <row r="288" spans="1:4" x14ac:dyDescent="0.4">
      <c r="A288" s="6">
        <v>488.64</v>
      </c>
      <c r="B288" s="43">
        <v>288939.37116718001</v>
      </c>
      <c r="C288" s="43">
        <v>292325.07958876999</v>
      </c>
      <c r="D288" s="43">
        <v>1361406.0363445</v>
      </c>
    </row>
    <row r="289" spans="1:4" x14ac:dyDescent="0.4">
      <c r="A289" s="6">
        <v>488.63</v>
      </c>
      <c r="B289" s="43">
        <v>288864.96946687001</v>
      </c>
      <c r="C289" s="43">
        <v>292241.16602166998</v>
      </c>
      <c r="D289" s="43">
        <v>1358517.0386471001</v>
      </c>
    </row>
    <row r="290" spans="1:4" x14ac:dyDescent="0.4">
      <c r="A290" s="6">
        <v>488.62</v>
      </c>
      <c r="B290" s="43">
        <v>288790.65623378003</v>
      </c>
      <c r="C290" s="43">
        <v>292157.33692486002</v>
      </c>
      <c r="D290" s="43">
        <v>1355628.7252801</v>
      </c>
    </row>
    <row r="291" spans="1:4" x14ac:dyDescent="0.4">
      <c r="A291" s="6">
        <v>488.61</v>
      </c>
      <c r="B291" s="43">
        <v>288716.49204945</v>
      </c>
      <c r="C291" s="43">
        <v>292073.65315602999</v>
      </c>
      <c r="D291" s="43">
        <v>1352741.2664208</v>
      </c>
    </row>
    <row r="292" spans="1:4" x14ac:dyDescent="0.4">
      <c r="A292" s="6">
        <v>488.6</v>
      </c>
      <c r="B292" s="43">
        <v>288642.42116950999</v>
      </c>
      <c r="C292" s="43">
        <v>291990.06115735997</v>
      </c>
      <c r="D292" s="43">
        <v>1349854.4726450001</v>
      </c>
    </row>
    <row r="293" spans="1:4" x14ac:dyDescent="0.4">
      <c r="A293" s="6">
        <v>488.59</v>
      </c>
      <c r="B293" s="43">
        <v>288568.41107268003</v>
      </c>
      <c r="C293" s="43">
        <v>291906.52544156997</v>
      </c>
      <c r="D293" s="43">
        <v>1346968.4341843999</v>
      </c>
    </row>
    <row r="294" spans="1:4" x14ac:dyDescent="0.4">
      <c r="A294" s="6">
        <v>488.58</v>
      </c>
      <c r="B294" s="43">
        <v>288494.53020500002</v>
      </c>
      <c r="C294" s="43">
        <v>291823.11642315</v>
      </c>
      <c r="D294" s="43">
        <v>1344083.1401392</v>
      </c>
    </row>
    <row r="295" spans="1:4" x14ac:dyDescent="0.4">
      <c r="A295" s="6">
        <v>488.57</v>
      </c>
      <c r="B295" s="43">
        <v>288420.71944386</v>
      </c>
      <c r="C295" s="43">
        <v>291739.77710206999</v>
      </c>
      <c r="D295" s="43">
        <v>1341198.5610088999</v>
      </c>
    </row>
    <row r="296" spans="1:4" x14ac:dyDescent="0.4">
      <c r="A296" s="6">
        <v>488.56</v>
      </c>
      <c r="B296" s="43">
        <v>288346.94793099997</v>
      </c>
      <c r="C296" s="43">
        <v>291656.47812242998</v>
      </c>
      <c r="D296" s="43">
        <v>1338314.7585372</v>
      </c>
    </row>
    <row r="297" spans="1:4" x14ac:dyDescent="0.4">
      <c r="A297" s="6">
        <v>488.55</v>
      </c>
      <c r="B297" s="43">
        <v>288273.22328119999</v>
      </c>
      <c r="C297" s="43">
        <v>291573.22638794</v>
      </c>
      <c r="D297" s="43">
        <v>1335431.6181409999</v>
      </c>
    </row>
    <row r="298" spans="1:4" x14ac:dyDescent="0.4">
      <c r="A298" s="6">
        <v>488.54</v>
      </c>
      <c r="B298" s="43">
        <v>288199.48631076998</v>
      </c>
      <c r="C298" s="43">
        <v>291489.96325490001</v>
      </c>
      <c r="D298" s="43">
        <v>1332549.2248698</v>
      </c>
    </row>
    <row r="299" spans="1:4" x14ac:dyDescent="0.4">
      <c r="A299" s="6">
        <v>488.53</v>
      </c>
      <c r="B299" s="43">
        <v>288125.72253005998</v>
      </c>
      <c r="C299" s="43">
        <v>291406.67546215001</v>
      </c>
      <c r="D299" s="43">
        <v>1329667.5174678999</v>
      </c>
    </row>
    <row r="300" spans="1:4" x14ac:dyDescent="0.4">
      <c r="A300" s="6">
        <v>488.52</v>
      </c>
      <c r="B300" s="43">
        <v>288051.94501233002</v>
      </c>
      <c r="C300" s="43">
        <v>291323.37500758999</v>
      </c>
      <c r="D300" s="43">
        <v>1326786.6239292</v>
      </c>
    </row>
    <row r="301" spans="1:4" x14ac:dyDescent="0.4">
      <c r="A301" s="6">
        <v>488.51</v>
      </c>
      <c r="B301" s="43">
        <v>287978.23913129</v>
      </c>
      <c r="C301" s="43">
        <v>291240.14676709002</v>
      </c>
      <c r="D301" s="43">
        <v>1323906.4862627001</v>
      </c>
    </row>
    <row r="302" spans="1:4" x14ac:dyDescent="0.4">
      <c r="A302" s="6">
        <v>488.5</v>
      </c>
      <c r="B302" s="43">
        <v>287904.55626253999</v>
      </c>
      <c r="C302" s="43">
        <v>291156.94197941001</v>
      </c>
      <c r="D302" s="43">
        <v>1321027.0312113001</v>
      </c>
    </row>
    <row r="303" spans="1:4" x14ac:dyDescent="0.4">
      <c r="A303" s="6">
        <v>488.49</v>
      </c>
      <c r="B303" s="43">
        <v>287830.86405807</v>
      </c>
      <c r="C303" s="43">
        <v>291073.73037372</v>
      </c>
      <c r="D303" s="43">
        <v>1318148.3398661001</v>
      </c>
    </row>
    <row r="304" spans="1:4" x14ac:dyDescent="0.4">
      <c r="A304" s="6">
        <v>488.48</v>
      </c>
      <c r="B304" s="43">
        <v>287757.17404858</v>
      </c>
      <c r="C304" s="43">
        <v>290990.52432438999</v>
      </c>
      <c r="D304" s="43">
        <v>1315270.4238605001</v>
      </c>
    </row>
    <row r="305" spans="1:4" x14ac:dyDescent="0.4">
      <c r="A305" s="6">
        <v>488.47</v>
      </c>
      <c r="B305" s="43">
        <v>287683.45844587003</v>
      </c>
      <c r="C305" s="43">
        <v>290907.29703535</v>
      </c>
      <c r="D305" s="43">
        <v>1312393.2419616999</v>
      </c>
    </row>
    <row r="306" spans="1:4" x14ac:dyDescent="0.4">
      <c r="A306" s="6">
        <v>488.46</v>
      </c>
      <c r="B306" s="43">
        <v>287609.71068691002</v>
      </c>
      <c r="C306" s="43">
        <v>290824.04106404999</v>
      </c>
      <c r="D306" s="43">
        <v>1309516.8094643001</v>
      </c>
    </row>
    <row r="307" spans="1:4" x14ac:dyDescent="0.4">
      <c r="A307" s="6">
        <v>488.45</v>
      </c>
      <c r="B307" s="43">
        <v>287535.99554178002</v>
      </c>
      <c r="C307" s="43">
        <v>290740.82091079</v>
      </c>
      <c r="D307" s="43">
        <v>1306641.1109468001</v>
      </c>
    </row>
    <row r="308" spans="1:4" x14ac:dyDescent="0.4">
      <c r="A308" s="6">
        <v>488.44</v>
      </c>
      <c r="B308" s="43">
        <v>287462.26540638</v>
      </c>
      <c r="C308" s="43">
        <v>290657.58827375999</v>
      </c>
      <c r="D308" s="43">
        <v>1303766.0916420999</v>
      </c>
    </row>
    <row r="309" spans="1:4" x14ac:dyDescent="0.4">
      <c r="A309" s="6">
        <v>488.43</v>
      </c>
      <c r="B309" s="43">
        <v>287388.57911332999</v>
      </c>
      <c r="C309" s="43">
        <v>290574.40169437998</v>
      </c>
      <c r="D309" s="43">
        <v>1300891.8656057001</v>
      </c>
    </row>
    <row r="310" spans="1:4" x14ac:dyDescent="0.4">
      <c r="A310" s="6">
        <v>488.42</v>
      </c>
      <c r="B310" s="43">
        <v>287314.93462473003</v>
      </c>
      <c r="C310" s="43">
        <v>290491.25947152998</v>
      </c>
      <c r="D310" s="43">
        <v>1298018.3973407999</v>
      </c>
    </row>
    <row r="311" spans="1:4" x14ac:dyDescent="0.4">
      <c r="A311" s="6">
        <v>488.41</v>
      </c>
      <c r="B311" s="43">
        <v>287241.32668643998</v>
      </c>
      <c r="C311" s="43">
        <v>290408.15518937999</v>
      </c>
      <c r="D311" s="43">
        <v>1295145.6276491999</v>
      </c>
    </row>
    <row r="312" spans="1:4" x14ac:dyDescent="0.4">
      <c r="A312" s="6">
        <v>488.4</v>
      </c>
      <c r="B312" s="43">
        <v>287167.67560694</v>
      </c>
      <c r="C312" s="43">
        <v>290325.01257543999</v>
      </c>
      <c r="D312" s="43">
        <v>1292273.5687561</v>
      </c>
    </row>
    <row r="313" spans="1:4" x14ac:dyDescent="0.4">
      <c r="A313" s="6">
        <v>488.39</v>
      </c>
      <c r="B313" s="43">
        <v>287093.57679142</v>
      </c>
      <c r="C313" s="43">
        <v>290241.42729929998</v>
      </c>
      <c r="D313" s="43">
        <v>1289402.2576915999</v>
      </c>
    </row>
    <row r="314" spans="1:4" x14ac:dyDescent="0.4">
      <c r="A314" s="6">
        <v>488.38</v>
      </c>
      <c r="B314" s="43">
        <v>287020.05793831003</v>
      </c>
      <c r="C314" s="43">
        <v>290158.42210045003</v>
      </c>
      <c r="D314" s="43">
        <v>1286531.7077255</v>
      </c>
    </row>
    <row r="315" spans="1:4" x14ac:dyDescent="0.4">
      <c r="A315" s="6">
        <v>488.37</v>
      </c>
      <c r="B315" s="43">
        <v>286946.62747896003</v>
      </c>
      <c r="C315" s="43">
        <v>290075.50726003002</v>
      </c>
      <c r="D315" s="43">
        <v>1283661.8768058</v>
      </c>
    </row>
    <row r="316" spans="1:4" x14ac:dyDescent="0.4">
      <c r="A316" s="6">
        <v>488.36</v>
      </c>
      <c r="B316" s="43">
        <v>286873.17889565998</v>
      </c>
      <c r="C316" s="43">
        <v>289992.57567002001</v>
      </c>
      <c r="D316" s="43">
        <v>1280792.7929994001</v>
      </c>
    </row>
    <row r="317" spans="1:4" x14ac:dyDescent="0.4">
      <c r="A317" s="6">
        <v>488.35</v>
      </c>
      <c r="B317" s="43">
        <v>286799.69033225998</v>
      </c>
      <c r="C317" s="43">
        <v>289909.60750580003</v>
      </c>
      <c r="D317" s="43">
        <v>1277924.4814027001</v>
      </c>
    </row>
    <row r="318" spans="1:4" x14ac:dyDescent="0.4">
      <c r="A318" s="6">
        <v>488.34</v>
      </c>
      <c r="B318" s="43">
        <v>286726.19515602</v>
      </c>
      <c r="C318" s="43">
        <v>289826.63648642</v>
      </c>
      <c r="D318" s="43">
        <v>1275056.8270582999</v>
      </c>
    </row>
    <row r="319" spans="1:4" x14ac:dyDescent="0.4">
      <c r="A319" s="6">
        <v>488.33</v>
      </c>
      <c r="B319" s="43">
        <v>286652.69483421999</v>
      </c>
      <c r="C319" s="43">
        <v>289743.66279599001</v>
      </c>
      <c r="D319" s="43">
        <v>1272189.9929577999</v>
      </c>
    </row>
    <row r="320" spans="1:4" x14ac:dyDescent="0.4">
      <c r="A320" s="6">
        <v>488.32</v>
      </c>
      <c r="B320" s="43">
        <v>286579.22636461002</v>
      </c>
      <c r="C320" s="43">
        <v>289660.72547483997</v>
      </c>
      <c r="D320" s="43">
        <v>1269323.8844381</v>
      </c>
    </row>
    <row r="321" spans="1:4" x14ac:dyDescent="0.4">
      <c r="A321" s="6">
        <v>488.31</v>
      </c>
      <c r="B321" s="43">
        <v>286505.73053673998</v>
      </c>
      <c r="C321" s="43">
        <v>289577.76493121998</v>
      </c>
      <c r="D321" s="43">
        <v>1266458.5017736999</v>
      </c>
    </row>
    <row r="322" spans="1:4" x14ac:dyDescent="0.4">
      <c r="A322" s="6">
        <v>488.3</v>
      </c>
      <c r="B322" s="43">
        <v>286432.19649885001</v>
      </c>
      <c r="C322" s="43">
        <v>289494.77191115997</v>
      </c>
      <c r="D322" s="43">
        <v>1263593.7947909001</v>
      </c>
    </row>
    <row r="323" spans="1:4" x14ac:dyDescent="0.4">
      <c r="A323" s="6">
        <v>488.29</v>
      </c>
      <c r="B323" s="43">
        <v>286358.65906681999</v>
      </c>
      <c r="C323" s="43">
        <v>289411.78163484001</v>
      </c>
      <c r="D323" s="43">
        <v>1260729.833477</v>
      </c>
    </row>
    <row r="324" spans="1:4" x14ac:dyDescent="0.4">
      <c r="A324" s="6">
        <v>488.28</v>
      </c>
      <c r="B324" s="43">
        <v>286285.10943090002</v>
      </c>
      <c r="C324" s="43">
        <v>289328.78613682999</v>
      </c>
      <c r="D324" s="43">
        <v>1257866.6622631</v>
      </c>
    </row>
    <row r="325" spans="1:4" x14ac:dyDescent="0.4">
      <c r="A325" s="6">
        <v>488.27</v>
      </c>
      <c r="B325" s="43">
        <v>286211.53946767002</v>
      </c>
      <c r="C325" s="43">
        <v>289245.77710394998</v>
      </c>
      <c r="D325" s="43">
        <v>1255004.1894374001</v>
      </c>
    </row>
    <row r="326" spans="1:4" x14ac:dyDescent="0.4">
      <c r="A326" s="6">
        <v>488.26</v>
      </c>
      <c r="B326" s="43">
        <v>286137.91690329002</v>
      </c>
      <c r="C326" s="43">
        <v>289162.72229316999</v>
      </c>
      <c r="D326" s="43">
        <v>1252142.4398667</v>
      </c>
    </row>
    <row r="327" spans="1:4" x14ac:dyDescent="0.4">
      <c r="A327" s="6">
        <v>488.25</v>
      </c>
      <c r="B327" s="43">
        <v>286064.28357238998</v>
      </c>
      <c r="C327" s="43">
        <v>289079.66396760999</v>
      </c>
      <c r="D327" s="43">
        <v>1249281.4928021</v>
      </c>
    </row>
    <row r="328" spans="1:4" x14ac:dyDescent="0.4">
      <c r="A328" s="6">
        <v>488.24</v>
      </c>
      <c r="B328" s="43">
        <v>285990.62279612001</v>
      </c>
      <c r="C328" s="43">
        <v>288996.58771301998</v>
      </c>
      <c r="D328" s="43">
        <v>1246421.226797</v>
      </c>
    </row>
    <row r="329" spans="1:4" x14ac:dyDescent="0.4">
      <c r="A329" s="6">
        <v>488.23</v>
      </c>
      <c r="B329" s="43">
        <v>285916.94988704001</v>
      </c>
      <c r="C329" s="43">
        <v>288913.50861771998</v>
      </c>
      <c r="D329" s="43">
        <v>1243561.7561633</v>
      </c>
    </row>
    <row r="330" spans="1:4" x14ac:dyDescent="0.4">
      <c r="A330" s="6">
        <v>488.22</v>
      </c>
      <c r="B330" s="43">
        <v>285843.24276401999</v>
      </c>
      <c r="C330" s="43">
        <v>288830.40424598003</v>
      </c>
      <c r="D330" s="43">
        <v>1240702.9354506</v>
      </c>
    </row>
    <row r="331" spans="1:4" x14ac:dyDescent="0.4">
      <c r="A331" s="6">
        <v>488.21</v>
      </c>
      <c r="B331" s="43">
        <v>285769.39851770998</v>
      </c>
      <c r="C331" s="43">
        <v>288747.1712783</v>
      </c>
      <c r="D331" s="43">
        <v>1237844.9247256001</v>
      </c>
    </row>
    <row r="332" spans="1:4" x14ac:dyDescent="0.4">
      <c r="A332" s="6">
        <v>488.2</v>
      </c>
      <c r="B332" s="43">
        <v>285695.12168083998</v>
      </c>
      <c r="C332" s="43">
        <v>288663.51800535002</v>
      </c>
      <c r="D332" s="43">
        <v>1234987.6051076001</v>
      </c>
    </row>
    <row r="333" spans="1:4" x14ac:dyDescent="0.4">
      <c r="A333" s="6">
        <v>488.19</v>
      </c>
      <c r="B333" s="43">
        <v>285620.51532037999</v>
      </c>
      <c r="C333" s="43">
        <v>288579.54533171002</v>
      </c>
      <c r="D333" s="43">
        <v>1232130.9755797</v>
      </c>
    </row>
    <row r="334" spans="1:4" x14ac:dyDescent="0.4">
      <c r="A334" s="6">
        <v>488.18</v>
      </c>
      <c r="B334" s="43">
        <v>285545.98593813</v>
      </c>
      <c r="C334" s="43">
        <v>288495.66350185999</v>
      </c>
      <c r="D334" s="43">
        <v>1229275.2022776001</v>
      </c>
    </row>
    <row r="335" spans="1:4" x14ac:dyDescent="0.4">
      <c r="A335" s="6">
        <v>488.17</v>
      </c>
      <c r="B335" s="43">
        <v>285471.22160125</v>
      </c>
      <c r="C335" s="43">
        <v>288411.56294050999</v>
      </c>
      <c r="D335" s="43">
        <v>1226420.1259184999</v>
      </c>
    </row>
    <row r="336" spans="1:4" x14ac:dyDescent="0.4">
      <c r="A336" s="6">
        <v>488.16</v>
      </c>
      <c r="B336" s="43">
        <v>285396.33741178998</v>
      </c>
      <c r="C336" s="43">
        <v>288327.35609073</v>
      </c>
      <c r="D336" s="43">
        <v>1223565.8094589999</v>
      </c>
    </row>
    <row r="337" spans="1:4" x14ac:dyDescent="0.4">
      <c r="A337" s="6">
        <v>488.15</v>
      </c>
      <c r="B337" s="43">
        <v>285321.30360704998</v>
      </c>
      <c r="C337" s="43">
        <v>288243.01438737998</v>
      </c>
      <c r="D337" s="43">
        <v>1220712.2717140999</v>
      </c>
    </row>
    <row r="338" spans="1:4" x14ac:dyDescent="0.4">
      <c r="A338" s="6">
        <v>488.14</v>
      </c>
      <c r="B338" s="43">
        <v>285246.06360086001</v>
      </c>
      <c r="C338" s="43">
        <v>288158.48385585001</v>
      </c>
      <c r="D338" s="43">
        <v>1217859.4908137999</v>
      </c>
    </row>
    <row r="339" spans="1:4" x14ac:dyDescent="0.4">
      <c r="A339" s="6">
        <v>488.13</v>
      </c>
      <c r="B339" s="43">
        <v>285170.67810988001</v>
      </c>
      <c r="C339" s="43">
        <v>288073.82574866002</v>
      </c>
      <c r="D339" s="43">
        <v>1215007.4152285999</v>
      </c>
    </row>
    <row r="340" spans="1:4" x14ac:dyDescent="0.4">
      <c r="A340" s="6">
        <v>488.12</v>
      </c>
      <c r="B340" s="43">
        <v>285095.12718348001</v>
      </c>
      <c r="C340" s="43">
        <v>287989.01919785998</v>
      </c>
      <c r="D340" s="43">
        <v>1212156.1084135999</v>
      </c>
    </row>
    <row r="341" spans="1:4" x14ac:dyDescent="0.4">
      <c r="A341" s="6">
        <v>488.11</v>
      </c>
      <c r="B341" s="43">
        <v>285019.42912216001</v>
      </c>
      <c r="C341" s="43">
        <v>287904.08000785997</v>
      </c>
      <c r="D341" s="43">
        <v>1209305.6026244001</v>
      </c>
    </row>
    <row r="342" spans="1:4" x14ac:dyDescent="0.4">
      <c r="A342" s="6">
        <v>488.1</v>
      </c>
      <c r="B342" s="43">
        <v>284943.58593494998</v>
      </c>
      <c r="C342" s="43">
        <v>287819.00951528997</v>
      </c>
      <c r="D342" s="43">
        <v>1206455.7766032</v>
      </c>
    </row>
    <row r="343" spans="1:4" x14ac:dyDescent="0.4">
      <c r="A343" s="6">
        <v>488.09</v>
      </c>
      <c r="B343" s="43">
        <v>284867.56256565999</v>
      </c>
      <c r="C343" s="43">
        <v>287733.77355441003</v>
      </c>
      <c r="D343" s="43">
        <v>1203606.7585447</v>
      </c>
    </row>
    <row r="344" spans="1:4" x14ac:dyDescent="0.4">
      <c r="A344" s="6">
        <v>488.08</v>
      </c>
      <c r="B344" s="43">
        <v>284791.35073667002</v>
      </c>
      <c r="C344" s="43">
        <v>287648.36624427</v>
      </c>
      <c r="D344" s="43">
        <v>1200758.448846</v>
      </c>
    </row>
    <row r="345" spans="1:4" x14ac:dyDescent="0.4">
      <c r="A345" s="6">
        <v>488.07</v>
      </c>
      <c r="B345" s="43">
        <v>284714.95540405001</v>
      </c>
      <c r="C345" s="43">
        <v>287562.79469230003</v>
      </c>
      <c r="D345" s="43">
        <v>1197910.9776409999</v>
      </c>
    </row>
    <row r="346" spans="1:4" x14ac:dyDescent="0.4">
      <c r="A346" s="6">
        <v>488.06</v>
      </c>
      <c r="B346" s="43">
        <v>284638.35864122002</v>
      </c>
      <c r="C346" s="43">
        <v>287477.04308529</v>
      </c>
      <c r="D346" s="43">
        <v>1195064.2566670999</v>
      </c>
    </row>
    <row r="347" spans="1:4" x14ac:dyDescent="0.4">
      <c r="A347" s="6">
        <v>488.05</v>
      </c>
      <c r="B347" s="43">
        <v>284561.50293567003</v>
      </c>
      <c r="C347" s="43">
        <v>287391.05603629001</v>
      </c>
      <c r="D347" s="43">
        <v>1192218.2930665</v>
      </c>
    </row>
    <row r="348" spans="1:4" x14ac:dyDescent="0.4">
      <c r="A348" s="6">
        <v>488.04</v>
      </c>
      <c r="B348" s="43">
        <v>284484.40423231001</v>
      </c>
      <c r="C348" s="43">
        <v>287304.85041383002</v>
      </c>
      <c r="D348" s="43">
        <v>1189373.1169257001</v>
      </c>
    </row>
    <row r="349" spans="1:4" x14ac:dyDescent="0.4">
      <c r="A349" s="6">
        <v>488.03</v>
      </c>
      <c r="B349" s="43">
        <v>284406.99369313999</v>
      </c>
      <c r="C349" s="43">
        <v>287218.35812498</v>
      </c>
      <c r="D349" s="43">
        <v>1186528.7602687001</v>
      </c>
    </row>
    <row r="350" spans="1:4" x14ac:dyDescent="0.4">
      <c r="A350" s="6">
        <v>488.02</v>
      </c>
      <c r="B350" s="43">
        <v>284329.14208786999</v>
      </c>
      <c r="C350" s="43">
        <v>287131.45482281997</v>
      </c>
      <c r="D350" s="43">
        <v>1183685.1329061</v>
      </c>
    </row>
    <row r="351" spans="1:4" x14ac:dyDescent="0.4">
      <c r="A351" s="6">
        <v>488.01</v>
      </c>
      <c r="B351" s="43">
        <v>284250.51517620002</v>
      </c>
      <c r="C351" s="43">
        <v>287043.80869276001</v>
      </c>
      <c r="D351" s="43">
        <v>1180842.294822</v>
      </c>
    </row>
    <row r="352" spans="1:4" x14ac:dyDescent="0.4">
      <c r="A352" s="6">
        <v>488</v>
      </c>
      <c r="B352" s="43">
        <v>284166.87304391002</v>
      </c>
      <c r="C352" s="43">
        <v>286951.18692974001</v>
      </c>
      <c r="D352" s="43">
        <v>1178000.2126780001</v>
      </c>
    </row>
    <row r="353" spans="1:4" x14ac:dyDescent="0.4">
      <c r="A353" s="6">
        <v>487.99</v>
      </c>
      <c r="B353" s="43">
        <v>284054.68012570002</v>
      </c>
      <c r="C353" s="43">
        <v>286830.05853858002</v>
      </c>
      <c r="D353" s="43">
        <v>1175159.2721641001</v>
      </c>
    </row>
    <row r="354" spans="1:4" x14ac:dyDescent="0.4">
      <c r="A354" s="6">
        <v>487.98</v>
      </c>
      <c r="B354" s="43">
        <v>283974.51429756999</v>
      </c>
      <c r="C354" s="43">
        <v>286740.98239175999</v>
      </c>
      <c r="D354" s="43">
        <v>1172319.1797686999</v>
      </c>
    </row>
    <row r="355" spans="1:4" x14ac:dyDescent="0.4">
      <c r="A355" s="6">
        <v>487.97</v>
      </c>
      <c r="B355" s="43">
        <v>283894.57149218</v>
      </c>
      <c r="C355" s="43">
        <v>286652.16235752002</v>
      </c>
      <c r="D355" s="43">
        <v>1169479.8090295</v>
      </c>
    </row>
    <row r="356" spans="1:4" x14ac:dyDescent="0.4">
      <c r="A356" s="6">
        <v>487.96</v>
      </c>
      <c r="B356" s="43">
        <v>283814.62714279001</v>
      </c>
      <c r="C356" s="43">
        <v>286563.37124891998</v>
      </c>
      <c r="D356" s="43">
        <v>1166641.2531516999</v>
      </c>
    </row>
    <row r="357" spans="1:4" x14ac:dyDescent="0.4">
      <c r="A357" s="6">
        <v>487.95</v>
      </c>
      <c r="B357" s="43">
        <v>283734.64744923002</v>
      </c>
      <c r="C357" s="43">
        <v>286474.57390757999</v>
      </c>
      <c r="D357" s="43">
        <v>1163803.4734428001</v>
      </c>
    </row>
    <row r="358" spans="1:4" x14ac:dyDescent="0.4">
      <c r="A358" s="6">
        <v>487.94</v>
      </c>
      <c r="B358" s="43">
        <v>283654.60187453998</v>
      </c>
      <c r="C358" s="43">
        <v>286385.7395733</v>
      </c>
      <c r="D358" s="43">
        <v>1160966.5046478999</v>
      </c>
    </row>
    <row r="359" spans="1:4" x14ac:dyDescent="0.4">
      <c r="A359" s="6">
        <v>487.93</v>
      </c>
      <c r="B359" s="43">
        <v>283574.52701317001</v>
      </c>
      <c r="C359" s="43">
        <v>286296.90387505002</v>
      </c>
      <c r="D359" s="43">
        <v>1158130.4347303</v>
      </c>
    </row>
    <row r="360" spans="1:4" x14ac:dyDescent="0.4">
      <c r="A360" s="6">
        <v>487.92</v>
      </c>
      <c r="B360" s="43">
        <v>283494.43609173002</v>
      </c>
      <c r="C360" s="43">
        <v>286208.07821265998</v>
      </c>
      <c r="D360" s="43">
        <v>1155295.1114674001</v>
      </c>
    </row>
    <row r="361" spans="1:4" x14ac:dyDescent="0.4">
      <c r="A361" s="6">
        <v>487.91</v>
      </c>
      <c r="B361" s="43">
        <v>283414.34544935997</v>
      </c>
      <c r="C361" s="43">
        <v>286119.27834204998</v>
      </c>
      <c r="D361" s="43">
        <v>1152460.5816635001</v>
      </c>
    </row>
    <row r="362" spans="1:4" x14ac:dyDescent="0.4">
      <c r="A362" s="6">
        <v>487.9</v>
      </c>
      <c r="B362" s="43">
        <v>283334.18304030999</v>
      </c>
      <c r="C362" s="43">
        <v>286030.43268059997</v>
      </c>
      <c r="D362" s="43">
        <v>1149626.9079952</v>
      </c>
    </row>
    <row r="363" spans="1:4" x14ac:dyDescent="0.4">
      <c r="A363" s="6">
        <v>487.89</v>
      </c>
      <c r="B363" s="43">
        <v>283254.03528895002</v>
      </c>
      <c r="C363" s="43">
        <v>285941.62964350003</v>
      </c>
      <c r="D363" s="43">
        <v>1146794.0362833999</v>
      </c>
    </row>
    <row r="364" spans="1:4" x14ac:dyDescent="0.4">
      <c r="A364" s="6">
        <v>487.88</v>
      </c>
      <c r="B364" s="43">
        <v>283173.84580159001</v>
      </c>
      <c r="C364" s="43">
        <v>285852.81177874998</v>
      </c>
      <c r="D364" s="43">
        <v>1143961.9491159001</v>
      </c>
    </row>
    <row r="365" spans="1:4" x14ac:dyDescent="0.4">
      <c r="A365" s="6">
        <v>487.87</v>
      </c>
      <c r="B365" s="43">
        <v>283093.57159223</v>
      </c>
      <c r="C365" s="43">
        <v>285763.93768442998</v>
      </c>
      <c r="D365" s="43">
        <v>1141130.6322290001</v>
      </c>
    </row>
    <row r="366" spans="1:4" x14ac:dyDescent="0.4">
      <c r="A366" s="6">
        <v>487.86</v>
      </c>
      <c r="B366" s="43">
        <v>283013.20280718</v>
      </c>
      <c r="C366" s="43">
        <v>285675.00202014</v>
      </c>
      <c r="D366" s="43">
        <v>1138300.1160035999</v>
      </c>
    </row>
    <row r="367" spans="1:4" x14ac:dyDescent="0.4">
      <c r="A367" s="6">
        <v>487.85</v>
      </c>
      <c r="B367" s="43">
        <v>282932.67745358997</v>
      </c>
      <c r="C367" s="43">
        <v>285585.94572978001</v>
      </c>
      <c r="D367" s="43">
        <v>1135470.3793105001</v>
      </c>
    </row>
    <row r="368" spans="1:4" x14ac:dyDescent="0.4">
      <c r="A368" s="6">
        <v>487.84</v>
      </c>
      <c r="B368" s="43">
        <v>282851.9946494</v>
      </c>
      <c r="C368" s="43">
        <v>285496.77303171001</v>
      </c>
      <c r="D368" s="43">
        <v>1132641.507246</v>
      </c>
    </row>
    <row r="369" spans="1:4" x14ac:dyDescent="0.4">
      <c r="A369" s="6">
        <v>487.83</v>
      </c>
      <c r="B369" s="43">
        <v>282771.03951032</v>
      </c>
      <c r="C369" s="43">
        <v>285407.37234368001</v>
      </c>
      <c r="D369" s="43">
        <v>1129813.4074404</v>
      </c>
    </row>
    <row r="370" spans="1:4" x14ac:dyDescent="0.4">
      <c r="A370" s="6">
        <v>487.82</v>
      </c>
      <c r="B370" s="43">
        <v>282689.62293736998</v>
      </c>
      <c r="C370" s="43">
        <v>285317.55971012003</v>
      </c>
      <c r="D370" s="43">
        <v>1126986.1940125001</v>
      </c>
    </row>
    <row r="371" spans="1:4" x14ac:dyDescent="0.4">
      <c r="A371" s="6">
        <v>487.81</v>
      </c>
      <c r="B371" s="43">
        <v>282607.34170933999</v>
      </c>
      <c r="C371" s="43">
        <v>285226.93882584001</v>
      </c>
      <c r="D371" s="43">
        <v>1124159.8143988</v>
      </c>
    </row>
    <row r="372" spans="1:4" x14ac:dyDescent="0.4">
      <c r="A372" s="6">
        <v>487.8</v>
      </c>
      <c r="B372" s="43">
        <v>282520.31457022001</v>
      </c>
      <c r="C372" s="43">
        <v>285131.64163168002</v>
      </c>
      <c r="D372" s="43">
        <v>1121334.1993837</v>
      </c>
    </row>
    <row r="373" spans="1:4" x14ac:dyDescent="0.4">
      <c r="A373" s="6">
        <v>487.79</v>
      </c>
      <c r="B373" s="43">
        <v>282400.30131194001</v>
      </c>
      <c r="C373" s="43">
        <v>285003.43891889002</v>
      </c>
      <c r="D373" s="43">
        <v>1118509.8169670999</v>
      </c>
    </row>
    <row r="374" spans="1:4" x14ac:dyDescent="0.4">
      <c r="A374" s="6">
        <v>487.78</v>
      </c>
      <c r="B374" s="43">
        <v>282312.43422356999</v>
      </c>
      <c r="C374" s="43">
        <v>284907.45021947002</v>
      </c>
      <c r="D374" s="43">
        <v>1115686.2229257999</v>
      </c>
    </row>
    <row r="375" spans="1:4" x14ac:dyDescent="0.4">
      <c r="A375" s="6">
        <v>487.77</v>
      </c>
      <c r="B375" s="43">
        <v>282223.37139680999</v>
      </c>
      <c r="C375" s="43">
        <v>284810.32650611002</v>
      </c>
      <c r="D375" s="43">
        <v>1112863.5476470999</v>
      </c>
    </row>
    <row r="376" spans="1:4" x14ac:dyDescent="0.4">
      <c r="A376" s="6">
        <v>487.76</v>
      </c>
      <c r="B376" s="43">
        <v>282133.34050083999</v>
      </c>
      <c r="C376" s="43">
        <v>284712.28664556</v>
      </c>
      <c r="D376" s="43">
        <v>1110041.7677575999</v>
      </c>
    </row>
    <row r="377" spans="1:4" x14ac:dyDescent="0.4">
      <c r="A377" s="6">
        <v>487.75</v>
      </c>
      <c r="B377" s="43">
        <v>282042.57772350998</v>
      </c>
      <c r="C377" s="43">
        <v>284613.55947058002</v>
      </c>
      <c r="D377" s="43">
        <v>1107220.9348009001</v>
      </c>
    </row>
    <row r="378" spans="1:4" x14ac:dyDescent="0.4">
      <c r="A378" s="6">
        <v>487.74</v>
      </c>
      <c r="B378" s="43">
        <v>281951.14972117002</v>
      </c>
      <c r="C378" s="43">
        <v>284514.20017213002</v>
      </c>
      <c r="D378" s="43">
        <v>1104401.0212795001</v>
      </c>
    </row>
    <row r="379" spans="1:4" x14ac:dyDescent="0.4">
      <c r="A379" s="6">
        <v>487.73</v>
      </c>
      <c r="B379" s="43">
        <v>281859.10135077999</v>
      </c>
      <c r="C379" s="43">
        <v>284414.24946907</v>
      </c>
      <c r="D379" s="43">
        <v>1101582.0139150999</v>
      </c>
    </row>
    <row r="380" spans="1:4" x14ac:dyDescent="0.4">
      <c r="A380" s="6">
        <v>487.72</v>
      </c>
      <c r="B380" s="43">
        <v>281766.55144019</v>
      </c>
      <c r="C380" s="43">
        <v>284313.82179234998</v>
      </c>
      <c r="D380" s="43">
        <v>1098763.9447391001</v>
      </c>
    </row>
    <row r="381" spans="1:4" x14ac:dyDescent="0.4">
      <c r="A381" s="6">
        <v>487.71</v>
      </c>
      <c r="B381" s="43">
        <v>281673.45327373</v>
      </c>
      <c r="C381" s="43">
        <v>284212.86945285002</v>
      </c>
      <c r="D381" s="43">
        <v>1095946.7679538</v>
      </c>
    </row>
    <row r="382" spans="1:4" x14ac:dyDescent="0.4">
      <c r="A382" s="6">
        <v>487.7</v>
      </c>
      <c r="B382" s="43">
        <v>281579.88056522002</v>
      </c>
      <c r="C382" s="43">
        <v>284111.46584212</v>
      </c>
      <c r="D382" s="43">
        <v>1093130.5326224</v>
      </c>
    </row>
    <row r="383" spans="1:4" x14ac:dyDescent="0.4">
      <c r="A383" s="6">
        <v>487.69</v>
      </c>
      <c r="B383" s="43">
        <v>281485.85159922001</v>
      </c>
      <c r="C383" s="43">
        <v>284009.62838352</v>
      </c>
      <c r="D383" s="43">
        <v>1090315.2170992</v>
      </c>
    </row>
    <row r="384" spans="1:4" x14ac:dyDescent="0.4">
      <c r="A384" s="6">
        <v>487.68</v>
      </c>
      <c r="B384" s="43">
        <v>281391.36635134002</v>
      </c>
      <c r="C384" s="43">
        <v>283907.35723273997</v>
      </c>
      <c r="D384" s="43">
        <v>1087500.8644961</v>
      </c>
    </row>
    <row r="385" spans="1:4" x14ac:dyDescent="0.4">
      <c r="A385" s="6">
        <v>487.67</v>
      </c>
      <c r="B385" s="43">
        <v>281296.32054062001</v>
      </c>
      <c r="C385" s="43">
        <v>283804.54855940002</v>
      </c>
      <c r="D385" s="43">
        <v>1084687.4314516</v>
      </c>
    </row>
    <row r="386" spans="1:4" x14ac:dyDescent="0.4">
      <c r="A386" s="6">
        <v>487.66</v>
      </c>
      <c r="B386" s="43">
        <v>281200.72972792003</v>
      </c>
      <c r="C386" s="43">
        <v>283701.22155776003</v>
      </c>
      <c r="D386" s="43">
        <v>1081874.9718017001</v>
      </c>
    </row>
    <row r="387" spans="1:4" x14ac:dyDescent="0.4">
      <c r="A387" s="6">
        <v>487.65</v>
      </c>
      <c r="B387" s="43">
        <v>281104.51781935</v>
      </c>
      <c r="C387" s="43">
        <v>283597.30396072002</v>
      </c>
      <c r="D387" s="43">
        <v>1079063.4864382001</v>
      </c>
    </row>
    <row r="388" spans="1:4" x14ac:dyDescent="0.4">
      <c r="A388" s="6">
        <v>487.64</v>
      </c>
      <c r="B388" s="43">
        <v>281007.58030819998</v>
      </c>
      <c r="C388" s="43">
        <v>283492.69486524002</v>
      </c>
      <c r="D388" s="43">
        <v>1076252.9647560001</v>
      </c>
    </row>
    <row r="389" spans="1:4" x14ac:dyDescent="0.4">
      <c r="A389" s="6">
        <v>487.63</v>
      </c>
      <c r="B389" s="43">
        <v>280909.76975069998</v>
      </c>
      <c r="C389" s="43">
        <v>283387.25205888</v>
      </c>
      <c r="D389" s="43">
        <v>1073443.3936258</v>
      </c>
    </row>
    <row r="390" spans="1:4" x14ac:dyDescent="0.4">
      <c r="A390" s="6">
        <v>487.62</v>
      </c>
      <c r="B390" s="43">
        <v>280810.71985379001</v>
      </c>
      <c r="C390" s="43">
        <v>283280.61426157999</v>
      </c>
      <c r="D390" s="43">
        <v>1070634.8405845</v>
      </c>
    </row>
    <row r="391" spans="1:4" x14ac:dyDescent="0.4">
      <c r="A391" s="6">
        <v>487.61</v>
      </c>
      <c r="B391" s="43">
        <v>280709.17996118998</v>
      </c>
      <c r="C391" s="43">
        <v>283171.54192549002</v>
      </c>
      <c r="D391" s="43">
        <v>1067827.2860359999</v>
      </c>
    </row>
    <row r="392" spans="1:4" x14ac:dyDescent="0.4">
      <c r="A392" s="6">
        <v>487.6</v>
      </c>
      <c r="B392" s="43">
        <v>279760.95917876001</v>
      </c>
      <c r="C392" s="43">
        <v>282215.86260560999</v>
      </c>
      <c r="D392" s="43">
        <v>1065020.8161347001</v>
      </c>
    </row>
    <row r="393" spans="1:4" x14ac:dyDescent="0.4">
      <c r="A393" s="6">
        <v>487.59</v>
      </c>
      <c r="B393" s="43">
        <v>279614.16580547002</v>
      </c>
      <c r="C393" s="43">
        <v>282061.68710958998</v>
      </c>
      <c r="D393" s="43">
        <v>1062223.9940957001</v>
      </c>
    </row>
    <row r="394" spans="1:4" x14ac:dyDescent="0.4">
      <c r="A394" s="6">
        <v>487.58</v>
      </c>
      <c r="B394" s="43">
        <v>279485.83714121999</v>
      </c>
      <c r="C394" s="43">
        <v>281926.02922894002</v>
      </c>
      <c r="D394" s="43">
        <v>1059428.4840901999</v>
      </c>
    </row>
    <row r="395" spans="1:4" x14ac:dyDescent="0.4">
      <c r="A395" s="6">
        <v>487.57</v>
      </c>
      <c r="B395" s="43">
        <v>279356.48000341997</v>
      </c>
      <c r="C395" s="43">
        <v>281789.39052125002</v>
      </c>
      <c r="D395" s="43">
        <v>1056634.2593326</v>
      </c>
    </row>
    <row r="396" spans="1:4" x14ac:dyDescent="0.4">
      <c r="A396" s="6">
        <v>487.56</v>
      </c>
      <c r="B396" s="43">
        <v>279226.67102256999</v>
      </c>
      <c r="C396" s="43">
        <v>281652.33980924002</v>
      </c>
      <c r="D396" s="43">
        <v>1053841.3136344</v>
      </c>
    </row>
    <row r="397" spans="1:4" x14ac:dyDescent="0.4">
      <c r="A397" s="6">
        <v>487.55</v>
      </c>
      <c r="B397" s="43">
        <v>279096.46292443998</v>
      </c>
      <c r="C397" s="43">
        <v>281514.91932788998</v>
      </c>
      <c r="D397" s="43">
        <v>1051049.7049368001</v>
      </c>
    </row>
    <row r="398" spans="1:4" x14ac:dyDescent="0.4">
      <c r="A398" s="6">
        <v>487.54</v>
      </c>
      <c r="B398" s="43">
        <v>278965.98531829001</v>
      </c>
      <c r="C398" s="43">
        <v>281377.25682605</v>
      </c>
      <c r="D398" s="43">
        <v>1048259.4063135</v>
      </c>
    </row>
    <row r="399" spans="1:4" x14ac:dyDescent="0.4">
      <c r="A399" s="6">
        <v>487.53</v>
      </c>
      <c r="B399" s="43">
        <v>278835.39465850999</v>
      </c>
      <c r="C399" s="43">
        <v>281239.50098081998</v>
      </c>
      <c r="D399" s="43">
        <v>1045470.3619771</v>
      </c>
    </row>
    <row r="400" spans="1:4" x14ac:dyDescent="0.4">
      <c r="A400" s="6">
        <v>487.52</v>
      </c>
      <c r="B400" s="43">
        <v>278704.81586997001</v>
      </c>
      <c r="C400" s="43">
        <v>281101.77032810001</v>
      </c>
      <c r="D400" s="43">
        <v>1042682.6765433</v>
      </c>
    </row>
    <row r="401" spans="1:4" x14ac:dyDescent="0.4">
      <c r="A401" s="6">
        <v>487.51</v>
      </c>
      <c r="B401" s="43">
        <v>278574.12994979997</v>
      </c>
      <c r="C401" s="43">
        <v>280963.94559864001</v>
      </c>
      <c r="D401" s="43">
        <v>1039896.2914503</v>
      </c>
    </row>
    <row r="402" spans="1:4" x14ac:dyDescent="0.4">
      <c r="A402" s="6">
        <v>487.5</v>
      </c>
      <c r="B402" s="43">
        <v>278443.46472732001</v>
      </c>
      <c r="C402" s="43">
        <v>280826.15081910999</v>
      </c>
      <c r="D402" s="43">
        <v>1037111.2349617</v>
      </c>
    </row>
    <row r="403" spans="1:4" x14ac:dyDescent="0.4">
      <c r="A403" s="6">
        <v>487.49</v>
      </c>
      <c r="B403" s="43">
        <v>278312.84111415001</v>
      </c>
      <c r="C403" s="43">
        <v>280688.40564447001</v>
      </c>
      <c r="D403" s="43">
        <v>1034327.469937</v>
      </c>
    </row>
    <row r="404" spans="1:4" x14ac:dyDescent="0.4">
      <c r="A404" s="6">
        <v>487.48</v>
      </c>
      <c r="B404" s="43">
        <v>278182.21197379997</v>
      </c>
      <c r="C404" s="43">
        <v>280550.66278845997</v>
      </c>
      <c r="D404" s="43">
        <v>1031545.0528818</v>
      </c>
    </row>
    <row r="405" spans="1:4" x14ac:dyDescent="0.4">
      <c r="A405" s="6">
        <v>487.47</v>
      </c>
      <c r="B405" s="43">
        <v>278051.59269557003</v>
      </c>
      <c r="C405" s="43">
        <v>280412.93883533002</v>
      </c>
      <c r="D405" s="43">
        <v>1028763.8942884</v>
      </c>
    </row>
    <row r="406" spans="1:4" x14ac:dyDescent="0.4">
      <c r="A406" s="6">
        <v>487.46</v>
      </c>
      <c r="B406" s="43">
        <v>277920.96010968002</v>
      </c>
      <c r="C406" s="43">
        <v>280275.21038318001</v>
      </c>
      <c r="D406" s="43">
        <v>1025984.0551079999</v>
      </c>
    </row>
    <row r="407" spans="1:4" x14ac:dyDescent="0.4">
      <c r="A407" s="6">
        <v>487.45</v>
      </c>
      <c r="B407" s="43">
        <v>277790.35826551</v>
      </c>
      <c r="C407" s="43">
        <v>280137.52254446998</v>
      </c>
      <c r="D407" s="43">
        <v>1023205.52247</v>
      </c>
    </row>
    <row r="408" spans="1:4" x14ac:dyDescent="0.4">
      <c r="A408" s="6">
        <v>487.44</v>
      </c>
      <c r="B408" s="43">
        <v>277659.72440100001</v>
      </c>
      <c r="C408" s="43">
        <v>279999.81034001999</v>
      </c>
      <c r="D408" s="43">
        <v>1020428.2497206</v>
      </c>
    </row>
    <row r="409" spans="1:4" x14ac:dyDescent="0.4">
      <c r="A409" s="6">
        <v>487.43</v>
      </c>
      <c r="B409" s="43">
        <v>277529.22389895999</v>
      </c>
      <c r="C409" s="43">
        <v>279862.23895178997</v>
      </c>
      <c r="D409" s="43">
        <v>1017652.3154524</v>
      </c>
    </row>
    <row r="410" spans="1:4" x14ac:dyDescent="0.4">
      <c r="A410" s="6">
        <v>487.42</v>
      </c>
      <c r="B410" s="43">
        <v>277398.57322384999</v>
      </c>
      <c r="C410" s="43">
        <v>279724.52696162002</v>
      </c>
      <c r="D410" s="43">
        <v>1014877.68373</v>
      </c>
    </row>
    <row r="411" spans="1:4" x14ac:dyDescent="0.4">
      <c r="A411" s="6">
        <v>487.41</v>
      </c>
      <c r="B411" s="43">
        <v>277267.51090092998</v>
      </c>
      <c r="C411" s="43">
        <v>279586.40967884997</v>
      </c>
      <c r="D411" s="43">
        <v>1012104.4034574</v>
      </c>
    </row>
    <row r="412" spans="1:4" x14ac:dyDescent="0.4">
      <c r="A412" s="6">
        <v>487.4</v>
      </c>
      <c r="B412" s="43">
        <v>277106.85961866</v>
      </c>
      <c r="C412" s="43">
        <v>279418.72281258</v>
      </c>
      <c r="D412" s="43">
        <v>1009332.4257887</v>
      </c>
    </row>
    <row r="413" spans="1:4" x14ac:dyDescent="0.4">
      <c r="A413" s="6">
        <v>487.39</v>
      </c>
      <c r="B413" s="43">
        <v>276104.89766016998</v>
      </c>
      <c r="C413" s="43">
        <v>278409.70832213003</v>
      </c>
      <c r="D413" s="43">
        <v>1006570.4954173</v>
      </c>
    </row>
    <row r="414" spans="1:4" x14ac:dyDescent="0.4">
      <c r="A414" s="6">
        <v>487.38</v>
      </c>
      <c r="B414" s="43">
        <v>275958.78921582003</v>
      </c>
      <c r="C414" s="43">
        <v>278256.51952968998</v>
      </c>
      <c r="D414" s="43">
        <v>1003810.1596158</v>
      </c>
    </row>
    <row r="415" spans="1:4" x14ac:dyDescent="0.4">
      <c r="A415" s="6">
        <v>487.37</v>
      </c>
      <c r="B415" s="43">
        <v>275813.39049885003</v>
      </c>
      <c r="C415" s="43">
        <v>278104.02751425997</v>
      </c>
      <c r="D415" s="43">
        <v>1001051.2688253</v>
      </c>
    </row>
    <row r="416" spans="1:4" x14ac:dyDescent="0.4">
      <c r="A416" s="6">
        <v>487.36</v>
      </c>
      <c r="B416" s="43">
        <v>275668.24539298</v>
      </c>
      <c r="C416" s="43">
        <v>277951.77632185002</v>
      </c>
      <c r="D416" s="43">
        <v>998293.85347275005</v>
      </c>
    </row>
    <row r="417" spans="1:4" x14ac:dyDescent="0.4">
      <c r="A417" s="6">
        <v>487.35</v>
      </c>
      <c r="B417" s="43">
        <v>275523.10973532998</v>
      </c>
      <c r="C417" s="43">
        <v>277799.52692752</v>
      </c>
      <c r="D417" s="43">
        <v>995537.93043857999</v>
      </c>
    </row>
    <row r="418" spans="1:4" x14ac:dyDescent="0.4">
      <c r="A418" s="6">
        <v>487.34</v>
      </c>
      <c r="B418" s="43">
        <v>275377.98206541</v>
      </c>
      <c r="C418" s="43">
        <v>277647.27903824003</v>
      </c>
      <c r="D418" s="43">
        <v>992783.4636435</v>
      </c>
    </row>
    <row r="419" spans="1:4" x14ac:dyDescent="0.4">
      <c r="A419" s="6">
        <v>487.33</v>
      </c>
      <c r="B419" s="43">
        <v>275232.66297359997</v>
      </c>
      <c r="C419" s="43">
        <v>277494.83185545</v>
      </c>
      <c r="D419" s="43">
        <v>990030.41098406003</v>
      </c>
    </row>
    <row r="420" spans="1:4" x14ac:dyDescent="0.4">
      <c r="A420" s="6">
        <v>487.32</v>
      </c>
      <c r="B420" s="43">
        <v>275087.26310555998</v>
      </c>
      <c r="C420" s="43">
        <v>277342.29683722003</v>
      </c>
      <c r="D420" s="43">
        <v>987278.81160331005</v>
      </c>
    </row>
    <row r="421" spans="1:4" x14ac:dyDescent="0.4">
      <c r="A421" s="6">
        <v>487.31</v>
      </c>
      <c r="B421" s="43">
        <v>274941.65044129</v>
      </c>
      <c r="C421" s="43">
        <v>277189.54804266</v>
      </c>
      <c r="D421" s="43">
        <v>984528.64064152003</v>
      </c>
    </row>
    <row r="422" spans="1:4" x14ac:dyDescent="0.4">
      <c r="A422" s="6">
        <v>487.3</v>
      </c>
      <c r="B422" s="43">
        <v>274795.83012424002</v>
      </c>
      <c r="C422" s="43">
        <v>277036.59313466999</v>
      </c>
      <c r="D422" s="43">
        <v>981779.95087437006</v>
      </c>
    </row>
    <row r="423" spans="1:4" x14ac:dyDescent="0.4">
      <c r="A423" s="6">
        <v>487.29</v>
      </c>
      <c r="B423" s="43">
        <v>274649.71551732998</v>
      </c>
      <c r="C423" s="43">
        <v>276883.34627008002</v>
      </c>
      <c r="D423" s="43">
        <v>979032.74858947995</v>
      </c>
    </row>
    <row r="424" spans="1:4" x14ac:dyDescent="0.4">
      <c r="A424" s="6">
        <v>487.28</v>
      </c>
      <c r="B424" s="43">
        <v>274503.35404100001</v>
      </c>
      <c r="C424" s="43">
        <v>276729.85618182999</v>
      </c>
      <c r="D424" s="43">
        <v>976287.01795628003</v>
      </c>
    </row>
    <row r="425" spans="1:4" x14ac:dyDescent="0.4">
      <c r="A425" s="6">
        <v>487.27</v>
      </c>
      <c r="B425" s="43">
        <v>274356.84620829998</v>
      </c>
      <c r="C425" s="43">
        <v>276576.22435321001</v>
      </c>
      <c r="D425" s="43">
        <v>973542.66549926996</v>
      </c>
    </row>
    <row r="426" spans="1:4" x14ac:dyDescent="0.4">
      <c r="A426" s="6">
        <v>487.26</v>
      </c>
      <c r="B426" s="43">
        <v>274210.02044893999</v>
      </c>
      <c r="C426" s="43">
        <v>276422.27793997002</v>
      </c>
      <c r="D426" s="43">
        <v>970799.84866800997</v>
      </c>
    </row>
    <row r="427" spans="1:4" x14ac:dyDescent="0.4">
      <c r="A427" s="6">
        <v>487.25</v>
      </c>
      <c r="B427" s="43">
        <v>274062.92883172998</v>
      </c>
      <c r="C427" s="43">
        <v>276268.06973614998</v>
      </c>
      <c r="D427" s="43">
        <v>968058.46794084995</v>
      </c>
    </row>
    <row r="428" spans="1:4" x14ac:dyDescent="0.4">
      <c r="A428" s="6">
        <v>487.24</v>
      </c>
      <c r="B428" s="43">
        <v>273915.59687428997</v>
      </c>
      <c r="C428" s="43">
        <v>276113.62264508998</v>
      </c>
      <c r="D428" s="43">
        <v>965318.56176383002</v>
      </c>
    </row>
    <row r="429" spans="1:4" x14ac:dyDescent="0.4">
      <c r="A429" s="6">
        <v>487.23</v>
      </c>
      <c r="B429" s="43">
        <v>273768.03313753998</v>
      </c>
      <c r="C429" s="43">
        <v>275958.94285882002</v>
      </c>
      <c r="D429" s="43">
        <v>962580.14218671003</v>
      </c>
    </row>
    <row r="430" spans="1:4" x14ac:dyDescent="0.4">
      <c r="A430" s="6">
        <v>487.22</v>
      </c>
      <c r="B430" s="43">
        <v>273620.13963122002</v>
      </c>
      <c r="C430" s="43">
        <v>275803.93292013003</v>
      </c>
      <c r="D430" s="43">
        <v>959843.24844652996</v>
      </c>
    </row>
    <row r="431" spans="1:4" x14ac:dyDescent="0.4">
      <c r="A431" s="6">
        <v>487.21</v>
      </c>
      <c r="B431" s="43">
        <v>273470.4545547</v>
      </c>
      <c r="C431" s="43">
        <v>275647.13121626002</v>
      </c>
      <c r="D431" s="43">
        <v>957107.79212074995</v>
      </c>
    </row>
    <row r="432" spans="1:4" x14ac:dyDescent="0.4">
      <c r="A432" s="6">
        <v>487.2</v>
      </c>
      <c r="B432" s="43">
        <v>271970.17036935</v>
      </c>
      <c r="C432" s="43">
        <v>274139.75019072002</v>
      </c>
      <c r="D432" s="43">
        <v>954373.90773153002</v>
      </c>
    </row>
    <row r="433" spans="1:4" x14ac:dyDescent="0.4">
      <c r="A433" s="6">
        <v>487.19</v>
      </c>
      <c r="B433" s="43">
        <v>271692.98934718</v>
      </c>
      <c r="C433" s="43">
        <v>273855.42949338001</v>
      </c>
      <c r="D433" s="43">
        <v>951655.81414727995</v>
      </c>
    </row>
    <row r="434" spans="1:4" x14ac:dyDescent="0.4">
      <c r="A434" s="6">
        <v>487.18</v>
      </c>
      <c r="B434" s="43">
        <v>271486.87758124003</v>
      </c>
      <c r="C434" s="43">
        <v>273642.12735686998</v>
      </c>
      <c r="D434" s="43">
        <v>948939.93859239004</v>
      </c>
    </row>
    <row r="435" spans="1:4" x14ac:dyDescent="0.4">
      <c r="A435" s="6">
        <v>487.17</v>
      </c>
      <c r="B435" s="43">
        <v>271283.64942208998</v>
      </c>
      <c r="C435" s="43">
        <v>273431.68034492002</v>
      </c>
      <c r="D435" s="43">
        <v>946226.07491487998</v>
      </c>
    </row>
    <row r="436" spans="1:4" x14ac:dyDescent="0.4">
      <c r="A436" s="6">
        <v>487.16</v>
      </c>
      <c r="B436" s="43">
        <v>271081.87453933002</v>
      </c>
      <c r="C436" s="43">
        <v>273222.66386725998</v>
      </c>
      <c r="D436" s="43">
        <v>943514.21561109996</v>
      </c>
    </row>
    <row r="437" spans="1:4" x14ac:dyDescent="0.4">
      <c r="A437" s="6">
        <v>487.15</v>
      </c>
      <c r="B437" s="43">
        <v>270881.47164086002</v>
      </c>
      <c r="C437" s="43">
        <v>273015.00188171002</v>
      </c>
      <c r="D437" s="43">
        <v>940804.38090356998</v>
      </c>
    </row>
    <row r="438" spans="1:4" x14ac:dyDescent="0.4">
      <c r="A438" s="6">
        <v>487.14</v>
      </c>
      <c r="B438" s="43">
        <v>270682.16900671</v>
      </c>
      <c r="C438" s="43">
        <v>272808.42739099002</v>
      </c>
      <c r="D438" s="43">
        <v>938096.51455826999</v>
      </c>
    </row>
    <row r="439" spans="1:4" x14ac:dyDescent="0.4">
      <c r="A439" s="6">
        <v>487.13</v>
      </c>
      <c r="B439" s="43">
        <v>270484.25732870999</v>
      </c>
      <c r="C439" s="43">
        <v>272603.23160323</v>
      </c>
      <c r="D439" s="43">
        <v>935390.72050384001</v>
      </c>
    </row>
    <row r="440" spans="1:4" x14ac:dyDescent="0.4">
      <c r="A440" s="6">
        <v>487.12</v>
      </c>
      <c r="B440" s="43">
        <v>270287.59769776999</v>
      </c>
      <c r="C440" s="43">
        <v>272399.27914494998</v>
      </c>
      <c r="D440" s="43">
        <v>932686.89157840004</v>
      </c>
    </row>
    <row r="441" spans="1:4" x14ac:dyDescent="0.4">
      <c r="A441" s="6">
        <v>487.11</v>
      </c>
      <c r="B441" s="43">
        <v>270091.92713216</v>
      </c>
      <c r="C441" s="43">
        <v>272196.30917621002</v>
      </c>
      <c r="D441" s="43">
        <v>929985.04019511002</v>
      </c>
    </row>
    <row r="442" spans="1:4" x14ac:dyDescent="0.4">
      <c r="A442" s="6">
        <v>487.1</v>
      </c>
      <c r="B442" s="43">
        <v>269897.46938868001</v>
      </c>
      <c r="C442" s="43">
        <v>271994.54744459997</v>
      </c>
      <c r="D442" s="43">
        <v>927285.07149163005</v>
      </c>
    </row>
    <row r="443" spans="1:4" x14ac:dyDescent="0.4">
      <c r="A443" s="6">
        <v>487.09</v>
      </c>
      <c r="B443" s="43">
        <v>269704.08782739</v>
      </c>
      <c r="C443" s="43">
        <v>271793.86027255002</v>
      </c>
      <c r="D443" s="43">
        <v>924587.10879773996</v>
      </c>
    </row>
    <row r="444" spans="1:4" x14ac:dyDescent="0.4">
      <c r="A444" s="6">
        <v>487.08</v>
      </c>
      <c r="B444" s="43">
        <v>269511.66807213001</v>
      </c>
      <c r="C444" s="43">
        <v>271594.13480994001</v>
      </c>
      <c r="D444" s="43">
        <v>921891.01762114</v>
      </c>
    </row>
    <row r="445" spans="1:4" x14ac:dyDescent="0.4">
      <c r="A445" s="6">
        <v>487.07</v>
      </c>
      <c r="B445" s="43">
        <v>269320.36368050001</v>
      </c>
      <c r="C445" s="43">
        <v>271395.52561657998</v>
      </c>
      <c r="D445" s="43">
        <v>919196.88616147998</v>
      </c>
    </row>
    <row r="446" spans="1:4" x14ac:dyDescent="0.4">
      <c r="A446" s="6">
        <v>487.06</v>
      </c>
      <c r="B446" s="43">
        <v>269130.12130226003</v>
      </c>
      <c r="C446" s="43">
        <v>271197.97892552998</v>
      </c>
      <c r="D446" s="43">
        <v>916504.65728235</v>
      </c>
    </row>
    <row r="447" spans="1:4" x14ac:dyDescent="0.4">
      <c r="A447" s="6">
        <v>487.05</v>
      </c>
      <c r="B447" s="43">
        <v>268940.72566558002</v>
      </c>
      <c r="C447" s="43">
        <v>271001.28405197</v>
      </c>
      <c r="D447" s="43">
        <v>913814.34130720003</v>
      </c>
    </row>
    <row r="448" spans="1:4" x14ac:dyDescent="0.4">
      <c r="A448" s="6">
        <v>487.04</v>
      </c>
      <c r="B448" s="43">
        <v>268752.20744283003</v>
      </c>
      <c r="C448" s="43">
        <v>270805.47648696997</v>
      </c>
      <c r="D448" s="43">
        <v>911125.87046719005</v>
      </c>
    </row>
    <row r="449" spans="1:4" x14ac:dyDescent="0.4">
      <c r="A449" s="6">
        <v>487.03</v>
      </c>
      <c r="B449" s="43">
        <v>268564.66322281997</v>
      </c>
      <c r="C449" s="43">
        <v>270610.65443619998</v>
      </c>
      <c r="D449" s="43">
        <v>908439.30039113003</v>
      </c>
    </row>
    <row r="450" spans="1:4" x14ac:dyDescent="0.4">
      <c r="A450" s="6">
        <v>487.02</v>
      </c>
      <c r="B450" s="43">
        <v>268377.83261468</v>
      </c>
      <c r="C450" s="43">
        <v>270416.55768395</v>
      </c>
      <c r="D450" s="43">
        <v>905754.59546770004</v>
      </c>
    </row>
    <row r="451" spans="1:4" x14ac:dyDescent="0.4">
      <c r="A451" s="6">
        <v>487.01</v>
      </c>
      <c r="B451" s="43">
        <v>268190.54757348</v>
      </c>
      <c r="C451" s="43">
        <v>270222.03144986002</v>
      </c>
      <c r="D451" s="43">
        <v>903071.78236269997</v>
      </c>
    </row>
    <row r="452" spans="1:4" x14ac:dyDescent="0.4">
      <c r="A452" s="6">
        <v>487</v>
      </c>
      <c r="B452" s="43">
        <v>267959.67151692999</v>
      </c>
      <c r="C452" s="43">
        <v>269983.97238979</v>
      </c>
      <c r="D452" s="43">
        <v>900390.97667183005</v>
      </c>
    </row>
    <row r="453" spans="1:4" x14ac:dyDescent="0.4">
      <c r="A453" s="6">
        <v>486.99</v>
      </c>
      <c r="B453" s="43">
        <v>267141.52996506001</v>
      </c>
      <c r="C453" s="43">
        <v>269158.7153556</v>
      </c>
      <c r="D453" s="43">
        <v>897718.60361861996</v>
      </c>
    </row>
    <row r="454" spans="1:4" x14ac:dyDescent="0.4">
      <c r="A454" s="6">
        <v>486.98</v>
      </c>
      <c r="B454" s="43">
        <v>266968.54587427998</v>
      </c>
      <c r="C454" s="43">
        <v>268978.61957039998</v>
      </c>
      <c r="D454" s="43">
        <v>895048.04594961996</v>
      </c>
    </row>
    <row r="455" spans="1:4" x14ac:dyDescent="0.4">
      <c r="A455" s="6">
        <v>486.97</v>
      </c>
      <c r="B455" s="43">
        <v>266796.09797929</v>
      </c>
      <c r="C455" s="43">
        <v>268799.06936287001</v>
      </c>
      <c r="D455" s="43">
        <v>892379.22847555997</v>
      </c>
    </row>
    <row r="456" spans="1:4" x14ac:dyDescent="0.4">
      <c r="A456" s="6">
        <v>486.96</v>
      </c>
      <c r="B456" s="43">
        <v>266623.91563981998</v>
      </c>
      <c r="C456" s="43">
        <v>268619.79273286997</v>
      </c>
      <c r="D456" s="43">
        <v>889712.14752164006</v>
      </c>
    </row>
    <row r="457" spans="1:4" x14ac:dyDescent="0.4">
      <c r="A457" s="6">
        <v>486.95</v>
      </c>
      <c r="B457" s="43">
        <v>266452.12722468999</v>
      </c>
      <c r="C457" s="43">
        <v>268440.91861772002</v>
      </c>
      <c r="D457" s="43">
        <v>887046.77323278005</v>
      </c>
    </row>
    <row r="458" spans="1:4" x14ac:dyDescent="0.4">
      <c r="A458" s="6">
        <v>486.94</v>
      </c>
      <c r="B458" s="43">
        <v>266280.68099661003</v>
      </c>
      <c r="C458" s="43">
        <v>268262.39370108</v>
      </c>
      <c r="D458" s="43">
        <v>884383.10755643004</v>
      </c>
    </row>
    <row r="459" spans="1:4" x14ac:dyDescent="0.4">
      <c r="A459" s="6">
        <v>486.93</v>
      </c>
      <c r="B459" s="43">
        <v>266109.50179750001</v>
      </c>
      <c r="C459" s="43">
        <v>268084.14181032998</v>
      </c>
      <c r="D459" s="43">
        <v>881721.17363652994</v>
      </c>
    </row>
    <row r="460" spans="1:4" x14ac:dyDescent="0.4">
      <c r="A460" s="6">
        <v>486.92</v>
      </c>
      <c r="B460" s="43">
        <v>265938.68802192999</v>
      </c>
      <c r="C460" s="43">
        <v>267906.25962306</v>
      </c>
      <c r="D460" s="43">
        <v>879060.91797239997</v>
      </c>
    </row>
    <row r="461" spans="1:4" x14ac:dyDescent="0.4">
      <c r="A461" s="6">
        <v>486.91</v>
      </c>
      <c r="B461" s="43">
        <v>265768.13908226998</v>
      </c>
      <c r="C461" s="43">
        <v>267728.64672060002</v>
      </c>
      <c r="D461" s="43">
        <v>876402.38435789</v>
      </c>
    </row>
    <row r="462" spans="1:4" x14ac:dyDescent="0.4">
      <c r="A462" s="6">
        <v>486.9</v>
      </c>
      <c r="B462" s="43">
        <v>265597.97833433002</v>
      </c>
      <c r="C462" s="43">
        <v>267551.42707814998</v>
      </c>
      <c r="D462" s="43">
        <v>873745.59532477998</v>
      </c>
    </row>
    <row r="463" spans="1:4" x14ac:dyDescent="0.4">
      <c r="A463" s="6">
        <v>486.89</v>
      </c>
      <c r="B463" s="43">
        <v>265428.13313262002</v>
      </c>
      <c r="C463" s="43">
        <v>267374.52941408003</v>
      </c>
      <c r="D463" s="43">
        <v>871090.49050973996</v>
      </c>
    </row>
    <row r="464" spans="1:4" x14ac:dyDescent="0.4">
      <c r="A464" s="6">
        <v>486.88</v>
      </c>
      <c r="B464" s="43">
        <v>265258.52265509003</v>
      </c>
      <c r="C464" s="43">
        <v>267197.87685151002</v>
      </c>
      <c r="D464" s="43">
        <v>868437.10212096001</v>
      </c>
    </row>
    <row r="465" spans="1:4" x14ac:dyDescent="0.4">
      <c r="A465" s="6">
        <v>486.87</v>
      </c>
      <c r="B465" s="43">
        <v>265089.22095663002</v>
      </c>
      <c r="C465" s="43">
        <v>267021.54821371002</v>
      </c>
      <c r="D465" s="43">
        <v>865785.38850857003</v>
      </c>
    </row>
    <row r="466" spans="1:4" x14ac:dyDescent="0.4">
      <c r="A466" s="6">
        <v>486.86</v>
      </c>
      <c r="B466" s="43">
        <v>264920.00249076</v>
      </c>
      <c r="C466" s="43">
        <v>266845.32016096002</v>
      </c>
      <c r="D466" s="43">
        <v>863135.32918419002</v>
      </c>
    </row>
    <row r="467" spans="1:4" x14ac:dyDescent="0.4">
      <c r="A467" s="6">
        <v>486.85</v>
      </c>
      <c r="B467" s="43">
        <v>264750.87184913002</v>
      </c>
      <c r="C467" s="43">
        <v>266669.20578654</v>
      </c>
      <c r="D467" s="43">
        <v>860487.01823167002</v>
      </c>
    </row>
    <row r="468" spans="1:4" x14ac:dyDescent="0.4">
      <c r="A468" s="6">
        <v>486.84</v>
      </c>
      <c r="B468" s="43">
        <v>264581.59786113002</v>
      </c>
      <c r="C468" s="43">
        <v>266492.97827078</v>
      </c>
      <c r="D468" s="43">
        <v>857840.37834721</v>
      </c>
    </row>
    <row r="469" spans="1:4" x14ac:dyDescent="0.4">
      <c r="A469" s="6">
        <v>486.83</v>
      </c>
      <c r="B469" s="43">
        <v>264412.00989617</v>
      </c>
      <c r="C469" s="43">
        <v>266316.47401059</v>
      </c>
      <c r="D469" s="43">
        <v>855195.45260612003</v>
      </c>
    </row>
    <row r="470" spans="1:4" x14ac:dyDescent="0.4">
      <c r="A470" s="6">
        <v>486.82</v>
      </c>
      <c r="B470" s="43">
        <v>264241.70353127999</v>
      </c>
      <c r="C470" s="43">
        <v>266139.29988467001</v>
      </c>
      <c r="D470" s="43">
        <v>852552.23013798997</v>
      </c>
    </row>
    <row r="471" spans="1:4" x14ac:dyDescent="0.4">
      <c r="A471" s="6">
        <v>486.81</v>
      </c>
      <c r="B471" s="43">
        <v>264069.05354992999</v>
      </c>
      <c r="C471" s="43">
        <v>265959.84152710001</v>
      </c>
      <c r="D471" s="43">
        <v>849910.73510227003</v>
      </c>
    </row>
    <row r="472" spans="1:4" x14ac:dyDescent="0.4">
      <c r="A472" s="6">
        <v>486.8</v>
      </c>
      <c r="B472" s="43">
        <v>263852.67314834998</v>
      </c>
      <c r="C472" s="43">
        <v>265736.73761011002</v>
      </c>
      <c r="D472" s="43">
        <v>847271.05216035002</v>
      </c>
    </row>
    <row r="473" spans="1:4" x14ac:dyDescent="0.4">
      <c r="A473" s="6">
        <v>486.79</v>
      </c>
      <c r="B473" s="43">
        <v>262374.69386007998</v>
      </c>
      <c r="C473" s="43">
        <v>264252.12341375998</v>
      </c>
      <c r="D473" s="43">
        <v>844646.05426421005</v>
      </c>
    </row>
    <row r="474" spans="1:4" x14ac:dyDescent="0.4">
      <c r="A474" s="6">
        <v>486.78</v>
      </c>
      <c r="B474" s="43">
        <v>262148.23567892</v>
      </c>
      <c r="C474" s="43">
        <v>264019.04210674</v>
      </c>
      <c r="D474" s="43">
        <v>842023.42216313002</v>
      </c>
    </row>
    <row r="475" spans="1:4" x14ac:dyDescent="0.4">
      <c r="A475" s="6">
        <v>486.77</v>
      </c>
      <c r="B475" s="43">
        <v>261923.03962274001</v>
      </c>
      <c r="C475" s="43">
        <v>263787.23868984001</v>
      </c>
      <c r="D475" s="43">
        <v>839403.05039803998</v>
      </c>
    </row>
    <row r="476" spans="1:4" x14ac:dyDescent="0.4">
      <c r="A476" s="6">
        <v>486.76</v>
      </c>
      <c r="B476" s="43">
        <v>261698.40773948</v>
      </c>
      <c r="C476" s="43">
        <v>263556.01893164002</v>
      </c>
      <c r="D476" s="43">
        <v>836784.99192519998</v>
      </c>
    </row>
    <row r="477" spans="1:4" x14ac:dyDescent="0.4">
      <c r="A477" s="6">
        <v>486.75</v>
      </c>
      <c r="B477" s="43">
        <v>261474.39971709001</v>
      </c>
      <c r="C477" s="43">
        <v>263325.43939391</v>
      </c>
      <c r="D477" s="43">
        <v>834169.10494153004</v>
      </c>
    </row>
    <row r="478" spans="1:4" x14ac:dyDescent="0.4">
      <c r="A478" s="6">
        <v>486.74</v>
      </c>
      <c r="B478" s="43">
        <v>261250.72651420999</v>
      </c>
      <c r="C478" s="43">
        <v>263095.21009722003</v>
      </c>
      <c r="D478" s="43">
        <v>831555.53507833998</v>
      </c>
    </row>
    <row r="479" spans="1:4" x14ac:dyDescent="0.4">
      <c r="A479" s="6">
        <v>486.73</v>
      </c>
      <c r="B479" s="43">
        <v>261027.75558207001</v>
      </c>
      <c r="C479" s="43">
        <v>262865.69605919998</v>
      </c>
      <c r="D479" s="43">
        <v>828944.16471141996</v>
      </c>
    </row>
    <row r="480" spans="1:4" x14ac:dyDescent="0.4">
      <c r="A480" s="6">
        <v>486.72</v>
      </c>
      <c r="B480" s="43">
        <v>260805.33920238001</v>
      </c>
      <c r="C480" s="43">
        <v>262636.74634642998</v>
      </c>
      <c r="D480" s="43">
        <v>826335.01553606999</v>
      </c>
    </row>
    <row r="481" spans="1:4" x14ac:dyDescent="0.4">
      <c r="A481" s="6">
        <v>486.71</v>
      </c>
      <c r="B481" s="43">
        <v>260583.38013621999</v>
      </c>
      <c r="C481" s="43">
        <v>262408.26290152001</v>
      </c>
      <c r="D481" s="43">
        <v>823728.09494998003</v>
      </c>
    </row>
    <row r="482" spans="1:4" x14ac:dyDescent="0.4">
      <c r="A482" s="6">
        <v>486.7</v>
      </c>
      <c r="B482" s="43">
        <v>260361.94112857999</v>
      </c>
      <c r="C482" s="43">
        <v>262180.30915548</v>
      </c>
      <c r="D482" s="43">
        <v>821123.34717574005</v>
      </c>
    </row>
    <row r="483" spans="1:4" x14ac:dyDescent="0.4">
      <c r="A483" s="6">
        <v>486.69</v>
      </c>
      <c r="B483" s="43">
        <v>260141.15035702</v>
      </c>
      <c r="C483" s="43">
        <v>261953.01327408</v>
      </c>
      <c r="D483" s="43">
        <v>818520.85954459</v>
      </c>
    </row>
    <row r="484" spans="1:4" x14ac:dyDescent="0.4">
      <c r="A484" s="6">
        <v>486.68</v>
      </c>
      <c r="B484" s="43">
        <v>259920.89981383001</v>
      </c>
      <c r="C484" s="43">
        <v>261726.26989277001</v>
      </c>
      <c r="D484" s="43">
        <v>815920.54359240003</v>
      </c>
    </row>
    <row r="485" spans="1:4" x14ac:dyDescent="0.4">
      <c r="A485" s="6">
        <v>486.67</v>
      </c>
      <c r="B485" s="43">
        <v>259701.12133170001</v>
      </c>
      <c r="C485" s="43">
        <v>261500.00792713001</v>
      </c>
      <c r="D485" s="43">
        <v>813322.45432863</v>
      </c>
    </row>
    <row r="486" spans="1:4" x14ac:dyDescent="0.4">
      <c r="A486" s="6">
        <v>486.66</v>
      </c>
      <c r="B486" s="43">
        <v>259481.77877578</v>
      </c>
      <c r="C486" s="43">
        <v>261274.19432149001</v>
      </c>
      <c r="D486" s="43">
        <v>810726.55816900998</v>
      </c>
    </row>
    <row r="487" spans="1:4" x14ac:dyDescent="0.4">
      <c r="A487" s="6">
        <v>486.65</v>
      </c>
      <c r="B487" s="43">
        <v>259262.72668729999</v>
      </c>
      <c r="C487" s="43">
        <v>261048.69063974</v>
      </c>
      <c r="D487" s="43">
        <v>808132.85400056001</v>
      </c>
    </row>
    <row r="488" spans="1:4" x14ac:dyDescent="0.4">
      <c r="A488" s="6">
        <v>486.64</v>
      </c>
      <c r="B488" s="43">
        <v>259043.86479145</v>
      </c>
      <c r="C488" s="43">
        <v>260823.40029475</v>
      </c>
      <c r="D488" s="43">
        <v>805541.36556397995</v>
      </c>
    </row>
    <row r="489" spans="1:4" x14ac:dyDescent="0.4">
      <c r="A489" s="6">
        <v>486.63</v>
      </c>
      <c r="B489" s="43">
        <v>258824.94176292</v>
      </c>
      <c r="C489" s="43">
        <v>260598.07665285</v>
      </c>
      <c r="D489" s="43">
        <v>802952.11316337006</v>
      </c>
    </row>
    <row r="490" spans="1:4" x14ac:dyDescent="0.4">
      <c r="A490" s="6">
        <v>486.62</v>
      </c>
      <c r="B490" s="43">
        <v>258605.14912511999</v>
      </c>
      <c r="C490" s="43">
        <v>260371.91892741001</v>
      </c>
      <c r="D490" s="43">
        <v>800365.02058999997</v>
      </c>
    </row>
    <row r="491" spans="1:4" x14ac:dyDescent="0.4">
      <c r="A491" s="6">
        <v>486.61</v>
      </c>
      <c r="B491" s="43">
        <v>258383.14172444001</v>
      </c>
      <c r="C491" s="43">
        <v>260143.59370113999</v>
      </c>
      <c r="D491" s="43">
        <v>797780.10869370005</v>
      </c>
    </row>
    <row r="492" spans="1:4" x14ac:dyDescent="0.4">
      <c r="A492" s="6">
        <v>486.6</v>
      </c>
      <c r="B492" s="43">
        <v>257143.57241111001</v>
      </c>
      <c r="C492" s="43">
        <v>258897.77723561999</v>
      </c>
      <c r="D492" s="43">
        <v>795197.49619097996</v>
      </c>
    </row>
    <row r="493" spans="1:4" x14ac:dyDescent="0.4">
      <c r="A493" s="6">
        <v>486.59</v>
      </c>
      <c r="B493" s="43">
        <v>256890.80062493001</v>
      </c>
      <c r="C493" s="43">
        <v>258638.84192944001</v>
      </c>
      <c r="D493" s="43">
        <v>792627.42075466004</v>
      </c>
    </row>
    <row r="494" spans="1:4" x14ac:dyDescent="0.4">
      <c r="A494" s="6">
        <v>486.58</v>
      </c>
      <c r="B494" s="43">
        <v>256668.16558398999</v>
      </c>
      <c r="C494" s="43">
        <v>258410.05468557999</v>
      </c>
      <c r="D494" s="43">
        <v>790059.62117469998</v>
      </c>
    </row>
    <row r="495" spans="1:4" x14ac:dyDescent="0.4">
      <c r="A495" s="6">
        <v>486.57</v>
      </c>
      <c r="B495" s="43">
        <v>256446.88898610999</v>
      </c>
      <c r="C495" s="43">
        <v>258182.63825664</v>
      </c>
      <c r="D495" s="43">
        <v>787494.06257898</v>
      </c>
    </row>
    <row r="496" spans="1:4" x14ac:dyDescent="0.4">
      <c r="A496" s="6">
        <v>486.56</v>
      </c>
      <c r="B496" s="43">
        <v>256226.57670875001</v>
      </c>
      <c r="C496" s="43">
        <v>257956.19338529999</v>
      </c>
      <c r="D496" s="43">
        <v>784930.69463289995</v>
      </c>
    </row>
    <row r="497" spans="1:4" x14ac:dyDescent="0.4">
      <c r="A497" s="6">
        <v>486.55</v>
      </c>
      <c r="B497" s="43">
        <v>256007.28574127</v>
      </c>
      <c r="C497" s="43">
        <v>257730.77281117</v>
      </c>
      <c r="D497" s="43">
        <v>782369.53307276999</v>
      </c>
    </row>
    <row r="498" spans="1:4" x14ac:dyDescent="0.4">
      <c r="A498" s="6">
        <v>486.54</v>
      </c>
      <c r="B498" s="43">
        <v>255789.11719548999</v>
      </c>
      <c r="C498" s="43">
        <v>257506.47562991999</v>
      </c>
      <c r="D498" s="43">
        <v>779810.53495014005</v>
      </c>
    </row>
    <row r="499" spans="1:4" x14ac:dyDescent="0.4">
      <c r="A499" s="6">
        <v>486.53</v>
      </c>
      <c r="B499" s="43">
        <v>255572.05058810001</v>
      </c>
      <c r="C499" s="43">
        <v>257283.28242511</v>
      </c>
      <c r="D499" s="43">
        <v>777253.74847727001</v>
      </c>
    </row>
    <row r="500" spans="1:4" x14ac:dyDescent="0.4">
      <c r="A500" s="6">
        <v>486.52</v>
      </c>
      <c r="B500" s="43">
        <v>255356.20106314</v>
      </c>
      <c r="C500" s="43">
        <v>257061.30845588999</v>
      </c>
      <c r="D500" s="43">
        <v>774699.10024704004</v>
      </c>
    </row>
    <row r="501" spans="1:4" x14ac:dyDescent="0.4">
      <c r="A501" s="6">
        <v>486.51</v>
      </c>
      <c r="B501" s="43">
        <v>255141.49917525999</v>
      </c>
      <c r="C501" s="43">
        <v>256840.48358113001</v>
      </c>
      <c r="D501" s="43">
        <v>772146.61234244995</v>
      </c>
    </row>
    <row r="502" spans="1:4" x14ac:dyDescent="0.4">
      <c r="A502" s="6">
        <v>486.5</v>
      </c>
      <c r="B502" s="43">
        <v>254927.89931057001</v>
      </c>
      <c r="C502" s="43">
        <v>256620.76246090999</v>
      </c>
      <c r="D502" s="43">
        <v>769596.26982695004</v>
      </c>
    </row>
    <row r="503" spans="1:4" x14ac:dyDescent="0.4">
      <c r="A503" s="6">
        <v>486.49</v>
      </c>
      <c r="B503" s="43">
        <v>254715.33132144</v>
      </c>
      <c r="C503" s="43">
        <v>256402.07644154999</v>
      </c>
      <c r="D503" s="43">
        <v>767048.05273554998</v>
      </c>
    </row>
    <row r="504" spans="1:4" x14ac:dyDescent="0.4">
      <c r="A504" s="6">
        <v>486.48</v>
      </c>
      <c r="B504" s="43">
        <v>254503.81648084</v>
      </c>
      <c r="C504" s="43">
        <v>256184.44878562001</v>
      </c>
      <c r="D504" s="43">
        <v>764501.99466278998</v>
      </c>
    </row>
    <row r="505" spans="1:4" x14ac:dyDescent="0.4">
      <c r="A505" s="6">
        <v>486.47</v>
      </c>
      <c r="B505" s="43">
        <v>254293.36072177999</v>
      </c>
      <c r="C505" s="43">
        <v>255967.88901677</v>
      </c>
      <c r="D505" s="43">
        <v>761958.04983037</v>
      </c>
    </row>
    <row r="506" spans="1:4" x14ac:dyDescent="0.4">
      <c r="A506" s="6">
        <v>486.46</v>
      </c>
      <c r="B506" s="43">
        <v>254083.89984525999</v>
      </c>
      <c r="C506" s="43">
        <v>255752.33245257</v>
      </c>
      <c r="D506" s="43">
        <v>759416.22289923998</v>
      </c>
    </row>
    <row r="507" spans="1:4" x14ac:dyDescent="0.4">
      <c r="A507" s="6">
        <v>486.45</v>
      </c>
      <c r="B507" s="43">
        <v>253875.30607794001</v>
      </c>
      <c r="C507" s="43">
        <v>255537.65311643001</v>
      </c>
      <c r="D507" s="43">
        <v>756876.40803925996</v>
      </c>
    </row>
    <row r="508" spans="1:4" x14ac:dyDescent="0.4">
      <c r="A508" s="6">
        <v>486.44</v>
      </c>
      <c r="B508" s="43">
        <v>253667.80679833001</v>
      </c>
      <c r="C508" s="43">
        <v>255324.07704184001</v>
      </c>
      <c r="D508" s="43">
        <v>754338.72138608003</v>
      </c>
    </row>
    <row r="509" spans="1:4" x14ac:dyDescent="0.4">
      <c r="A509" s="6">
        <v>486.43</v>
      </c>
      <c r="B509" s="43">
        <v>253461.40748363</v>
      </c>
      <c r="C509" s="43">
        <v>255111.60758916</v>
      </c>
      <c r="D509" s="43">
        <v>751803.10298266006</v>
      </c>
    </row>
    <row r="510" spans="1:4" x14ac:dyDescent="0.4">
      <c r="A510" s="6">
        <v>486.42</v>
      </c>
      <c r="B510" s="43">
        <v>253256.2822057</v>
      </c>
      <c r="C510" s="43">
        <v>254900.41312821</v>
      </c>
      <c r="D510" s="43">
        <v>749269.49309991999</v>
      </c>
    </row>
    <row r="511" spans="1:4" x14ac:dyDescent="0.4">
      <c r="A511" s="6">
        <v>486.41</v>
      </c>
      <c r="B511" s="43">
        <v>253051.51174178999</v>
      </c>
      <c r="C511" s="43">
        <v>254689.5708933</v>
      </c>
      <c r="D511" s="43">
        <v>746737.95237668999</v>
      </c>
    </row>
    <row r="512" spans="1:4" x14ac:dyDescent="0.4">
      <c r="A512" s="6">
        <v>486.4</v>
      </c>
      <c r="B512" s="43">
        <v>252827.09202117001</v>
      </c>
      <c r="C512" s="43">
        <v>254459.08704069001</v>
      </c>
      <c r="D512" s="43">
        <v>744208.47818420001</v>
      </c>
    </row>
    <row r="513" spans="1:4" x14ac:dyDescent="0.4">
      <c r="A513" s="6">
        <v>486.39</v>
      </c>
      <c r="B513" s="43">
        <v>252530.35642316999</v>
      </c>
      <c r="C513" s="43">
        <v>254156.25543578999</v>
      </c>
      <c r="D513" s="43">
        <v>741682.01512300002</v>
      </c>
    </row>
    <row r="514" spans="1:4" x14ac:dyDescent="0.4">
      <c r="A514" s="6">
        <v>486.38</v>
      </c>
      <c r="B514" s="43">
        <v>252333.61923852999</v>
      </c>
      <c r="C514" s="43">
        <v>253953.35073681001</v>
      </c>
      <c r="D514" s="43">
        <v>739157.69790212996</v>
      </c>
    </row>
    <row r="515" spans="1:4" x14ac:dyDescent="0.4">
      <c r="A515" s="6">
        <v>486.37</v>
      </c>
      <c r="B515" s="43">
        <v>252139.87856852001</v>
      </c>
      <c r="C515" s="43">
        <v>253753.38520051001</v>
      </c>
      <c r="D515" s="43">
        <v>736635.34469422</v>
      </c>
    </row>
    <row r="516" spans="1:4" x14ac:dyDescent="0.4">
      <c r="A516" s="6">
        <v>486.36</v>
      </c>
      <c r="B516" s="43">
        <v>251947.69559414999</v>
      </c>
      <c r="C516" s="43">
        <v>253554.93369529</v>
      </c>
      <c r="D516" s="43">
        <v>734114.89858209004</v>
      </c>
    </row>
    <row r="517" spans="1:4" x14ac:dyDescent="0.4">
      <c r="A517" s="6">
        <v>486.35</v>
      </c>
      <c r="B517" s="43">
        <v>251757.33257043001</v>
      </c>
      <c r="C517" s="43">
        <v>253358.26922354</v>
      </c>
      <c r="D517" s="43">
        <v>731596.37028965994</v>
      </c>
    </row>
    <row r="518" spans="1:4" x14ac:dyDescent="0.4">
      <c r="A518" s="6">
        <v>486.34</v>
      </c>
      <c r="B518" s="43">
        <v>251568.381028</v>
      </c>
      <c r="C518" s="43">
        <v>253162.99496148</v>
      </c>
      <c r="D518" s="43">
        <v>729079.72318750003</v>
      </c>
    </row>
    <row r="519" spans="1:4" x14ac:dyDescent="0.4">
      <c r="A519" s="6">
        <v>486.33</v>
      </c>
      <c r="B519" s="43">
        <v>251380.55882400999</v>
      </c>
      <c r="C519" s="43">
        <v>252968.83894660999</v>
      </c>
      <c r="D519" s="43">
        <v>726564.98341264005</v>
      </c>
    </row>
    <row r="520" spans="1:4" x14ac:dyDescent="0.4">
      <c r="A520" s="6">
        <v>486.32</v>
      </c>
      <c r="B520" s="43">
        <v>251193.76176895999</v>
      </c>
      <c r="C520" s="43">
        <v>252775.69869296</v>
      </c>
      <c r="D520" s="43">
        <v>724052.16407547996</v>
      </c>
    </row>
    <row r="521" spans="1:4" x14ac:dyDescent="0.4">
      <c r="A521" s="6">
        <v>486.31</v>
      </c>
      <c r="B521" s="43">
        <v>251007.95847077001</v>
      </c>
      <c r="C521" s="43">
        <v>252583.54556155999</v>
      </c>
      <c r="D521" s="43">
        <v>721541.13575410005</v>
      </c>
    </row>
    <row r="522" spans="1:4" x14ac:dyDescent="0.4">
      <c r="A522" s="6">
        <v>486.3</v>
      </c>
      <c r="B522" s="43">
        <v>250823.11440230999</v>
      </c>
      <c r="C522" s="43">
        <v>252392.34681779999</v>
      </c>
      <c r="D522" s="43">
        <v>719032.01745246002</v>
      </c>
    </row>
    <row r="523" spans="1:4" x14ac:dyDescent="0.4">
      <c r="A523" s="6">
        <v>486.29</v>
      </c>
      <c r="B523" s="43">
        <v>250639.20964593001</v>
      </c>
      <c r="C523" s="43">
        <v>252202.08718063001</v>
      </c>
      <c r="D523" s="43">
        <v>716524.68904809002</v>
      </c>
    </row>
    <row r="524" spans="1:4" x14ac:dyDescent="0.4">
      <c r="A524" s="6">
        <v>486.28</v>
      </c>
      <c r="B524" s="43">
        <v>250456.15052086001</v>
      </c>
      <c r="C524" s="43">
        <v>252012.67435332999</v>
      </c>
      <c r="D524" s="43">
        <v>714019.23185002001</v>
      </c>
    </row>
    <row r="525" spans="1:4" x14ac:dyDescent="0.4">
      <c r="A525" s="6">
        <v>486.27</v>
      </c>
      <c r="B525" s="43">
        <v>250273.93828402</v>
      </c>
      <c r="C525" s="43">
        <v>251824.10928999999</v>
      </c>
      <c r="D525" s="43">
        <v>711515.55095127004</v>
      </c>
    </row>
    <row r="526" spans="1:4" x14ac:dyDescent="0.4">
      <c r="A526" s="6">
        <v>486.26</v>
      </c>
      <c r="B526" s="43">
        <v>250092.52671711001</v>
      </c>
      <c r="C526" s="43">
        <v>251636.3477362</v>
      </c>
      <c r="D526" s="43">
        <v>709013.72221981001</v>
      </c>
    </row>
    <row r="527" spans="1:4" x14ac:dyDescent="0.4">
      <c r="A527" s="6">
        <v>486.25</v>
      </c>
      <c r="B527" s="43">
        <v>249911.87483620999</v>
      </c>
      <c r="C527" s="43">
        <v>251449.35299448</v>
      </c>
      <c r="D527" s="43">
        <v>706513.69908471999</v>
      </c>
    </row>
    <row r="528" spans="1:4" x14ac:dyDescent="0.4">
      <c r="A528" s="6">
        <v>486.24</v>
      </c>
      <c r="B528" s="43">
        <v>249731.98725899999</v>
      </c>
      <c r="C528" s="43">
        <v>251263.13073099</v>
      </c>
      <c r="D528" s="43">
        <v>704015.45686077001</v>
      </c>
    </row>
    <row r="529" spans="1:4" x14ac:dyDescent="0.4">
      <c r="A529" s="6">
        <v>486.23</v>
      </c>
      <c r="B529" s="43">
        <v>249552.75311061001</v>
      </c>
      <c r="C529" s="43">
        <v>251077.57012757999</v>
      </c>
      <c r="D529" s="43">
        <v>701519.08181644999</v>
      </c>
    </row>
    <row r="530" spans="1:4" x14ac:dyDescent="0.4">
      <c r="A530" s="6">
        <v>486.22</v>
      </c>
      <c r="B530" s="43">
        <v>249373.92572073001</v>
      </c>
      <c r="C530" s="43">
        <v>250892.42586133999</v>
      </c>
      <c r="D530" s="43">
        <v>699024.47091897996</v>
      </c>
    </row>
    <row r="531" spans="1:4" x14ac:dyDescent="0.4">
      <c r="A531" s="6">
        <v>486.21</v>
      </c>
      <c r="B531" s="43">
        <v>249194.37352781999</v>
      </c>
      <c r="C531" s="43">
        <v>250706.56963814</v>
      </c>
      <c r="D531" s="43">
        <v>696531.65373680997</v>
      </c>
    </row>
    <row r="532" spans="1:4" x14ac:dyDescent="0.4">
      <c r="A532" s="6">
        <v>486.2</v>
      </c>
      <c r="B532" s="43">
        <v>248819.33457641999</v>
      </c>
      <c r="C532" s="43">
        <v>250325.25517580999</v>
      </c>
      <c r="D532" s="43">
        <v>694040.59809925</v>
      </c>
    </row>
    <row r="533" spans="1:4" x14ac:dyDescent="0.4">
      <c r="A533" s="6">
        <v>486.19</v>
      </c>
      <c r="B533" s="43">
        <v>248626.09527105</v>
      </c>
      <c r="C533" s="43">
        <v>250125.75439573001</v>
      </c>
      <c r="D533" s="43">
        <v>691553.38387692999</v>
      </c>
    </row>
    <row r="534" spans="1:4" x14ac:dyDescent="0.4">
      <c r="A534" s="6">
        <v>486.18</v>
      </c>
      <c r="B534" s="43">
        <v>248451.48401625</v>
      </c>
      <c r="C534" s="43">
        <v>249944.83655521</v>
      </c>
      <c r="D534" s="43">
        <v>689067.98781269998</v>
      </c>
    </row>
    <row r="535" spans="1:4" x14ac:dyDescent="0.4">
      <c r="A535" s="6">
        <v>486.17</v>
      </c>
      <c r="B535" s="43">
        <v>248278.22638819</v>
      </c>
      <c r="C535" s="43">
        <v>249765.24324881</v>
      </c>
      <c r="D535" s="43">
        <v>686584.36995870003</v>
      </c>
    </row>
    <row r="536" spans="1:4" x14ac:dyDescent="0.4">
      <c r="A536" s="6">
        <v>486.16</v>
      </c>
      <c r="B536" s="43">
        <v>248105.20137642999</v>
      </c>
      <c r="C536" s="43">
        <v>249585.86346816001</v>
      </c>
      <c r="D536" s="43">
        <v>684102.43294892996</v>
      </c>
    </row>
    <row r="537" spans="1:4" x14ac:dyDescent="0.4">
      <c r="A537" s="6">
        <v>486.15</v>
      </c>
      <c r="B537" s="43">
        <v>247931.83463756001</v>
      </c>
      <c r="C537" s="43">
        <v>249406.12781077999</v>
      </c>
      <c r="D537" s="43">
        <v>681622.26330574998</v>
      </c>
    </row>
    <row r="538" spans="1:4" x14ac:dyDescent="0.4">
      <c r="A538" s="6">
        <v>486.14</v>
      </c>
      <c r="B538" s="43">
        <v>247757.93148072</v>
      </c>
      <c r="C538" s="43">
        <v>249225.84405556999</v>
      </c>
      <c r="D538" s="43">
        <v>679143.79528637999</v>
      </c>
    </row>
    <row r="539" spans="1:4" x14ac:dyDescent="0.4">
      <c r="A539" s="6">
        <v>486.13</v>
      </c>
      <c r="B539" s="43">
        <v>247583.51459635</v>
      </c>
      <c r="C539" s="43">
        <v>249045.042503</v>
      </c>
      <c r="D539" s="43">
        <v>676667.12680619</v>
      </c>
    </row>
    <row r="540" spans="1:4" x14ac:dyDescent="0.4">
      <c r="A540" s="6">
        <v>486.12</v>
      </c>
      <c r="B540" s="43">
        <v>247408.42497399999</v>
      </c>
      <c r="C540" s="43">
        <v>248863.57075908</v>
      </c>
      <c r="D540" s="43">
        <v>674192.14268106001</v>
      </c>
    </row>
    <row r="541" spans="1:4" x14ac:dyDescent="0.4">
      <c r="A541" s="6">
        <v>486.11</v>
      </c>
      <c r="B541" s="43">
        <v>247232.65178322999</v>
      </c>
      <c r="C541" s="43">
        <v>248681.42288355</v>
      </c>
      <c r="D541" s="43">
        <v>671718.95050240995</v>
      </c>
    </row>
    <row r="542" spans="1:4" x14ac:dyDescent="0.4">
      <c r="A542" s="6">
        <v>486.1</v>
      </c>
      <c r="B542" s="43">
        <v>247056.15062226</v>
      </c>
      <c r="C542" s="43">
        <v>248498.55563367999</v>
      </c>
      <c r="D542" s="43">
        <v>669247.52662458003</v>
      </c>
    </row>
    <row r="543" spans="1:4" x14ac:dyDescent="0.4">
      <c r="A543" s="6">
        <v>486.09</v>
      </c>
      <c r="B543" s="43">
        <v>246878.9146818</v>
      </c>
      <c r="C543" s="43">
        <v>248314.96131873</v>
      </c>
      <c r="D543" s="43">
        <v>666777.84369172005</v>
      </c>
    </row>
    <row r="544" spans="1:4" x14ac:dyDescent="0.4">
      <c r="A544" s="6">
        <v>486.08</v>
      </c>
      <c r="B544" s="43">
        <v>246700.92683454001</v>
      </c>
      <c r="C544" s="43">
        <v>248130.62571204</v>
      </c>
      <c r="D544" s="43">
        <v>664309.98266505997</v>
      </c>
    </row>
    <row r="545" spans="1:4" x14ac:dyDescent="0.4">
      <c r="A545" s="6">
        <v>486.07</v>
      </c>
      <c r="B545" s="43">
        <v>246522.12280926001</v>
      </c>
      <c r="C545" s="43">
        <v>247945.4853498</v>
      </c>
      <c r="D545" s="43">
        <v>661843.89445892</v>
      </c>
    </row>
    <row r="546" spans="1:4" x14ac:dyDescent="0.4">
      <c r="A546" s="6">
        <v>486.06</v>
      </c>
      <c r="B546" s="43">
        <v>246342.35237522001</v>
      </c>
      <c r="C546" s="43">
        <v>247759.39379683</v>
      </c>
      <c r="D546" s="43">
        <v>659379.57581452001</v>
      </c>
    </row>
    <row r="547" spans="1:4" x14ac:dyDescent="0.4">
      <c r="A547" s="6">
        <v>486.05</v>
      </c>
      <c r="B547" s="43">
        <v>246161.56784430001</v>
      </c>
      <c r="C547" s="43">
        <v>247572.30483837001</v>
      </c>
      <c r="D547" s="43">
        <v>656917.11407163006</v>
      </c>
    </row>
    <row r="548" spans="1:4" x14ac:dyDescent="0.4">
      <c r="A548" s="6">
        <v>486.04</v>
      </c>
      <c r="B548" s="43">
        <v>245979.69279100999</v>
      </c>
      <c r="C548" s="43">
        <v>247384.14530758999</v>
      </c>
      <c r="D548" s="43">
        <v>654456.40571192</v>
      </c>
    </row>
    <row r="549" spans="1:4" x14ac:dyDescent="0.4">
      <c r="A549" s="6">
        <v>486.03</v>
      </c>
      <c r="B549" s="43">
        <v>245796.37592726</v>
      </c>
      <c r="C549" s="43">
        <v>247194.57087860999</v>
      </c>
      <c r="D549" s="43">
        <v>651997.59137580998</v>
      </c>
    </row>
    <row r="550" spans="1:4" x14ac:dyDescent="0.4">
      <c r="A550" s="6">
        <v>486.02</v>
      </c>
      <c r="B550" s="43">
        <v>245611.53608921001</v>
      </c>
      <c r="C550" s="43">
        <v>247003.50458124999</v>
      </c>
      <c r="D550" s="43">
        <v>649540.57578387996</v>
      </c>
    </row>
    <row r="551" spans="1:4" x14ac:dyDescent="0.4">
      <c r="A551" s="6">
        <v>486.01</v>
      </c>
      <c r="B551" s="43">
        <v>245423.12431123</v>
      </c>
      <c r="C551" s="43">
        <v>246808.91030764001</v>
      </c>
      <c r="D551" s="43">
        <v>647085.42898627999</v>
      </c>
    </row>
    <row r="552" spans="1:4" x14ac:dyDescent="0.4">
      <c r="A552" s="6">
        <v>486</v>
      </c>
      <c r="B552" s="43">
        <v>245184.93791434</v>
      </c>
      <c r="C552" s="43">
        <v>246564.61108607001</v>
      </c>
      <c r="D552" s="43">
        <v>644632.24726224004</v>
      </c>
    </row>
    <row r="553" spans="1:4" x14ac:dyDescent="0.4">
      <c r="A553" s="6">
        <v>485.99</v>
      </c>
      <c r="B553" s="43">
        <v>244558.93018184</v>
      </c>
      <c r="C553" s="43">
        <v>245932.52374352</v>
      </c>
      <c r="D553" s="43">
        <v>642185.36183879001</v>
      </c>
    </row>
    <row r="554" spans="1:4" x14ac:dyDescent="0.4">
      <c r="A554" s="6">
        <v>485.98</v>
      </c>
      <c r="B554" s="43">
        <v>244344.87274001999</v>
      </c>
      <c r="C554" s="43">
        <v>245712.35390414001</v>
      </c>
      <c r="D554" s="43">
        <v>639740.8406923</v>
      </c>
    </row>
    <row r="555" spans="1:4" x14ac:dyDescent="0.4">
      <c r="A555" s="6">
        <v>485.97</v>
      </c>
      <c r="B555" s="43">
        <v>244131.79786617999</v>
      </c>
      <c r="C555" s="43">
        <v>245493.15003451001</v>
      </c>
      <c r="D555" s="43">
        <v>637298.46797730005</v>
      </c>
    </row>
    <row r="556" spans="1:4" x14ac:dyDescent="0.4">
      <c r="A556" s="6">
        <v>485.96</v>
      </c>
      <c r="B556" s="43">
        <v>243918.73698896001</v>
      </c>
      <c r="C556" s="43">
        <v>245273.94506267001</v>
      </c>
      <c r="D556" s="43">
        <v>634858.21247271996</v>
      </c>
    </row>
    <row r="557" spans="1:4" x14ac:dyDescent="0.4">
      <c r="A557" s="6">
        <v>485.95</v>
      </c>
      <c r="B557" s="43">
        <v>243705.17899576001</v>
      </c>
      <c r="C557" s="43">
        <v>245054.23677523001</v>
      </c>
      <c r="D557" s="43">
        <v>632420.08159279998</v>
      </c>
    </row>
    <row r="558" spans="1:4" x14ac:dyDescent="0.4">
      <c r="A558" s="6">
        <v>485.94</v>
      </c>
      <c r="B558" s="43">
        <v>243491.12530919001</v>
      </c>
      <c r="C558" s="43">
        <v>244834.03247916</v>
      </c>
      <c r="D558" s="43">
        <v>629984.11643715994</v>
      </c>
    </row>
    <row r="559" spans="1:4" x14ac:dyDescent="0.4">
      <c r="A559" s="6">
        <v>485.93</v>
      </c>
      <c r="B559" s="43">
        <v>243276.40864584001</v>
      </c>
      <c r="C559" s="43">
        <v>244613.16466673001</v>
      </c>
      <c r="D559" s="43">
        <v>627550.29107829998</v>
      </c>
    </row>
    <row r="560" spans="1:4" x14ac:dyDescent="0.4">
      <c r="A560" s="6">
        <v>485.92</v>
      </c>
      <c r="B560" s="43">
        <v>243061.11779674</v>
      </c>
      <c r="C560" s="43">
        <v>244391.72261460999</v>
      </c>
      <c r="D560" s="43">
        <v>625118.59944145998</v>
      </c>
    </row>
    <row r="561" spans="1:4" x14ac:dyDescent="0.4">
      <c r="A561" s="6">
        <v>485.91</v>
      </c>
      <c r="B561" s="43">
        <v>242845.17488055999</v>
      </c>
      <c r="C561" s="43">
        <v>244169.63222483001</v>
      </c>
      <c r="D561" s="43">
        <v>622689.04586276005</v>
      </c>
    </row>
    <row r="562" spans="1:4" x14ac:dyDescent="0.4">
      <c r="A562" s="6">
        <v>485.9</v>
      </c>
      <c r="B562" s="43">
        <v>242628.41422713999</v>
      </c>
      <c r="C562" s="43">
        <v>243946.73176676</v>
      </c>
      <c r="D562" s="43">
        <v>620261.71814855002</v>
      </c>
    </row>
    <row r="563" spans="1:4" x14ac:dyDescent="0.4">
      <c r="A563" s="6">
        <v>485.89</v>
      </c>
      <c r="B563" s="43">
        <v>242410.91239392001</v>
      </c>
      <c r="C563" s="43">
        <v>243723.10056178001</v>
      </c>
      <c r="D563" s="43">
        <v>617836.57865831</v>
      </c>
    </row>
    <row r="564" spans="1:4" x14ac:dyDescent="0.4">
      <c r="A564" s="6">
        <v>485.88</v>
      </c>
      <c r="B564" s="43">
        <v>242192.5901004</v>
      </c>
      <c r="C564" s="43">
        <v>243498.66240413001</v>
      </c>
      <c r="D564" s="43">
        <v>615413.63317365001</v>
      </c>
    </row>
    <row r="565" spans="1:4" x14ac:dyDescent="0.4">
      <c r="A565" s="6">
        <v>485.87</v>
      </c>
      <c r="B565" s="43">
        <v>241973.4098809</v>
      </c>
      <c r="C565" s="43">
        <v>243273.38025757999</v>
      </c>
      <c r="D565" s="43">
        <v>612992.82838570001</v>
      </c>
    </row>
    <row r="566" spans="1:4" x14ac:dyDescent="0.4">
      <c r="A566" s="6">
        <v>485.86</v>
      </c>
      <c r="B566" s="43">
        <v>241753.36095256999</v>
      </c>
      <c r="C566" s="43">
        <v>243047.24415766</v>
      </c>
      <c r="D566" s="43">
        <v>610574.23994351004</v>
      </c>
    </row>
    <row r="567" spans="1:4" x14ac:dyDescent="0.4">
      <c r="A567" s="6">
        <v>485.85</v>
      </c>
      <c r="B567" s="43">
        <v>241532.40253848999</v>
      </c>
      <c r="C567" s="43">
        <v>242820.21651905999</v>
      </c>
      <c r="D567" s="43">
        <v>608157.84332406998</v>
      </c>
    </row>
    <row r="568" spans="1:4" x14ac:dyDescent="0.4">
      <c r="A568" s="6">
        <v>485.84</v>
      </c>
      <c r="B568" s="43">
        <v>241310.23295946</v>
      </c>
      <c r="C568" s="43">
        <v>242591.99909197999</v>
      </c>
      <c r="D568" s="43">
        <v>605743.64491953002</v>
      </c>
    </row>
    <row r="569" spans="1:4" x14ac:dyDescent="0.4">
      <c r="A569" s="6">
        <v>485.83</v>
      </c>
      <c r="B569" s="43">
        <v>241086.65067331999</v>
      </c>
      <c r="C569" s="43">
        <v>242362.39717315001</v>
      </c>
      <c r="D569" s="43">
        <v>603331.63394880004</v>
      </c>
    </row>
    <row r="570" spans="1:4" x14ac:dyDescent="0.4">
      <c r="A570" s="6">
        <v>485.82</v>
      </c>
      <c r="B570" s="43">
        <v>240861.47899164</v>
      </c>
      <c r="C570" s="43">
        <v>242131.24244594999</v>
      </c>
      <c r="D570" s="43">
        <v>600921.89997221006</v>
      </c>
    </row>
    <row r="571" spans="1:4" x14ac:dyDescent="0.4">
      <c r="A571" s="6">
        <v>485.81</v>
      </c>
      <c r="B571" s="43">
        <v>240633.91118667999</v>
      </c>
      <c r="C571" s="43">
        <v>241897.73458138001</v>
      </c>
      <c r="D571" s="43">
        <v>598514.45365114999</v>
      </c>
    </row>
    <row r="572" spans="1:4" x14ac:dyDescent="0.4">
      <c r="A572" s="6">
        <v>485.8</v>
      </c>
      <c r="B572" s="43">
        <v>240376.42169645001</v>
      </c>
      <c r="C572" s="43">
        <v>241634.36586413</v>
      </c>
      <c r="D572" s="43">
        <v>596109.34431786998</v>
      </c>
    </row>
    <row r="573" spans="1:4" x14ac:dyDescent="0.4">
      <c r="A573" s="6">
        <v>485.79</v>
      </c>
      <c r="B573" s="43">
        <v>239915.96701048</v>
      </c>
      <c r="C573" s="43">
        <v>241168.04735446</v>
      </c>
      <c r="D573" s="43">
        <v>593708.63922334998</v>
      </c>
    </row>
    <row r="574" spans="1:4" x14ac:dyDescent="0.4">
      <c r="A574" s="6">
        <v>485.78</v>
      </c>
      <c r="B574" s="43">
        <v>239641.38513407001</v>
      </c>
      <c r="C574" s="43">
        <v>240887.57741043001</v>
      </c>
      <c r="D574" s="43">
        <v>591310.86118301004</v>
      </c>
    </row>
    <row r="575" spans="1:4" x14ac:dyDescent="0.4">
      <c r="A575" s="6">
        <v>485.77</v>
      </c>
      <c r="B575" s="43">
        <v>239369.51849838</v>
      </c>
      <c r="C575" s="43">
        <v>240609.81858751</v>
      </c>
      <c r="D575" s="43">
        <v>588915.83828002994</v>
      </c>
    </row>
    <row r="576" spans="1:4" x14ac:dyDescent="0.4">
      <c r="A576" s="6">
        <v>485.76</v>
      </c>
      <c r="B576" s="43">
        <v>239099.16827719999</v>
      </c>
      <c r="C576" s="43">
        <v>240333.57457242999</v>
      </c>
      <c r="D576" s="43">
        <v>586523.49831843004</v>
      </c>
    </row>
    <row r="577" spans="1:4" x14ac:dyDescent="0.4">
      <c r="A577" s="6">
        <v>485.75</v>
      </c>
      <c r="B577" s="43">
        <v>238829.9272915</v>
      </c>
      <c r="C577" s="43">
        <v>240058.44315974001</v>
      </c>
      <c r="D577" s="43">
        <v>584133.84536885004</v>
      </c>
    </row>
    <row r="578" spans="1:4" x14ac:dyDescent="0.4">
      <c r="A578" s="6">
        <v>485.74</v>
      </c>
      <c r="B578" s="43">
        <v>238561.67395597001</v>
      </c>
      <c r="C578" s="43">
        <v>239784.30941227</v>
      </c>
      <c r="D578" s="43">
        <v>581746.90886289999</v>
      </c>
    </row>
    <row r="579" spans="1:4" x14ac:dyDescent="0.4">
      <c r="A579" s="6">
        <v>485.73</v>
      </c>
      <c r="B579" s="43">
        <v>238294.20091757001</v>
      </c>
      <c r="C579" s="43">
        <v>239510.96586375</v>
      </c>
      <c r="D579" s="43">
        <v>579362.64141193999</v>
      </c>
    </row>
    <row r="580" spans="1:4" x14ac:dyDescent="0.4">
      <c r="A580" s="6">
        <v>485.72</v>
      </c>
      <c r="B580" s="43">
        <v>238027.56630019</v>
      </c>
      <c r="C580" s="43">
        <v>239238.47071580001</v>
      </c>
      <c r="D580" s="43">
        <v>576981.01853698003</v>
      </c>
    </row>
    <row r="581" spans="1:4" x14ac:dyDescent="0.4">
      <c r="A581" s="6">
        <v>485.71</v>
      </c>
      <c r="B581" s="43">
        <v>237761.58071576001</v>
      </c>
      <c r="C581" s="43">
        <v>238966.63672743001</v>
      </c>
      <c r="D581" s="43">
        <v>574602.12255308998</v>
      </c>
    </row>
    <row r="582" spans="1:4" x14ac:dyDescent="0.4">
      <c r="A582" s="6">
        <v>485.7</v>
      </c>
      <c r="B582" s="43">
        <v>237496.41257640999</v>
      </c>
      <c r="C582" s="43">
        <v>238695.63445237</v>
      </c>
      <c r="D582" s="43">
        <v>572225.83531902998</v>
      </c>
    </row>
    <row r="583" spans="1:4" x14ac:dyDescent="0.4">
      <c r="A583" s="6">
        <v>485.69</v>
      </c>
      <c r="B583" s="43">
        <v>237231.90746171999</v>
      </c>
      <c r="C583" s="43">
        <v>238425.30976455999</v>
      </c>
      <c r="D583" s="43">
        <v>569852.21688491001</v>
      </c>
    </row>
    <row r="584" spans="1:4" x14ac:dyDescent="0.4">
      <c r="A584" s="6">
        <v>485.68</v>
      </c>
      <c r="B584" s="43">
        <v>236968.00744956001</v>
      </c>
      <c r="C584" s="43">
        <v>238155.60807962</v>
      </c>
      <c r="D584" s="43">
        <v>567481.26887637004</v>
      </c>
    </row>
    <row r="585" spans="1:4" x14ac:dyDescent="0.4">
      <c r="A585" s="6">
        <v>485.67</v>
      </c>
      <c r="B585" s="43">
        <v>236704.74054356999</v>
      </c>
      <c r="C585" s="43">
        <v>237886.56044947999</v>
      </c>
      <c r="D585" s="43">
        <v>565112.95472378004</v>
      </c>
    </row>
    <row r="586" spans="1:4" x14ac:dyDescent="0.4">
      <c r="A586" s="6">
        <v>485.66</v>
      </c>
      <c r="B586" s="43">
        <v>236442.14677260999</v>
      </c>
      <c r="C586" s="43">
        <v>237618.21007157999</v>
      </c>
      <c r="D586" s="43">
        <v>562747.24290909001</v>
      </c>
    </row>
    <row r="587" spans="1:4" x14ac:dyDescent="0.4">
      <c r="A587" s="6">
        <v>485.65</v>
      </c>
      <c r="B587" s="43">
        <v>236179.83532432999</v>
      </c>
      <c r="C587" s="43">
        <v>237350.17264104</v>
      </c>
      <c r="D587" s="43">
        <v>560384.12602935999</v>
      </c>
    </row>
    <row r="588" spans="1:4" x14ac:dyDescent="0.4">
      <c r="A588" s="6">
        <v>485.64</v>
      </c>
      <c r="B588" s="43">
        <v>235917.71964004001</v>
      </c>
      <c r="C588" s="43">
        <v>237082.36705626</v>
      </c>
      <c r="D588" s="43">
        <v>558023.66807043995</v>
      </c>
    </row>
    <row r="589" spans="1:4" x14ac:dyDescent="0.4">
      <c r="A589" s="6">
        <v>485.63</v>
      </c>
      <c r="B589" s="43">
        <v>235655.38246578001</v>
      </c>
      <c r="C589" s="43">
        <v>236814.38396964999</v>
      </c>
      <c r="D589" s="43">
        <v>555665.84166578995</v>
      </c>
    </row>
    <row r="590" spans="1:4" x14ac:dyDescent="0.4">
      <c r="A590" s="6">
        <v>485.62</v>
      </c>
      <c r="B590" s="43">
        <v>235392.05050935</v>
      </c>
      <c r="C590" s="43">
        <v>236545.45967268001</v>
      </c>
      <c r="D590" s="43">
        <v>553310.67915215006</v>
      </c>
    </row>
    <row r="591" spans="1:4" x14ac:dyDescent="0.4">
      <c r="A591" s="6">
        <v>485.61</v>
      </c>
      <c r="B591" s="43">
        <v>235125.9080041</v>
      </c>
      <c r="C591" s="43">
        <v>236273.78869548001</v>
      </c>
      <c r="D591" s="43">
        <v>550958.13400133001</v>
      </c>
    </row>
    <row r="592" spans="1:4" x14ac:dyDescent="0.4">
      <c r="A592" s="6">
        <v>485.6</v>
      </c>
      <c r="B592" s="43">
        <v>234743.02694750001</v>
      </c>
      <c r="C592" s="43">
        <v>235885.47438329001</v>
      </c>
      <c r="D592" s="43">
        <v>548608.26030217996</v>
      </c>
    </row>
    <row r="593" spans="1:4" x14ac:dyDescent="0.4">
      <c r="A593" s="6">
        <v>485.59</v>
      </c>
      <c r="B593" s="43">
        <v>234326.97296017001</v>
      </c>
      <c r="C593" s="43">
        <v>235464.05334854001</v>
      </c>
      <c r="D593" s="43">
        <v>546263.60196607001</v>
      </c>
    </row>
    <row r="594" spans="1:4" x14ac:dyDescent="0.4">
      <c r="A594" s="6">
        <v>485.58</v>
      </c>
      <c r="B594" s="43">
        <v>234076.99697450001</v>
      </c>
      <c r="C594" s="43">
        <v>235208.68575877001</v>
      </c>
      <c r="D594" s="43">
        <v>543921.58001481998</v>
      </c>
    </row>
    <row r="595" spans="1:4" x14ac:dyDescent="0.4">
      <c r="A595" s="6">
        <v>485.57</v>
      </c>
      <c r="B595" s="43">
        <v>233828.93910397001</v>
      </c>
      <c r="C595" s="43">
        <v>234955.22617762999</v>
      </c>
      <c r="D595" s="43">
        <v>541582.06636403</v>
      </c>
    </row>
    <row r="596" spans="1:4" x14ac:dyDescent="0.4">
      <c r="A596" s="6">
        <v>485.56</v>
      </c>
      <c r="B596" s="43">
        <v>233581.19541906999</v>
      </c>
      <c r="C596" s="43">
        <v>234702.07368338999</v>
      </c>
      <c r="D596" s="43">
        <v>539245.01924435003</v>
      </c>
    </row>
    <row r="597" spans="1:4" x14ac:dyDescent="0.4">
      <c r="A597" s="6">
        <v>485.55</v>
      </c>
      <c r="B597" s="43">
        <v>233333.45777044</v>
      </c>
      <c r="C597" s="43">
        <v>234448.92572358999</v>
      </c>
      <c r="D597" s="43">
        <v>536910.40878339997</v>
      </c>
    </row>
    <row r="598" spans="1:4" x14ac:dyDescent="0.4">
      <c r="A598" s="6">
        <v>485.54</v>
      </c>
      <c r="B598" s="43">
        <v>233085.62996829001</v>
      </c>
      <c r="C598" s="43">
        <v>234195.69008899</v>
      </c>
      <c r="D598" s="43">
        <v>534578.30043045001</v>
      </c>
    </row>
    <row r="599" spans="1:4" x14ac:dyDescent="0.4">
      <c r="A599" s="6">
        <v>485.53</v>
      </c>
      <c r="B599" s="43">
        <v>232837.77615262999</v>
      </c>
      <c r="C599" s="43">
        <v>233942.42699871</v>
      </c>
      <c r="D599" s="43">
        <v>532248.65128015995</v>
      </c>
    </row>
    <row r="600" spans="1:4" x14ac:dyDescent="0.4">
      <c r="A600" s="6">
        <v>485.52</v>
      </c>
      <c r="B600" s="43">
        <v>232589.94316538001</v>
      </c>
      <c r="C600" s="43">
        <v>233689.1831885</v>
      </c>
      <c r="D600" s="43">
        <v>529921.50199370994</v>
      </c>
    </row>
    <row r="601" spans="1:4" x14ac:dyDescent="0.4">
      <c r="A601" s="6">
        <v>485.51</v>
      </c>
      <c r="B601" s="43">
        <v>232342.04349216999</v>
      </c>
      <c r="C601" s="43">
        <v>233435.87076697999</v>
      </c>
      <c r="D601" s="43">
        <v>527596.81052447006</v>
      </c>
    </row>
    <row r="602" spans="1:4" x14ac:dyDescent="0.4">
      <c r="A602" s="6">
        <v>485.5</v>
      </c>
      <c r="B602" s="43">
        <v>232094.09594253</v>
      </c>
      <c r="C602" s="43">
        <v>233182.50987238</v>
      </c>
      <c r="D602" s="43">
        <v>525274.65430576995</v>
      </c>
    </row>
    <row r="603" spans="1:4" x14ac:dyDescent="0.4">
      <c r="A603" s="6">
        <v>485.49</v>
      </c>
      <c r="B603" s="43">
        <v>231845.98112466</v>
      </c>
      <c r="C603" s="43">
        <v>232928.98205001999</v>
      </c>
      <c r="D603" s="43">
        <v>522954.96025450999</v>
      </c>
    </row>
    <row r="604" spans="1:4" x14ac:dyDescent="0.4">
      <c r="A604" s="6">
        <v>485.48</v>
      </c>
      <c r="B604" s="43">
        <v>231597.69369394</v>
      </c>
      <c r="C604" s="43">
        <v>232675.28402935</v>
      </c>
      <c r="D604" s="43">
        <v>520637.78312152001</v>
      </c>
    </row>
    <row r="605" spans="1:4" x14ac:dyDescent="0.4">
      <c r="A605" s="6">
        <v>485.47</v>
      </c>
      <c r="B605" s="43">
        <v>231349.24132129</v>
      </c>
      <c r="C605" s="43">
        <v>232421.42399782999</v>
      </c>
      <c r="D605" s="43">
        <v>518323.07116748998</v>
      </c>
    </row>
    <row r="606" spans="1:4" x14ac:dyDescent="0.4">
      <c r="A606" s="6">
        <v>485.46</v>
      </c>
      <c r="B606" s="43">
        <v>231100.62984352</v>
      </c>
      <c r="C606" s="43">
        <v>232167.40802775</v>
      </c>
      <c r="D606" s="43">
        <v>516010.89440763998</v>
      </c>
    </row>
    <row r="607" spans="1:4" x14ac:dyDescent="0.4">
      <c r="A607" s="6">
        <v>485.45</v>
      </c>
      <c r="B607" s="43">
        <v>230851.89176455</v>
      </c>
      <c r="C607" s="43">
        <v>231913.26777952001</v>
      </c>
      <c r="D607" s="43">
        <v>513701.11024285998</v>
      </c>
    </row>
    <row r="608" spans="1:4" x14ac:dyDescent="0.4">
      <c r="A608" s="6">
        <v>485.44</v>
      </c>
      <c r="B608" s="43">
        <v>230602.83493097001</v>
      </c>
      <c r="C608" s="43">
        <v>231658.81389041001</v>
      </c>
      <c r="D608" s="43">
        <v>511393.84960769</v>
      </c>
    </row>
    <row r="609" spans="1:4" x14ac:dyDescent="0.4">
      <c r="A609" s="6">
        <v>485.43</v>
      </c>
      <c r="B609" s="43">
        <v>230353.60552866</v>
      </c>
      <c r="C609" s="43">
        <v>231404.19288523</v>
      </c>
      <c r="D609" s="43">
        <v>509089.07338123</v>
      </c>
    </row>
    <row r="610" spans="1:4" x14ac:dyDescent="0.4">
      <c r="A610" s="6">
        <v>485.42</v>
      </c>
      <c r="B610" s="43">
        <v>230103.87316710001</v>
      </c>
      <c r="C610" s="43">
        <v>231149.06977003999</v>
      </c>
      <c r="D610" s="43">
        <v>506786.78438331001</v>
      </c>
    </row>
    <row r="611" spans="1:4" x14ac:dyDescent="0.4">
      <c r="A611" s="6">
        <v>485.41</v>
      </c>
      <c r="B611" s="43">
        <v>229852.20902307</v>
      </c>
      <c r="C611" s="43">
        <v>230892.0167914</v>
      </c>
      <c r="D611" s="43">
        <v>504486.99928764999</v>
      </c>
    </row>
    <row r="612" spans="1:4" x14ac:dyDescent="0.4">
      <c r="A612" s="6">
        <v>485.4</v>
      </c>
      <c r="B612" s="43">
        <v>229350.63865874999</v>
      </c>
      <c r="C612" s="43">
        <v>230385.07590932999</v>
      </c>
      <c r="D612" s="43">
        <v>502189.70251775999</v>
      </c>
    </row>
    <row r="613" spans="1:4" x14ac:dyDescent="0.4">
      <c r="A613" s="6">
        <v>485.39</v>
      </c>
      <c r="B613" s="43">
        <v>229014.36321904001</v>
      </c>
      <c r="C613" s="43">
        <v>230043.39552652001</v>
      </c>
      <c r="D613" s="43">
        <v>499898.34232584998</v>
      </c>
    </row>
    <row r="614" spans="1:4" x14ac:dyDescent="0.4">
      <c r="A614" s="6">
        <v>485.38</v>
      </c>
      <c r="B614" s="43">
        <v>228811.51231649</v>
      </c>
      <c r="C614" s="43">
        <v>229835.03623731999</v>
      </c>
      <c r="D614" s="43">
        <v>497609.1877598</v>
      </c>
    </row>
    <row r="615" spans="1:4" x14ac:dyDescent="0.4">
      <c r="A615" s="6">
        <v>485.37</v>
      </c>
      <c r="B615" s="43">
        <v>228611.78698949001</v>
      </c>
      <c r="C615" s="43">
        <v>229629.73858356001</v>
      </c>
      <c r="D615" s="43">
        <v>495322.06876219</v>
      </c>
    </row>
    <row r="616" spans="1:4" x14ac:dyDescent="0.4">
      <c r="A616" s="6">
        <v>485.36</v>
      </c>
      <c r="B616" s="43">
        <v>228412.95247187</v>
      </c>
      <c r="C616" s="43">
        <v>229425.28620902999</v>
      </c>
      <c r="D616" s="43">
        <v>493036.94658386998</v>
      </c>
    </row>
    <row r="617" spans="1:4" x14ac:dyDescent="0.4">
      <c r="A617" s="6">
        <v>485.35</v>
      </c>
      <c r="B617" s="43">
        <v>228214.54655961</v>
      </c>
      <c r="C617" s="43">
        <v>229221.23221751</v>
      </c>
      <c r="D617" s="43">
        <v>490753.81267125002</v>
      </c>
    </row>
    <row r="618" spans="1:4" x14ac:dyDescent="0.4">
      <c r="A618" s="6">
        <v>485.34</v>
      </c>
      <c r="B618" s="43">
        <v>228015.88212612999</v>
      </c>
      <c r="C618" s="43">
        <v>229016.89983993999</v>
      </c>
      <c r="D618" s="43">
        <v>488472.67137686</v>
      </c>
    </row>
    <row r="619" spans="1:4" x14ac:dyDescent="0.4">
      <c r="A619" s="6">
        <v>485.33</v>
      </c>
      <c r="B619" s="43">
        <v>227816.80629186999</v>
      </c>
      <c r="C619" s="43">
        <v>228812.14183146</v>
      </c>
      <c r="D619" s="43">
        <v>486193.50395009998</v>
      </c>
    </row>
    <row r="620" spans="1:4" x14ac:dyDescent="0.4">
      <c r="A620" s="6">
        <v>485.32</v>
      </c>
      <c r="B620" s="43">
        <v>227617.24406865999</v>
      </c>
      <c r="C620" s="43">
        <v>228606.88898043</v>
      </c>
      <c r="D620" s="43">
        <v>483916.35583720001</v>
      </c>
    </row>
    <row r="621" spans="1:4" x14ac:dyDescent="0.4">
      <c r="A621" s="6">
        <v>485.31</v>
      </c>
      <c r="B621" s="43">
        <v>227417.19304667</v>
      </c>
      <c r="C621" s="43">
        <v>228401.14355922001</v>
      </c>
      <c r="D621" s="43">
        <v>481641.20210291003</v>
      </c>
    </row>
    <row r="622" spans="1:4" x14ac:dyDescent="0.4">
      <c r="A622" s="6">
        <v>485.3</v>
      </c>
      <c r="B622" s="43">
        <v>227216.61728819</v>
      </c>
      <c r="C622" s="43">
        <v>228194.87334428</v>
      </c>
      <c r="D622" s="43">
        <v>479368.03249487001</v>
      </c>
    </row>
    <row r="623" spans="1:4" x14ac:dyDescent="0.4">
      <c r="A623" s="6">
        <v>485.29</v>
      </c>
      <c r="B623" s="43">
        <v>227015.2252976</v>
      </c>
      <c r="C623" s="43">
        <v>227987.79147547</v>
      </c>
      <c r="D623" s="43">
        <v>477096.88728055003</v>
      </c>
    </row>
    <row r="624" spans="1:4" x14ac:dyDescent="0.4">
      <c r="A624" s="6">
        <v>485.28</v>
      </c>
      <c r="B624" s="43">
        <v>226813.11176947999</v>
      </c>
      <c r="C624" s="43">
        <v>227779.99206814001</v>
      </c>
      <c r="D624" s="43">
        <v>474827.78744062001</v>
      </c>
    </row>
    <row r="625" spans="1:4" x14ac:dyDescent="0.4">
      <c r="A625" s="6">
        <v>485.27</v>
      </c>
      <c r="B625" s="43">
        <v>226610.26652122001</v>
      </c>
      <c r="C625" s="43">
        <v>227571.46528151</v>
      </c>
      <c r="D625" s="43">
        <v>472560.67654254998</v>
      </c>
    </row>
    <row r="626" spans="1:4" x14ac:dyDescent="0.4">
      <c r="A626" s="6">
        <v>485.26</v>
      </c>
      <c r="B626" s="43">
        <v>226406.71524115</v>
      </c>
      <c r="C626" s="43">
        <v>227362.23725328001</v>
      </c>
      <c r="D626" s="43">
        <v>470295.56103026</v>
      </c>
    </row>
    <row r="627" spans="1:4" x14ac:dyDescent="0.4">
      <c r="A627" s="6">
        <v>485.25</v>
      </c>
      <c r="B627" s="43">
        <v>226202.39906769001</v>
      </c>
      <c r="C627" s="43">
        <v>227152.25282323</v>
      </c>
      <c r="D627" s="43">
        <v>468032.54760386999</v>
      </c>
    </row>
    <row r="628" spans="1:4" x14ac:dyDescent="0.4">
      <c r="A628" s="6">
        <v>485.24</v>
      </c>
      <c r="B628" s="43">
        <v>225997.10709649001</v>
      </c>
      <c r="C628" s="43">
        <v>226941.30467108</v>
      </c>
      <c r="D628" s="43">
        <v>465771.53774608002</v>
      </c>
    </row>
    <row r="629" spans="1:4" x14ac:dyDescent="0.4">
      <c r="A629" s="6">
        <v>485.23</v>
      </c>
      <c r="B629" s="43">
        <v>225790.77073521001</v>
      </c>
      <c r="C629" s="43">
        <v>226729.32337639001</v>
      </c>
      <c r="D629" s="43">
        <v>463512.67333339999</v>
      </c>
    </row>
    <row r="630" spans="1:4" x14ac:dyDescent="0.4">
      <c r="A630" s="6">
        <v>485.22</v>
      </c>
      <c r="B630" s="43">
        <v>225582.92216471999</v>
      </c>
      <c r="C630" s="43">
        <v>226515.84400027001</v>
      </c>
      <c r="D630" s="43">
        <v>461255.83638101001</v>
      </c>
    </row>
    <row r="631" spans="1:4" x14ac:dyDescent="0.4">
      <c r="A631" s="6">
        <v>485.21</v>
      </c>
      <c r="B631" s="43">
        <v>225371.73517393001</v>
      </c>
      <c r="C631" s="43">
        <v>226299.04898076999</v>
      </c>
      <c r="D631" s="43">
        <v>459001.06916886999</v>
      </c>
    </row>
    <row r="632" spans="1:4" x14ac:dyDescent="0.4">
      <c r="A632" s="6">
        <v>485.2</v>
      </c>
      <c r="B632" s="43">
        <v>224833.87420881999</v>
      </c>
      <c r="C632" s="43">
        <v>225755.63904147001</v>
      </c>
      <c r="D632" s="43">
        <v>456748.44411297003</v>
      </c>
    </row>
    <row r="633" spans="1:4" x14ac:dyDescent="0.4">
      <c r="A633" s="6">
        <v>485.19</v>
      </c>
      <c r="B633" s="43">
        <v>224582.82464673999</v>
      </c>
      <c r="C633" s="43">
        <v>225499.04773014999</v>
      </c>
      <c r="D633" s="43">
        <v>454501.38017491001</v>
      </c>
    </row>
    <row r="634" spans="1:4" x14ac:dyDescent="0.4">
      <c r="A634" s="6">
        <v>485.18</v>
      </c>
      <c r="B634" s="43">
        <v>224366.38714814</v>
      </c>
      <c r="C634" s="43">
        <v>225276.98606626</v>
      </c>
      <c r="D634" s="43">
        <v>452256.63055389997</v>
      </c>
    </row>
    <row r="635" spans="1:4" x14ac:dyDescent="0.4">
      <c r="A635" s="6">
        <v>485.17</v>
      </c>
      <c r="B635" s="43">
        <v>224154.35958560999</v>
      </c>
      <c r="C635" s="43">
        <v>225059.28766959999</v>
      </c>
      <c r="D635" s="43">
        <v>450014.03986752999</v>
      </c>
    </row>
    <row r="636" spans="1:4" x14ac:dyDescent="0.4">
      <c r="A636" s="6">
        <v>485.16</v>
      </c>
      <c r="B636" s="43">
        <v>223944.09890288001</v>
      </c>
      <c r="C636" s="43">
        <v>224843.32234633999</v>
      </c>
      <c r="D636" s="43">
        <v>447773.56914611999</v>
      </c>
    </row>
    <row r="637" spans="1:4" x14ac:dyDescent="0.4">
      <c r="A637" s="6">
        <v>485.15</v>
      </c>
      <c r="B637" s="43">
        <v>223735.15156837</v>
      </c>
      <c r="C637" s="43">
        <v>224628.64707415999</v>
      </c>
      <c r="D637" s="43">
        <v>445535.19833471999</v>
      </c>
    </row>
    <row r="638" spans="1:4" x14ac:dyDescent="0.4">
      <c r="A638" s="6">
        <v>485.14</v>
      </c>
      <c r="B638" s="43">
        <v>223526.97003666</v>
      </c>
      <c r="C638" s="43">
        <v>224414.72318475999</v>
      </c>
      <c r="D638" s="43">
        <v>443298.90985435998</v>
      </c>
    </row>
    <row r="639" spans="1:4" x14ac:dyDescent="0.4">
      <c r="A639" s="6">
        <v>485.13</v>
      </c>
      <c r="B639" s="43">
        <v>223319.30960191</v>
      </c>
      <c r="C639" s="43">
        <v>224201.31598504001</v>
      </c>
      <c r="D639" s="43">
        <v>441064.66733458999</v>
      </c>
    </row>
    <row r="640" spans="1:4" x14ac:dyDescent="0.4">
      <c r="A640" s="6">
        <v>485.12</v>
      </c>
      <c r="B640" s="43">
        <v>223112.03223643001</v>
      </c>
      <c r="C640" s="43">
        <v>223988.29418222999</v>
      </c>
      <c r="D640" s="43">
        <v>438832.48246704001</v>
      </c>
    </row>
    <row r="641" spans="1:4" x14ac:dyDescent="0.4">
      <c r="A641" s="6">
        <v>485.11</v>
      </c>
      <c r="B641" s="43">
        <v>222905.05461183999</v>
      </c>
      <c r="C641" s="43">
        <v>223775.57920924999</v>
      </c>
      <c r="D641" s="43">
        <v>436602.41774727002</v>
      </c>
    </row>
    <row r="642" spans="1:4" x14ac:dyDescent="0.4">
      <c r="A642" s="6">
        <v>485.1</v>
      </c>
      <c r="B642" s="43">
        <v>222698.39422787001</v>
      </c>
      <c r="C642" s="43">
        <v>223563.19188855001</v>
      </c>
      <c r="D642" s="43">
        <v>434374.43155753001</v>
      </c>
    </row>
    <row r="643" spans="1:4" x14ac:dyDescent="0.4">
      <c r="A643" s="6">
        <v>485.09</v>
      </c>
      <c r="B643" s="43">
        <v>222492.0150093</v>
      </c>
      <c r="C643" s="43">
        <v>223351.10115244001</v>
      </c>
      <c r="D643" s="43">
        <v>432148.48107426002</v>
      </c>
    </row>
    <row r="644" spans="1:4" x14ac:dyDescent="0.4">
      <c r="A644" s="6">
        <v>485.08</v>
      </c>
      <c r="B644" s="43">
        <v>222285.72445221001</v>
      </c>
      <c r="C644" s="43">
        <v>223139.11513287999</v>
      </c>
      <c r="D644" s="43">
        <v>429924.62779939</v>
      </c>
    </row>
    <row r="645" spans="1:4" x14ac:dyDescent="0.4">
      <c r="A645" s="6">
        <v>485.07</v>
      </c>
      <c r="B645" s="43">
        <v>222079.61974659999</v>
      </c>
      <c r="C645" s="43">
        <v>222927.3343245</v>
      </c>
      <c r="D645" s="43">
        <v>427702.81621689</v>
      </c>
    </row>
    <row r="646" spans="1:4" x14ac:dyDescent="0.4">
      <c r="A646" s="6">
        <v>485.06</v>
      </c>
      <c r="B646" s="43">
        <v>221873.61677759001</v>
      </c>
      <c r="C646" s="43">
        <v>222715.67516904001</v>
      </c>
      <c r="D646" s="43">
        <v>425483.09000472003</v>
      </c>
    </row>
    <row r="647" spans="1:4" x14ac:dyDescent="0.4">
      <c r="A647" s="6">
        <v>485.05</v>
      </c>
      <c r="B647" s="43">
        <v>221667.65927162001</v>
      </c>
      <c r="C647" s="43">
        <v>222504.08374865001</v>
      </c>
      <c r="D647" s="43">
        <v>423265.39893318998</v>
      </c>
    </row>
    <row r="648" spans="1:4" x14ac:dyDescent="0.4">
      <c r="A648" s="6">
        <v>485.04</v>
      </c>
      <c r="B648" s="43">
        <v>221461.69237909</v>
      </c>
      <c r="C648" s="43">
        <v>222292.50480461001</v>
      </c>
      <c r="D648" s="43">
        <v>421049.7570476</v>
      </c>
    </row>
    <row r="649" spans="1:4" x14ac:dyDescent="0.4">
      <c r="A649" s="6">
        <v>485.03</v>
      </c>
      <c r="B649" s="43">
        <v>221255.55957596999</v>
      </c>
      <c r="C649" s="43">
        <v>222080.78919899001</v>
      </c>
      <c r="D649" s="43">
        <v>418836.15231526998</v>
      </c>
    </row>
    <row r="650" spans="1:4" x14ac:dyDescent="0.4">
      <c r="A650" s="6">
        <v>485.02</v>
      </c>
      <c r="B650" s="43">
        <v>221048.71946138999</v>
      </c>
      <c r="C650" s="43">
        <v>221868.40359428999</v>
      </c>
      <c r="D650" s="43">
        <v>416624.68671717</v>
      </c>
    </row>
    <row r="651" spans="1:4" x14ac:dyDescent="0.4">
      <c r="A651" s="6">
        <v>485.01</v>
      </c>
      <c r="B651" s="43">
        <v>220839.51992307999</v>
      </c>
      <c r="C651" s="43">
        <v>221653.70808491</v>
      </c>
      <c r="D651" s="43">
        <v>414415.26010719</v>
      </c>
    </row>
    <row r="652" spans="1:4" x14ac:dyDescent="0.4">
      <c r="A652" s="6">
        <v>485</v>
      </c>
      <c r="B652" s="43">
        <v>220592.35509883999</v>
      </c>
      <c r="C652" s="43">
        <v>221401.12880024</v>
      </c>
      <c r="D652" s="43">
        <v>412208.02685471001</v>
      </c>
    </row>
    <row r="653" spans="1:4" x14ac:dyDescent="0.4">
      <c r="A653" s="6">
        <v>484.99</v>
      </c>
      <c r="B653" s="43">
        <v>220075.32952699999</v>
      </c>
      <c r="C653" s="43">
        <v>220878.72921856001</v>
      </c>
      <c r="D653" s="43">
        <v>410005.97727976</v>
      </c>
    </row>
    <row r="654" spans="1:4" x14ac:dyDescent="0.4">
      <c r="A654" s="6">
        <v>484.98</v>
      </c>
      <c r="B654" s="43">
        <v>219851.20417334</v>
      </c>
      <c r="C654" s="43">
        <v>220649.19301709</v>
      </c>
      <c r="D654" s="43">
        <v>407806.33159433003</v>
      </c>
    </row>
    <row r="655" spans="1:4" x14ac:dyDescent="0.4">
      <c r="A655" s="6">
        <v>484.97</v>
      </c>
      <c r="B655" s="43">
        <v>219630.25331751999</v>
      </c>
      <c r="C655" s="43">
        <v>220422.80624229999</v>
      </c>
      <c r="D655" s="43">
        <v>405608.91232768999</v>
      </c>
    </row>
    <row r="656" spans="1:4" x14ac:dyDescent="0.4">
      <c r="A656" s="6">
        <v>484.96</v>
      </c>
      <c r="B656" s="43">
        <v>219411.42491790999</v>
      </c>
      <c r="C656" s="43">
        <v>220198.52024556001</v>
      </c>
      <c r="D656" s="43">
        <v>403413.70691499999</v>
      </c>
    </row>
    <row r="657" spans="1:4" x14ac:dyDescent="0.4">
      <c r="A657" s="6">
        <v>484.95</v>
      </c>
      <c r="B657" s="43">
        <v>219194.02693959</v>
      </c>
      <c r="C657" s="43">
        <v>219975.65378145</v>
      </c>
      <c r="D657" s="43">
        <v>401220.69661017001</v>
      </c>
    </row>
    <row r="658" spans="1:4" x14ac:dyDescent="0.4">
      <c r="A658" s="6">
        <v>484.94</v>
      </c>
      <c r="B658" s="43">
        <v>218977.69649239999</v>
      </c>
      <c r="C658" s="43">
        <v>219753.85258012</v>
      </c>
      <c r="D658" s="43">
        <v>399029.85525013</v>
      </c>
    </row>
    <row r="659" spans="1:4" x14ac:dyDescent="0.4">
      <c r="A659" s="6">
        <v>484.93</v>
      </c>
      <c r="B659" s="43">
        <v>218762.69441081001</v>
      </c>
      <c r="C659" s="43">
        <v>219533.37710665</v>
      </c>
      <c r="D659" s="43">
        <v>396841.17374320998</v>
      </c>
    </row>
    <row r="660" spans="1:4" x14ac:dyDescent="0.4">
      <c r="A660" s="6">
        <v>484.92</v>
      </c>
      <c r="B660" s="43">
        <v>218548.74086751</v>
      </c>
      <c r="C660" s="43">
        <v>219313.95126641999</v>
      </c>
      <c r="D660" s="43">
        <v>394654.6750092</v>
      </c>
    </row>
    <row r="661" spans="1:4" x14ac:dyDescent="0.4">
      <c r="A661" s="6">
        <v>484.91</v>
      </c>
      <c r="B661" s="43">
        <v>218335.63539628999</v>
      </c>
      <c r="C661" s="43">
        <v>219095.37752800999</v>
      </c>
      <c r="D661" s="43">
        <v>392470.27949289</v>
      </c>
    </row>
    <row r="662" spans="1:4" x14ac:dyDescent="0.4">
      <c r="A662" s="6">
        <v>484.9</v>
      </c>
      <c r="B662" s="43">
        <v>218123.70747448999</v>
      </c>
      <c r="C662" s="43">
        <v>218877.98705386999</v>
      </c>
      <c r="D662" s="43">
        <v>390288.00182705</v>
      </c>
    </row>
    <row r="663" spans="1:4" x14ac:dyDescent="0.4">
      <c r="A663" s="6">
        <v>484.89</v>
      </c>
      <c r="B663" s="43">
        <v>217912.70155848001</v>
      </c>
      <c r="C663" s="43">
        <v>218661.52797930001</v>
      </c>
      <c r="D663" s="43">
        <v>388107.80293752003</v>
      </c>
    </row>
    <row r="664" spans="1:4" x14ac:dyDescent="0.4">
      <c r="A664" s="6">
        <v>484.88</v>
      </c>
      <c r="B664" s="43">
        <v>217702.57008475999</v>
      </c>
      <c r="C664" s="43">
        <v>218445.95603823001</v>
      </c>
      <c r="D664" s="43">
        <v>385929.73679385002</v>
      </c>
    </row>
    <row r="665" spans="1:4" x14ac:dyDescent="0.4">
      <c r="A665" s="6">
        <v>484.87</v>
      </c>
      <c r="B665" s="43">
        <v>217493.24460810999</v>
      </c>
      <c r="C665" s="43">
        <v>218231.20509904</v>
      </c>
      <c r="D665" s="43">
        <v>383753.78914822999</v>
      </c>
    </row>
    <row r="666" spans="1:4" x14ac:dyDescent="0.4">
      <c r="A666" s="6">
        <v>484.86</v>
      </c>
      <c r="B666" s="43">
        <v>217284.60440429999</v>
      </c>
      <c r="C666" s="43">
        <v>218017.15795316</v>
      </c>
      <c r="D666" s="43">
        <v>381579.89566323999</v>
      </c>
    </row>
    <row r="667" spans="1:4" x14ac:dyDescent="0.4">
      <c r="A667" s="6">
        <v>484.85</v>
      </c>
      <c r="B667" s="43">
        <v>217076.53488573001</v>
      </c>
      <c r="C667" s="43">
        <v>217803.70647437999</v>
      </c>
      <c r="D667" s="43">
        <v>379408.12633111997</v>
      </c>
    </row>
    <row r="668" spans="1:4" x14ac:dyDescent="0.4">
      <c r="A668" s="6">
        <v>484.84</v>
      </c>
      <c r="B668" s="43">
        <v>216869.08641980999</v>
      </c>
      <c r="C668" s="43">
        <v>217590.90894266</v>
      </c>
      <c r="D668" s="43">
        <v>377238.43371597002</v>
      </c>
    </row>
    <row r="669" spans="1:4" x14ac:dyDescent="0.4">
      <c r="A669" s="6">
        <v>484.83</v>
      </c>
      <c r="B669" s="43">
        <v>216661.77375848999</v>
      </c>
      <c r="C669" s="43">
        <v>217378.28476672</v>
      </c>
      <c r="D669" s="43">
        <v>375070.84091173002</v>
      </c>
    </row>
    <row r="670" spans="1:4" x14ac:dyDescent="0.4">
      <c r="A670" s="6">
        <v>484.82</v>
      </c>
      <c r="B670" s="43">
        <v>216453.96115963999</v>
      </c>
      <c r="C670" s="43">
        <v>217165.20600586999</v>
      </c>
      <c r="D670" s="43">
        <v>372905.31290239998</v>
      </c>
    </row>
    <row r="671" spans="1:4" x14ac:dyDescent="0.4">
      <c r="A671" s="6">
        <v>484.81</v>
      </c>
      <c r="B671" s="43">
        <v>216243.45272105999</v>
      </c>
      <c r="C671" s="43">
        <v>216949.49602851999</v>
      </c>
      <c r="D671" s="43">
        <v>370741.87834765</v>
      </c>
    </row>
    <row r="672" spans="1:4" x14ac:dyDescent="0.4">
      <c r="A672" s="6">
        <v>484.8</v>
      </c>
      <c r="B672" s="43">
        <v>216000.91047920001</v>
      </c>
      <c r="C672" s="43">
        <v>216701.84114797</v>
      </c>
      <c r="D672" s="43">
        <v>368580.60581838002</v>
      </c>
    </row>
    <row r="673" spans="1:4" x14ac:dyDescent="0.4">
      <c r="A673" s="6">
        <v>484.79</v>
      </c>
      <c r="B673" s="43">
        <v>215499.75496816999</v>
      </c>
      <c r="C673" s="43">
        <v>216195.59825298999</v>
      </c>
      <c r="D673" s="43">
        <v>366424.12524036999</v>
      </c>
    </row>
    <row r="674" spans="1:4" x14ac:dyDescent="0.4">
      <c r="A674" s="6">
        <v>484.78</v>
      </c>
      <c r="B674" s="43">
        <v>215238.24718380001</v>
      </c>
      <c r="C674" s="43">
        <v>215928.96825765001</v>
      </c>
      <c r="D674" s="43">
        <v>364270.44385783997</v>
      </c>
    </row>
    <row r="675" spans="1:4" x14ac:dyDescent="0.4">
      <c r="A675" s="6">
        <v>484.77</v>
      </c>
      <c r="B675" s="43">
        <v>214978.94443696999</v>
      </c>
      <c r="C675" s="43">
        <v>215664.52853201999</v>
      </c>
      <c r="D675" s="43">
        <v>362119.38084568002</v>
      </c>
    </row>
    <row r="676" spans="1:4" x14ac:dyDescent="0.4">
      <c r="A676" s="6">
        <v>484.76</v>
      </c>
      <c r="B676" s="43">
        <v>214720.10216255</v>
      </c>
      <c r="C676" s="43">
        <v>215400.54491046999</v>
      </c>
      <c r="D676" s="43">
        <v>359970.89538100001</v>
      </c>
    </row>
    <row r="677" spans="1:4" x14ac:dyDescent="0.4">
      <c r="A677" s="6">
        <v>484.75</v>
      </c>
      <c r="B677" s="43">
        <v>214461.12977487</v>
      </c>
      <c r="C677" s="43">
        <v>215136.43119495001</v>
      </c>
      <c r="D677" s="43">
        <v>357825.02183826</v>
      </c>
    </row>
    <row r="678" spans="1:4" x14ac:dyDescent="0.4">
      <c r="A678" s="6">
        <v>484.74</v>
      </c>
      <c r="B678" s="43">
        <v>214201.86222809</v>
      </c>
      <c r="C678" s="43">
        <v>214872.02439665</v>
      </c>
      <c r="D678" s="43">
        <v>355681.69250844</v>
      </c>
    </row>
    <row r="679" spans="1:4" x14ac:dyDescent="0.4">
      <c r="A679" s="6">
        <v>484.73</v>
      </c>
      <c r="B679" s="43">
        <v>213942.30910688001</v>
      </c>
      <c r="C679" s="43">
        <v>214607.33849639</v>
      </c>
      <c r="D679" s="43">
        <v>353540.97719110001</v>
      </c>
    </row>
    <row r="680" spans="1:4" x14ac:dyDescent="0.4">
      <c r="A680" s="6">
        <v>484.72</v>
      </c>
      <c r="B680" s="43">
        <v>213682.51451481</v>
      </c>
      <c r="C680" s="43">
        <v>214342.41806493999</v>
      </c>
      <c r="D680" s="43">
        <v>351402.86999177001</v>
      </c>
    </row>
    <row r="681" spans="1:4" x14ac:dyDescent="0.4">
      <c r="A681" s="6">
        <v>484.71</v>
      </c>
      <c r="B681" s="43">
        <v>213422.41742493</v>
      </c>
      <c r="C681" s="43">
        <v>214077.20126162001</v>
      </c>
      <c r="D681" s="43">
        <v>349267.38350880001</v>
      </c>
    </row>
    <row r="682" spans="1:4" x14ac:dyDescent="0.4">
      <c r="A682" s="6">
        <v>484.7</v>
      </c>
      <c r="B682" s="43">
        <v>213161.97080820001</v>
      </c>
      <c r="C682" s="43">
        <v>213811.6440001</v>
      </c>
      <c r="D682" s="43">
        <v>347134.45540635998</v>
      </c>
    </row>
    <row r="683" spans="1:4" x14ac:dyDescent="0.4">
      <c r="A683" s="6">
        <v>484.69</v>
      </c>
      <c r="B683" s="43">
        <v>212901.18733818</v>
      </c>
      <c r="C683" s="43">
        <v>213545.76066105001</v>
      </c>
      <c r="D683" s="43">
        <v>345004.17960567999</v>
      </c>
    </row>
    <row r="684" spans="1:4" x14ac:dyDescent="0.4">
      <c r="A684" s="6">
        <v>484.68</v>
      </c>
      <c r="B684" s="43">
        <v>212639.88397242999</v>
      </c>
      <c r="C684" s="43">
        <v>213279.37356673999</v>
      </c>
      <c r="D684" s="43">
        <v>342876.50871830003</v>
      </c>
    </row>
    <row r="685" spans="1:4" x14ac:dyDescent="0.4">
      <c r="A685" s="6">
        <v>484.67</v>
      </c>
      <c r="B685" s="43">
        <v>212378.27835422</v>
      </c>
      <c r="C685" s="43">
        <v>213012.70090269999</v>
      </c>
      <c r="D685" s="43">
        <v>340751.46455585002</v>
      </c>
    </row>
    <row r="686" spans="1:4" x14ac:dyDescent="0.4">
      <c r="A686" s="6">
        <v>484.66</v>
      </c>
      <c r="B686" s="43">
        <v>212116.13510106999</v>
      </c>
      <c r="C686" s="43">
        <v>212745.51363758001</v>
      </c>
      <c r="D686" s="43">
        <v>338629.02949386998</v>
      </c>
    </row>
    <row r="687" spans="1:4" x14ac:dyDescent="0.4">
      <c r="A687" s="6">
        <v>484.65</v>
      </c>
      <c r="B687" s="43">
        <v>211853.34009151999</v>
      </c>
      <c r="C687" s="43">
        <v>212477.69974526999</v>
      </c>
      <c r="D687" s="43">
        <v>336509.21255219</v>
      </c>
    </row>
    <row r="688" spans="1:4" x14ac:dyDescent="0.4">
      <c r="A688" s="6">
        <v>484.64</v>
      </c>
      <c r="B688" s="43">
        <v>211589.68934561999</v>
      </c>
      <c r="C688" s="43">
        <v>212209.05747475999</v>
      </c>
      <c r="D688" s="43">
        <v>334392.01495121</v>
      </c>
    </row>
    <row r="689" spans="1:4" x14ac:dyDescent="0.4">
      <c r="A689" s="6">
        <v>484.63</v>
      </c>
      <c r="B689" s="43">
        <v>211325.00902480999</v>
      </c>
      <c r="C689" s="43">
        <v>211939.42582167001</v>
      </c>
      <c r="D689" s="43">
        <v>332277.47757598001</v>
      </c>
    </row>
    <row r="690" spans="1:4" x14ac:dyDescent="0.4">
      <c r="A690" s="6">
        <v>484.62</v>
      </c>
      <c r="B690" s="43">
        <v>211058.27770947001</v>
      </c>
      <c r="C690" s="43">
        <v>211667.79712765999</v>
      </c>
      <c r="D690" s="43">
        <v>330165.61958135001</v>
      </c>
    </row>
    <row r="691" spans="1:4" x14ac:dyDescent="0.4">
      <c r="A691" s="6">
        <v>484.61</v>
      </c>
      <c r="B691" s="43">
        <v>210786.34594018001</v>
      </c>
      <c r="C691" s="43">
        <v>211391.04277475001</v>
      </c>
      <c r="D691" s="43">
        <v>328056.45311085001</v>
      </c>
    </row>
    <row r="692" spans="1:4" x14ac:dyDescent="0.4">
      <c r="A692" s="6">
        <v>484.6</v>
      </c>
      <c r="B692" s="43">
        <v>210219.79659864999</v>
      </c>
      <c r="C692" s="43">
        <v>210819.77472426</v>
      </c>
      <c r="D692" s="43">
        <v>325949.91860509</v>
      </c>
    </row>
    <row r="693" spans="1:4" x14ac:dyDescent="0.4">
      <c r="A693" s="6">
        <v>484.59</v>
      </c>
      <c r="B693" s="43">
        <v>209900.90001911001</v>
      </c>
      <c r="C693" s="43">
        <v>210496.15307920999</v>
      </c>
      <c r="D693" s="43">
        <v>323849.41524266999</v>
      </c>
    </row>
    <row r="694" spans="1:4" x14ac:dyDescent="0.4">
      <c r="A694" s="6">
        <v>484.58</v>
      </c>
      <c r="B694" s="43">
        <v>209637.95722416</v>
      </c>
      <c r="C694" s="43">
        <v>210228.44308349999</v>
      </c>
      <c r="D694" s="43">
        <v>321751.69040523999</v>
      </c>
    </row>
    <row r="695" spans="1:4" x14ac:dyDescent="0.4">
      <c r="A695" s="6">
        <v>484.57</v>
      </c>
      <c r="B695" s="43">
        <v>209377.37102585001</v>
      </c>
      <c r="C695" s="43">
        <v>209963.08688491001</v>
      </c>
      <c r="D695" s="43">
        <v>319656.62466297997</v>
      </c>
    </row>
    <row r="696" spans="1:4" x14ac:dyDescent="0.4">
      <c r="A696" s="6">
        <v>484.56</v>
      </c>
      <c r="B696" s="43">
        <v>209117.27407096999</v>
      </c>
      <c r="C696" s="43">
        <v>209698.22091979001</v>
      </c>
      <c r="D696" s="43">
        <v>317564.15200359997</v>
      </c>
    </row>
    <row r="697" spans="1:4" x14ac:dyDescent="0.4">
      <c r="A697" s="6">
        <v>484.55</v>
      </c>
      <c r="B697" s="43">
        <v>208857.29257163999</v>
      </c>
      <c r="C697" s="43">
        <v>209433.47513389</v>
      </c>
      <c r="D697" s="43">
        <v>315474.31178439001</v>
      </c>
    </row>
    <row r="698" spans="1:4" x14ac:dyDescent="0.4">
      <c r="A698" s="6">
        <v>484.54</v>
      </c>
      <c r="B698" s="43">
        <v>208597.12542535999</v>
      </c>
      <c r="C698" s="43">
        <v>209168.54957117001</v>
      </c>
      <c r="D698" s="43">
        <v>313387.07787126</v>
      </c>
    </row>
    <row r="699" spans="1:4" x14ac:dyDescent="0.4">
      <c r="A699" s="6">
        <v>484.53</v>
      </c>
      <c r="B699" s="43">
        <v>208337.16102614001</v>
      </c>
      <c r="C699" s="43">
        <v>208903.83171311999</v>
      </c>
      <c r="D699" s="43">
        <v>311302.44037408999</v>
      </c>
    </row>
    <row r="700" spans="1:4" x14ac:dyDescent="0.4">
      <c r="A700" s="6">
        <v>484.52</v>
      </c>
      <c r="B700" s="43">
        <v>208076.92246117999</v>
      </c>
      <c r="C700" s="43">
        <v>208638.84961582001</v>
      </c>
      <c r="D700" s="43">
        <v>309220.39910684997</v>
      </c>
    </row>
    <row r="701" spans="1:4" x14ac:dyDescent="0.4">
      <c r="A701" s="6">
        <v>484.51</v>
      </c>
      <c r="B701" s="43">
        <v>207816.39314666999</v>
      </c>
      <c r="C701" s="43">
        <v>208373.58778398999</v>
      </c>
      <c r="D701" s="43">
        <v>307140.97182366002</v>
      </c>
    </row>
    <row r="702" spans="1:4" x14ac:dyDescent="0.4">
      <c r="A702" s="6">
        <v>484.5</v>
      </c>
      <c r="B702" s="43">
        <v>207555.64880846001</v>
      </c>
      <c r="C702" s="43">
        <v>208108.12534611</v>
      </c>
      <c r="D702" s="43">
        <v>305064.12543692999</v>
      </c>
    </row>
    <row r="703" spans="1:4" x14ac:dyDescent="0.4">
      <c r="A703" s="6">
        <v>484.49</v>
      </c>
      <c r="B703" s="43">
        <v>207294.72781012001</v>
      </c>
      <c r="C703" s="43">
        <v>207842.50172199</v>
      </c>
      <c r="D703" s="43">
        <v>302989.91112947999</v>
      </c>
    </row>
    <row r="704" spans="1:4" x14ac:dyDescent="0.4">
      <c r="A704" s="6">
        <v>484.48</v>
      </c>
      <c r="B704" s="43">
        <v>207033.4364876</v>
      </c>
      <c r="C704" s="43">
        <v>207576.52477362001</v>
      </c>
      <c r="D704" s="43">
        <v>300918.31800526998</v>
      </c>
    </row>
    <row r="705" spans="1:4" x14ac:dyDescent="0.4">
      <c r="A705" s="6">
        <v>484.47</v>
      </c>
      <c r="B705" s="43">
        <v>206771.96207516</v>
      </c>
      <c r="C705" s="43">
        <v>207310.38368085999</v>
      </c>
      <c r="D705" s="43">
        <v>298849.31255736999</v>
      </c>
    </row>
    <row r="706" spans="1:4" x14ac:dyDescent="0.4">
      <c r="A706" s="6">
        <v>484.46</v>
      </c>
      <c r="B706" s="43">
        <v>206510.03633430999</v>
      </c>
      <c r="C706" s="43">
        <v>207043.81333706999</v>
      </c>
      <c r="D706" s="43">
        <v>296782.90877469</v>
      </c>
    </row>
    <row r="707" spans="1:4" x14ac:dyDescent="0.4">
      <c r="A707" s="6">
        <v>484.45</v>
      </c>
      <c r="B707" s="43">
        <v>206247.76426296</v>
      </c>
      <c r="C707" s="43">
        <v>206776.92082028999</v>
      </c>
      <c r="D707" s="43">
        <v>294719.12529126997</v>
      </c>
    </row>
    <row r="708" spans="1:4" x14ac:dyDescent="0.4">
      <c r="A708" s="6">
        <v>484.44</v>
      </c>
      <c r="B708" s="43">
        <v>205985.20622411001</v>
      </c>
      <c r="C708" s="43">
        <v>206509.76583898001</v>
      </c>
      <c r="D708" s="43">
        <v>292657.92873301002</v>
      </c>
    </row>
    <row r="709" spans="1:4" x14ac:dyDescent="0.4">
      <c r="A709" s="6">
        <v>484.43</v>
      </c>
      <c r="B709" s="43">
        <v>205722.30373730001</v>
      </c>
      <c r="C709" s="43">
        <v>206242.28903392999</v>
      </c>
      <c r="D709" s="43">
        <v>290599.42968546</v>
      </c>
    </row>
    <row r="710" spans="1:4" x14ac:dyDescent="0.4">
      <c r="A710" s="6">
        <v>484.42</v>
      </c>
      <c r="B710" s="43">
        <v>205458.60890344999</v>
      </c>
      <c r="C710" s="43">
        <v>205974.04328086</v>
      </c>
      <c r="D710" s="43">
        <v>288543.54009997001</v>
      </c>
    </row>
    <row r="711" spans="1:4" x14ac:dyDescent="0.4">
      <c r="A711" s="6">
        <v>484.41</v>
      </c>
      <c r="B711" s="43">
        <v>205192.48130814999</v>
      </c>
      <c r="C711" s="43">
        <v>205703.39610581001</v>
      </c>
      <c r="D711" s="43">
        <v>286490.30408109003</v>
      </c>
    </row>
    <row r="712" spans="1:4" x14ac:dyDescent="0.4">
      <c r="A712" s="6">
        <v>484.4</v>
      </c>
      <c r="B712" s="43">
        <v>204876.89958622001</v>
      </c>
      <c r="C712" s="43">
        <v>205383.34566856001</v>
      </c>
      <c r="D712" s="43">
        <v>284439.77734764997</v>
      </c>
    </row>
    <row r="713" spans="1:4" x14ac:dyDescent="0.4">
      <c r="A713" s="6">
        <v>484.39</v>
      </c>
      <c r="B713" s="43">
        <v>204085.85206172001</v>
      </c>
      <c r="C713" s="43">
        <v>204587.79223309</v>
      </c>
      <c r="D713" s="43">
        <v>282397.19204360002</v>
      </c>
    </row>
    <row r="714" spans="1:4" x14ac:dyDescent="0.4">
      <c r="A714" s="6">
        <v>484.38</v>
      </c>
      <c r="B714" s="43">
        <v>203803.67157110001</v>
      </c>
      <c r="C714" s="43">
        <v>204300.99716499</v>
      </c>
      <c r="D714" s="43">
        <v>280357.71641469997</v>
      </c>
    </row>
    <row r="715" spans="1:4" x14ac:dyDescent="0.4">
      <c r="A715" s="6">
        <v>484.37</v>
      </c>
      <c r="B715" s="43">
        <v>203526.57449150001</v>
      </c>
      <c r="C715" s="43">
        <v>204019.22217095</v>
      </c>
      <c r="D715" s="43">
        <v>278321.10440567997</v>
      </c>
    </row>
    <row r="716" spans="1:4" x14ac:dyDescent="0.4">
      <c r="A716" s="6">
        <v>484.36</v>
      </c>
      <c r="B716" s="43">
        <v>203251.75548344999</v>
      </c>
      <c r="C716" s="43">
        <v>203739.68267097999</v>
      </c>
      <c r="D716" s="43">
        <v>276287.21983603999</v>
      </c>
    </row>
    <row r="717" spans="1:4" x14ac:dyDescent="0.4">
      <c r="A717" s="6">
        <v>484.35</v>
      </c>
      <c r="B717" s="43">
        <v>202978.31304506</v>
      </c>
      <c r="C717" s="43">
        <v>203461.49260386001</v>
      </c>
      <c r="D717" s="43">
        <v>274256.10523178999</v>
      </c>
    </row>
    <row r="718" spans="1:4" x14ac:dyDescent="0.4">
      <c r="A718" s="6">
        <v>484.34</v>
      </c>
      <c r="B718" s="43">
        <v>202705.75574368</v>
      </c>
      <c r="C718" s="43">
        <v>203184.16871341999</v>
      </c>
      <c r="D718" s="43">
        <v>272227.73302032001</v>
      </c>
    </row>
    <row r="719" spans="1:4" x14ac:dyDescent="0.4">
      <c r="A719" s="6">
        <v>484.33</v>
      </c>
      <c r="B719" s="43">
        <v>202433.72542355</v>
      </c>
      <c r="C719" s="43">
        <v>202907.36280962001</v>
      </c>
      <c r="D719" s="43">
        <v>270202.03890756</v>
      </c>
    </row>
    <row r="720" spans="1:4" x14ac:dyDescent="0.4">
      <c r="A720" s="6">
        <v>484.32</v>
      </c>
      <c r="B720" s="43">
        <v>202162.17064562</v>
      </c>
      <c r="C720" s="43">
        <v>202631.03009076</v>
      </c>
      <c r="D720" s="43">
        <v>268179.08902636002</v>
      </c>
    </row>
    <row r="721" spans="1:4" x14ac:dyDescent="0.4">
      <c r="A721" s="6">
        <v>484.31</v>
      </c>
      <c r="B721" s="43">
        <v>201890.99464342999</v>
      </c>
      <c r="C721" s="43">
        <v>202355.07882478001</v>
      </c>
      <c r="D721" s="43">
        <v>266158.84924844</v>
      </c>
    </row>
    <row r="722" spans="1:4" x14ac:dyDescent="0.4">
      <c r="A722" s="6">
        <v>484.3</v>
      </c>
      <c r="B722" s="43">
        <v>201620.10651683001</v>
      </c>
      <c r="C722" s="43">
        <v>202079.4215467</v>
      </c>
      <c r="D722" s="43">
        <v>264141.27930216998</v>
      </c>
    </row>
    <row r="723" spans="1:4" x14ac:dyDescent="0.4">
      <c r="A723" s="6">
        <v>484.29</v>
      </c>
      <c r="B723" s="43">
        <v>201349.42243906</v>
      </c>
      <c r="C723" s="43">
        <v>201803.97964059</v>
      </c>
      <c r="D723" s="43">
        <v>262126.42692899</v>
      </c>
    </row>
    <row r="724" spans="1:4" x14ac:dyDescent="0.4">
      <c r="A724" s="6">
        <v>484.28</v>
      </c>
      <c r="B724" s="43">
        <v>201078.90245789001</v>
      </c>
      <c r="C724" s="43">
        <v>201528.71443289</v>
      </c>
      <c r="D724" s="43">
        <v>260114.29027875001</v>
      </c>
    </row>
    <row r="725" spans="1:4" x14ac:dyDescent="0.4">
      <c r="A725" s="6">
        <v>484.27</v>
      </c>
      <c r="B725" s="43">
        <v>200808.51692366</v>
      </c>
      <c r="C725" s="43">
        <v>201253.59912527999</v>
      </c>
      <c r="D725" s="43">
        <v>258104.87518137001</v>
      </c>
    </row>
    <row r="726" spans="1:4" x14ac:dyDescent="0.4">
      <c r="A726" s="6">
        <v>484.26</v>
      </c>
      <c r="B726" s="43">
        <v>200538.23845030001</v>
      </c>
      <c r="C726" s="43">
        <v>200978.60617819001</v>
      </c>
      <c r="D726" s="43">
        <v>256098.17218898999</v>
      </c>
    </row>
    <row r="727" spans="1:4" x14ac:dyDescent="0.4">
      <c r="A727" s="6">
        <v>484.25</v>
      </c>
      <c r="B727" s="43">
        <v>200267.99212328999</v>
      </c>
      <c r="C727" s="43">
        <v>200703.66123075</v>
      </c>
      <c r="D727" s="43">
        <v>254094.15598566001</v>
      </c>
    </row>
    <row r="728" spans="1:4" x14ac:dyDescent="0.4">
      <c r="A728" s="6">
        <v>484.24</v>
      </c>
      <c r="B728" s="43">
        <v>199997.60175082</v>
      </c>
      <c r="C728" s="43">
        <v>200428.59276388001</v>
      </c>
      <c r="D728" s="43">
        <v>252092.85617729</v>
      </c>
    </row>
    <row r="729" spans="1:4" x14ac:dyDescent="0.4">
      <c r="A729" s="6">
        <v>484.23</v>
      </c>
      <c r="B729" s="43">
        <v>199726.75458075001</v>
      </c>
      <c r="C729" s="43">
        <v>200153.09279828001</v>
      </c>
      <c r="D729" s="43">
        <v>250094.2780316</v>
      </c>
    </row>
    <row r="730" spans="1:4" x14ac:dyDescent="0.4">
      <c r="A730" s="6">
        <v>484.22</v>
      </c>
      <c r="B730" s="43">
        <v>199454.80276431999</v>
      </c>
      <c r="C730" s="43">
        <v>199876.52249500999</v>
      </c>
      <c r="D730" s="43">
        <v>248098.36267840001</v>
      </c>
    </row>
    <row r="731" spans="1:4" x14ac:dyDescent="0.4">
      <c r="A731" s="6">
        <v>484.21</v>
      </c>
      <c r="B731" s="43">
        <v>199178.85965793999</v>
      </c>
      <c r="C731" s="43">
        <v>199596.01505267</v>
      </c>
      <c r="D731" s="43">
        <v>246105.25231131</v>
      </c>
    </row>
    <row r="732" spans="1:4" x14ac:dyDescent="0.4">
      <c r="A732" s="6">
        <v>484.2</v>
      </c>
      <c r="B732" s="43">
        <v>198365.68029523999</v>
      </c>
      <c r="C732" s="43">
        <v>198778.35724382001</v>
      </c>
      <c r="D732" s="43">
        <v>244114.82575793</v>
      </c>
    </row>
    <row r="733" spans="1:4" x14ac:dyDescent="0.4">
      <c r="A733" s="6">
        <v>484.19</v>
      </c>
      <c r="B733" s="43">
        <v>198015.09692098</v>
      </c>
      <c r="C733" s="43">
        <v>198423.27587409</v>
      </c>
      <c r="D733" s="43">
        <v>242133.02107864001</v>
      </c>
    </row>
    <row r="734" spans="1:4" x14ac:dyDescent="0.4">
      <c r="A734" s="6">
        <v>484.18</v>
      </c>
      <c r="B734" s="43">
        <v>197723.06612594001</v>
      </c>
      <c r="C734" s="43">
        <v>198126.65385917001</v>
      </c>
      <c r="D734" s="43">
        <v>240154.30307505999</v>
      </c>
    </row>
    <row r="735" spans="1:4" x14ac:dyDescent="0.4">
      <c r="A735" s="6">
        <v>484.17</v>
      </c>
      <c r="B735" s="43">
        <v>197436.66309627</v>
      </c>
      <c r="C735" s="43">
        <v>197835.60931222999</v>
      </c>
      <c r="D735" s="43">
        <v>238178.50845580001</v>
      </c>
    </row>
    <row r="736" spans="1:4" x14ac:dyDescent="0.4">
      <c r="A736" s="6">
        <v>484.16</v>
      </c>
      <c r="B736" s="43">
        <v>197152.43986481999</v>
      </c>
      <c r="C736" s="43">
        <v>197546.71923272</v>
      </c>
      <c r="D736" s="43">
        <v>236205.5961423</v>
      </c>
    </row>
    <row r="737" spans="1:4" x14ac:dyDescent="0.4">
      <c r="A737" s="6">
        <v>484.15</v>
      </c>
      <c r="B737" s="43">
        <v>196869.48172789</v>
      </c>
      <c r="C737" s="43">
        <v>197259.07893893999</v>
      </c>
      <c r="D737" s="43">
        <v>234235.51460554</v>
      </c>
    </row>
    <row r="738" spans="1:4" x14ac:dyDescent="0.4">
      <c r="A738" s="6">
        <v>484.14</v>
      </c>
      <c r="B738" s="43">
        <v>196587.49429507999</v>
      </c>
      <c r="C738" s="43">
        <v>196972.40125498999</v>
      </c>
      <c r="D738" s="43">
        <v>232268.23276489999</v>
      </c>
    </row>
    <row r="739" spans="1:4" x14ac:dyDescent="0.4">
      <c r="A739" s="6">
        <v>484.13</v>
      </c>
      <c r="B739" s="43">
        <v>196306.20175533</v>
      </c>
      <c r="C739" s="43">
        <v>196686.41770280999</v>
      </c>
      <c r="D739" s="43">
        <v>230303.75559987</v>
      </c>
    </row>
    <row r="740" spans="1:4" x14ac:dyDescent="0.4">
      <c r="A740" s="6">
        <v>484.12</v>
      </c>
      <c r="B740" s="43">
        <v>196025.57930072999</v>
      </c>
      <c r="C740" s="43">
        <v>196401.1081943</v>
      </c>
      <c r="D740" s="43">
        <v>228342.13047542999</v>
      </c>
    </row>
    <row r="741" spans="1:4" x14ac:dyDescent="0.4">
      <c r="A741" s="6">
        <v>484.11</v>
      </c>
      <c r="B741" s="43">
        <v>195745.57936887001</v>
      </c>
      <c r="C741" s="43">
        <v>196116.43045946001</v>
      </c>
      <c r="D741" s="43">
        <v>226383.32931378001</v>
      </c>
    </row>
    <row r="742" spans="1:4" x14ac:dyDescent="0.4">
      <c r="A742" s="6">
        <v>484.1</v>
      </c>
      <c r="B742" s="43">
        <v>195466.09552618</v>
      </c>
      <c r="C742" s="43">
        <v>195832.28051072999</v>
      </c>
      <c r="D742" s="43">
        <v>224427.26286958001</v>
      </c>
    </row>
    <row r="743" spans="1:4" x14ac:dyDescent="0.4">
      <c r="A743" s="6">
        <v>484.09</v>
      </c>
      <c r="B743" s="43">
        <v>195187.02230123</v>
      </c>
      <c r="C743" s="43">
        <v>195548.55634112001</v>
      </c>
      <c r="D743" s="43">
        <v>222474.02278587001</v>
      </c>
    </row>
    <row r="744" spans="1:4" x14ac:dyDescent="0.4">
      <c r="A744" s="6">
        <v>484.08</v>
      </c>
      <c r="B744" s="43">
        <v>194908.49481713001</v>
      </c>
      <c r="C744" s="43">
        <v>195265.39396347999</v>
      </c>
      <c r="D744" s="43">
        <v>220523.60156283001</v>
      </c>
    </row>
    <row r="745" spans="1:4" x14ac:dyDescent="0.4">
      <c r="A745" s="6">
        <v>484.07</v>
      </c>
      <c r="B745" s="43">
        <v>194630.4489738</v>
      </c>
      <c r="C745" s="43">
        <v>194982.73043021001</v>
      </c>
      <c r="D745" s="43">
        <v>218575.90032233001</v>
      </c>
    </row>
    <row r="746" spans="1:4" x14ac:dyDescent="0.4">
      <c r="A746" s="6">
        <v>484.06</v>
      </c>
      <c r="B746" s="43">
        <v>194352.61308603999</v>
      </c>
      <c r="C746" s="43">
        <v>194700.30331523</v>
      </c>
      <c r="D746" s="43">
        <v>216631.03732238</v>
      </c>
    </row>
    <row r="747" spans="1:4" x14ac:dyDescent="0.4">
      <c r="A747" s="6">
        <v>484.05</v>
      </c>
      <c r="B747" s="43">
        <v>194074.98307493</v>
      </c>
      <c r="C747" s="43">
        <v>194418.11053368999</v>
      </c>
      <c r="D747" s="43">
        <v>214688.94886146</v>
      </c>
    </row>
    <row r="748" spans="1:4" x14ac:dyDescent="0.4">
      <c r="A748" s="6">
        <v>484.04</v>
      </c>
      <c r="B748" s="43">
        <v>193797.34994106001</v>
      </c>
      <c r="C748" s="43">
        <v>194135.94924011</v>
      </c>
      <c r="D748" s="43">
        <v>212749.60761025001</v>
      </c>
    </row>
    <row r="749" spans="1:4" x14ac:dyDescent="0.4">
      <c r="A749" s="6">
        <v>484.03</v>
      </c>
      <c r="B749" s="43">
        <v>193519.03586490001</v>
      </c>
      <c r="C749" s="43">
        <v>193853.15596335</v>
      </c>
      <c r="D749" s="43">
        <v>210813.06923304999</v>
      </c>
    </row>
    <row r="750" spans="1:4" x14ac:dyDescent="0.4">
      <c r="A750" s="6">
        <v>484.02</v>
      </c>
      <c r="B750" s="43">
        <v>193238.86354815</v>
      </c>
      <c r="C750" s="43">
        <v>193568.56986706</v>
      </c>
      <c r="D750" s="43">
        <v>208879.31916376</v>
      </c>
    </row>
    <row r="751" spans="1:4" x14ac:dyDescent="0.4">
      <c r="A751" s="6">
        <v>484.01</v>
      </c>
      <c r="B751" s="43">
        <v>192953.02924028999</v>
      </c>
      <c r="C751" s="43">
        <v>193278.40665012001</v>
      </c>
      <c r="D751" s="43">
        <v>206948.39856762</v>
      </c>
    </row>
    <row r="752" spans="1:4" x14ac:dyDescent="0.4">
      <c r="A752" s="6">
        <v>484</v>
      </c>
      <c r="B752" s="43">
        <v>192137.16797253999</v>
      </c>
      <c r="C752" s="43">
        <v>192458.34570179999</v>
      </c>
      <c r="D752" s="43">
        <v>205020.44436542</v>
      </c>
    </row>
    <row r="753" spans="1:4" x14ac:dyDescent="0.4">
      <c r="A753" s="6">
        <v>483.99</v>
      </c>
      <c r="B753" s="43">
        <v>191573.4553539</v>
      </c>
      <c r="C753" s="43">
        <v>191890.52572886</v>
      </c>
      <c r="D753" s="43">
        <v>203102.96058943999</v>
      </c>
    </row>
    <row r="754" spans="1:4" x14ac:dyDescent="0.4">
      <c r="A754" s="6">
        <v>483.98</v>
      </c>
      <c r="B754" s="43">
        <v>191254.39789957</v>
      </c>
      <c r="C754" s="43">
        <v>191567.31563338</v>
      </c>
      <c r="D754" s="43">
        <v>201188.86802865</v>
      </c>
    </row>
    <row r="755" spans="1:4" x14ac:dyDescent="0.4">
      <c r="A755" s="6">
        <v>483.97</v>
      </c>
      <c r="B755" s="43">
        <v>190941.48642373001</v>
      </c>
      <c r="C755" s="43">
        <v>191250.24189022</v>
      </c>
      <c r="D755" s="43">
        <v>199277.89764134001</v>
      </c>
    </row>
    <row r="756" spans="1:4" x14ac:dyDescent="0.4">
      <c r="A756" s="6">
        <v>483.96</v>
      </c>
      <c r="B756" s="43">
        <v>190630.51904067001</v>
      </c>
      <c r="C756" s="43">
        <v>190935.11803231001</v>
      </c>
      <c r="D756" s="43">
        <v>197370.06730505</v>
      </c>
    </row>
    <row r="757" spans="1:4" x14ac:dyDescent="0.4">
      <c r="A757" s="6">
        <v>483.95</v>
      </c>
      <c r="B757" s="43">
        <v>190320.62265542001</v>
      </c>
      <c r="C757" s="43">
        <v>190621.07780678</v>
      </c>
      <c r="D757" s="43">
        <v>195465.32259691</v>
      </c>
    </row>
    <row r="758" spans="1:4" x14ac:dyDescent="0.4">
      <c r="A758" s="6">
        <v>483.94</v>
      </c>
      <c r="B758" s="43">
        <v>190011.75049022</v>
      </c>
      <c r="C758" s="43">
        <v>190308.07757456999</v>
      </c>
      <c r="D758" s="43">
        <v>193563.68643356999</v>
      </c>
    </row>
    <row r="759" spans="1:4" x14ac:dyDescent="0.4">
      <c r="A759" s="6">
        <v>483.93</v>
      </c>
      <c r="B759" s="43">
        <v>189703.5155145</v>
      </c>
      <c r="C759" s="43">
        <v>189995.7325516</v>
      </c>
      <c r="D759" s="43">
        <v>191665.13334736001</v>
      </c>
    </row>
    <row r="760" spans="1:4" x14ac:dyDescent="0.4">
      <c r="A760" s="6">
        <v>483.92</v>
      </c>
      <c r="B760" s="43">
        <v>189395.94668528001</v>
      </c>
      <c r="C760" s="43">
        <v>189684.07390232</v>
      </c>
      <c r="D760" s="43">
        <v>189769.65674717</v>
      </c>
    </row>
    <row r="761" spans="1:4" x14ac:dyDescent="0.4">
      <c r="A761" s="6">
        <v>483.91</v>
      </c>
      <c r="B761" s="43">
        <v>189089.27054977999</v>
      </c>
      <c r="C761" s="43">
        <v>189373.32868542001</v>
      </c>
      <c r="D761" s="43">
        <v>187877.27830707</v>
      </c>
    </row>
    <row r="762" spans="1:4" x14ac:dyDescent="0.4">
      <c r="A762" s="6">
        <v>483.9</v>
      </c>
      <c r="B762" s="43">
        <v>188783.12101910001</v>
      </c>
      <c r="C762" s="43">
        <v>189063.13273148</v>
      </c>
      <c r="D762" s="43">
        <v>185987.91947835</v>
      </c>
    </row>
    <row r="763" spans="1:4" x14ac:dyDescent="0.4">
      <c r="A763" s="6">
        <v>483.89</v>
      </c>
      <c r="B763" s="43">
        <v>188477.77534066999</v>
      </c>
      <c r="C763" s="43">
        <v>188753.76292676001</v>
      </c>
      <c r="D763" s="43">
        <v>184101.62976496</v>
      </c>
    </row>
    <row r="764" spans="1:4" x14ac:dyDescent="0.4">
      <c r="A764" s="6">
        <v>483.88</v>
      </c>
      <c r="B764" s="43">
        <v>188173.01433335</v>
      </c>
      <c r="C764" s="43">
        <v>188444.99985031001</v>
      </c>
      <c r="D764" s="43">
        <v>182218.39287672</v>
      </c>
    </row>
    <row r="765" spans="1:4" x14ac:dyDescent="0.4">
      <c r="A765" s="6">
        <v>483.87</v>
      </c>
      <c r="B765" s="43">
        <v>187868.99017835999</v>
      </c>
      <c r="C765" s="43">
        <v>188136.99869720999</v>
      </c>
      <c r="D765" s="43">
        <v>180338.21396170999</v>
      </c>
    </row>
    <row r="766" spans="1:4" x14ac:dyDescent="0.4">
      <c r="A766" s="6">
        <v>483.86</v>
      </c>
      <c r="B766" s="43">
        <v>187565.39255295001</v>
      </c>
      <c r="C766" s="43">
        <v>187829.45394671999</v>
      </c>
      <c r="D766" s="43">
        <v>178461.11727290999</v>
      </c>
    </row>
    <row r="767" spans="1:4" x14ac:dyDescent="0.4">
      <c r="A767" s="6">
        <v>483.85</v>
      </c>
      <c r="B767" s="43">
        <v>187262.15068121001</v>
      </c>
      <c r="C767" s="43">
        <v>187522.30263354001</v>
      </c>
      <c r="D767" s="43">
        <v>176587.00816311</v>
      </c>
    </row>
    <row r="768" spans="1:4" x14ac:dyDescent="0.4">
      <c r="A768" s="6">
        <v>483.84</v>
      </c>
      <c r="B768" s="43">
        <v>186959.02639322999</v>
      </c>
      <c r="C768" s="43">
        <v>187215.31448522999</v>
      </c>
      <c r="D768" s="43">
        <v>174715.94992414999</v>
      </c>
    </row>
    <row r="769" spans="1:4" x14ac:dyDescent="0.4">
      <c r="A769" s="6">
        <v>483.83</v>
      </c>
      <c r="B769" s="43">
        <v>186655.36359359999</v>
      </c>
      <c r="C769" s="43">
        <v>186907.84563543001</v>
      </c>
      <c r="D769" s="43">
        <v>172847.94079671</v>
      </c>
    </row>
    <row r="770" spans="1:4" x14ac:dyDescent="0.4">
      <c r="A770" s="6">
        <v>483.82</v>
      </c>
      <c r="B770" s="43">
        <v>186350.40540309</v>
      </c>
      <c r="C770" s="43">
        <v>186599.15546725001</v>
      </c>
      <c r="D770" s="43">
        <v>170982.95259085001</v>
      </c>
    </row>
    <row r="771" spans="1:4" x14ac:dyDescent="0.4">
      <c r="A771" s="6">
        <v>483.81</v>
      </c>
      <c r="B771" s="43">
        <v>186041.19340801999</v>
      </c>
      <c r="C771" s="43">
        <v>186286.30570220001</v>
      </c>
      <c r="D771" s="43">
        <v>169121.09049057</v>
      </c>
    </row>
    <row r="772" spans="1:4" x14ac:dyDescent="0.4">
      <c r="A772" s="6">
        <v>483.8</v>
      </c>
      <c r="B772" s="43">
        <v>185686.96353687</v>
      </c>
      <c r="C772" s="43">
        <v>185928.55257547999</v>
      </c>
      <c r="D772" s="43">
        <v>167262.33677160999</v>
      </c>
    </row>
    <row r="773" spans="1:4" x14ac:dyDescent="0.4">
      <c r="A773" s="6">
        <v>483.79</v>
      </c>
      <c r="B773" s="43">
        <v>184894.34475692001</v>
      </c>
      <c r="C773" s="43">
        <v>185132.49530811</v>
      </c>
      <c r="D773" s="43">
        <v>165411.92129316999</v>
      </c>
    </row>
    <row r="774" spans="1:4" x14ac:dyDescent="0.4">
      <c r="A774" s="6">
        <v>483.78</v>
      </c>
      <c r="B774" s="43">
        <v>184633.21793886001</v>
      </c>
      <c r="C774" s="43">
        <v>184867.92337840001</v>
      </c>
      <c r="D774" s="43">
        <v>163564.27252731001</v>
      </c>
    </row>
    <row r="775" spans="1:4" x14ac:dyDescent="0.4">
      <c r="A775" s="6">
        <v>483.77</v>
      </c>
      <c r="B775" s="43">
        <v>184374.22802531999</v>
      </c>
      <c r="C775" s="43">
        <v>184605.49512184999</v>
      </c>
      <c r="D775" s="43">
        <v>161719.26460409001</v>
      </c>
    </row>
    <row r="776" spans="1:4" x14ac:dyDescent="0.4">
      <c r="A776" s="6">
        <v>483.76</v>
      </c>
      <c r="B776" s="43">
        <v>184115.73578171001</v>
      </c>
      <c r="C776" s="43">
        <v>184343.57446459</v>
      </c>
      <c r="D776" s="43">
        <v>159876.83493543</v>
      </c>
    </row>
    <row r="777" spans="1:4" x14ac:dyDescent="0.4">
      <c r="A777" s="6">
        <v>483.75</v>
      </c>
      <c r="B777" s="43">
        <v>183857.22388018999</v>
      </c>
      <c r="C777" s="43">
        <v>184081.64739825999</v>
      </c>
      <c r="D777" s="43">
        <v>158037.00929434999</v>
      </c>
    </row>
    <row r="778" spans="1:4" x14ac:dyDescent="0.4">
      <c r="A778" s="6">
        <v>483.74</v>
      </c>
      <c r="B778" s="43">
        <v>183598.61025323</v>
      </c>
      <c r="C778" s="43">
        <v>183819.63126543001</v>
      </c>
      <c r="D778" s="43">
        <v>156199.72836926</v>
      </c>
    </row>
    <row r="779" spans="1:4" x14ac:dyDescent="0.4">
      <c r="A779" s="6">
        <v>483.73</v>
      </c>
      <c r="B779" s="43">
        <v>183339.85556832</v>
      </c>
      <c r="C779" s="43">
        <v>183557.48624922999</v>
      </c>
      <c r="D779" s="43">
        <v>154365.05633588001</v>
      </c>
    </row>
    <row r="780" spans="1:4" x14ac:dyDescent="0.4">
      <c r="A780" s="6">
        <v>483.72</v>
      </c>
      <c r="B780" s="43">
        <v>183080.80796278</v>
      </c>
      <c r="C780" s="43">
        <v>183295.06471887001</v>
      </c>
      <c r="D780" s="43">
        <v>152532.96537347001</v>
      </c>
    </row>
    <row r="781" spans="1:4" x14ac:dyDescent="0.4">
      <c r="A781" s="6">
        <v>483.71</v>
      </c>
      <c r="B781" s="43">
        <v>182821.70881811</v>
      </c>
      <c r="C781" s="43">
        <v>183032.60952062</v>
      </c>
      <c r="D781" s="43">
        <v>150703.43939151999</v>
      </c>
    </row>
    <row r="782" spans="1:4" x14ac:dyDescent="0.4">
      <c r="A782" s="6">
        <v>483.7</v>
      </c>
      <c r="B782" s="43">
        <v>182562.31954055</v>
      </c>
      <c r="C782" s="43">
        <v>182769.88301513001</v>
      </c>
      <c r="D782" s="43">
        <v>148876.5415201</v>
      </c>
    </row>
    <row r="783" spans="1:4" x14ac:dyDescent="0.4">
      <c r="A783" s="6">
        <v>483.69</v>
      </c>
      <c r="B783" s="43">
        <v>182302.85537636999</v>
      </c>
      <c r="C783" s="43">
        <v>182507.10140094001</v>
      </c>
      <c r="D783" s="43">
        <v>147052.27579797999</v>
      </c>
    </row>
    <row r="784" spans="1:4" x14ac:dyDescent="0.4">
      <c r="A784" s="6">
        <v>483.68</v>
      </c>
      <c r="B784" s="43">
        <v>182042.99019888</v>
      </c>
      <c r="C784" s="43">
        <v>182243.94308857</v>
      </c>
      <c r="D784" s="43">
        <v>145230.57542266001</v>
      </c>
    </row>
    <row r="785" spans="1:4" x14ac:dyDescent="0.4">
      <c r="A785" s="6">
        <v>483.67</v>
      </c>
      <c r="B785" s="43">
        <v>181783.02110176999</v>
      </c>
      <c r="C785" s="43">
        <v>181980.70739217001</v>
      </c>
      <c r="D785" s="43">
        <v>143411.48174670001</v>
      </c>
    </row>
    <row r="786" spans="1:4" x14ac:dyDescent="0.4">
      <c r="A786" s="6">
        <v>483.66</v>
      </c>
      <c r="B786" s="43">
        <v>181522.58644404</v>
      </c>
      <c r="C786" s="43">
        <v>181717.03618560001</v>
      </c>
      <c r="D786" s="43">
        <v>141595.00337165999</v>
      </c>
    </row>
    <row r="787" spans="1:4" x14ac:dyDescent="0.4">
      <c r="A787" s="6">
        <v>483.65</v>
      </c>
      <c r="B787" s="43">
        <v>181261.55882109</v>
      </c>
      <c r="C787" s="43">
        <v>181452.80851562001</v>
      </c>
      <c r="D787" s="43">
        <v>139781.14224561001</v>
      </c>
    </row>
    <row r="788" spans="1:4" x14ac:dyDescent="0.4">
      <c r="A788" s="6">
        <v>483.64</v>
      </c>
      <c r="B788" s="43">
        <v>180999.44713452001</v>
      </c>
      <c r="C788" s="43">
        <v>181187.54365234001</v>
      </c>
      <c r="D788" s="43">
        <v>137969.88366116001</v>
      </c>
    </row>
    <row r="789" spans="1:4" x14ac:dyDescent="0.4">
      <c r="A789" s="6">
        <v>483.63</v>
      </c>
      <c r="B789" s="43">
        <v>180735.63294444999</v>
      </c>
      <c r="C789" s="43">
        <v>180920.64359438</v>
      </c>
      <c r="D789" s="43">
        <v>136161.27007870001</v>
      </c>
    </row>
    <row r="790" spans="1:4" x14ac:dyDescent="0.4">
      <c r="A790" s="6">
        <v>483.62</v>
      </c>
      <c r="B790" s="43">
        <v>180468.97608222</v>
      </c>
      <c r="C790" s="43">
        <v>180650.98582274999</v>
      </c>
      <c r="D790" s="43">
        <v>134355.32941472999</v>
      </c>
    </row>
    <row r="791" spans="1:4" x14ac:dyDescent="0.4">
      <c r="A791" s="6">
        <v>483.61</v>
      </c>
      <c r="B791" s="43">
        <v>180196.29639977001</v>
      </c>
      <c r="C791" s="43">
        <v>180375.42486277001</v>
      </c>
      <c r="D791" s="43">
        <v>132552.07370554999</v>
      </c>
    </row>
    <row r="792" spans="1:4" x14ac:dyDescent="0.4">
      <c r="A792" s="6">
        <v>483.6</v>
      </c>
      <c r="B792" s="43">
        <v>178958.74918114001</v>
      </c>
      <c r="C792" s="43">
        <v>179135.16972927999</v>
      </c>
      <c r="D792" s="43">
        <v>130751.63024432</v>
      </c>
    </row>
    <row r="793" spans="1:4" x14ac:dyDescent="0.4">
      <c r="A793" s="6">
        <v>483.59</v>
      </c>
      <c r="B793" s="43">
        <v>178581.51849109001</v>
      </c>
      <c r="C793" s="43">
        <v>178755.38497089001</v>
      </c>
      <c r="D793" s="43">
        <v>128964.07894732</v>
      </c>
    </row>
    <row r="794" spans="1:4" x14ac:dyDescent="0.4">
      <c r="A794" s="6">
        <v>483.58</v>
      </c>
      <c r="B794" s="43">
        <v>178265.75621677001</v>
      </c>
      <c r="C794" s="43">
        <v>178437.03430271</v>
      </c>
      <c r="D794" s="43">
        <v>127179.88814741001</v>
      </c>
    </row>
    <row r="795" spans="1:4" x14ac:dyDescent="0.4">
      <c r="A795" s="6">
        <v>483.57</v>
      </c>
      <c r="B795" s="43">
        <v>177955.21415707999</v>
      </c>
      <c r="C795" s="43">
        <v>178123.8997563</v>
      </c>
      <c r="D795" s="43">
        <v>125398.76506632</v>
      </c>
    </row>
    <row r="796" spans="1:4" x14ac:dyDescent="0.4">
      <c r="A796" s="6">
        <v>483.56</v>
      </c>
      <c r="B796" s="43">
        <v>177646.38640531999</v>
      </c>
      <c r="C796" s="43">
        <v>177812.48389711001</v>
      </c>
      <c r="D796" s="43">
        <v>123620.74038997</v>
      </c>
    </row>
    <row r="797" spans="1:4" x14ac:dyDescent="0.4">
      <c r="A797" s="6">
        <v>483.55</v>
      </c>
      <c r="B797" s="43">
        <v>177338.48483497</v>
      </c>
      <c r="C797" s="43">
        <v>177502.00227304999</v>
      </c>
      <c r="D797" s="43">
        <v>121845.83828122</v>
      </c>
    </row>
    <row r="798" spans="1:4" x14ac:dyDescent="0.4">
      <c r="A798" s="6">
        <v>483.54</v>
      </c>
      <c r="B798" s="43">
        <v>177031.18413330999</v>
      </c>
      <c r="C798" s="43">
        <v>177192.12984481</v>
      </c>
      <c r="D798" s="43">
        <v>120073.98196747999</v>
      </c>
    </row>
    <row r="799" spans="1:4" x14ac:dyDescent="0.4">
      <c r="A799" s="6">
        <v>483.53</v>
      </c>
      <c r="B799" s="43">
        <v>176724.67907340001</v>
      </c>
      <c r="C799" s="43">
        <v>176883.06160061</v>
      </c>
      <c r="D799" s="43">
        <v>118305.23841807</v>
      </c>
    </row>
    <row r="800" spans="1:4" x14ac:dyDescent="0.4">
      <c r="A800" s="6">
        <v>483.52</v>
      </c>
      <c r="B800" s="43">
        <v>176418.64848993</v>
      </c>
      <c r="C800" s="43">
        <v>176574.47811564</v>
      </c>
      <c r="D800" s="43">
        <v>116539.51461877</v>
      </c>
    </row>
    <row r="801" spans="1:4" x14ac:dyDescent="0.4">
      <c r="A801" s="6">
        <v>483.51</v>
      </c>
      <c r="B801" s="43">
        <v>176113.22774243</v>
      </c>
      <c r="C801" s="43">
        <v>176266.51488035999</v>
      </c>
      <c r="D801" s="43">
        <v>114776.84754636</v>
      </c>
    </row>
    <row r="802" spans="1:4" x14ac:dyDescent="0.4">
      <c r="A802" s="6">
        <v>483.5</v>
      </c>
      <c r="B802" s="43">
        <v>175808.51801013999</v>
      </c>
      <c r="C802" s="43">
        <v>175959.27199971999</v>
      </c>
      <c r="D802" s="43">
        <v>113017.24002562001</v>
      </c>
    </row>
    <row r="803" spans="1:4" x14ac:dyDescent="0.4">
      <c r="A803" s="6">
        <v>483.49</v>
      </c>
      <c r="B803" s="43">
        <v>175504.22272095</v>
      </c>
      <c r="C803" s="43">
        <v>175652.45462515001</v>
      </c>
      <c r="D803" s="43">
        <v>111260.69328556</v>
      </c>
    </row>
    <row r="804" spans="1:4" x14ac:dyDescent="0.4">
      <c r="A804" s="6">
        <v>483.48</v>
      </c>
      <c r="B804" s="43">
        <v>175200.64167094999</v>
      </c>
      <c r="C804" s="43">
        <v>175346.36246388999</v>
      </c>
      <c r="D804" s="43">
        <v>109507.19797030999</v>
      </c>
    </row>
    <row r="805" spans="1:4" x14ac:dyDescent="0.4">
      <c r="A805" s="6">
        <v>483.47</v>
      </c>
      <c r="B805" s="43">
        <v>174897.62076685001</v>
      </c>
      <c r="C805" s="43">
        <v>175040.84168292</v>
      </c>
      <c r="D805" s="43">
        <v>107756.73311402</v>
      </c>
    </row>
    <row r="806" spans="1:4" x14ac:dyDescent="0.4">
      <c r="A806" s="6">
        <v>483.46</v>
      </c>
      <c r="B806" s="43">
        <v>174595.19968675001</v>
      </c>
      <c r="C806" s="43">
        <v>174735.93287978001</v>
      </c>
      <c r="D806" s="43">
        <v>106009.29063521</v>
      </c>
    </row>
    <row r="807" spans="1:4" x14ac:dyDescent="0.4">
      <c r="A807" s="6">
        <v>483.45</v>
      </c>
      <c r="B807" s="43">
        <v>174293.29044079001</v>
      </c>
      <c r="C807" s="43">
        <v>174431.54902042999</v>
      </c>
      <c r="D807" s="43">
        <v>104264.84586553001</v>
      </c>
    </row>
    <row r="808" spans="1:4" x14ac:dyDescent="0.4">
      <c r="A808" s="6">
        <v>483.44</v>
      </c>
      <c r="B808" s="43">
        <v>173991.95658391999</v>
      </c>
      <c r="C808" s="43">
        <v>174127.75374556001</v>
      </c>
      <c r="D808" s="43">
        <v>102523.44305081</v>
      </c>
    </row>
    <row r="809" spans="1:4" x14ac:dyDescent="0.4">
      <c r="A809" s="6">
        <v>483.43</v>
      </c>
      <c r="B809" s="43">
        <v>173690.97056096999</v>
      </c>
      <c r="C809" s="43">
        <v>173824.32202650001</v>
      </c>
      <c r="D809" s="43">
        <v>100785.03944422</v>
      </c>
    </row>
    <row r="810" spans="1:4" x14ac:dyDescent="0.4">
      <c r="A810" s="6">
        <v>483.42</v>
      </c>
      <c r="B810" s="43">
        <v>173390.19647023</v>
      </c>
      <c r="C810" s="43">
        <v>173521.12235041999</v>
      </c>
      <c r="D810" s="43">
        <v>99049.643659595997</v>
      </c>
    </row>
    <row r="811" spans="1:4" x14ac:dyDescent="0.4">
      <c r="A811" s="6">
        <v>483.41</v>
      </c>
      <c r="B811" s="43">
        <v>173088.36680562</v>
      </c>
      <c r="C811" s="43">
        <v>173216.89120312</v>
      </c>
      <c r="D811" s="43">
        <v>97317.277208396001</v>
      </c>
    </row>
    <row r="812" spans="1:4" x14ac:dyDescent="0.4">
      <c r="A812" s="6">
        <v>483.4</v>
      </c>
      <c r="B812" s="43">
        <v>172756.236451</v>
      </c>
      <c r="C812" s="43">
        <v>172882.40017626001</v>
      </c>
      <c r="D812" s="43">
        <v>95587.988295998002</v>
      </c>
    </row>
    <row r="813" spans="1:4" x14ac:dyDescent="0.4">
      <c r="A813" s="6">
        <v>483.39</v>
      </c>
      <c r="B813" s="43">
        <v>172155.01596826999</v>
      </c>
      <c r="C813" s="43">
        <v>172278.81224035</v>
      </c>
      <c r="D813" s="43">
        <v>93864.650928955001</v>
      </c>
    </row>
    <row r="814" spans="1:4" x14ac:dyDescent="0.4">
      <c r="A814" s="6">
        <v>483.38</v>
      </c>
      <c r="B814" s="43">
        <v>171824.04887309999</v>
      </c>
      <c r="C814" s="43">
        <v>171945.43514884001</v>
      </c>
      <c r="D814" s="43">
        <v>92144.769237779998</v>
      </c>
    </row>
    <row r="815" spans="1:4" x14ac:dyDescent="0.4">
      <c r="A815" s="6">
        <v>483.37</v>
      </c>
      <c r="B815" s="43">
        <v>171494.37035714</v>
      </c>
      <c r="C815" s="43">
        <v>171613.33255769999</v>
      </c>
      <c r="D815" s="43">
        <v>90428.166466933006</v>
      </c>
    </row>
    <row r="816" spans="1:4" x14ac:dyDescent="0.4">
      <c r="A816" s="6">
        <v>483.36</v>
      </c>
      <c r="B816" s="43">
        <v>171164.26233591</v>
      </c>
      <c r="C816" s="43">
        <v>171280.79405997001</v>
      </c>
      <c r="D816" s="43">
        <v>88714.874189681999</v>
      </c>
    </row>
    <row r="817" spans="1:4" x14ac:dyDescent="0.4">
      <c r="A817" s="6">
        <v>483.35</v>
      </c>
      <c r="B817" s="43">
        <v>170833.13750879999</v>
      </c>
      <c r="C817" s="43">
        <v>170947.23719678001</v>
      </c>
      <c r="D817" s="43">
        <v>87004.862053687</v>
      </c>
    </row>
    <row r="818" spans="1:4" x14ac:dyDescent="0.4">
      <c r="A818" s="6">
        <v>483.34</v>
      </c>
      <c r="B818" s="43">
        <v>170500.96768746999</v>
      </c>
      <c r="C818" s="43">
        <v>170612.63485785</v>
      </c>
      <c r="D818" s="43">
        <v>85298.209863197</v>
      </c>
    </row>
    <row r="819" spans="1:4" x14ac:dyDescent="0.4">
      <c r="A819" s="6">
        <v>483.33</v>
      </c>
      <c r="B819" s="43">
        <v>170167.77539056001</v>
      </c>
      <c r="C819" s="43">
        <v>170277.01113309999</v>
      </c>
      <c r="D819" s="43">
        <v>83594.855823695005</v>
      </c>
    </row>
    <row r="820" spans="1:4" x14ac:dyDescent="0.4">
      <c r="A820" s="6">
        <v>483.32</v>
      </c>
      <c r="B820" s="43">
        <v>169833.23677279</v>
      </c>
      <c r="C820" s="43">
        <v>169940.04426133001</v>
      </c>
      <c r="D820" s="43">
        <v>81894.858801320996</v>
      </c>
    </row>
    <row r="821" spans="1:4" x14ac:dyDescent="0.4">
      <c r="A821" s="6">
        <v>483.31</v>
      </c>
      <c r="B821" s="43">
        <v>169497.58421554</v>
      </c>
      <c r="C821" s="43">
        <v>169601.96640866</v>
      </c>
      <c r="D821" s="43">
        <v>80198.227592551993</v>
      </c>
    </row>
    <row r="822" spans="1:4" x14ac:dyDescent="0.4">
      <c r="A822" s="6">
        <v>483.3</v>
      </c>
      <c r="B822" s="43">
        <v>169160.89317885</v>
      </c>
      <c r="C822" s="43">
        <v>169262.85407032</v>
      </c>
      <c r="D822" s="43">
        <v>78504.924611612005</v>
      </c>
    </row>
    <row r="823" spans="1:4" x14ac:dyDescent="0.4">
      <c r="A823" s="6">
        <v>483.29</v>
      </c>
      <c r="B823" s="43">
        <v>168822.80349749001</v>
      </c>
      <c r="C823" s="43">
        <v>168922.34693115001</v>
      </c>
      <c r="D823" s="43">
        <v>76815.022970146994</v>
      </c>
    </row>
    <row r="824" spans="1:4" x14ac:dyDescent="0.4">
      <c r="A824" s="6">
        <v>483.28</v>
      </c>
      <c r="B824" s="43">
        <v>168483.64470911</v>
      </c>
      <c r="C824" s="43">
        <v>168580.77355208999</v>
      </c>
      <c r="D824" s="43">
        <v>75128.480697892999</v>
      </c>
    </row>
    <row r="825" spans="1:4" x14ac:dyDescent="0.4">
      <c r="A825" s="6">
        <v>483.27</v>
      </c>
      <c r="B825" s="43">
        <v>168143.24225091</v>
      </c>
      <c r="C825" s="43">
        <v>168237.96064953</v>
      </c>
      <c r="D825" s="43">
        <v>73445.354178416994</v>
      </c>
    </row>
    <row r="826" spans="1:4" x14ac:dyDescent="0.4">
      <c r="A826" s="6">
        <v>483.26</v>
      </c>
      <c r="B826" s="43">
        <v>167801.60809359999</v>
      </c>
      <c r="C826" s="43">
        <v>167893.92256678001</v>
      </c>
      <c r="D826" s="43">
        <v>71765.641741632004</v>
      </c>
    </row>
    <row r="827" spans="1:4" x14ac:dyDescent="0.4">
      <c r="A827" s="6">
        <v>483.25</v>
      </c>
      <c r="B827" s="43">
        <v>167458.70125583999</v>
      </c>
      <c r="C827" s="43">
        <v>167548.62087099001</v>
      </c>
      <c r="D827" s="43">
        <v>70089.345479123993</v>
      </c>
    </row>
    <row r="828" spans="1:4" x14ac:dyDescent="0.4">
      <c r="A828" s="6">
        <v>483.24</v>
      </c>
      <c r="B828" s="43">
        <v>167114.35863313999</v>
      </c>
      <c r="C828" s="43">
        <v>167201.89450058999</v>
      </c>
      <c r="D828" s="43">
        <v>68416.495953352001</v>
      </c>
    </row>
    <row r="829" spans="1:4" x14ac:dyDescent="0.4">
      <c r="A829" s="6">
        <v>483.23</v>
      </c>
      <c r="B829" s="43">
        <v>166768.27258851999</v>
      </c>
      <c r="C829" s="43">
        <v>166853.44042088001</v>
      </c>
      <c r="D829" s="43">
        <v>66747.096262687002</v>
      </c>
    </row>
    <row r="830" spans="1:4" x14ac:dyDescent="0.4">
      <c r="A830" s="6">
        <v>483.22</v>
      </c>
      <c r="B830" s="43">
        <v>166419.52305074999</v>
      </c>
      <c r="C830" s="43">
        <v>166502.34438604</v>
      </c>
      <c r="D830" s="43">
        <v>65081.177162646003</v>
      </c>
    </row>
    <row r="831" spans="1:4" x14ac:dyDescent="0.4">
      <c r="A831" s="6">
        <v>483.21</v>
      </c>
      <c r="B831" s="43">
        <v>166063.78949626</v>
      </c>
      <c r="C831" s="43">
        <v>166144.29641032999</v>
      </c>
      <c r="D831" s="43">
        <v>63418.785881354001</v>
      </c>
    </row>
    <row r="832" spans="1:4" x14ac:dyDescent="0.4">
      <c r="A832" s="6">
        <v>483.2</v>
      </c>
      <c r="B832" s="43">
        <v>164873.55845454999</v>
      </c>
      <c r="C832" s="43">
        <v>164951.85399276999</v>
      </c>
      <c r="D832" s="43">
        <v>61760.105640173999</v>
      </c>
    </row>
    <row r="833" spans="1:4" x14ac:dyDescent="0.4">
      <c r="A833" s="6">
        <v>483.19</v>
      </c>
      <c r="B833" s="43">
        <v>163500.71315749999</v>
      </c>
      <c r="C833" s="43">
        <v>163576.69194044001</v>
      </c>
      <c r="D833" s="43">
        <v>60122.506560196998</v>
      </c>
    </row>
    <row r="834" spans="1:4" x14ac:dyDescent="0.4">
      <c r="A834" s="6">
        <v>483.18</v>
      </c>
      <c r="B834" s="43">
        <v>163091.67309493999</v>
      </c>
      <c r="C834" s="43">
        <v>163165.17145011001</v>
      </c>
      <c r="D834" s="43">
        <v>58489.548849624</v>
      </c>
    </row>
    <row r="835" spans="1:4" x14ac:dyDescent="0.4">
      <c r="A835" s="6">
        <v>483.17</v>
      </c>
      <c r="B835" s="43">
        <v>162691.00339087</v>
      </c>
      <c r="C835" s="43">
        <v>162761.94195794</v>
      </c>
      <c r="D835" s="43">
        <v>56860.633534000001</v>
      </c>
    </row>
    <row r="836" spans="1:4" x14ac:dyDescent="0.4">
      <c r="A836" s="6">
        <v>483.16</v>
      </c>
      <c r="B836" s="43">
        <v>162293.07407512999</v>
      </c>
      <c r="C836" s="43">
        <v>162361.40881553001</v>
      </c>
      <c r="D836" s="43">
        <v>55235.717418760003</v>
      </c>
    </row>
    <row r="837" spans="1:4" x14ac:dyDescent="0.4">
      <c r="A837" s="6">
        <v>483.15</v>
      </c>
      <c r="B837" s="43">
        <v>161895.73873998001</v>
      </c>
      <c r="C837" s="43">
        <v>161961.44569749001</v>
      </c>
      <c r="D837" s="43">
        <v>53614.770258140001</v>
      </c>
    </row>
    <row r="838" spans="1:4" x14ac:dyDescent="0.4">
      <c r="A838" s="6">
        <v>483.14</v>
      </c>
      <c r="B838" s="43">
        <v>161498.16750194001</v>
      </c>
      <c r="C838" s="43">
        <v>161561.23244091001</v>
      </c>
      <c r="D838" s="43">
        <v>51997.779296435998</v>
      </c>
    </row>
    <row r="839" spans="1:4" x14ac:dyDescent="0.4">
      <c r="A839" s="6">
        <v>483.13</v>
      </c>
      <c r="B839" s="43">
        <v>161099.96461488999</v>
      </c>
      <c r="C839" s="43">
        <v>161160.37957478999</v>
      </c>
      <c r="D839" s="43">
        <v>50384.799140638999</v>
      </c>
    </row>
    <row r="840" spans="1:4" x14ac:dyDescent="0.4">
      <c r="A840" s="6">
        <v>483.12</v>
      </c>
      <c r="B840" s="43">
        <v>160701.05839443</v>
      </c>
      <c r="C840" s="43">
        <v>160758.82517915001</v>
      </c>
      <c r="D840" s="43">
        <v>48775.796271405998</v>
      </c>
    </row>
    <row r="841" spans="1:4" x14ac:dyDescent="0.4">
      <c r="A841" s="6">
        <v>483.11</v>
      </c>
      <c r="B841" s="43">
        <v>160301.44531010999</v>
      </c>
      <c r="C841" s="43">
        <v>160356.56992571999</v>
      </c>
      <c r="D841" s="43">
        <v>47170.825356510002</v>
      </c>
    </row>
    <row r="842" spans="1:4" x14ac:dyDescent="0.4">
      <c r="A842" s="6">
        <v>483.1</v>
      </c>
      <c r="B842" s="43">
        <v>159900.68126491999</v>
      </c>
      <c r="C842" s="43">
        <v>159953.17301284001</v>
      </c>
      <c r="D842" s="43">
        <v>45569.814380534997</v>
      </c>
    </row>
    <row r="843" spans="1:4" x14ac:dyDescent="0.4">
      <c r="A843" s="6">
        <v>483.09</v>
      </c>
      <c r="B843" s="43">
        <v>159498.95343068001</v>
      </c>
      <c r="C843" s="43">
        <v>159548.82250715999</v>
      </c>
      <c r="D843" s="43">
        <v>43972.826938787002</v>
      </c>
    </row>
    <row r="844" spans="1:4" x14ac:dyDescent="0.4">
      <c r="A844" s="6">
        <v>483.08</v>
      </c>
      <c r="B844" s="43">
        <v>159096.30734442</v>
      </c>
      <c r="C844" s="43">
        <v>159143.56712620999</v>
      </c>
      <c r="D844" s="43">
        <v>42379.873654094001</v>
      </c>
    </row>
    <row r="845" spans="1:4" x14ac:dyDescent="0.4">
      <c r="A845" s="6">
        <v>483.07</v>
      </c>
      <c r="B845" s="43">
        <v>158692.64806288001</v>
      </c>
      <c r="C845" s="43">
        <v>158737.31656368001</v>
      </c>
      <c r="D845" s="43">
        <v>40790.988701114002</v>
      </c>
    </row>
    <row r="846" spans="1:4" x14ac:dyDescent="0.4">
      <c r="A846" s="6">
        <v>483.06</v>
      </c>
      <c r="B846" s="43">
        <v>158287.72821912999</v>
      </c>
      <c r="C846" s="43">
        <v>158329.83158557999</v>
      </c>
      <c r="D846" s="43">
        <v>39206.139237048003</v>
      </c>
    </row>
    <row r="847" spans="1:4" x14ac:dyDescent="0.4">
      <c r="A847" s="6">
        <v>483.05</v>
      </c>
      <c r="B847" s="43">
        <v>157881.26614543999</v>
      </c>
      <c r="C847" s="43">
        <v>157920.83884872001</v>
      </c>
      <c r="D847" s="43">
        <v>37625.359249638001</v>
      </c>
    </row>
    <row r="848" spans="1:4" x14ac:dyDescent="0.4">
      <c r="A848" s="6">
        <v>483.04</v>
      </c>
      <c r="B848" s="43">
        <v>157472.86746871</v>
      </c>
      <c r="C848" s="43">
        <v>157509.95594635999</v>
      </c>
      <c r="D848" s="43">
        <v>36048.653842305001</v>
      </c>
    </row>
    <row r="849" spans="1:4" x14ac:dyDescent="0.4">
      <c r="A849" s="6">
        <v>483.03</v>
      </c>
      <c r="B849" s="43">
        <v>157061.48082306</v>
      </c>
      <c r="C849" s="43">
        <v>157096.14919615001</v>
      </c>
      <c r="D849" s="43">
        <v>34476.067833642002</v>
      </c>
    </row>
    <row r="850" spans="1:4" x14ac:dyDescent="0.4">
      <c r="A850" s="6">
        <v>483.02</v>
      </c>
      <c r="B850" s="43">
        <v>156643.13262257</v>
      </c>
      <c r="C850" s="43">
        <v>156675.47840018</v>
      </c>
      <c r="D850" s="43">
        <v>32907.660446153997</v>
      </c>
    </row>
    <row r="851" spans="1:4" x14ac:dyDescent="0.4">
      <c r="A851" s="6">
        <v>483.01</v>
      </c>
      <c r="B851" s="43">
        <v>156215.89019030001</v>
      </c>
      <c r="C851" s="43">
        <v>156246.07625958</v>
      </c>
      <c r="D851" s="43">
        <v>31343.481591022999</v>
      </c>
    </row>
    <row r="852" spans="1:4" x14ac:dyDescent="0.4">
      <c r="A852" s="6">
        <v>483</v>
      </c>
      <c r="B852" s="43">
        <v>155639.06933154</v>
      </c>
      <c r="C852" s="43">
        <v>155667.35630191999</v>
      </c>
      <c r="D852" s="43">
        <v>29783.877598461</v>
      </c>
    </row>
    <row r="853" spans="1:4" x14ac:dyDescent="0.4">
      <c r="A853" s="6">
        <v>482.99</v>
      </c>
      <c r="B853" s="43">
        <v>153357.26827043999</v>
      </c>
      <c r="C853" s="43">
        <v>153383.95528656</v>
      </c>
      <c r="D853" s="43">
        <v>28247.596069128998</v>
      </c>
    </row>
    <row r="854" spans="1:4" x14ac:dyDescent="0.4">
      <c r="A854" s="6">
        <v>482.98</v>
      </c>
      <c r="B854" s="43">
        <v>152865.0486256</v>
      </c>
      <c r="C854" s="43">
        <v>152890.14643781999</v>
      </c>
      <c r="D854" s="43">
        <v>26716.501689879002</v>
      </c>
    </row>
    <row r="855" spans="1:4" x14ac:dyDescent="0.4">
      <c r="A855" s="6">
        <v>482.97</v>
      </c>
      <c r="B855" s="43">
        <v>152374.66505591001</v>
      </c>
      <c r="C855" s="43">
        <v>152398.20288456001</v>
      </c>
      <c r="D855" s="43">
        <v>25190.297847628</v>
      </c>
    </row>
    <row r="856" spans="1:4" x14ac:dyDescent="0.4">
      <c r="A856" s="6">
        <v>482.96</v>
      </c>
      <c r="B856" s="43">
        <v>151884.12071461001</v>
      </c>
      <c r="C856" s="43">
        <v>151906.12217297999</v>
      </c>
      <c r="D856" s="43">
        <v>23669.001999831002</v>
      </c>
    </row>
    <row r="857" spans="1:4" x14ac:dyDescent="0.4">
      <c r="A857" s="6">
        <v>482.95</v>
      </c>
      <c r="B857" s="43">
        <v>151393.39098957999</v>
      </c>
      <c r="C857" s="43">
        <v>151413.87311133</v>
      </c>
      <c r="D857" s="43">
        <v>22152.636452335999</v>
      </c>
    </row>
    <row r="858" spans="1:4" x14ac:dyDescent="0.4">
      <c r="A858" s="6">
        <v>482.94</v>
      </c>
      <c r="B858" s="43">
        <v>150902.57750787999</v>
      </c>
      <c r="C858" s="43">
        <v>150921.55204372</v>
      </c>
      <c r="D858" s="43">
        <v>20641.160951375001</v>
      </c>
    </row>
    <row r="859" spans="1:4" x14ac:dyDescent="0.4">
      <c r="A859" s="6">
        <v>482.93</v>
      </c>
      <c r="B859" s="43">
        <v>150411.73067436001</v>
      </c>
      <c r="C859" s="43">
        <v>150429.20663303</v>
      </c>
      <c r="D859" s="43">
        <v>19134.599796393999</v>
      </c>
    </row>
    <row r="860" spans="1:4" x14ac:dyDescent="0.4">
      <c r="A860" s="6">
        <v>482.92</v>
      </c>
      <c r="B860" s="43">
        <v>149920.93094324</v>
      </c>
      <c r="C860" s="43">
        <v>149936.91551039999</v>
      </c>
      <c r="D860" s="43">
        <v>17632.941501099998</v>
      </c>
    </row>
    <row r="861" spans="1:4" x14ac:dyDescent="0.4">
      <c r="A861" s="6">
        <v>482.91</v>
      </c>
      <c r="B861" s="43">
        <v>149430.14112720999</v>
      </c>
      <c r="C861" s="43">
        <v>149444.64165276001</v>
      </c>
      <c r="D861" s="43">
        <v>16136.191610080999</v>
      </c>
    </row>
    <row r="862" spans="1:4" x14ac:dyDescent="0.4">
      <c r="A862" s="6">
        <v>482.9</v>
      </c>
      <c r="B862" s="43">
        <v>148939.30940221</v>
      </c>
      <c r="C862" s="43">
        <v>148952.33360514001</v>
      </c>
      <c r="D862" s="43">
        <v>14644.334904150001</v>
      </c>
    </row>
    <row r="863" spans="1:4" x14ac:dyDescent="0.4">
      <c r="A863" s="6">
        <v>482.89</v>
      </c>
      <c r="B863" s="43">
        <v>148448.54708131001</v>
      </c>
      <c r="C863" s="43">
        <v>148460.10240813001</v>
      </c>
      <c r="D863" s="43">
        <v>13157.405516683</v>
      </c>
    </row>
    <row r="864" spans="1:4" x14ac:dyDescent="0.4">
      <c r="A864" s="6">
        <v>482.88</v>
      </c>
      <c r="B864" s="43">
        <v>147957.77266240999</v>
      </c>
      <c r="C864" s="43">
        <v>147967.86779533001</v>
      </c>
      <c r="D864" s="43">
        <v>11675.396950016</v>
      </c>
    </row>
    <row r="865" spans="1:4" x14ac:dyDescent="0.4">
      <c r="A865" s="6">
        <v>482.87</v>
      </c>
      <c r="B865" s="43">
        <v>147466.9899816</v>
      </c>
      <c r="C865" s="43">
        <v>147475.63551588001</v>
      </c>
      <c r="D865" s="43">
        <v>10198.297931432</v>
      </c>
    </row>
    <row r="866" spans="1:4" x14ac:dyDescent="0.4">
      <c r="A866" s="6">
        <v>482.86</v>
      </c>
      <c r="B866" s="43">
        <v>146976.01396278999</v>
      </c>
      <c r="C866" s="43">
        <v>146983.22351056</v>
      </c>
      <c r="D866" s="43">
        <v>8726.0884105419991</v>
      </c>
    </row>
    <row r="867" spans="1:4" x14ac:dyDescent="0.4">
      <c r="A867" s="6">
        <v>482.85</v>
      </c>
      <c r="B867" s="43">
        <v>146484.77128439001</v>
      </c>
      <c r="C867" s="43">
        <v>146490.56352061001</v>
      </c>
      <c r="D867" s="43">
        <v>7258.8256497918001</v>
      </c>
    </row>
    <row r="868" spans="1:4" x14ac:dyDescent="0.4">
      <c r="A868" s="6">
        <v>482.84</v>
      </c>
      <c r="B868" s="43">
        <v>145992.50570382</v>
      </c>
      <c r="C868" s="43">
        <v>145996.90921665</v>
      </c>
      <c r="D868" s="43">
        <v>5796.4922307718998</v>
      </c>
    </row>
    <row r="869" spans="1:4" x14ac:dyDescent="0.4">
      <c r="A869" s="6">
        <v>482.83</v>
      </c>
      <c r="B869" s="43">
        <v>145497.98098441001</v>
      </c>
      <c r="C869" s="43">
        <v>145501.04430996999</v>
      </c>
      <c r="D869" s="43">
        <v>4339.1395934523998</v>
      </c>
    </row>
    <row r="870" spans="1:4" x14ac:dyDescent="0.4">
      <c r="A870" s="6">
        <v>482.82</v>
      </c>
      <c r="B870" s="43">
        <v>144996.91824224999</v>
      </c>
      <c r="C870" s="43">
        <v>144998.72846745999</v>
      </c>
      <c r="D870" s="43">
        <v>2886.8076654624001</v>
      </c>
    </row>
    <row r="871" spans="1:4" x14ac:dyDescent="0.4">
      <c r="A871" s="6">
        <v>482.81</v>
      </c>
      <c r="B871" s="43">
        <v>144474.08244622001</v>
      </c>
      <c r="C871" s="43">
        <v>144474.80612997999</v>
      </c>
      <c r="D871" s="43">
        <v>1439.6211010379</v>
      </c>
    </row>
    <row r="872" spans="1:4" x14ac:dyDescent="0.4">
      <c r="A872" s="6">
        <v>482.8</v>
      </c>
      <c r="B872" s="43">
        <v>33140.978661918998</v>
      </c>
      <c r="C872" s="43">
        <v>33140.978718785002</v>
      </c>
      <c r="D872" s="43">
        <v>0.40316735619689997</v>
      </c>
    </row>
    <row r="873" spans="1:4" x14ac:dyDescent="0.4">
      <c r="A873" s="6">
        <v>482.79</v>
      </c>
      <c r="B873" s="43">
        <v>0</v>
      </c>
      <c r="C873" s="43">
        <v>0</v>
      </c>
      <c r="D873" s="4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96" workbookViewId="0">
      <selection activeCell="C103" sqref="C103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ht="33.6" x14ac:dyDescent="0.4">
      <c r="A3" s="1" t="s">
        <v>11</v>
      </c>
      <c r="B3" t="s">
        <v>12</v>
      </c>
      <c r="E3" t="s">
        <v>13</v>
      </c>
    </row>
    <row r="4" spans="1:14" x14ac:dyDescent="0.4">
      <c r="A4" s="51" t="s">
        <v>14</v>
      </c>
      <c r="B4" s="52" t="s">
        <v>15</v>
      </c>
      <c r="C4" s="52"/>
      <c r="D4" s="52"/>
      <c r="E4" s="52" t="s">
        <v>16</v>
      </c>
      <c r="F4" s="52"/>
      <c r="G4" s="52"/>
      <c r="H4" s="52" t="s">
        <v>17</v>
      </c>
      <c r="I4" s="52"/>
      <c r="J4" s="52"/>
      <c r="K4" s="52" t="s">
        <v>18</v>
      </c>
      <c r="L4" s="52"/>
      <c r="M4" s="52"/>
    </row>
    <row r="5" spans="1:14" x14ac:dyDescent="0.4">
      <c r="A5" s="51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51" t="s">
        <v>14</v>
      </c>
      <c r="B4" s="52" t="s">
        <v>15</v>
      </c>
      <c r="C4" s="52"/>
      <c r="D4" s="52"/>
      <c r="E4" s="52" t="s">
        <v>16</v>
      </c>
      <c r="F4" s="52"/>
      <c r="G4" s="52"/>
      <c r="H4" s="52" t="s">
        <v>17</v>
      </c>
      <c r="I4" s="52"/>
      <c r="J4" s="52"/>
      <c r="K4" s="52" t="s">
        <v>18</v>
      </c>
      <c r="L4" s="52"/>
      <c r="M4" s="52"/>
    </row>
    <row r="5" spans="1:14" x14ac:dyDescent="0.4">
      <c r="A5" s="51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36</v>
      </c>
      <c r="J1" s="12" t="s">
        <v>37</v>
      </c>
    </row>
    <row r="2" spans="1:10" x14ac:dyDescent="0.4">
      <c r="A2" s="13">
        <v>1</v>
      </c>
      <c r="B2" s="13" t="s">
        <v>38</v>
      </c>
      <c r="C2" s="14">
        <v>10</v>
      </c>
      <c r="D2" s="13">
        <v>6</v>
      </c>
      <c r="E2" s="13" t="s">
        <v>39</v>
      </c>
      <c r="F2" s="14">
        <v>13</v>
      </c>
      <c r="G2" s="13"/>
      <c r="H2" s="13" t="s">
        <v>40</v>
      </c>
      <c r="I2" s="13" t="s">
        <v>41</v>
      </c>
      <c r="J2" s="13"/>
    </row>
    <row r="3" spans="1:10" x14ac:dyDescent="0.4">
      <c r="A3" s="13">
        <v>2</v>
      </c>
      <c r="B3" s="13" t="s">
        <v>38</v>
      </c>
      <c r="C3" s="14">
        <v>10</v>
      </c>
      <c r="D3" s="13">
        <v>6</v>
      </c>
      <c r="E3" s="13" t="s">
        <v>39</v>
      </c>
      <c r="F3" s="14">
        <v>13</v>
      </c>
      <c r="G3" s="13"/>
      <c r="H3" s="13" t="s">
        <v>42</v>
      </c>
      <c r="I3" s="13" t="s">
        <v>41</v>
      </c>
      <c r="J3" s="13"/>
    </row>
    <row r="4" spans="1:10" x14ac:dyDescent="0.4">
      <c r="A4" s="15"/>
      <c r="B4" s="15"/>
      <c r="C4" s="16"/>
      <c r="D4" s="15"/>
      <c r="E4" s="15"/>
      <c r="F4" s="17"/>
      <c r="G4" s="15"/>
      <c r="H4" s="15"/>
      <c r="I4" s="15"/>
      <c r="J4" s="15"/>
    </row>
    <row r="5" spans="1:10" x14ac:dyDescent="0.4">
      <c r="A5" s="15"/>
      <c r="B5" s="15"/>
      <c r="C5" s="16"/>
      <c r="D5" s="15"/>
      <c r="E5" s="15"/>
      <c r="F5" s="17"/>
      <c r="G5" s="15"/>
      <c r="H5" s="15"/>
      <c r="I5" s="15"/>
      <c r="J5" s="15"/>
    </row>
    <row r="6" spans="1:10" x14ac:dyDescent="0.4">
      <c r="A6" s="15"/>
      <c r="B6" s="15"/>
      <c r="C6" s="16"/>
      <c r="D6" s="15"/>
      <c r="E6" s="15"/>
      <c r="F6" s="17"/>
      <c r="G6" s="15"/>
      <c r="H6" s="15"/>
      <c r="I6" s="15"/>
      <c r="J6" s="15"/>
    </row>
    <row r="7" spans="1:10" x14ac:dyDescent="0.4">
      <c r="A7" s="15"/>
      <c r="B7" s="15"/>
      <c r="C7" s="16"/>
      <c r="D7" s="15"/>
      <c r="E7" s="15"/>
      <c r="F7" s="17"/>
      <c r="G7" s="15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15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15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15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15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15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15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15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15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15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15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15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2026-02-06T02:14:06Z</dcterms:modified>
</cp:coreProperties>
</file>