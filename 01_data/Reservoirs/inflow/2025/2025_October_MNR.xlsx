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 of Phayao\เอกสารการเรียน\Paper 3\Daily water data table\2025\"/>
    </mc:Choice>
  </mc:AlternateContent>
  <xr:revisionPtr revIDLastSave="0" documentId="13_ncr:1_{D88FD52B-7658-4E77-87A0-8ED7BB7CE410}" xr6:coauthVersionLast="47" xr6:coauthVersionMax="47" xr10:uidLastSave="{00000000-0000-0000-0000-000000000000}"/>
  <bookViews>
    <workbookView xWindow="-108" yWindow="-108" windowWidth="23256" windowHeight="12456" xr2:uid="{8B7E57CE-7848-4ACD-89BD-6EF401AFAE93}"/>
  </bookViews>
  <sheets>
    <sheet name="บัญชีน้ำ" sheetId="2" r:id="rId1"/>
    <sheet name="Area_Terrain" sheetId="8" r:id="rId2"/>
    <sheet name="Rating Curve 1 CM" sheetId="7" r:id="rId3"/>
    <sheet name="อัตราการไหล ท่อฝั่งspillway" sheetId="3" r:id="rId4"/>
    <sheet name="อัตราการไหลท่อฝั่งทางเข้าอ่าง" sheetId="4" r:id="rId5"/>
    <sheet name="ตารางปล่อยน้ำ" sheetId="5" r:id="rId6"/>
    <sheet name="น้ำล้นสปิลเวย์" sheetId="6" r:id="rId7"/>
  </sheets>
  <externalReferences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6" i="2"/>
  <c r="H7" i="2" l="1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6" i="2"/>
  <c r="E7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6" i="2"/>
  <c r="C7" i="2" l="1"/>
  <c r="C8" i="2"/>
  <c r="K8" i="2" s="1"/>
  <c r="C9" i="2"/>
  <c r="C10" i="2"/>
  <c r="C11" i="2"/>
  <c r="C12" i="2"/>
  <c r="C13" i="2"/>
  <c r="K13" i="2" s="1"/>
  <c r="C14" i="2"/>
  <c r="C15" i="2"/>
  <c r="C16" i="2"/>
  <c r="K16" i="2" s="1"/>
  <c r="C17" i="2"/>
  <c r="C18" i="2"/>
  <c r="K18" i="2" s="1"/>
  <c r="C19" i="2"/>
  <c r="C20" i="2"/>
  <c r="K20" i="2" s="1"/>
  <c r="C21" i="2"/>
  <c r="C22" i="2"/>
  <c r="K22" i="2" s="1"/>
  <c r="C23" i="2"/>
  <c r="C24" i="2"/>
  <c r="C25" i="2"/>
  <c r="C26" i="2"/>
  <c r="C27" i="2"/>
  <c r="C28" i="2"/>
  <c r="C29" i="2"/>
  <c r="C30" i="2"/>
  <c r="C31" i="2"/>
  <c r="C32" i="2"/>
  <c r="C33" i="2"/>
  <c r="C34" i="2"/>
  <c r="K34" i="2" s="1"/>
  <c r="C35" i="2"/>
  <c r="C36" i="2"/>
  <c r="K36" i="2" s="1"/>
  <c r="C6" i="2"/>
  <c r="E1758" i="6"/>
  <c r="G1758" i="6" s="1"/>
  <c r="I1758" i="6" s="1"/>
  <c r="B1758" i="6"/>
  <c r="E1757" i="6"/>
  <c r="G1757" i="6" s="1"/>
  <c r="I1757" i="6" s="1"/>
  <c r="B1757" i="6"/>
  <c r="E1756" i="6"/>
  <c r="G1756" i="6" s="1"/>
  <c r="I1756" i="6" s="1"/>
  <c r="B1756" i="6"/>
  <c r="G1755" i="6"/>
  <c r="I1755" i="6" s="1"/>
  <c r="K1755" i="6" s="1"/>
  <c r="E1755" i="6"/>
  <c r="B1755" i="6"/>
  <c r="I1754" i="6"/>
  <c r="K1754" i="6" s="1"/>
  <c r="E1754" i="6"/>
  <c r="G1754" i="6" s="1"/>
  <c r="B1754" i="6"/>
  <c r="E1753" i="6"/>
  <c r="G1753" i="6" s="1"/>
  <c r="I1753" i="6" s="1"/>
  <c r="K1753" i="6" s="1"/>
  <c r="B1753" i="6"/>
  <c r="J1752" i="6"/>
  <c r="G1752" i="6"/>
  <c r="I1752" i="6" s="1"/>
  <c r="K1752" i="6" s="1"/>
  <c r="E1752" i="6"/>
  <c r="B1752" i="6"/>
  <c r="G1751" i="6"/>
  <c r="I1751" i="6" s="1"/>
  <c r="E1751" i="6"/>
  <c r="B1751" i="6"/>
  <c r="E1750" i="6"/>
  <c r="G1750" i="6" s="1"/>
  <c r="I1750" i="6" s="1"/>
  <c r="K1750" i="6" s="1"/>
  <c r="B1750" i="6"/>
  <c r="E1749" i="6"/>
  <c r="G1749" i="6" s="1"/>
  <c r="I1749" i="6" s="1"/>
  <c r="B1749" i="6"/>
  <c r="J1748" i="6"/>
  <c r="E1748" i="6"/>
  <c r="G1748" i="6" s="1"/>
  <c r="I1748" i="6" s="1"/>
  <c r="K1748" i="6" s="1"/>
  <c r="B1748" i="6"/>
  <c r="K1747" i="6"/>
  <c r="J1747" i="6"/>
  <c r="I1747" i="6"/>
  <c r="G1747" i="6"/>
  <c r="E1747" i="6"/>
  <c r="B1747" i="6"/>
  <c r="K1746" i="6"/>
  <c r="E1746" i="6"/>
  <c r="G1746" i="6" s="1"/>
  <c r="I1746" i="6" s="1"/>
  <c r="J1746" i="6" s="1"/>
  <c r="B1746" i="6"/>
  <c r="E1745" i="6"/>
  <c r="G1745" i="6" s="1"/>
  <c r="I1745" i="6" s="1"/>
  <c r="B1745" i="6"/>
  <c r="E1744" i="6"/>
  <c r="G1744" i="6" s="1"/>
  <c r="I1744" i="6" s="1"/>
  <c r="B1744" i="6"/>
  <c r="E1743" i="6"/>
  <c r="G1743" i="6" s="1"/>
  <c r="I1743" i="6" s="1"/>
  <c r="B1743" i="6"/>
  <c r="I1742" i="6"/>
  <c r="K1742" i="6" s="1"/>
  <c r="G1742" i="6"/>
  <c r="E1742" i="6"/>
  <c r="B1742" i="6"/>
  <c r="E1741" i="6"/>
  <c r="G1741" i="6" s="1"/>
  <c r="I1741" i="6" s="1"/>
  <c r="J1741" i="6" s="1"/>
  <c r="B1741" i="6"/>
  <c r="G1740" i="6"/>
  <c r="I1740" i="6" s="1"/>
  <c r="E1740" i="6"/>
  <c r="B1740" i="6"/>
  <c r="E1739" i="6"/>
  <c r="G1739" i="6" s="1"/>
  <c r="I1739" i="6" s="1"/>
  <c r="K1739" i="6" s="1"/>
  <c r="B1739" i="6"/>
  <c r="E1738" i="6"/>
  <c r="G1738" i="6" s="1"/>
  <c r="I1738" i="6" s="1"/>
  <c r="K1738" i="6" s="1"/>
  <c r="B1738" i="6"/>
  <c r="E1737" i="6"/>
  <c r="G1737" i="6" s="1"/>
  <c r="I1737" i="6" s="1"/>
  <c r="B1737" i="6"/>
  <c r="E1736" i="6"/>
  <c r="G1736" i="6" s="1"/>
  <c r="I1736" i="6" s="1"/>
  <c r="B1736" i="6"/>
  <c r="G1735" i="6"/>
  <c r="I1735" i="6" s="1"/>
  <c r="J1735" i="6" s="1"/>
  <c r="E1735" i="6"/>
  <c r="B1735" i="6"/>
  <c r="K1734" i="6"/>
  <c r="J1734" i="6"/>
  <c r="E1734" i="6"/>
  <c r="G1734" i="6" s="1"/>
  <c r="I1734" i="6" s="1"/>
  <c r="B1734" i="6"/>
  <c r="E1733" i="6"/>
  <c r="G1733" i="6" s="1"/>
  <c r="I1733" i="6" s="1"/>
  <c r="B1733" i="6"/>
  <c r="G1732" i="6"/>
  <c r="I1732" i="6" s="1"/>
  <c r="K1732" i="6" s="1"/>
  <c r="E1732" i="6"/>
  <c r="B1732" i="6"/>
  <c r="G1731" i="6"/>
  <c r="I1731" i="6" s="1"/>
  <c r="E1731" i="6"/>
  <c r="B1731" i="6"/>
  <c r="E1730" i="6"/>
  <c r="G1730" i="6" s="1"/>
  <c r="I1730" i="6" s="1"/>
  <c r="J1730" i="6" s="1"/>
  <c r="B1730" i="6"/>
  <c r="G1729" i="6"/>
  <c r="I1729" i="6" s="1"/>
  <c r="E1729" i="6"/>
  <c r="B1729" i="6"/>
  <c r="G1728" i="6"/>
  <c r="I1728" i="6" s="1"/>
  <c r="E1728" i="6"/>
  <c r="B1728" i="6"/>
  <c r="G1727" i="6"/>
  <c r="I1727" i="6" s="1"/>
  <c r="E1727" i="6"/>
  <c r="B1727" i="6"/>
  <c r="E1726" i="6"/>
  <c r="G1726" i="6" s="1"/>
  <c r="I1726" i="6" s="1"/>
  <c r="B1726" i="6"/>
  <c r="E1725" i="6"/>
  <c r="G1725" i="6" s="1"/>
  <c r="I1725" i="6" s="1"/>
  <c r="B1725" i="6"/>
  <c r="K1724" i="6"/>
  <c r="I1724" i="6"/>
  <c r="J1724" i="6" s="1"/>
  <c r="G1724" i="6"/>
  <c r="E1724" i="6"/>
  <c r="B1724" i="6"/>
  <c r="I1723" i="6"/>
  <c r="E1723" i="6"/>
  <c r="G1723" i="6" s="1"/>
  <c r="B1723" i="6"/>
  <c r="J1722" i="6"/>
  <c r="I1722" i="6"/>
  <c r="K1722" i="6" s="1"/>
  <c r="G1722" i="6"/>
  <c r="E1722" i="6"/>
  <c r="B1722" i="6"/>
  <c r="E1721" i="6"/>
  <c r="G1721" i="6" s="1"/>
  <c r="I1721" i="6" s="1"/>
  <c r="B1721" i="6"/>
  <c r="E1720" i="6"/>
  <c r="G1720" i="6" s="1"/>
  <c r="I1720" i="6" s="1"/>
  <c r="B1720" i="6"/>
  <c r="K1719" i="6"/>
  <c r="J1719" i="6"/>
  <c r="I1719" i="6"/>
  <c r="E1719" i="6"/>
  <c r="G1719" i="6" s="1"/>
  <c r="B1719" i="6"/>
  <c r="E1718" i="6"/>
  <c r="G1718" i="6" s="1"/>
  <c r="I1718" i="6" s="1"/>
  <c r="B1718" i="6"/>
  <c r="I1717" i="6"/>
  <c r="K1717" i="6" s="1"/>
  <c r="E1717" i="6"/>
  <c r="G1717" i="6" s="1"/>
  <c r="B1717" i="6"/>
  <c r="E1716" i="6"/>
  <c r="G1716" i="6" s="1"/>
  <c r="I1716" i="6" s="1"/>
  <c r="K1716" i="6" s="1"/>
  <c r="B1716" i="6"/>
  <c r="G1715" i="6"/>
  <c r="I1715" i="6" s="1"/>
  <c r="K1715" i="6" s="1"/>
  <c r="E1715" i="6"/>
  <c r="B1715" i="6"/>
  <c r="G1714" i="6"/>
  <c r="I1714" i="6" s="1"/>
  <c r="K1714" i="6" s="1"/>
  <c r="E1714" i="6"/>
  <c r="B1714" i="6"/>
  <c r="I1713" i="6"/>
  <c r="E1713" i="6"/>
  <c r="G1713" i="6" s="1"/>
  <c r="B1713" i="6"/>
  <c r="G1712" i="6"/>
  <c r="I1712" i="6" s="1"/>
  <c r="K1712" i="6" s="1"/>
  <c r="E1712" i="6"/>
  <c r="B1712" i="6"/>
  <c r="E1711" i="6"/>
  <c r="G1711" i="6" s="1"/>
  <c r="I1711" i="6" s="1"/>
  <c r="K1711" i="6" s="1"/>
  <c r="B1711" i="6"/>
  <c r="K1710" i="6"/>
  <c r="E1710" i="6"/>
  <c r="G1710" i="6" s="1"/>
  <c r="I1710" i="6" s="1"/>
  <c r="J1710" i="6" s="1"/>
  <c r="B1710" i="6"/>
  <c r="K1709" i="6"/>
  <c r="I1709" i="6"/>
  <c r="J1709" i="6" s="1"/>
  <c r="E1709" i="6"/>
  <c r="G1709" i="6" s="1"/>
  <c r="B1709" i="6"/>
  <c r="I1708" i="6"/>
  <c r="E1708" i="6"/>
  <c r="G1708" i="6" s="1"/>
  <c r="B1708" i="6"/>
  <c r="G1707" i="6"/>
  <c r="I1707" i="6" s="1"/>
  <c r="E1707" i="6"/>
  <c r="B1707" i="6"/>
  <c r="E1706" i="6"/>
  <c r="G1706" i="6" s="1"/>
  <c r="I1706" i="6" s="1"/>
  <c r="B1706" i="6"/>
  <c r="E1705" i="6"/>
  <c r="G1705" i="6" s="1"/>
  <c r="I1705" i="6" s="1"/>
  <c r="B1705" i="6"/>
  <c r="E1704" i="6"/>
  <c r="G1704" i="6" s="1"/>
  <c r="I1704" i="6" s="1"/>
  <c r="B1704" i="6"/>
  <c r="G1703" i="6"/>
  <c r="I1703" i="6" s="1"/>
  <c r="E1703" i="6"/>
  <c r="B1703" i="6"/>
  <c r="I1702" i="6"/>
  <c r="G1702" i="6"/>
  <c r="E1702" i="6"/>
  <c r="B1702" i="6"/>
  <c r="E1701" i="6"/>
  <c r="G1701" i="6" s="1"/>
  <c r="I1701" i="6" s="1"/>
  <c r="B1701" i="6"/>
  <c r="G1700" i="6"/>
  <c r="I1700" i="6" s="1"/>
  <c r="E1700" i="6"/>
  <c r="B1700" i="6"/>
  <c r="E1699" i="6"/>
  <c r="G1699" i="6" s="1"/>
  <c r="I1699" i="6" s="1"/>
  <c r="B1699" i="6"/>
  <c r="E1698" i="6"/>
  <c r="G1698" i="6" s="1"/>
  <c r="I1698" i="6" s="1"/>
  <c r="K1698" i="6" s="1"/>
  <c r="B1698" i="6"/>
  <c r="E1697" i="6"/>
  <c r="G1697" i="6" s="1"/>
  <c r="I1697" i="6" s="1"/>
  <c r="B1697" i="6"/>
  <c r="G1696" i="6"/>
  <c r="I1696" i="6" s="1"/>
  <c r="J1696" i="6" s="1"/>
  <c r="E1696" i="6"/>
  <c r="B1696" i="6"/>
  <c r="K1695" i="6"/>
  <c r="J1695" i="6"/>
  <c r="E1695" i="6"/>
  <c r="G1695" i="6" s="1"/>
  <c r="I1695" i="6" s="1"/>
  <c r="B1695" i="6"/>
  <c r="G1694" i="6"/>
  <c r="I1694" i="6" s="1"/>
  <c r="E1694" i="6"/>
  <c r="B1694" i="6"/>
  <c r="G1693" i="6"/>
  <c r="I1693" i="6" s="1"/>
  <c r="E1693" i="6"/>
  <c r="B1693" i="6"/>
  <c r="G1692" i="6"/>
  <c r="I1692" i="6" s="1"/>
  <c r="E1692" i="6"/>
  <c r="B1692" i="6"/>
  <c r="G1691" i="6"/>
  <c r="I1691" i="6" s="1"/>
  <c r="E1691" i="6"/>
  <c r="B1691" i="6"/>
  <c r="K1690" i="6"/>
  <c r="J1690" i="6"/>
  <c r="E1690" i="6"/>
  <c r="G1690" i="6" s="1"/>
  <c r="I1690" i="6" s="1"/>
  <c r="B1690" i="6"/>
  <c r="E1689" i="6"/>
  <c r="G1689" i="6" s="1"/>
  <c r="I1689" i="6" s="1"/>
  <c r="B1689" i="6"/>
  <c r="E1688" i="6"/>
  <c r="G1688" i="6" s="1"/>
  <c r="I1688" i="6" s="1"/>
  <c r="B1688" i="6"/>
  <c r="I1687" i="6"/>
  <c r="K1687" i="6" s="1"/>
  <c r="E1687" i="6"/>
  <c r="G1687" i="6" s="1"/>
  <c r="B1687" i="6"/>
  <c r="I1686" i="6"/>
  <c r="E1686" i="6"/>
  <c r="G1686" i="6" s="1"/>
  <c r="B1686" i="6"/>
  <c r="K1685" i="6"/>
  <c r="E1685" i="6"/>
  <c r="G1685" i="6" s="1"/>
  <c r="I1685" i="6" s="1"/>
  <c r="J1685" i="6" s="1"/>
  <c r="B1685" i="6"/>
  <c r="G1684" i="6"/>
  <c r="I1684" i="6" s="1"/>
  <c r="E1684" i="6"/>
  <c r="B1684" i="6"/>
  <c r="G1683" i="6"/>
  <c r="I1683" i="6" s="1"/>
  <c r="E1683" i="6"/>
  <c r="B1683" i="6"/>
  <c r="I1682" i="6"/>
  <c r="G1682" i="6"/>
  <c r="E1682" i="6"/>
  <c r="B1682" i="6"/>
  <c r="J1681" i="6"/>
  <c r="E1681" i="6"/>
  <c r="G1681" i="6" s="1"/>
  <c r="I1681" i="6" s="1"/>
  <c r="K1681" i="6" s="1"/>
  <c r="B1681" i="6"/>
  <c r="E1680" i="6"/>
  <c r="G1680" i="6" s="1"/>
  <c r="I1680" i="6" s="1"/>
  <c r="B1680" i="6"/>
  <c r="K1679" i="6"/>
  <c r="J1679" i="6"/>
  <c r="E1679" i="6"/>
  <c r="G1679" i="6" s="1"/>
  <c r="I1679" i="6" s="1"/>
  <c r="B1679" i="6"/>
  <c r="E1678" i="6"/>
  <c r="G1678" i="6" s="1"/>
  <c r="I1678" i="6" s="1"/>
  <c r="B1678" i="6"/>
  <c r="G1677" i="6"/>
  <c r="I1677" i="6" s="1"/>
  <c r="E1677" i="6"/>
  <c r="B1677" i="6"/>
  <c r="G1676" i="6"/>
  <c r="I1676" i="6" s="1"/>
  <c r="E1676" i="6"/>
  <c r="B1676" i="6"/>
  <c r="G1675" i="6"/>
  <c r="I1675" i="6" s="1"/>
  <c r="E1675" i="6"/>
  <c r="B1675" i="6"/>
  <c r="E1674" i="6"/>
  <c r="G1674" i="6" s="1"/>
  <c r="I1674" i="6" s="1"/>
  <c r="B1674" i="6"/>
  <c r="G1673" i="6"/>
  <c r="I1673" i="6" s="1"/>
  <c r="E1673" i="6"/>
  <c r="B1673" i="6"/>
  <c r="K1672" i="6"/>
  <c r="J1672" i="6"/>
  <c r="G1672" i="6"/>
  <c r="I1672" i="6" s="1"/>
  <c r="E1672" i="6"/>
  <c r="B1672" i="6"/>
  <c r="E1671" i="6"/>
  <c r="G1671" i="6" s="1"/>
  <c r="I1671" i="6" s="1"/>
  <c r="B1671" i="6"/>
  <c r="J1670" i="6"/>
  <c r="E1670" i="6"/>
  <c r="G1670" i="6" s="1"/>
  <c r="I1670" i="6" s="1"/>
  <c r="K1670" i="6" s="1"/>
  <c r="B1670" i="6"/>
  <c r="I1669" i="6"/>
  <c r="J1669" i="6" s="1"/>
  <c r="G1669" i="6"/>
  <c r="E1669" i="6"/>
  <c r="B1669" i="6"/>
  <c r="G1668" i="6"/>
  <c r="I1668" i="6" s="1"/>
  <c r="E1668" i="6"/>
  <c r="B1668" i="6"/>
  <c r="G1667" i="6"/>
  <c r="I1667" i="6" s="1"/>
  <c r="E1667" i="6"/>
  <c r="B1667" i="6"/>
  <c r="E1666" i="6"/>
  <c r="G1666" i="6" s="1"/>
  <c r="I1666" i="6" s="1"/>
  <c r="B1666" i="6"/>
  <c r="G1665" i="6"/>
  <c r="I1665" i="6" s="1"/>
  <c r="E1665" i="6"/>
  <c r="B1665" i="6"/>
  <c r="G1664" i="6"/>
  <c r="I1664" i="6" s="1"/>
  <c r="E1664" i="6"/>
  <c r="B1664" i="6"/>
  <c r="E1663" i="6"/>
  <c r="G1663" i="6" s="1"/>
  <c r="I1663" i="6" s="1"/>
  <c r="B1663" i="6"/>
  <c r="I1662" i="6"/>
  <c r="G1662" i="6"/>
  <c r="E1662" i="6"/>
  <c r="B1662" i="6"/>
  <c r="E1661" i="6"/>
  <c r="G1661" i="6" s="1"/>
  <c r="I1661" i="6" s="1"/>
  <c r="B1661" i="6"/>
  <c r="K1660" i="6"/>
  <c r="J1660" i="6"/>
  <c r="E1660" i="6"/>
  <c r="G1660" i="6" s="1"/>
  <c r="I1660" i="6" s="1"/>
  <c r="B1660" i="6"/>
  <c r="E1659" i="6"/>
  <c r="G1659" i="6" s="1"/>
  <c r="I1659" i="6" s="1"/>
  <c r="B1659" i="6"/>
  <c r="G1658" i="6"/>
  <c r="I1658" i="6" s="1"/>
  <c r="E1658" i="6"/>
  <c r="B1658" i="6"/>
  <c r="I1657" i="6"/>
  <c r="E1657" i="6"/>
  <c r="G1657" i="6" s="1"/>
  <c r="B1657" i="6"/>
  <c r="E1656" i="6"/>
  <c r="G1656" i="6" s="1"/>
  <c r="I1656" i="6" s="1"/>
  <c r="K1656" i="6" s="1"/>
  <c r="B1656" i="6"/>
  <c r="G1655" i="6"/>
  <c r="I1655" i="6" s="1"/>
  <c r="E1655" i="6"/>
  <c r="B1655" i="6"/>
  <c r="K1654" i="6"/>
  <c r="J1654" i="6"/>
  <c r="G1654" i="6"/>
  <c r="I1654" i="6" s="1"/>
  <c r="E1654" i="6"/>
  <c r="B1654" i="6"/>
  <c r="I1653" i="6"/>
  <c r="E1653" i="6"/>
  <c r="G1653" i="6" s="1"/>
  <c r="B1653" i="6"/>
  <c r="G1652" i="6"/>
  <c r="I1652" i="6" s="1"/>
  <c r="E1652" i="6"/>
  <c r="B1652" i="6"/>
  <c r="E1651" i="6"/>
  <c r="G1651" i="6" s="1"/>
  <c r="I1651" i="6" s="1"/>
  <c r="B1651" i="6"/>
  <c r="E1650" i="6"/>
  <c r="G1650" i="6" s="1"/>
  <c r="I1650" i="6" s="1"/>
  <c r="B1650" i="6"/>
  <c r="E1649" i="6"/>
  <c r="G1649" i="6" s="1"/>
  <c r="I1649" i="6" s="1"/>
  <c r="J1649" i="6" s="1"/>
  <c r="B1649" i="6"/>
  <c r="E1648" i="6"/>
  <c r="G1648" i="6" s="1"/>
  <c r="I1648" i="6" s="1"/>
  <c r="B1648" i="6"/>
  <c r="E1647" i="6"/>
  <c r="G1647" i="6" s="1"/>
  <c r="I1647" i="6" s="1"/>
  <c r="B1647" i="6"/>
  <c r="E1646" i="6"/>
  <c r="G1646" i="6" s="1"/>
  <c r="I1646" i="6" s="1"/>
  <c r="B1646" i="6"/>
  <c r="E1645" i="6"/>
  <c r="G1645" i="6" s="1"/>
  <c r="I1645" i="6" s="1"/>
  <c r="B1645" i="6"/>
  <c r="E1644" i="6"/>
  <c r="G1644" i="6" s="1"/>
  <c r="I1644" i="6" s="1"/>
  <c r="B1644" i="6"/>
  <c r="E1643" i="6"/>
  <c r="G1643" i="6" s="1"/>
  <c r="I1643" i="6" s="1"/>
  <c r="B1643" i="6"/>
  <c r="G1642" i="6"/>
  <c r="I1642" i="6" s="1"/>
  <c r="K1642" i="6" s="1"/>
  <c r="E1642" i="6"/>
  <c r="B1642" i="6"/>
  <c r="E1641" i="6"/>
  <c r="G1641" i="6" s="1"/>
  <c r="I1641" i="6" s="1"/>
  <c r="B1641" i="6"/>
  <c r="K1640" i="6"/>
  <c r="G1640" i="6"/>
  <c r="I1640" i="6" s="1"/>
  <c r="J1640" i="6" s="1"/>
  <c r="E1640" i="6"/>
  <c r="B1640" i="6"/>
  <c r="E1639" i="6"/>
  <c r="G1639" i="6" s="1"/>
  <c r="I1639" i="6" s="1"/>
  <c r="B1639" i="6"/>
  <c r="E1638" i="6"/>
  <c r="G1638" i="6" s="1"/>
  <c r="I1638" i="6" s="1"/>
  <c r="B1638" i="6"/>
  <c r="E1637" i="6"/>
  <c r="G1637" i="6" s="1"/>
  <c r="I1637" i="6" s="1"/>
  <c r="J1637" i="6" s="1"/>
  <c r="B1637" i="6"/>
  <c r="G1636" i="6"/>
  <c r="I1636" i="6" s="1"/>
  <c r="E1636" i="6"/>
  <c r="B1636" i="6"/>
  <c r="E1635" i="6"/>
  <c r="G1635" i="6" s="1"/>
  <c r="I1635" i="6" s="1"/>
  <c r="B1635" i="6"/>
  <c r="K1634" i="6"/>
  <c r="G1634" i="6"/>
  <c r="I1634" i="6" s="1"/>
  <c r="J1634" i="6" s="1"/>
  <c r="E1634" i="6"/>
  <c r="B1634" i="6"/>
  <c r="G1633" i="6"/>
  <c r="I1633" i="6" s="1"/>
  <c r="E1633" i="6"/>
  <c r="B1633" i="6"/>
  <c r="G1632" i="6"/>
  <c r="I1632" i="6" s="1"/>
  <c r="E1632" i="6"/>
  <c r="B1632" i="6"/>
  <c r="G1631" i="6"/>
  <c r="I1631" i="6" s="1"/>
  <c r="K1631" i="6" s="1"/>
  <c r="E1631" i="6"/>
  <c r="B1631" i="6"/>
  <c r="J1630" i="6"/>
  <c r="G1630" i="6"/>
  <c r="I1630" i="6" s="1"/>
  <c r="K1630" i="6" s="1"/>
  <c r="E1630" i="6"/>
  <c r="B1630" i="6"/>
  <c r="E1629" i="6"/>
  <c r="G1629" i="6" s="1"/>
  <c r="I1629" i="6" s="1"/>
  <c r="J1629" i="6" s="1"/>
  <c r="B1629" i="6"/>
  <c r="G1628" i="6"/>
  <c r="I1628" i="6" s="1"/>
  <c r="E1628" i="6"/>
  <c r="B1628" i="6"/>
  <c r="E1627" i="6"/>
  <c r="G1627" i="6" s="1"/>
  <c r="I1627" i="6" s="1"/>
  <c r="B1627" i="6"/>
  <c r="E1626" i="6"/>
  <c r="G1626" i="6" s="1"/>
  <c r="I1626" i="6" s="1"/>
  <c r="B1626" i="6"/>
  <c r="E1625" i="6"/>
  <c r="G1625" i="6" s="1"/>
  <c r="I1625" i="6" s="1"/>
  <c r="B1625" i="6"/>
  <c r="G1624" i="6"/>
  <c r="I1624" i="6" s="1"/>
  <c r="E1624" i="6"/>
  <c r="B1624" i="6"/>
  <c r="G1623" i="6"/>
  <c r="I1623" i="6" s="1"/>
  <c r="E1623" i="6"/>
  <c r="B1623" i="6"/>
  <c r="G1622" i="6"/>
  <c r="I1622" i="6" s="1"/>
  <c r="E1622" i="6"/>
  <c r="B1622" i="6"/>
  <c r="E1621" i="6"/>
  <c r="G1621" i="6" s="1"/>
  <c r="I1621" i="6" s="1"/>
  <c r="B1621" i="6"/>
  <c r="G1620" i="6"/>
  <c r="I1620" i="6" s="1"/>
  <c r="E1620" i="6"/>
  <c r="B1620" i="6"/>
  <c r="E1619" i="6"/>
  <c r="G1619" i="6" s="1"/>
  <c r="I1619" i="6" s="1"/>
  <c r="K1619" i="6" s="1"/>
  <c r="B1619" i="6"/>
  <c r="E1618" i="6"/>
  <c r="G1618" i="6" s="1"/>
  <c r="I1618" i="6" s="1"/>
  <c r="B1618" i="6"/>
  <c r="K1617" i="6"/>
  <c r="E1617" i="6"/>
  <c r="G1617" i="6" s="1"/>
  <c r="I1617" i="6" s="1"/>
  <c r="J1617" i="6" s="1"/>
  <c r="B1617" i="6"/>
  <c r="I1616" i="6"/>
  <c r="G1616" i="6"/>
  <c r="E1616" i="6"/>
  <c r="B1616" i="6"/>
  <c r="G1615" i="6"/>
  <c r="I1615" i="6" s="1"/>
  <c r="E1615" i="6"/>
  <c r="B1615" i="6"/>
  <c r="E1614" i="6"/>
  <c r="G1614" i="6" s="1"/>
  <c r="I1614" i="6" s="1"/>
  <c r="B1614" i="6"/>
  <c r="G1613" i="6"/>
  <c r="I1613" i="6" s="1"/>
  <c r="E1613" i="6"/>
  <c r="B1613" i="6"/>
  <c r="I1612" i="6"/>
  <c r="K1612" i="6" s="1"/>
  <c r="G1612" i="6"/>
  <c r="E1612" i="6"/>
  <c r="B1612" i="6"/>
  <c r="E1611" i="6"/>
  <c r="G1611" i="6" s="1"/>
  <c r="I1611" i="6" s="1"/>
  <c r="B1611" i="6"/>
  <c r="G1610" i="6"/>
  <c r="I1610" i="6" s="1"/>
  <c r="K1610" i="6" s="1"/>
  <c r="E1610" i="6"/>
  <c r="B1610" i="6"/>
  <c r="I1609" i="6"/>
  <c r="E1609" i="6"/>
  <c r="G1609" i="6" s="1"/>
  <c r="B1609" i="6"/>
  <c r="E1608" i="6"/>
  <c r="G1608" i="6" s="1"/>
  <c r="I1608" i="6" s="1"/>
  <c r="K1608" i="6" s="1"/>
  <c r="B1608" i="6"/>
  <c r="E1607" i="6"/>
  <c r="G1607" i="6" s="1"/>
  <c r="I1607" i="6" s="1"/>
  <c r="B1607" i="6"/>
  <c r="I1606" i="6"/>
  <c r="J1606" i="6" s="1"/>
  <c r="G1606" i="6"/>
  <c r="E1606" i="6"/>
  <c r="B1606" i="6"/>
  <c r="K1605" i="6"/>
  <c r="J1605" i="6"/>
  <c r="E1605" i="6"/>
  <c r="G1605" i="6" s="1"/>
  <c r="I1605" i="6" s="1"/>
  <c r="B1605" i="6"/>
  <c r="K1604" i="6"/>
  <c r="E1604" i="6"/>
  <c r="G1604" i="6" s="1"/>
  <c r="I1604" i="6" s="1"/>
  <c r="J1604" i="6" s="1"/>
  <c r="B1604" i="6"/>
  <c r="K1603" i="6"/>
  <c r="G1603" i="6"/>
  <c r="I1603" i="6" s="1"/>
  <c r="J1603" i="6" s="1"/>
  <c r="E1603" i="6"/>
  <c r="B1603" i="6"/>
  <c r="G1602" i="6"/>
  <c r="I1602" i="6" s="1"/>
  <c r="E1602" i="6"/>
  <c r="B1602" i="6"/>
  <c r="K1601" i="6"/>
  <c r="J1601" i="6"/>
  <c r="E1601" i="6"/>
  <c r="G1601" i="6" s="1"/>
  <c r="I1601" i="6" s="1"/>
  <c r="B1601" i="6"/>
  <c r="K1600" i="6"/>
  <c r="G1600" i="6"/>
  <c r="I1600" i="6" s="1"/>
  <c r="J1600" i="6" s="1"/>
  <c r="E1600" i="6"/>
  <c r="B1600" i="6"/>
  <c r="E1599" i="6"/>
  <c r="G1599" i="6" s="1"/>
  <c r="I1599" i="6" s="1"/>
  <c r="B1599" i="6"/>
  <c r="G1598" i="6"/>
  <c r="I1598" i="6" s="1"/>
  <c r="E1598" i="6"/>
  <c r="B1598" i="6"/>
  <c r="E1597" i="6"/>
  <c r="G1597" i="6" s="1"/>
  <c r="I1597" i="6" s="1"/>
  <c r="J1597" i="6" s="1"/>
  <c r="B1597" i="6"/>
  <c r="E1596" i="6"/>
  <c r="G1596" i="6" s="1"/>
  <c r="I1596" i="6" s="1"/>
  <c r="B1596" i="6"/>
  <c r="E1595" i="6"/>
  <c r="G1595" i="6" s="1"/>
  <c r="I1595" i="6" s="1"/>
  <c r="B1595" i="6"/>
  <c r="E1594" i="6"/>
  <c r="G1594" i="6" s="1"/>
  <c r="I1594" i="6" s="1"/>
  <c r="B1594" i="6"/>
  <c r="I1593" i="6"/>
  <c r="G1593" i="6"/>
  <c r="E1593" i="6"/>
  <c r="B1593" i="6"/>
  <c r="G1592" i="6"/>
  <c r="I1592" i="6" s="1"/>
  <c r="E1592" i="6"/>
  <c r="B1592" i="6"/>
  <c r="E1591" i="6"/>
  <c r="G1591" i="6" s="1"/>
  <c r="I1591" i="6" s="1"/>
  <c r="B1591" i="6"/>
  <c r="E1590" i="6"/>
  <c r="G1590" i="6" s="1"/>
  <c r="I1590" i="6" s="1"/>
  <c r="K1590" i="6" s="1"/>
  <c r="B1590" i="6"/>
  <c r="E1589" i="6"/>
  <c r="G1589" i="6" s="1"/>
  <c r="I1589" i="6" s="1"/>
  <c r="B1589" i="6"/>
  <c r="G1588" i="6"/>
  <c r="I1588" i="6" s="1"/>
  <c r="E1588" i="6"/>
  <c r="B1588" i="6"/>
  <c r="E1587" i="6"/>
  <c r="G1587" i="6" s="1"/>
  <c r="I1587" i="6" s="1"/>
  <c r="B1587" i="6"/>
  <c r="I1586" i="6"/>
  <c r="K1586" i="6" s="1"/>
  <c r="E1586" i="6"/>
  <c r="G1586" i="6" s="1"/>
  <c r="B1586" i="6"/>
  <c r="E1585" i="6"/>
  <c r="G1585" i="6" s="1"/>
  <c r="I1585" i="6" s="1"/>
  <c r="B1585" i="6"/>
  <c r="E1584" i="6"/>
  <c r="G1584" i="6" s="1"/>
  <c r="I1584" i="6" s="1"/>
  <c r="B1584" i="6"/>
  <c r="G1583" i="6"/>
  <c r="I1583" i="6" s="1"/>
  <c r="J1583" i="6" s="1"/>
  <c r="E1583" i="6"/>
  <c r="B1583" i="6"/>
  <c r="G1582" i="6"/>
  <c r="I1582" i="6" s="1"/>
  <c r="E1582" i="6"/>
  <c r="B1582" i="6"/>
  <c r="E1581" i="6"/>
  <c r="G1581" i="6" s="1"/>
  <c r="I1581" i="6" s="1"/>
  <c r="B1581" i="6"/>
  <c r="E1580" i="6"/>
  <c r="G1580" i="6" s="1"/>
  <c r="I1580" i="6" s="1"/>
  <c r="B1580" i="6"/>
  <c r="E1579" i="6"/>
  <c r="G1579" i="6" s="1"/>
  <c r="I1579" i="6" s="1"/>
  <c r="B1579" i="6"/>
  <c r="I1578" i="6"/>
  <c r="K1578" i="6" s="1"/>
  <c r="G1578" i="6"/>
  <c r="E1578" i="6"/>
  <c r="B1578" i="6"/>
  <c r="K1577" i="6"/>
  <c r="E1577" i="6"/>
  <c r="G1577" i="6" s="1"/>
  <c r="I1577" i="6" s="1"/>
  <c r="J1577" i="6" s="1"/>
  <c r="B1577" i="6"/>
  <c r="E1576" i="6"/>
  <c r="G1576" i="6" s="1"/>
  <c r="I1576" i="6" s="1"/>
  <c r="B1576" i="6"/>
  <c r="G1575" i="6"/>
  <c r="I1575" i="6" s="1"/>
  <c r="K1575" i="6" s="1"/>
  <c r="E1575" i="6"/>
  <c r="B1575" i="6"/>
  <c r="G1574" i="6"/>
  <c r="I1574" i="6" s="1"/>
  <c r="E1574" i="6"/>
  <c r="B1574" i="6"/>
  <c r="G1573" i="6"/>
  <c r="I1573" i="6" s="1"/>
  <c r="K1573" i="6" s="1"/>
  <c r="E1573" i="6"/>
  <c r="B1573" i="6"/>
  <c r="K1572" i="6"/>
  <c r="J1572" i="6"/>
  <c r="G1572" i="6"/>
  <c r="I1572" i="6" s="1"/>
  <c r="E1572" i="6"/>
  <c r="B1572" i="6"/>
  <c r="E1571" i="6"/>
  <c r="G1571" i="6" s="1"/>
  <c r="I1571" i="6" s="1"/>
  <c r="B1571" i="6"/>
  <c r="G1570" i="6"/>
  <c r="I1570" i="6" s="1"/>
  <c r="E1570" i="6"/>
  <c r="B1570" i="6"/>
  <c r="G1569" i="6"/>
  <c r="I1569" i="6" s="1"/>
  <c r="K1569" i="6" s="1"/>
  <c r="E1569" i="6"/>
  <c r="B1569" i="6"/>
  <c r="G1568" i="6"/>
  <c r="I1568" i="6" s="1"/>
  <c r="E1568" i="6"/>
  <c r="B1568" i="6"/>
  <c r="G1567" i="6"/>
  <c r="I1567" i="6" s="1"/>
  <c r="K1567" i="6" s="1"/>
  <c r="E1567" i="6"/>
  <c r="B1567" i="6"/>
  <c r="E1566" i="6"/>
  <c r="G1566" i="6" s="1"/>
  <c r="I1566" i="6" s="1"/>
  <c r="J1566" i="6" s="1"/>
  <c r="B1566" i="6"/>
  <c r="G1565" i="6"/>
  <c r="I1565" i="6" s="1"/>
  <c r="E1565" i="6"/>
  <c r="B1565" i="6"/>
  <c r="E1564" i="6"/>
  <c r="G1564" i="6" s="1"/>
  <c r="I1564" i="6" s="1"/>
  <c r="B1564" i="6"/>
  <c r="E1563" i="6"/>
  <c r="G1563" i="6" s="1"/>
  <c r="I1563" i="6" s="1"/>
  <c r="B1563" i="6"/>
  <c r="G1562" i="6"/>
  <c r="I1562" i="6" s="1"/>
  <c r="E1562" i="6"/>
  <c r="B1562" i="6"/>
  <c r="E1561" i="6"/>
  <c r="G1561" i="6" s="1"/>
  <c r="I1561" i="6" s="1"/>
  <c r="B1561" i="6"/>
  <c r="E1560" i="6"/>
  <c r="G1560" i="6" s="1"/>
  <c r="I1560" i="6" s="1"/>
  <c r="B1560" i="6"/>
  <c r="E1559" i="6"/>
  <c r="G1559" i="6" s="1"/>
  <c r="I1559" i="6" s="1"/>
  <c r="B1559" i="6"/>
  <c r="G1558" i="6"/>
  <c r="I1558" i="6" s="1"/>
  <c r="E1558" i="6"/>
  <c r="B1558" i="6"/>
  <c r="G1557" i="6"/>
  <c r="I1557" i="6" s="1"/>
  <c r="E1557" i="6"/>
  <c r="B1557" i="6"/>
  <c r="J1556" i="6"/>
  <c r="I1556" i="6"/>
  <c r="K1556" i="6" s="1"/>
  <c r="E1556" i="6"/>
  <c r="G1556" i="6" s="1"/>
  <c r="B1556" i="6"/>
  <c r="G1555" i="6"/>
  <c r="I1555" i="6" s="1"/>
  <c r="J1555" i="6" s="1"/>
  <c r="E1555" i="6"/>
  <c r="B1555" i="6"/>
  <c r="E1554" i="6"/>
  <c r="G1554" i="6" s="1"/>
  <c r="I1554" i="6" s="1"/>
  <c r="J1554" i="6" s="1"/>
  <c r="B1554" i="6"/>
  <c r="E1553" i="6"/>
  <c r="G1553" i="6" s="1"/>
  <c r="I1553" i="6" s="1"/>
  <c r="B1553" i="6"/>
  <c r="G1552" i="6"/>
  <c r="I1552" i="6" s="1"/>
  <c r="E1552" i="6"/>
  <c r="B1552" i="6"/>
  <c r="G1551" i="6"/>
  <c r="I1551" i="6" s="1"/>
  <c r="E1551" i="6"/>
  <c r="B1551" i="6"/>
  <c r="I1550" i="6"/>
  <c r="G1550" i="6"/>
  <c r="E1550" i="6"/>
  <c r="B1550" i="6"/>
  <c r="G1549" i="6"/>
  <c r="I1549" i="6" s="1"/>
  <c r="J1549" i="6" s="1"/>
  <c r="E1549" i="6"/>
  <c r="B1549" i="6"/>
  <c r="J1548" i="6"/>
  <c r="I1548" i="6"/>
  <c r="K1548" i="6" s="1"/>
  <c r="E1548" i="6"/>
  <c r="G1548" i="6" s="1"/>
  <c r="B1548" i="6"/>
  <c r="E1547" i="6"/>
  <c r="G1547" i="6" s="1"/>
  <c r="I1547" i="6" s="1"/>
  <c r="B1547" i="6"/>
  <c r="I1546" i="6"/>
  <c r="K1546" i="6" s="1"/>
  <c r="E1546" i="6"/>
  <c r="G1546" i="6" s="1"/>
  <c r="B1546" i="6"/>
  <c r="K1545" i="6"/>
  <c r="J1545" i="6"/>
  <c r="G1545" i="6"/>
  <c r="I1545" i="6" s="1"/>
  <c r="E1545" i="6"/>
  <c r="B1545" i="6"/>
  <c r="E1544" i="6"/>
  <c r="G1544" i="6" s="1"/>
  <c r="I1544" i="6" s="1"/>
  <c r="B1544" i="6"/>
  <c r="G1543" i="6"/>
  <c r="I1543" i="6" s="1"/>
  <c r="E1543" i="6"/>
  <c r="B1543" i="6"/>
  <c r="I1542" i="6"/>
  <c r="G1542" i="6"/>
  <c r="E1542" i="6"/>
  <c r="B1542" i="6"/>
  <c r="E1541" i="6"/>
  <c r="G1541" i="6" s="1"/>
  <c r="I1541" i="6" s="1"/>
  <c r="K1541" i="6" s="1"/>
  <c r="B1541" i="6"/>
  <c r="I1540" i="6"/>
  <c r="E1540" i="6"/>
  <c r="G1540" i="6" s="1"/>
  <c r="B1540" i="6"/>
  <c r="K1539" i="6"/>
  <c r="E1539" i="6"/>
  <c r="G1539" i="6" s="1"/>
  <c r="I1539" i="6" s="1"/>
  <c r="J1539" i="6" s="1"/>
  <c r="B1539" i="6"/>
  <c r="G1538" i="6"/>
  <c r="I1538" i="6" s="1"/>
  <c r="E1538" i="6"/>
  <c r="B1538" i="6"/>
  <c r="E1537" i="6"/>
  <c r="G1537" i="6" s="1"/>
  <c r="I1537" i="6" s="1"/>
  <c r="B1537" i="6"/>
  <c r="E1536" i="6"/>
  <c r="G1536" i="6" s="1"/>
  <c r="I1536" i="6" s="1"/>
  <c r="B1536" i="6"/>
  <c r="G1535" i="6"/>
  <c r="I1535" i="6" s="1"/>
  <c r="J1535" i="6" s="1"/>
  <c r="E1535" i="6"/>
  <c r="B1535" i="6"/>
  <c r="G1534" i="6"/>
  <c r="I1534" i="6" s="1"/>
  <c r="K1534" i="6" s="1"/>
  <c r="E1534" i="6"/>
  <c r="B1534" i="6"/>
  <c r="I1533" i="6"/>
  <c r="K1533" i="6" s="1"/>
  <c r="G1533" i="6"/>
  <c r="E1533" i="6"/>
  <c r="B1533" i="6"/>
  <c r="G1532" i="6"/>
  <c r="I1532" i="6" s="1"/>
  <c r="J1532" i="6" s="1"/>
  <c r="E1532" i="6"/>
  <c r="B1532" i="6"/>
  <c r="I1531" i="6"/>
  <c r="K1531" i="6" s="1"/>
  <c r="G1531" i="6"/>
  <c r="E1531" i="6"/>
  <c r="B1531" i="6"/>
  <c r="K1530" i="6"/>
  <c r="E1530" i="6"/>
  <c r="G1530" i="6" s="1"/>
  <c r="I1530" i="6" s="1"/>
  <c r="J1530" i="6" s="1"/>
  <c r="B1530" i="6"/>
  <c r="I1529" i="6"/>
  <c r="E1529" i="6"/>
  <c r="G1529" i="6" s="1"/>
  <c r="B1529" i="6"/>
  <c r="E1528" i="6"/>
  <c r="G1528" i="6" s="1"/>
  <c r="I1528" i="6" s="1"/>
  <c r="B1528" i="6"/>
  <c r="G1527" i="6"/>
  <c r="I1527" i="6" s="1"/>
  <c r="E1527" i="6"/>
  <c r="B1527" i="6"/>
  <c r="K1526" i="6"/>
  <c r="I1526" i="6"/>
  <c r="J1526" i="6" s="1"/>
  <c r="G1526" i="6"/>
  <c r="E1526" i="6"/>
  <c r="B1526" i="6"/>
  <c r="K1525" i="6"/>
  <c r="E1525" i="6"/>
  <c r="G1525" i="6" s="1"/>
  <c r="I1525" i="6" s="1"/>
  <c r="J1525" i="6" s="1"/>
  <c r="B1525" i="6"/>
  <c r="K1524" i="6"/>
  <c r="G1524" i="6"/>
  <c r="I1524" i="6" s="1"/>
  <c r="J1524" i="6" s="1"/>
  <c r="E1524" i="6"/>
  <c r="B1524" i="6"/>
  <c r="G1523" i="6"/>
  <c r="I1523" i="6" s="1"/>
  <c r="K1523" i="6" s="1"/>
  <c r="E1523" i="6"/>
  <c r="B1523" i="6"/>
  <c r="I1522" i="6"/>
  <c r="G1522" i="6"/>
  <c r="E1522" i="6"/>
  <c r="B1522" i="6"/>
  <c r="E1521" i="6"/>
  <c r="G1521" i="6" s="1"/>
  <c r="I1521" i="6" s="1"/>
  <c r="B1521" i="6"/>
  <c r="E1520" i="6"/>
  <c r="G1520" i="6" s="1"/>
  <c r="I1520" i="6" s="1"/>
  <c r="B1520" i="6"/>
  <c r="G1519" i="6"/>
  <c r="I1519" i="6" s="1"/>
  <c r="E1519" i="6"/>
  <c r="B1519" i="6"/>
  <c r="E1518" i="6"/>
  <c r="G1518" i="6" s="1"/>
  <c r="I1518" i="6" s="1"/>
  <c r="B1518" i="6"/>
  <c r="E1517" i="6"/>
  <c r="G1517" i="6" s="1"/>
  <c r="I1517" i="6" s="1"/>
  <c r="B1517" i="6"/>
  <c r="E1516" i="6"/>
  <c r="G1516" i="6" s="1"/>
  <c r="I1516" i="6" s="1"/>
  <c r="J1516" i="6" s="1"/>
  <c r="B1516" i="6"/>
  <c r="E1515" i="6"/>
  <c r="G1515" i="6" s="1"/>
  <c r="I1515" i="6" s="1"/>
  <c r="K1515" i="6" s="1"/>
  <c r="B1515" i="6"/>
  <c r="J1514" i="6"/>
  <c r="E1514" i="6"/>
  <c r="G1514" i="6" s="1"/>
  <c r="I1514" i="6" s="1"/>
  <c r="K1514" i="6" s="1"/>
  <c r="B1514" i="6"/>
  <c r="G1513" i="6"/>
  <c r="I1513" i="6" s="1"/>
  <c r="E1513" i="6"/>
  <c r="B1513" i="6"/>
  <c r="G1512" i="6"/>
  <c r="I1512" i="6" s="1"/>
  <c r="K1512" i="6" s="1"/>
  <c r="E1512" i="6"/>
  <c r="B1512" i="6"/>
  <c r="G1511" i="6"/>
  <c r="I1511" i="6" s="1"/>
  <c r="K1511" i="6" s="1"/>
  <c r="E1511" i="6"/>
  <c r="B1511" i="6"/>
  <c r="E1510" i="6"/>
  <c r="G1510" i="6" s="1"/>
  <c r="I1510" i="6" s="1"/>
  <c r="B1510" i="6"/>
  <c r="E1509" i="6"/>
  <c r="G1509" i="6" s="1"/>
  <c r="I1509" i="6" s="1"/>
  <c r="B1509" i="6"/>
  <c r="J1508" i="6"/>
  <c r="I1508" i="6"/>
  <c r="K1508" i="6" s="1"/>
  <c r="G1508" i="6"/>
  <c r="E1508" i="6"/>
  <c r="B1508" i="6"/>
  <c r="G1507" i="6"/>
  <c r="I1507" i="6" s="1"/>
  <c r="E1507" i="6"/>
  <c r="B1507" i="6"/>
  <c r="E1506" i="6"/>
  <c r="G1506" i="6" s="1"/>
  <c r="I1506" i="6" s="1"/>
  <c r="K1506" i="6" s="1"/>
  <c r="B1506" i="6"/>
  <c r="E1505" i="6"/>
  <c r="G1505" i="6" s="1"/>
  <c r="I1505" i="6" s="1"/>
  <c r="B1505" i="6"/>
  <c r="E1504" i="6"/>
  <c r="G1504" i="6" s="1"/>
  <c r="I1504" i="6" s="1"/>
  <c r="B1504" i="6"/>
  <c r="E1503" i="6"/>
  <c r="G1503" i="6" s="1"/>
  <c r="I1503" i="6" s="1"/>
  <c r="B1503" i="6"/>
  <c r="J1502" i="6"/>
  <c r="G1502" i="6"/>
  <c r="I1502" i="6" s="1"/>
  <c r="K1502" i="6" s="1"/>
  <c r="E1502" i="6"/>
  <c r="B1502" i="6"/>
  <c r="K1501" i="6"/>
  <c r="G1501" i="6"/>
  <c r="I1501" i="6" s="1"/>
  <c r="J1501" i="6" s="1"/>
  <c r="E1501" i="6"/>
  <c r="B1501" i="6"/>
  <c r="I1500" i="6"/>
  <c r="G1500" i="6"/>
  <c r="E1500" i="6"/>
  <c r="B1500" i="6"/>
  <c r="E1499" i="6"/>
  <c r="G1499" i="6" s="1"/>
  <c r="I1499" i="6" s="1"/>
  <c r="B1499" i="6"/>
  <c r="E1498" i="6"/>
  <c r="G1498" i="6" s="1"/>
  <c r="I1498" i="6" s="1"/>
  <c r="B1498" i="6"/>
  <c r="K1497" i="6"/>
  <c r="E1497" i="6"/>
  <c r="G1497" i="6" s="1"/>
  <c r="I1497" i="6" s="1"/>
  <c r="J1497" i="6" s="1"/>
  <c r="B1497" i="6"/>
  <c r="E1496" i="6"/>
  <c r="G1496" i="6" s="1"/>
  <c r="I1496" i="6" s="1"/>
  <c r="J1496" i="6" s="1"/>
  <c r="B1496" i="6"/>
  <c r="G1495" i="6"/>
  <c r="I1495" i="6" s="1"/>
  <c r="K1495" i="6" s="1"/>
  <c r="E1495" i="6"/>
  <c r="B1495" i="6"/>
  <c r="E1494" i="6"/>
  <c r="G1494" i="6" s="1"/>
  <c r="I1494" i="6" s="1"/>
  <c r="K1494" i="6" s="1"/>
  <c r="B1494" i="6"/>
  <c r="G1493" i="6"/>
  <c r="I1493" i="6" s="1"/>
  <c r="E1493" i="6"/>
  <c r="B1493" i="6"/>
  <c r="I1492" i="6"/>
  <c r="K1492" i="6" s="1"/>
  <c r="G1492" i="6"/>
  <c r="E1492" i="6"/>
  <c r="B1492" i="6"/>
  <c r="E1491" i="6"/>
  <c r="G1491" i="6" s="1"/>
  <c r="I1491" i="6" s="1"/>
  <c r="B1491" i="6"/>
  <c r="G1490" i="6"/>
  <c r="I1490" i="6" s="1"/>
  <c r="E1490" i="6"/>
  <c r="B1490" i="6"/>
  <c r="E1489" i="6"/>
  <c r="G1489" i="6" s="1"/>
  <c r="I1489" i="6" s="1"/>
  <c r="B1489" i="6"/>
  <c r="E1488" i="6"/>
  <c r="G1488" i="6" s="1"/>
  <c r="I1488" i="6" s="1"/>
  <c r="B1488" i="6"/>
  <c r="G1487" i="6"/>
  <c r="I1487" i="6" s="1"/>
  <c r="E1487" i="6"/>
  <c r="B1487" i="6"/>
  <c r="K1486" i="6"/>
  <c r="J1486" i="6"/>
  <c r="E1486" i="6"/>
  <c r="G1486" i="6" s="1"/>
  <c r="I1486" i="6" s="1"/>
  <c r="B1486" i="6"/>
  <c r="E1485" i="6"/>
  <c r="G1485" i="6" s="1"/>
  <c r="I1485" i="6" s="1"/>
  <c r="B1485" i="6"/>
  <c r="E1484" i="6"/>
  <c r="G1484" i="6" s="1"/>
  <c r="I1484" i="6" s="1"/>
  <c r="B1484" i="6"/>
  <c r="E1483" i="6"/>
  <c r="G1483" i="6" s="1"/>
  <c r="I1483" i="6" s="1"/>
  <c r="B1483" i="6"/>
  <c r="J1482" i="6"/>
  <c r="G1482" i="6"/>
  <c r="I1482" i="6" s="1"/>
  <c r="K1482" i="6" s="1"/>
  <c r="E1482" i="6"/>
  <c r="B1482" i="6"/>
  <c r="J1481" i="6"/>
  <c r="E1481" i="6"/>
  <c r="G1481" i="6" s="1"/>
  <c r="I1481" i="6" s="1"/>
  <c r="K1481" i="6" s="1"/>
  <c r="B1481" i="6"/>
  <c r="E1480" i="6"/>
  <c r="G1480" i="6" s="1"/>
  <c r="I1480" i="6" s="1"/>
  <c r="B1480" i="6"/>
  <c r="E1479" i="6"/>
  <c r="G1479" i="6" s="1"/>
  <c r="I1479" i="6" s="1"/>
  <c r="K1479" i="6" s="1"/>
  <c r="B1479" i="6"/>
  <c r="G1478" i="6"/>
  <c r="I1478" i="6" s="1"/>
  <c r="E1478" i="6"/>
  <c r="B1478" i="6"/>
  <c r="I1477" i="6"/>
  <c r="G1477" i="6"/>
  <c r="E1477" i="6"/>
  <c r="B1477" i="6"/>
  <c r="K1476" i="6"/>
  <c r="J1476" i="6"/>
  <c r="I1476" i="6"/>
  <c r="G1476" i="6"/>
  <c r="E1476" i="6"/>
  <c r="B1476" i="6"/>
  <c r="G1475" i="6"/>
  <c r="I1475" i="6" s="1"/>
  <c r="J1475" i="6" s="1"/>
  <c r="E1475" i="6"/>
  <c r="B1475" i="6"/>
  <c r="G1474" i="6"/>
  <c r="I1474" i="6" s="1"/>
  <c r="J1474" i="6" s="1"/>
  <c r="E1474" i="6"/>
  <c r="B1474" i="6"/>
  <c r="J1473" i="6"/>
  <c r="E1473" i="6"/>
  <c r="G1473" i="6" s="1"/>
  <c r="I1473" i="6" s="1"/>
  <c r="K1473" i="6" s="1"/>
  <c r="B1473" i="6"/>
  <c r="K1472" i="6"/>
  <c r="G1472" i="6"/>
  <c r="I1472" i="6" s="1"/>
  <c r="J1472" i="6" s="1"/>
  <c r="E1472" i="6"/>
  <c r="B1472" i="6"/>
  <c r="E1471" i="6"/>
  <c r="G1471" i="6" s="1"/>
  <c r="I1471" i="6" s="1"/>
  <c r="J1471" i="6" s="1"/>
  <c r="B1471" i="6"/>
  <c r="E1470" i="6"/>
  <c r="G1470" i="6" s="1"/>
  <c r="I1470" i="6" s="1"/>
  <c r="B1470" i="6"/>
  <c r="G1469" i="6"/>
  <c r="I1469" i="6" s="1"/>
  <c r="E1469" i="6"/>
  <c r="B1469" i="6"/>
  <c r="E1468" i="6"/>
  <c r="G1468" i="6" s="1"/>
  <c r="I1468" i="6" s="1"/>
  <c r="K1468" i="6" s="1"/>
  <c r="B1468" i="6"/>
  <c r="I1467" i="6"/>
  <c r="K1467" i="6" s="1"/>
  <c r="E1467" i="6"/>
  <c r="G1467" i="6" s="1"/>
  <c r="B1467" i="6"/>
  <c r="I1466" i="6"/>
  <c r="J1466" i="6" s="1"/>
  <c r="E1466" i="6"/>
  <c r="G1466" i="6" s="1"/>
  <c r="B1466" i="6"/>
  <c r="K1465" i="6"/>
  <c r="E1465" i="6"/>
  <c r="G1465" i="6" s="1"/>
  <c r="I1465" i="6" s="1"/>
  <c r="J1465" i="6" s="1"/>
  <c r="B1465" i="6"/>
  <c r="K1464" i="6"/>
  <c r="J1464" i="6"/>
  <c r="G1464" i="6"/>
  <c r="I1464" i="6" s="1"/>
  <c r="E1464" i="6"/>
  <c r="B1464" i="6"/>
  <c r="E1463" i="6"/>
  <c r="G1463" i="6" s="1"/>
  <c r="I1463" i="6" s="1"/>
  <c r="B1463" i="6"/>
  <c r="G1462" i="6"/>
  <c r="I1462" i="6" s="1"/>
  <c r="E1462" i="6"/>
  <c r="B1462" i="6"/>
  <c r="E1461" i="6"/>
  <c r="G1461" i="6" s="1"/>
  <c r="I1461" i="6" s="1"/>
  <c r="B1461" i="6"/>
  <c r="I1460" i="6"/>
  <c r="G1460" i="6"/>
  <c r="E1460" i="6"/>
  <c r="B1460" i="6"/>
  <c r="E1459" i="6"/>
  <c r="G1459" i="6" s="1"/>
  <c r="I1459" i="6" s="1"/>
  <c r="B1459" i="6"/>
  <c r="E1458" i="6"/>
  <c r="G1458" i="6" s="1"/>
  <c r="I1458" i="6" s="1"/>
  <c r="B1458" i="6"/>
  <c r="G1457" i="6"/>
  <c r="I1457" i="6" s="1"/>
  <c r="E1457" i="6"/>
  <c r="B1457" i="6"/>
  <c r="I1456" i="6"/>
  <c r="K1456" i="6" s="1"/>
  <c r="E1456" i="6"/>
  <c r="G1456" i="6" s="1"/>
  <c r="B1456" i="6"/>
  <c r="G1455" i="6"/>
  <c r="I1455" i="6" s="1"/>
  <c r="K1455" i="6" s="1"/>
  <c r="E1455" i="6"/>
  <c r="B1455" i="6"/>
  <c r="E1454" i="6"/>
  <c r="G1454" i="6" s="1"/>
  <c r="I1454" i="6" s="1"/>
  <c r="B1454" i="6"/>
  <c r="E1453" i="6"/>
  <c r="G1453" i="6" s="1"/>
  <c r="I1453" i="6" s="1"/>
  <c r="B1453" i="6"/>
  <c r="I1452" i="6"/>
  <c r="G1452" i="6"/>
  <c r="E1452" i="6"/>
  <c r="B1452" i="6"/>
  <c r="I1451" i="6"/>
  <c r="E1451" i="6"/>
  <c r="G1451" i="6" s="1"/>
  <c r="B1451" i="6"/>
  <c r="E1450" i="6"/>
  <c r="G1450" i="6" s="1"/>
  <c r="I1450" i="6" s="1"/>
  <c r="B1450" i="6"/>
  <c r="E1449" i="6"/>
  <c r="G1449" i="6" s="1"/>
  <c r="I1449" i="6" s="1"/>
  <c r="B1449" i="6"/>
  <c r="E1448" i="6"/>
  <c r="G1448" i="6" s="1"/>
  <c r="I1448" i="6" s="1"/>
  <c r="B1448" i="6"/>
  <c r="K1447" i="6"/>
  <c r="E1447" i="6"/>
  <c r="G1447" i="6" s="1"/>
  <c r="I1447" i="6" s="1"/>
  <c r="J1447" i="6" s="1"/>
  <c r="B1447" i="6"/>
  <c r="E1446" i="6"/>
  <c r="G1446" i="6" s="1"/>
  <c r="I1446" i="6" s="1"/>
  <c r="B1446" i="6"/>
  <c r="E1445" i="6"/>
  <c r="G1445" i="6" s="1"/>
  <c r="I1445" i="6" s="1"/>
  <c r="B1445" i="6"/>
  <c r="E1444" i="6"/>
  <c r="G1444" i="6" s="1"/>
  <c r="I1444" i="6" s="1"/>
  <c r="B1444" i="6"/>
  <c r="E1443" i="6"/>
  <c r="G1443" i="6" s="1"/>
  <c r="I1443" i="6" s="1"/>
  <c r="B1443" i="6"/>
  <c r="G1442" i="6"/>
  <c r="I1442" i="6" s="1"/>
  <c r="E1442" i="6"/>
  <c r="B1442" i="6"/>
  <c r="E1441" i="6"/>
  <c r="G1441" i="6" s="1"/>
  <c r="I1441" i="6" s="1"/>
  <c r="K1441" i="6" s="1"/>
  <c r="B1441" i="6"/>
  <c r="J1440" i="6"/>
  <c r="G1440" i="6"/>
  <c r="I1440" i="6" s="1"/>
  <c r="K1440" i="6" s="1"/>
  <c r="E1440" i="6"/>
  <c r="B1440" i="6"/>
  <c r="E1439" i="6"/>
  <c r="G1439" i="6" s="1"/>
  <c r="I1439" i="6" s="1"/>
  <c r="B1439" i="6"/>
  <c r="E1438" i="6"/>
  <c r="G1438" i="6" s="1"/>
  <c r="I1438" i="6" s="1"/>
  <c r="K1438" i="6" s="1"/>
  <c r="B1438" i="6"/>
  <c r="E1437" i="6"/>
  <c r="G1437" i="6" s="1"/>
  <c r="I1437" i="6" s="1"/>
  <c r="J1437" i="6" s="1"/>
  <c r="B1437" i="6"/>
  <c r="E1436" i="6"/>
  <c r="G1436" i="6" s="1"/>
  <c r="I1436" i="6" s="1"/>
  <c r="B1436" i="6"/>
  <c r="E1435" i="6"/>
  <c r="G1435" i="6" s="1"/>
  <c r="I1435" i="6" s="1"/>
  <c r="B1435" i="6"/>
  <c r="E1434" i="6"/>
  <c r="G1434" i="6" s="1"/>
  <c r="I1434" i="6" s="1"/>
  <c r="B1434" i="6"/>
  <c r="K1433" i="6"/>
  <c r="E1433" i="6"/>
  <c r="G1433" i="6" s="1"/>
  <c r="I1433" i="6" s="1"/>
  <c r="J1433" i="6" s="1"/>
  <c r="B1433" i="6"/>
  <c r="I1432" i="6"/>
  <c r="K1432" i="6" s="1"/>
  <c r="G1432" i="6"/>
  <c r="E1432" i="6"/>
  <c r="B1432" i="6"/>
  <c r="G1431" i="6"/>
  <c r="I1431" i="6" s="1"/>
  <c r="E1431" i="6"/>
  <c r="B1431" i="6"/>
  <c r="E1430" i="6"/>
  <c r="G1430" i="6" s="1"/>
  <c r="I1430" i="6" s="1"/>
  <c r="K1430" i="6" s="1"/>
  <c r="B1430" i="6"/>
  <c r="K1429" i="6"/>
  <c r="J1429" i="6"/>
  <c r="E1429" i="6"/>
  <c r="G1429" i="6" s="1"/>
  <c r="I1429" i="6" s="1"/>
  <c r="B1429" i="6"/>
  <c r="G1428" i="6"/>
  <c r="I1428" i="6" s="1"/>
  <c r="E1428" i="6"/>
  <c r="B1428" i="6"/>
  <c r="G1427" i="6"/>
  <c r="I1427" i="6" s="1"/>
  <c r="E1427" i="6"/>
  <c r="B1427" i="6"/>
  <c r="I1426" i="6"/>
  <c r="K1426" i="6" s="1"/>
  <c r="E1426" i="6"/>
  <c r="G1426" i="6" s="1"/>
  <c r="B1426" i="6"/>
  <c r="K1425" i="6"/>
  <c r="G1425" i="6"/>
  <c r="I1425" i="6" s="1"/>
  <c r="J1425" i="6" s="1"/>
  <c r="E1425" i="6"/>
  <c r="B1425" i="6"/>
  <c r="K1424" i="6"/>
  <c r="G1424" i="6"/>
  <c r="I1424" i="6" s="1"/>
  <c r="J1424" i="6" s="1"/>
  <c r="E1424" i="6"/>
  <c r="B1424" i="6"/>
  <c r="G1423" i="6"/>
  <c r="I1423" i="6" s="1"/>
  <c r="E1423" i="6"/>
  <c r="B1423" i="6"/>
  <c r="G1422" i="6"/>
  <c r="I1422" i="6" s="1"/>
  <c r="E1422" i="6"/>
  <c r="B1422" i="6"/>
  <c r="E1421" i="6"/>
  <c r="G1421" i="6" s="1"/>
  <c r="I1421" i="6" s="1"/>
  <c r="K1421" i="6" s="1"/>
  <c r="B1421" i="6"/>
  <c r="I1420" i="6"/>
  <c r="G1420" i="6"/>
  <c r="E1420" i="6"/>
  <c r="B1420" i="6"/>
  <c r="K1419" i="6"/>
  <c r="J1419" i="6"/>
  <c r="E1419" i="6"/>
  <c r="G1419" i="6" s="1"/>
  <c r="I1419" i="6" s="1"/>
  <c r="B1419" i="6"/>
  <c r="E1418" i="6"/>
  <c r="G1418" i="6" s="1"/>
  <c r="I1418" i="6" s="1"/>
  <c r="B1418" i="6"/>
  <c r="K1417" i="6"/>
  <c r="E1417" i="6"/>
  <c r="G1417" i="6" s="1"/>
  <c r="I1417" i="6" s="1"/>
  <c r="J1417" i="6" s="1"/>
  <c r="B1417" i="6"/>
  <c r="E1416" i="6"/>
  <c r="G1416" i="6" s="1"/>
  <c r="I1416" i="6" s="1"/>
  <c r="B1416" i="6"/>
  <c r="E1415" i="6"/>
  <c r="G1415" i="6" s="1"/>
  <c r="I1415" i="6" s="1"/>
  <c r="B1415" i="6"/>
  <c r="G1414" i="6"/>
  <c r="I1414" i="6" s="1"/>
  <c r="E1414" i="6"/>
  <c r="B1414" i="6"/>
  <c r="G1413" i="6"/>
  <c r="I1413" i="6" s="1"/>
  <c r="E1413" i="6"/>
  <c r="B1413" i="6"/>
  <c r="K1412" i="6"/>
  <c r="J1412" i="6"/>
  <c r="G1412" i="6"/>
  <c r="I1412" i="6" s="1"/>
  <c r="E1412" i="6"/>
  <c r="B1412" i="6"/>
  <c r="E1411" i="6"/>
  <c r="G1411" i="6" s="1"/>
  <c r="I1411" i="6" s="1"/>
  <c r="B1411" i="6"/>
  <c r="E1410" i="6"/>
  <c r="G1410" i="6" s="1"/>
  <c r="I1410" i="6" s="1"/>
  <c r="B1410" i="6"/>
  <c r="E1409" i="6"/>
  <c r="G1409" i="6" s="1"/>
  <c r="I1409" i="6" s="1"/>
  <c r="B1409" i="6"/>
  <c r="E1408" i="6"/>
  <c r="G1408" i="6" s="1"/>
  <c r="I1408" i="6" s="1"/>
  <c r="B1408" i="6"/>
  <c r="I1407" i="6"/>
  <c r="K1407" i="6" s="1"/>
  <c r="G1407" i="6"/>
  <c r="E1407" i="6"/>
  <c r="B1407" i="6"/>
  <c r="E1406" i="6"/>
  <c r="G1406" i="6" s="1"/>
  <c r="I1406" i="6" s="1"/>
  <c r="B1406" i="6"/>
  <c r="K1405" i="6"/>
  <c r="G1405" i="6"/>
  <c r="I1405" i="6" s="1"/>
  <c r="J1405" i="6" s="1"/>
  <c r="E1405" i="6"/>
  <c r="B1405" i="6"/>
  <c r="E1404" i="6"/>
  <c r="G1404" i="6" s="1"/>
  <c r="I1404" i="6" s="1"/>
  <c r="B1404" i="6"/>
  <c r="E1403" i="6"/>
  <c r="G1403" i="6" s="1"/>
  <c r="I1403" i="6" s="1"/>
  <c r="K1403" i="6" s="1"/>
  <c r="B1403" i="6"/>
  <c r="I1402" i="6"/>
  <c r="K1402" i="6" s="1"/>
  <c r="G1402" i="6"/>
  <c r="E1402" i="6"/>
  <c r="B1402" i="6"/>
  <c r="K1401" i="6"/>
  <c r="E1401" i="6"/>
  <c r="G1401" i="6" s="1"/>
  <c r="I1401" i="6" s="1"/>
  <c r="J1401" i="6" s="1"/>
  <c r="B1401" i="6"/>
  <c r="K1400" i="6"/>
  <c r="G1400" i="6"/>
  <c r="I1400" i="6" s="1"/>
  <c r="J1400" i="6" s="1"/>
  <c r="E1400" i="6"/>
  <c r="B1400" i="6"/>
  <c r="E1399" i="6"/>
  <c r="G1399" i="6" s="1"/>
  <c r="I1399" i="6" s="1"/>
  <c r="B1399" i="6"/>
  <c r="E1398" i="6"/>
  <c r="G1398" i="6" s="1"/>
  <c r="I1398" i="6" s="1"/>
  <c r="B1398" i="6"/>
  <c r="E1397" i="6"/>
  <c r="G1397" i="6" s="1"/>
  <c r="I1397" i="6" s="1"/>
  <c r="B1397" i="6"/>
  <c r="E1396" i="6"/>
  <c r="G1396" i="6" s="1"/>
  <c r="I1396" i="6" s="1"/>
  <c r="J1396" i="6" s="1"/>
  <c r="B1396" i="6"/>
  <c r="K1395" i="6"/>
  <c r="E1395" i="6"/>
  <c r="G1395" i="6" s="1"/>
  <c r="I1395" i="6" s="1"/>
  <c r="J1395" i="6" s="1"/>
  <c r="B1395" i="6"/>
  <c r="G1394" i="6"/>
  <c r="I1394" i="6" s="1"/>
  <c r="E1394" i="6"/>
  <c r="B1394" i="6"/>
  <c r="K1393" i="6"/>
  <c r="I1393" i="6"/>
  <c r="J1393" i="6" s="1"/>
  <c r="G1393" i="6"/>
  <c r="E1393" i="6"/>
  <c r="B1393" i="6"/>
  <c r="I1392" i="6"/>
  <c r="J1392" i="6" s="1"/>
  <c r="G1392" i="6"/>
  <c r="E1392" i="6"/>
  <c r="B1392" i="6"/>
  <c r="I1391" i="6"/>
  <c r="E1391" i="6"/>
  <c r="G1391" i="6" s="1"/>
  <c r="B1391" i="6"/>
  <c r="E1390" i="6"/>
  <c r="G1390" i="6" s="1"/>
  <c r="I1390" i="6" s="1"/>
  <c r="B1390" i="6"/>
  <c r="E1389" i="6"/>
  <c r="G1389" i="6" s="1"/>
  <c r="I1389" i="6" s="1"/>
  <c r="B1389" i="6"/>
  <c r="E1388" i="6"/>
  <c r="G1388" i="6" s="1"/>
  <c r="I1388" i="6" s="1"/>
  <c r="K1388" i="6" s="1"/>
  <c r="B1388" i="6"/>
  <c r="G1387" i="6"/>
  <c r="I1387" i="6" s="1"/>
  <c r="E1387" i="6"/>
  <c r="B1387" i="6"/>
  <c r="I1386" i="6"/>
  <c r="E1386" i="6"/>
  <c r="G1386" i="6" s="1"/>
  <c r="B1386" i="6"/>
  <c r="E1385" i="6"/>
  <c r="G1385" i="6" s="1"/>
  <c r="I1385" i="6" s="1"/>
  <c r="B1385" i="6"/>
  <c r="G1384" i="6"/>
  <c r="I1384" i="6" s="1"/>
  <c r="E1384" i="6"/>
  <c r="B1384" i="6"/>
  <c r="K1383" i="6"/>
  <c r="J1383" i="6"/>
  <c r="E1383" i="6"/>
  <c r="G1383" i="6" s="1"/>
  <c r="I1383" i="6" s="1"/>
  <c r="B1383" i="6"/>
  <c r="J1382" i="6"/>
  <c r="G1382" i="6"/>
  <c r="I1382" i="6" s="1"/>
  <c r="K1382" i="6" s="1"/>
  <c r="E1382" i="6"/>
  <c r="B1382" i="6"/>
  <c r="E1381" i="6"/>
  <c r="G1381" i="6" s="1"/>
  <c r="I1381" i="6" s="1"/>
  <c r="B1381" i="6"/>
  <c r="I1380" i="6"/>
  <c r="K1380" i="6" s="1"/>
  <c r="G1380" i="6"/>
  <c r="E1380" i="6"/>
  <c r="B1380" i="6"/>
  <c r="K1379" i="6"/>
  <c r="J1379" i="6"/>
  <c r="E1379" i="6"/>
  <c r="G1379" i="6" s="1"/>
  <c r="I1379" i="6" s="1"/>
  <c r="B1379" i="6"/>
  <c r="G1378" i="6"/>
  <c r="I1378" i="6" s="1"/>
  <c r="E1378" i="6"/>
  <c r="B1378" i="6"/>
  <c r="I1377" i="6"/>
  <c r="E1377" i="6"/>
  <c r="G1377" i="6" s="1"/>
  <c r="B1377" i="6"/>
  <c r="J1376" i="6"/>
  <c r="I1376" i="6"/>
  <c r="K1376" i="6" s="1"/>
  <c r="E1376" i="6"/>
  <c r="G1376" i="6" s="1"/>
  <c r="B1376" i="6"/>
  <c r="E1375" i="6"/>
  <c r="G1375" i="6" s="1"/>
  <c r="I1375" i="6" s="1"/>
  <c r="J1375" i="6" s="1"/>
  <c r="B1375" i="6"/>
  <c r="E1374" i="6"/>
  <c r="G1374" i="6" s="1"/>
  <c r="I1374" i="6" s="1"/>
  <c r="K1374" i="6" s="1"/>
  <c r="B1374" i="6"/>
  <c r="E1373" i="6"/>
  <c r="G1373" i="6" s="1"/>
  <c r="I1373" i="6" s="1"/>
  <c r="B1373" i="6"/>
  <c r="G1372" i="6"/>
  <c r="I1372" i="6" s="1"/>
  <c r="K1372" i="6" s="1"/>
  <c r="E1372" i="6"/>
  <c r="B1372" i="6"/>
  <c r="G1371" i="6"/>
  <c r="I1371" i="6" s="1"/>
  <c r="E1371" i="6"/>
  <c r="B1371" i="6"/>
  <c r="K1370" i="6"/>
  <c r="J1370" i="6"/>
  <c r="I1370" i="6"/>
  <c r="G1370" i="6"/>
  <c r="E1370" i="6"/>
  <c r="B1370" i="6"/>
  <c r="K1369" i="6"/>
  <c r="J1369" i="6"/>
  <c r="I1369" i="6"/>
  <c r="G1369" i="6"/>
  <c r="E1369" i="6"/>
  <c r="B1369" i="6"/>
  <c r="I1368" i="6"/>
  <c r="E1368" i="6"/>
  <c r="G1368" i="6" s="1"/>
  <c r="B1368" i="6"/>
  <c r="G1367" i="6"/>
  <c r="I1367" i="6" s="1"/>
  <c r="E1367" i="6"/>
  <c r="B1367" i="6"/>
  <c r="E1366" i="6"/>
  <c r="G1366" i="6" s="1"/>
  <c r="I1366" i="6" s="1"/>
  <c r="K1366" i="6" s="1"/>
  <c r="B1366" i="6"/>
  <c r="G1365" i="6"/>
  <c r="I1365" i="6" s="1"/>
  <c r="E1365" i="6"/>
  <c r="B1365" i="6"/>
  <c r="K1364" i="6"/>
  <c r="E1364" i="6"/>
  <c r="G1364" i="6" s="1"/>
  <c r="I1364" i="6" s="1"/>
  <c r="J1364" i="6" s="1"/>
  <c r="B1364" i="6"/>
  <c r="E1363" i="6"/>
  <c r="G1363" i="6" s="1"/>
  <c r="I1363" i="6" s="1"/>
  <c r="K1363" i="6" s="1"/>
  <c r="B1363" i="6"/>
  <c r="I1362" i="6"/>
  <c r="K1362" i="6" s="1"/>
  <c r="G1362" i="6"/>
  <c r="E1362" i="6"/>
  <c r="B1362" i="6"/>
  <c r="G1361" i="6"/>
  <c r="I1361" i="6" s="1"/>
  <c r="K1361" i="6" s="1"/>
  <c r="E1361" i="6"/>
  <c r="B1361" i="6"/>
  <c r="E1360" i="6"/>
  <c r="G1360" i="6" s="1"/>
  <c r="I1360" i="6" s="1"/>
  <c r="K1360" i="6" s="1"/>
  <c r="B1360" i="6"/>
  <c r="G1359" i="6"/>
  <c r="I1359" i="6" s="1"/>
  <c r="J1359" i="6" s="1"/>
  <c r="E1359" i="6"/>
  <c r="B1359" i="6"/>
  <c r="G1358" i="6"/>
  <c r="I1358" i="6" s="1"/>
  <c r="E1358" i="6"/>
  <c r="B1358" i="6"/>
  <c r="J1357" i="6"/>
  <c r="E1357" i="6"/>
  <c r="G1357" i="6" s="1"/>
  <c r="I1357" i="6" s="1"/>
  <c r="K1357" i="6" s="1"/>
  <c r="B1357" i="6"/>
  <c r="E1356" i="6"/>
  <c r="G1356" i="6" s="1"/>
  <c r="I1356" i="6" s="1"/>
  <c r="B1356" i="6"/>
  <c r="G1355" i="6"/>
  <c r="I1355" i="6" s="1"/>
  <c r="K1355" i="6" s="1"/>
  <c r="E1355" i="6"/>
  <c r="B1355" i="6"/>
  <c r="E1354" i="6"/>
  <c r="G1354" i="6" s="1"/>
  <c r="I1354" i="6" s="1"/>
  <c r="B1354" i="6"/>
  <c r="G1353" i="6"/>
  <c r="I1353" i="6" s="1"/>
  <c r="K1353" i="6" s="1"/>
  <c r="E1353" i="6"/>
  <c r="B1353" i="6"/>
  <c r="G1352" i="6"/>
  <c r="I1352" i="6" s="1"/>
  <c r="E1352" i="6"/>
  <c r="B1352" i="6"/>
  <c r="J1351" i="6"/>
  <c r="G1351" i="6"/>
  <c r="I1351" i="6" s="1"/>
  <c r="K1351" i="6" s="1"/>
  <c r="E1351" i="6"/>
  <c r="B1351" i="6"/>
  <c r="K1350" i="6"/>
  <c r="J1350" i="6"/>
  <c r="G1350" i="6"/>
  <c r="I1350" i="6" s="1"/>
  <c r="E1350" i="6"/>
  <c r="B1350" i="6"/>
  <c r="E1349" i="6"/>
  <c r="G1349" i="6" s="1"/>
  <c r="I1349" i="6" s="1"/>
  <c r="K1349" i="6" s="1"/>
  <c r="B1349" i="6"/>
  <c r="E1348" i="6"/>
  <c r="G1348" i="6" s="1"/>
  <c r="I1348" i="6" s="1"/>
  <c r="B1348" i="6"/>
  <c r="G1347" i="6"/>
  <c r="I1347" i="6" s="1"/>
  <c r="E1347" i="6"/>
  <c r="B1347" i="6"/>
  <c r="K1346" i="6"/>
  <c r="E1346" i="6"/>
  <c r="G1346" i="6" s="1"/>
  <c r="I1346" i="6" s="1"/>
  <c r="J1346" i="6" s="1"/>
  <c r="B1346" i="6"/>
  <c r="E1345" i="6"/>
  <c r="G1345" i="6" s="1"/>
  <c r="I1345" i="6" s="1"/>
  <c r="B1345" i="6"/>
  <c r="G1344" i="6"/>
  <c r="I1344" i="6" s="1"/>
  <c r="K1344" i="6" s="1"/>
  <c r="E1344" i="6"/>
  <c r="B1344" i="6"/>
  <c r="E1343" i="6"/>
  <c r="G1343" i="6" s="1"/>
  <c r="I1343" i="6" s="1"/>
  <c r="B1343" i="6"/>
  <c r="I1342" i="6"/>
  <c r="J1342" i="6" s="1"/>
  <c r="G1342" i="6"/>
  <c r="E1342" i="6"/>
  <c r="B1342" i="6"/>
  <c r="E1341" i="6"/>
  <c r="G1341" i="6" s="1"/>
  <c r="I1341" i="6" s="1"/>
  <c r="J1341" i="6" s="1"/>
  <c r="B1341" i="6"/>
  <c r="K1340" i="6"/>
  <c r="E1340" i="6"/>
  <c r="G1340" i="6" s="1"/>
  <c r="I1340" i="6" s="1"/>
  <c r="J1340" i="6" s="1"/>
  <c r="B1340" i="6"/>
  <c r="E1339" i="6"/>
  <c r="G1339" i="6" s="1"/>
  <c r="I1339" i="6" s="1"/>
  <c r="K1339" i="6" s="1"/>
  <c r="B1339" i="6"/>
  <c r="J1338" i="6"/>
  <c r="G1338" i="6"/>
  <c r="I1338" i="6" s="1"/>
  <c r="K1338" i="6" s="1"/>
  <c r="E1338" i="6"/>
  <c r="B1338" i="6"/>
  <c r="I1337" i="6"/>
  <c r="K1337" i="6" s="1"/>
  <c r="G1337" i="6"/>
  <c r="E1337" i="6"/>
  <c r="B1337" i="6"/>
  <c r="E1336" i="6"/>
  <c r="G1336" i="6" s="1"/>
  <c r="I1336" i="6" s="1"/>
  <c r="B1336" i="6"/>
  <c r="E1335" i="6"/>
  <c r="G1335" i="6" s="1"/>
  <c r="I1335" i="6" s="1"/>
  <c r="B1335" i="6"/>
  <c r="E1334" i="6"/>
  <c r="G1334" i="6" s="1"/>
  <c r="I1334" i="6" s="1"/>
  <c r="B1334" i="6"/>
  <c r="G1333" i="6"/>
  <c r="I1333" i="6" s="1"/>
  <c r="E1333" i="6"/>
  <c r="B1333" i="6"/>
  <c r="K1332" i="6"/>
  <c r="J1332" i="6"/>
  <c r="E1332" i="6"/>
  <c r="G1332" i="6" s="1"/>
  <c r="I1332" i="6" s="1"/>
  <c r="B1332" i="6"/>
  <c r="I1331" i="6"/>
  <c r="E1331" i="6"/>
  <c r="G1331" i="6" s="1"/>
  <c r="B1331" i="6"/>
  <c r="G1330" i="6"/>
  <c r="I1330" i="6" s="1"/>
  <c r="E1330" i="6"/>
  <c r="B1330" i="6"/>
  <c r="G1329" i="6"/>
  <c r="I1329" i="6" s="1"/>
  <c r="E1329" i="6"/>
  <c r="B1329" i="6"/>
  <c r="E1328" i="6"/>
  <c r="G1328" i="6" s="1"/>
  <c r="I1328" i="6" s="1"/>
  <c r="K1328" i="6" s="1"/>
  <c r="B1328" i="6"/>
  <c r="G1327" i="6"/>
  <c r="I1327" i="6" s="1"/>
  <c r="E1327" i="6"/>
  <c r="B1327" i="6"/>
  <c r="E1326" i="6"/>
  <c r="G1326" i="6" s="1"/>
  <c r="I1326" i="6" s="1"/>
  <c r="B1326" i="6"/>
  <c r="G1325" i="6"/>
  <c r="I1325" i="6" s="1"/>
  <c r="E1325" i="6"/>
  <c r="B1325" i="6"/>
  <c r="G1324" i="6"/>
  <c r="I1324" i="6" s="1"/>
  <c r="E1324" i="6"/>
  <c r="B1324" i="6"/>
  <c r="K1323" i="6"/>
  <c r="I1323" i="6"/>
  <c r="J1323" i="6" s="1"/>
  <c r="E1323" i="6"/>
  <c r="G1323" i="6" s="1"/>
  <c r="B1323" i="6"/>
  <c r="E1322" i="6"/>
  <c r="G1322" i="6" s="1"/>
  <c r="I1322" i="6" s="1"/>
  <c r="B1322" i="6"/>
  <c r="E1321" i="6"/>
  <c r="G1321" i="6" s="1"/>
  <c r="I1321" i="6" s="1"/>
  <c r="B1321" i="6"/>
  <c r="I1320" i="6"/>
  <c r="J1320" i="6" s="1"/>
  <c r="E1320" i="6"/>
  <c r="G1320" i="6" s="1"/>
  <c r="B1320" i="6"/>
  <c r="J1319" i="6"/>
  <c r="E1319" i="6"/>
  <c r="G1319" i="6" s="1"/>
  <c r="I1319" i="6" s="1"/>
  <c r="K1319" i="6" s="1"/>
  <c r="B1319" i="6"/>
  <c r="E1318" i="6"/>
  <c r="G1318" i="6" s="1"/>
  <c r="I1318" i="6" s="1"/>
  <c r="B1318" i="6"/>
  <c r="E1317" i="6"/>
  <c r="G1317" i="6" s="1"/>
  <c r="I1317" i="6" s="1"/>
  <c r="B1317" i="6"/>
  <c r="E1316" i="6"/>
  <c r="G1316" i="6" s="1"/>
  <c r="I1316" i="6" s="1"/>
  <c r="B1316" i="6"/>
  <c r="E1315" i="6"/>
  <c r="G1315" i="6" s="1"/>
  <c r="I1315" i="6" s="1"/>
  <c r="B1315" i="6"/>
  <c r="G1314" i="6"/>
  <c r="I1314" i="6" s="1"/>
  <c r="E1314" i="6"/>
  <c r="B1314" i="6"/>
  <c r="I1313" i="6"/>
  <c r="G1313" i="6"/>
  <c r="E1313" i="6"/>
  <c r="B1313" i="6"/>
  <c r="I1312" i="6"/>
  <c r="K1312" i="6" s="1"/>
  <c r="E1312" i="6"/>
  <c r="G1312" i="6" s="1"/>
  <c r="B1312" i="6"/>
  <c r="I1311" i="6"/>
  <c r="E1311" i="6"/>
  <c r="G1311" i="6" s="1"/>
  <c r="B1311" i="6"/>
  <c r="E1310" i="6"/>
  <c r="G1310" i="6" s="1"/>
  <c r="I1310" i="6" s="1"/>
  <c r="B1310" i="6"/>
  <c r="E1309" i="6"/>
  <c r="G1309" i="6" s="1"/>
  <c r="I1309" i="6" s="1"/>
  <c r="B1309" i="6"/>
  <c r="E1308" i="6"/>
  <c r="G1308" i="6" s="1"/>
  <c r="I1308" i="6" s="1"/>
  <c r="B1308" i="6"/>
  <c r="G1307" i="6"/>
  <c r="I1307" i="6" s="1"/>
  <c r="E1307" i="6"/>
  <c r="B1307" i="6"/>
  <c r="I1306" i="6"/>
  <c r="G1306" i="6"/>
  <c r="E1306" i="6"/>
  <c r="B1306" i="6"/>
  <c r="K1305" i="6"/>
  <c r="E1305" i="6"/>
  <c r="G1305" i="6" s="1"/>
  <c r="I1305" i="6" s="1"/>
  <c r="J1305" i="6" s="1"/>
  <c r="B1305" i="6"/>
  <c r="G1304" i="6"/>
  <c r="I1304" i="6" s="1"/>
  <c r="E1304" i="6"/>
  <c r="B1304" i="6"/>
  <c r="E1303" i="6"/>
  <c r="G1303" i="6" s="1"/>
  <c r="I1303" i="6" s="1"/>
  <c r="B1303" i="6"/>
  <c r="E1302" i="6"/>
  <c r="G1302" i="6" s="1"/>
  <c r="I1302" i="6" s="1"/>
  <c r="B1302" i="6"/>
  <c r="I1301" i="6"/>
  <c r="K1301" i="6" s="1"/>
  <c r="E1301" i="6"/>
  <c r="G1301" i="6" s="1"/>
  <c r="B1301" i="6"/>
  <c r="I1300" i="6"/>
  <c r="G1300" i="6"/>
  <c r="E1300" i="6"/>
  <c r="B1300" i="6"/>
  <c r="I1299" i="6"/>
  <c r="G1299" i="6"/>
  <c r="E1299" i="6"/>
  <c r="B1299" i="6"/>
  <c r="E1298" i="6"/>
  <c r="G1298" i="6" s="1"/>
  <c r="I1298" i="6" s="1"/>
  <c r="B1298" i="6"/>
  <c r="G1297" i="6"/>
  <c r="I1297" i="6" s="1"/>
  <c r="E1297" i="6"/>
  <c r="B1297" i="6"/>
  <c r="E1296" i="6"/>
  <c r="G1296" i="6" s="1"/>
  <c r="I1296" i="6" s="1"/>
  <c r="B1296" i="6"/>
  <c r="E1295" i="6"/>
  <c r="G1295" i="6" s="1"/>
  <c r="I1295" i="6" s="1"/>
  <c r="B1295" i="6"/>
  <c r="E1294" i="6"/>
  <c r="G1294" i="6" s="1"/>
  <c r="I1294" i="6" s="1"/>
  <c r="J1294" i="6" s="1"/>
  <c r="B1294" i="6"/>
  <c r="E1293" i="6"/>
  <c r="G1293" i="6" s="1"/>
  <c r="I1293" i="6" s="1"/>
  <c r="B1293" i="6"/>
  <c r="E1292" i="6"/>
  <c r="G1292" i="6" s="1"/>
  <c r="I1292" i="6" s="1"/>
  <c r="B1292" i="6"/>
  <c r="J1291" i="6"/>
  <c r="E1291" i="6"/>
  <c r="G1291" i="6" s="1"/>
  <c r="I1291" i="6" s="1"/>
  <c r="K1291" i="6" s="1"/>
  <c r="B1291" i="6"/>
  <c r="I1290" i="6"/>
  <c r="G1290" i="6"/>
  <c r="E1290" i="6"/>
  <c r="B1290" i="6"/>
  <c r="E1289" i="6"/>
  <c r="G1289" i="6" s="1"/>
  <c r="I1289" i="6" s="1"/>
  <c r="B1289" i="6"/>
  <c r="G1288" i="6"/>
  <c r="I1288" i="6" s="1"/>
  <c r="K1288" i="6" s="1"/>
  <c r="E1288" i="6"/>
  <c r="B1288" i="6"/>
  <c r="G1287" i="6"/>
  <c r="I1287" i="6" s="1"/>
  <c r="E1287" i="6"/>
  <c r="B1287" i="6"/>
  <c r="E1286" i="6"/>
  <c r="G1286" i="6" s="1"/>
  <c r="I1286" i="6" s="1"/>
  <c r="B1286" i="6"/>
  <c r="E1285" i="6"/>
  <c r="G1285" i="6" s="1"/>
  <c r="I1285" i="6" s="1"/>
  <c r="K1285" i="6" s="1"/>
  <c r="B1285" i="6"/>
  <c r="E1284" i="6"/>
  <c r="G1284" i="6" s="1"/>
  <c r="I1284" i="6" s="1"/>
  <c r="B1284" i="6"/>
  <c r="E1283" i="6"/>
  <c r="G1283" i="6" s="1"/>
  <c r="I1283" i="6" s="1"/>
  <c r="B1283" i="6"/>
  <c r="E1282" i="6"/>
  <c r="G1282" i="6" s="1"/>
  <c r="I1282" i="6" s="1"/>
  <c r="K1282" i="6" s="1"/>
  <c r="B1282" i="6"/>
  <c r="E1281" i="6"/>
  <c r="G1281" i="6" s="1"/>
  <c r="I1281" i="6" s="1"/>
  <c r="B1281" i="6"/>
  <c r="G1280" i="6"/>
  <c r="I1280" i="6" s="1"/>
  <c r="E1280" i="6"/>
  <c r="B1280" i="6"/>
  <c r="G1279" i="6"/>
  <c r="I1279" i="6" s="1"/>
  <c r="E1279" i="6"/>
  <c r="B1279" i="6"/>
  <c r="E1278" i="6"/>
  <c r="G1278" i="6" s="1"/>
  <c r="I1278" i="6" s="1"/>
  <c r="J1278" i="6" s="1"/>
  <c r="B1278" i="6"/>
  <c r="K1277" i="6"/>
  <c r="G1277" i="6"/>
  <c r="I1277" i="6" s="1"/>
  <c r="J1277" i="6" s="1"/>
  <c r="E1277" i="6"/>
  <c r="B1277" i="6"/>
  <c r="E1276" i="6"/>
  <c r="G1276" i="6" s="1"/>
  <c r="I1276" i="6" s="1"/>
  <c r="J1276" i="6" s="1"/>
  <c r="B1276" i="6"/>
  <c r="G1275" i="6"/>
  <c r="I1275" i="6" s="1"/>
  <c r="E1275" i="6"/>
  <c r="B1275" i="6"/>
  <c r="G1274" i="6"/>
  <c r="I1274" i="6" s="1"/>
  <c r="J1274" i="6" s="1"/>
  <c r="E1274" i="6"/>
  <c r="B1274" i="6"/>
  <c r="E1273" i="6"/>
  <c r="G1273" i="6" s="1"/>
  <c r="I1273" i="6" s="1"/>
  <c r="B1273" i="6"/>
  <c r="G1272" i="6"/>
  <c r="I1272" i="6" s="1"/>
  <c r="E1272" i="6"/>
  <c r="B1272" i="6"/>
  <c r="E1271" i="6"/>
  <c r="G1271" i="6" s="1"/>
  <c r="I1271" i="6" s="1"/>
  <c r="B1271" i="6"/>
  <c r="E1270" i="6"/>
  <c r="G1270" i="6" s="1"/>
  <c r="I1270" i="6" s="1"/>
  <c r="B1270" i="6"/>
  <c r="I1269" i="6"/>
  <c r="G1269" i="6"/>
  <c r="E1269" i="6"/>
  <c r="B1269" i="6"/>
  <c r="K1268" i="6"/>
  <c r="J1268" i="6"/>
  <c r="E1268" i="6"/>
  <c r="G1268" i="6" s="1"/>
  <c r="I1268" i="6" s="1"/>
  <c r="B1268" i="6"/>
  <c r="E1267" i="6"/>
  <c r="G1267" i="6" s="1"/>
  <c r="I1267" i="6" s="1"/>
  <c r="B1267" i="6"/>
  <c r="E1266" i="6"/>
  <c r="G1266" i="6" s="1"/>
  <c r="I1266" i="6" s="1"/>
  <c r="J1266" i="6" s="1"/>
  <c r="B1266" i="6"/>
  <c r="E1265" i="6"/>
  <c r="G1265" i="6" s="1"/>
  <c r="I1265" i="6" s="1"/>
  <c r="J1265" i="6" s="1"/>
  <c r="B1265" i="6"/>
  <c r="E1264" i="6"/>
  <c r="G1264" i="6" s="1"/>
  <c r="I1264" i="6" s="1"/>
  <c r="B1264" i="6"/>
  <c r="E1263" i="6"/>
  <c r="G1263" i="6" s="1"/>
  <c r="I1263" i="6" s="1"/>
  <c r="B1263" i="6"/>
  <c r="E1262" i="6"/>
  <c r="G1262" i="6" s="1"/>
  <c r="I1262" i="6" s="1"/>
  <c r="B1262" i="6"/>
  <c r="E1261" i="6"/>
  <c r="G1261" i="6" s="1"/>
  <c r="I1261" i="6" s="1"/>
  <c r="B1261" i="6"/>
  <c r="E1260" i="6"/>
  <c r="G1260" i="6" s="1"/>
  <c r="I1260" i="6" s="1"/>
  <c r="B1260" i="6"/>
  <c r="E1259" i="6"/>
  <c r="G1259" i="6" s="1"/>
  <c r="I1259" i="6" s="1"/>
  <c r="B1259" i="6"/>
  <c r="I1258" i="6"/>
  <c r="G1258" i="6"/>
  <c r="E1258" i="6"/>
  <c r="B1258" i="6"/>
  <c r="E1257" i="6"/>
  <c r="G1257" i="6" s="1"/>
  <c r="I1257" i="6" s="1"/>
  <c r="B1257" i="6"/>
  <c r="E1256" i="6"/>
  <c r="G1256" i="6" s="1"/>
  <c r="I1256" i="6" s="1"/>
  <c r="B1256" i="6"/>
  <c r="E1255" i="6"/>
  <c r="G1255" i="6" s="1"/>
  <c r="I1255" i="6" s="1"/>
  <c r="B1255" i="6"/>
  <c r="G1254" i="6"/>
  <c r="I1254" i="6" s="1"/>
  <c r="J1254" i="6" s="1"/>
  <c r="E1254" i="6"/>
  <c r="B1254" i="6"/>
  <c r="E1253" i="6"/>
  <c r="G1253" i="6" s="1"/>
  <c r="I1253" i="6" s="1"/>
  <c r="B1253" i="6"/>
  <c r="E1252" i="6"/>
  <c r="G1252" i="6" s="1"/>
  <c r="I1252" i="6" s="1"/>
  <c r="B1252" i="6"/>
  <c r="K1251" i="6"/>
  <c r="E1251" i="6"/>
  <c r="G1251" i="6" s="1"/>
  <c r="I1251" i="6" s="1"/>
  <c r="J1251" i="6" s="1"/>
  <c r="B1251" i="6"/>
  <c r="E1250" i="6"/>
  <c r="G1250" i="6" s="1"/>
  <c r="I1250" i="6" s="1"/>
  <c r="B1250" i="6"/>
  <c r="G1249" i="6"/>
  <c r="I1249" i="6" s="1"/>
  <c r="E1249" i="6"/>
  <c r="B1249" i="6"/>
  <c r="E1248" i="6"/>
  <c r="G1248" i="6" s="1"/>
  <c r="I1248" i="6" s="1"/>
  <c r="B1248" i="6"/>
  <c r="I1247" i="6"/>
  <c r="K1247" i="6" s="1"/>
  <c r="E1247" i="6"/>
  <c r="G1247" i="6" s="1"/>
  <c r="B1247" i="6"/>
  <c r="E1246" i="6"/>
  <c r="G1246" i="6" s="1"/>
  <c r="I1246" i="6" s="1"/>
  <c r="B1246" i="6"/>
  <c r="E1245" i="6"/>
  <c r="G1245" i="6" s="1"/>
  <c r="I1245" i="6" s="1"/>
  <c r="B1245" i="6"/>
  <c r="G1244" i="6"/>
  <c r="I1244" i="6" s="1"/>
  <c r="E1244" i="6"/>
  <c r="B1244" i="6"/>
  <c r="I1243" i="6"/>
  <c r="G1243" i="6"/>
  <c r="E1243" i="6"/>
  <c r="B1243" i="6"/>
  <c r="E1242" i="6"/>
  <c r="G1242" i="6" s="1"/>
  <c r="I1242" i="6" s="1"/>
  <c r="B1242" i="6"/>
  <c r="K1241" i="6"/>
  <c r="I1241" i="6"/>
  <c r="J1241" i="6" s="1"/>
  <c r="E1241" i="6"/>
  <c r="G1241" i="6" s="1"/>
  <c r="B1241" i="6"/>
  <c r="E1240" i="6"/>
  <c r="G1240" i="6" s="1"/>
  <c r="I1240" i="6" s="1"/>
  <c r="K1240" i="6" s="1"/>
  <c r="B1240" i="6"/>
  <c r="E1239" i="6"/>
  <c r="G1239" i="6" s="1"/>
  <c r="I1239" i="6" s="1"/>
  <c r="B1239" i="6"/>
  <c r="G1238" i="6"/>
  <c r="I1238" i="6" s="1"/>
  <c r="E1238" i="6"/>
  <c r="B1238" i="6"/>
  <c r="I1237" i="6"/>
  <c r="K1237" i="6" s="1"/>
  <c r="G1237" i="6"/>
  <c r="E1237" i="6"/>
  <c r="B1237" i="6"/>
  <c r="I1236" i="6"/>
  <c r="E1236" i="6"/>
  <c r="G1236" i="6" s="1"/>
  <c r="B1236" i="6"/>
  <c r="E1235" i="6"/>
  <c r="G1235" i="6" s="1"/>
  <c r="I1235" i="6" s="1"/>
  <c r="B1235" i="6"/>
  <c r="E1234" i="6"/>
  <c r="G1234" i="6" s="1"/>
  <c r="I1234" i="6" s="1"/>
  <c r="B1234" i="6"/>
  <c r="E1233" i="6"/>
  <c r="G1233" i="6" s="1"/>
  <c r="I1233" i="6" s="1"/>
  <c r="B1233" i="6"/>
  <c r="G1232" i="6"/>
  <c r="I1232" i="6" s="1"/>
  <c r="E1232" i="6"/>
  <c r="B1232" i="6"/>
  <c r="E1231" i="6"/>
  <c r="G1231" i="6" s="1"/>
  <c r="I1231" i="6" s="1"/>
  <c r="B1231" i="6"/>
  <c r="E1230" i="6"/>
  <c r="G1230" i="6" s="1"/>
  <c r="I1230" i="6" s="1"/>
  <c r="B1230" i="6"/>
  <c r="I1229" i="6"/>
  <c r="K1229" i="6" s="1"/>
  <c r="E1229" i="6"/>
  <c r="G1229" i="6" s="1"/>
  <c r="B1229" i="6"/>
  <c r="J1228" i="6"/>
  <c r="E1228" i="6"/>
  <c r="G1228" i="6" s="1"/>
  <c r="I1228" i="6" s="1"/>
  <c r="K1228" i="6" s="1"/>
  <c r="B1228" i="6"/>
  <c r="E1227" i="6"/>
  <c r="G1227" i="6" s="1"/>
  <c r="I1227" i="6" s="1"/>
  <c r="J1227" i="6" s="1"/>
  <c r="B1227" i="6"/>
  <c r="E1226" i="6"/>
  <c r="G1226" i="6" s="1"/>
  <c r="I1226" i="6" s="1"/>
  <c r="J1226" i="6" s="1"/>
  <c r="B1226" i="6"/>
  <c r="E1225" i="6"/>
  <c r="G1225" i="6" s="1"/>
  <c r="I1225" i="6" s="1"/>
  <c r="B1225" i="6"/>
  <c r="G1224" i="6"/>
  <c r="I1224" i="6" s="1"/>
  <c r="E1224" i="6"/>
  <c r="B1224" i="6"/>
  <c r="G1223" i="6"/>
  <c r="I1223" i="6" s="1"/>
  <c r="K1223" i="6" s="1"/>
  <c r="E1223" i="6"/>
  <c r="B1223" i="6"/>
  <c r="G1222" i="6"/>
  <c r="I1222" i="6" s="1"/>
  <c r="K1222" i="6" s="1"/>
  <c r="E1222" i="6"/>
  <c r="B1222" i="6"/>
  <c r="I1221" i="6"/>
  <c r="K1221" i="6" s="1"/>
  <c r="E1221" i="6"/>
  <c r="G1221" i="6" s="1"/>
  <c r="B1221" i="6"/>
  <c r="G1220" i="6"/>
  <c r="I1220" i="6" s="1"/>
  <c r="E1220" i="6"/>
  <c r="B1220" i="6"/>
  <c r="E1219" i="6"/>
  <c r="G1219" i="6" s="1"/>
  <c r="I1219" i="6" s="1"/>
  <c r="B1219" i="6"/>
  <c r="E1218" i="6"/>
  <c r="G1218" i="6" s="1"/>
  <c r="I1218" i="6" s="1"/>
  <c r="B1218" i="6"/>
  <c r="I1217" i="6"/>
  <c r="J1217" i="6" s="1"/>
  <c r="G1217" i="6"/>
  <c r="E1217" i="6"/>
  <c r="B1217" i="6"/>
  <c r="J1216" i="6"/>
  <c r="I1216" i="6"/>
  <c r="K1216" i="6" s="1"/>
  <c r="E1216" i="6"/>
  <c r="G1216" i="6" s="1"/>
  <c r="B1216" i="6"/>
  <c r="E1215" i="6"/>
  <c r="G1215" i="6" s="1"/>
  <c r="I1215" i="6" s="1"/>
  <c r="B1215" i="6"/>
  <c r="E1214" i="6"/>
  <c r="G1214" i="6" s="1"/>
  <c r="I1214" i="6" s="1"/>
  <c r="B1214" i="6"/>
  <c r="E1213" i="6"/>
  <c r="G1213" i="6" s="1"/>
  <c r="I1213" i="6" s="1"/>
  <c r="B1213" i="6"/>
  <c r="G1212" i="6"/>
  <c r="I1212" i="6" s="1"/>
  <c r="E1212" i="6"/>
  <c r="B1212" i="6"/>
  <c r="K1211" i="6"/>
  <c r="J1211" i="6"/>
  <c r="I1211" i="6"/>
  <c r="E1211" i="6"/>
  <c r="G1211" i="6" s="1"/>
  <c r="B1211" i="6"/>
  <c r="G1210" i="6"/>
  <c r="I1210" i="6" s="1"/>
  <c r="E1210" i="6"/>
  <c r="B1210" i="6"/>
  <c r="E1209" i="6"/>
  <c r="G1209" i="6" s="1"/>
  <c r="I1209" i="6" s="1"/>
  <c r="K1209" i="6" s="1"/>
  <c r="B1209" i="6"/>
  <c r="E1208" i="6"/>
  <c r="G1208" i="6" s="1"/>
  <c r="I1208" i="6" s="1"/>
  <c r="J1208" i="6" s="1"/>
  <c r="B1208" i="6"/>
  <c r="G1207" i="6"/>
  <c r="I1207" i="6" s="1"/>
  <c r="E1207" i="6"/>
  <c r="B1207" i="6"/>
  <c r="E1206" i="6"/>
  <c r="G1206" i="6" s="1"/>
  <c r="I1206" i="6" s="1"/>
  <c r="J1206" i="6" s="1"/>
  <c r="B1206" i="6"/>
  <c r="E1205" i="6"/>
  <c r="G1205" i="6" s="1"/>
  <c r="I1205" i="6" s="1"/>
  <c r="B1205" i="6"/>
  <c r="E1204" i="6"/>
  <c r="G1204" i="6" s="1"/>
  <c r="I1204" i="6" s="1"/>
  <c r="B1204" i="6"/>
  <c r="E1203" i="6"/>
  <c r="G1203" i="6" s="1"/>
  <c r="I1203" i="6" s="1"/>
  <c r="J1203" i="6" s="1"/>
  <c r="B1203" i="6"/>
  <c r="E1202" i="6"/>
  <c r="G1202" i="6" s="1"/>
  <c r="I1202" i="6" s="1"/>
  <c r="B1202" i="6"/>
  <c r="E1201" i="6"/>
  <c r="G1201" i="6" s="1"/>
  <c r="I1201" i="6" s="1"/>
  <c r="B1201" i="6"/>
  <c r="K1200" i="6"/>
  <c r="E1200" i="6"/>
  <c r="G1200" i="6" s="1"/>
  <c r="I1200" i="6" s="1"/>
  <c r="J1200" i="6" s="1"/>
  <c r="B1200" i="6"/>
  <c r="E1199" i="6"/>
  <c r="G1199" i="6" s="1"/>
  <c r="I1199" i="6" s="1"/>
  <c r="B1199" i="6"/>
  <c r="E1198" i="6"/>
  <c r="G1198" i="6" s="1"/>
  <c r="I1198" i="6" s="1"/>
  <c r="B1198" i="6"/>
  <c r="I1197" i="6"/>
  <c r="K1197" i="6" s="1"/>
  <c r="G1197" i="6"/>
  <c r="E1197" i="6"/>
  <c r="B1197" i="6"/>
  <c r="K1196" i="6"/>
  <c r="G1196" i="6"/>
  <c r="I1196" i="6" s="1"/>
  <c r="J1196" i="6" s="1"/>
  <c r="E1196" i="6"/>
  <c r="B1196" i="6"/>
  <c r="E1195" i="6"/>
  <c r="G1195" i="6" s="1"/>
  <c r="I1195" i="6" s="1"/>
  <c r="J1195" i="6" s="1"/>
  <c r="B1195" i="6"/>
  <c r="E1194" i="6"/>
  <c r="G1194" i="6" s="1"/>
  <c r="I1194" i="6" s="1"/>
  <c r="B1194" i="6"/>
  <c r="I1193" i="6"/>
  <c r="J1193" i="6" s="1"/>
  <c r="E1193" i="6"/>
  <c r="G1193" i="6" s="1"/>
  <c r="B1193" i="6"/>
  <c r="K1192" i="6"/>
  <c r="G1192" i="6"/>
  <c r="I1192" i="6" s="1"/>
  <c r="J1192" i="6" s="1"/>
  <c r="E1192" i="6"/>
  <c r="B1192" i="6"/>
  <c r="E1191" i="6"/>
  <c r="G1191" i="6" s="1"/>
  <c r="I1191" i="6" s="1"/>
  <c r="B1191" i="6"/>
  <c r="E1190" i="6"/>
  <c r="G1190" i="6" s="1"/>
  <c r="I1190" i="6" s="1"/>
  <c r="J1190" i="6" s="1"/>
  <c r="B1190" i="6"/>
  <c r="E1189" i="6"/>
  <c r="G1189" i="6" s="1"/>
  <c r="I1189" i="6" s="1"/>
  <c r="B1189" i="6"/>
  <c r="G1188" i="6"/>
  <c r="I1188" i="6" s="1"/>
  <c r="E1188" i="6"/>
  <c r="B1188" i="6"/>
  <c r="E1187" i="6"/>
  <c r="G1187" i="6" s="1"/>
  <c r="I1187" i="6" s="1"/>
  <c r="B1187" i="6"/>
  <c r="G1186" i="6"/>
  <c r="I1186" i="6" s="1"/>
  <c r="E1186" i="6"/>
  <c r="B1186" i="6"/>
  <c r="K1185" i="6"/>
  <c r="J1185" i="6"/>
  <c r="I1185" i="6"/>
  <c r="E1185" i="6"/>
  <c r="G1185" i="6" s="1"/>
  <c r="B1185" i="6"/>
  <c r="K1184" i="6"/>
  <c r="G1184" i="6"/>
  <c r="I1184" i="6" s="1"/>
  <c r="J1184" i="6" s="1"/>
  <c r="E1184" i="6"/>
  <c r="B1184" i="6"/>
  <c r="E1183" i="6"/>
  <c r="G1183" i="6" s="1"/>
  <c r="I1183" i="6" s="1"/>
  <c r="B1183" i="6"/>
  <c r="E1182" i="6"/>
  <c r="G1182" i="6" s="1"/>
  <c r="I1182" i="6" s="1"/>
  <c r="B1182" i="6"/>
  <c r="J1181" i="6"/>
  <c r="I1181" i="6"/>
  <c r="K1181" i="6" s="1"/>
  <c r="E1181" i="6"/>
  <c r="G1181" i="6" s="1"/>
  <c r="B1181" i="6"/>
  <c r="E1180" i="6"/>
  <c r="G1180" i="6" s="1"/>
  <c r="I1180" i="6" s="1"/>
  <c r="J1180" i="6" s="1"/>
  <c r="B1180" i="6"/>
  <c r="E1179" i="6"/>
  <c r="G1179" i="6" s="1"/>
  <c r="I1179" i="6" s="1"/>
  <c r="J1179" i="6" s="1"/>
  <c r="B1179" i="6"/>
  <c r="E1178" i="6"/>
  <c r="G1178" i="6" s="1"/>
  <c r="I1178" i="6" s="1"/>
  <c r="B1178" i="6"/>
  <c r="K1177" i="6"/>
  <c r="E1177" i="6"/>
  <c r="G1177" i="6" s="1"/>
  <c r="I1177" i="6" s="1"/>
  <c r="J1177" i="6" s="1"/>
  <c r="B1177" i="6"/>
  <c r="E1176" i="6"/>
  <c r="G1176" i="6" s="1"/>
  <c r="I1176" i="6" s="1"/>
  <c r="B1176" i="6"/>
  <c r="E1175" i="6"/>
  <c r="G1175" i="6" s="1"/>
  <c r="I1175" i="6" s="1"/>
  <c r="B1175" i="6"/>
  <c r="G1174" i="6"/>
  <c r="I1174" i="6" s="1"/>
  <c r="E1174" i="6"/>
  <c r="B1174" i="6"/>
  <c r="I1173" i="6"/>
  <c r="K1173" i="6" s="1"/>
  <c r="E1173" i="6"/>
  <c r="G1173" i="6" s="1"/>
  <c r="B1173" i="6"/>
  <c r="E1172" i="6"/>
  <c r="G1172" i="6" s="1"/>
  <c r="I1172" i="6" s="1"/>
  <c r="K1172" i="6" s="1"/>
  <c r="B1172" i="6"/>
  <c r="E1171" i="6"/>
  <c r="G1171" i="6" s="1"/>
  <c r="I1171" i="6" s="1"/>
  <c r="K1171" i="6" s="1"/>
  <c r="B1171" i="6"/>
  <c r="G1170" i="6"/>
  <c r="I1170" i="6" s="1"/>
  <c r="E1170" i="6"/>
  <c r="B1170" i="6"/>
  <c r="G1169" i="6"/>
  <c r="I1169" i="6" s="1"/>
  <c r="K1169" i="6" s="1"/>
  <c r="E1169" i="6"/>
  <c r="B1169" i="6"/>
  <c r="E1168" i="6"/>
  <c r="G1168" i="6" s="1"/>
  <c r="I1168" i="6" s="1"/>
  <c r="K1168" i="6" s="1"/>
  <c r="B1168" i="6"/>
  <c r="E1167" i="6"/>
  <c r="G1167" i="6" s="1"/>
  <c r="I1167" i="6" s="1"/>
  <c r="K1167" i="6" s="1"/>
  <c r="B1167" i="6"/>
  <c r="E1166" i="6"/>
  <c r="G1166" i="6" s="1"/>
  <c r="I1166" i="6" s="1"/>
  <c r="J1166" i="6" s="1"/>
  <c r="B1166" i="6"/>
  <c r="E1165" i="6"/>
  <c r="G1165" i="6" s="1"/>
  <c r="I1165" i="6" s="1"/>
  <c r="K1165" i="6" s="1"/>
  <c r="B1165" i="6"/>
  <c r="E1164" i="6"/>
  <c r="G1164" i="6" s="1"/>
  <c r="I1164" i="6" s="1"/>
  <c r="J1164" i="6" s="1"/>
  <c r="B1164" i="6"/>
  <c r="E1163" i="6"/>
  <c r="G1163" i="6" s="1"/>
  <c r="I1163" i="6" s="1"/>
  <c r="B1163" i="6"/>
  <c r="G1162" i="6"/>
  <c r="I1162" i="6" s="1"/>
  <c r="E1162" i="6"/>
  <c r="B1162" i="6"/>
  <c r="E1161" i="6"/>
  <c r="G1161" i="6" s="1"/>
  <c r="I1161" i="6" s="1"/>
  <c r="B1161" i="6"/>
  <c r="I1160" i="6"/>
  <c r="K1160" i="6" s="1"/>
  <c r="E1160" i="6"/>
  <c r="G1160" i="6" s="1"/>
  <c r="B1160" i="6"/>
  <c r="K1159" i="6"/>
  <c r="G1159" i="6"/>
  <c r="I1159" i="6" s="1"/>
  <c r="J1159" i="6" s="1"/>
  <c r="E1159" i="6"/>
  <c r="B1159" i="6"/>
  <c r="E1158" i="6"/>
  <c r="G1158" i="6" s="1"/>
  <c r="I1158" i="6" s="1"/>
  <c r="B1158" i="6"/>
  <c r="G1157" i="6"/>
  <c r="I1157" i="6" s="1"/>
  <c r="E1157" i="6"/>
  <c r="B1157" i="6"/>
  <c r="E1156" i="6"/>
  <c r="G1156" i="6" s="1"/>
  <c r="I1156" i="6" s="1"/>
  <c r="K1156" i="6" s="1"/>
  <c r="B1156" i="6"/>
  <c r="E1155" i="6"/>
  <c r="G1155" i="6" s="1"/>
  <c r="I1155" i="6" s="1"/>
  <c r="B1155" i="6"/>
  <c r="K1154" i="6"/>
  <c r="G1154" i="6"/>
  <c r="I1154" i="6" s="1"/>
  <c r="J1154" i="6" s="1"/>
  <c r="E1154" i="6"/>
  <c r="B1154" i="6"/>
  <c r="G1153" i="6"/>
  <c r="I1153" i="6" s="1"/>
  <c r="K1153" i="6" s="1"/>
  <c r="E1153" i="6"/>
  <c r="B1153" i="6"/>
  <c r="E1152" i="6"/>
  <c r="G1152" i="6" s="1"/>
  <c r="I1152" i="6" s="1"/>
  <c r="B1152" i="6"/>
  <c r="I1151" i="6"/>
  <c r="K1151" i="6" s="1"/>
  <c r="E1151" i="6"/>
  <c r="G1151" i="6" s="1"/>
  <c r="B1151" i="6"/>
  <c r="E1150" i="6"/>
  <c r="G1150" i="6" s="1"/>
  <c r="I1150" i="6" s="1"/>
  <c r="J1150" i="6" s="1"/>
  <c r="B1150" i="6"/>
  <c r="E1149" i="6"/>
  <c r="G1149" i="6" s="1"/>
  <c r="I1149" i="6" s="1"/>
  <c r="B1149" i="6"/>
  <c r="E1148" i="6"/>
  <c r="G1148" i="6" s="1"/>
  <c r="I1148" i="6" s="1"/>
  <c r="B1148" i="6"/>
  <c r="E1147" i="6"/>
  <c r="G1147" i="6" s="1"/>
  <c r="I1147" i="6" s="1"/>
  <c r="B1147" i="6"/>
  <c r="G1146" i="6"/>
  <c r="I1146" i="6" s="1"/>
  <c r="E1146" i="6"/>
  <c r="B1146" i="6"/>
  <c r="E1145" i="6"/>
  <c r="G1145" i="6" s="1"/>
  <c r="I1145" i="6" s="1"/>
  <c r="K1145" i="6" s="1"/>
  <c r="B1145" i="6"/>
  <c r="G1144" i="6"/>
  <c r="I1144" i="6" s="1"/>
  <c r="E1144" i="6"/>
  <c r="B1144" i="6"/>
  <c r="G1143" i="6"/>
  <c r="I1143" i="6" s="1"/>
  <c r="E1143" i="6"/>
  <c r="B1143" i="6"/>
  <c r="E1142" i="6"/>
  <c r="G1142" i="6" s="1"/>
  <c r="I1142" i="6" s="1"/>
  <c r="B1142" i="6"/>
  <c r="E1141" i="6"/>
  <c r="G1141" i="6" s="1"/>
  <c r="I1141" i="6" s="1"/>
  <c r="K1141" i="6" s="1"/>
  <c r="B1141" i="6"/>
  <c r="E1140" i="6"/>
  <c r="G1140" i="6" s="1"/>
  <c r="I1140" i="6" s="1"/>
  <c r="K1140" i="6" s="1"/>
  <c r="B1140" i="6"/>
  <c r="E1139" i="6"/>
  <c r="G1139" i="6" s="1"/>
  <c r="I1139" i="6" s="1"/>
  <c r="B1139" i="6"/>
  <c r="E1138" i="6"/>
  <c r="G1138" i="6" s="1"/>
  <c r="I1138" i="6" s="1"/>
  <c r="J1138" i="6" s="1"/>
  <c r="B1138" i="6"/>
  <c r="K1137" i="6"/>
  <c r="J1137" i="6"/>
  <c r="G1137" i="6"/>
  <c r="I1137" i="6" s="1"/>
  <c r="E1137" i="6"/>
  <c r="B1137" i="6"/>
  <c r="J1136" i="6"/>
  <c r="E1136" i="6"/>
  <c r="G1136" i="6" s="1"/>
  <c r="I1136" i="6" s="1"/>
  <c r="K1136" i="6" s="1"/>
  <c r="B1136" i="6"/>
  <c r="E1135" i="6"/>
  <c r="G1135" i="6" s="1"/>
  <c r="I1135" i="6" s="1"/>
  <c r="B1135" i="6"/>
  <c r="G1134" i="6"/>
  <c r="I1134" i="6" s="1"/>
  <c r="E1134" i="6"/>
  <c r="B1134" i="6"/>
  <c r="E1133" i="6"/>
  <c r="G1133" i="6" s="1"/>
  <c r="I1133" i="6" s="1"/>
  <c r="J1133" i="6" s="1"/>
  <c r="B1133" i="6"/>
  <c r="E1132" i="6"/>
  <c r="G1132" i="6" s="1"/>
  <c r="I1132" i="6" s="1"/>
  <c r="K1132" i="6" s="1"/>
  <c r="B1132" i="6"/>
  <c r="E1131" i="6"/>
  <c r="G1131" i="6" s="1"/>
  <c r="I1131" i="6" s="1"/>
  <c r="J1131" i="6" s="1"/>
  <c r="B1131" i="6"/>
  <c r="E1130" i="6"/>
  <c r="G1130" i="6" s="1"/>
  <c r="I1130" i="6" s="1"/>
  <c r="B1130" i="6"/>
  <c r="K1129" i="6"/>
  <c r="I1129" i="6"/>
  <c r="J1129" i="6" s="1"/>
  <c r="E1129" i="6"/>
  <c r="G1129" i="6" s="1"/>
  <c r="B1129" i="6"/>
  <c r="I1128" i="6"/>
  <c r="K1128" i="6" s="1"/>
  <c r="E1128" i="6"/>
  <c r="G1128" i="6" s="1"/>
  <c r="B1128" i="6"/>
  <c r="E1127" i="6"/>
  <c r="G1127" i="6" s="1"/>
  <c r="I1127" i="6" s="1"/>
  <c r="K1127" i="6" s="1"/>
  <c r="B1127" i="6"/>
  <c r="E1126" i="6"/>
  <c r="G1126" i="6" s="1"/>
  <c r="I1126" i="6" s="1"/>
  <c r="B1126" i="6"/>
  <c r="E1125" i="6"/>
  <c r="G1125" i="6" s="1"/>
  <c r="I1125" i="6" s="1"/>
  <c r="K1125" i="6" s="1"/>
  <c r="B1125" i="6"/>
  <c r="K1124" i="6"/>
  <c r="E1124" i="6"/>
  <c r="G1124" i="6" s="1"/>
  <c r="I1124" i="6" s="1"/>
  <c r="J1124" i="6" s="1"/>
  <c r="B1124" i="6"/>
  <c r="I1123" i="6"/>
  <c r="G1123" i="6"/>
  <c r="E1123" i="6"/>
  <c r="B1123" i="6"/>
  <c r="K1122" i="6"/>
  <c r="E1122" i="6"/>
  <c r="G1122" i="6" s="1"/>
  <c r="I1122" i="6" s="1"/>
  <c r="J1122" i="6" s="1"/>
  <c r="B1122" i="6"/>
  <c r="I1121" i="6"/>
  <c r="J1121" i="6" s="1"/>
  <c r="E1121" i="6"/>
  <c r="G1121" i="6" s="1"/>
  <c r="B1121" i="6"/>
  <c r="K1120" i="6"/>
  <c r="J1120" i="6"/>
  <c r="G1120" i="6"/>
  <c r="I1120" i="6" s="1"/>
  <c r="E1120" i="6"/>
  <c r="B1120" i="6"/>
  <c r="E1119" i="6"/>
  <c r="G1119" i="6" s="1"/>
  <c r="I1119" i="6" s="1"/>
  <c r="B1119" i="6"/>
  <c r="G1118" i="6"/>
  <c r="I1118" i="6" s="1"/>
  <c r="E1118" i="6"/>
  <c r="B1118" i="6"/>
  <c r="G1117" i="6"/>
  <c r="I1117" i="6" s="1"/>
  <c r="K1117" i="6" s="1"/>
  <c r="E1117" i="6"/>
  <c r="B1117" i="6"/>
  <c r="E1116" i="6"/>
  <c r="G1116" i="6" s="1"/>
  <c r="I1116" i="6" s="1"/>
  <c r="B1116" i="6"/>
  <c r="E1115" i="6"/>
  <c r="G1115" i="6" s="1"/>
  <c r="I1115" i="6" s="1"/>
  <c r="B1115" i="6"/>
  <c r="G1114" i="6"/>
  <c r="I1114" i="6" s="1"/>
  <c r="E1114" i="6"/>
  <c r="B1114" i="6"/>
  <c r="G1113" i="6"/>
  <c r="I1113" i="6" s="1"/>
  <c r="E1113" i="6"/>
  <c r="B1113" i="6"/>
  <c r="G1112" i="6"/>
  <c r="I1112" i="6" s="1"/>
  <c r="E1112" i="6"/>
  <c r="B1112" i="6"/>
  <c r="K1111" i="6"/>
  <c r="I1111" i="6"/>
  <c r="J1111" i="6" s="1"/>
  <c r="E1111" i="6"/>
  <c r="G1111" i="6" s="1"/>
  <c r="B1111" i="6"/>
  <c r="E1110" i="6"/>
  <c r="G1110" i="6" s="1"/>
  <c r="I1110" i="6" s="1"/>
  <c r="B1110" i="6"/>
  <c r="E1109" i="6"/>
  <c r="G1109" i="6" s="1"/>
  <c r="I1109" i="6" s="1"/>
  <c r="B1109" i="6"/>
  <c r="E1108" i="6"/>
  <c r="G1108" i="6" s="1"/>
  <c r="I1108" i="6" s="1"/>
  <c r="B1108" i="6"/>
  <c r="K1107" i="6"/>
  <c r="E1107" i="6"/>
  <c r="G1107" i="6" s="1"/>
  <c r="I1107" i="6" s="1"/>
  <c r="J1107" i="6" s="1"/>
  <c r="B1107" i="6"/>
  <c r="J1106" i="6"/>
  <c r="E1106" i="6"/>
  <c r="G1106" i="6" s="1"/>
  <c r="I1106" i="6" s="1"/>
  <c r="K1106" i="6" s="1"/>
  <c r="B1106" i="6"/>
  <c r="E1105" i="6"/>
  <c r="G1105" i="6" s="1"/>
  <c r="I1105" i="6" s="1"/>
  <c r="B1105" i="6"/>
  <c r="E1104" i="6"/>
  <c r="G1104" i="6" s="1"/>
  <c r="I1104" i="6" s="1"/>
  <c r="B1104" i="6"/>
  <c r="G1103" i="6"/>
  <c r="I1103" i="6" s="1"/>
  <c r="E1103" i="6"/>
  <c r="B1103" i="6"/>
  <c r="E1102" i="6"/>
  <c r="G1102" i="6" s="1"/>
  <c r="I1102" i="6" s="1"/>
  <c r="K1102" i="6" s="1"/>
  <c r="B1102" i="6"/>
  <c r="I1101" i="6"/>
  <c r="E1101" i="6"/>
  <c r="G1101" i="6" s="1"/>
  <c r="B1101" i="6"/>
  <c r="E1100" i="6"/>
  <c r="G1100" i="6" s="1"/>
  <c r="I1100" i="6" s="1"/>
  <c r="B1100" i="6"/>
  <c r="I1099" i="6"/>
  <c r="K1099" i="6" s="1"/>
  <c r="E1099" i="6"/>
  <c r="G1099" i="6" s="1"/>
  <c r="B1099" i="6"/>
  <c r="E1098" i="6"/>
  <c r="G1098" i="6" s="1"/>
  <c r="I1098" i="6" s="1"/>
  <c r="B1098" i="6"/>
  <c r="G1097" i="6"/>
  <c r="I1097" i="6" s="1"/>
  <c r="E1097" i="6"/>
  <c r="B1097" i="6"/>
  <c r="G1096" i="6"/>
  <c r="I1096" i="6" s="1"/>
  <c r="K1096" i="6" s="1"/>
  <c r="E1096" i="6"/>
  <c r="B1096" i="6"/>
  <c r="E1095" i="6"/>
  <c r="G1095" i="6" s="1"/>
  <c r="I1095" i="6" s="1"/>
  <c r="B1095" i="6"/>
  <c r="E1094" i="6"/>
  <c r="G1094" i="6" s="1"/>
  <c r="I1094" i="6" s="1"/>
  <c r="B1094" i="6"/>
  <c r="G1093" i="6"/>
  <c r="I1093" i="6" s="1"/>
  <c r="E1093" i="6"/>
  <c r="B1093" i="6"/>
  <c r="G1092" i="6"/>
  <c r="I1092" i="6" s="1"/>
  <c r="E1092" i="6"/>
  <c r="B1092" i="6"/>
  <c r="E1091" i="6"/>
  <c r="G1091" i="6" s="1"/>
  <c r="I1091" i="6" s="1"/>
  <c r="K1091" i="6" s="1"/>
  <c r="B1091" i="6"/>
  <c r="E1090" i="6"/>
  <c r="G1090" i="6" s="1"/>
  <c r="I1090" i="6" s="1"/>
  <c r="K1090" i="6" s="1"/>
  <c r="B1090" i="6"/>
  <c r="I1089" i="6"/>
  <c r="K1089" i="6" s="1"/>
  <c r="G1089" i="6"/>
  <c r="E1089" i="6"/>
  <c r="B1089" i="6"/>
  <c r="E1088" i="6"/>
  <c r="G1088" i="6" s="1"/>
  <c r="I1088" i="6" s="1"/>
  <c r="J1088" i="6" s="1"/>
  <c r="B1088" i="6"/>
  <c r="K1087" i="6"/>
  <c r="G1087" i="6"/>
  <c r="I1087" i="6" s="1"/>
  <c r="J1087" i="6" s="1"/>
  <c r="E1087" i="6"/>
  <c r="B1087" i="6"/>
  <c r="E1086" i="6"/>
  <c r="G1086" i="6" s="1"/>
  <c r="I1086" i="6" s="1"/>
  <c r="B1086" i="6"/>
  <c r="E1085" i="6"/>
  <c r="G1085" i="6" s="1"/>
  <c r="I1085" i="6" s="1"/>
  <c r="J1085" i="6" s="1"/>
  <c r="B1085" i="6"/>
  <c r="E1084" i="6"/>
  <c r="G1084" i="6" s="1"/>
  <c r="I1084" i="6" s="1"/>
  <c r="B1084" i="6"/>
  <c r="G1083" i="6"/>
  <c r="I1083" i="6" s="1"/>
  <c r="E1083" i="6"/>
  <c r="B1083" i="6"/>
  <c r="I1082" i="6"/>
  <c r="K1082" i="6" s="1"/>
  <c r="G1082" i="6"/>
  <c r="E1082" i="6"/>
  <c r="B1082" i="6"/>
  <c r="I1081" i="6"/>
  <c r="E1081" i="6"/>
  <c r="G1081" i="6" s="1"/>
  <c r="B1081" i="6"/>
  <c r="E1080" i="6"/>
  <c r="G1080" i="6" s="1"/>
  <c r="I1080" i="6" s="1"/>
  <c r="B1080" i="6"/>
  <c r="E1079" i="6"/>
  <c r="G1079" i="6" s="1"/>
  <c r="I1079" i="6" s="1"/>
  <c r="B1079" i="6"/>
  <c r="I1078" i="6"/>
  <c r="K1078" i="6" s="1"/>
  <c r="E1078" i="6"/>
  <c r="G1078" i="6" s="1"/>
  <c r="B1078" i="6"/>
  <c r="I1077" i="6"/>
  <c r="G1077" i="6"/>
  <c r="E1077" i="6"/>
  <c r="B1077" i="6"/>
  <c r="E1076" i="6"/>
  <c r="G1076" i="6" s="1"/>
  <c r="I1076" i="6" s="1"/>
  <c r="B1076" i="6"/>
  <c r="I1075" i="6"/>
  <c r="G1075" i="6"/>
  <c r="E1075" i="6"/>
  <c r="B1075" i="6"/>
  <c r="K1074" i="6"/>
  <c r="I1074" i="6"/>
  <c r="J1074" i="6" s="1"/>
  <c r="G1074" i="6"/>
  <c r="E1074" i="6"/>
  <c r="B1074" i="6"/>
  <c r="E1073" i="6"/>
  <c r="G1073" i="6" s="1"/>
  <c r="I1073" i="6" s="1"/>
  <c r="B1073" i="6"/>
  <c r="E1072" i="6"/>
  <c r="G1072" i="6" s="1"/>
  <c r="I1072" i="6" s="1"/>
  <c r="B1072" i="6"/>
  <c r="E1071" i="6"/>
  <c r="G1071" i="6" s="1"/>
  <c r="I1071" i="6" s="1"/>
  <c r="J1071" i="6" s="1"/>
  <c r="B1071" i="6"/>
  <c r="K1070" i="6"/>
  <c r="G1070" i="6"/>
  <c r="I1070" i="6" s="1"/>
  <c r="J1070" i="6" s="1"/>
  <c r="E1070" i="6"/>
  <c r="B1070" i="6"/>
  <c r="I1069" i="6"/>
  <c r="E1069" i="6"/>
  <c r="G1069" i="6" s="1"/>
  <c r="B1069" i="6"/>
  <c r="E1068" i="6"/>
  <c r="G1068" i="6" s="1"/>
  <c r="I1068" i="6" s="1"/>
  <c r="K1068" i="6" s="1"/>
  <c r="B1068" i="6"/>
  <c r="E1067" i="6"/>
  <c r="G1067" i="6" s="1"/>
  <c r="I1067" i="6" s="1"/>
  <c r="B1067" i="6"/>
  <c r="E1066" i="6"/>
  <c r="G1066" i="6" s="1"/>
  <c r="I1066" i="6" s="1"/>
  <c r="B1066" i="6"/>
  <c r="G1065" i="6"/>
  <c r="I1065" i="6" s="1"/>
  <c r="E1065" i="6"/>
  <c r="B1065" i="6"/>
  <c r="E1064" i="6"/>
  <c r="G1064" i="6" s="1"/>
  <c r="I1064" i="6" s="1"/>
  <c r="B1064" i="6"/>
  <c r="G1063" i="6"/>
  <c r="I1063" i="6" s="1"/>
  <c r="K1063" i="6" s="1"/>
  <c r="E1063" i="6"/>
  <c r="B1063" i="6"/>
  <c r="E1062" i="6"/>
  <c r="G1062" i="6" s="1"/>
  <c r="I1062" i="6" s="1"/>
  <c r="K1062" i="6" s="1"/>
  <c r="B1062" i="6"/>
  <c r="E1061" i="6"/>
  <c r="G1061" i="6" s="1"/>
  <c r="I1061" i="6" s="1"/>
  <c r="J1061" i="6" s="1"/>
  <c r="B1061" i="6"/>
  <c r="E1060" i="6"/>
  <c r="G1060" i="6" s="1"/>
  <c r="I1060" i="6" s="1"/>
  <c r="J1060" i="6" s="1"/>
  <c r="B1060" i="6"/>
  <c r="E1059" i="6"/>
  <c r="G1059" i="6" s="1"/>
  <c r="I1059" i="6" s="1"/>
  <c r="B1059" i="6"/>
  <c r="E1058" i="6"/>
  <c r="G1058" i="6" s="1"/>
  <c r="I1058" i="6" s="1"/>
  <c r="K1058" i="6" s="1"/>
  <c r="B1058" i="6"/>
  <c r="E1057" i="6"/>
  <c r="G1057" i="6" s="1"/>
  <c r="I1057" i="6" s="1"/>
  <c r="B1057" i="6"/>
  <c r="E1056" i="6"/>
  <c r="G1056" i="6" s="1"/>
  <c r="I1056" i="6" s="1"/>
  <c r="B1056" i="6"/>
  <c r="I1055" i="6"/>
  <c r="K1055" i="6" s="1"/>
  <c r="E1055" i="6"/>
  <c r="G1055" i="6" s="1"/>
  <c r="B1055" i="6"/>
  <c r="K1054" i="6"/>
  <c r="G1054" i="6"/>
  <c r="I1054" i="6" s="1"/>
  <c r="J1054" i="6" s="1"/>
  <c r="E1054" i="6"/>
  <c r="B1054" i="6"/>
  <c r="E1053" i="6"/>
  <c r="G1053" i="6" s="1"/>
  <c r="I1053" i="6" s="1"/>
  <c r="B1053" i="6"/>
  <c r="E1052" i="6"/>
  <c r="G1052" i="6" s="1"/>
  <c r="I1052" i="6" s="1"/>
  <c r="B1052" i="6"/>
  <c r="E1051" i="6"/>
  <c r="G1051" i="6" s="1"/>
  <c r="I1051" i="6" s="1"/>
  <c r="B1051" i="6"/>
  <c r="E1050" i="6"/>
  <c r="G1050" i="6" s="1"/>
  <c r="I1050" i="6" s="1"/>
  <c r="B1050" i="6"/>
  <c r="E1049" i="6"/>
  <c r="G1049" i="6" s="1"/>
  <c r="I1049" i="6" s="1"/>
  <c r="B1049" i="6"/>
  <c r="I1048" i="6"/>
  <c r="J1048" i="6" s="1"/>
  <c r="E1048" i="6"/>
  <c r="G1048" i="6" s="1"/>
  <c r="B1048" i="6"/>
  <c r="K1047" i="6"/>
  <c r="E1047" i="6"/>
  <c r="G1047" i="6" s="1"/>
  <c r="I1047" i="6" s="1"/>
  <c r="J1047" i="6" s="1"/>
  <c r="B1047" i="6"/>
  <c r="G1046" i="6"/>
  <c r="I1046" i="6" s="1"/>
  <c r="J1046" i="6" s="1"/>
  <c r="E1046" i="6"/>
  <c r="B1046" i="6"/>
  <c r="E1045" i="6"/>
  <c r="G1045" i="6" s="1"/>
  <c r="I1045" i="6" s="1"/>
  <c r="B1045" i="6"/>
  <c r="G1044" i="6"/>
  <c r="I1044" i="6" s="1"/>
  <c r="J1044" i="6" s="1"/>
  <c r="E1044" i="6"/>
  <c r="B1044" i="6"/>
  <c r="I1043" i="6"/>
  <c r="G1043" i="6"/>
  <c r="E1043" i="6"/>
  <c r="B1043" i="6"/>
  <c r="G1042" i="6"/>
  <c r="I1042" i="6" s="1"/>
  <c r="K1042" i="6" s="1"/>
  <c r="E1042" i="6"/>
  <c r="B1042" i="6"/>
  <c r="I1041" i="6"/>
  <c r="K1041" i="6" s="1"/>
  <c r="E1041" i="6"/>
  <c r="G1041" i="6" s="1"/>
  <c r="B1041" i="6"/>
  <c r="K1040" i="6"/>
  <c r="J1040" i="6"/>
  <c r="E1040" i="6"/>
  <c r="G1040" i="6" s="1"/>
  <c r="I1040" i="6" s="1"/>
  <c r="B1040" i="6"/>
  <c r="G1039" i="6"/>
  <c r="I1039" i="6" s="1"/>
  <c r="E1039" i="6"/>
  <c r="B1039" i="6"/>
  <c r="G1038" i="6"/>
  <c r="I1038" i="6" s="1"/>
  <c r="E1038" i="6"/>
  <c r="B1038" i="6"/>
  <c r="E1037" i="6"/>
  <c r="G1037" i="6" s="1"/>
  <c r="I1037" i="6" s="1"/>
  <c r="B1037" i="6"/>
  <c r="E1036" i="6"/>
  <c r="G1036" i="6" s="1"/>
  <c r="I1036" i="6" s="1"/>
  <c r="B1036" i="6"/>
  <c r="G1035" i="6"/>
  <c r="I1035" i="6" s="1"/>
  <c r="E1035" i="6"/>
  <c r="B1035" i="6"/>
  <c r="G1034" i="6"/>
  <c r="I1034" i="6" s="1"/>
  <c r="E1034" i="6"/>
  <c r="B1034" i="6"/>
  <c r="E1033" i="6"/>
  <c r="G1033" i="6" s="1"/>
  <c r="I1033" i="6" s="1"/>
  <c r="B1033" i="6"/>
  <c r="E1032" i="6"/>
  <c r="G1032" i="6" s="1"/>
  <c r="I1032" i="6" s="1"/>
  <c r="B1032" i="6"/>
  <c r="E1031" i="6"/>
  <c r="G1031" i="6" s="1"/>
  <c r="I1031" i="6" s="1"/>
  <c r="B1031" i="6"/>
  <c r="G1030" i="6"/>
  <c r="I1030" i="6" s="1"/>
  <c r="E1030" i="6"/>
  <c r="B1030" i="6"/>
  <c r="I1029" i="6"/>
  <c r="E1029" i="6"/>
  <c r="G1029" i="6" s="1"/>
  <c r="B1029" i="6"/>
  <c r="G1028" i="6"/>
  <c r="I1028" i="6" s="1"/>
  <c r="E1028" i="6"/>
  <c r="B1028" i="6"/>
  <c r="I1027" i="6"/>
  <c r="E1027" i="6"/>
  <c r="G1027" i="6" s="1"/>
  <c r="B1027" i="6"/>
  <c r="E1026" i="6"/>
  <c r="G1026" i="6" s="1"/>
  <c r="I1026" i="6" s="1"/>
  <c r="B1026" i="6"/>
  <c r="E1025" i="6"/>
  <c r="G1025" i="6" s="1"/>
  <c r="I1025" i="6" s="1"/>
  <c r="B1025" i="6"/>
  <c r="E1024" i="6"/>
  <c r="G1024" i="6" s="1"/>
  <c r="I1024" i="6" s="1"/>
  <c r="B1024" i="6"/>
  <c r="K1023" i="6"/>
  <c r="I1023" i="6"/>
  <c r="J1023" i="6" s="1"/>
  <c r="G1023" i="6"/>
  <c r="E1023" i="6"/>
  <c r="B1023" i="6"/>
  <c r="E1022" i="6"/>
  <c r="G1022" i="6" s="1"/>
  <c r="I1022" i="6" s="1"/>
  <c r="K1022" i="6" s="1"/>
  <c r="B1022" i="6"/>
  <c r="I1021" i="6"/>
  <c r="K1021" i="6" s="1"/>
  <c r="E1021" i="6"/>
  <c r="G1021" i="6" s="1"/>
  <c r="B1021" i="6"/>
  <c r="E1020" i="6"/>
  <c r="G1020" i="6" s="1"/>
  <c r="I1020" i="6" s="1"/>
  <c r="B1020" i="6"/>
  <c r="E1019" i="6"/>
  <c r="G1019" i="6" s="1"/>
  <c r="I1019" i="6" s="1"/>
  <c r="J1019" i="6" s="1"/>
  <c r="B1019" i="6"/>
  <c r="E1018" i="6"/>
  <c r="G1018" i="6" s="1"/>
  <c r="I1018" i="6" s="1"/>
  <c r="J1018" i="6" s="1"/>
  <c r="B1018" i="6"/>
  <c r="E1017" i="6"/>
  <c r="G1017" i="6" s="1"/>
  <c r="I1017" i="6" s="1"/>
  <c r="B1017" i="6"/>
  <c r="E1016" i="6"/>
  <c r="G1016" i="6" s="1"/>
  <c r="I1016" i="6" s="1"/>
  <c r="B1016" i="6"/>
  <c r="E1015" i="6"/>
  <c r="G1015" i="6" s="1"/>
  <c r="I1015" i="6" s="1"/>
  <c r="B1015" i="6"/>
  <c r="E1014" i="6"/>
  <c r="G1014" i="6" s="1"/>
  <c r="I1014" i="6" s="1"/>
  <c r="J1014" i="6" s="1"/>
  <c r="B1014" i="6"/>
  <c r="E1013" i="6"/>
  <c r="G1013" i="6" s="1"/>
  <c r="I1013" i="6" s="1"/>
  <c r="B1013" i="6"/>
  <c r="G1012" i="6"/>
  <c r="I1012" i="6" s="1"/>
  <c r="E1012" i="6"/>
  <c r="B1012" i="6"/>
  <c r="I1011" i="6"/>
  <c r="J1011" i="6" s="1"/>
  <c r="E1011" i="6"/>
  <c r="G1011" i="6" s="1"/>
  <c r="B1011" i="6"/>
  <c r="E1010" i="6"/>
  <c r="G1010" i="6" s="1"/>
  <c r="I1010" i="6" s="1"/>
  <c r="K1010" i="6" s="1"/>
  <c r="B1010" i="6"/>
  <c r="E1009" i="6"/>
  <c r="G1009" i="6" s="1"/>
  <c r="I1009" i="6" s="1"/>
  <c r="B1009" i="6"/>
  <c r="E1008" i="6"/>
  <c r="G1008" i="6" s="1"/>
  <c r="I1008" i="6" s="1"/>
  <c r="B1008" i="6"/>
  <c r="G1007" i="6"/>
  <c r="I1007" i="6" s="1"/>
  <c r="K1007" i="6" s="1"/>
  <c r="E1007" i="6"/>
  <c r="B1007" i="6"/>
  <c r="K1006" i="6"/>
  <c r="E1006" i="6"/>
  <c r="G1006" i="6" s="1"/>
  <c r="I1006" i="6" s="1"/>
  <c r="J1006" i="6" s="1"/>
  <c r="B1006" i="6"/>
  <c r="K1005" i="6"/>
  <c r="E1005" i="6"/>
  <c r="G1005" i="6" s="1"/>
  <c r="I1005" i="6" s="1"/>
  <c r="J1005" i="6" s="1"/>
  <c r="B1005" i="6"/>
  <c r="G1004" i="6"/>
  <c r="I1004" i="6" s="1"/>
  <c r="E1004" i="6"/>
  <c r="B1004" i="6"/>
  <c r="E1003" i="6"/>
  <c r="G1003" i="6" s="1"/>
  <c r="I1003" i="6" s="1"/>
  <c r="K1003" i="6" s="1"/>
  <c r="B1003" i="6"/>
  <c r="G1002" i="6"/>
  <c r="I1002" i="6" s="1"/>
  <c r="E1002" i="6"/>
  <c r="B1002" i="6"/>
  <c r="I1001" i="6"/>
  <c r="E1001" i="6"/>
  <c r="G1001" i="6" s="1"/>
  <c r="B1001" i="6"/>
  <c r="G1000" i="6"/>
  <c r="I1000" i="6" s="1"/>
  <c r="K1000" i="6" s="1"/>
  <c r="E1000" i="6"/>
  <c r="B1000" i="6"/>
  <c r="E999" i="6"/>
  <c r="G999" i="6" s="1"/>
  <c r="I999" i="6" s="1"/>
  <c r="B999" i="6"/>
  <c r="E998" i="6"/>
  <c r="G998" i="6" s="1"/>
  <c r="I998" i="6" s="1"/>
  <c r="B998" i="6"/>
  <c r="E997" i="6"/>
  <c r="G997" i="6" s="1"/>
  <c r="I997" i="6" s="1"/>
  <c r="J997" i="6" s="1"/>
  <c r="B997" i="6"/>
  <c r="E996" i="6"/>
  <c r="G996" i="6" s="1"/>
  <c r="I996" i="6" s="1"/>
  <c r="B996" i="6"/>
  <c r="E995" i="6"/>
  <c r="G995" i="6" s="1"/>
  <c r="I995" i="6" s="1"/>
  <c r="B995" i="6"/>
  <c r="E994" i="6"/>
  <c r="G994" i="6" s="1"/>
  <c r="I994" i="6" s="1"/>
  <c r="B994" i="6"/>
  <c r="E993" i="6"/>
  <c r="G993" i="6" s="1"/>
  <c r="I993" i="6" s="1"/>
  <c r="B993" i="6"/>
  <c r="E992" i="6"/>
  <c r="G992" i="6" s="1"/>
  <c r="I992" i="6" s="1"/>
  <c r="B992" i="6"/>
  <c r="E991" i="6"/>
  <c r="G991" i="6" s="1"/>
  <c r="I991" i="6" s="1"/>
  <c r="K991" i="6" s="1"/>
  <c r="B991" i="6"/>
  <c r="G990" i="6"/>
  <c r="I990" i="6" s="1"/>
  <c r="E990" i="6"/>
  <c r="B990" i="6"/>
  <c r="I989" i="6"/>
  <c r="K989" i="6" s="1"/>
  <c r="G989" i="6"/>
  <c r="E989" i="6"/>
  <c r="B989" i="6"/>
  <c r="E988" i="6"/>
  <c r="G988" i="6" s="1"/>
  <c r="I988" i="6" s="1"/>
  <c r="J988" i="6" s="1"/>
  <c r="B988" i="6"/>
  <c r="E987" i="6"/>
  <c r="G987" i="6" s="1"/>
  <c r="I987" i="6" s="1"/>
  <c r="B987" i="6"/>
  <c r="E986" i="6"/>
  <c r="G986" i="6" s="1"/>
  <c r="I986" i="6" s="1"/>
  <c r="B986" i="6"/>
  <c r="E985" i="6"/>
  <c r="G985" i="6" s="1"/>
  <c r="I985" i="6" s="1"/>
  <c r="K985" i="6" s="1"/>
  <c r="B985" i="6"/>
  <c r="E984" i="6"/>
  <c r="G984" i="6" s="1"/>
  <c r="I984" i="6" s="1"/>
  <c r="B984" i="6"/>
  <c r="E983" i="6"/>
  <c r="G983" i="6" s="1"/>
  <c r="I983" i="6" s="1"/>
  <c r="B983" i="6"/>
  <c r="G982" i="6"/>
  <c r="I982" i="6" s="1"/>
  <c r="E982" i="6"/>
  <c r="B982" i="6"/>
  <c r="E981" i="6"/>
  <c r="G981" i="6" s="1"/>
  <c r="I981" i="6" s="1"/>
  <c r="K981" i="6" s="1"/>
  <c r="B981" i="6"/>
  <c r="K980" i="6"/>
  <c r="E980" i="6"/>
  <c r="G980" i="6" s="1"/>
  <c r="I980" i="6" s="1"/>
  <c r="J980" i="6" s="1"/>
  <c r="B980" i="6"/>
  <c r="I979" i="6"/>
  <c r="J979" i="6" s="1"/>
  <c r="E979" i="6"/>
  <c r="G979" i="6" s="1"/>
  <c r="B979" i="6"/>
  <c r="E978" i="6"/>
  <c r="G978" i="6" s="1"/>
  <c r="I978" i="6" s="1"/>
  <c r="B978" i="6"/>
  <c r="G977" i="6"/>
  <c r="I977" i="6" s="1"/>
  <c r="E977" i="6"/>
  <c r="B977" i="6"/>
  <c r="E976" i="6"/>
  <c r="G976" i="6" s="1"/>
  <c r="I976" i="6" s="1"/>
  <c r="K976" i="6" s="1"/>
  <c r="B976" i="6"/>
  <c r="I975" i="6"/>
  <c r="G975" i="6"/>
  <c r="E975" i="6"/>
  <c r="B975" i="6"/>
  <c r="K974" i="6"/>
  <c r="G974" i="6"/>
  <c r="I974" i="6" s="1"/>
  <c r="J974" i="6" s="1"/>
  <c r="E974" i="6"/>
  <c r="B974" i="6"/>
  <c r="G973" i="6"/>
  <c r="I973" i="6" s="1"/>
  <c r="E973" i="6"/>
  <c r="B973" i="6"/>
  <c r="I972" i="6"/>
  <c r="E972" i="6"/>
  <c r="G972" i="6" s="1"/>
  <c r="B972" i="6"/>
  <c r="I971" i="6"/>
  <c r="E971" i="6"/>
  <c r="G971" i="6" s="1"/>
  <c r="B971" i="6"/>
  <c r="E970" i="6"/>
  <c r="G970" i="6" s="1"/>
  <c r="I970" i="6" s="1"/>
  <c r="J970" i="6" s="1"/>
  <c r="B970" i="6"/>
  <c r="E969" i="6"/>
  <c r="G969" i="6" s="1"/>
  <c r="I969" i="6" s="1"/>
  <c r="B969" i="6"/>
  <c r="E968" i="6"/>
  <c r="G968" i="6" s="1"/>
  <c r="I968" i="6" s="1"/>
  <c r="B968" i="6"/>
  <c r="E967" i="6"/>
  <c r="G967" i="6" s="1"/>
  <c r="I967" i="6" s="1"/>
  <c r="B967" i="6"/>
  <c r="E966" i="6"/>
  <c r="G966" i="6" s="1"/>
  <c r="I966" i="6" s="1"/>
  <c r="B966" i="6"/>
  <c r="G965" i="6"/>
  <c r="I965" i="6" s="1"/>
  <c r="K965" i="6" s="1"/>
  <c r="E965" i="6"/>
  <c r="B965" i="6"/>
  <c r="I964" i="6"/>
  <c r="E964" i="6"/>
  <c r="G964" i="6" s="1"/>
  <c r="B964" i="6"/>
  <c r="E963" i="6"/>
  <c r="G963" i="6" s="1"/>
  <c r="I963" i="6" s="1"/>
  <c r="B963" i="6"/>
  <c r="E962" i="6"/>
  <c r="G962" i="6" s="1"/>
  <c r="I962" i="6" s="1"/>
  <c r="B962" i="6"/>
  <c r="K961" i="6"/>
  <c r="E961" i="6"/>
  <c r="G961" i="6" s="1"/>
  <c r="I961" i="6" s="1"/>
  <c r="J961" i="6" s="1"/>
  <c r="B961" i="6"/>
  <c r="E960" i="6"/>
  <c r="G960" i="6" s="1"/>
  <c r="I960" i="6" s="1"/>
  <c r="B960" i="6"/>
  <c r="E959" i="6"/>
  <c r="G959" i="6" s="1"/>
  <c r="I959" i="6" s="1"/>
  <c r="B959" i="6"/>
  <c r="E958" i="6"/>
  <c r="G958" i="6" s="1"/>
  <c r="I958" i="6" s="1"/>
  <c r="B958" i="6"/>
  <c r="I957" i="6"/>
  <c r="K957" i="6" s="1"/>
  <c r="G957" i="6"/>
  <c r="E957" i="6"/>
  <c r="B957" i="6"/>
  <c r="E956" i="6"/>
  <c r="G956" i="6" s="1"/>
  <c r="I956" i="6" s="1"/>
  <c r="K956" i="6" s="1"/>
  <c r="B956" i="6"/>
  <c r="E955" i="6"/>
  <c r="G955" i="6" s="1"/>
  <c r="I955" i="6" s="1"/>
  <c r="B955" i="6"/>
  <c r="E954" i="6"/>
  <c r="G954" i="6" s="1"/>
  <c r="I954" i="6" s="1"/>
  <c r="B954" i="6"/>
  <c r="G953" i="6"/>
  <c r="I953" i="6" s="1"/>
  <c r="J953" i="6" s="1"/>
  <c r="E953" i="6"/>
  <c r="B953" i="6"/>
  <c r="G952" i="6"/>
  <c r="I952" i="6" s="1"/>
  <c r="E952" i="6"/>
  <c r="B952" i="6"/>
  <c r="I951" i="6"/>
  <c r="K951" i="6" s="1"/>
  <c r="E951" i="6"/>
  <c r="G951" i="6" s="1"/>
  <c r="B951" i="6"/>
  <c r="E950" i="6"/>
  <c r="G950" i="6" s="1"/>
  <c r="I950" i="6" s="1"/>
  <c r="B950" i="6"/>
  <c r="G949" i="6"/>
  <c r="I949" i="6" s="1"/>
  <c r="E949" i="6"/>
  <c r="B949" i="6"/>
  <c r="G948" i="6"/>
  <c r="I948" i="6" s="1"/>
  <c r="E948" i="6"/>
  <c r="B948" i="6"/>
  <c r="E947" i="6"/>
  <c r="G947" i="6" s="1"/>
  <c r="I947" i="6" s="1"/>
  <c r="B947" i="6"/>
  <c r="E946" i="6"/>
  <c r="G946" i="6" s="1"/>
  <c r="I946" i="6" s="1"/>
  <c r="J946" i="6" s="1"/>
  <c r="B946" i="6"/>
  <c r="E945" i="6"/>
  <c r="G945" i="6" s="1"/>
  <c r="I945" i="6" s="1"/>
  <c r="B945" i="6"/>
  <c r="E944" i="6"/>
  <c r="G944" i="6" s="1"/>
  <c r="I944" i="6" s="1"/>
  <c r="B944" i="6"/>
  <c r="G943" i="6"/>
  <c r="I943" i="6" s="1"/>
  <c r="E943" i="6"/>
  <c r="B943" i="6"/>
  <c r="E942" i="6"/>
  <c r="G942" i="6" s="1"/>
  <c r="I942" i="6" s="1"/>
  <c r="B942" i="6"/>
  <c r="I941" i="6"/>
  <c r="J941" i="6" s="1"/>
  <c r="E941" i="6"/>
  <c r="G941" i="6" s="1"/>
  <c r="B941" i="6"/>
  <c r="I940" i="6"/>
  <c r="G940" i="6"/>
  <c r="E940" i="6"/>
  <c r="B940" i="6"/>
  <c r="E939" i="6"/>
  <c r="G939" i="6" s="1"/>
  <c r="I939" i="6" s="1"/>
  <c r="B939" i="6"/>
  <c r="G938" i="6"/>
  <c r="I938" i="6" s="1"/>
  <c r="E938" i="6"/>
  <c r="B938" i="6"/>
  <c r="K937" i="6"/>
  <c r="J937" i="6"/>
  <c r="G937" i="6"/>
  <c r="I937" i="6" s="1"/>
  <c r="E937" i="6"/>
  <c r="B937" i="6"/>
  <c r="I936" i="6"/>
  <c r="E936" i="6"/>
  <c r="G936" i="6" s="1"/>
  <c r="B936" i="6"/>
  <c r="E935" i="6"/>
  <c r="G935" i="6" s="1"/>
  <c r="I935" i="6" s="1"/>
  <c r="B935" i="6"/>
  <c r="G934" i="6"/>
  <c r="I934" i="6" s="1"/>
  <c r="E934" i="6"/>
  <c r="B934" i="6"/>
  <c r="E933" i="6"/>
  <c r="G933" i="6" s="1"/>
  <c r="I933" i="6" s="1"/>
  <c r="B933" i="6"/>
  <c r="G932" i="6"/>
  <c r="I932" i="6" s="1"/>
  <c r="E932" i="6"/>
  <c r="B932" i="6"/>
  <c r="E931" i="6"/>
  <c r="G931" i="6" s="1"/>
  <c r="I931" i="6" s="1"/>
  <c r="B931" i="6"/>
  <c r="E930" i="6"/>
  <c r="G930" i="6" s="1"/>
  <c r="I930" i="6" s="1"/>
  <c r="B930" i="6"/>
  <c r="I929" i="6"/>
  <c r="K929" i="6" s="1"/>
  <c r="E929" i="6"/>
  <c r="G929" i="6" s="1"/>
  <c r="B929" i="6"/>
  <c r="E928" i="6"/>
  <c r="G928" i="6" s="1"/>
  <c r="I928" i="6" s="1"/>
  <c r="B928" i="6"/>
  <c r="G927" i="6"/>
  <c r="I927" i="6" s="1"/>
  <c r="E927" i="6"/>
  <c r="B927" i="6"/>
  <c r="I926" i="6"/>
  <c r="K926" i="6" s="1"/>
  <c r="G926" i="6"/>
  <c r="E926" i="6"/>
  <c r="B926" i="6"/>
  <c r="G925" i="6"/>
  <c r="I925" i="6" s="1"/>
  <c r="E925" i="6"/>
  <c r="B925" i="6"/>
  <c r="G924" i="6"/>
  <c r="I924" i="6" s="1"/>
  <c r="E924" i="6"/>
  <c r="B924" i="6"/>
  <c r="G923" i="6"/>
  <c r="I923" i="6" s="1"/>
  <c r="E923" i="6"/>
  <c r="B923" i="6"/>
  <c r="K922" i="6"/>
  <c r="J922" i="6"/>
  <c r="G922" i="6"/>
  <c r="I922" i="6" s="1"/>
  <c r="E922" i="6"/>
  <c r="B922" i="6"/>
  <c r="E921" i="6"/>
  <c r="G921" i="6" s="1"/>
  <c r="I921" i="6" s="1"/>
  <c r="K921" i="6" s="1"/>
  <c r="B921" i="6"/>
  <c r="E920" i="6"/>
  <c r="G920" i="6" s="1"/>
  <c r="I920" i="6" s="1"/>
  <c r="B920" i="6"/>
  <c r="E919" i="6"/>
  <c r="G919" i="6" s="1"/>
  <c r="I919" i="6" s="1"/>
  <c r="B919" i="6"/>
  <c r="E918" i="6"/>
  <c r="G918" i="6" s="1"/>
  <c r="I918" i="6" s="1"/>
  <c r="B918" i="6"/>
  <c r="I917" i="6"/>
  <c r="K917" i="6" s="1"/>
  <c r="G917" i="6"/>
  <c r="E917" i="6"/>
  <c r="B917" i="6"/>
  <c r="E916" i="6"/>
  <c r="G916" i="6" s="1"/>
  <c r="I916" i="6" s="1"/>
  <c r="K916" i="6" s="1"/>
  <c r="B916" i="6"/>
  <c r="G915" i="6"/>
  <c r="I915" i="6" s="1"/>
  <c r="E915" i="6"/>
  <c r="B915" i="6"/>
  <c r="E914" i="6"/>
  <c r="G914" i="6" s="1"/>
  <c r="I914" i="6" s="1"/>
  <c r="J914" i="6" s="1"/>
  <c r="B914" i="6"/>
  <c r="K913" i="6"/>
  <c r="J913" i="6"/>
  <c r="G913" i="6"/>
  <c r="I913" i="6" s="1"/>
  <c r="E913" i="6"/>
  <c r="B913" i="6"/>
  <c r="J912" i="6"/>
  <c r="G912" i="6"/>
  <c r="I912" i="6" s="1"/>
  <c r="K912" i="6" s="1"/>
  <c r="E912" i="6"/>
  <c r="B912" i="6"/>
  <c r="E911" i="6"/>
  <c r="G911" i="6" s="1"/>
  <c r="I911" i="6" s="1"/>
  <c r="B911" i="6"/>
  <c r="E910" i="6"/>
  <c r="G910" i="6" s="1"/>
  <c r="I910" i="6" s="1"/>
  <c r="B910" i="6"/>
  <c r="I909" i="6"/>
  <c r="J909" i="6" s="1"/>
  <c r="E909" i="6"/>
  <c r="G909" i="6" s="1"/>
  <c r="B909" i="6"/>
  <c r="E908" i="6"/>
  <c r="G908" i="6" s="1"/>
  <c r="I908" i="6" s="1"/>
  <c r="J908" i="6" s="1"/>
  <c r="B908" i="6"/>
  <c r="I907" i="6"/>
  <c r="K907" i="6" s="1"/>
  <c r="E907" i="6"/>
  <c r="G907" i="6" s="1"/>
  <c r="B907" i="6"/>
  <c r="E906" i="6"/>
  <c r="G906" i="6" s="1"/>
  <c r="I906" i="6" s="1"/>
  <c r="B906" i="6"/>
  <c r="E905" i="6"/>
  <c r="G905" i="6" s="1"/>
  <c r="I905" i="6" s="1"/>
  <c r="J905" i="6" s="1"/>
  <c r="B905" i="6"/>
  <c r="E904" i="6"/>
  <c r="G904" i="6" s="1"/>
  <c r="I904" i="6" s="1"/>
  <c r="B904" i="6"/>
  <c r="G903" i="6"/>
  <c r="I903" i="6" s="1"/>
  <c r="E903" i="6"/>
  <c r="B903" i="6"/>
  <c r="E902" i="6"/>
  <c r="G902" i="6" s="1"/>
  <c r="I902" i="6" s="1"/>
  <c r="B902" i="6"/>
  <c r="E901" i="6"/>
  <c r="G901" i="6" s="1"/>
  <c r="I901" i="6" s="1"/>
  <c r="K901" i="6" s="1"/>
  <c r="B901" i="6"/>
  <c r="E900" i="6"/>
  <c r="G900" i="6" s="1"/>
  <c r="I900" i="6" s="1"/>
  <c r="J900" i="6" s="1"/>
  <c r="B900" i="6"/>
  <c r="E899" i="6"/>
  <c r="G899" i="6" s="1"/>
  <c r="I899" i="6" s="1"/>
  <c r="K899" i="6" s="1"/>
  <c r="B899" i="6"/>
  <c r="I898" i="6"/>
  <c r="K898" i="6" s="1"/>
  <c r="E898" i="6"/>
  <c r="G898" i="6" s="1"/>
  <c r="B898" i="6"/>
  <c r="G897" i="6"/>
  <c r="I897" i="6" s="1"/>
  <c r="K897" i="6" s="1"/>
  <c r="E897" i="6"/>
  <c r="B897" i="6"/>
  <c r="E896" i="6"/>
  <c r="G896" i="6" s="1"/>
  <c r="I896" i="6" s="1"/>
  <c r="K896" i="6" s="1"/>
  <c r="B896" i="6"/>
  <c r="E895" i="6"/>
  <c r="G895" i="6" s="1"/>
  <c r="I895" i="6" s="1"/>
  <c r="B895" i="6"/>
  <c r="G894" i="6"/>
  <c r="I894" i="6" s="1"/>
  <c r="E894" i="6"/>
  <c r="B894" i="6"/>
  <c r="I893" i="6"/>
  <c r="J893" i="6" s="1"/>
  <c r="E893" i="6"/>
  <c r="G893" i="6" s="1"/>
  <c r="B893" i="6"/>
  <c r="E892" i="6"/>
  <c r="G892" i="6" s="1"/>
  <c r="I892" i="6" s="1"/>
  <c r="J892" i="6" s="1"/>
  <c r="B892" i="6"/>
  <c r="E891" i="6"/>
  <c r="G891" i="6" s="1"/>
  <c r="I891" i="6" s="1"/>
  <c r="B891" i="6"/>
  <c r="K890" i="6"/>
  <c r="J890" i="6"/>
  <c r="I890" i="6"/>
  <c r="G890" i="6"/>
  <c r="E890" i="6"/>
  <c r="B890" i="6"/>
  <c r="E889" i="6"/>
  <c r="G889" i="6" s="1"/>
  <c r="I889" i="6" s="1"/>
  <c r="J889" i="6" s="1"/>
  <c r="B889" i="6"/>
  <c r="I888" i="6"/>
  <c r="K888" i="6" s="1"/>
  <c r="G888" i="6"/>
  <c r="E888" i="6"/>
  <c r="B888" i="6"/>
  <c r="E887" i="6"/>
  <c r="G887" i="6" s="1"/>
  <c r="I887" i="6" s="1"/>
  <c r="B887" i="6"/>
  <c r="G886" i="6"/>
  <c r="I886" i="6" s="1"/>
  <c r="E886" i="6"/>
  <c r="B886" i="6"/>
  <c r="G885" i="6"/>
  <c r="I885" i="6" s="1"/>
  <c r="E885" i="6"/>
  <c r="B885" i="6"/>
  <c r="E884" i="6"/>
  <c r="G884" i="6" s="1"/>
  <c r="I884" i="6" s="1"/>
  <c r="B884" i="6"/>
  <c r="E883" i="6"/>
  <c r="G883" i="6" s="1"/>
  <c r="I883" i="6" s="1"/>
  <c r="B883" i="6"/>
  <c r="E882" i="6"/>
  <c r="G882" i="6" s="1"/>
  <c r="I882" i="6" s="1"/>
  <c r="B882" i="6"/>
  <c r="E881" i="6"/>
  <c r="G881" i="6" s="1"/>
  <c r="I881" i="6" s="1"/>
  <c r="B881" i="6"/>
  <c r="E880" i="6"/>
  <c r="G880" i="6" s="1"/>
  <c r="I880" i="6" s="1"/>
  <c r="B880" i="6"/>
  <c r="I879" i="6"/>
  <c r="K879" i="6" s="1"/>
  <c r="G879" i="6"/>
  <c r="E879" i="6"/>
  <c r="B879" i="6"/>
  <c r="G878" i="6"/>
  <c r="I878" i="6" s="1"/>
  <c r="E878" i="6"/>
  <c r="B878" i="6"/>
  <c r="E877" i="6"/>
  <c r="G877" i="6" s="1"/>
  <c r="I877" i="6" s="1"/>
  <c r="B877" i="6"/>
  <c r="E876" i="6"/>
  <c r="G876" i="6" s="1"/>
  <c r="I876" i="6" s="1"/>
  <c r="B876" i="6"/>
  <c r="G875" i="6"/>
  <c r="I875" i="6" s="1"/>
  <c r="E875" i="6"/>
  <c r="B875" i="6"/>
  <c r="G874" i="6"/>
  <c r="I874" i="6" s="1"/>
  <c r="K874" i="6" s="1"/>
  <c r="E874" i="6"/>
  <c r="B874" i="6"/>
  <c r="E873" i="6"/>
  <c r="G873" i="6" s="1"/>
  <c r="I873" i="6" s="1"/>
  <c r="B873" i="6"/>
  <c r="E872" i="6"/>
  <c r="G872" i="6" s="1"/>
  <c r="I872" i="6" s="1"/>
  <c r="B872" i="6"/>
  <c r="E871" i="6"/>
  <c r="G871" i="6" s="1"/>
  <c r="I871" i="6" s="1"/>
  <c r="B871" i="6"/>
  <c r="G870" i="6"/>
  <c r="I870" i="6" s="1"/>
  <c r="K870" i="6" s="1"/>
  <c r="E870" i="6"/>
  <c r="B870" i="6"/>
  <c r="E869" i="6"/>
  <c r="G869" i="6" s="1"/>
  <c r="I869" i="6" s="1"/>
  <c r="B869" i="6"/>
  <c r="G868" i="6"/>
  <c r="I868" i="6" s="1"/>
  <c r="E868" i="6"/>
  <c r="B868" i="6"/>
  <c r="E867" i="6"/>
  <c r="G867" i="6" s="1"/>
  <c r="I867" i="6" s="1"/>
  <c r="B867" i="6"/>
  <c r="G866" i="6"/>
  <c r="I866" i="6" s="1"/>
  <c r="E866" i="6"/>
  <c r="B866" i="6"/>
  <c r="E865" i="6"/>
  <c r="G865" i="6" s="1"/>
  <c r="I865" i="6" s="1"/>
  <c r="B865" i="6"/>
  <c r="E864" i="6"/>
  <c r="G864" i="6" s="1"/>
  <c r="I864" i="6" s="1"/>
  <c r="B864" i="6"/>
  <c r="G863" i="6"/>
  <c r="I863" i="6" s="1"/>
  <c r="E863" i="6"/>
  <c r="B863" i="6"/>
  <c r="E862" i="6"/>
  <c r="G862" i="6" s="1"/>
  <c r="I862" i="6" s="1"/>
  <c r="B862" i="6"/>
  <c r="E861" i="6"/>
  <c r="G861" i="6" s="1"/>
  <c r="I861" i="6" s="1"/>
  <c r="B861" i="6"/>
  <c r="E860" i="6"/>
  <c r="G860" i="6" s="1"/>
  <c r="I860" i="6" s="1"/>
  <c r="B860" i="6"/>
  <c r="G859" i="6"/>
  <c r="I859" i="6" s="1"/>
  <c r="J859" i="6" s="1"/>
  <c r="E859" i="6"/>
  <c r="B859" i="6"/>
  <c r="J858" i="6"/>
  <c r="G858" i="6"/>
  <c r="I858" i="6" s="1"/>
  <c r="K858" i="6" s="1"/>
  <c r="E858" i="6"/>
  <c r="B858" i="6"/>
  <c r="G857" i="6"/>
  <c r="I857" i="6" s="1"/>
  <c r="E857" i="6"/>
  <c r="B857" i="6"/>
  <c r="E856" i="6"/>
  <c r="G856" i="6" s="1"/>
  <c r="I856" i="6" s="1"/>
  <c r="B856" i="6"/>
  <c r="G855" i="6"/>
  <c r="I855" i="6" s="1"/>
  <c r="E855" i="6"/>
  <c r="B855" i="6"/>
  <c r="G854" i="6"/>
  <c r="I854" i="6" s="1"/>
  <c r="E854" i="6"/>
  <c r="B854" i="6"/>
  <c r="E853" i="6"/>
  <c r="G853" i="6" s="1"/>
  <c r="I853" i="6" s="1"/>
  <c r="K853" i="6" s="1"/>
  <c r="B853" i="6"/>
  <c r="I852" i="6"/>
  <c r="K852" i="6" s="1"/>
  <c r="E852" i="6"/>
  <c r="G852" i="6" s="1"/>
  <c r="B852" i="6"/>
  <c r="G851" i="6"/>
  <c r="I851" i="6" s="1"/>
  <c r="J851" i="6" s="1"/>
  <c r="E851" i="6"/>
  <c r="B851" i="6"/>
  <c r="E850" i="6"/>
  <c r="G850" i="6" s="1"/>
  <c r="I850" i="6" s="1"/>
  <c r="K850" i="6" s="1"/>
  <c r="B850" i="6"/>
  <c r="E849" i="6"/>
  <c r="G849" i="6" s="1"/>
  <c r="I849" i="6" s="1"/>
  <c r="J849" i="6" s="1"/>
  <c r="B849" i="6"/>
  <c r="I848" i="6"/>
  <c r="K848" i="6" s="1"/>
  <c r="G848" i="6"/>
  <c r="E848" i="6"/>
  <c r="B848" i="6"/>
  <c r="E847" i="6"/>
  <c r="G847" i="6" s="1"/>
  <c r="I847" i="6" s="1"/>
  <c r="B847" i="6"/>
  <c r="E846" i="6"/>
  <c r="G846" i="6" s="1"/>
  <c r="I846" i="6" s="1"/>
  <c r="B846" i="6"/>
  <c r="G845" i="6"/>
  <c r="I845" i="6" s="1"/>
  <c r="E845" i="6"/>
  <c r="B845" i="6"/>
  <c r="E844" i="6"/>
  <c r="G844" i="6" s="1"/>
  <c r="I844" i="6" s="1"/>
  <c r="B844" i="6"/>
  <c r="E843" i="6"/>
  <c r="G843" i="6" s="1"/>
  <c r="I843" i="6" s="1"/>
  <c r="K843" i="6" s="1"/>
  <c r="B843" i="6"/>
  <c r="E842" i="6"/>
  <c r="G842" i="6" s="1"/>
  <c r="I842" i="6" s="1"/>
  <c r="K842" i="6" s="1"/>
  <c r="B842" i="6"/>
  <c r="G841" i="6"/>
  <c r="I841" i="6" s="1"/>
  <c r="K841" i="6" s="1"/>
  <c r="E841" i="6"/>
  <c r="B841" i="6"/>
  <c r="I840" i="6"/>
  <c r="K840" i="6" s="1"/>
  <c r="E840" i="6"/>
  <c r="G840" i="6" s="1"/>
  <c r="B840" i="6"/>
  <c r="I839" i="6"/>
  <c r="K839" i="6" s="1"/>
  <c r="G839" i="6"/>
  <c r="E839" i="6"/>
  <c r="B839" i="6"/>
  <c r="G838" i="6"/>
  <c r="I838" i="6" s="1"/>
  <c r="K838" i="6" s="1"/>
  <c r="E838" i="6"/>
  <c r="B838" i="6"/>
  <c r="E837" i="6"/>
  <c r="G837" i="6" s="1"/>
  <c r="I837" i="6" s="1"/>
  <c r="B837" i="6"/>
  <c r="E836" i="6"/>
  <c r="G836" i="6" s="1"/>
  <c r="I836" i="6" s="1"/>
  <c r="B836" i="6"/>
  <c r="K835" i="6"/>
  <c r="G835" i="6"/>
  <c r="I835" i="6" s="1"/>
  <c r="J835" i="6" s="1"/>
  <c r="E835" i="6"/>
  <c r="B835" i="6"/>
  <c r="E834" i="6"/>
  <c r="G834" i="6" s="1"/>
  <c r="I834" i="6" s="1"/>
  <c r="B834" i="6"/>
  <c r="E833" i="6"/>
  <c r="G833" i="6" s="1"/>
  <c r="I833" i="6" s="1"/>
  <c r="B833" i="6"/>
  <c r="E832" i="6"/>
  <c r="G832" i="6" s="1"/>
  <c r="I832" i="6" s="1"/>
  <c r="B832" i="6"/>
  <c r="E831" i="6"/>
  <c r="G831" i="6" s="1"/>
  <c r="I831" i="6" s="1"/>
  <c r="B831" i="6"/>
  <c r="E830" i="6"/>
  <c r="G830" i="6" s="1"/>
  <c r="I830" i="6" s="1"/>
  <c r="K830" i="6" s="1"/>
  <c r="B830" i="6"/>
  <c r="G829" i="6"/>
  <c r="I829" i="6" s="1"/>
  <c r="E829" i="6"/>
  <c r="B829" i="6"/>
  <c r="K828" i="6"/>
  <c r="J828" i="6"/>
  <c r="I828" i="6"/>
  <c r="G828" i="6"/>
  <c r="E828" i="6"/>
  <c r="B828" i="6"/>
  <c r="E827" i="6"/>
  <c r="G827" i="6" s="1"/>
  <c r="I827" i="6" s="1"/>
  <c r="B827" i="6"/>
  <c r="E826" i="6"/>
  <c r="G826" i="6" s="1"/>
  <c r="I826" i="6" s="1"/>
  <c r="B826" i="6"/>
  <c r="E825" i="6"/>
  <c r="G825" i="6" s="1"/>
  <c r="I825" i="6" s="1"/>
  <c r="B825" i="6"/>
  <c r="E824" i="6"/>
  <c r="G824" i="6" s="1"/>
  <c r="I824" i="6" s="1"/>
  <c r="B824" i="6"/>
  <c r="G823" i="6"/>
  <c r="I823" i="6" s="1"/>
  <c r="E823" i="6"/>
  <c r="B823" i="6"/>
  <c r="E822" i="6"/>
  <c r="G822" i="6" s="1"/>
  <c r="I822" i="6" s="1"/>
  <c r="B822" i="6"/>
  <c r="G821" i="6"/>
  <c r="I821" i="6" s="1"/>
  <c r="E821" i="6"/>
  <c r="B821" i="6"/>
  <c r="E820" i="6"/>
  <c r="G820" i="6" s="1"/>
  <c r="I820" i="6" s="1"/>
  <c r="B820" i="6"/>
  <c r="G819" i="6"/>
  <c r="I819" i="6" s="1"/>
  <c r="E819" i="6"/>
  <c r="B819" i="6"/>
  <c r="I818" i="6"/>
  <c r="G818" i="6"/>
  <c r="E818" i="6"/>
  <c r="B818" i="6"/>
  <c r="G817" i="6"/>
  <c r="I817" i="6" s="1"/>
  <c r="E817" i="6"/>
  <c r="B817" i="6"/>
  <c r="E816" i="6"/>
  <c r="G816" i="6" s="1"/>
  <c r="I816" i="6" s="1"/>
  <c r="B816" i="6"/>
  <c r="E815" i="6"/>
  <c r="G815" i="6" s="1"/>
  <c r="I815" i="6" s="1"/>
  <c r="K815" i="6" s="1"/>
  <c r="B815" i="6"/>
  <c r="I814" i="6"/>
  <c r="E814" i="6"/>
  <c r="G814" i="6" s="1"/>
  <c r="B814" i="6"/>
  <c r="E813" i="6"/>
  <c r="G813" i="6" s="1"/>
  <c r="I813" i="6" s="1"/>
  <c r="B813" i="6"/>
  <c r="E812" i="6"/>
  <c r="G812" i="6" s="1"/>
  <c r="I812" i="6" s="1"/>
  <c r="B812" i="6"/>
  <c r="G811" i="6"/>
  <c r="I811" i="6" s="1"/>
  <c r="J811" i="6" s="1"/>
  <c r="E811" i="6"/>
  <c r="B811" i="6"/>
  <c r="G810" i="6"/>
  <c r="I810" i="6" s="1"/>
  <c r="E810" i="6"/>
  <c r="B810" i="6"/>
  <c r="G809" i="6"/>
  <c r="I809" i="6" s="1"/>
  <c r="E809" i="6"/>
  <c r="B809" i="6"/>
  <c r="G808" i="6"/>
  <c r="I808" i="6" s="1"/>
  <c r="E808" i="6"/>
  <c r="B808" i="6"/>
  <c r="G807" i="6"/>
  <c r="I807" i="6" s="1"/>
  <c r="K807" i="6" s="1"/>
  <c r="E807" i="6"/>
  <c r="B807" i="6"/>
  <c r="E806" i="6"/>
  <c r="G806" i="6" s="1"/>
  <c r="I806" i="6" s="1"/>
  <c r="B806" i="6"/>
  <c r="E805" i="6"/>
  <c r="G805" i="6" s="1"/>
  <c r="I805" i="6" s="1"/>
  <c r="B805" i="6"/>
  <c r="G804" i="6"/>
  <c r="I804" i="6" s="1"/>
  <c r="K804" i="6" s="1"/>
  <c r="E804" i="6"/>
  <c r="B804" i="6"/>
  <c r="K803" i="6"/>
  <c r="J803" i="6"/>
  <c r="E803" i="6"/>
  <c r="G803" i="6" s="1"/>
  <c r="I803" i="6" s="1"/>
  <c r="B803" i="6"/>
  <c r="E802" i="6"/>
  <c r="G802" i="6" s="1"/>
  <c r="I802" i="6" s="1"/>
  <c r="K802" i="6" s="1"/>
  <c r="B802" i="6"/>
  <c r="E801" i="6"/>
  <c r="G801" i="6" s="1"/>
  <c r="I801" i="6" s="1"/>
  <c r="B801" i="6"/>
  <c r="E800" i="6"/>
  <c r="G800" i="6" s="1"/>
  <c r="I800" i="6" s="1"/>
  <c r="B800" i="6"/>
  <c r="E799" i="6"/>
  <c r="G799" i="6" s="1"/>
  <c r="I799" i="6" s="1"/>
  <c r="B799" i="6"/>
  <c r="E798" i="6"/>
  <c r="G798" i="6" s="1"/>
  <c r="I798" i="6" s="1"/>
  <c r="J798" i="6" s="1"/>
  <c r="B798" i="6"/>
  <c r="E797" i="6"/>
  <c r="G797" i="6" s="1"/>
  <c r="I797" i="6" s="1"/>
  <c r="J797" i="6" s="1"/>
  <c r="B797" i="6"/>
  <c r="I796" i="6"/>
  <c r="J796" i="6" s="1"/>
  <c r="G796" i="6"/>
  <c r="E796" i="6"/>
  <c r="B796" i="6"/>
  <c r="E795" i="6"/>
  <c r="G795" i="6" s="1"/>
  <c r="I795" i="6" s="1"/>
  <c r="J795" i="6" s="1"/>
  <c r="B795" i="6"/>
  <c r="E794" i="6"/>
  <c r="G794" i="6" s="1"/>
  <c r="I794" i="6" s="1"/>
  <c r="B794" i="6"/>
  <c r="E793" i="6"/>
  <c r="G793" i="6" s="1"/>
  <c r="I793" i="6" s="1"/>
  <c r="K793" i="6" s="1"/>
  <c r="B793" i="6"/>
  <c r="E792" i="6"/>
  <c r="G792" i="6" s="1"/>
  <c r="I792" i="6" s="1"/>
  <c r="B792" i="6"/>
  <c r="G791" i="6"/>
  <c r="I791" i="6" s="1"/>
  <c r="E791" i="6"/>
  <c r="B791" i="6"/>
  <c r="G790" i="6"/>
  <c r="I790" i="6" s="1"/>
  <c r="E790" i="6"/>
  <c r="B790" i="6"/>
  <c r="J789" i="6"/>
  <c r="G789" i="6"/>
  <c r="I789" i="6" s="1"/>
  <c r="K789" i="6" s="1"/>
  <c r="E789" i="6"/>
  <c r="B789" i="6"/>
  <c r="G788" i="6"/>
  <c r="I788" i="6" s="1"/>
  <c r="E788" i="6"/>
  <c r="B788" i="6"/>
  <c r="E787" i="6"/>
  <c r="G787" i="6" s="1"/>
  <c r="I787" i="6" s="1"/>
  <c r="B787" i="6"/>
  <c r="G786" i="6"/>
  <c r="I786" i="6" s="1"/>
  <c r="E786" i="6"/>
  <c r="B786" i="6"/>
  <c r="E785" i="6"/>
  <c r="G785" i="6" s="1"/>
  <c r="I785" i="6" s="1"/>
  <c r="K785" i="6" s="1"/>
  <c r="B785" i="6"/>
  <c r="E784" i="6"/>
  <c r="G784" i="6" s="1"/>
  <c r="I784" i="6" s="1"/>
  <c r="B784" i="6"/>
  <c r="E783" i="6"/>
  <c r="G783" i="6" s="1"/>
  <c r="I783" i="6" s="1"/>
  <c r="B783" i="6"/>
  <c r="E782" i="6"/>
  <c r="G782" i="6" s="1"/>
  <c r="I782" i="6" s="1"/>
  <c r="B782" i="6"/>
  <c r="E781" i="6"/>
  <c r="G781" i="6" s="1"/>
  <c r="I781" i="6" s="1"/>
  <c r="B781" i="6"/>
  <c r="E780" i="6"/>
  <c r="G780" i="6" s="1"/>
  <c r="I780" i="6" s="1"/>
  <c r="J780" i="6" s="1"/>
  <c r="B780" i="6"/>
  <c r="G779" i="6"/>
  <c r="I779" i="6" s="1"/>
  <c r="E779" i="6"/>
  <c r="B779" i="6"/>
  <c r="E778" i="6"/>
  <c r="G778" i="6" s="1"/>
  <c r="I778" i="6" s="1"/>
  <c r="B778" i="6"/>
  <c r="E777" i="6"/>
  <c r="G777" i="6" s="1"/>
  <c r="I777" i="6" s="1"/>
  <c r="K777" i="6" s="1"/>
  <c r="B777" i="6"/>
  <c r="E776" i="6"/>
  <c r="G776" i="6" s="1"/>
  <c r="I776" i="6" s="1"/>
  <c r="B776" i="6"/>
  <c r="E775" i="6"/>
  <c r="G775" i="6" s="1"/>
  <c r="I775" i="6" s="1"/>
  <c r="B775" i="6"/>
  <c r="G774" i="6"/>
  <c r="I774" i="6" s="1"/>
  <c r="E774" i="6"/>
  <c r="B774" i="6"/>
  <c r="E773" i="6"/>
  <c r="G773" i="6" s="1"/>
  <c r="I773" i="6" s="1"/>
  <c r="B773" i="6"/>
  <c r="G772" i="6"/>
  <c r="I772" i="6" s="1"/>
  <c r="E772" i="6"/>
  <c r="B772" i="6"/>
  <c r="E771" i="6"/>
  <c r="G771" i="6" s="1"/>
  <c r="I771" i="6" s="1"/>
  <c r="B771" i="6"/>
  <c r="G770" i="6"/>
  <c r="I770" i="6" s="1"/>
  <c r="E770" i="6"/>
  <c r="B770" i="6"/>
  <c r="K769" i="6"/>
  <c r="J769" i="6"/>
  <c r="I769" i="6"/>
  <c r="G769" i="6"/>
  <c r="E769" i="6"/>
  <c r="B769" i="6"/>
  <c r="E768" i="6"/>
  <c r="G768" i="6" s="1"/>
  <c r="I768" i="6" s="1"/>
  <c r="K768" i="6" s="1"/>
  <c r="B768" i="6"/>
  <c r="E767" i="6"/>
  <c r="G767" i="6" s="1"/>
  <c r="I767" i="6" s="1"/>
  <c r="B767" i="6"/>
  <c r="G766" i="6"/>
  <c r="I766" i="6" s="1"/>
  <c r="E766" i="6"/>
  <c r="B766" i="6"/>
  <c r="G765" i="6"/>
  <c r="I765" i="6" s="1"/>
  <c r="E765" i="6"/>
  <c r="B765" i="6"/>
  <c r="I764" i="6"/>
  <c r="G764" i="6"/>
  <c r="E764" i="6"/>
  <c r="B764" i="6"/>
  <c r="E763" i="6"/>
  <c r="G763" i="6" s="1"/>
  <c r="I763" i="6" s="1"/>
  <c r="B763" i="6"/>
  <c r="E762" i="6"/>
  <c r="G762" i="6" s="1"/>
  <c r="I762" i="6" s="1"/>
  <c r="B762" i="6"/>
  <c r="E761" i="6"/>
  <c r="G761" i="6" s="1"/>
  <c r="I761" i="6" s="1"/>
  <c r="K761" i="6" s="1"/>
  <c r="B761" i="6"/>
  <c r="E760" i="6"/>
  <c r="G760" i="6" s="1"/>
  <c r="I760" i="6" s="1"/>
  <c r="B760" i="6"/>
  <c r="E759" i="6"/>
  <c r="G759" i="6" s="1"/>
  <c r="I759" i="6" s="1"/>
  <c r="B759" i="6"/>
  <c r="E758" i="6"/>
  <c r="G758" i="6" s="1"/>
  <c r="I758" i="6" s="1"/>
  <c r="B758" i="6"/>
  <c r="J757" i="6"/>
  <c r="E757" i="6"/>
  <c r="G757" i="6" s="1"/>
  <c r="I757" i="6" s="1"/>
  <c r="K757" i="6" s="1"/>
  <c r="B757" i="6"/>
  <c r="E756" i="6"/>
  <c r="G756" i="6" s="1"/>
  <c r="I756" i="6" s="1"/>
  <c r="J756" i="6" s="1"/>
  <c r="B756" i="6"/>
  <c r="E755" i="6"/>
  <c r="G755" i="6" s="1"/>
  <c r="I755" i="6" s="1"/>
  <c r="B755" i="6"/>
  <c r="G754" i="6"/>
  <c r="I754" i="6" s="1"/>
  <c r="K754" i="6" s="1"/>
  <c r="E754" i="6"/>
  <c r="B754" i="6"/>
  <c r="E753" i="6"/>
  <c r="G753" i="6" s="1"/>
  <c r="I753" i="6" s="1"/>
  <c r="K753" i="6" s="1"/>
  <c r="B753" i="6"/>
  <c r="G752" i="6"/>
  <c r="I752" i="6" s="1"/>
  <c r="E752" i="6"/>
  <c r="B752" i="6"/>
  <c r="E751" i="6"/>
  <c r="G751" i="6" s="1"/>
  <c r="I751" i="6" s="1"/>
  <c r="B751" i="6"/>
  <c r="E750" i="6"/>
  <c r="G750" i="6" s="1"/>
  <c r="I750" i="6" s="1"/>
  <c r="B750" i="6"/>
  <c r="E749" i="6"/>
  <c r="G749" i="6" s="1"/>
  <c r="I749" i="6" s="1"/>
  <c r="B749" i="6"/>
  <c r="E748" i="6"/>
  <c r="G748" i="6" s="1"/>
  <c r="I748" i="6" s="1"/>
  <c r="B748" i="6"/>
  <c r="I747" i="6"/>
  <c r="J747" i="6" s="1"/>
  <c r="E747" i="6"/>
  <c r="G747" i="6" s="1"/>
  <c r="B747" i="6"/>
  <c r="G746" i="6"/>
  <c r="I746" i="6" s="1"/>
  <c r="J746" i="6" s="1"/>
  <c r="E746" i="6"/>
  <c r="B746" i="6"/>
  <c r="E745" i="6"/>
  <c r="G745" i="6" s="1"/>
  <c r="I745" i="6" s="1"/>
  <c r="B745" i="6"/>
  <c r="E744" i="6"/>
  <c r="G744" i="6" s="1"/>
  <c r="I744" i="6" s="1"/>
  <c r="B744" i="6"/>
  <c r="E743" i="6"/>
  <c r="G743" i="6" s="1"/>
  <c r="I743" i="6" s="1"/>
  <c r="K743" i="6" s="1"/>
  <c r="B743" i="6"/>
  <c r="G742" i="6"/>
  <c r="I742" i="6" s="1"/>
  <c r="J742" i="6" s="1"/>
  <c r="E742" i="6"/>
  <c r="B742" i="6"/>
  <c r="E741" i="6"/>
  <c r="G741" i="6" s="1"/>
  <c r="I741" i="6" s="1"/>
  <c r="K741" i="6" s="1"/>
  <c r="B741" i="6"/>
  <c r="E740" i="6"/>
  <c r="G740" i="6" s="1"/>
  <c r="I740" i="6" s="1"/>
  <c r="B740" i="6"/>
  <c r="G739" i="6"/>
  <c r="I739" i="6" s="1"/>
  <c r="E739" i="6"/>
  <c r="B739" i="6"/>
  <c r="E738" i="6"/>
  <c r="G738" i="6" s="1"/>
  <c r="I738" i="6" s="1"/>
  <c r="K738" i="6" s="1"/>
  <c r="B738" i="6"/>
  <c r="E737" i="6"/>
  <c r="G737" i="6" s="1"/>
  <c r="I737" i="6" s="1"/>
  <c r="B737" i="6"/>
  <c r="G736" i="6"/>
  <c r="I736" i="6" s="1"/>
  <c r="E736" i="6"/>
  <c r="B736" i="6"/>
  <c r="E735" i="6"/>
  <c r="G735" i="6" s="1"/>
  <c r="I735" i="6" s="1"/>
  <c r="B735" i="6"/>
  <c r="E734" i="6"/>
  <c r="G734" i="6" s="1"/>
  <c r="I734" i="6" s="1"/>
  <c r="J734" i="6" s="1"/>
  <c r="B734" i="6"/>
  <c r="I733" i="6"/>
  <c r="E733" i="6"/>
  <c r="G733" i="6" s="1"/>
  <c r="B733" i="6"/>
  <c r="G732" i="6"/>
  <c r="I732" i="6" s="1"/>
  <c r="J732" i="6" s="1"/>
  <c r="E732" i="6"/>
  <c r="B732" i="6"/>
  <c r="E731" i="6"/>
  <c r="G731" i="6" s="1"/>
  <c r="I731" i="6" s="1"/>
  <c r="B731" i="6"/>
  <c r="G730" i="6"/>
  <c r="I730" i="6" s="1"/>
  <c r="E730" i="6"/>
  <c r="B730" i="6"/>
  <c r="G729" i="6"/>
  <c r="I729" i="6" s="1"/>
  <c r="E729" i="6"/>
  <c r="B729" i="6"/>
  <c r="E728" i="6"/>
  <c r="G728" i="6" s="1"/>
  <c r="I728" i="6" s="1"/>
  <c r="K728" i="6" s="1"/>
  <c r="B728" i="6"/>
  <c r="K727" i="6"/>
  <c r="I727" i="6"/>
  <c r="J727" i="6" s="1"/>
  <c r="E727" i="6"/>
  <c r="G727" i="6" s="1"/>
  <c r="B727" i="6"/>
  <c r="E726" i="6"/>
  <c r="G726" i="6" s="1"/>
  <c r="I726" i="6" s="1"/>
  <c r="B726" i="6"/>
  <c r="E725" i="6"/>
  <c r="G725" i="6" s="1"/>
  <c r="I725" i="6" s="1"/>
  <c r="B725" i="6"/>
  <c r="E724" i="6"/>
  <c r="G724" i="6" s="1"/>
  <c r="I724" i="6" s="1"/>
  <c r="B724" i="6"/>
  <c r="I723" i="6"/>
  <c r="J723" i="6" s="1"/>
  <c r="E723" i="6"/>
  <c r="G723" i="6" s="1"/>
  <c r="B723" i="6"/>
  <c r="E722" i="6"/>
  <c r="G722" i="6" s="1"/>
  <c r="I722" i="6" s="1"/>
  <c r="K722" i="6" s="1"/>
  <c r="B722" i="6"/>
  <c r="E721" i="6"/>
  <c r="G721" i="6" s="1"/>
  <c r="I721" i="6" s="1"/>
  <c r="B721" i="6"/>
  <c r="E720" i="6"/>
  <c r="G720" i="6" s="1"/>
  <c r="I720" i="6" s="1"/>
  <c r="B720" i="6"/>
  <c r="K719" i="6"/>
  <c r="J719" i="6"/>
  <c r="E719" i="6"/>
  <c r="G719" i="6" s="1"/>
  <c r="I719" i="6" s="1"/>
  <c r="B719" i="6"/>
  <c r="E718" i="6"/>
  <c r="G718" i="6" s="1"/>
  <c r="I718" i="6" s="1"/>
  <c r="B718" i="6"/>
  <c r="E717" i="6"/>
  <c r="G717" i="6" s="1"/>
  <c r="I717" i="6" s="1"/>
  <c r="B717" i="6"/>
  <c r="E716" i="6"/>
  <c r="G716" i="6" s="1"/>
  <c r="I716" i="6" s="1"/>
  <c r="B716" i="6"/>
  <c r="K715" i="6"/>
  <c r="J715" i="6"/>
  <c r="E715" i="6"/>
  <c r="G715" i="6" s="1"/>
  <c r="I715" i="6" s="1"/>
  <c r="B715" i="6"/>
  <c r="G714" i="6"/>
  <c r="I714" i="6" s="1"/>
  <c r="E714" i="6"/>
  <c r="B714" i="6"/>
  <c r="E713" i="6"/>
  <c r="G713" i="6" s="1"/>
  <c r="I713" i="6" s="1"/>
  <c r="B713" i="6"/>
  <c r="E712" i="6"/>
  <c r="G712" i="6" s="1"/>
  <c r="I712" i="6" s="1"/>
  <c r="B712" i="6"/>
  <c r="E711" i="6"/>
  <c r="G711" i="6" s="1"/>
  <c r="I711" i="6" s="1"/>
  <c r="B711" i="6"/>
  <c r="E710" i="6"/>
  <c r="G710" i="6" s="1"/>
  <c r="I710" i="6" s="1"/>
  <c r="B710" i="6"/>
  <c r="E709" i="6"/>
  <c r="G709" i="6" s="1"/>
  <c r="I709" i="6" s="1"/>
  <c r="B709" i="6"/>
  <c r="E708" i="6"/>
  <c r="G708" i="6" s="1"/>
  <c r="I708" i="6" s="1"/>
  <c r="B708" i="6"/>
  <c r="E707" i="6"/>
  <c r="G707" i="6" s="1"/>
  <c r="I707" i="6" s="1"/>
  <c r="B707" i="6"/>
  <c r="E706" i="6"/>
  <c r="G706" i="6" s="1"/>
  <c r="I706" i="6" s="1"/>
  <c r="B706" i="6"/>
  <c r="E705" i="6"/>
  <c r="G705" i="6" s="1"/>
  <c r="I705" i="6" s="1"/>
  <c r="B705" i="6"/>
  <c r="I704" i="6"/>
  <c r="K704" i="6" s="1"/>
  <c r="G704" i="6"/>
  <c r="E704" i="6"/>
  <c r="B704" i="6"/>
  <c r="K703" i="6"/>
  <c r="J703" i="6"/>
  <c r="E703" i="6"/>
  <c r="G703" i="6" s="1"/>
  <c r="I703" i="6" s="1"/>
  <c r="B703" i="6"/>
  <c r="E702" i="6"/>
  <c r="G702" i="6" s="1"/>
  <c r="I702" i="6" s="1"/>
  <c r="B702" i="6"/>
  <c r="E701" i="6"/>
  <c r="G701" i="6" s="1"/>
  <c r="I701" i="6" s="1"/>
  <c r="B701" i="6"/>
  <c r="G700" i="6"/>
  <c r="I700" i="6" s="1"/>
  <c r="J700" i="6" s="1"/>
  <c r="E700" i="6"/>
  <c r="B700" i="6"/>
  <c r="E699" i="6"/>
  <c r="G699" i="6" s="1"/>
  <c r="I699" i="6" s="1"/>
  <c r="B699" i="6"/>
  <c r="E698" i="6"/>
  <c r="G698" i="6" s="1"/>
  <c r="I698" i="6" s="1"/>
  <c r="B698" i="6"/>
  <c r="E697" i="6"/>
  <c r="G697" i="6" s="1"/>
  <c r="I697" i="6" s="1"/>
  <c r="B697" i="6"/>
  <c r="I696" i="6"/>
  <c r="G696" i="6"/>
  <c r="E696" i="6"/>
  <c r="B696" i="6"/>
  <c r="E695" i="6"/>
  <c r="G695" i="6" s="1"/>
  <c r="I695" i="6" s="1"/>
  <c r="J695" i="6" s="1"/>
  <c r="B695" i="6"/>
  <c r="E694" i="6"/>
  <c r="G694" i="6" s="1"/>
  <c r="I694" i="6" s="1"/>
  <c r="B694" i="6"/>
  <c r="E693" i="6"/>
  <c r="G693" i="6" s="1"/>
  <c r="I693" i="6" s="1"/>
  <c r="B693" i="6"/>
  <c r="E692" i="6"/>
  <c r="G692" i="6" s="1"/>
  <c r="I692" i="6" s="1"/>
  <c r="J692" i="6" s="1"/>
  <c r="B692" i="6"/>
  <c r="G691" i="6"/>
  <c r="I691" i="6" s="1"/>
  <c r="E691" i="6"/>
  <c r="B691" i="6"/>
  <c r="E690" i="6"/>
  <c r="G690" i="6" s="1"/>
  <c r="I690" i="6" s="1"/>
  <c r="B690" i="6"/>
  <c r="G689" i="6"/>
  <c r="I689" i="6" s="1"/>
  <c r="E689" i="6"/>
  <c r="B689" i="6"/>
  <c r="G688" i="6"/>
  <c r="I688" i="6" s="1"/>
  <c r="E688" i="6"/>
  <c r="B688" i="6"/>
  <c r="E687" i="6"/>
  <c r="G687" i="6" s="1"/>
  <c r="I687" i="6" s="1"/>
  <c r="B687" i="6"/>
  <c r="G686" i="6"/>
  <c r="I686" i="6" s="1"/>
  <c r="E686" i="6"/>
  <c r="B686" i="6"/>
  <c r="E685" i="6"/>
  <c r="G685" i="6" s="1"/>
  <c r="I685" i="6" s="1"/>
  <c r="B685" i="6"/>
  <c r="E684" i="6"/>
  <c r="G684" i="6" s="1"/>
  <c r="I684" i="6" s="1"/>
  <c r="B684" i="6"/>
  <c r="E683" i="6"/>
  <c r="G683" i="6" s="1"/>
  <c r="I683" i="6" s="1"/>
  <c r="B683" i="6"/>
  <c r="E682" i="6"/>
  <c r="G682" i="6" s="1"/>
  <c r="I682" i="6" s="1"/>
  <c r="B682" i="6"/>
  <c r="I681" i="6"/>
  <c r="K681" i="6" s="1"/>
  <c r="E681" i="6"/>
  <c r="G681" i="6" s="1"/>
  <c r="B681" i="6"/>
  <c r="E680" i="6"/>
  <c r="G680" i="6" s="1"/>
  <c r="I680" i="6" s="1"/>
  <c r="J680" i="6" s="1"/>
  <c r="B680" i="6"/>
  <c r="G679" i="6"/>
  <c r="I679" i="6" s="1"/>
  <c r="E679" i="6"/>
  <c r="B679" i="6"/>
  <c r="E678" i="6"/>
  <c r="G678" i="6" s="1"/>
  <c r="I678" i="6" s="1"/>
  <c r="B678" i="6"/>
  <c r="K677" i="6"/>
  <c r="E677" i="6"/>
  <c r="G677" i="6" s="1"/>
  <c r="I677" i="6" s="1"/>
  <c r="J677" i="6" s="1"/>
  <c r="B677" i="6"/>
  <c r="E676" i="6"/>
  <c r="G676" i="6" s="1"/>
  <c r="I676" i="6" s="1"/>
  <c r="B676" i="6"/>
  <c r="G675" i="6"/>
  <c r="I675" i="6" s="1"/>
  <c r="K675" i="6" s="1"/>
  <c r="E675" i="6"/>
  <c r="B675" i="6"/>
  <c r="E674" i="6"/>
  <c r="G674" i="6" s="1"/>
  <c r="I674" i="6" s="1"/>
  <c r="B674" i="6"/>
  <c r="E673" i="6"/>
  <c r="G673" i="6" s="1"/>
  <c r="I673" i="6" s="1"/>
  <c r="J673" i="6" s="1"/>
  <c r="B673" i="6"/>
  <c r="E672" i="6"/>
  <c r="G672" i="6" s="1"/>
  <c r="I672" i="6" s="1"/>
  <c r="B672" i="6"/>
  <c r="E671" i="6"/>
  <c r="G671" i="6" s="1"/>
  <c r="I671" i="6" s="1"/>
  <c r="B671" i="6"/>
  <c r="G670" i="6"/>
  <c r="I670" i="6" s="1"/>
  <c r="E670" i="6"/>
  <c r="B670" i="6"/>
  <c r="G669" i="6"/>
  <c r="I669" i="6" s="1"/>
  <c r="E669" i="6"/>
  <c r="B669" i="6"/>
  <c r="E668" i="6"/>
  <c r="G668" i="6" s="1"/>
  <c r="I668" i="6" s="1"/>
  <c r="B668" i="6"/>
  <c r="E667" i="6"/>
  <c r="G667" i="6" s="1"/>
  <c r="I667" i="6" s="1"/>
  <c r="B667" i="6"/>
  <c r="G666" i="6"/>
  <c r="I666" i="6" s="1"/>
  <c r="E666" i="6"/>
  <c r="B666" i="6"/>
  <c r="G665" i="6"/>
  <c r="I665" i="6" s="1"/>
  <c r="E665" i="6"/>
  <c r="B665" i="6"/>
  <c r="G664" i="6"/>
  <c r="I664" i="6" s="1"/>
  <c r="E664" i="6"/>
  <c r="B664" i="6"/>
  <c r="E663" i="6"/>
  <c r="G663" i="6" s="1"/>
  <c r="I663" i="6" s="1"/>
  <c r="B663" i="6"/>
  <c r="G662" i="6"/>
  <c r="I662" i="6" s="1"/>
  <c r="K662" i="6" s="1"/>
  <c r="E662" i="6"/>
  <c r="B662" i="6"/>
  <c r="J661" i="6"/>
  <c r="E661" i="6"/>
  <c r="G661" i="6" s="1"/>
  <c r="I661" i="6" s="1"/>
  <c r="K661" i="6" s="1"/>
  <c r="B661" i="6"/>
  <c r="G660" i="6"/>
  <c r="I660" i="6" s="1"/>
  <c r="J660" i="6" s="1"/>
  <c r="E660" i="6"/>
  <c r="B660" i="6"/>
  <c r="E659" i="6"/>
  <c r="G659" i="6" s="1"/>
  <c r="I659" i="6" s="1"/>
  <c r="B659" i="6"/>
  <c r="I658" i="6"/>
  <c r="J658" i="6" s="1"/>
  <c r="E658" i="6"/>
  <c r="G658" i="6" s="1"/>
  <c r="B658" i="6"/>
  <c r="E657" i="6"/>
  <c r="G657" i="6" s="1"/>
  <c r="I657" i="6" s="1"/>
  <c r="K657" i="6" s="1"/>
  <c r="B657" i="6"/>
  <c r="E656" i="6"/>
  <c r="G656" i="6" s="1"/>
  <c r="I656" i="6" s="1"/>
  <c r="B656" i="6"/>
  <c r="E655" i="6"/>
  <c r="G655" i="6" s="1"/>
  <c r="I655" i="6" s="1"/>
  <c r="B655" i="6"/>
  <c r="G654" i="6"/>
  <c r="I654" i="6" s="1"/>
  <c r="K654" i="6" s="1"/>
  <c r="E654" i="6"/>
  <c r="B654" i="6"/>
  <c r="E653" i="6"/>
  <c r="G653" i="6" s="1"/>
  <c r="I653" i="6" s="1"/>
  <c r="K653" i="6" s="1"/>
  <c r="B653" i="6"/>
  <c r="K652" i="6"/>
  <c r="J652" i="6"/>
  <c r="E652" i="6"/>
  <c r="G652" i="6" s="1"/>
  <c r="I652" i="6" s="1"/>
  <c r="B652" i="6"/>
  <c r="E651" i="6"/>
  <c r="G651" i="6" s="1"/>
  <c r="I651" i="6" s="1"/>
  <c r="B651" i="6"/>
  <c r="E650" i="6"/>
  <c r="G650" i="6" s="1"/>
  <c r="I650" i="6" s="1"/>
  <c r="B650" i="6"/>
  <c r="E649" i="6"/>
  <c r="G649" i="6" s="1"/>
  <c r="I649" i="6" s="1"/>
  <c r="B649" i="6"/>
  <c r="E648" i="6"/>
  <c r="G648" i="6" s="1"/>
  <c r="I648" i="6" s="1"/>
  <c r="B648" i="6"/>
  <c r="E647" i="6"/>
  <c r="G647" i="6" s="1"/>
  <c r="I647" i="6" s="1"/>
  <c r="J647" i="6" s="1"/>
  <c r="B647" i="6"/>
  <c r="G646" i="6"/>
  <c r="I646" i="6" s="1"/>
  <c r="E646" i="6"/>
  <c r="B646" i="6"/>
  <c r="E645" i="6"/>
  <c r="G645" i="6" s="1"/>
  <c r="I645" i="6" s="1"/>
  <c r="B645" i="6"/>
  <c r="E644" i="6"/>
  <c r="G644" i="6" s="1"/>
  <c r="I644" i="6" s="1"/>
  <c r="B644" i="6"/>
  <c r="E643" i="6"/>
  <c r="G643" i="6" s="1"/>
  <c r="I643" i="6" s="1"/>
  <c r="K643" i="6" s="1"/>
  <c r="B643" i="6"/>
  <c r="G642" i="6"/>
  <c r="I642" i="6" s="1"/>
  <c r="E642" i="6"/>
  <c r="B642" i="6"/>
  <c r="E641" i="6"/>
  <c r="G641" i="6" s="1"/>
  <c r="I641" i="6" s="1"/>
  <c r="B641" i="6"/>
  <c r="E640" i="6"/>
  <c r="G640" i="6" s="1"/>
  <c r="I640" i="6" s="1"/>
  <c r="B640" i="6"/>
  <c r="G639" i="6"/>
  <c r="I639" i="6" s="1"/>
  <c r="K639" i="6" s="1"/>
  <c r="E639" i="6"/>
  <c r="B639" i="6"/>
  <c r="J638" i="6"/>
  <c r="E638" i="6"/>
  <c r="G638" i="6" s="1"/>
  <c r="I638" i="6" s="1"/>
  <c r="K638" i="6" s="1"/>
  <c r="B638" i="6"/>
  <c r="E637" i="6"/>
  <c r="G637" i="6" s="1"/>
  <c r="I637" i="6" s="1"/>
  <c r="B637" i="6"/>
  <c r="G636" i="6"/>
  <c r="I636" i="6" s="1"/>
  <c r="E636" i="6"/>
  <c r="B636" i="6"/>
  <c r="E635" i="6"/>
  <c r="G635" i="6" s="1"/>
  <c r="I635" i="6" s="1"/>
  <c r="K635" i="6" s="1"/>
  <c r="B635" i="6"/>
  <c r="E634" i="6"/>
  <c r="G634" i="6" s="1"/>
  <c r="I634" i="6" s="1"/>
  <c r="J634" i="6" s="1"/>
  <c r="B634" i="6"/>
  <c r="K633" i="6"/>
  <c r="E633" i="6"/>
  <c r="G633" i="6" s="1"/>
  <c r="I633" i="6" s="1"/>
  <c r="J633" i="6" s="1"/>
  <c r="B633" i="6"/>
  <c r="E632" i="6"/>
  <c r="G632" i="6" s="1"/>
  <c r="I632" i="6" s="1"/>
  <c r="B632" i="6"/>
  <c r="E631" i="6"/>
  <c r="G631" i="6" s="1"/>
  <c r="I631" i="6" s="1"/>
  <c r="J631" i="6" s="1"/>
  <c r="B631" i="6"/>
  <c r="E630" i="6"/>
  <c r="G630" i="6" s="1"/>
  <c r="I630" i="6" s="1"/>
  <c r="B630" i="6"/>
  <c r="G629" i="6"/>
  <c r="I629" i="6" s="1"/>
  <c r="E629" i="6"/>
  <c r="B629" i="6"/>
  <c r="G628" i="6"/>
  <c r="I628" i="6" s="1"/>
  <c r="K628" i="6" s="1"/>
  <c r="E628" i="6"/>
  <c r="B628" i="6"/>
  <c r="I627" i="6"/>
  <c r="E627" i="6"/>
  <c r="G627" i="6" s="1"/>
  <c r="B627" i="6"/>
  <c r="E626" i="6"/>
  <c r="G626" i="6" s="1"/>
  <c r="I626" i="6" s="1"/>
  <c r="B626" i="6"/>
  <c r="E625" i="6"/>
  <c r="G625" i="6" s="1"/>
  <c r="I625" i="6" s="1"/>
  <c r="B625" i="6"/>
  <c r="E624" i="6"/>
  <c r="G624" i="6" s="1"/>
  <c r="I624" i="6" s="1"/>
  <c r="B624" i="6"/>
  <c r="I623" i="6"/>
  <c r="E623" i="6"/>
  <c r="G623" i="6" s="1"/>
  <c r="B623" i="6"/>
  <c r="E622" i="6"/>
  <c r="G622" i="6" s="1"/>
  <c r="I622" i="6" s="1"/>
  <c r="B622" i="6"/>
  <c r="I621" i="6"/>
  <c r="K621" i="6" s="1"/>
  <c r="E621" i="6"/>
  <c r="G621" i="6" s="1"/>
  <c r="B621" i="6"/>
  <c r="G620" i="6"/>
  <c r="I620" i="6" s="1"/>
  <c r="E620" i="6"/>
  <c r="B620" i="6"/>
  <c r="E619" i="6"/>
  <c r="G619" i="6" s="1"/>
  <c r="I619" i="6" s="1"/>
  <c r="K619" i="6" s="1"/>
  <c r="B619" i="6"/>
  <c r="E618" i="6"/>
  <c r="G618" i="6" s="1"/>
  <c r="I618" i="6" s="1"/>
  <c r="B618" i="6"/>
  <c r="E617" i="6"/>
  <c r="G617" i="6" s="1"/>
  <c r="I617" i="6" s="1"/>
  <c r="B617" i="6"/>
  <c r="I616" i="6"/>
  <c r="J616" i="6" s="1"/>
  <c r="G616" i="6"/>
  <c r="E616" i="6"/>
  <c r="B616" i="6"/>
  <c r="E615" i="6"/>
  <c r="G615" i="6" s="1"/>
  <c r="I615" i="6" s="1"/>
  <c r="K615" i="6" s="1"/>
  <c r="B615" i="6"/>
  <c r="G614" i="6"/>
  <c r="I614" i="6" s="1"/>
  <c r="E614" i="6"/>
  <c r="B614" i="6"/>
  <c r="E613" i="6"/>
  <c r="G613" i="6" s="1"/>
  <c r="I613" i="6" s="1"/>
  <c r="B613" i="6"/>
  <c r="E612" i="6"/>
  <c r="G612" i="6" s="1"/>
  <c r="I612" i="6" s="1"/>
  <c r="K612" i="6" s="1"/>
  <c r="B612" i="6"/>
  <c r="E611" i="6"/>
  <c r="G611" i="6" s="1"/>
  <c r="I611" i="6" s="1"/>
  <c r="B611" i="6"/>
  <c r="E610" i="6"/>
  <c r="G610" i="6" s="1"/>
  <c r="I610" i="6" s="1"/>
  <c r="B610" i="6"/>
  <c r="E609" i="6"/>
  <c r="G609" i="6" s="1"/>
  <c r="I609" i="6" s="1"/>
  <c r="B609" i="6"/>
  <c r="E608" i="6"/>
  <c r="G608" i="6" s="1"/>
  <c r="I608" i="6" s="1"/>
  <c r="J608" i="6" s="1"/>
  <c r="B608" i="6"/>
  <c r="E607" i="6"/>
  <c r="G607" i="6" s="1"/>
  <c r="I607" i="6" s="1"/>
  <c r="B607" i="6"/>
  <c r="G606" i="6"/>
  <c r="I606" i="6" s="1"/>
  <c r="E606" i="6"/>
  <c r="B606" i="6"/>
  <c r="E605" i="6"/>
  <c r="G605" i="6" s="1"/>
  <c r="I605" i="6" s="1"/>
  <c r="B605" i="6"/>
  <c r="G604" i="6"/>
  <c r="I604" i="6" s="1"/>
  <c r="E604" i="6"/>
  <c r="B604" i="6"/>
  <c r="E603" i="6"/>
  <c r="G603" i="6" s="1"/>
  <c r="I603" i="6" s="1"/>
  <c r="K603" i="6" s="1"/>
  <c r="B603" i="6"/>
  <c r="E602" i="6"/>
  <c r="G602" i="6" s="1"/>
  <c r="I602" i="6" s="1"/>
  <c r="B602" i="6"/>
  <c r="G601" i="6"/>
  <c r="I601" i="6" s="1"/>
  <c r="E601" i="6"/>
  <c r="B601" i="6"/>
  <c r="G600" i="6"/>
  <c r="I600" i="6" s="1"/>
  <c r="E600" i="6"/>
  <c r="B600" i="6"/>
  <c r="E599" i="6"/>
  <c r="G599" i="6" s="1"/>
  <c r="I599" i="6" s="1"/>
  <c r="B599" i="6"/>
  <c r="E598" i="6"/>
  <c r="G598" i="6" s="1"/>
  <c r="I598" i="6" s="1"/>
  <c r="B598" i="6"/>
  <c r="I597" i="6"/>
  <c r="K597" i="6" s="1"/>
  <c r="E597" i="6"/>
  <c r="G597" i="6" s="1"/>
  <c r="B597" i="6"/>
  <c r="I596" i="6"/>
  <c r="G596" i="6"/>
  <c r="E596" i="6"/>
  <c r="B596" i="6"/>
  <c r="E595" i="6"/>
  <c r="G595" i="6" s="1"/>
  <c r="I595" i="6" s="1"/>
  <c r="B595" i="6"/>
  <c r="E594" i="6"/>
  <c r="G594" i="6" s="1"/>
  <c r="I594" i="6" s="1"/>
  <c r="B594" i="6"/>
  <c r="K593" i="6"/>
  <c r="E593" i="6"/>
  <c r="G593" i="6" s="1"/>
  <c r="I593" i="6" s="1"/>
  <c r="J593" i="6" s="1"/>
  <c r="B593" i="6"/>
  <c r="E592" i="6"/>
  <c r="G592" i="6" s="1"/>
  <c r="I592" i="6" s="1"/>
  <c r="J592" i="6" s="1"/>
  <c r="B592" i="6"/>
  <c r="E591" i="6"/>
  <c r="G591" i="6" s="1"/>
  <c r="I591" i="6" s="1"/>
  <c r="B591" i="6"/>
  <c r="E590" i="6"/>
  <c r="G590" i="6" s="1"/>
  <c r="I590" i="6" s="1"/>
  <c r="B590" i="6"/>
  <c r="G589" i="6"/>
  <c r="I589" i="6" s="1"/>
  <c r="E589" i="6"/>
  <c r="B589" i="6"/>
  <c r="E588" i="6"/>
  <c r="G588" i="6" s="1"/>
  <c r="I588" i="6" s="1"/>
  <c r="B588" i="6"/>
  <c r="E587" i="6"/>
  <c r="G587" i="6" s="1"/>
  <c r="I587" i="6" s="1"/>
  <c r="J587" i="6" s="1"/>
  <c r="B587" i="6"/>
  <c r="G586" i="6"/>
  <c r="I586" i="6" s="1"/>
  <c r="E586" i="6"/>
  <c r="B586" i="6"/>
  <c r="E585" i="6"/>
  <c r="G585" i="6" s="1"/>
  <c r="I585" i="6" s="1"/>
  <c r="B585" i="6"/>
  <c r="E584" i="6"/>
  <c r="G584" i="6" s="1"/>
  <c r="I584" i="6" s="1"/>
  <c r="B584" i="6"/>
  <c r="E583" i="6"/>
  <c r="G583" i="6" s="1"/>
  <c r="I583" i="6" s="1"/>
  <c r="B583" i="6"/>
  <c r="E582" i="6"/>
  <c r="G582" i="6" s="1"/>
  <c r="I582" i="6" s="1"/>
  <c r="B582" i="6"/>
  <c r="E581" i="6"/>
  <c r="G581" i="6" s="1"/>
  <c r="I581" i="6" s="1"/>
  <c r="B581" i="6"/>
  <c r="E580" i="6"/>
  <c r="G580" i="6" s="1"/>
  <c r="I580" i="6" s="1"/>
  <c r="B580" i="6"/>
  <c r="G579" i="6"/>
  <c r="I579" i="6" s="1"/>
  <c r="E579" i="6"/>
  <c r="B579" i="6"/>
  <c r="K578" i="6"/>
  <c r="E578" i="6"/>
  <c r="G578" i="6" s="1"/>
  <c r="I578" i="6" s="1"/>
  <c r="J578" i="6" s="1"/>
  <c r="B578" i="6"/>
  <c r="K577" i="6"/>
  <c r="E577" i="6"/>
  <c r="G577" i="6" s="1"/>
  <c r="I577" i="6" s="1"/>
  <c r="J577" i="6" s="1"/>
  <c r="B577" i="6"/>
  <c r="E576" i="6"/>
  <c r="G576" i="6" s="1"/>
  <c r="I576" i="6" s="1"/>
  <c r="B576" i="6"/>
  <c r="E575" i="6"/>
  <c r="G575" i="6" s="1"/>
  <c r="I575" i="6" s="1"/>
  <c r="B575" i="6"/>
  <c r="E574" i="6"/>
  <c r="G574" i="6" s="1"/>
  <c r="I574" i="6" s="1"/>
  <c r="B574" i="6"/>
  <c r="E573" i="6"/>
  <c r="G573" i="6" s="1"/>
  <c r="I573" i="6" s="1"/>
  <c r="J573" i="6" s="1"/>
  <c r="B573" i="6"/>
  <c r="E572" i="6"/>
  <c r="G572" i="6" s="1"/>
  <c r="I572" i="6" s="1"/>
  <c r="B572" i="6"/>
  <c r="E571" i="6"/>
  <c r="G571" i="6" s="1"/>
  <c r="I571" i="6" s="1"/>
  <c r="B571" i="6"/>
  <c r="E570" i="6"/>
  <c r="G570" i="6" s="1"/>
  <c r="I570" i="6" s="1"/>
  <c r="B570" i="6"/>
  <c r="E569" i="6"/>
  <c r="G569" i="6" s="1"/>
  <c r="I569" i="6" s="1"/>
  <c r="B569" i="6"/>
  <c r="E568" i="6"/>
  <c r="G568" i="6" s="1"/>
  <c r="I568" i="6" s="1"/>
  <c r="B568" i="6"/>
  <c r="E567" i="6"/>
  <c r="G567" i="6" s="1"/>
  <c r="I567" i="6" s="1"/>
  <c r="B567" i="6"/>
  <c r="E566" i="6"/>
  <c r="G566" i="6" s="1"/>
  <c r="I566" i="6" s="1"/>
  <c r="J566" i="6" s="1"/>
  <c r="B566" i="6"/>
  <c r="E565" i="6"/>
  <c r="G565" i="6" s="1"/>
  <c r="I565" i="6" s="1"/>
  <c r="B565" i="6"/>
  <c r="G564" i="6"/>
  <c r="I564" i="6" s="1"/>
  <c r="E564" i="6"/>
  <c r="B564" i="6"/>
  <c r="E563" i="6"/>
  <c r="G563" i="6" s="1"/>
  <c r="I563" i="6" s="1"/>
  <c r="B563" i="6"/>
  <c r="G562" i="6"/>
  <c r="I562" i="6" s="1"/>
  <c r="E562" i="6"/>
  <c r="B562" i="6"/>
  <c r="E561" i="6"/>
  <c r="G561" i="6" s="1"/>
  <c r="I561" i="6" s="1"/>
  <c r="B561" i="6"/>
  <c r="E560" i="6"/>
  <c r="G560" i="6" s="1"/>
  <c r="I560" i="6" s="1"/>
  <c r="B560" i="6"/>
  <c r="E559" i="6"/>
  <c r="G559" i="6" s="1"/>
  <c r="I559" i="6" s="1"/>
  <c r="B559" i="6"/>
  <c r="E558" i="6"/>
  <c r="G558" i="6" s="1"/>
  <c r="I558" i="6" s="1"/>
  <c r="B558" i="6"/>
  <c r="E557" i="6"/>
  <c r="G557" i="6" s="1"/>
  <c r="I557" i="6" s="1"/>
  <c r="B557" i="6"/>
  <c r="E556" i="6"/>
  <c r="G556" i="6" s="1"/>
  <c r="I556" i="6" s="1"/>
  <c r="B556" i="6"/>
  <c r="G555" i="6"/>
  <c r="I555" i="6" s="1"/>
  <c r="E555" i="6"/>
  <c r="B555" i="6"/>
  <c r="K554" i="6"/>
  <c r="J554" i="6"/>
  <c r="G554" i="6"/>
  <c r="I554" i="6" s="1"/>
  <c r="E554" i="6"/>
  <c r="B554" i="6"/>
  <c r="E553" i="6"/>
  <c r="G553" i="6" s="1"/>
  <c r="I553" i="6" s="1"/>
  <c r="K553" i="6" s="1"/>
  <c r="B553" i="6"/>
  <c r="E552" i="6"/>
  <c r="G552" i="6" s="1"/>
  <c r="I552" i="6" s="1"/>
  <c r="B552" i="6"/>
  <c r="E551" i="6"/>
  <c r="G551" i="6" s="1"/>
  <c r="I551" i="6" s="1"/>
  <c r="K551" i="6" s="1"/>
  <c r="B551" i="6"/>
  <c r="E550" i="6"/>
  <c r="G550" i="6" s="1"/>
  <c r="I550" i="6" s="1"/>
  <c r="B550" i="6"/>
  <c r="E549" i="6"/>
  <c r="G549" i="6" s="1"/>
  <c r="I549" i="6" s="1"/>
  <c r="B549" i="6"/>
  <c r="G548" i="6"/>
  <c r="I548" i="6" s="1"/>
  <c r="E548" i="6"/>
  <c r="B548" i="6"/>
  <c r="E547" i="6"/>
  <c r="G547" i="6" s="1"/>
  <c r="I547" i="6" s="1"/>
  <c r="B547" i="6"/>
  <c r="G546" i="6"/>
  <c r="I546" i="6" s="1"/>
  <c r="E546" i="6"/>
  <c r="B546" i="6"/>
  <c r="G545" i="6"/>
  <c r="I545" i="6" s="1"/>
  <c r="E545" i="6"/>
  <c r="B545" i="6"/>
  <c r="E544" i="6"/>
  <c r="G544" i="6" s="1"/>
  <c r="I544" i="6" s="1"/>
  <c r="B544" i="6"/>
  <c r="E543" i="6"/>
  <c r="G543" i="6" s="1"/>
  <c r="I543" i="6" s="1"/>
  <c r="K543" i="6" s="1"/>
  <c r="B543" i="6"/>
  <c r="E542" i="6"/>
  <c r="G542" i="6" s="1"/>
  <c r="I542" i="6" s="1"/>
  <c r="B542" i="6"/>
  <c r="K541" i="6"/>
  <c r="J541" i="6"/>
  <c r="E541" i="6"/>
  <c r="G541" i="6" s="1"/>
  <c r="I541" i="6" s="1"/>
  <c r="B541" i="6"/>
  <c r="E540" i="6"/>
  <c r="G540" i="6" s="1"/>
  <c r="I540" i="6" s="1"/>
  <c r="B540" i="6"/>
  <c r="G539" i="6"/>
  <c r="I539" i="6" s="1"/>
  <c r="E539" i="6"/>
  <c r="B539" i="6"/>
  <c r="E538" i="6"/>
  <c r="G538" i="6" s="1"/>
  <c r="I538" i="6" s="1"/>
  <c r="B538" i="6"/>
  <c r="E537" i="6"/>
  <c r="G537" i="6" s="1"/>
  <c r="I537" i="6" s="1"/>
  <c r="K537" i="6" s="1"/>
  <c r="B537" i="6"/>
  <c r="G536" i="6"/>
  <c r="I536" i="6" s="1"/>
  <c r="E536" i="6"/>
  <c r="B536" i="6"/>
  <c r="E535" i="6"/>
  <c r="G535" i="6" s="1"/>
  <c r="I535" i="6" s="1"/>
  <c r="J535" i="6" s="1"/>
  <c r="B535" i="6"/>
  <c r="E534" i="6"/>
  <c r="G534" i="6" s="1"/>
  <c r="I534" i="6" s="1"/>
  <c r="B534" i="6"/>
  <c r="E533" i="6"/>
  <c r="G533" i="6" s="1"/>
  <c r="I533" i="6" s="1"/>
  <c r="K533" i="6" s="1"/>
  <c r="B533" i="6"/>
  <c r="E532" i="6"/>
  <c r="G532" i="6" s="1"/>
  <c r="I532" i="6" s="1"/>
  <c r="B532" i="6"/>
  <c r="E531" i="6"/>
  <c r="G531" i="6" s="1"/>
  <c r="I531" i="6" s="1"/>
  <c r="J531" i="6" s="1"/>
  <c r="B531" i="6"/>
  <c r="E530" i="6"/>
  <c r="G530" i="6" s="1"/>
  <c r="I530" i="6" s="1"/>
  <c r="B530" i="6"/>
  <c r="K529" i="6"/>
  <c r="J529" i="6"/>
  <c r="G529" i="6"/>
  <c r="I529" i="6" s="1"/>
  <c r="E529" i="6"/>
  <c r="B529" i="6"/>
  <c r="E528" i="6"/>
  <c r="G528" i="6" s="1"/>
  <c r="I528" i="6" s="1"/>
  <c r="B528" i="6"/>
  <c r="E527" i="6"/>
  <c r="G527" i="6" s="1"/>
  <c r="I527" i="6" s="1"/>
  <c r="B527" i="6"/>
  <c r="E526" i="6"/>
  <c r="G526" i="6" s="1"/>
  <c r="I526" i="6" s="1"/>
  <c r="B526" i="6"/>
  <c r="E525" i="6"/>
  <c r="G525" i="6" s="1"/>
  <c r="I525" i="6" s="1"/>
  <c r="B525" i="6"/>
  <c r="E524" i="6"/>
  <c r="G524" i="6" s="1"/>
  <c r="I524" i="6" s="1"/>
  <c r="B524" i="6"/>
  <c r="E523" i="6"/>
  <c r="G523" i="6" s="1"/>
  <c r="I523" i="6" s="1"/>
  <c r="B523" i="6"/>
  <c r="E522" i="6"/>
  <c r="G522" i="6" s="1"/>
  <c r="I522" i="6" s="1"/>
  <c r="B522" i="6"/>
  <c r="E521" i="6"/>
  <c r="G521" i="6" s="1"/>
  <c r="I521" i="6" s="1"/>
  <c r="B521" i="6"/>
  <c r="G520" i="6"/>
  <c r="I520" i="6" s="1"/>
  <c r="E520" i="6"/>
  <c r="B520" i="6"/>
  <c r="E519" i="6"/>
  <c r="G519" i="6" s="1"/>
  <c r="I519" i="6" s="1"/>
  <c r="B519" i="6"/>
  <c r="E518" i="6"/>
  <c r="G518" i="6" s="1"/>
  <c r="I518" i="6" s="1"/>
  <c r="B518" i="6"/>
  <c r="E517" i="6"/>
  <c r="G517" i="6" s="1"/>
  <c r="I517" i="6" s="1"/>
  <c r="B517" i="6"/>
  <c r="G516" i="6"/>
  <c r="I516" i="6" s="1"/>
  <c r="E516" i="6"/>
  <c r="B516" i="6"/>
  <c r="E515" i="6"/>
  <c r="G515" i="6" s="1"/>
  <c r="I515" i="6" s="1"/>
  <c r="B515" i="6"/>
  <c r="G514" i="6"/>
  <c r="I514" i="6" s="1"/>
  <c r="E514" i="6"/>
  <c r="B514" i="6"/>
  <c r="I513" i="6"/>
  <c r="K513" i="6" s="1"/>
  <c r="E513" i="6"/>
  <c r="G513" i="6" s="1"/>
  <c r="B513" i="6"/>
  <c r="E512" i="6"/>
  <c r="G512" i="6" s="1"/>
  <c r="I512" i="6" s="1"/>
  <c r="K512" i="6" s="1"/>
  <c r="B512" i="6"/>
  <c r="E511" i="6"/>
  <c r="G511" i="6" s="1"/>
  <c r="I511" i="6" s="1"/>
  <c r="B511" i="6"/>
  <c r="E510" i="6"/>
  <c r="G510" i="6" s="1"/>
  <c r="I510" i="6" s="1"/>
  <c r="B510" i="6"/>
  <c r="E509" i="6"/>
  <c r="G509" i="6" s="1"/>
  <c r="I509" i="6" s="1"/>
  <c r="B509" i="6"/>
  <c r="E508" i="6"/>
  <c r="G508" i="6" s="1"/>
  <c r="I508" i="6" s="1"/>
  <c r="J508" i="6" s="1"/>
  <c r="B508" i="6"/>
  <c r="E507" i="6"/>
  <c r="G507" i="6" s="1"/>
  <c r="I507" i="6" s="1"/>
  <c r="B507" i="6"/>
  <c r="E506" i="6"/>
  <c r="G506" i="6" s="1"/>
  <c r="I506" i="6" s="1"/>
  <c r="B506" i="6"/>
  <c r="E505" i="6"/>
  <c r="G505" i="6" s="1"/>
  <c r="I505" i="6" s="1"/>
  <c r="K505" i="6" s="1"/>
  <c r="B505" i="6"/>
  <c r="G504" i="6"/>
  <c r="I504" i="6" s="1"/>
  <c r="E504" i="6"/>
  <c r="B504" i="6"/>
  <c r="E503" i="6"/>
  <c r="G503" i="6" s="1"/>
  <c r="I503" i="6" s="1"/>
  <c r="J503" i="6" s="1"/>
  <c r="B503" i="6"/>
  <c r="E502" i="6"/>
  <c r="G502" i="6" s="1"/>
  <c r="I502" i="6" s="1"/>
  <c r="B502" i="6"/>
  <c r="G501" i="6"/>
  <c r="I501" i="6" s="1"/>
  <c r="E501" i="6"/>
  <c r="B501" i="6"/>
  <c r="E500" i="6"/>
  <c r="G500" i="6" s="1"/>
  <c r="I500" i="6" s="1"/>
  <c r="B500" i="6"/>
  <c r="E499" i="6"/>
  <c r="G499" i="6" s="1"/>
  <c r="I499" i="6" s="1"/>
  <c r="B499" i="6"/>
  <c r="G498" i="6"/>
  <c r="I498" i="6" s="1"/>
  <c r="E498" i="6"/>
  <c r="B498" i="6"/>
  <c r="J497" i="6"/>
  <c r="I497" i="6"/>
  <c r="K497" i="6" s="1"/>
  <c r="E497" i="6"/>
  <c r="G497" i="6" s="1"/>
  <c r="B497" i="6"/>
  <c r="G496" i="6"/>
  <c r="I496" i="6" s="1"/>
  <c r="E496" i="6"/>
  <c r="B496" i="6"/>
  <c r="E495" i="6"/>
  <c r="G495" i="6" s="1"/>
  <c r="I495" i="6" s="1"/>
  <c r="B495" i="6"/>
  <c r="E494" i="6"/>
  <c r="G494" i="6" s="1"/>
  <c r="I494" i="6" s="1"/>
  <c r="B494" i="6"/>
  <c r="K493" i="6"/>
  <c r="E493" i="6"/>
  <c r="G493" i="6" s="1"/>
  <c r="I493" i="6" s="1"/>
  <c r="J493" i="6" s="1"/>
  <c r="B493" i="6"/>
  <c r="I492" i="6"/>
  <c r="J492" i="6" s="1"/>
  <c r="E492" i="6"/>
  <c r="G492" i="6" s="1"/>
  <c r="B492" i="6"/>
  <c r="E491" i="6"/>
  <c r="G491" i="6" s="1"/>
  <c r="I491" i="6" s="1"/>
  <c r="B491" i="6"/>
  <c r="E490" i="6"/>
  <c r="G490" i="6" s="1"/>
  <c r="I490" i="6" s="1"/>
  <c r="B490" i="6"/>
  <c r="G489" i="6"/>
  <c r="I489" i="6" s="1"/>
  <c r="K489" i="6" s="1"/>
  <c r="E489" i="6"/>
  <c r="B489" i="6"/>
  <c r="E488" i="6"/>
  <c r="G488" i="6" s="1"/>
  <c r="I488" i="6" s="1"/>
  <c r="B488" i="6"/>
  <c r="E487" i="6"/>
  <c r="G487" i="6" s="1"/>
  <c r="I487" i="6" s="1"/>
  <c r="B487" i="6"/>
  <c r="G486" i="6"/>
  <c r="I486" i="6" s="1"/>
  <c r="J486" i="6" s="1"/>
  <c r="E486" i="6"/>
  <c r="B486" i="6"/>
  <c r="E485" i="6"/>
  <c r="G485" i="6" s="1"/>
  <c r="I485" i="6" s="1"/>
  <c r="B485" i="6"/>
  <c r="E484" i="6"/>
  <c r="G484" i="6" s="1"/>
  <c r="I484" i="6" s="1"/>
  <c r="B484" i="6"/>
  <c r="E483" i="6"/>
  <c r="G483" i="6" s="1"/>
  <c r="I483" i="6" s="1"/>
  <c r="B483" i="6"/>
  <c r="E482" i="6"/>
  <c r="G482" i="6" s="1"/>
  <c r="I482" i="6" s="1"/>
  <c r="B482" i="6"/>
  <c r="E481" i="6"/>
  <c r="G481" i="6" s="1"/>
  <c r="I481" i="6" s="1"/>
  <c r="B481" i="6"/>
  <c r="E480" i="6"/>
  <c r="G480" i="6" s="1"/>
  <c r="I480" i="6" s="1"/>
  <c r="B480" i="6"/>
  <c r="I479" i="6"/>
  <c r="J479" i="6" s="1"/>
  <c r="G479" i="6"/>
  <c r="E479" i="6"/>
  <c r="B479" i="6"/>
  <c r="K478" i="6"/>
  <c r="E478" i="6"/>
  <c r="G478" i="6" s="1"/>
  <c r="I478" i="6" s="1"/>
  <c r="J478" i="6" s="1"/>
  <c r="B478" i="6"/>
  <c r="E477" i="6"/>
  <c r="G477" i="6" s="1"/>
  <c r="I477" i="6" s="1"/>
  <c r="B477" i="6"/>
  <c r="E476" i="6"/>
  <c r="G476" i="6" s="1"/>
  <c r="I476" i="6" s="1"/>
  <c r="B476" i="6"/>
  <c r="G475" i="6"/>
  <c r="I475" i="6" s="1"/>
  <c r="K475" i="6" s="1"/>
  <c r="E475" i="6"/>
  <c r="B475" i="6"/>
  <c r="I474" i="6"/>
  <c r="K474" i="6" s="1"/>
  <c r="E474" i="6"/>
  <c r="G474" i="6" s="1"/>
  <c r="B474" i="6"/>
  <c r="E473" i="6"/>
  <c r="G473" i="6" s="1"/>
  <c r="I473" i="6" s="1"/>
  <c r="B473" i="6"/>
  <c r="E472" i="6"/>
  <c r="G472" i="6" s="1"/>
  <c r="I472" i="6" s="1"/>
  <c r="B472" i="6"/>
  <c r="E471" i="6"/>
  <c r="G471" i="6" s="1"/>
  <c r="I471" i="6" s="1"/>
  <c r="K471" i="6" s="1"/>
  <c r="B471" i="6"/>
  <c r="E470" i="6"/>
  <c r="G470" i="6" s="1"/>
  <c r="I470" i="6" s="1"/>
  <c r="J470" i="6" s="1"/>
  <c r="B470" i="6"/>
  <c r="E469" i="6"/>
  <c r="G469" i="6" s="1"/>
  <c r="I469" i="6" s="1"/>
  <c r="B469" i="6"/>
  <c r="E468" i="6"/>
  <c r="G468" i="6" s="1"/>
  <c r="I468" i="6" s="1"/>
  <c r="K468" i="6" s="1"/>
  <c r="B468" i="6"/>
  <c r="E467" i="6"/>
  <c r="G467" i="6" s="1"/>
  <c r="I467" i="6" s="1"/>
  <c r="K467" i="6" s="1"/>
  <c r="B467" i="6"/>
  <c r="K466" i="6"/>
  <c r="E466" i="6"/>
  <c r="G466" i="6" s="1"/>
  <c r="I466" i="6" s="1"/>
  <c r="J466" i="6" s="1"/>
  <c r="B466" i="6"/>
  <c r="E465" i="6"/>
  <c r="G465" i="6" s="1"/>
  <c r="I465" i="6" s="1"/>
  <c r="B465" i="6"/>
  <c r="G464" i="6"/>
  <c r="I464" i="6" s="1"/>
  <c r="E464" i="6"/>
  <c r="B464" i="6"/>
  <c r="E463" i="6"/>
  <c r="G463" i="6" s="1"/>
  <c r="I463" i="6" s="1"/>
  <c r="J463" i="6" s="1"/>
  <c r="B463" i="6"/>
  <c r="E462" i="6"/>
  <c r="G462" i="6" s="1"/>
  <c r="I462" i="6" s="1"/>
  <c r="B462" i="6"/>
  <c r="E461" i="6"/>
  <c r="G461" i="6" s="1"/>
  <c r="I461" i="6" s="1"/>
  <c r="K461" i="6" s="1"/>
  <c r="B461" i="6"/>
  <c r="E460" i="6"/>
  <c r="G460" i="6" s="1"/>
  <c r="I460" i="6" s="1"/>
  <c r="B460" i="6"/>
  <c r="E459" i="6"/>
  <c r="G459" i="6" s="1"/>
  <c r="I459" i="6" s="1"/>
  <c r="B459" i="6"/>
  <c r="E458" i="6"/>
  <c r="G458" i="6" s="1"/>
  <c r="I458" i="6" s="1"/>
  <c r="B458" i="6"/>
  <c r="E457" i="6"/>
  <c r="G457" i="6" s="1"/>
  <c r="I457" i="6" s="1"/>
  <c r="B457" i="6"/>
  <c r="E456" i="6"/>
  <c r="G456" i="6" s="1"/>
  <c r="I456" i="6" s="1"/>
  <c r="J456" i="6" s="1"/>
  <c r="B456" i="6"/>
  <c r="G455" i="6"/>
  <c r="I455" i="6" s="1"/>
  <c r="E455" i="6"/>
  <c r="B455" i="6"/>
  <c r="G454" i="6"/>
  <c r="I454" i="6" s="1"/>
  <c r="E454" i="6"/>
  <c r="B454" i="6"/>
  <c r="E453" i="6"/>
  <c r="G453" i="6" s="1"/>
  <c r="I453" i="6" s="1"/>
  <c r="K453" i="6" s="1"/>
  <c r="B453" i="6"/>
  <c r="I452" i="6"/>
  <c r="K452" i="6" s="1"/>
  <c r="G452" i="6"/>
  <c r="E452" i="6"/>
  <c r="B452" i="6"/>
  <c r="K451" i="6"/>
  <c r="E451" i="6"/>
  <c r="G451" i="6" s="1"/>
  <c r="I451" i="6" s="1"/>
  <c r="J451" i="6" s="1"/>
  <c r="B451" i="6"/>
  <c r="E450" i="6"/>
  <c r="G450" i="6" s="1"/>
  <c r="I450" i="6" s="1"/>
  <c r="B450" i="6"/>
  <c r="E449" i="6"/>
  <c r="G449" i="6" s="1"/>
  <c r="I449" i="6" s="1"/>
  <c r="B449" i="6"/>
  <c r="E448" i="6"/>
  <c r="G448" i="6" s="1"/>
  <c r="I448" i="6" s="1"/>
  <c r="B448" i="6"/>
  <c r="E447" i="6"/>
  <c r="G447" i="6" s="1"/>
  <c r="I447" i="6" s="1"/>
  <c r="J447" i="6" s="1"/>
  <c r="B447" i="6"/>
  <c r="G446" i="6"/>
  <c r="I446" i="6" s="1"/>
  <c r="E446" i="6"/>
  <c r="B446" i="6"/>
  <c r="E445" i="6"/>
  <c r="G445" i="6" s="1"/>
  <c r="I445" i="6" s="1"/>
  <c r="B445" i="6"/>
  <c r="E444" i="6"/>
  <c r="G444" i="6" s="1"/>
  <c r="I444" i="6" s="1"/>
  <c r="J444" i="6" s="1"/>
  <c r="B444" i="6"/>
  <c r="E443" i="6"/>
  <c r="G443" i="6" s="1"/>
  <c r="I443" i="6" s="1"/>
  <c r="B443" i="6"/>
  <c r="G442" i="6"/>
  <c r="I442" i="6" s="1"/>
  <c r="E442" i="6"/>
  <c r="B442" i="6"/>
  <c r="E441" i="6"/>
  <c r="G441" i="6" s="1"/>
  <c r="I441" i="6" s="1"/>
  <c r="B441" i="6"/>
  <c r="E440" i="6"/>
  <c r="G440" i="6" s="1"/>
  <c r="I440" i="6" s="1"/>
  <c r="B440" i="6"/>
  <c r="G439" i="6"/>
  <c r="I439" i="6" s="1"/>
  <c r="E439" i="6"/>
  <c r="B439" i="6"/>
  <c r="E438" i="6"/>
  <c r="G438" i="6" s="1"/>
  <c r="I438" i="6" s="1"/>
  <c r="K438" i="6" s="1"/>
  <c r="B438" i="6"/>
  <c r="E437" i="6"/>
  <c r="G437" i="6" s="1"/>
  <c r="I437" i="6" s="1"/>
  <c r="B437" i="6"/>
  <c r="G436" i="6"/>
  <c r="I436" i="6" s="1"/>
  <c r="E436" i="6"/>
  <c r="B436" i="6"/>
  <c r="E435" i="6"/>
  <c r="G435" i="6" s="1"/>
  <c r="I435" i="6" s="1"/>
  <c r="B435" i="6"/>
  <c r="E434" i="6"/>
  <c r="G434" i="6" s="1"/>
  <c r="I434" i="6" s="1"/>
  <c r="B434" i="6"/>
  <c r="K433" i="6"/>
  <c r="I433" i="6"/>
  <c r="J433" i="6" s="1"/>
  <c r="E433" i="6"/>
  <c r="G433" i="6" s="1"/>
  <c r="B433" i="6"/>
  <c r="E432" i="6"/>
  <c r="G432" i="6" s="1"/>
  <c r="I432" i="6" s="1"/>
  <c r="B432" i="6"/>
  <c r="E431" i="6"/>
  <c r="G431" i="6" s="1"/>
  <c r="I431" i="6" s="1"/>
  <c r="B431" i="6"/>
  <c r="E430" i="6"/>
  <c r="G430" i="6" s="1"/>
  <c r="I430" i="6" s="1"/>
  <c r="B430" i="6"/>
  <c r="K429" i="6"/>
  <c r="G429" i="6"/>
  <c r="I429" i="6" s="1"/>
  <c r="J429" i="6" s="1"/>
  <c r="E429" i="6"/>
  <c r="B429" i="6"/>
  <c r="E428" i="6"/>
  <c r="G428" i="6" s="1"/>
  <c r="I428" i="6" s="1"/>
  <c r="B428" i="6"/>
  <c r="E427" i="6"/>
  <c r="G427" i="6" s="1"/>
  <c r="I427" i="6" s="1"/>
  <c r="B427" i="6"/>
  <c r="E426" i="6"/>
  <c r="G426" i="6" s="1"/>
  <c r="I426" i="6" s="1"/>
  <c r="B426" i="6"/>
  <c r="E425" i="6"/>
  <c r="G425" i="6" s="1"/>
  <c r="I425" i="6" s="1"/>
  <c r="J425" i="6" s="1"/>
  <c r="B425" i="6"/>
  <c r="E424" i="6"/>
  <c r="G424" i="6" s="1"/>
  <c r="I424" i="6" s="1"/>
  <c r="B424" i="6"/>
  <c r="E423" i="6"/>
  <c r="G423" i="6" s="1"/>
  <c r="I423" i="6" s="1"/>
  <c r="B423" i="6"/>
  <c r="E422" i="6"/>
  <c r="G422" i="6" s="1"/>
  <c r="I422" i="6" s="1"/>
  <c r="B422" i="6"/>
  <c r="E421" i="6"/>
  <c r="G421" i="6" s="1"/>
  <c r="I421" i="6" s="1"/>
  <c r="B421" i="6"/>
  <c r="G420" i="6"/>
  <c r="I420" i="6" s="1"/>
  <c r="E420" i="6"/>
  <c r="B420" i="6"/>
  <c r="E419" i="6"/>
  <c r="G419" i="6" s="1"/>
  <c r="I419" i="6" s="1"/>
  <c r="B419" i="6"/>
  <c r="E418" i="6"/>
  <c r="G418" i="6" s="1"/>
  <c r="I418" i="6" s="1"/>
  <c r="B418" i="6"/>
  <c r="E417" i="6"/>
  <c r="G417" i="6" s="1"/>
  <c r="I417" i="6" s="1"/>
  <c r="B417" i="6"/>
  <c r="E416" i="6"/>
  <c r="G416" i="6" s="1"/>
  <c r="I416" i="6" s="1"/>
  <c r="B416" i="6"/>
  <c r="E415" i="6"/>
  <c r="G415" i="6" s="1"/>
  <c r="I415" i="6" s="1"/>
  <c r="J415" i="6" s="1"/>
  <c r="B415" i="6"/>
  <c r="G414" i="6"/>
  <c r="I414" i="6" s="1"/>
  <c r="E414" i="6"/>
  <c r="B414" i="6"/>
  <c r="I413" i="6"/>
  <c r="E413" i="6"/>
  <c r="G413" i="6" s="1"/>
  <c r="B413" i="6"/>
  <c r="E412" i="6"/>
  <c r="G412" i="6" s="1"/>
  <c r="I412" i="6" s="1"/>
  <c r="B412" i="6"/>
  <c r="E411" i="6"/>
  <c r="G411" i="6" s="1"/>
  <c r="I411" i="6" s="1"/>
  <c r="J411" i="6" s="1"/>
  <c r="B411" i="6"/>
  <c r="E410" i="6"/>
  <c r="G410" i="6" s="1"/>
  <c r="I410" i="6" s="1"/>
  <c r="B410" i="6"/>
  <c r="E409" i="6"/>
  <c r="G409" i="6" s="1"/>
  <c r="I409" i="6" s="1"/>
  <c r="B409" i="6"/>
  <c r="E408" i="6"/>
  <c r="G408" i="6" s="1"/>
  <c r="I408" i="6" s="1"/>
  <c r="B408" i="6"/>
  <c r="J407" i="6"/>
  <c r="I407" i="6"/>
  <c r="K407" i="6" s="1"/>
  <c r="E407" i="6"/>
  <c r="G407" i="6" s="1"/>
  <c r="B407" i="6"/>
  <c r="I406" i="6"/>
  <c r="J406" i="6" s="1"/>
  <c r="G406" i="6"/>
  <c r="E406" i="6"/>
  <c r="B406" i="6"/>
  <c r="E405" i="6"/>
  <c r="G405" i="6" s="1"/>
  <c r="I405" i="6" s="1"/>
  <c r="K405" i="6" s="1"/>
  <c r="B405" i="6"/>
  <c r="G404" i="6"/>
  <c r="I404" i="6" s="1"/>
  <c r="E404" i="6"/>
  <c r="B404" i="6"/>
  <c r="E403" i="6"/>
  <c r="G403" i="6" s="1"/>
  <c r="I403" i="6" s="1"/>
  <c r="K403" i="6" s="1"/>
  <c r="B403" i="6"/>
  <c r="E402" i="6"/>
  <c r="G402" i="6" s="1"/>
  <c r="I402" i="6" s="1"/>
  <c r="K402" i="6" s="1"/>
  <c r="B402" i="6"/>
  <c r="E401" i="6"/>
  <c r="G401" i="6" s="1"/>
  <c r="I401" i="6" s="1"/>
  <c r="B401" i="6"/>
  <c r="E400" i="6"/>
  <c r="G400" i="6" s="1"/>
  <c r="I400" i="6" s="1"/>
  <c r="B400" i="6"/>
  <c r="E399" i="6"/>
  <c r="G399" i="6" s="1"/>
  <c r="I399" i="6" s="1"/>
  <c r="B399" i="6"/>
  <c r="E398" i="6"/>
  <c r="G398" i="6" s="1"/>
  <c r="I398" i="6" s="1"/>
  <c r="B398" i="6"/>
  <c r="E397" i="6"/>
  <c r="G397" i="6" s="1"/>
  <c r="I397" i="6" s="1"/>
  <c r="B397" i="6"/>
  <c r="G396" i="6"/>
  <c r="I396" i="6" s="1"/>
  <c r="E396" i="6"/>
  <c r="B396" i="6"/>
  <c r="E395" i="6"/>
  <c r="G395" i="6" s="1"/>
  <c r="I395" i="6" s="1"/>
  <c r="B395" i="6"/>
  <c r="I394" i="6"/>
  <c r="K394" i="6" s="1"/>
  <c r="E394" i="6"/>
  <c r="G394" i="6" s="1"/>
  <c r="B394" i="6"/>
  <c r="K393" i="6"/>
  <c r="E393" i="6"/>
  <c r="G393" i="6" s="1"/>
  <c r="I393" i="6" s="1"/>
  <c r="J393" i="6" s="1"/>
  <c r="B393" i="6"/>
  <c r="E392" i="6"/>
  <c r="G392" i="6" s="1"/>
  <c r="I392" i="6" s="1"/>
  <c r="B392" i="6"/>
  <c r="G391" i="6"/>
  <c r="I391" i="6" s="1"/>
  <c r="E391" i="6"/>
  <c r="B391" i="6"/>
  <c r="I390" i="6"/>
  <c r="J390" i="6" s="1"/>
  <c r="E390" i="6"/>
  <c r="G390" i="6" s="1"/>
  <c r="B390" i="6"/>
  <c r="J389" i="6"/>
  <c r="I389" i="6"/>
  <c r="K389" i="6" s="1"/>
  <c r="G389" i="6"/>
  <c r="E389" i="6"/>
  <c r="B389" i="6"/>
  <c r="E388" i="6"/>
  <c r="G388" i="6" s="1"/>
  <c r="I388" i="6" s="1"/>
  <c r="B388" i="6"/>
  <c r="E387" i="6"/>
  <c r="G387" i="6" s="1"/>
  <c r="I387" i="6" s="1"/>
  <c r="B387" i="6"/>
  <c r="G386" i="6"/>
  <c r="I386" i="6" s="1"/>
  <c r="J386" i="6" s="1"/>
  <c r="E386" i="6"/>
  <c r="B386" i="6"/>
  <c r="G385" i="6"/>
  <c r="I385" i="6" s="1"/>
  <c r="K385" i="6" s="1"/>
  <c r="E385" i="6"/>
  <c r="B385" i="6"/>
  <c r="E384" i="6"/>
  <c r="G384" i="6" s="1"/>
  <c r="I384" i="6" s="1"/>
  <c r="B384" i="6"/>
  <c r="E383" i="6"/>
  <c r="G383" i="6" s="1"/>
  <c r="I383" i="6" s="1"/>
  <c r="J383" i="6" s="1"/>
  <c r="B383" i="6"/>
  <c r="E382" i="6"/>
  <c r="G382" i="6" s="1"/>
  <c r="I382" i="6" s="1"/>
  <c r="B382" i="6"/>
  <c r="E381" i="6"/>
  <c r="G381" i="6" s="1"/>
  <c r="I381" i="6" s="1"/>
  <c r="B381" i="6"/>
  <c r="E380" i="6"/>
  <c r="G380" i="6" s="1"/>
  <c r="I380" i="6" s="1"/>
  <c r="J380" i="6" s="1"/>
  <c r="B380" i="6"/>
  <c r="G379" i="6"/>
  <c r="I379" i="6" s="1"/>
  <c r="E379" i="6"/>
  <c r="B379" i="6"/>
  <c r="E378" i="6"/>
  <c r="G378" i="6" s="1"/>
  <c r="I378" i="6" s="1"/>
  <c r="B378" i="6"/>
  <c r="K377" i="6"/>
  <c r="I377" i="6"/>
  <c r="J377" i="6" s="1"/>
  <c r="E377" i="6"/>
  <c r="G377" i="6" s="1"/>
  <c r="B377" i="6"/>
  <c r="G376" i="6"/>
  <c r="I376" i="6" s="1"/>
  <c r="E376" i="6"/>
  <c r="B376" i="6"/>
  <c r="G375" i="6"/>
  <c r="I375" i="6" s="1"/>
  <c r="K375" i="6" s="1"/>
  <c r="E375" i="6"/>
  <c r="B375" i="6"/>
  <c r="E374" i="6"/>
  <c r="G374" i="6" s="1"/>
  <c r="I374" i="6" s="1"/>
  <c r="B374" i="6"/>
  <c r="E373" i="6"/>
  <c r="G373" i="6" s="1"/>
  <c r="I373" i="6" s="1"/>
  <c r="B373" i="6"/>
  <c r="G372" i="6"/>
  <c r="I372" i="6" s="1"/>
  <c r="E372" i="6"/>
  <c r="B372" i="6"/>
  <c r="E371" i="6"/>
  <c r="G371" i="6" s="1"/>
  <c r="I371" i="6" s="1"/>
  <c r="K371" i="6" s="1"/>
  <c r="B371" i="6"/>
  <c r="E370" i="6"/>
  <c r="G370" i="6" s="1"/>
  <c r="I370" i="6" s="1"/>
  <c r="B370" i="6"/>
  <c r="E369" i="6"/>
  <c r="G369" i="6" s="1"/>
  <c r="I369" i="6" s="1"/>
  <c r="B369" i="6"/>
  <c r="E368" i="6"/>
  <c r="G368" i="6" s="1"/>
  <c r="I368" i="6" s="1"/>
  <c r="K368" i="6" s="1"/>
  <c r="B368" i="6"/>
  <c r="E367" i="6"/>
  <c r="G367" i="6" s="1"/>
  <c r="I367" i="6" s="1"/>
  <c r="K367" i="6" s="1"/>
  <c r="B367" i="6"/>
  <c r="E366" i="6"/>
  <c r="G366" i="6" s="1"/>
  <c r="I366" i="6" s="1"/>
  <c r="B366" i="6"/>
  <c r="G365" i="6"/>
  <c r="I365" i="6" s="1"/>
  <c r="E365" i="6"/>
  <c r="B365" i="6"/>
  <c r="I364" i="6"/>
  <c r="K364" i="6" s="1"/>
  <c r="G364" i="6"/>
  <c r="E364" i="6"/>
  <c r="B364" i="6"/>
  <c r="K363" i="6"/>
  <c r="E363" i="6"/>
  <c r="G363" i="6" s="1"/>
  <c r="I363" i="6" s="1"/>
  <c r="J363" i="6" s="1"/>
  <c r="B363" i="6"/>
  <c r="E362" i="6"/>
  <c r="G362" i="6" s="1"/>
  <c r="I362" i="6" s="1"/>
  <c r="B362" i="6"/>
  <c r="E361" i="6"/>
  <c r="G361" i="6" s="1"/>
  <c r="I361" i="6" s="1"/>
  <c r="B361" i="6"/>
  <c r="E360" i="6"/>
  <c r="G360" i="6" s="1"/>
  <c r="I360" i="6" s="1"/>
  <c r="J360" i="6" s="1"/>
  <c r="B360" i="6"/>
  <c r="K359" i="6"/>
  <c r="E359" i="6"/>
  <c r="G359" i="6" s="1"/>
  <c r="I359" i="6" s="1"/>
  <c r="J359" i="6" s="1"/>
  <c r="B359" i="6"/>
  <c r="E358" i="6"/>
  <c r="G358" i="6" s="1"/>
  <c r="I358" i="6" s="1"/>
  <c r="B358" i="6"/>
  <c r="E357" i="6"/>
  <c r="G357" i="6" s="1"/>
  <c r="I357" i="6" s="1"/>
  <c r="B357" i="6"/>
  <c r="E356" i="6"/>
  <c r="G356" i="6" s="1"/>
  <c r="I356" i="6" s="1"/>
  <c r="J356" i="6" s="1"/>
  <c r="B356" i="6"/>
  <c r="E355" i="6"/>
  <c r="G355" i="6" s="1"/>
  <c r="I355" i="6" s="1"/>
  <c r="B355" i="6"/>
  <c r="G354" i="6"/>
  <c r="I354" i="6" s="1"/>
  <c r="E354" i="6"/>
  <c r="B354" i="6"/>
  <c r="E353" i="6"/>
  <c r="G353" i="6" s="1"/>
  <c r="I353" i="6" s="1"/>
  <c r="K353" i="6" s="1"/>
  <c r="B353" i="6"/>
  <c r="G352" i="6"/>
  <c r="I352" i="6" s="1"/>
  <c r="E352" i="6"/>
  <c r="B352" i="6"/>
  <c r="E351" i="6"/>
  <c r="G351" i="6" s="1"/>
  <c r="I351" i="6" s="1"/>
  <c r="B351" i="6"/>
  <c r="E350" i="6"/>
  <c r="G350" i="6" s="1"/>
  <c r="I350" i="6" s="1"/>
  <c r="J350" i="6" s="1"/>
  <c r="B350" i="6"/>
  <c r="E349" i="6"/>
  <c r="G349" i="6" s="1"/>
  <c r="I349" i="6" s="1"/>
  <c r="B349" i="6"/>
  <c r="E348" i="6"/>
  <c r="G348" i="6" s="1"/>
  <c r="I348" i="6" s="1"/>
  <c r="B348" i="6"/>
  <c r="E347" i="6"/>
  <c r="G347" i="6" s="1"/>
  <c r="I347" i="6" s="1"/>
  <c r="B347" i="6"/>
  <c r="G346" i="6"/>
  <c r="I346" i="6" s="1"/>
  <c r="E346" i="6"/>
  <c r="B346" i="6"/>
  <c r="I345" i="6"/>
  <c r="K345" i="6" s="1"/>
  <c r="E345" i="6"/>
  <c r="G345" i="6" s="1"/>
  <c r="B345" i="6"/>
  <c r="E344" i="6"/>
  <c r="G344" i="6" s="1"/>
  <c r="I344" i="6" s="1"/>
  <c r="J344" i="6" s="1"/>
  <c r="B344" i="6"/>
  <c r="E343" i="6"/>
  <c r="G343" i="6" s="1"/>
  <c r="I343" i="6" s="1"/>
  <c r="K343" i="6" s="1"/>
  <c r="B343" i="6"/>
  <c r="E342" i="6"/>
  <c r="G342" i="6" s="1"/>
  <c r="I342" i="6" s="1"/>
  <c r="B342" i="6"/>
  <c r="E341" i="6"/>
  <c r="G341" i="6" s="1"/>
  <c r="I341" i="6" s="1"/>
  <c r="K341" i="6" s="1"/>
  <c r="B341" i="6"/>
  <c r="E340" i="6"/>
  <c r="G340" i="6" s="1"/>
  <c r="I340" i="6" s="1"/>
  <c r="B340" i="6"/>
  <c r="G339" i="6"/>
  <c r="I339" i="6" s="1"/>
  <c r="E339" i="6"/>
  <c r="B339" i="6"/>
  <c r="E338" i="6"/>
  <c r="G338" i="6" s="1"/>
  <c r="I338" i="6" s="1"/>
  <c r="B338" i="6"/>
  <c r="I337" i="6"/>
  <c r="E337" i="6"/>
  <c r="G337" i="6" s="1"/>
  <c r="B337" i="6"/>
  <c r="G336" i="6"/>
  <c r="I336" i="6" s="1"/>
  <c r="E336" i="6"/>
  <c r="B336" i="6"/>
  <c r="G335" i="6"/>
  <c r="I335" i="6" s="1"/>
  <c r="K335" i="6" s="1"/>
  <c r="E335" i="6"/>
  <c r="B335" i="6"/>
  <c r="E334" i="6"/>
  <c r="G334" i="6" s="1"/>
  <c r="I334" i="6" s="1"/>
  <c r="B334" i="6"/>
  <c r="I333" i="6"/>
  <c r="K333" i="6" s="1"/>
  <c r="E333" i="6"/>
  <c r="G333" i="6" s="1"/>
  <c r="B333" i="6"/>
  <c r="E332" i="6"/>
  <c r="G332" i="6" s="1"/>
  <c r="I332" i="6" s="1"/>
  <c r="B332" i="6"/>
  <c r="G331" i="6"/>
  <c r="I331" i="6" s="1"/>
  <c r="E331" i="6"/>
  <c r="B331" i="6"/>
  <c r="I330" i="6"/>
  <c r="J330" i="6" s="1"/>
  <c r="G330" i="6"/>
  <c r="E330" i="6"/>
  <c r="B330" i="6"/>
  <c r="G329" i="6"/>
  <c r="I329" i="6" s="1"/>
  <c r="K329" i="6" s="1"/>
  <c r="E329" i="6"/>
  <c r="B329" i="6"/>
  <c r="G328" i="6"/>
  <c r="I328" i="6" s="1"/>
  <c r="K328" i="6" s="1"/>
  <c r="E328" i="6"/>
  <c r="B328" i="6"/>
  <c r="I327" i="6"/>
  <c r="K327" i="6" s="1"/>
  <c r="E327" i="6"/>
  <c r="G327" i="6" s="1"/>
  <c r="B327" i="6"/>
  <c r="I326" i="6"/>
  <c r="J326" i="6" s="1"/>
  <c r="E326" i="6"/>
  <c r="G326" i="6" s="1"/>
  <c r="B326" i="6"/>
  <c r="E325" i="6"/>
  <c r="G325" i="6" s="1"/>
  <c r="I325" i="6" s="1"/>
  <c r="J325" i="6" s="1"/>
  <c r="B325" i="6"/>
  <c r="E324" i="6"/>
  <c r="G324" i="6" s="1"/>
  <c r="I324" i="6" s="1"/>
  <c r="B324" i="6"/>
  <c r="E323" i="6"/>
  <c r="G323" i="6" s="1"/>
  <c r="I323" i="6" s="1"/>
  <c r="B323" i="6"/>
  <c r="K322" i="6"/>
  <c r="E322" i="6"/>
  <c r="G322" i="6" s="1"/>
  <c r="I322" i="6" s="1"/>
  <c r="J322" i="6" s="1"/>
  <c r="B322" i="6"/>
  <c r="E321" i="6"/>
  <c r="G321" i="6" s="1"/>
  <c r="I321" i="6" s="1"/>
  <c r="B321" i="6"/>
  <c r="E320" i="6"/>
  <c r="G320" i="6" s="1"/>
  <c r="I320" i="6" s="1"/>
  <c r="B320" i="6"/>
  <c r="E319" i="6"/>
  <c r="G319" i="6" s="1"/>
  <c r="I319" i="6" s="1"/>
  <c r="B319" i="6"/>
  <c r="E318" i="6"/>
  <c r="G318" i="6" s="1"/>
  <c r="I318" i="6" s="1"/>
  <c r="B318" i="6"/>
  <c r="E317" i="6"/>
  <c r="G317" i="6" s="1"/>
  <c r="I317" i="6" s="1"/>
  <c r="B317" i="6"/>
  <c r="G316" i="6"/>
  <c r="I316" i="6" s="1"/>
  <c r="E316" i="6"/>
  <c r="B316" i="6"/>
  <c r="E315" i="6"/>
  <c r="G315" i="6" s="1"/>
  <c r="I315" i="6" s="1"/>
  <c r="B315" i="6"/>
  <c r="G314" i="6"/>
  <c r="I314" i="6" s="1"/>
  <c r="E314" i="6"/>
  <c r="B314" i="6"/>
  <c r="E313" i="6"/>
  <c r="G313" i="6" s="1"/>
  <c r="I313" i="6" s="1"/>
  <c r="B313" i="6"/>
  <c r="E312" i="6"/>
  <c r="G312" i="6" s="1"/>
  <c r="I312" i="6" s="1"/>
  <c r="K312" i="6" s="1"/>
  <c r="B312" i="6"/>
  <c r="E311" i="6"/>
  <c r="G311" i="6" s="1"/>
  <c r="I311" i="6" s="1"/>
  <c r="B311" i="6"/>
  <c r="E310" i="6"/>
  <c r="G310" i="6" s="1"/>
  <c r="I310" i="6" s="1"/>
  <c r="B310" i="6"/>
  <c r="E309" i="6"/>
  <c r="G309" i="6" s="1"/>
  <c r="I309" i="6" s="1"/>
  <c r="B309" i="6"/>
  <c r="G308" i="6"/>
  <c r="I308" i="6" s="1"/>
  <c r="E308" i="6"/>
  <c r="B308" i="6"/>
  <c r="I307" i="6"/>
  <c r="K307" i="6" s="1"/>
  <c r="E307" i="6"/>
  <c r="G307" i="6" s="1"/>
  <c r="B307" i="6"/>
  <c r="G306" i="6"/>
  <c r="I306" i="6" s="1"/>
  <c r="E306" i="6"/>
  <c r="B306" i="6"/>
  <c r="E305" i="6"/>
  <c r="G305" i="6" s="1"/>
  <c r="I305" i="6" s="1"/>
  <c r="B305" i="6"/>
  <c r="G304" i="6"/>
  <c r="I304" i="6" s="1"/>
  <c r="E304" i="6"/>
  <c r="B304" i="6"/>
  <c r="K303" i="6"/>
  <c r="J303" i="6"/>
  <c r="E303" i="6"/>
  <c r="G303" i="6" s="1"/>
  <c r="I303" i="6" s="1"/>
  <c r="B303" i="6"/>
  <c r="E302" i="6"/>
  <c r="G302" i="6" s="1"/>
  <c r="I302" i="6" s="1"/>
  <c r="K302" i="6" s="1"/>
  <c r="B302" i="6"/>
  <c r="E301" i="6"/>
  <c r="G301" i="6" s="1"/>
  <c r="I301" i="6" s="1"/>
  <c r="B301" i="6"/>
  <c r="E300" i="6"/>
  <c r="G300" i="6" s="1"/>
  <c r="I300" i="6" s="1"/>
  <c r="B300" i="6"/>
  <c r="E299" i="6"/>
  <c r="G299" i="6" s="1"/>
  <c r="I299" i="6" s="1"/>
  <c r="K299" i="6" s="1"/>
  <c r="B299" i="6"/>
  <c r="K298" i="6"/>
  <c r="E298" i="6"/>
  <c r="G298" i="6" s="1"/>
  <c r="I298" i="6" s="1"/>
  <c r="J298" i="6" s="1"/>
  <c r="B298" i="6"/>
  <c r="E297" i="6"/>
  <c r="G297" i="6" s="1"/>
  <c r="I297" i="6" s="1"/>
  <c r="B297" i="6"/>
  <c r="G296" i="6"/>
  <c r="I296" i="6" s="1"/>
  <c r="J296" i="6" s="1"/>
  <c r="E296" i="6"/>
  <c r="B296" i="6"/>
  <c r="E295" i="6"/>
  <c r="G295" i="6" s="1"/>
  <c r="I295" i="6" s="1"/>
  <c r="B295" i="6"/>
  <c r="E294" i="6"/>
  <c r="G294" i="6" s="1"/>
  <c r="I294" i="6" s="1"/>
  <c r="B294" i="6"/>
  <c r="E293" i="6"/>
  <c r="G293" i="6" s="1"/>
  <c r="I293" i="6" s="1"/>
  <c r="K293" i="6" s="1"/>
  <c r="B293" i="6"/>
  <c r="E292" i="6"/>
  <c r="G292" i="6" s="1"/>
  <c r="I292" i="6" s="1"/>
  <c r="B292" i="6"/>
  <c r="I291" i="6"/>
  <c r="G291" i="6"/>
  <c r="E291" i="6"/>
  <c r="B291" i="6"/>
  <c r="G290" i="6"/>
  <c r="I290" i="6" s="1"/>
  <c r="E290" i="6"/>
  <c r="B290" i="6"/>
  <c r="G289" i="6"/>
  <c r="I289" i="6" s="1"/>
  <c r="E289" i="6"/>
  <c r="B289" i="6"/>
  <c r="G288" i="6"/>
  <c r="I288" i="6" s="1"/>
  <c r="E288" i="6"/>
  <c r="B288" i="6"/>
  <c r="E287" i="6"/>
  <c r="G287" i="6" s="1"/>
  <c r="I287" i="6" s="1"/>
  <c r="K287" i="6" s="1"/>
  <c r="B287" i="6"/>
  <c r="G286" i="6"/>
  <c r="I286" i="6" s="1"/>
  <c r="E286" i="6"/>
  <c r="B286" i="6"/>
  <c r="G285" i="6"/>
  <c r="I285" i="6" s="1"/>
  <c r="K285" i="6" s="1"/>
  <c r="E285" i="6"/>
  <c r="B285" i="6"/>
  <c r="E284" i="6"/>
  <c r="G284" i="6" s="1"/>
  <c r="I284" i="6" s="1"/>
  <c r="B284" i="6"/>
  <c r="E283" i="6"/>
  <c r="G283" i="6" s="1"/>
  <c r="I283" i="6" s="1"/>
  <c r="J283" i="6" s="1"/>
  <c r="B283" i="6"/>
  <c r="E282" i="6"/>
  <c r="G282" i="6" s="1"/>
  <c r="I282" i="6" s="1"/>
  <c r="B282" i="6"/>
  <c r="E281" i="6"/>
  <c r="G281" i="6" s="1"/>
  <c r="I281" i="6" s="1"/>
  <c r="J281" i="6" s="1"/>
  <c r="B281" i="6"/>
  <c r="E280" i="6"/>
  <c r="G280" i="6" s="1"/>
  <c r="I280" i="6" s="1"/>
  <c r="J280" i="6" s="1"/>
  <c r="B280" i="6"/>
  <c r="G279" i="6"/>
  <c r="I279" i="6" s="1"/>
  <c r="E279" i="6"/>
  <c r="B279" i="6"/>
  <c r="K278" i="6"/>
  <c r="J278" i="6"/>
  <c r="E278" i="6"/>
  <c r="G278" i="6" s="1"/>
  <c r="I278" i="6" s="1"/>
  <c r="B278" i="6"/>
  <c r="E277" i="6"/>
  <c r="G277" i="6" s="1"/>
  <c r="I277" i="6" s="1"/>
  <c r="B277" i="6"/>
  <c r="E276" i="6"/>
  <c r="G276" i="6" s="1"/>
  <c r="I276" i="6" s="1"/>
  <c r="B276" i="6"/>
  <c r="E275" i="6"/>
  <c r="G275" i="6" s="1"/>
  <c r="I275" i="6" s="1"/>
  <c r="B275" i="6"/>
  <c r="E274" i="6"/>
  <c r="G274" i="6" s="1"/>
  <c r="I274" i="6" s="1"/>
  <c r="B274" i="6"/>
  <c r="E273" i="6"/>
  <c r="G273" i="6" s="1"/>
  <c r="I273" i="6" s="1"/>
  <c r="B273" i="6"/>
  <c r="I272" i="6"/>
  <c r="G272" i="6"/>
  <c r="E272" i="6"/>
  <c r="B272" i="6"/>
  <c r="E271" i="6"/>
  <c r="G271" i="6" s="1"/>
  <c r="I271" i="6" s="1"/>
  <c r="B271" i="6"/>
  <c r="E270" i="6"/>
  <c r="G270" i="6" s="1"/>
  <c r="I270" i="6" s="1"/>
  <c r="B270" i="6"/>
  <c r="G269" i="6"/>
  <c r="I269" i="6" s="1"/>
  <c r="E269" i="6"/>
  <c r="B269" i="6"/>
  <c r="E268" i="6"/>
  <c r="G268" i="6" s="1"/>
  <c r="I268" i="6" s="1"/>
  <c r="K268" i="6" s="1"/>
  <c r="B268" i="6"/>
  <c r="E267" i="6"/>
  <c r="G267" i="6" s="1"/>
  <c r="I267" i="6" s="1"/>
  <c r="B267" i="6"/>
  <c r="E266" i="6"/>
  <c r="G266" i="6" s="1"/>
  <c r="I266" i="6" s="1"/>
  <c r="B266" i="6"/>
  <c r="G265" i="6"/>
  <c r="I265" i="6" s="1"/>
  <c r="E265" i="6"/>
  <c r="B265" i="6"/>
  <c r="I264" i="6"/>
  <c r="K264" i="6" s="1"/>
  <c r="G264" i="6"/>
  <c r="E264" i="6"/>
  <c r="B264" i="6"/>
  <c r="E263" i="6"/>
  <c r="G263" i="6" s="1"/>
  <c r="I263" i="6" s="1"/>
  <c r="B263" i="6"/>
  <c r="E262" i="6"/>
  <c r="G262" i="6" s="1"/>
  <c r="I262" i="6" s="1"/>
  <c r="B262" i="6"/>
  <c r="K261" i="6"/>
  <c r="J261" i="6"/>
  <c r="E261" i="6"/>
  <c r="G261" i="6" s="1"/>
  <c r="I261" i="6" s="1"/>
  <c r="B261" i="6"/>
  <c r="E260" i="6"/>
  <c r="G260" i="6" s="1"/>
  <c r="I260" i="6" s="1"/>
  <c r="J260" i="6" s="1"/>
  <c r="B260" i="6"/>
  <c r="E259" i="6"/>
  <c r="G259" i="6" s="1"/>
  <c r="I259" i="6" s="1"/>
  <c r="K259" i="6" s="1"/>
  <c r="B259" i="6"/>
  <c r="E258" i="6"/>
  <c r="G258" i="6" s="1"/>
  <c r="I258" i="6" s="1"/>
  <c r="B258" i="6"/>
  <c r="E257" i="6"/>
  <c r="G257" i="6" s="1"/>
  <c r="I257" i="6" s="1"/>
  <c r="B257" i="6"/>
  <c r="E256" i="6"/>
  <c r="G256" i="6" s="1"/>
  <c r="I256" i="6" s="1"/>
  <c r="J256" i="6" s="1"/>
  <c r="B256" i="6"/>
  <c r="G255" i="6"/>
  <c r="I255" i="6" s="1"/>
  <c r="E255" i="6"/>
  <c r="B255" i="6"/>
  <c r="G254" i="6"/>
  <c r="I254" i="6" s="1"/>
  <c r="E254" i="6"/>
  <c r="B254" i="6"/>
  <c r="E253" i="6"/>
  <c r="G253" i="6" s="1"/>
  <c r="I253" i="6" s="1"/>
  <c r="B253" i="6"/>
  <c r="E252" i="6"/>
  <c r="G252" i="6" s="1"/>
  <c r="I252" i="6" s="1"/>
  <c r="B252" i="6"/>
  <c r="E251" i="6"/>
  <c r="G251" i="6" s="1"/>
  <c r="I251" i="6" s="1"/>
  <c r="B251" i="6"/>
  <c r="E250" i="6"/>
  <c r="G250" i="6" s="1"/>
  <c r="I250" i="6" s="1"/>
  <c r="J250" i="6" s="1"/>
  <c r="B250" i="6"/>
  <c r="G249" i="6"/>
  <c r="I249" i="6" s="1"/>
  <c r="E249" i="6"/>
  <c r="B249" i="6"/>
  <c r="E248" i="6"/>
  <c r="G248" i="6" s="1"/>
  <c r="I248" i="6" s="1"/>
  <c r="B248" i="6"/>
  <c r="I247" i="6"/>
  <c r="K247" i="6" s="1"/>
  <c r="E247" i="6"/>
  <c r="G247" i="6" s="1"/>
  <c r="B247" i="6"/>
  <c r="I246" i="6"/>
  <c r="J246" i="6" s="1"/>
  <c r="G246" i="6"/>
  <c r="E246" i="6"/>
  <c r="B246" i="6"/>
  <c r="E245" i="6"/>
  <c r="G245" i="6" s="1"/>
  <c r="I245" i="6" s="1"/>
  <c r="B245" i="6"/>
  <c r="E244" i="6"/>
  <c r="G244" i="6" s="1"/>
  <c r="I244" i="6" s="1"/>
  <c r="B244" i="6"/>
  <c r="E243" i="6"/>
  <c r="G243" i="6" s="1"/>
  <c r="I243" i="6" s="1"/>
  <c r="K243" i="6" s="1"/>
  <c r="B243" i="6"/>
  <c r="G242" i="6"/>
  <c r="I242" i="6" s="1"/>
  <c r="J242" i="6" s="1"/>
  <c r="E242" i="6"/>
  <c r="B242" i="6"/>
  <c r="K241" i="6"/>
  <c r="E241" i="6"/>
  <c r="G241" i="6" s="1"/>
  <c r="I241" i="6" s="1"/>
  <c r="J241" i="6" s="1"/>
  <c r="B241" i="6"/>
  <c r="E240" i="6"/>
  <c r="G240" i="6" s="1"/>
  <c r="I240" i="6" s="1"/>
  <c r="B240" i="6"/>
  <c r="G239" i="6"/>
  <c r="I239" i="6" s="1"/>
  <c r="E239" i="6"/>
  <c r="B239" i="6"/>
  <c r="E238" i="6"/>
  <c r="G238" i="6" s="1"/>
  <c r="I238" i="6" s="1"/>
  <c r="K238" i="6" s="1"/>
  <c r="B238" i="6"/>
  <c r="E237" i="6"/>
  <c r="G237" i="6" s="1"/>
  <c r="I237" i="6" s="1"/>
  <c r="B237" i="6"/>
  <c r="G236" i="6"/>
  <c r="I236" i="6" s="1"/>
  <c r="J236" i="6" s="1"/>
  <c r="E236" i="6"/>
  <c r="B236" i="6"/>
  <c r="E235" i="6"/>
  <c r="G235" i="6" s="1"/>
  <c r="I235" i="6" s="1"/>
  <c r="B235" i="6"/>
  <c r="E234" i="6"/>
  <c r="G234" i="6" s="1"/>
  <c r="I234" i="6" s="1"/>
  <c r="B234" i="6"/>
  <c r="E233" i="6"/>
  <c r="G233" i="6" s="1"/>
  <c r="I233" i="6" s="1"/>
  <c r="B233" i="6"/>
  <c r="E232" i="6"/>
  <c r="G232" i="6" s="1"/>
  <c r="I232" i="6" s="1"/>
  <c r="B232" i="6"/>
  <c r="E231" i="6"/>
  <c r="G231" i="6" s="1"/>
  <c r="I231" i="6" s="1"/>
  <c r="B231" i="6"/>
  <c r="G230" i="6"/>
  <c r="I230" i="6" s="1"/>
  <c r="E230" i="6"/>
  <c r="B230" i="6"/>
  <c r="E229" i="6"/>
  <c r="G229" i="6" s="1"/>
  <c r="I229" i="6" s="1"/>
  <c r="B229" i="6"/>
  <c r="E228" i="6"/>
  <c r="G228" i="6" s="1"/>
  <c r="I228" i="6" s="1"/>
  <c r="B228" i="6"/>
  <c r="I227" i="6"/>
  <c r="K227" i="6" s="1"/>
  <c r="E227" i="6"/>
  <c r="G227" i="6" s="1"/>
  <c r="B227" i="6"/>
  <c r="E226" i="6"/>
  <c r="G226" i="6" s="1"/>
  <c r="I226" i="6" s="1"/>
  <c r="B226" i="6"/>
  <c r="E225" i="6"/>
  <c r="G225" i="6" s="1"/>
  <c r="I225" i="6" s="1"/>
  <c r="B225" i="6"/>
  <c r="E224" i="6"/>
  <c r="G224" i="6" s="1"/>
  <c r="I224" i="6" s="1"/>
  <c r="B224" i="6"/>
  <c r="E223" i="6"/>
  <c r="G223" i="6" s="1"/>
  <c r="I223" i="6" s="1"/>
  <c r="K223" i="6" s="1"/>
  <c r="B223" i="6"/>
  <c r="E222" i="6"/>
  <c r="G222" i="6" s="1"/>
  <c r="I222" i="6" s="1"/>
  <c r="J222" i="6" s="1"/>
  <c r="B222" i="6"/>
  <c r="E221" i="6"/>
  <c r="G221" i="6" s="1"/>
  <c r="I221" i="6" s="1"/>
  <c r="B221" i="6"/>
  <c r="G220" i="6"/>
  <c r="I220" i="6" s="1"/>
  <c r="E220" i="6"/>
  <c r="B220" i="6"/>
  <c r="G219" i="6"/>
  <c r="I219" i="6" s="1"/>
  <c r="J219" i="6" s="1"/>
  <c r="E219" i="6"/>
  <c r="B219" i="6"/>
  <c r="G218" i="6"/>
  <c r="I218" i="6" s="1"/>
  <c r="E218" i="6"/>
  <c r="B218" i="6"/>
  <c r="E217" i="6"/>
  <c r="G217" i="6" s="1"/>
  <c r="I217" i="6" s="1"/>
  <c r="B217" i="6"/>
  <c r="E216" i="6"/>
  <c r="G216" i="6" s="1"/>
  <c r="I216" i="6" s="1"/>
  <c r="B216" i="6"/>
  <c r="G215" i="6"/>
  <c r="I215" i="6" s="1"/>
  <c r="E215" i="6"/>
  <c r="B215" i="6"/>
  <c r="G214" i="6"/>
  <c r="I214" i="6" s="1"/>
  <c r="K214" i="6" s="1"/>
  <c r="E214" i="6"/>
  <c r="B214" i="6"/>
  <c r="E213" i="6"/>
  <c r="G213" i="6" s="1"/>
  <c r="I213" i="6" s="1"/>
  <c r="B213" i="6"/>
  <c r="E212" i="6"/>
  <c r="G212" i="6" s="1"/>
  <c r="I212" i="6" s="1"/>
  <c r="B212" i="6"/>
  <c r="E211" i="6"/>
  <c r="G211" i="6" s="1"/>
  <c r="I211" i="6" s="1"/>
  <c r="J211" i="6" s="1"/>
  <c r="B211" i="6"/>
  <c r="E210" i="6"/>
  <c r="G210" i="6" s="1"/>
  <c r="I210" i="6" s="1"/>
  <c r="J210" i="6" s="1"/>
  <c r="B210" i="6"/>
  <c r="E209" i="6"/>
  <c r="G209" i="6" s="1"/>
  <c r="I209" i="6" s="1"/>
  <c r="B209" i="6"/>
  <c r="E208" i="6"/>
  <c r="G208" i="6" s="1"/>
  <c r="I208" i="6" s="1"/>
  <c r="B208" i="6"/>
  <c r="E207" i="6"/>
  <c r="G207" i="6" s="1"/>
  <c r="I207" i="6" s="1"/>
  <c r="B207" i="6"/>
  <c r="E206" i="6"/>
  <c r="G206" i="6" s="1"/>
  <c r="I206" i="6" s="1"/>
  <c r="B206" i="6"/>
  <c r="E205" i="6"/>
  <c r="G205" i="6" s="1"/>
  <c r="I205" i="6" s="1"/>
  <c r="B205" i="6"/>
  <c r="E204" i="6"/>
  <c r="G204" i="6" s="1"/>
  <c r="I204" i="6" s="1"/>
  <c r="B204" i="6"/>
  <c r="E203" i="6"/>
  <c r="G203" i="6" s="1"/>
  <c r="I203" i="6" s="1"/>
  <c r="B203" i="6"/>
  <c r="E202" i="6"/>
  <c r="G202" i="6" s="1"/>
  <c r="I202" i="6" s="1"/>
  <c r="B202" i="6"/>
  <c r="E201" i="6"/>
  <c r="G201" i="6" s="1"/>
  <c r="I201" i="6" s="1"/>
  <c r="J201" i="6" s="1"/>
  <c r="B201" i="6"/>
  <c r="E200" i="6"/>
  <c r="G200" i="6" s="1"/>
  <c r="I200" i="6" s="1"/>
  <c r="J200" i="6" s="1"/>
  <c r="B200" i="6"/>
  <c r="E199" i="6"/>
  <c r="G199" i="6" s="1"/>
  <c r="I199" i="6" s="1"/>
  <c r="B199" i="6"/>
  <c r="E198" i="6"/>
  <c r="G198" i="6" s="1"/>
  <c r="I198" i="6" s="1"/>
  <c r="B198" i="6"/>
  <c r="E197" i="6"/>
  <c r="G197" i="6" s="1"/>
  <c r="I197" i="6" s="1"/>
  <c r="J197" i="6" s="1"/>
  <c r="B197" i="6"/>
  <c r="G196" i="6"/>
  <c r="I196" i="6" s="1"/>
  <c r="E196" i="6"/>
  <c r="B196" i="6"/>
  <c r="E195" i="6"/>
  <c r="G195" i="6" s="1"/>
  <c r="I195" i="6" s="1"/>
  <c r="B195" i="6"/>
  <c r="G194" i="6"/>
  <c r="I194" i="6" s="1"/>
  <c r="E194" i="6"/>
  <c r="B194" i="6"/>
  <c r="J193" i="6"/>
  <c r="I193" i="6"/>
  <c r="K193" i="6" s="1"/>
  <c r="E193" i="6"/>
  <c r="G193" i="6" s="1"/>
  <c r="B193" i="6"/>
  <c r="E192" i="6"/>
  <c r="G192" i="6" s="1"/>
  <c r="I192" i="6" s="1"/>
  <c r="B192" i="6"/>
  <c r="E191" i="6"/>
  <c r="G191" i="6" s="1"/>
  <c r="I191" i="6" s="1"/>
  <c r="B191" i="6"/>
  <c r="G190" i="6"/>
  <c r="I190" i="6" s="1"/>
  <c r="E190" i="6"/>
  <c r="B190" i="6"/>
  <c r="G189" i="6"/>
  <c r="I189" i="6" s="1"/>
  <c r="K189" i="6" s="1"/>
  <c r="E189" i="6"/>
  <c r="B189" i="6"/>
  <c r="G188" i="6"/>
  <c r="I188" i="6" s="1"/>
  <c r="E188" i="6"/>
  <c r="B188" i="6"/>
  <c r="E187" i="6"/>
  <c r="G187" i="6" s="1"/>
  <c r="I187" i="6" s="1"/>
  <c r="B187" i="6"/>
  <c r="E186" i="6"/>
  <c r="G186" i="6" s="1"/>
  <c r="I186" i="6" s="1"/>
  <c r="J186" i="6" s="1"/>
  <c r="B186" i="6"/>
  <c r="E185" i="6"/>
  <c r="G185" i="6" s="1"/>
  <c r="I185" i="6" s="1"/>
  <c r="B185" i="6"/>
  <c r="G184" i="6"/>
  <c r="I184" i="6" s="1"/>
  <c r="E184" i="6"/>
  <c r="B184" i="6"/>
  <c r="E183" i="6"/>
  <c r="G183" i="6" s="1"/>
  <c r="I183" i="6" s="1"/>
  <c r="B183" i="6"/>
  <c r="G182" i="6"/>
  <c r="I182" i="6" s="1"/>
  <c r="E182" i="6"/>
  <c r="B182" i="6"/>
  <c r="G181" i="6"/>
  <c r="I181" i="6" s="1"/>
  <c r="E181" i="6"/>
  <c r="B181" i="6"/>
  <c r="G180" i="6"/>
  <c r="I180" i="6" s="1"/>
  <c r="E180" i="6"/>
  <c r="B180" i="6"/>
  <c r="I179" i="6"/>
  <c r="K179" i="6" s="1"/>
  <c r="E179" i="6"/>
  <c r="G179" i="6" s="1"/>
  <c r="B179" i="6"/>
  <c r="E178" i="6"/>
  <c r="G178" i="6" s="1"/>
  <c r="I178" i="6" s="1"/>
  <c r="J178" i="6" s="1"/>
  <c r="B178" i="6"/>
  <c r="E177" i="6"/>
  <c r="G177" i="6" s="1"/>
  <c r="I177" i="6" s="1"/>
  <c r="B177" i="6"/>
  <c r="E176" i="6"/>
  <c r="G176" i="6" s="1"/>
  <c r="I176" i="6" s="1"/>
  <c r="B176" i="6"/>
  <c r="K175" i="6"/>
  <c r="E175" i="6"/>
  <c r="G175" i="6" s="1"/>
  <c r="I175" i="6" s="1"/>
  <c r="J175" i="6" s="1"/>
  <c r="B175" i="6"/>
  <c r="E174" i="6"/>
  <c r="G174" i="6" s="1"/>
  <c r="I174" i="6" s="1"/>
  <c r="B174" i="6"/>
  <c r="E173" i="6"/>
  <c r="G173" i="6" s="1"/>
  <c r="I173" i="6" s="1"/>
  <c r="B173" i="6"/>
  <c r="E172" i="6"/>
  <c r="G172" i="6" s="1"/>
  <c r="I172" i="6" s="1"/>
  <c r="B172" i="6"/>
  <c r="E171" i="6"/>
  <c r="G171" i="6" s="1"/>
  <c r="I171" i="6" s="1"/>
  <c r="B171" i="6"/>
  <c r="G170" i="6"/>
  <c r="I170" i="6" s="1"/>
  <c r="E170" i="6"/>
  <c r="B170" i="6"/>
  <c r="E169" i="6"/>
  <c r="G169" i="6" s="1"/>
  <c r="I169" i="6" s="1"/>
  <c r="B169" i="6"/>
  <c r="G168" i="6"/>
  <c r="I168" i="6" s="1"/>
  <c r="E168" i="6"/>
  <c r="B168" i="6"/>
  <c r="I167" i="6"/>
  <c r="K167" i="6" s="1"/>
  <c r="E167" i="6"/>
  <c r="G167" i="6" s="1"/>
  <c r="B167" i="6"/>
  <c r="G166" i="6"/>
  <c r="I166" i="6" s="1"/>
  <c r="E166" i="6"/>
  <c r="B166" i="6"/>
  <c r="E165" i="6"/>
  <c r="G165" i="6" s="1"/>
  <c r="I165" i="6" s="1"/>
  <c r="B165" i="6"/>
  <c r="I164" i="6"/>
  <c r="J164" i="6" s="1"/>
  <c r="G164" i="6"/>
  <c r="E164" i="6"/>
  <c r="B164" i="6"/>
  <c r="E163" i="6"/>
  <c r="G163" i="6" s="1"/>
  <c r="I163" i="6" s="1"/>
  <c r="J163" i="6" s="1"/>
  <c r="B163" i="6"/>
  <c r="E162" i="6"/>
  <c r="G162" i="6" s="1"/>
  <c r="I162" i="6" s="1"/>
  <c r="B162" i="6"/>
  <c r="E161" i="6"/>
  <c r="G161" i="6" s="1"/>
  <c r="I161" i="6" s="1"/>
  <c r="B161" i="6"/>
  <c r="E160" i="6"/>
  <c r="G160" i="6" s="1"/>
  <c r="I160" i="6" s="1"/>
  <c r="B160" i="6"/>
  <c r="E159" i="6"/>
  <c r="G159" i="6" s="1"/>
  <c r="I159" i="6" s="1"/>
  <c r="B159" i="6"/>
  <c r="E158" i="6"/>
  <c r="G158" i="6" s="1"/>
  <c r="I158" i="6" s="1"/>
  <c r="B158" i="6"/>
  <c r="E157" i="6"/>
  <c r="G157" i="6" s="1"/>
  <c r="I157" i="6" s="1"/>
  <c r="B157" i="6"/>
  <c r="G156" i="6"/>
  <c r="I156" i="6" s="1"/>
  <c r="E156" i="6"/>
  <c r="B156" i="6"/>
  <c r="E155" i="6"/>
  <c r="G155" i="6" s="1"/>
  <c r="I155" i="6" s="1"/>
  <c r="B155" i="6"/>
  <c r="E154" i="6"/>
  <c r="G154" i="6" s="1"/>
  <c r="I154" i="6" s="1"/>
  <c r="B154" i="6"/>
  <c r="K153" i="6"/>
  <c r="J153" i="6"/>
  <c r="E153" i="6"/>
  <c r="G153" i="6" s="1"/>
  <c r="I153" i="6" s="1"/>
  <c r="B153" i="6"/>
  <c r="E152" i="6"/>
  <c r="G152" i="6" s="1"/>
  <c r="I152" i="6" s="1"/>
  <c r="K152" i="6" s="1"/>
  <c r="B152" i="6"/>
  <c r="E151" i="6"/>
  <c r="G151" i="6" s="1"/>
  <c r="I151" i="6" s="1"/>
  <c r="B151" i="6"/>
  <c r="E150" i="6"/>
  <c r="G150" i="6" s="1"/>
  <c r="I150" i="6" s="1"/>
  <c r="B150" i="6"/>
  <c r="J149" i="6"/>
  <c r="E149" i="6"/>
  <c r="G149" i="6" s="1"/>
  <c r="I149" i="6" s="1"/>
  <c r="K149" i="6" s="1"/>
  <c r="B149" i="6"/>
  <c r="E148" i="6"/>
  <c r="G148" i="6" s="1"/>
  <c r="I148" i="6" s="1"/>
  <c r="B148" i="6"/>
  <c r="E147" i="6"/>
  <c r="G147" i="6" s="1"/>
  <c r="I147" i="6" s="1"/>
  <c r="B147" i="6"/>
  <c r="G146" i="6"/>
  <c r="I146" i="6" s="1"/>
  <c r="E146" i="6"/>
  <c r="B146" i="6"/>
  <c r="I145" i="6"/>
  <c r="G145" i="6"/>
  <c r="E145" i="6"/>
  <c r="B145" i="6"/>
  <c r="E144" i="6"/>
  <c r="G144" i="6" s="1"/>
  <c r="I144" i="6" s="1"/>
  <c r="K144" i="6" s="1"/>
  <c r="B144" i="6"/>
  <c r="E143" i="6"/>
  <c r="G143" i="6" s="1"/>
  <c r="I143" i="6" s="1"/>
  <c r="B143" i="6"/>
  <c r="G142" i="6"/>
  <c r="I142" i="6" s="1"/>
  <c r="E142" i="6"/>
  <c r="B142" i="6"/>
  <c r="E141" i="6"/>
  <c r="G141" i="6" s="1"/>
  <c r="I141" i="6" s="1"/>
  <c r="K141" i="6" s="1"/>
  <c r="B141" i="6"/>
  <c r="E140" i="6"/>
  <c r="G140" i="6" s="1"/>
  <c r="I140" i="6" s="1"/>
  <c r="B140" i="6"/>
  <c r="G139" i="6"/>
  <c r="I139" i="6" s="1"/>
  <c r="E139" i="6"/>
  <c r="B139" i="6"/>
  <c r="E138" i="6"/>
  <c r="G138" i="6" s="1"/>
  <c r="I138" i="6" s="1"/>
  <c r="B138" i="6"/>
  <c r="E137" i="6"/>
  <c r="G137" i="6" s="1"/>
  <c r="I137" i="6" s="1"/>
  <c r="B137" i="6"/>
  <c r="E136" i="6"/>
  <c r="G136" i="6" s="1"/>
  <c r="I136" i="6" s="1"/>
  <c r="B136" i="6"/>
  <c r="G135" i="6"/>
  <c r="I135" i="6" s="1"/>
  <c r="K135" i="6" s="1"/>
  <c r="E135" i="6"/>
  <c r="B135" i="6"/>
  <c r="G134" i="6"/>
  <c r="I134" i="6" s="1"/>
  <c r="E134" i="6"/>
  <c r="B134" i="6"/>
  <c r="E133" i="6"/>
  <c r="G133" i="6" s="1"/>
  <c r="I133" i="6" s="1"/>
  <c r="B133" i="6"/>
  <c r="E132" i="6"/>
  <c r="G132" i="6" s="1"/>
  <c r="I132" i="6" s="1"/>
  <c r="B132" i="6"/>
  <c r="E131" i="6"/>
  <c r="G131" i="6" s="1"/>
  <c r="I131" i="6" s="1"/>
  <c r="B131" i="6"/>
  <c r="E130" i="6"/>
  <c r="G130" i="6" s="1"/>
  <c r="I130" i="6" s="1"/>
  <c r="J130" i="6" s="1"/>
  <c r="B130" i="6"/>
  <c r="E129" i="6"/>
  <c r="G129" i="6" s="1"/>
  <c r="I129" i="6" s="1"/>
  <c r="B129" i="6"/>
  <c r="E128" i="6"/>
  <c r="G128" i="6" s="1"/>
  <c r="I128" i="6" s="1"/>
  <c r="B128" i="6"/>
  <c r="K127" i="6"/>
  <c r="E127" i="6"/>
  <c r="G127" i="6" s="1"/>
  <c r="I127" i="6" s="1"/>
  <c r="J127" i="6" s="1"/>
  <c r="B127" i="6"/>
  <c r="E126" i="6"/>
  <c r="G126" i="6" s="1"/>
  <c r="I126" i="6" s="1"/>
  <c r="B126" i="6"/>
  <c r="E125" i="6"/>
  <c r="G125" i="6" s="1"/>
  <c r="I125" i="6" s="1"/>
  <c r="B125" i="6"/>
  <c r="E124" i="6"/>
  <c r="G124" i="6" s="1"/>
  <c r="I124" i="6" s="1"/>
  <c r="B124" i="6"/>
  <c r="E123" i="6"/>
  <c r="G123" i="6" s="1"/>
  <c r="I123" i="6" s="1"/>
  <c r="B123" i="6"/>
  <c r="G122" i="6"/>
  <c r="I122" i="6" s="1"/>
  <c r="E122" i="6"/>
  <c r="B122" i="6"/>
  <c r="E121" i="6"/>
  <c r="G121" i="6" s="1"/>
  <c r="I121" i="6" s="1"/>
  <c r="B121" i="6"/>
  <c r="E120" i="6"/>
  <c r="G120" i="6" s="1"/>
  <c r="I120" i="6" s="1"/>
  <c r="B120" i="6"/>
  <c r="E119" i="6"/>
  <c r="G119" i="6" s="1"/>
  <c r="I119" i="6" s="1"/>
  <c r="K119" i="6" s="1"/>
  <c r="B119" i="6"/>
  <c r="G118" i="6"/>
  <c r="I118" i="6" s="1"/>
  <c r="K118" i="6" s="1"/>
  <c r="E118" i="6"/>
  <c r="B118" i="6"/>
  <c r="I117" i="6"/>
  <c r="K117" i="6" s="1"/>
  <c r="E117" i="6"/>
  <c r="G117" i="6" s="1"/>
  <c r="B117" i="6"/>
  <c r="G116" i="6"/>
  <c r="I116" i="6" s="1"/>
  <c r="E116" i="6"/>
  <c r="B116" i="6"/>
  <c r="E115" i="6"/>
  <c r="G115" i="6" s="1"/>
  <c r="I115" i="6" s="1"/>
  <c r="K115" i="6" s="1"/>
  <c r="B115" i="6"/>
  <c r="G114" i="6"/>
  <c r="I114" i="6" s="1"/>
  <c r="E114" i="6"/>
  <c r="B114" i="6"/>
  <c r="I113" i="6"/>
  <c r="K113" i="6" s="1"/>
  <c r="E113" i="6"/>
  <c r="G113" i="6" s="1"/>
  <c r="B113" i="6"/>
  <c r="E112" i="6"/>
  <c r="G112" i="6" s="1"/>
  <c r="I112" i="6" s="1"/>
  <c r="B112" i="6"/>
  <c r="E111" i="6"/>
  <c r="G111" i="6" s="1"/>
  <c r="I111" i="6" s="1"/>
  <c r="B111" i="6"/>
  <c r="E110" i="6"/>
  <c r="G110" i="6" s="1"/>
  <c r="I110" i="6" s="1"/>
  <c r="B110" i="6"/>
  <c r="E109" i="6"/>
  <c r="G109" i="6" s="1"/>
  <c r="I109" i="6" s="1"/>
  <c r="K109" i="6" s="1"/>
  <c r="B109" i="6"/>
  <c r="E108" i="6"/>
  <c r="G108" i="6" s="1"/>
  <c r="I108" i="6" s="1"/>
  <c r="B108" i="6"/>
  <c r="E107" i="6"/>
  <c r="G107" i="6" s="1"/>
  <c r="I107" i="6" s="1"/>
  <c r="B107" i="6"/>
  <c r="E106" i="6"/>
  <c r="G106" i="6" s="1"/>
  <c r="I106" i="6" s="1"/>
  <c r="B106" i="6"/>
  <c r="E105" i="6"/>
  <c r="G105" i="6" s="1"/>
  <c r="I105" i="6" s="1"/>
  <c r="K105" i="6" s="1"/>
  <c r="B105" i="6"/>
  <c r="K104" i="6"/>
  <c r="E104" i="6"/>
  <c r="G104" i="6" s="1"/>
  <c r="I104" i="6" s="1"/>
  <c r="J104" i="6" s="1"/>
  <c r="B104" i="6"/>
  <c r="E103" i="6"/>
  <c r="G103" i="6" s="1"/>
  <c r="I103" i="6" s="1"/>
  <c r="K103" i="6" s="1"/>
  <c r="B103" i="6"/>
  <c r="E102" i="6"/>
  <c r="G102" i="6" s="1"/>
  <c r="I102" i="6" s="1"/>
  <c r="B102" i="6"/>
  <c r="E101" i="6"/>
  <c r="G101" i="6" s="1"/>
  <c r="I101" i="6" s="1"/>
  <c r="J101" i="6" s="1"/>
  <c r="B101" i="6"/>
  <c r="E100" i="6"/>
  <c r="G100" i="6" s="1"/>
  <c r="I100" i="6" s="1"/>
  <c r="B100" i="6"/>
  <c r="E99" i="6"/>
  <c r="G99" i="6" s="1"/>
  <c r="I99" i="6" s="1"/>
  <c r="B99" i="6"/>
  <c r="E98" i="6"/>
  <c r="G98" i="6" s="1"/>
  <c r="I98" i="6" s="1"/>
  <c r="B98" i="6"/>
  <c r="I97" i="6"/>
  <c r="K97" i="6" s="1"/>
  <c r="E97" i="6"/>
  <c r="G97" i="6" s="1"/>
  <c r="B97" i="6"/>
  <c r="K96" i="6"/>
  <c r="I96" i="6"/>
  <c r="J96" i="6" s="1"/>
  <c r="G96" i="6"/>
  <c r="E96" i="6"/>
  <c r="B96" i="6"/>
  <c r="E95" i="6"/>
  <c r="G95" i="6" s="1"/>
  <c r="I95" i="6" s="1"/>
  <c r="B95" i="6"/>
  <c r="I94" i="6"/>
  <c r="E94" i="6"/>
  <c r="G94" i="6" s="1"/>
  <c r="B94" i="6"/>
  <c r="E93" i="6"/>
  <c r="G93" i="6" s="1"/>
  <c r="I93" i="6" s="1"/>
  <c r="J93" i="6" s="1"/>
  <c r="B93" i="6"/>
  <c r="G92" i="6"/>
  <c r="I92" i="6" s="1"/>
  <c r="E92" i="6"/>
  <c r="B92" i="6"/>
  <c r="E91" i="6"/>
  <c r="G91" i="6" s="1"/>
  <c r="I91" i="6" s="1"/>
  <c r="B91" i="6"/>
  <c r="E90" i="6"/>
  <c r="G90" i="6" s="1"/>
  <c r="I90" i="6" s="1"/>
  <c r="J90" i="6" s="1"/>
  <c r="B90" i="6"/>
  <c r="G89" i="6"/>
  <c r="I89" i="6" s="1"/>
  <c r="E89" i="6"/>
  <c r="B89" i="6"/>
  <c r="E88" i="6"/>
  <c r="G88" i="6" s="1"/>
  <c r="I88" i="6" s="1"/>
  <c r="B88" i="6"/>
  <c r="I87" i="6"/>
  <c r="K87" i="6" s="1"/>
  <c r="E87" i="6"/>
  <c r="G87" i="6" s="1"/>
  <c r="B87" i="6"/>
  <c r="G86" i="6"/>
  <c r="I86" i="6" s="1"/>
  <c r="E86" i="6"/>
  <c r="B86" i="6"/>
  <c r="E85" i="6"/>
  <c r="G85" i="6" s="1"/>
  <c r="I85" i="6" s="1"/>
  <c r="B85" i="6"/>
  <c r="G84" i="6"/>
  <c r="I84" i="6" s="1"/>
  <c r="E84" i="6"/>
  <c r="B84" i="6"/>
  <c r="I83" i="6"/>
  <c r="K83" i="6" s="1"/>
  <c r="E83" i="6"/>
  <c r="G83" i="6" s="1"/>
  <c r="B83" i="6"/>
  <c r="E82" i="6"/>
  <c r="G82" i="6" s="1"/>
  <c r="I82" i="6" s="1"/>
  <c r="K82" i="6" s="1"/>
  <c r="B82" i="6"/>
  <c r="E81" i="6"/>
  <c r="G81" i="6" s="1"/>
  <c r="I81" i="6" s="1"/>
  <c r="B81" i="6"/>
  <c r="G80" i="6"/>
  <c r="I80" i="6" s="1"/>
  <c r="E80" i="6"/>
  <c r="B80" i="6"/>
  <c r="E79" i="6"/>
  <c r="G79" i="6" s="1"/>
  <c r="I79" i="6" s="1"/>
  <c r="B79" i="6"/>
  <c r="E78" i="6"/>
  <c r="G78" i="6" s="1"/>
  <c r="I78" i="6" s="1"/>
  <c r="B78" i="6"/>
  <c r="E77" i="6"/>
  <c r="G77" i="6" s="1"/>
  <c r="I77" i="6" s="1"/>
  <c r="B77" i="6"/>
  <c r="E76" i="6"/>
  <c r="G76" i="6" s="1"/>
  <c r="I76" i="6" s="1"/>
  <c r="B76" i="6"/>
  <c r="I75" i="6"/>
  <c r="G75" i="6"/>
  <c r="E75" i="6"/>
  <c r="B75" i="6"/>
  <c r="E74" i="6"/>
  <c r="G74" i="6" s="1"/>
  <c r="I74" i="6" s="1"/>
  <c r="B74" i="6"/>
  <c r="E73" i="6"/>
  <c r="G73" i="6" s="1"/>
  <c r="I73" i="6" s="1"/>
  <c r="B73" i="6"/>
  <c r="I72" i="6"/>
  <c r="K72" i="6" s="1"/>
  <c r="G72" i="6"/>
  <c r="E72" i="6"/>
  <c r="B72" i="6"/>
  <c r="K71" i="6"/>
  <c r="E71" i="6"/>
  <c r="G71" i="6" s="1"/>
  <c r="I71" i="6" s="1"/>
  <c r="J71" i="6" s="1"/>
  <c r="B71" i="6"/>
  <c r="E70" i="6"/>
  <c r="G70" i="6" s="1"/>
  <c r="I70" i="6" s="1"/>
  <c r="B70" i="6"/>
  <c r="E69" i="6"/>
  <c r="G69" i="6" s="1"/>
  <c r="I69" i="6" s="1"/>
  <c r="B69" i="6"/>
  <c r="E68" i="6"/>
  <c r="G68" i="6" s="1"/>
  <c r="I68" i="6" s="1"/>
  <c r="K68" i="6" s="1"/>
  <c r="B68" i="6"/>
  <c r="E67" i="6"/>
  <c r="G67" i="6" s="1"/>
  <c r="I67" i="6" s="1"/>
  <c r="B67" i="6"/>
  <c r="E66" i="6"/>
  <c r="G66" i="6" s="1"/>
  <c r="I66" i="6" s="1"/>
  <c r="B66" i="6"/>
  <c r="E65" i="6"/>
  <c r="G65" i="6" s="1"/>
  <c r="I65" i="6" s="1"/>
  <c r="B65" i="6"/>
  <c r="G64" i="6"/>
  <c r="I64" i="6" s="1"/>
  <c r="J64" i="6" s="1"/>
  <c r="E64" i="6"/>
  <c r="B64" i="6"/>
  <c r="E63" i="6"/>
  <c r="G63" i="6" s="1"/>
  <c r="I63" i="6" s="1"/>
  <c r="B63" i="6"/>
  <c r="E62" i="6"/>
  <c r="G62" i="6" s="1"/>
  <c r="I62" i="6" s="1"/>
  <c r="J62" i="6" s="1"/>
  <c r="B62" i="6"/>
  <c r="G61" i="6"/>
  <c r="I61" i="6" s="1"/>
  <c r="E61" i="6"/>
  <c r="B61" i="6"/>
  <c r="G60" i="6"/>
  <c r="I60" i="6" s="1"/>
  <c r="J60" i="6" s="1"/>
  <c r="E60" i="6"/>
  <c r="B60" i="6"/>
  <c r="E59" i="6"/>
  <c r="G59" i="6" s="1"/>
  <c r="I59" i="6" s="1"/>
  <c r="B59" i="6"/>
  <c r="E58" i="6"/>
  <c r="G58" i="6" s="1"/>
  <c r="I58" i="6" s="1"/>
  <c r="B58" i="6"/>
  <c r="E57" i="6"/>
  <c r="G57" i="6" s="1"/>
  <c r="I57" i="6" s="1"/>
  <c r="K57" i="6" s="1"/>
  <c r="B57" i="6"/>
  <c r="E56" i="6"/>
  <c r="G56" i="6" s="1"/>
  <c r="I56" i="6" s="1"/>
  <c r="J56" i="6" s="1"/>
  <c r="B56" i="6"/>
  <c r="E55" i="6"/>
  <c r="G55" i="6" s="1"/>
  <c r="I55" i="6" s="1"/>
  <c r="B55" i="6"/>
  <c r="G54" i="6"/>
  <c r="I54" i="6" s="1"/>
  <c r="E54" i="6"/>
  <c r="B54" i="6"/>
  <c r="E53" i="6"/>
  <c r="G53" i="6" s="1"/>
  <c r="I53" i="6" s="1"/>
  <c r="B53" i="6"/>
  <c r="E52" i="6"/>
  <c r="G52" i="6" s="1"/>
  <c r="I52" i="6" s="1"/>
  <c r="B52" i="6"/>
  <c r="E51" i="6"/>
  <c r="G51" i="6" s="1"/>
  <c r="I51" i="6" s="1"/>
  <c r="B51" i="6"/>
  <c r="E50" i="6"/>
  <c r="G50" i="6" s="1"/>
  <c r="I50" i="6" s="1"/>
  <c r="B50" i="6"/>
  <c r="I49" i="6"/>
  <c r="G49" i="6"/>
  <c r="E49" i="6"/>
  <c r="B49" i="6"/>
  <c r="E48" i="6"/>
  <c r="G48" i="6" s="1"/>
  <c r="I48" i="6" s="1"/>
  <c r="B48" i="6"/>
  <c r="I47" i="6"/>
  <c r="K47" i="6" s="1"/>
  <c r="E47" i="6"/>
  <c r="G47" i="6" s="1"/>
  <c r="B47" i="6"/>
  <c r="I46" i="6"/>
  <c r="J46" i="6" s="1"/>
  <c r="G46" i="6"/>
  <c r="E46" i="6"/>
  <c r="B46" i="6"/>
  <c r="K45" i="6"/>
  <c r="E45" i="6"/>
  <c r="G45" i="6" s="1"/>
  <c r="I45" i="6" s="1"/>
  <c r="J45" i="6" s="1"/>
  <c r="B45" i="6"/>
  <c r="E44" i="6"/>
  <c r="G44" i="6" s="1"/>
  <c r="I44" i="6" s="1"/>
  <c r="B44" i="6"/>
  <c r="E43" i="6"/>
  <c r="G43" i="6" s="1"/>
  <c r="I43" i="6" s="1"/>
  <c r="B43" i="6"/>
  <c r="E42" i="6"/>
  <c r="G42" i="6" s="1"/>
  <c r="I42" i="6" s="1"/>
  <c r="J42" i="6" s="1"/>
  <c r="B42" i="6"/>
  <c r="E41" i="6"/>
  <c r="G41" i="6" s="1"/>
  <c r="I41" i="6" s="1"/>
  <c r="B41" i="6"/>
  <c r="E40" i="6"/>
  <c r="G40" i="6" s="1"/>
  <c r="I40" i="6" s="1"/>
  <c r="B40" i="6"/>
  <c r="G39" i="6"/>
  <c r="I39" i="6" s="1"/>
  <c r="E39" i="6"/>
  <c r="B39" i="6"/>
  <c r="E38" i="6"/>
  <c r="G38" i="6" s="1"/>
  <c r="I38" i="6" s="1"/>
  <c r="B38" i="6"/>
  <c r="E37" i="6"/>
  <c r="G37" i="6" s="1"/>
  <c r="I37" i="6" s="1"/>
  <c r="B37" i="6"/>
  <c r="E36" i="6"/>
  <c r="G36" i="6" s="1"/>
  <c r="I36" i="6" s="1"/>
  <c r="B36" i="6"/>
  <c r="G35" i="6"/>
  <c r="I35" i="6" s="1"/>
  <c r="K35" i="6" s="1"/>
  <c r="E35" i="6"/>
  <c r="B35" i="6"/>
  <c r="E34" i="6"/>
  <c r="G34" i="6" s="1"/>
  <c r="I34" i="6" s="1"/>
  <c r="K34" i="6" s="1"/>
  <c r="B34" i="6"/>
  <c r="E33" i="6"/>
  <c r="G33" i="6" s="1"/>
  <c r="I33" i="6" s="1"/>
  <c r="J33" i="6" s="1"/>
  <c r="B33" i="6"/>
  <c r="E32" i="6"/>
  <c r="G32" i="6" s="1"/>
  <c r="I32" i="6" s="1"/>
  <c r="B32" i="6"/>
  <c r="E31" i="6"/>
  <c r="G31" i="6" s="1"/>
  <c r="I31" i="6" s="1"/>
  <c r="B31" i="6"/>
  <c r="E30" i="6"/>
  <c r="G30" i="6" s="1"/>
  <c r="I30" i="6" s="1"/>
  <c r="B30" i="6"/>
  <c r="E29" i="6"/>
  <c r="G29" i="6" s="1"/>
  <c r="I29" i="6" s="1"/>
  <c r="K29" i="6" s="1"/>
  <c r="B29" i="6"/>
  <c r="E28" i="6"/>
  <c r="G28" i="6" s="1"/>
  <c r="I28" i="6" s="1"/>
  <c r="B28" i="6"/>
  <c r="I27" i="6"/>
  <c r="K27" i="6" s="1"/>
  <c r="E27" i="6"/>
  <c r="G27" i="6" s="1"/>
  <c r="B27" i="6"/>
  <c r="E26" i="6"/>
  <c r="G26" i="6" s="1"/>
  <c r="I26" i="6" s="1"/>
  <c r="B26" i="6"/>
  <c r="E25" i="6"/>
  <c r="G25" i="6" s="1"/>
  <c r="I25" i="6" s="1"/>
  <c r="K25" i="6" s="1"/>
  <c r="B25" i="6"/>
  <c r="G24" i="6"/>
  <c r="I24" i="6" s="1"/>
  <c r="E24" i="6"/>
  <c r="B24" i="6"/>
  <c r="E23" i="6"/>
  <c r="G23" i="6" s="1"/>
  <c r="I23" i="6" s="1"/>
  <c r="B23" i="6"/>
  <c r="E22" i="6"/>
  <c r="G22" i="6" s="1"/>
  <c r="I22" i="6" s="1"/>
  <c r="B22" i="6"/>
  <c r="E21" i="6"/>
  <c r="G21" i="6" s="1"/>
  <c r="I21" i="6" s="1"/>
  <c r="J21" i="6" s="1"/>
  <c r="B21" i="6"/>
  <c r="E20" i="6"/>
  <c r="G20" i="6" s="1"/>
  <c r="I20" i="6" s="1"/>
  <c r="B20" i="6"/>
  <c r="E19" i="6"/>
  <c r="G19" i="6" s="1"/>
  <c r="I19" i="6" s="1"/>
  <c r="B19" i="6"/>
  <c r="E18" i="6"/>
  <c r="G18" i="6" s="1"/>
  <c r="I18" i="6" s="1"/>
  <c r="B18" i="6"/>
  <c r="I17" i="6"/>
  <c r="K17" i="6" s="1"/>
  <c r="E17" i="6"/>
  <c r="G17" i="6" s="1"/>
  <c r="B17" i="6"/>
  <c r="E16" i="6"/>
  <c r="G16" i="6" s="1"/>
  <c r="I16" i="6" s="1"/>
  <c r="J16" i="6" s="1"/>
  <c r="B16" i="6"/>
  <c r="E15" i="6"/>
  <c r="G15" i="6" s="1"/>
  <c r="I15" i="6" s="1"/>
  <c r="B15" i="6"/>
  <c r="G14" i="6"/>
  <c r="I14" i="6" s="1"/>
  <c r="E14" i="6"/>
  <c r="B14" i="6"/>
  <c r="E13" i="6"/>
  <c r="G13" i="6" s="1"/>
  <c r="I13" i="6" s="1"/>
  <c r="B13" i="6"/>
  <c r="E12" i="6"/>
  <c r="G12" i="6" s="1"/>
  <c r="I12" i="6" s="1"/>
  <c r="B12" i="6"/>
  <c r="E11" i="6"/>
  <c r="G11" i="6" s="1"/>
  <c r="I11" i="6" s="1"/>
  <c r="B11" i="6"/>
  <c r="G10" i="6"/>
  <c r="I10" i="6" s="1"/>
  <c r="E10" i="6"/>
  <c r="B10" i="6"/>
  <c r="E9" i="6"/>
  <c r="G9" i="6" s="1"/>
  <c r="I9" i="6" s="1"/>
  <c r="B9" i="6"/>
  <c r="E8" i="6"/>
  <c r="G8" i="6" s="1"/>
  <c r="I8" i="6" s="1"/>
  <c r="J8" i="6" s="1"/>
  <c r="B8" i="6"/>
  <c r="E7" i="6"/>
  <c r="G7" i="6" s="1"/>
  <c r="I7" i="6" s="1"/>
  <c r="B7" i="6"/>
  <c r="E6" i="6"/>
  <c r="G6" i="6" s="1"/>
  <c r="I6" i="6" s="1"/>
  <c r="B6" i="6"/>
  <c r="E5" i="6"/>
  <c r="G5" i="6" s="1"/>
  <c r="I5" i="6" s="1"/>
  <c r="J5" i="6" s="1"/>
  <c r="B5" i="6"/>
  <c r="G4" i="6"/>
  <c r="I4" i="6" s="1"/>
  <c r="E4" i="6"/>
  <c r="B4" i="6"/>
  <c r="K3" i="6"/>
  <c r="J3" i="6"/>
  <c r="E3" i="6"/>
  <c r="G3" i="6" s="1"/>
  <c r="I3" i="6" s="1"/>
  <c r="B3" i="6"/>
  <c r="E2" i="6"/>
  <c r="G2" i="6" s="1"/>
  <c r="I2" i="6" s="1"/>
  <c r="B2" i="6"/>
  <c r="M16" i="4"/>
  <c r="L16" i="4"/>
  <c r="K16" i="4"/>
  <c r="I16" i="4"/>
  <c r="F16" i="4"/>
  <c r="C16" i="4"/>
  <c r="M15" i="4"/>
  <c r="L15" i="4"/>
  <c r="K15" i="4"/>
  <c r="I15" i="4"/>
  <c r="F15" i="4"/>
  <c r="C15" i="4"/>
  <c r="M14" i="4"/>
  <c r="L14" i="4"/>
  <c r="K14" i="4"/>
  <c r="I14" i="4"/>
  <c r="F14" i="4"/>
  <c r="C14" i="4"/>
  <c r="M13" i="4"/>
  <c r="L13" i="4"/>
  <c r="K13" i="4"/>
  <c r="I13" i="4"/>
  <c r="F13" i="4"/>
  <c r="C13" i="4"/>
  <c r="M12" i="4"/>
  <c r="L12" i="4"/>
  <c r="K12" i="4"/>
  <c r="I12" i="4"/>
  <c r="F12" i="4"/>
  <c r="C12" i="4"/>
  <c r="M11" i="4"/>
  <c r="L11" i="4"/>
  <c r="K11" i="4"/>
  <c r="I11" i="4"/>
  <c r="F11" i="4"/>
  <c r="C11" i="4"/>
  <c r="M10" i="4"/>
  <c r="L10" i="4"/>
  <c r="K10" i="4"/>
  <c r="I10" i="4"/>
  <c r="F10" i="4"/>
  <c r="C10" i="4"/>
  <c r="M9" i="4"/>
  <c r="L9" i="4" s="1"/>
  <c r="K9" i="4"/>
  <c r="I9" i="4"/>
  <c r="F9" i="4"/>
  <c r="C9" i="4"/>
  <c r="M8" i="4"/>
  <c r="L8" i="4"/>
  <c r="K8" i="4"/>
  <c r="I8" i="4"/>
  <c r="F8" i="4"/>
  <c r="C8" i="4"/>
  <c r="M7" i="4"/>
  <c r="L7" i="4"/>
  <c r="K7" i="4"/>
  <c r="I7" i="4"/>
  <c r="F7" i="4"/>
  <c r="C7" i="4"/>
  <c r="L6" i="4"/>
  <c r="I6" i="4"/>
  <c r="F6" i="4"/>
  <c r="C6" i="4"/>
  <c r="M17" i="3"/>
  <c r="K17" i="3"/>
  <c r="I17" i="3"/>
  <c r="F17" i="3"/>
  <c r="L17" i="3" s="1"/>
  <c r="M16" i="3"/>
  <c r="K16" i="3"/>
  <c r="I16" i="3"/>
  <c r="F16" i="3"/>
  <c r="L16" i="3" s="1"/>
  <c r="M15" i="3"/>
  <c r="K15" i="3"/>
  <c r="I15" i="3"/>
  <c r="F15" i="3"/>
  <c r="L15" i="3" s="1"/>
  <c r="M14" i="3"/>
  <c r="K14" i="3"/>
  <c r="I14" i="3"/>
  <c r="F14" i="3"/>
  <c r="L14" i="3" s="1"/>
  <c r="M13" i="3"/>
  <c r="K13" i="3"/>
  <c r="I13" i="3"/>
  <c r="F13" i="3"/>
  <c r="L13" i="3" s="1"/>
  <c r="M12" i="3"/>
  <c r="K12" i="3"/>
  <c r="I12" i="3"/>
  <c r="F12" i="3"/>
  <c r="L12" i="3" s="1"/>
  <c r="M11" i="3"/>
  <c r="K11" i="3"/>
  <c r="I11" i="3"/>
  <c r="F11" i="3"/>
  <c r="L11" i="3" s="1"/>
  <c r="K7" i="2" l="1"/>
  <c r="K6" i="2"/>
  <c r="K23" i="2"/>
  <c r="K24" i="2"/>
  <c r="K33" i="2"/>
  <c r="K32" i="2"/>
  <c r="K31" i="2"/>
  <c r="K30" i="2"/>
  <c r="K29" i="2"/>
  <c r="K28" i="2"/>
  <c r="K25" i="2"/>
  <c r="K21" i="2"/>
  <c r="K19" i="2"/>
  <c r="K17" i="2"/>
  <c r="K15" i="2"/>
  <c r="K14" i="2"/>
  <c r="K12" i="2"/>
  <c r="K11" i="2"/>
  <c r="K10" i="2"/>
  <c r="K9" i="2"/>
  <c r="K35" i="2"/>
  <c r="K26" i="2"/>
  <c r="K27" i="2"/>
  <c r="J30" i="6"/>
  <c r="K30" i="6"/>
  <c r="K39" i="6"/>
  <c r="J39" i="6"/>
  <c r="K81" i="6"/>
  <c r="J81" i="6"/>
  <c r="J114" i="6"/>
  <c r="K114" i="6"/>
  <c r="K122" i="6"/>
  <c r="J122" i="6"/>
  <c r="J140" i="6"/>
  <c r="K140" i="6"/>
  <c r="K224" i="6"/>
  <c r="J224" i="6"/>
  <c r="K233" i="6"/>
  <c r="J233" i="6"/>
  <c r="J290" i="6"/>
  <c r="K290" i="6"/>
  <c r="K421" i="6"/>
  <c r="J421" i="6"/>
  <c r="J430" i="6"/>
  <c r="K430" i="6"/>
  <c r="J506" i="6"/>
  <c r="K506" i="6"/>
  <c r="K515" i="6"/>
  <c r="J515" i="6"/>
  <c r="K667" i="6"/>
  <c r="J667" i="6"/>
  <c r="J790" i="6"/>
  <c r="K790" i="6"/>
  <c r="K1130" i="6"/>
  <c r="J1130" i="6"/>
  <c r="K89" i="6"/>
  <c r="J89" i="6"/>
  <c r="J132" i="6"/>
  <c r="K132" i="6"/>
  <c r="K207" i="6"/>
  <c r="J207" i="6"/>
  <c r="J216" i="6"/>
  <c r="K216" i="6"/>
  <c r="K373" i="6"/>
  <c r="J373" i="6"/>
  <c r="J610" i="6"/>
  <c r="K610" i="6"/>
  <c r="K709" i="6"/>
  <c r="J709" i="6"/>
  <c r="K1017" i="6"/>
  <c r="J1017" i="6"/>
  <c r="J1064" i="6"/>
  <c r="K1064" i="6"/>
  <c r="K1564" i="6"/>
  <c r="J1564" i="6"/>
  <c r="K1607" i="6"/>
  <c r="J1607" i="6"/>
  <c r="K22" i="6"/>
  <c r="J22" i="6"/>
  <c r="J106" i="6"/>
  <c r="K106" i="6"/>
  <c r="K225" i="6"/>
  <c r="J225" i="6"/>
  <c r="K525" i="6"/>
  <c r="J525" i="6"/>
  <c r="J1155" i="6"/>
  <c r="K1155" i="6"/>
  <c r="K1435" i="6"/>
  <c r="J1435" i="6"/>
  <c r="K1536" i="6"/>
  <c r="J1536" i="6"/>
  <c r="K198" i="6"/>
  <c r="J198" i="6"/>
  <c r="J542" i="6"/>
  <c r="K542" i="6"/>
  <c r="K644" i="6"/>
  <c r="J644" i="6"/>
  <c r="J800" i="6"/>
  <c r="K800" i="6"/>
  <c r="J1139" i="6"/>
  <c r="K1139" i="6"/>
  <c r="K1297" i="6"/>
  <c r="J1297" i="6"/>
  <c r="K251" i="6"/>
  <c r="J251" i="6"/>
  <c r="J332" i="6"/>
  <c r="K332" i="6"/>
  <c r="J440" i="6"/>
  <c r="K440" i="6"/>
  <c r="K559" i="6"/>
  <c r="J559" i="6"/>
  <c r="K854" i="6"/>
  <c r="J854" i="6"/>
  <c r="K886" i="6"/>
  <c r="J886" i="6"/>
  <c r="J1034" i="6"/>
  <c r="K1034" i="6"/>
  <c r="K1436" i="6"/>
  <c r="J1436" i="6"/>
  <c r="K1602" i="6"/>
  <c r="J1602" i="6"/>
  <c r="J1661" i="6"/>
  <c r="K1661" i="6"/>
  <c r="K349" i="6"/>
  <c r="J349" i="6"/>
  <c r="K159" i="6"/>
  <c r="J159" i="6"/>
  <c r="K277" i="6"/>
  <c r="J277" i="6"/>
  <c r="K308" i="6"/>
  <c r="J308" i="6"/>
  <c r="J398" i="6"/>
  <c r="K398" i="6"/>
  <c r="K552" i="6"/>
  <c r="J552" i="6"/>
  <c r="J560" i="6"/>
  <c r="K560" i="6"/>
  <c r="K678" i="6"/>
  <c r="J678" i="6"/>
  <c r="K744" i="6"/>
  <c r="J744" i="6"/>
  <c r="K824" i="6"/>
  <c r="J824" i="6"/>
  <c r="K938" i="6"/>
  <c r="J938" i="6"/>
  <c r="K962" i="6"/>
  <c r="J962" i="6"/>
  <c r="J977" i="6"/>
  <c r="K977" i="6"/>
  <c r="J59" i="6"/>
  <c r="K59" i="6"/>
  <c r="J151" i="6"/>
  <c r="K151" i="6"/>
  <c r="J176" i="6"/>
  <c r="K176" i="6"/>
  <c r="K458" i="6"/>
  <c r="J458" i="6"/>
  <c r="J476" i="6"/>
  <c r="K476" i="6"/>
  <c r="K809" i="6"/>
  <c r="J809" i="6"/>
  <c r="K871" i="6"/>
  <c r="J871" i="6"/>
  <c r="K986" i="6"/>
  <c r="J986" i="6"/>
  <c r="J1049" i="6"/>
  <c r="K1049" i="6"/>
  <c r="J50" i="6"/>
  <c r="K50" i="6"/>
  <c r="K84" i="6"/>
  <c r="J84" i="6"/>
  <c r="J92" i="6"/>
  <c r="K92" i="6"/>
  <c r="K184" i="6"/>
  <c r="J184" i="6"/>
  <c r="K269" i="6"/>
  <c r="J269" i="6"/>
  <c r="K309" i="6"/>
  <c r="J309" i="6"/>
  <c r="K318" i="6"/>
  <c r="J318" i="6"/>
  <c r="K399" i="6"/>
  <c r="J399" i="6"/>
  <c r="K588" i="6"/>
  <c r="J588" i="6"/>
  <c r="K629" i="6"/>
  <c r="J629" i="6"/>
  <c r="J720" i="6"/>
  <c r="K720" i="6"/>
  <c r="J894" i="6"/>
  <c r="K894" i="6"/>
  <c r="K947" i="6"/>
  <c r="J947" i="6"/>
  <c r="J76" i="6"/>
  <c r="K76" i="6"/>
  <c r="K177" i="6"/>
  <c r="J177" i="6"/>
  <c r="J228" i="6"/>
  <c r="K228" i="6"/>
  <c r="J286" i="6"/>
  <c r="K286" i="6"/>
  <c r="K351" i="6"/>
  <c r="J351" i="6"/>
  <c r="J376" i="6"/>
  <c r="K376" i="6"/>
  <c r="J416" i="6"/>
  <c r="K416" i="6"/>
  <c r="K501" i="6"/>
  <c r="J501" i="6"/>
  <c r="K519" i="6"/>
  <c r="J519" i="6"/>
  <c r="K579" i="6"/>
  <c r="J579" i="6"/>
  <c r="K51" i="6"/>
  <c r="J51" i="6"/>
  <c r="J69" i="6"/>
  <c r="K69" i="6"/>
  <c r="K85" i="6"/>
  <c r="J85" i="6"/>
  <c r="J110" i="6"/>
  <c r="K110" i="6"/>
  <c r="K319" i="6"/>
  <c r="J319" i="6"/>
  <c r="J426" i="6"/>
  <c r="K426" i="6"/>
  <c r="K494" i="6"/>
  <c r="J494" i="6"/>
  <c r="K511" i="6"/>
  <c r="J511" i="6"/>
  <c r="K605" i="6"/>
  <c r="J605" i="6"/>
  <c r="K671" i="6"/>
  <c r="J671" i="6"/>
  <c r="J895" i="6"/>
  <c r="K895" i="6"/>
  <c r="K1059" i="6"/>
  <c r="J1059" i="6"/>
  <c r="J1504" i="6"/>
  <c r="K1504" i="6"/>
  <c r="J26" i="6"/>
  <c r="K26" i="6"/>
  <c r="K77" i="6"/>
  <c r="J77" i="6"/>
  <c r="K229" i="6"/>
  <c r="J229" i="6"/>
  <c r="K408" i="6"/>
  <c r="J408" i="6"/>
  <c r="K111" i="6"/>
  <c r="J111" i="6"/>
  <c r="K162" i="6"/>
  <c r="J162" i="6"/>
  <c r="J220" i="6"/>
  <c r="K220" i="6"/>
  <c r="J295" i="6"/>
  <c r="K295" i="6"/>
  <c r="K369" i="6"/>
  <c r="J369" i="6"/>
  <c r="K427" i="6"/>
  <c r="J427" i="6"/>
  <c r="K435" i="6"/>
  <c r="J435" i="6"/>
  <c r="K538" i="6"/>
  <c r="J538" i="6"/>
  <c r="J648" i="6"/>
  <c r="K648" i="6"/>
  <c r="K672" i="6"/>
  <c r="J672" i="6"/>
  <c r="K697" i="6"/>
  <c r="J697" i="6"/>
  <c r="J770" i="6"/>
  <c r="K770" i="6"/>
  <c r="J1113" i="6"/>
  <c r="K1113" i="6"/>
  <c r="K1498" i="6"/>
  <c r="J1498" i="6"/>
  <c r="K1568" i="6"/>
  <c r="J1568" i="6"/>
  <c r="K1626" i="6"/>
  <c r="J1626" i="6"/>
  <c r="J1650" i="6"/>
  <c r="K1650" i="6"/>
  <c r="K9" i="6"/>
  <c r="J9" i="6"/>
  <c r="K102" i="6"/>
  <c r="J102" i="6"/>
  <c r="K128" i="6"/>
  <c r="J128" i="6"/>
  <c r="K137" i="6"/>
  <c r="J137" i="6"/>
  <c r="J598" i="6"/>
  <c r="K598" i="6"/>
  <c r="J606" i="6"/>
  <c r="K606" i="6"/>
  <c r="K705" i="6"/>
  <c r="J705" i="6"/>
  <c r="J934" i="6"/>
  <c r="K934" i="6"/>
  <c r="K1013" i="6"/>
  <c r="J1013" i="6"/>
  <c r="K1176" i="6"/>
  <c r="J1176" i="6"/>
  <c r="K1252" i="6"/>
  <c r="J1252" i="6"/>
  <c r="K1307" i="6"/>
  <c r="J1307" i="6"/>
  <c r="K1521" i="6"/>
  <c r="J1521" i="6"/>
  <c r="K1591" i="6"/>
  <c r="J1591" i="6"/>
  <c r="K18" i="6"/>
  <c r="J18" i="6"/>
  <c r="K194" i="6"/>
  <c r="J194" i="6"/>
  <c r="K255" i="6"/>
  <c r="J255" i="6"/>
  <c r="K521" i="6"/>
  <c r="J521" i="6"/>
  <c r="J640" i="6"/>
  <c r="K640" i="6"/>
  <c r="K771" i="6"/>
  <c r="J771" i="6"/>
  <c r="K819" i="6"/>
  <c r="J819" i="6"/>
  <c r="J882" i="6"/>
  <c r="K882" i="6"/>
  <c r="J998" i="6"/>
  <c r="K998" i="6"/>
  <c r="K1038" i="6"/>
  <c r="J1038" i="6"/>
  <c r="K1207" i="6"/>
  <c r="J1207" i="6"/>
  <c r="K1398" i="6"/>
  <c r="J1398" i="6"/>
  <c r="K1499" i="6"/>
  <c r="J1499" i="6"/>
  <c r="K1720" i="6"/>
  <c r="J1720" i="6"/>
  <c r="J129" i="6"/>
  <c r="K129" i="6"/>
  <c r="K154" i="6"/>
  <c r="J154" i="6"/>
  <c r="K304" i="6"/>
  <c r="J304" i="6"/>
  <c r="K445" i="6"/>
  <c r="J445" i="6"/>
  <c r="K462" i="6"/>
  <c r="J462" i="6"/>
  <c r="K488" i="6"/>
  <c r="J488" i="6"/>
  <c r="J530" i="6"/>
  <c r="K530" i="6"/>
  <c r="K624" i="6"/>
  <c r="J624" i="6"/>
  <c r="J690" i="6"/>
  <c r="K690" i="6"/>
  <c r="K739" i="6"/>
  <c r="J739" i="6"/>
  <c r="K866" i="6"/>
  <c r="J866" i="6"/>
  <c r="K906" i="6"/>
  <c r="J906" i="6"/>
  <c r="K1083" i="6"/>
  <c r="J1083" i="6"/>
  <c r="K1308" i="6"/>
  <c r="J1308" i="6"/>
  <c r="K181" i="6"/>
  <c r="J181" i="6"/>
  <c r="K524" i="6"/>
  <c r="J524" i="6"/>
  <c r="K1109" i="6"/>
  <c r="J1109" i="6"/>
  <c r="J1264" i="6"/>
  <c r="K1264" i="6"/>
  <c r="J1493" i="6"/>
  <c r="K1493" i="6"/>
  <c r="K324" i="6"/>
  <c r="J324" i="6"/>
  <c r="K601" i="6"/>
  <c r="J601" i="6"/>
  <c r="K701" i="6"/>
  <c r="J701" i="6"/>
  <c r="K767" i="6"/>
  <c r="J767" i="6"/>
  <c r="K860" i="6"/>
  <c r="J860" i="6"/>
  <c r="J1008" i="6"/>
  <c r="K1008" i="6"/>
  <c r="K1033" i="6"/>
  <c r="J1033" i="6"/>
  <c r="K13" i="6"/>
  <c r="J13" i="6"/>
  <c r="J31" i="6"/>
  <c r="K31" i="6"/>
  <c r="K123" i="6"/>
  <c r="J123" i="6"/>
  <c r="J331" i="6"/>
  <c r="K331" i="6"/>
  <c r="K381" i="6"/>
  <c r="J381" i="6"/>
  <c r="K422" i="6"/>
  <c r="J422" i="6"/>
  <c r="K431" i="6"/>
  <c r="J431" i="6"/>
  <c r="K448" i="6"/>
  <c r="J448" i="6"/>
  <c r="K498" i="6"/>
  <c r="J498" i="6"/>
  <c r="K507" i="6"/>
  <c r="J507" i="6"/>
  <c r="K594" i="6"/>
  <c r="J594" i="6"/>
  <c r="K992" i="6"/>
  <c r="J992" i="6"/>
  <c r="K1186" i="6"/>
  <c r="J1186" i="6"/>
  <c r="K4" i="6"/>
  <c r="J4" i="6"/>
  <c r="K133" i="6"/>
  <c r="J133" i="6"/>
  <c r="J166" i="6"/>
  <c r="K166" i="6"/>
  <c r="J190" i="6"/>
  <c r="K190" i="6"/>
  <c r="J516" i="6"/>
  <c r="K516" i="6"/>
  <c r="K534" i="6"/>
  <c r="J534" i="6"/>
  <c r="K602" i="6"/>
  <c r="J602" i="6"/>
  <c r="K923" i="6"/>
  <c r="J923" i="6"/>
  <c r="K1202" i="6"/>
  <c r="J1202" i="6"/>
  <c r="K1248" i="6"/>
  <c r="J1248" i="6"/>
  <c r="K124" i="6"/>
  <c r="J124" i="6"/>
  <c r="K158" i="6"/>
  <c r="J158" i="6"/>
  <c r="J300" i="6"/>
  <c r="K300" i="6"/>
  <c r="K449" i="6"/>
  <c r="J449" i="6"/>
  <c r="K823" i="6"/>
  <c r="J823" i="6"/>
  <c r="K14" i="6"/>
  <c r="J14" i="6"/>
  <c r="J98" i="6"/>
  <c r="K98" i="6"/>
  <c r="J150" i="6"/>
  <c r="K150" i="6"/>
  <c r="K457" i="6"/>
  <c r="J457" i="6"/>
  <c r="J620" i="6"/>
  <c r="K620" i="6"/>
  <c r="J686" i="6"/>
  <c r="K686" i="6"/>
  <c r="K801" i="6"/>
  <c r="J801" i="6"/>
  <c r="K910" i="6"/>
  <c r="J910" i="6"/>
  <c r="J1002" i="6"/>
  <c r="K1002" i="6"/>
  <c r="K1218" i="6"/>
  <c r="J1218" i="6"/>
  <c r="J1234" i="6"/>
  <c r="K1234" i="6"/>
  <c r="K1298" i="6"/>
  <c r="J1298" i="6"/>
  <c r="J1334" i="6"/>
  <c r="K1334" i="6"/>
  <c r="K301" i="6"/>
  <c r="J301" i="6"/>
  <c r="J484" i="6"/>
  <c r="K484" i="6"/>
  <c r="K569" i="6"/>
  <c r="J569" i="6"/>
  <c r="K1103" i="6"/>
  <c r="J1103" i="6"/>
  <c r="K1488" i="6"/>
  <c r="J1488" i="6"/>
  <c r="K687" i="6"/>
  <c r="J687" i="6"/>
  <c r="K762" i="6"/>
  <c r="J762" i="6"/>
  <c r="K855" i="6"/>
  <c r="J855" i="6"/>
  <c r="K1242" i="6"/>
  <c r="J1242" i="6"/>
  <c r="K1335" i="6"/>
  <c r="J1335" i="6"/>
  <c r="J1356" i="6"/>
  <c r="K1356" i="6"/>
  <c r="K43" i="6"/>
  <c r="J43" i="6"/>
  <c r="J786" i="6"/>
  <c r="K786" i="6"/>
  <c r="J1104" i="6"/>
  <c r="K1104" i="6"/>
  <c r="K1182" i="6"/>
  <c r="J1182" i="6"/>
  <c r="J342" i="6"/>
  <c r="K342" i="6"/>
  <c r="K663" i="6"/>
  <c r="J663" i="6"/>
  <c r="K763" i="6"/>
  <c r="J763" i="6"/>
  <c r="J918" i="6"/>
  <c r="K918" i="6"/>
  <c r="K987" i="6"/>
  <c r="J987" i="6"/>
  <c r="K1028" i="6"/>
  <c r="J1028" i="6"/>
  <c r="J1134" i="6"/>
  <c r="K1134" i="6"/>
  <c r="K1275" i="6"/>
  <c r="J1275" i="6"/>
  <c r="K1462" i="6"/>
  <c r="J1462" i="6"/>
  <c r="K1676" i="6"/>
  <c r="J1676" i="6"/>
  <c r="K434" i="6"/>
  <c r="J434" i="6"/>
  <c r="K571" i="6"/>
  <c r="J571" i="6"/>
  <c r="J630" i="6"/>
  <c r="K630" i="6"/>
  <c r="K729" i="6"/>
  <c r="J729" i="6"/>
  <c r="K933" i="6"/>
  <c r="J933" i="6"/>
  <c r="K1259" i="6"/>
  <c r="J1259" i="6"/>
  <c r="K1329" i="6"/>
  <c r="J1329" i="6"/>
  <c r="J136" i="6"/>
  <c r="K136" i="6"/>
  <c r="K202" i="6"/>
  <c r="J202" i="6"/>
  <c r="K212" i="6"/>
  <c r="J212" i="6"/>
  <c r="K417" i="6"/>
  <c r="J417" i="6"/>
  <c r="K502" i="6"/>
  <c r="J502" i="6"/>
  <c r="K919" i="6"/>
  <c r="J919" i="6"/>
  <c r="K1012" i="6"/>
  <c r="J1012" i="6"/>
  <c r="K1135" i="6"/>
  <c r="J1135" i="6"/>
  <c r="K1213" i="6"/>
  <c r="J1213" i="6"/>
  <c r="K1574" i="6"/>
  <c r="J1574" i="6"/>
  <c r="K1598" i="6"/>
  <c r="J1598" i="6"/>
  <c r="K1697" i="6"/>
  <c r="J1697" i="6"/>
  <c r="J146" i="6"/>
  <c r="K146" i="6"/>
  <c r="K171" i="6"/>
  <c r="J171" i="6"/>
  <c r="K555" i="6"/>
  <c r="J555" i="6"/>
  <c r="K564" i="6"/>
  <c r="J564" i="6"/>
  <c r="K574" i="6"/>
  <c r="J574" i="6"/>
  <c r="J682" i="6"/>
  <c r="K682" i="6"/>
  <c r="K748" i="6"/>
  <c r="J748" i="6"/>
  <c r="K805" i="6"/>
  <c r="J805" i="6"/>
  <c r="K927" i="6"/>
  <c r="J927" i="6"/>
  <c r="K966" i="6"/>
  <c r="J966" i="6"/>
  <c r="J1270" i="6"/>
  <c r="K1270" i="6"/>
  <c r="K1399" i="6"/>
  <c r="J1399" i="6"/>
  <c r="K1457" i="6"/>
  <c r="J1457" i="6"/>
  <c r="K1692" i="6"/>
  <c r="J1692" i="6"/>
  <c r="K38" i="6"/>
  <c r="J38" i="6"/>
  <c r="K63" i="6"/>
  <c r="J63" i="6"/>
  <c r="K155" i="6"/>
  <c r="J155" i="6"/>
  <c r="J180" i="6"/>
  <c r="K180" i="6"/>
  <c r="K305" i="6"/>
  <c r="J305" i="6"/>
  <c r="K354" i="6"/>
  <c r="J354" i="6"/>
  <c r="K472" i="6"/>
  <c r="J472" i="6"/>
  <c r="J583" i="6"/>
  <c r="K583" i="6"/>
  <c r="K625" i="6"/>
  <c r="J625" i="6"/>
  <c r="K724" i="6"/>
  <c r="J724" i="6"/>
  <c r="K781" i="6"/>
  <c r="J781" i="6"/>
  <c r="J813" i="6"/>
  <c r="K813" i="6"/>
  <c r="K875" i="6"/>
  <c r="J875" i="6"/>
  <c r="K942" i="6"/>
  <c r="J942" i="6"/>
  <c r="K958" i="6"/>
  <c r="J958" i="6"/>
  <c r="K1238" i="6"/>
  <c r="J1238" i="6"/>
  <c r="J1324" i="6"/>
  <c r="K1324" i="6"/>
  <c r="J80" i="6"/>
  <c r="K80" i="6"/>
  <c r="K88" i="6"/>
  <c r="J88" i="6"/>
  <c r="K172" i="6"/>
  <c r="J172" i="6"/>
  <c r="J232" i="6"/>
  <c r="K232" i="6"/>
  <c r="J273" i="6"/>
  <c r="K273" i="6"/>
  <c r="J480" i="6"/>
  <c r="K480" i="6"/>
  <c r="J556" i="6"/>
  <c r="K556" i="6"/>
  <c r="K565" i="6"/>
  <c r="J565" i="6"/>
  <c r="K575" i="6"/>
  <c r="J575" i="6"/>
  <c r="J666" i="6"/>
  <c r="K666" i="6"/>
  <c r="K844" i="6"/>
  <c r="J844" i="6"/>
  <c r="K967" i="6"/>
  <c r="J967" i="6"/>
  <c r="K990" i="6"/>
  <c r="J990" i="6"/>
  <c r="K1092" i="6"/>
  <c r="J1092" i="6"/>
  <c r="J1108" i="6"/>
  <c r="K1108" i="6"/>
  <c r="K1287" i="6"/>
  <c r="J1287" i="6"/>
  <c r="J1302" i="6"/>
  <c r="K1302" i="6"/>
  <c r="K1666" i="6"/>
  <c r="J1666" i="6"/>
  <c r="K55" i="6"/>
  <c r="J55" i="6"/>
  <c r="J206" i="6"/>
  <c r="K206" i="6"/>
  <c r="K215" i="6"/>
  <c r="J215" i="6"/>
  <c r="J282" i="6"/>
  <c r="K282" i="6"/>
  <c r="K323" i="6"/>
  <c r="J323" i="6"/>
  <c r="J346" i="6"/>
  <c r="K346" i="6"/>
  <c r="K355" i="6"/>
  <c r="J355" i="6"/>
  <c r="K372" i="6"/>
  <c r="J372" i="6"/>
  <c r="K395" i="6"/>
  <c r="J395" i="6"/>
  <c r="K404" i="6"/>
  <c r="J404" i="6"/>
  <c r="K412" i="6"/>
  <c r="J412" i="6"/>
  <c r="K584" i="6"/>
  <c r="J584" i="6"/>
  <c r="K725" i="6"/>
  <c r="J725" i="6"/>
  <c r="K758" i="6"/>
  <c r="J758" i="6"/>
  <c r="J766" i="6"/>
  <c r="K766" i="6"/>
  <c r="J782" i="6"/>
  <c r="K782" i="6"/>
  <c r="K876" i="6"/>
  <c r="J876" i="6"/>
  <c r="K982" i="6"/>
  <c r="J982" i="6"/>
  <c r="J1024" i="6"/>
  <c r="K1024" i="6"/>
  <c r="K1563" i="6"/>
  <c r="J1563" i="6"/>
  <c r="J10" i="6"/>
  <c r="K10" i="6"/>
  <c r="K52" i="6"/>
  <c r="J52" i="6"/>
  <c r="K94" i="6"/>
  <c r="J94" i="6"/>
  <c r="J107" i="6"/>
  <c r="K107" i="6"/>
  <c r="K139" i="6"/>
  <c r="J139" i="6"/>
  <c r="K145" i="6"/>
  <c r="J145" i="6"/>
  <c r="K188" i="6"/>
  <c r="J188" i="6"/>
  <c r="K239" i="6"/>
  <c r="J239" i="6"/>
  <c r="K339" i="6"/>
  <c r="J339" i="6"/>
  <c r="K352" i="6"/>
  <c r="J352" i="6"/>
  <c r="J366" i="6"/>
  <c r="K366" i="6"/>
  <c r="K491" i="6"/>
  <c r="J491" i="6"/>
  <c r="J510" i="6"/>
  <c r="K510" i="6"/>
  <c r="J548" i="6"/>
  <c r="K548" i="6"/>
  <c r="J580" i="6"/>
  <c r="K580" i="6"/>
  <c r="K613" i="6"/>
  <c r="J613" i="6"/>
  <c r="J696" i="6"/>
  <c r="K696" i="6"/>
  <c r="K733" i="6"/>
  <c r="J733" i="6"/>
  <c r="J740" i="6"/>
  <c r="K740" i="6"/>
  <c r="J924" i="6"/>
  <c r="K924" i="6"/>
  <c r="K949" i="6"/>
  <c r="J949" i="6"/>
  <c r="J1293" i="6"/>
  <c r="K1293" i="6"/>
  <c r="K1389" i="6"/>
  <c r="J1389" i="6"/>
  <c r="K1413" i="6"/>
  <c r="J1413" i="6"/>
  <c r="K1420" i="6"/>
  <c r="J1420" i="6"/>
  <c r="K1480" i="6"/>
  <c r="J1480" i="6"/>
  <c r="J1487" i="6"/>
  <c r="K1487" i="6"/>
  <c r="K1557" i="6"/>
  <c r="J1557" i="6"/>
  <c r="J1743" i="6"/>
  <c r="K1743" i="6"/>
  <c r="J17" i="6"/>
  <c r="K23" i="6"/>
  <c r="J23" i="6"/>
  <c r="J29" i="6"/>
  <c r="J47" i="6"/>
  <c r="K64" i="6"/>
  <c r="K101" i="6"/>
  <c r="J119" i="6"/>
  <c r="J170" i="6"/>
  <c r="K170" i="6"/>
  <c r="J214" i="6"/>
  <c r="K246" i="6"/>
  <c r="K252" i="6"/>
  <c r="J252" i="6"/>
  <c r="K265" i="6"/>
  <c r="J265" i="6"/>
  <c r="K297" i="6"/>
  <c r="J297" i="6"/>
  <c r="K390" i="6"/>
  <c r="K397" i="6"/>
  <c r="J397" i="6"/>
  <c r="J459" i="6"/>
  <c r="K459" i="6"/>
  <c r="K473" i="6"/>
  <c r="J473" i="6"/>
  <c r="K567" i="6"/>
  <c r="J567" i="6"/>
  <c r="K595" i="6"/>
  <c r="J595" i="6"/>
  <c r="K651" i="6"/>
  <c r="J651" i="6"/>
  <c r="K708" i="6"/>
  <c r="J708" i="6"/>
  <c r="K778" i="6"/>
  <c r="J778" i="6"/>
  <c r="K816" i="6"/>
  <c r="J816" i="6"/>
  <c r="J881" i="6"/>
  <c r="K881" i="6"/>
  <c r="K900" i="6"/>
  <c r="K931" i="6"/>
  <c r="J931" i="6"/>
  <c r="K963" i="6"/>
  <c r="J963" i="6"/>
  <c r="J995" i="6"/>
  <c r="K995" i="6"/>
  <c r="K1075" i="6"/>
  <c r="J1075" i="6"/>
  <c r="J1094" i="6"/>
  <c r="K1094" i="6"/>
  <c r="J1146" i="6"/>
  <c r="K1146" i="6"/>
  <c r="K1166" i="6"/>
  <c r="J1199" i="6"/>
  <c r="K1199" i="6"/>
  <c r="J1224" i="6"/>
  <c r="K1224" i="6"/>
  <c r="J1312" i="6"/>
  <c r="K1352" i="6"/>
  <c r="J1352" i="6"/>
  <c r="J1467" i="6"/>
  <c r="K1702" i="6"/>
  <c r="J1702" i="6"/>
  <c r="K1735" i="6"/>
  <c r="K11" i="6"/>
  <c r="J11" i="6"/>
  <c r="J35" i="6"/>
  <c r="K42" i="6"/>
  <c r="K95" i="6"/>
  <c r="J95" i="6"/>
  <c r="K108" i="6"/>
  <c r="J108" i="6"/>
  <c r="K182" i="6"/>
  <c r="J182" i="6"/>
  <c r="K201" i="6"/>
  <c r="J240" i="6"/>
  <c r="K240" i="6"/>
  <c r="J259" i="6"/>
  <c r="K272" i="6"/>
  <c r="J272" i="6"/>
  <c r="J340" i="6"/>
  <c r="K340" i="6"/>
  <c r="K378" i="6"/>
  <c r="J378" i="6"/>
  <c r="K415" i="6"/>
  <c r="J453" i="6"/>
  <c r="K523" i="6"/>
  <c r="J523" i="6"/>
  <c r="K549" i="6"/>
  <c r="J549" i="6"/>
  <c r="K581" i="6"/>
  <c r="J581" i="6"/>
  <c r="J632" i="6"/>
  <c r="K632" i="6"/>
  <c r="J683" i="6"/>
  <c r="K683" i="6"/>
  <c r="J728" i="6"/>
  <c r="J754" i="6"/>
  <c r="J785" i="6"/>
  <c r="J836" i="6"/>
  <c r="K836" i="6"/>
  <c r="J950" i="6"/>
  <c r="K950" i="6"/>
  <c r="K1069" i="6"/>
  <c r="J1069" i="6"/>
  <c r="K1390" i="6"/>
  <c r="J1390" i="6"/>
  <c r="J1449" i="6"/>
  <c r="K1449" i="6"/>
  <c r="J1636" i="6"/>
  <c r="K1636" i="6"/>
  <c r="K1664" i="6"/>
  <c r="J1664" i="6"/>
  <c r="K1683" i="6"/>
  <c r="J1683" i="6"/>
  <c r="K1729" i="6"/>
  <c r="J1729" i="6"/>
  <c r="K1744" i="6"/>
  <c r="J1744" i="6"/>
  <c r="K65" i="6"/>
  <c r="J65" i="6"/>
  <c r="K78" i="6"/>
  <c r="J78" i="6"/>
  <c r="J120" i="6"/>
  <c r="K120" i="6"/>
  <c r="J266" i="6"/>
  <c r="K266" i="6"/>
  <c r="J328" i="6"/>
  <c r="K360" i="6"/>
  <c r="J385" i="6"/>
  <c r="K409" i="6"/>
  <c r="J409" i="6"/>
  <c r="K441" i="6"/>
  <c r="J441" i="6"/>
  <c r="J460" i="6"/>
  <c r="K460" i="6"/>
  <c r="J467" i="6"/>
  <c r="J536" i="6"/>
  <c r="K536" i="6"/>
  <c r="K568" i="6"/>
  <c r="J568" i="6"/>
  <c r="K614" i="6"/>
  <c r="J614" i="6"/>
  <c r="J626" i="6"/>
  <c r="K626" i="6"/>
  <c r="K658" i="6"/>
  <c r="J716" i="6"/>
  <c r="K716" i="6"/>
  <c r="K734" i="6"/>
  <c r="K747" i="6"/>
  <c r="J804" i="6"/>
  <c r="K849" i="6"/>
  <c r="K925" i="6"/>
  <c r="J925" i="6"/>
  <c r="J957" i="6"/>
  <c r="K970" i="6"/>
  <c r="J976" i="6"/>
  <c r="K996" i="6"/>
  <c r="J996" i="6"/>
  <c r="K1076" i="6"/>
  <c r="J1076" i="6"/>
  <c r="K1088" i="6"/>
  <c r="J1095" i="6"/>
  <c r="K1095" i="6"/>
  <c r="J1147" i="6"/>
  <c r="K1147" i="6"/>
  <c r="J1219" i="6"/>
  <c r="K1219" i="6"/>
  <c r="J1225" i="6"/>
  <c r="K1225" i="6"/>
  <c r="K1233" i="6"/>
  <c r="J1233" i="6"/>
  <c r="J1239" i="6"/>
  <c r="K1239" i="6"/>
  <c r="K1279" i="6"/>
  <c r="J1279" i="6"/>
  <c r="K1306" i="6"/>
  <c r="J1306" i="6"/>
  <c r="J1339" i="6"/>
  <c r="K1377" i="6"/>
  <c r="J1377" i="6"/>
  <c r="J1407" i="6"/>
  <c r="K1414" i="6"/>
  <c r="J1414" i="6"/>
  <c r="J1527" i="6"/>
  <c r="K1527" i="6"/>
  <c r="K1551" i="6"/>
  <c r="J1551" i="6"/>
  <c r="K1644" i="6"/>
  <c r="J1644" i="6"/>
  <c r="K24" i="6"/>
  <c r="J24" i="6"/>
  <c r="J36" i="6"/>
  <c r="K36" i="6"/>
  <c r="K48" i="6"/>
  <c r="J48" i="6"/>
  <c r="J72" i="6"/>
  <c r="K183" i="6"/>
  <c r="J183" i="6"/>
  <c r="J189" i="6"/>
  <c r="K195" i="6"/>
  <c r="J195" i="6"/>
  <c r="J208" i="6"/>
  <c r="K208" i="6"/>
  <c r="J221" i="6"/>
  <c r="K221" i="6"/>
  <c r="J316" i="6"/>
  <c r="K316" i="6"/>
  <c r="K334" i="6"/>
  <c r="J334" i="6"/>
  <c r="J391" i="6"/>
  <c r="K391" i="6"/>
  <c r="K479" i="6"/>
  <c r="K492" i="6"/>
  <c r="J582" i="6"/>
  <c r="K582" i="6"/>
  <c r="J639" i="6"/>
  <c r="K645" i="6"/>
  <c r="J645" i="6"/>
  <c r="K684" i="6"/>
  <c r="J684" i="6"/>
  <c r="K791" i="6"/>
  <c r="J791" i="6"/>
  <c r="K799" i="6"/>
  <c r="J799" i="6"/>
  <c r="K810" i="6"/>
  <c r="J810" i="6"/>
  <c r="K817" i="6"/>
  <c r="J817" i="6"/>
  <c r="K829" i="6"/>
  <c r="J829" i="6"/>
  <c r="K869" i="6"/>
  <c r="J869" i="6"/>
  <c r="J901" i="6"/>
  <c r="J943" i="6"/>
  <c r="K943" i="6"/>
  <c r="J1029" i="6"/>
  <c r="K1029" i="6"/>
  <c r="K1036" i="6"/>
  <c r="J1036" i="6"/>
  <c r="J1042" i="6"/>
  <c r="K1048" i="6"/>
  <c r="J1055" i="6"/>
  <c r="J1082" i="6"/>
  <c r="J1114" i="6"/>
  <c r="K1114" i="6"/>
  <c r="J1160" i="6"/>
  <c r="J1167" i="6"/>
  <c r="J1174" i="6"/>
  <c r="K1174" i="6"/>
  <c r="J1333" i="6"/>
  <c r="K1333" i="6"/>
  <c r="K1434" i="6"/>
  <c r="J1434" i="6"/>
  <c r="J1441" i="6"/>
  <c r="K1450" i="6"/>
  <c r="J1450" i="6"/>
  <c r="J1592" i="6"/>
  <c r="K1592" i="6"/>
  <c r="J1671" i="6"/>
  <c r="K1671" i="6"/>
  <c r="K1723" i="6"/>
  <c r="J1723" i="6"/>
  <c r="K1745" i="6"/>
  <c r="J1745" i="6"/>
  <c r="K5" i="6"/>
  <c r="K54" i="6"/>
  <c r="J54" i="6"/>
  <c r="J66" i="6"/>
  <c r="K66" i="6"/>
  <c r="J79" i="6"/>
  <c r="K79" i="6"/>
  <c r="J109" i="6"/>
  <c r="K121" i="6"/>
  <c r="J121" i="6"/>
  <c r="K134" i="6"/>
  <c r="J134" i="6"/>
  <c r="K165" i="6"/>
  <c r="J165" i="6"/>
  <c r="J234" i="6"/>
  <c r="K234" i="6"/>
  <c r="J247" i="6"/>
  <c r="K260" i="6"/>
  <c r="K267" i="6"/>
  <c r="J267" i="6"/>
  <c r="K291" i="6"/>
  <c r="J291" i="6"/>
  <c r="J341" i="6"/>
  <c r="K347" i="6"/>
  <c r="J347" i="6"/>
  <c r="J361" i="6"/>
  <c r="K361" i="6"/>
  <c r="J368" i="6"/>
  <c r="K379" i="6"/>
  <c r="J379" i="6"/>
  <c r="J410" i="6"/>
  <c r="K410" i="6"/>
  <c r="K423" i="6"/>
  <c r="J423" i="6"/>
  <c r="K454" i="6"/>
  <c r="J454" i="6"/>
  <c r="K561" i="6"/>
  <c r="J561" i="6"/>
  <c r="K589" i="6"/>
  <c r="J589" i="6"/>
  <c r="K659" i="6"/>
  <c r="J659" i="6"/>
  <c r="K717" i="6"/>
  <c r="J717" i="6"/>
  <c r="J735" i="6"/>
  <c r="K735" i="6"/>
  <c r="K755" i="6"/>
  <c r="J755" i="6"/>
  <c r="K914" i="6"/>
  <c r="K920" i="6"/>
  <c r="J920" i="6"/>
  <c r="K983" i="6"/>
  <c r="J983" i="6"/>
  <c r="J1003" i="6"/>
  <c r="K1148" i="6"/>
  <c r="J1148" i="6"/>
  <c r="K1321" i="6"/>
  <c r="J1321" i="6"/>
  <c r="K1347" i="6"/>
  <c r="J1347" i="6"/>
  <c r="J1366" i="6"/>
  <c r="K1397" i="6"/>
  <c r="J1397" i="6"/>
  <c r="J1402" i="6"/>
  <c r="J1415" i="6"/>
  <c r="K1415" i="6"/>
  <c r="K1422" i="6"/>
  <c r="J1422" i="6"/>
  <c r="K1463" i="6"/>
  <c r="J1463" i="6"/>
  <c r="J1559" i="6"/>
  <c r="K1559" i="6"/>
  <c r="K1637" i="6"/>
  <c r="K1645" i="6"/>
  <c r="J1645" i="6"/>
  <c r="K1659" i="6"/>
  <c r="J1659" i="6"/>
  <c r="J1665" i="6"/>
  <c r="K1665" i="6"/>
  <c r="K1684" i="6"/>
  <c r="J1684" i="6"/>
  <c r="K1696" i="6"/>
  <c r="K1730" i="6"/>
  <c r="K1737" i="6"/>
  <c r="J1737" i="6"/>
  <c r="K37" i="6"/>
  <c r="J37" i="6"/>
  <c r="J115" i="6"/>
  <c r="K147" i="6"/>
  <c r="J147" i="6"/>
  <c r="K209" i="6"/>
  <c r="J209" i="6"/>
  <c r="K254" i="6"/>
  <c r="J254" i="6"/>
  <c r="K317" i="6"/>
  <c r="J317" i="6"/>
  <c r="J392" i="6"/>
  <c r="K392" i="6"/>
  <c r="J461" i="6"/>
  <c r="J468" i="6"/>
  <c r="K517" i="6"/>
  <c r="J517" i="6"/>
  <c r="J537" i="6"/>
  <c r="J576" i="6"/>
  <c r="K576" i="6"/>
  <c r="J615" i="6"/>
  <c r="J621" i="6"/>
  <c r="K698" i="6"/>
  <c r="J698" i="6"/>
  <c r="K742" i="6"/>
  <c r="J792" i="6"/>
  <c r="K792" i="6"/>
  <c r="J843" i="6"/>
  <c r="J850" i="6"/>
  <c r="J862" i="6"/>
  <c r="K862" i="6"/>
  <c r="K883" i="6"/>
  <c r="J883" i="6"/>
  <c r="K902" i="6"/>
  <c r="J902" i="6"/>
  <c r="J971" i="6"/>
  <c r="K971" i="6"/>
  <c r="K997" i="6"/>
  <c r="K1037" i="6"/>
  <c r="J1037" i="6"/>
  <c r="K1056" i="6"/>
  <c r="J1056" i="6"/>
  <c r="J1063" i="6"/>
  <c r="J1115" i="6"/>
  <c r="K1115" i="6"/>
  <c r="K1175" i="6"/>
  <c r="J1175" i="6"/>
  <c r="J1194" i="6"/>
  <c r="K1194" i="6"/>
  <c r="K1201" i="6"/>
  <c r="J1201" i="6"/>
  <c r="K1313" i="6"/>
  <c r="J1313" i="6"/>
  <c r="K1378" i="6"/>
  <c r="J1378" i="6"/>
  <c r="K1408" i="6"/>
  <c r="J1408" i="6"/>
  <c r="K1489" i="6"/>
  <c r="J1489" i="6"/>
  <c r="J1552" i="6"/>
  <c r="K1552" i="6"/>
  <c r="J1611" i="6"/>
  <c r="K1611" i="6"/>
  <c r="K1691" i="6"/>
  <c r="J1691" i="6"/>
  <c r="J1704" i="6"/>
  <c r="K1704" i="6"/>
  <c r="J6" i="6"/>
  <c r="K6" i="6"/>
  <c r="J25" i="6"/>
  <c r="K60" i="6"/>
  <c r="K67" i="6"/>
  <c r="J67" i="6"/>
  <c r="J73" i="6"/>
  <c r="K73" i="6"/>
  <c r="J141" i="6"/>
  <c r="K235" i="6"/>
  <c r="J235" i="6"/>
  <c r="K248" i="6"/>
  <c r="J248" i="6"/>
  <c r="J292" i="6"/>
  <c r="K292" i="6"/>
  <c r="J299" i="6"/>
  <c r="K348" i="6"/>
  <c r="J348" i="6"/>
  <c r="K362" i="6"/>
  <c r="J362" i="6"/>
  <c r="K374" i="6"/>
  <c r="J374" i="6"/>
  <c r="K487" i="6"/>
  <c r="J487" i="6"/>
  <c r="K499" i="6"/>
  <c r="J499" i="6"/>
  <c r="J543" i="6"/>
  <c r="J551" i="6"/>
  <c r="J590" i="6"/>
  <c r="K590" i="6"/>
  <c r="K691" i="6"/>
  <c r="J691" i="6"/>
  <c r="J830" i="6"/>
  <c r="K856" i="6"/>
  <c r="J856" i="6"/>
  <c r="K909" i="6"/>
  <c r="J1077" i="6"/>
  <c r="K1077" i="6"/>
  <c r="K1149" i="6"/>
  <c r="J1149" i="6"/>
  <c r="K1161" i="6"/>
  <c r="J1161" i="6"/>
  <c r="J1187" i="6"/>
  <c r="K1187" i="6"/>
  <c r="J1215" i="6"/>
  <c r="K1215" i="6"/>
  <c r="K1253" i="6"/>
  <c r="J1253" i="6"/>
  <c r="J1301" i="6"/>
  <c r="K1348" i="6"/>
  <c r="J1348" i="6"/>
  <c r="K1371" i="6"/>
  <c r="J1371" i="6"/>
  <c r="K1384" i="6"/>
  <c r="J1384" i="6"/>
  <c r="J1416" i="6"/>
  <c r="K1416" i="6"/>
  <c r="K1442" i="6"/>
  <c r="J1442" i="6"/>
  <c r="K1516" i="6"/>
  <c r="J1546" i="6"/>
  <c r="K1560" i="6"/>
  <c r="J1560" i="6"/>
  <c r="J1578" i="6"/>
  <c r="J1586" i="6"/>
  <c r="J1625" i="6"/>
  <c r="K1625" i="6"/>
  <c r="J1631" i="6"/>
  <c r="K1638" i="6"/>
  <c r="J1638" i="6"/>
  <c r="K1646" i="6"/>
  <c r="J1646" i="6"/>
  <c r="J19" i="6"/>
  <c r="K19" i="6"/>
  <c r="K148" i="6"/>
  <c r="J148" i="6"/>
  <c r="J268" i="6"/>
  <c r="K274" i="6"/>
  <c r="J274" i="6"/>
  <c r="J310" i="6"/>
  <c r="K310" i="6"/>
  <c r="J335" i="6"/>
  <c r="K380" i="6"/>
  <c r="K386" i="6"/>
  <c r="K411" i="6"/>
  <c r="K443" i="6"/>
  <c r="J443" i="6"/>
  <c r="K455" i="6"/>
  <c r="J455" i="6"/>
  <c r="K469" i="6"/>
  <c r="J469" i="6"/>
  <c r="J475" i="6"/>
  <c r="J512" i="6"/>
  <c r="K518" i="6"/>
  <c r="J518" i="6"/>
  <c r="K562" i="6"/>
  <c r="J562" i="6"/>
  <c r="J570" i="6"/>
  <c r="K570" i="6"/>
  <c r="K609" i="6"/>
  <c r="J609" i="6"/>
  <c r="K634" i="6"/>
  <c r="K699" i="6"/>
  <c r="J699" i="6"/>
  <c r="J710" i="6"/>
  <c r="K710" i="6"/>
  <c r="J736" i="6"/>
  <c r="K736" i="6"/>
  <c r="K773" i="6"/>
  <c r="J773" i="6"/>
  <c r="K818" i="6"/>
  <c r="J818" i="6"/>
  <c r="J870" i="6"/>
  <c r="J915" i="6"/>
  <c r="K915" i="6"/>
  <c r="J945" i="6"/>
  <c r="K945" i="6"/>
  <c r="K952" i="6"/>
  <c r="J952" i="6"/>
  <c r="K959" i="6"/>
  <c r="J959" i="6"/>
  <c r="J1004" i="6"/>
  <c r="K1004" i="6"/>
  <c r="K1043" i="6"/>
  <c r="J1043" i="6"/>
  <c r="J1057" i="6"/>
  <c r="K1057" i="6"/>
  <c r="K1116" i="6"/>
  <c r="J1116" i="6"/>
  <c r="K1227" i="6"/>
  <c r="K1261" i="6"/>
  <c r="J1261" i="6"/>
  <c r="K1281" i="6"/>
  <c r="J1281" i="6"/>
  <c r="K1409" i="6"/>
  <c r="J1409" i="6"/>
  <c r="K1470" i="6"/>
  <c r="J1470" i="6"/>
  <c r="K1509" i="6"/>
  <c r="J1509" i="6"/>
  <c r="J1541" i="6"/>
  <c r="J1705" i="6"/>
  <c r="K1705" i="6"/>
  <c r="K1731" i="6"/>
  <c r="J1731" i="6"/>
  <c r="K7" i="6"/>
  <c r="J7" i="6"/>
  <c r="K44" i="6"/>
  <c r="J44" i="6"/>
  <c r="K74" i="6"/>
  <c r="J74" i="6"/>
  <c r="K91" i="6"/>
  <c r="J91" i="6"/>
  <c r="K210" i="6"/>
  <c r="K242" i="6"/>
  <c r="K281" i="6"/>
  <c r="J436" i="6"/>
  <c r="K436" i="6"/>
  <c r="J500" i="6"/>
  <c r="K500" i="6"/>
  <c r="J532" i="6"/>
  <c r="K532" i="6"/>
  <c r="K544" i="6"/>
  <c r="J544" i="6"/>
  <c r="K591" i="6"/>
  <c r="J591" i="6"/>
  <c r="J597" i="6"/>
  <c r="K641" i="6"/>
  <c r="J641" i="6"/>
  <c r="K679" i="6"/>
  <c r="J679" i="6"/>
  <c r="J704" i="6"/>
  <c r="J743" i="6"/>
  <c r="K749" i="6"/>
  <c r="J749" i="6"/>
  <c r="K812" i="6"/>
  <c r="J812" i="6"/>
  <c r="J831" i="6"/>
  <c r="K831" i="6"/>
  <c r="J863" i="6"/>
  <c r="K863" i="6"/>
  <c r="J903" i="6"/>
  <c r="K903" i="6"/>
  <c r="J939" i="6"/>
  <c r="K939" i="6"/>
  <c r="K972" i="6"/>
  <c r="J972" i="6"/>
  <c r="K1097" i="6"/>
  <c r="J1097" i="6"/>
  <c r="K1142" i="6"/>
  <c r="J1142" i="6"/>
  <c r="K1235" i="6"/>
  <c r="J1235" i="6"/>
  <c r="K1289" i="6"/>
  <c r="J1289" i="6"/>
  <c r="J1361" i="6"/>
  <c r="J1367" i="6"/>
  <c r="K1367" i="6"/>
  <c r="J1403" i="6"/>
  <c r="K1443" i="6"/>
  <c r="J1443" i="6"/>
  <c r="K1458" i="6"/>
  <c r="J1458" i="6"/>
  <c r="J1483" i="6"/>
  <c r="K1483" i="6"/>
  <c r="K1517" i="6"/>
  <c r="J1517" i="6"/>
  <c r="J1547" i="6"/>
  <c r="K1547" i="6"/>
  <c r="J1579" i="6"/>
  <c r="K1579" i="6"/>
  <c r="J1587" i="6"/>
  <c r="K1587" i="6"/>
  <c r="K1639" i="6"/>
  <c r="J1639" i="6"/>
  <c r="J20" i="6"/>
  <c r="K20" i="6"/>
  <c r="K61" i="6"/>
  <c r="J61" i="6"/>
  <c r="J68" i="6"/>
  <c r="J116" i="6"/>
  <c r="K116" i="6"/>
  <c r="K197" i="6"/>
  <c r="K217" i="6"/>
  <c r="J217" i="6"/>
  <c r="K275" i="6"/>
  <c r="J275" i="6"/>
  <c r="J287" i="6"/>
  <c r="K311" i="6"/>
  <c r="J311" i="6"/>
  <c r="K387" i="6"/>
  <c r="J387" i="6"/>
  <c r="J418" i="6"/>
  <c r="K418" i="6"/>
  <c r="J450" i="6"/>
  <c r="K450" i="6"/>
  <c r="K647" i="6"/>
  <c r="K692" i="6"/>
  <c r="K787" i="6"/>
  <c r="J787" i="6"/>
  <c r="K794" i="6"/>
  <c r="J794" i="6"/>
  <c r="J978" i="6"/>
  <c r="K978" i="6"/>
  <c r="K1018" i="6"/>
  <c r="J1025" i="6"/>
  <c r="K1025" i="6"/>
  <c r="J1050" i="6"/>
  <c r="K1050" i="6"/>
  <c r="K1072" i="6"/>
  <c r="J1072" i="6"/>
  <c r="K1150" i="6"/>
  <c r="K1183" i="6"/>
  <c r="J1183" i="6"/>
  <c r="J1247" i="6"/>
  <c r="K1392" i="6"/>
  <c r="K1510" i="6"/>
  <c r="J1510" i="6"/>
  <c r="J1573" i="6"/>
  <c r="J1619" i="6"/>
  <c r="J1706" i="6"/>
  <c r="K1706" i="6"/>
  <c r="J1753" i="6"/>
  <c r="K32" i="6"/>
  <c r="J32" i="6"/>
  <c r="J97" i="6"/>
  <c r="J142" i="6"/>
  <c r="K142" i="6"/>
  <c r="K236" i="6"/>
  <c r="K262" i="6"/>
  <c r="J262" i="6"/>
  <c r="K294" i="6"/>
  <c r="J294" i="6"/>
  <c r="J400" i="6"/>
  <c r="K400" i="6"/>
  <c r="K444" i="6"/>
  <c r="K456" i="6"/>
  <c r="K481" i="6"/>
  <c r="J481" i="6"/>
  <c r="K616" i="6"/>
  <c r="J635" i="6"/>
  <c r="J654" i="6"/>
  <c r="J750" i="6"/>
  <c r="K750" i="6"/>
  <c r="K774" i="6"/>
  <c r="J774" i="6"/>
  <c r="K806" i="6"/>
  <c r="J806" i="6"/>
  <c r="J825" i="6"/>
  <c r="K825" i="6"/>
  <c r="K832" i="6"/>
  <c r="J832" i="6"/>
  <c r="K864" i="6"/>
  <c r="J864" i="6"/>
  <c r="K885" i="6"/>
  <c r="J885" i="6"/>
  <c r="J904" i="6"/>
  <c r="K904" i="6"/>
  <c r="K999" i="6"/>
  <c r="J999" i="6"/>
  <c r="K1032" i="6"/>
  <c r="J1032" i="6"/>
  <c r="J1058" i="6"/>
  <c r="J1078" i="6"/>
  <c r="J1084" i="6"/>
  <c r="K1084" i="6"/>
  <c r="K1098" i="6"/>
  <c r="J1098" i="6"/>
  <c r="K1123" i="6"/>
  <c r="J1123" i="6"/>
  <c r="J1156" i="6"/>
  <c r="K1269" i="6"/>
  <c r="J1269" i="6"/>
  <c r="J1282" i="6"/>
  <c r="K1444" i="6"/>
  <c r="J1444" i="6"/>
  <c r="J1452" i="6"/>
  <c r="K1452" i="6"/>
  <c r="K1459" i="6"/>
  <c r="J1459" i="6"/>
  <c r="K1484" i="6"/>
  <c r="J1484" i="6"/>
  <c r="J1491" i="6"/>
  <c r="K1491" i="6"/>
  <c r="K1503" i="6"/>
  <c r="J1503" i="6"/>
  <c r="K1535" i="6"/>
  <c r="K1580" i="6"/>
  <c r="J1580" i="6"/>
  <c r="K1713" i="6"/>
  <c r="J1713" i="6"/>
  <c r="K1725" i="6"/>
  <c r="J1725" i="6"/>
  <c r="K8" i="6"/>
  <c r="K185" i="6"/>
  <c r="J185" i="6"/>
  <c r="K204" i="6"/>
  <c r="J204" i="6"/>
  <c r="K211" i="6"/>
  <c r="J243" i="6"/>
  <c r="J276" i="6"/>
  <c r="K276" i="6"/>
  <c r="J336" i="6"/>
  <c r="K336" i="6"/>
  <c r="K388" i="6"/>
  <c r="J388" i="6"/>
  <c r="K419" i="6"/>
  <c r="J419" i="6"/>
  <c r="K463" i="6"/>
  <c r="J526" i="6"/>
  <c r="K526" i="6"/>
  <c r="J533" i="6"/>
  <c r="K545" i="6"/>
  <c r="J545" i="6"/>
  <c r="K557" i="6"/>
  <c r="J557" i="6"/>
  <c r="K592" i="6"/>
  <c r="K673" i="6"/>
  <c r="K693" i="6"/>
  <c r="J693" i="6"/>
  <c r="K700" i="6"/>
  <c r="K712" i="6"/>
  <c r="J712" i="6"/>
  <c r="J839" i="6"/>
  <c r="K845" i="6"/>
  <c r="J845" i="6"/>
  <c r="K878" i="6"/>
  <c r="J878" i="6"/>
  <c r="K891" i="6"/>
  <c r="J891" i="6"/>
  <c r="K953" i="6"/>
  <c r="K973" i="6"/>
  <c r="J973" i="6"/>
  <c r="J991" i="6"/>
  <c r="K1044" i="6"/>
  <c r="K1143" i="6"/>
  <c r="J1143" i="6"/>
  <c r="K1163" i="6"/>
  <c r="J1163" i="6"/>
  <c r="J1170" i="6"/>
  <c r="K1170" i="6"/>
  <c r="K1189" i="6"/>
  <c r="J1189" i="6"/>
  <c r="J1255" i="6"/>
  <c r="K1255" i="6"/>
  <c r="K1263" i="6"/>
  <c r="J1263" i="6"/>
  <c r="K1373" i="6"/>
  <c r="J1373" i="6"/>
  <c r="K1411" i="6"/>
  <c r="J1411" i="6"/>
  <c r="K1418" i="6"/>
  <c r="J1418" i="6"/>
  <c r="J1430" i="6"/>
  <c r="K1673" i="6"/>
  <c r="J1673" i="6"/>
  <c r="J1680" i="6"/>
  <c r="K1680" i="6"/>
  <c r="K1699" i="6"/>
  <c r="J1699" i="6"/>
  <c r="K1740" i="6"/>
  <c r="J1740" i="6"/>
  <c r="K2" i="6"/>
  <c r="J2" i="6"/>
  <c r="K21" i="6"/>
  <c r="K62" i="6"/>
  <c r="K75" i="6"/>
  <c r="J75" i="6"/>
  <c r="J86" i="6"/>
  <c r="K86" i="6"/>
  <c r="J105" i="6"/>
  <c r="K143" i="6"/>
  <c r="J143" i="6"/>
  <c r="J167" i="6"/>
  <c r="J192" i="6"/>
  <c r="K192" i="6"/>
  <c r="K218" i="6"/>
  <c r="J218" i="6"/>
  <c r="J230" i="6"/>
  <c r="K230" i="6"/>
  <c r="K237" i="6"/>
  <c r="J237" i="6"/>
  <c r="K250" i="6"/>
  <c r="K263" i="6"/>
  <c r="J263" i="6"/>
  <c r="J312" i="6"/>
  <c r="J370" i="6"/>
  <c r="K370" i="6"/>
  <c r="J394" i="6"/>
  <c r="K401" i="6"/>
  <c r="J401" i="6"/>
  <c r="J471" i="6"/>
  <c r="J482" i="6"/>
  <c r="K482" i="6"/>
  <c r="K495" i="6"/>
  <c r="J495" i="6"/>
  <c r="K617" i="6"/>
  <c r="J617" i="6"/>
  <c r="K731" i="6"/>
  <c r="J731" i="6"/>
  <c r="J738" i="6"/>
  <c r="K751" i="6"/>
  <c r="J751" i="6"/>
  <c r="K775" i="6"/>
  <c r="J775" i="6"/>
  <c r="K788" i="6"/>
  <c r="J788" i="6"/>
  <c r="K795" i="6"/>
  <c r="J833" i="6"/>
  <c r="K833" i="6"/>
  <c r="K865" i="6"/>
  <c r="J865" i="6"/>
  <c r="J911" i="6"/>
  <c r="K911" i="6"/>
  <c r="K928" i="6"/>
  <c r="J928" i="6"/>
  <c r="K1019" i="6"/>
  <c r="J1039" i="6"/>
  <c r="K1039" i="6"/>
  <c r="J1222" i="6"/>
  <c r="K1283" i="6"/>
  <c r="J1283" i="6"/>
  <c r="K1290" i="6"/>
  <c r="J1290" i="6"/>
  <c r="J1303" i="6"/>
  <c r="K1303" i="6"/>
  <c r="K1316" i="6"/>
  <c r="J1316" i="6"/>
  <c r="K1445" i="6"/>
  <c r="J1445" i="6"/>
  <c r="K1453" i="6"/>
  <c r="J1453" i="6"/>
  <c r="K1477" i="6"/>
  <c r="J1477" i="6"/>
  <c r="J1485" i="6"/>
  <c r="K1485" i="6"/>
  <c r="K1542" i="6"/>
  <c r="J1542" i="6"/>
  <c r="K1581" i="6"/>
  <c r="J1581" i="6"/>
  <c r="K1613" i="6"/>
  <c r="J1613" i="6"/>
  <c r="K1707" i="6"/>
  <c r="J1707" i="6"/>
  <c r="J1726" i="6"/>
  <c r="K1726" i="6"/>
  <c r="J1733" i="6"/>
  <c r="K1733" i="6"/>
  <c r="K33" i="6"/>
  <c r="K56" i="6"/>
  <c r="J205" i="6"/>
  <c r="K205" i="6"/>
  <c r="K244" i="6"/>
  <c r="J244" i="6"/>
  <c r="K288" i="6"/>
  <c r="J288" i="6"/>
  <c r="J306" i="6"/>
  <c r="K306" i="6"/>
  <c r="K350" i="6"/>
  <c r="J432" i="6"/>
  <c r="K432" i="6"/>
  <c r="J438" i="6"/>
  <c r="K527" i="6"/>
  <c r="J527" i="6"/>
  <c r="K558" i="6"/>
  <c r="J558" i="6"/>
  <c r="K599" i="6"/>
  <c r="J599" i="6"/>
  <c r="K611" i="6"/>
  <c r="J611" i="6"/>
  <c r="K655" i="6"/>
  <c r="J655" i="6"/>
  <c r="K674" i="6"/>
  <c r="J674" i="6"/>
  <c r="K694" i="6"/>
  <c r="J694" i="6"/>
  <c r="J713" i="6"/>
  <c r="K713" i="6"/>
  <c r="J846" i="6"/>
  <c r="K846" i="6"/>
  <c r="K905" i="6"/>
  <c r="K935" i="6"/>
  <c r="J935" i="6"/>
  <c r="J954" i="6"/>
  <c r="K954" i="6"/>
  <c r="K1045" i="6"/>
  <c r="J1045" i="6"/>
  <c r="K1066" i="6"/>
  <c r="J1066" i="6"/>
  <c r="J1079" i="6"/>
  <c r="K1079" i="6"/>
  <c r="K1105" i="6"/>
  <c r="J1105" i="6"/>
  <c r="J1118" i="6"/>
  <c r="K1118" i="6"/>
  <c r="J1151" i="6"/>
  <c r="J1204" i="6"/>
  <c r="K1204" i="6"/>
  <c r="K1256" i="6"/>
  <c r="J1256" i="6"/>
  <c r="K1276" i="6"/>
  <c r="K1310" i="6"/>
  <c r="J1310" i="6"/>
  <c r="K1343" i="6"/>
  <c r="J1343" i="6"/>
  <c r="K1620" i="6"/>
  <c r="J1620" i="6"/>
  <c r="J1627" i="6"/>
  <c r="K1627" i="6"/>
  <c r="K1649" i="6"/>
  <c r="K1655" i="6"/>
  <c r="J1655" i="6"/>
  <c r="J1693" i="6"/>
  <c r="K1693" i="6"/>
  <c r="J1754" i="6"/>
  <c r="K15" i="6"/>
  <c r="J15" i="6"/>
  <c r="J112" i="6"/>
  <c r="K112" i="6"/>
  <c r="K186" i="6"/>
  <c r="K231" i="6"/>
  <c r="J231" i="6"/>
  <c r="K256" i="6"/>
  <c r="K337" i="6"/>
  <c r="J337" i="6"/>
  <c r="K357" i="6"/>
  <c r="J357" i="6"/>
  <c r="J364" i="6"/>
  <c r="J382" i="6"/>
  <c r="K382" i="6"/>
  <c r="J420" i="6"/>
  <c r="K420" i="6"/>
  <c r="K464" i="6"/>
  <c r="J464" i="6"/>
  <c r="K483" i="6"/>
  <c r="J483" i="6"/>
  <c r="K514" i="6"/>
  <c r="J514" i="6"/>
  <c r="J520" i="6"/>
  <c r="K520" i="6"/>
  <c r="K539" i="6"/>
  <c r="J539" i="6"/>
  <c r="J546" i="6"/>
  <c r="K546" i="6"/>
  <c r="K618" i="6"/>
  <c r="J618" i="6"/>
  <c r="J636" i="6"/>
  <c r="K636" i="6"/>
  <c r="J643" i="6"/>
  <c r="J662" i="6"/>
  <c r="J681" i="6"/>
  <c r="J726" i="6"/>
  <c r="K726" i="6"/>
  <c r="J776" i="6"/>
  <c r="K776" i="6"/>
  <c r="K1020" i="6"/>
  <c r="J1020" i="6"/>
  <c r="J1099" i="6"/>
  <c r="J1144" i="6"/>
  <c r="K1144" i="6"/>
  <c r="K1190" i="6"/>
  <c r="K1317" i="6"/>
  <c r="J1317" i="6"/>
  <c r="J1387" i="6"/>
  <c r="K1387" i="6"/>
  <c r="K1454" i="6"/>
  <c r="J1454" i="6"/>
  <c r="J1614" i="6"/>
  <c r="K1614" i="6"/>
  <c r="K1641" i="6"/>
  <c r="J1641" i="6"/>
  <c r="K1668" i="6"/>
  <c r="J1668" i="6"/>
  <c r="J1687" i="6"/>
  <c r="K1700" i="6"/>
  <c r="J1700" i="6"/>
  <c r="J1714" i="6"/>
  <c r="J70" i="6"/>
  <c r="K70" i="6"/>
  <c r="K99" i="6"/>
  <c r="J99" i="6"/>
  <c r="J144" i="6"/>
  <c r="J238" i="6"/>
  <c r="K245" i="6"/>
  <c r="J245" i="6"/>
  <c r="J270" i="6"/>
  <c r="K270" i="6"/>
  <c r="K313" i="6"/>
  <c r="J313" i="6"/>
  <c r="K413" i="6"/>
  <c r="J413" i="6"/>
  <c r="K477" i="6"/>
  <c r="J477" i="6"/>
  <c r="J489" i="6"/>
  <c r="J496" i="6"/>
  <c r="K496" i="6"/>
  <c r="K528" i="6"/>
  <c r="J528" i="6"/>
  <c r="J586" i="6"/>
  <c r="K586" i="6"/>
  <c r="J656" i="6"/>
  <c r="K656" i="6"/>
  <c r="K668" i="6"/>
  <c r="J668" i="6"/>
  <c r="K745" i="6"/>
  <c r="J745" i="6"/>
  <c r="K752" i="6"/>
  <c r="J752" i="6"/>
  <c r="J847" i="6"/>
  <c r="K847" i="6"/>
  <c r="K955" i="6"/>
  <c r="J955" i="6"/>
  <c r="K1053" i="6"/>
  <c r="J1053" i="6"/>
  <c r="K1067" i="6"/>
  <c r="J1067" i="6"/>
  <c r="K1080" i="6"/>
  <c r="J1080" i="6"/>
  <c r="K1217" i="6"/>
  <c r="K1230" i="6"/>
  <c r="J1230" i="6"/>
  <c r="J1257" i="6"/>
  <c r="K1257" i="6"/>
  <c r="K1520" i="6"/>
  <c r="J1520" i="6"/>
  <c r="J1531" i="6"/>
  <c r="J1537" i="6"/>
  <c r="K1537" i="6"/>
  <c r="J1569" i="6"/>
  <c r="K1582" i="6"/>
  <c r="J1582" i="6"/>
  <c r="K1621" i="6"/>
  <c r="J1621" i="6"/>
  <c r="J1721" i="6"/>
  <c r="K1721" i="6"/>
  <c r="J34" i="6"/>
  <c r="J40" i="6"/>
  <c r="K40" i="6"/>
  <c r="K46" i="6"/>
  <c r="K93" i="6"/>
  <c r="J118" i="6"/>
  <c r="K125" i="6"/>
  <c r="J125" i="6"/>
  <c r="K187" i="6"/>
  <c r="J187" i="6"/>
  <c r="K199" i="6"/>
  <c r="J199" i="6"/>
  <c r="K213" i="6"/>
  <c r="J213" i="6"/>
  <c r="K219" i="6"/>
  <c r="K257" i="6"/>
  <c r="J257" i="6"/>
  <c r="K283" i="6"/>
  <c r="K289" i="6"/>
  <c r="J289" i="6"/>
  <c r="K338" i="6"/>
  <c r="J338" i="6"/>
  <c r="J345" i="6"/>
  <c r="J358" i="6"/>
  <c r="K358" i="6"/>
  <c r="K465" i="6"/>
  <c r="J465" i="6"/>
  <c r="J540" i="6"/>
  <c r="K540" i="6"/>
  <c r="J547" i="6"/>
  <c r="K547" i="6"/>
  <c r="J612" i="6"/>
  <c r="K637" i="6"/>
  <c r="J637" i="6"/>
  <c r="K649" i="6"/>
  <c r="J649" i="6"/>
  <c r="J706" i="6"/>
  <c r="K706" i="6"/>
  <c r="K714" i="6"/>
  <c r="J714" i="6"/>
  <c r="K732" i="6"/>
  <c r="K759" i="6"/>
  <c r="J759" i="6"/>
  <c r="K808" i="6"/>
  <c r="J808" i="6"/>
  <c r="J840" i="6"/>
  <c r="J879" i="6"/>
  <c r="J899" i="6"/>
  <c r="J929" i="6"/>
  <c r="K948" i="6"/>
  <c r="J948" i="6"/>
  <c r="K1001" i="6"/>
  <c r="J1001" i="6"/>
  <c r="K1112" i="6"/>
  <c r="J1112" i="6"/>
  <c r="J1125" i="6"/>
  <c r="K1152" i="6"/>
  <c r="J1152" i="6"/>
  <c r="J1165" i="6"/>
  <c r="J1172" i="6"/>
  <c r="K1191" i="6"/>
  <c r="J1191" i="6"/>
  <c r="J1197" i="6"/>
  <c r="J1237" i="6"/>
  <c r="K1271" i="6"/>
  <c r="J1271" i="6"/>
  <c r="J1318" i="6"/>
  <c r="K1318" i="6"/>
  <c r="K1439" i="6"/>
  <c r="J1439" i="6"/>
  <c r="K1461" i="6"/>
  <c r="J1461" i="6"/>
  <c r="K1466" i="6"/>
  <c r="K1597" i="6"/>
  <c r="J1656" i="6"/>
  <c r="K1688" i="6"/>
  <c r="J1688" i="6"/>
  <c r="K28" i="6"/>
  <c r="J28" i="6"/>
  <c r="K58" i="6"/>
  <c r="J58" i="6"/>
  <c r="J100" i="6"/>
  <c r="K100" i="6"/>
  <c r="K169" i="6"/>
  <c r="J169" i="6"/>
  <c r="J264" i="6"/>
  <c r="K271" i="6"/>
  <c r="J271" i="6"/>
  <c r="J327" i="6"/>
  <c r="J365" i="6"/>
  <c r="K365" i="6"/>
  <c r="J403" i="6"/>
  <c r="K439" i="6"/>
  <c r="J439" i="6"/>
  <c r="J446" i="6"/>
  <c r="K446" i="6"/>
  <c r="J452" i="6"/>
  <c r="J490" i="6"/>
  <c r="K490" i="6"/>
  <c r="K509" i="6"/>
  <c r="J509" i="6"/>
  <c r="J721" i="6"/>
  <c r="K721" i="6"/>
  <c r="K765" i="6"/>
  <c r="J765" i="6"/>
  <c r="J777" i="6"/>
  <c r="K796" i="6"/>
  <c r="J815" i="6"/>
  <c r="K859" i="6"/>
  <c r="K887" i="6"/>
  <c r="J887" i="6"/>
  <c r="J1007" i="6"/>
  <c r="K1060" i="6"/>
  <c r="K1138" i="6"/>
  <c r="J1145" i="6"/>
  <c r="J1223" i="6"/>
  <c r="J1250" i="6"/>
  <c r="K1250" i="6"/>
  <c r="J1292" i="6"/>
  <c r="K1292" i="6"/>
  <c r="J1388" i="6"/>
  <c r="K1394" i="6"/>
  <c r="J1394" i="6"/>
  <c r="K1406" i="6"/>
  <c r="J1406" i="6"/>
  <c r="K1544" i="6"/>
  <c r="J1544" i="6"/>
  <c r="J1608" i="6"/>
  <c r="J1615" i="6"/>
  <c r="K1615" i="6"/>
  <c r="K41" i="6"/>
  <c r="J41" i="6"/>
  <c r="K157" i="6"/>
  <c r="J157" i="6"/>
  <c r="K163" i="6"/>
  <c r="J226" i="6"/>
  <c r="K226" i="6"/>
  <c r="K258" i="6"/>
  <c r="J258" i="6"/>
  <c r="K296" i="6"/>
  <c r="K314" i="6"/>
  <c r="J314" i="6"/>
  <c r="K384" i="6"/>
  <c r="J384" i="6"/>
  <c r="J396" i="6"/>
  <c r="K396" i="6"/>
  <c r="K414" i="6"/>
  <c r="J414" i="6"/>
  <c r="K587" i="6"/>
  <c r="J657" i="6"/>
  <c r="J676" i="6"/>
  <c r="K676" i="6"/>
  <c r="K784" i="6"/>
  <c r="J784" i="6"/>
  <c r="K867" i="6"/>
  <c r="J867" i="6"/>
  <c r="J874" i="6"/>
  <c r="K880" i="6"/>
  <c r="J880" i="6"/>
  <c r="K930" i="6"/>
  <c r="J930" i="6"/>
  <c r="J981" i="6"/>
  <c r="J1068" i="6"/>
  <c r="K1093" i="6"/>
  <c r="J1093" i="6"/>
  <c r="J1126" i="6"/>
  <c r="K1126" i="6"/>
  <c r="K1198" i="6"/>
  <c r="J1198" i="6"/>
  <c r="K1212" i="6"/>
  <c r="J1212" i="6"/>
  <c r="K1243" i="6"/>
  <c r="J1243" i="6"/>
  <c r="K1265" i="6"/>
  <c r="K1286" i="6"/>
  <c r="J1286" i="6"/>
  <c r="J1345" i="6"/>
  <c r="K1345" i="6"/>
  <c r="K1513" i="6"/>
  <c r="J1513" i="6"/>
  <c r="K1576" i="6"/>
  <c r="J1576" i="6"/>
  <c r="K1635" i="6"/>
  <c r="J1635" i="6"/>
  <c r="J1642" i="6"/>
  <c r="K1689" i="6"/>
  <c r="J1689" i="6"/>
  <c r="K1728" i="6"/>
  <c r="J1728" i="6"/>
  <c r="K1756" i="6"/>
  <c r="J1756" i="6"/>
  <c r="J1214" i="6"/>
  <c r="K1214" i="6"/>
  <c r="K1258" i="6"/>
  <c r="J1258" i="6"/>
  <c r="K1381" i="6"/>
  <c r="J1381" i="6"/>
  <c r="K1701" i="6"/>
  <c r="J1701" i="6"/>
  <c r="K12" i="6"/>
  <c r="J12" i="6"/>
  <c r="K131" i="6"/>
  <c r="J131" i="6"/>
  <c r="K161" i="6"/>
  <c r="J161" i="6"/>
  <c r="K173" i="6"/>
  <c r="J173" i="6"/>
  <c r="K191" i="6"/>
  <c r="J191" i="6"/>
  <c r="K203" i="6"/>
  <c r="J203" i="6"/>
  <c r="K284" i="6"/>
  <c r="J284" i="6"/>
  <c r="J320" i="6"/>
  <c r="K320" i="6"/>
  <c r="J442" i="6"/>
  <c r="K442" i="6"/>
  <c r="K563" i="6"/>
  <c r="J563" i="6"/>
  <c r="J596" i="6"/>
  <c r="K596" i="6"/>
  <c r="K664" i="6"/>
  <c r="J664" i="6"/>
  <c r="J670" i="6"/>
  <c r="K670" i="6"/>
  <c r="K689" i="6"/>
  <c r="J689" i="6"/>
  <c r="K702" i="6"/>
  <c r="J702" i="6"/>
  <c r="K884" i="6"/>
  <c r="J884" i="6"/>
  <c r="K969" i="6"/>
  <c r="J969" i="6"/>
  <c r="K975" i="6"/>
  <c r="J975" i="6"/>
  <c r="J994" i="6"/>
  <c r="K994" i="6"/>
  <c r="K1208" i="6"/>
  <c r="K1220" i="6"/>
  <c r="J1220" i="6"/>
  <c r="K1226" i="6"/>
  <c r="J1325" i="6"/>
  <c r="K1325" i="6"/>
  <c r="J1431" i="6"/>
  <c r="K1431" i="6"/>
  <c r="K1446" i="6"/>
  <c r="J1446" i="6"/>
  <c r="J1585" i="6"/>
  <c r="K1585" i="6"/>
  <c r="K1599" i="6"/>
  <c r="J1599" i="6"/>
  <c r="K1682" i="6"/>
  <c r="J1682" i="6"/>
  <c r="J1749" i="6"/>
  <c r="K1749" i="6"/>
  <c r="J138" i="6"/>
  <c r="K138" i="6"/>
  <c r="J156" i="6"/>
  <c r="K156" i="6"/>
  <c r="J168" i="6"/>
  <c r="K168" i="6"/>
  <c r="K315" i="6"/>
  <c r="J315" i="6"/>
  <c r="K437" i="6"/>
  <c r="J437" i="6"/>
  <c r="K485" i="6"/>
  <c r="J485" i="6"/>
  <c r="K522" i="6"/>
  <c r="J522" i="6"/>
  <c r="K572" i="6"/>
  <c r="J572" i="6"/>
  <c r="K622" i="6"/>
  <c r="J622" i="6"/>
  <c r="K685" i="6"/>
  <c r="J685" i="6"/>
  <c r="K814" i="6"/>
  <c r="J814" i="6"/>
  <c r="K820" i="6"/>
  <c r="J820" i="6"/>
  <c r="K827" i="6"/>
  <c r="J827" i="6"/>
  <c r="K834" i="6"/>
  <c r="J834" i="6"/>
  <c r="K872" i="6"/>
  <c r="J872" i="6"/>
  <c r="K1016" i="6"/>
  <c r="J1016" i="6"/>
  <c r="K1100" i="6"/>
  <c r="J1100" i="6"/>
  <c r="J1178" i="6"/>
  <c r="K1178" i="6"/>
  <c r="J1246" i="6"/>
  <c r="K1246" i="6"/>
  <c r="K1260" i="6"/>
  <c r="J1260" i="6"/>
  <c r="K1280" i="6"/>
  <c r="J1280" i="6"/>
  <c r="K1448" i="6"/>
  <c r="J1448" i="6"/>
  <c r="K1478" i="6"/>
  <c r="J1478" i="6"/>
  <c r="K1518" i="6"/>
  <c r="J1518" i="6"/>
  <c r="K1553" i="6"/>
  <c r="J1553" i="6"/>
  <c r="K1677" i="6"/>
  <c r="J1677" i="6"/>
  <c r="K1736" i="6"/>
  <c r="J1736" i="6"/>
  <c r="K1751" i="6"/>
  <c r="J1751" i="6"/>
  <c r="K607" i="6"/>
  <c r="J607" i="6"/>
  <c r="J650" i="6"/>
  <c r="K650" i="6"/>
  <c r="K711" i="6"/>
  <c r="J711" i="6"/>
  <c r="J730" i="6"/>
  <c r="K730" i="6"/>
  <c r="K772" i="6"/>
  <c r="J772" i="6"/>
  <c r="J968" i="6"/>
  <c r="K968" i="6"/>
  <c r="K1249" i="6"/>
  <c r="J1249" i="6"/>
  <c r="J1309" i="6"/>
  <c r="K1309" i="6"/>
  <c r="J1314" i="6"/>
  <c r="K1314" i="6"/>
  <c r="K1320" i="6"/>
  <c r="J1362" i="6"/>
  <c r="K1368" i="6"/>
  <c r="J1368" i="6"/>
  <c r="K1410" i="6"/>
  <c r="J1410" i="6"/>
  <c r="J1421" i="6"/>
  <c r="K1437" i="6"/>
  <c r="J1494" i="6"/>
  <c r="J1715" i="6"/>
  <c r="J1738" i="6"/>
  <c r="J57" i="6"/>
  <c r="K90" i="6"/>
  <c r="K164" i="6"/>
  <c r="K253" i="6"/>
  <c r="J253" i="6"/>
  <c r="K279" i="6"/>
  <c r="J279" i="6"/>
  <c r="J329" i="6"/>
  <c r="J333" i="6"/>
  <c r="K383" i="6"/>
  <c r="J405" i="6"/>
  <c r="K428" i="6"/>
  <c r="J428" i="6"/>
  <c r="K486" i="6"/>
  <c r="K503" i="6"/>
  <c r="K535" i="6"/>
  <c r="J553" i="6"/>
  <c r="K688" i="6"/>
  <c r="J688" i="6"/>
  <c r="J768" i="6"/>
  <c r="J783" i="6"/>
  <c r="K783" i="6"/>
  <c r="K797" i="6"/>
  <c r="J802" i="6"/>
  <c r="K826" i="6"/>
  <c r="J826" i="6"/>
  <c r="J1015" i="6"/>
  <c r="K1015" i="6"/>
  <c r="K1061" i="6"/>
  <c r="K1071" i="6"/>
  <c r="J1173" i="6"/>
  <c r="K1193" i="6"/>
  <c r="K1203" i="6"/>
  <c r="J1209" i="6"/>
  <c r="K1266" i="6"/>
  <c r="K1272" i="6"/>
  <c r="J1272" i="6"/>
  <c r="K1315" i="6"/>
  <c r="J1315" i="6"/>
  <c r="K1326" i="6"/>
  <c r="J1326" i="6"/>
  <c r="K1342" i="6"/>
  <c r="K1358" i="6"/>
  <c r="J1358" i="6"/>
  <c r="J1426" i="6"/>
  <c r="K1469" i="6"/>
  <c r="J1469" i="6"/>
  <c r="K1474" i="6"/>
  <c r="J1506" i="6"/>
  <c r="K1554" i="6"/>
  <c r="J1570" i="6"/>
  <c r="K1570" i="6"/>
  <c r="K1633" i="6"/>
  <c r="J1633" i="6"/>
  <c r="K1657" i="6"/>
  <c r="J1657" i="6"/>
  <c r="K1663" i="6"/>
  <c r="J1663" i="6"/>
  <c r="J1694" i="6"/>
  <c r="K1694" i="6"/>
  <c r="J1750" i="6"/>
  <c r="J1755" i="6"/>
  <c r="J82" i="6"/>
  <c r="J103" i="6"/>
  <c r="J513" i="6"/>
  <c r="K531" i="6"/>
  <c r="K608" i="6"/>
  <c r="J807" i="6"/>
  <c r="J897" i="6"/>
  <c r="J916" i="6"/>
  <c r="K988" i="6"/>
  <c r="J1009" i="6"/>
  <c r="K1009" i="6"/>
  <c r="K1030" i="6"/>
  <c r="J1030" i="6"/>
  <c r="K1121" i="6"/>
  <c r="K1131" i="6"/>
  <c r="J1157" i="6"/>
  <c r="K1157" i="6"/>
  <c r="J1168" i="6"/>
  <c r="J1244" i="6"/>
  <c r="K1244" i="6"/>
  <c r="J1304" i="6"/>
  <c r="K1304" i="6"/>
  <c r="J1337" i="6"/>
  <c r="J1363" i="6"/>
  <c r="J1438" i="6"/>
  <c r="J1479" i="6"/>
  <c r="K1500" i="6"/>
  <c r="J1500" i="6"/>
  <c r="J1512" i="6"/>
  <c r="K1538" i="6"/>
  <c r="J1538" i="6"/>
  <c r="K1593" i="6"/>
  <c r="J1593" i="6"/>
  <c r="K1622" i="6"/>
  <c r="J1622" i="6"/>
  <c r="J1711" i="6"/>
  <c r="J1739" i="6"/>
  <c r="K53" i="6"/>
  <c r="J53" i="6"/>
  <c r="K178" i="6"/>
  <c r="J302" i="6"/>
  <c r="K325" i="6"/>
  <c r="J343" i="6"/>
  <c r="J603" i="6"/>
  <c r="K627" i="6"/>
  <c r="J627" i="6"/>
  <c r="K669" i="6"/>
  <c r="J669" i="6"/>
  <c r="K764" i="6"/>
  <c r="J764" i="6"/>
  <c r="K892" i="6"/>
  <c r="J921" i="6"/>
  <c r="J964" i="6"/>
  <c r="K964" i="6"/>
  <c r="J1090" i="6"/>
  <c r="K1278" i="6"/>
  <c r="J1299" i="6"/>
  <c r="K1299" i="6"/>
  <c r="J1565" i="6"/>
  <c r="K1565" i="6"/>
  <c r="K1571" i="6"/>
  <c r="J1571" i="6"/>
  <c r="K1652" i="6"/>
  <c r="J1652" i="6"/>
  <c r="J1716" i="6"/>
  <c r="J1727" i="6"/>
  <c r="K1727" i="6"/>
  <c r="K130" i="6"/>
  <c r="J152" i="6"/>
  <c r="K222" i="6"/>
  <c r="K280" i="6"/>
  <c r="J293" i="6"/>
  <c r="K504" i="6"/>
  <c r="J504" i="6"/>
  <c r="K707" i="6"/>
  <c r="J707" i="6"/>
  <c r="J722" i="6"/>
  <c r="J760" i="6"/>
  <c r="K760" i="6"/>
  <c r="J793" i="6"/>
  <c r="K798" i="6"/>
  <c r="K837" i="6"/>
  <c r="J837" i="6"/>
  <c r="J842" i="6"/>
  <c r="J852" i="6"/>
  <c r="J907" i="6"/>
  <c r="K1031" i="6"/>
  <c r="J1031" i="6"/>
  <c r="J1041" i="6"/>
  <c r="J1051" i="6"/>
  <c r="K1051" i="6"/>
  <c r="J1062" i="6"/>
  <c r="K1158" i="6"/>
  <c r="J1158" i="6"/>
  <c r="K1179" i="6"/>
  <c r="K1210" i="6"/>
  <c r="J1210" i="6"/>
  <c r="J1245" i="6"/>
  <c r="K1245" i="6"/>
  <c r="J1284" i="6"/>
  <c r="K1284" i="6"/>
  <c r="K1294" i="6"/>
  <c r="J1327" i="6"/>
  <c r="K1327" i="6"/>
  <c r="J1374" i="6"/>
  <c r="J1427" i="6"/>
  <c r="K1427" i="6"/>
  <c r="J1490" i="6"/>
  <c r="K1490" i="6"/>
  <c r="J1495" i="6"/>
  <c r="J1523" i="6"/>
  <c r="K1528" i="6"/>
  <c r="J1528" i="6"/>
  <c r="K1549" i="6"/>
  <c r="K1588" i="6"/>
  <c r="J1588" i="6"/>
  <c r="J1594" i="6"/>
  <c r="K1594" i="6"/>
  <c r="K1658" i="6"/>
  <c r="J1658" i="6"/>
  <c r="K200" i="6"/>
  <c r="J646" i="6"/>
  <c r="K646" i="6"/>
  <c r="J741" i="6"/>
  <c r="K779" i="6"/>
  <c r="J779" i="6"/>
  <c r="K821" i="6"/>
  <c r="J821" i="6"/>
  <c r="K873" i="6"/>
  <c r="J873" i="6"/>
  <c r="K940" i="6"/>
  <c r="J940" i="6"/>
  <c r="J1010" i="6"/>
  <c r="J1127" i="6"/>
  <c r="K1359" i="6"/>
  <c r="K1475" i="6"/>
  <c r="K1507" i="6"/>
  <c r="J1507" i="6"/>
  <c r="K1555" i="6"/>
  <c r="K1623" i="6"/>
  <c r="J1623" i="6"/>
  <c r="K1629" i="6"/>
  <c r="K1404" i="6"/>
  <c r="J1404" i="6"/>
  <c r="K1505" i="6"/>
  <c r="J1505" i="6"/>
  <c r="K1609" i="6"/>
  <c r="J1609" i="6"/>
  <c r="K1667" i="6"/>
  <c r="J1667" i="6"/>
  <c r="K1678" i="6"/>
  <c r="J1678" i="6"/>
  <c r="J27" i="6"/>
  <c r="J160" i="6"/>
  <c r="K160" i="6"/>
  <c r="K356" i="6"/>
  <c r="K508" i="6"/>
  <c r="K566" i="6"/>
  <c r="K585" i="6"/>
  <c r="J585" i="6"/>
  <c r="K631" i="6"/>
  <c r="K811" i="6"/>
  <c r="K851" i="6"/>
  <c r="K861" i="6"/>
  <c r="J861" i="6"/>
  <c r="K877" i="6"/>
  <c r="J877" i="6"/>
  <c r="J944" i="6"/>
  <c r="K944" i="6"/>
  <c r="K993" i="6"/>
  <c r="J993" i="6"/>
  <c r="K1035" i="6"/>
  <c r="J1035" i="6"/>
  <c r="K1110" i="6"/>
  <c r="J1110" i="6"/>
  <c r="K1162" i="6"/>
  <c r="J1162" i="6"/>
  <c r="J1229" i="6"/>
  <c r="J1288" i="6"/>
  <c r="K1331" i="6"/>
  <c r="J1331" i="6"/>
  <c r="J1522" i="6"/>
  <c r="K1522" i="6"/>
  <c r="K1532" i="6"/>
  <c r="K1543" i="6"/>
  <c r="J1543" i="6"/>
  <c r="K1651" i="6"/>
  <c r="J1651" i="6"/>
  <c r="K49" i="6"/>
  <c r="J49" i="6"/>
  <c r="K174" i="6"/>
  <c r="J174" i="6"/>
  <c r="K249" i="6"/>
  <c r="J249" i="6"/>
  <c r="K321" i="6"/>
  <c r="J321" i="6"/>
  <c r="K424" i="6"/>
  <c r="J424" i="6"/>
  <c r="K604" i="6"/>
  <c r="J604" i="6"/>
  <c r="K623" i="6"/>
  <c r="J623" i="6"/>
  <c r="K857" i="6"/>
  <c r="J857" i="6"/>
  <c r="J936" i="6"/>
  <c r="K936" i="6"/>
  <c r="J960" i="6"/>
  <c r="K960" i="6"/>
  <c r="J984" i="6"/>
  <c r="K984" i="6"/>
  <c r="J1026" i="6"/>
  <c r="K1026" i="6"/>
  <c r="K1052" i="6"/>
  <c r="J1052" i="6"/>
  <c r="K1101" i="6"/>
  <c r="J1101" i="6"/>
  <c r="J1205" i="6"/>
  <c r="K1205" i="6"/>
  <c r="K1322" i="6"/>
  <c r="J1322" i="6"/>
  <c r="K1385" i="6"/>
  <c r="J1385" i="6"/>
  <c r="K1391" i="6"/>
  <c r="J1391" i="6"/>
  <c r="J1653" i="6"/>
  <c r="K1653" i="6"/>
  <c r="K1674" i="6"/>
  <c r="J1674" i="6"/>
  <c r="K16" i="6"/>
  <c r="J83" i="6"/>
  <c r="J87" i="6"/>
  <c r="J113" i="6"/>
  <c r="J117" i="6"/>
  <c r="J126" i="6"/>
  <c r="K126" i="6"/>
  <c r="J135" i="6"/>
  <c r="J179" i="6"/>
  <c r="J223" i="6"/>
  <c r="J227" i="6"/>
  <c r="J285" i="6"/>
  <c r="J307" i="6"/>
  <c r="K326" i="6"/>
  <c r="K330" i="6"/>
  <c r="K344" i="6"/>
  <c r="J353" i="6"/>
  <c r="J371" i="6"/>
  <c r="J375" i="6"/>
  <c r="J402" i="6"/>
  <c r="K406" i="6"/>
  <c r="J474" i="6"/>
  <c r="J505" i="6"/>
  <c r="J628" i="6"/>
  <c r="K660" i="6"/>
  <c r="K665" i="6"/>
  <c r="J665" i="6"/>
  <c r="J675" i="6"/>
  <c r="K680" i="6"/>
  <c r="K718" i="6"/>
  <c r="J718" i="6"/>
  <c r="K746" i="6"/>
  <c r="K756" i="6"/>
  <c r="J761" i="6"/>
  <c r="J822" i="6"/>
  <c r="K822" i="6"/>
  <c r="K893" i="6"/>
  <c r="J898" i="6"/>
  <c r="J917" i="6"/>
  <c r="J926" i="6"/>
  <c r="J965" i="6"/>
  <c r="K979" i="6"/>
  <c r="J989" i="6"/>
  <c r="J1000" i="6"/>
  <c r="J1021" i="6"/>
  <c r="K1046" i="6"/>
  <c r="K1086" i="6"/>
  <c r="J1086" i="6"/>
  <c r="J1091" i="6"/>
  <c r="J1096" i="6"/>
  <c r="J1117" i="6"/>
  <c r="K1133" i="6"/>
  <c r="J1169" i="6"/>
  <c r="K1231" i="6"/>
  <c r="J1231" i="6"/>
  <c r="K1236" i="6"/>
  <c r="J1236" i="6"/>
  <c r="K1274" i="6"/>
  <c r="J1285" i="6"/>
  <c r="K1300" i="6"/>
  <c r="J1300" i="6"/>
  <c r="K1311" i="6"/>
  <c r="J1311" i="6"/>
  <c r="J1328" i="6"/>
  <c r="J1349" i="6"/>
  <c r="J1354" i="6"/>
  <c r="K1354" i="6"/>
  <c r="K1375" i="6"/>
  <c r="J1380" i="6"/>
  <c r="K1428" i="6"/>
  <c r="J1428" i="6"/>
  <c r="K1496" i="6"/>
  <c r="K1583" i="6"/>
  <c r="K1669" i="6"/>
  <c r="J1712" i="6"/>
  <c r="K1757" i="6"/>
  <c r="J1757" i="6"/>
  <c r="J196" i="6"/>
  <c r="K196" i="6"/>
  <c r="K447" i="6"/>
  <c r="K470" i="6"/>
  <c r="J550" i="6"/>
  <c r="K550" i="6"/>
  <c r="J600" i="6"/>
  <c r="K600" i="6"/>
  <c r="J619" i="6"/>
  <c r="J642" i="6"/>
  <c r="K642" i="6"/>
  <c r="K723" i="6"/>
  <c r="K737" i="6"/>
  <c r="J737" i="6"/>
  <c r="K780" i="6"/>
  <c r="J853" i="6"/>
  <c r="K868" i="6"/>
  <c r="J868" i="6"/>
  <c r="K908" i="6"/>
  <c r="K946" i="6"/>
  <c r="K1081" i="6"/>
  <c r="J1081" i="6"/>
  <c r="K1164" i="6"/>
  <c r="J1221" i="6"/>
  <c r="K1262" i="6"/>
  <c r="J1262" i="6"/>
  <c r="J1296" i="6"/>
  <c r="K1296" i="6"/>
  <c r="J1360" i="6"/>
  <c r="K1423" i="6"/>
  <c r="J1423" i="6"/>
  <c r="J1596" i="6"/>
  <c r="K1596" i="6"/>
  <c r="K1606" i="6"/>
  <c r="K1618" i="6"/>
  <c r="J1618" i="6"/>
  <c r="K1624" i="6"/>
  <c r="J1624" i="6"/>
  <c r="J1647" i="6"/>
  <c r="K1647" i="6"/>
  <c r="J367" i="6"/>
  <c r="K425" i="6"/>
  <c r="K573" i="6"/>
  <c r="K695" i="6"/>
  <c r="J848" i="6"/>
  <c r="K889" i="6"/>
  <c r="K941" i="6"/>
  <c r="J951" i="6"/>
  <c r="J956" i="6"/>
  <c r="J985" i="6"/>
  <c r="K1011" i="6"/>
  <c r="K1027" i="6"/>
  <c r="J1027" i="6"/>
  <c r="J1073" i="6"/>
  <c r="K1073" i="6"/>
  <c r="J1102" i="6"/>
  <c r="J1128" i="6"/>
  <c r="K1195" i="6"/>
  <c r="K1206" i="6"/>
  <c r="J1365" i="6"/>
  <c r="K1365" i="6"/>
  <c r="K1386" i="6"/>
  <c r="J1386" i="6"/>
  <c r="K1451" i="6"/>
  <c r="J1451" i="6"/>
  <c r="K1471" i="6"/>
  <c r="J1540" i="6"/>
  <c r="K1540" i="6"/>
  <c r="J1590" i="6"/>
  <c r="J1612" i="6"/>
  <c r="K1675" i="6"/>
  <c r="J1675" i="6"/>
  <c r="K1718" i="6"/>
  <c r="J1718" i="6"/>
  <c r="K932" i="6"/>
  <c r="J932" i="6"/>
  <c r="J1065" i="6"/>
  <c r="K1065" i="6"/>
  <c r="J1119" i="6"/>
  <c r="K1119" i="6"/>
  <c r="K1267" i="6"/>
  <c r="J1267" i="6"/>
  <c r="J1273" i="6"/>
  <c r="K1273" i="6"/>
  <c r="K1330" i="6"/>
  <c r="J1330" i="6"/>
  <c r="J1336" i="6"/>
  <c r="K1336" i="6"/>
  <c r="K1529" i="6"/>
  <c r="J1529" i="6"/>
  <c r="K1561" i="6"/>
  <c r="J1561" i="6"/>
  <c r="K1616" i="6"/>
  <c r="J1616" i="6"/>
  <c r="K1628" i="6"/>
  <c r="J1628" i="6"/>
  <c r="K1662" i="6"/>
  <c r="J1662" i="6"/>
  <c r="K1550" i="6"/>
  <c r="J1550" i="6"/>
  <c r="K1589" i="6"/>
  <c r="J1589" i="6"/>
  <c r="J1595" i="6"/>
  <c r="K1595" i="6"/>
  <c r="K1708" i="6"/>
  <c r="J1708" i="6"/>
  <c r="K1632" i="6"/>
  <c r="J1632" i="6"/>
  <c r="J653" i="6"/>
  <c r="J841" i="6"/>
  <c r="J888" i="6"/>
  <c r="J896" i="6"/>
  <c r="J1022" i="6"/>
  <c r="K1085" i="6"/>
  <c r="J1089" i="6"/>
  <c r="J1153" i="6"/>
  <c r="J1240" i="6"/>
  <c r="K1295" i="6"/>
  <c r="J1295" i="6"/>
  <c r="J1344" i="6"/>
  <c r="J1455" i="6"/>
  <c r="J1468" i="6"/>
  <c r="K1566" i="6"/>
  <c r="K1584" i="6"/>
  <c r="J1584" i="6"/>
  <c r="J1698" i="6"/>
  <c r="K1741" i="6"/>
  <c r="J1140" i="6"/>
  <c r="J1432" i="6"/>
  <c r="K1519" i="6"/>
  <c r="J1519" i="6"/>
  <c r="J1533" i="6"/>
  <c r="K1648" i="6"/>
  <c r="J1648" i="6"/>
  <c r="K1703" i="6"/>
  <c r="J1703" i="6"/>
  <c r="J1717" i="6"/>
  <c r="J753" i="6"/>
  <c r="J838" i="6"/>
  <c r="K1014" i="6"/>
  <c r="J1141" i="6"/>
  <c r="J1171" i="6"/>
  <c r="K1232" i="6"/>
  <c r="J1232" i="6"/>
  <c r="K1254" i="6"/>
  <c r="J1355" i="6"/>
  <c r="J1372" i="6"/>
  <c r="K1460" i="6"/>
  <c r="J1460" i="6"/>
  <c r="J1492" i="6"/>
  <c r="K1562" i="6"/>
  <c r="J1562" i="6"/>
  <c r="J1567" i="6"/>
  <c r="J1575" i="6"/>
  <c r="J1610" i="6"/>
  <c r="J1643" i="6"/>
  <c r="K1643" i="6"/>
  <c r="J1732" i="6"/>
  <c r="J1132" i="6"/>
  <c r="K1180" i="6"/>
  <c r="J1188" i="6"/>
  <c r="K1188" i="6"/>
  <c r="K1341" i="6"/>
  <c r="K1396" i="6"/>
  <c r="J1456" i="6"/>
  <c r="J1534" i="6"/>
  <c r="J1686" i="6"/>
  <c r="K1686" i="6"/>
  <c r="J1742" i="6"/>
  <c r="J1353" i="6"/>
  <c r="J1511" i="6"/>
  <c r="K1558" i="6"/>
  <c r="J1558" i="6"/>
  <c r="K1758" i="6"/>
  <c r="J1758" i="6"/>
  <c r="J1515" i="6"/>
</calcChain>
</file>

<file path=xl/sharedStrings.xml><?xml version="1.0" encoding="utf-8"?>
<sst xmlns="http://schemas.openxmlformats.org/spreadsheetml/2006/main" count="110" uniqueCount="76">
  <si>
    <t>MSL_Height</t>
  </si>
  <si>
    <t xml:space="preserve"> Z_Factor</t>
  </si>
  <si>
    <t>พื้นที่ผิวน้ำ</t>
  </si>
  <si>
    <t>ความจุ(ลูกบาศก์เมตร)</t>
  </si>
  <si>
    <t>Spill way</t>
  </si>
  <si>
    <t>ตารางข้อมูลน้ำรายวัน</t>
  </si>
  <si>
    <t>เดือน</t>
  </si>
  <si>
    <t>ปี</t>
  </si>
  <si>
    <t>เวลา 07.00 น.</t>
  </si>
  <si>
    <t>Flow rate measuring experiment</t>
  </si>
  <si>
    <t>อ่างเก็บน้ำแม่นาเรือ</t>
  </si>
  <si>
    <t>1. ท่อน้ำออก ฝั่งสปิลเวย์ ปล่อยลงคลองส่งน้ำคอนกรีต</t>
  </si>
  <si>
    <t>ท่อ HDPE 355 mm. (outer surface) 26.1 mm thickness PN125</t>
  </si>
  <si>
    <t>ระยะห่างหัววัด 411 mm.</t>
  </si>
  <si>
    <t>จำนวนรอบที่เปิดวาล์ว</t>
  </si>
  <si>
    <t>รอบที่ 1</t>
  </si>
  <si>
    <t>รอบที่ 2</t>
  </si>
  <si>
    <t>รอบที่ 3</t>
  </si>
  <si>
    <t>Avg</t>
  </si>
  <si>
    <t>V (m/s)</t>
  </si>
  <si>
    <t>Q (M3/h)</t>
  </si>
  <si>
    <t>Q (M3/min)</t>
  </si>
  <si>
    <t>ระดับระบายหน้าฝน</t>
  </si>
  <si>
    <t>1. ท่อน้ำออก ฝั่งทางเข้าอ่าง</t>
  </si>
  <si>
    <t>ระยะห่างหัววัด 411.4 mm.</t>
  </si>
  <si>
    <t>จากสถานีโทรมาตรวัดระดับน้ำ
https://partners.thaiwater.net:3007/teleChart/th/VLGE12/25</t>
  </si>
  <si>
    <r>
      <t xml:space="preserve">อ่างเก็บน้ำ </t>
    </r>
    <r>
      <rPr>
        <b/>
        <sz val="11"/>
        <color rgb="FFFF0000"/>
        <rFont val="Aptos Narrow"/>
        <family val="2"/>
        <scheme val="minor"/>
      </rPr>
      <t>แม่นาเรือ</t>
    </r>
  </si>
  <si>
    <t>ครั้งที่</t>
  </si>
  <si>
    <t>วันที่ปล่อยน้ำ</t>
  </si>
  <si>
    <t>เวลาเริ่มปล่อยน้ำ</t>
  </si>
  <si>
    <t>จำนวนรอบที่เปิดวาล์ว (รอบ)</t>
  </si>
  <si>
    <t>วันที่ปิดน้ำ</t>
  </si>
  <si>
    <t>เวลาที่ปิดน้ำ</t>
  </si>
  <si>
    <t>คิดเป็นปริมาณน้ำ (ลบ.ม.)</t>
  </si>
  <si>
    <t>ฝั่งท่อน้ำออก</t>
  </si>
  <si>
    <t>วัตถุประสงค์การปล่อยน้ำ</t>
  </si>
  <si>
    <t>กรณีจ่ายน้ำเพื่อการเกษตร พื้นที่ขอใช้น้ำ (ปลูกอะไรบ้าง รวมกี่ไร่)</t>
  </si>
  <si>
    <t>26 มิ.ย 68</t>
  </si>
  <si>
    <t>14 ต.ค 68</t>
  </si>
  <si>
    <t>สปิลเวย์</t>
  </si>
  <si>
    <t>ระบายน้ำเพื่อรองรับน้ำฝน</t>
  </si>
  <si>
    <t>ทางเข้าอ่าง</t>
  </si>
  <si>
    <t>date</t>
  </si>
  <si>
    <t>time</t>
  </si>
  <si>
    <t>rainfall</t>
  </si>
  <si>
    <t>water_level</t>
  </si>
  <si>
    <t>water_level (ADJ)</t>
  </si>
  <si>
    <t>Spillway_level</t>
  </si>
  <si>
    <t>H (M.)</t>
  </si>
  <si>
    <t>C</t>
  </si>
  <si>
    <t>Q (m3/s)</t>
  </si>
  <si>
    <t>Q (m3/m)</t>
  </si>
  <si>
    <t>Q (m3/h)</t>
  </si>
  <si>
    <t>ΔS</t>
  </si>
  <si>
    <t>ตุลาคม</t>
  </si>
  <si>
    <t>Date</t>
  </si>
  <si>
    <t>Water Level (MSL)</t>
  </si>
  <si>
    <r>
      <t>Water Volume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</si>
  <si>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Inflow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</si>
  <si>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t>Cumulative rainfall over the past 24 hours. (mm.)</t>
  </si>
  <si>
    <r>
      <t>ΔS (M</t>
    </r>
    <r>
      <rPr>
        <vertAlign val="superscript"/>
        <sz val="11"/>
        <color rgb="FFFF0000"/>
        <rFont val="Aptos Narrow"/>
        <family val="2"/>
      </rPr>
      <t>3</t>
    </r>
    <r>
      <rPr>
        <sz val="11"/>
        <color rgb="FFFF0000"/>
        <rFont val="Aptos Narrow"/>
        <family val="2"/>
      </rPr>
      <t>)</t>
    </r>
  </si>
  <si>
    <t>I=ΔS-R+O+Spill+E</t>
  </si>
  <si>
    <t>O</t>
  </si>
  <si>
    <t>Spill</t>
  </si>
  <si>
    <t>R</t>
  </si>
  <si>
    <t>E</t>
  </si>
  <si>
    <t>Infiltration</t>
  </si>
  <si>
    <t>Plane_Height(MSL)</t>
  </si>
  <si>
    <t>Area_Water (M2)</t>
  </si>
  <si>
    <t>Area_Terrain (M2)</t>
  </si>
  <si>
    <t>Volume (M3)</t>
  </si>
  <si>
    <r>
      <t>Water discharged through the outlet work.
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</si>
  <si>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Water overflowing the spillway.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</si>
  <si>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Water runoff from rainwater that falls directly into the reservoir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</si>
  <si>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Evaporation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</si>
  <si>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Infiltration (1mm/day)
(M</t>
    </r>
    <r>
      <rPr>
        <vertAlign val="superscript"/>
        <sz val="11"/>
        <color rgb="FFFF0000"/>
        <rFont val="Aptos Narrow"/>
        <family val="2"/>
        <scheme val="minor"/>
      </rPr>
      <t>3</t>
    </r>
    <r>
      <rPr>
        <sz val="11"/>
        <color rgb="FFFF0000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</si>
</sst>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6" x14ac:knownFonts="1">
    <font>
      <sz val="11"/>
      <color theme="1"/>
      <name val="Aptos Narrow"/>
      <family val="2"/>
      <charset val="222"/>
      <scheme val="minor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b/>
      <sz val="18"/>
      <color rgb="FFC00000"/>
      <name val="TH SarabunPSK"/>
      <family val="2"/>
    </font>
    <font>
      <b/>
      <sz val="18"/>
      <color rgb="FFFF0000"/>
      <name val="TH SarabunPSK"/>
      <family val="2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u/>
      <sz val="11"/>
      <color theme="10"/>
      <name val="Aptos Narrow"/>
      <family val="2"/>
      <charset val="22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charset val="22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ngsana New"/>
      <family val="1"/>
    </font>
    <font>
      <b/>
      <sz val="14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8"/>
      <name val="TH SarabunPSK"/>
      <family val="2"/>
      <charset val="222"/>
    </font>
    <font>
      <sz val="11"/>
      <color rgb="FFFF0000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color rgb="FFFF0000"/>
      <name val="Aptos Narrow"/>
      <family val="2"/>
      <scheme val="minor"/>
    </font>
    <font>
      <vertAlign val="superscript"/>
      <sz val="11"/>
      <color rgb="FFFF0000"/>
      <name val="Aptos Narrow"/>
      <family val="2"/>
    </font>
    <font>
      <sz val="11"/>
      <color rgb="FF7030A0"/>
      <name val="Aptos Narrow"/>
      <family val="2"/>
      <charset val="222"/>
      <scheme val="minor"/>
    </font>
    <font>
      <sz val="11"/>
      <color rgb="FF7030A0"/>
      <name val="Aptos Narrow"/>
      <family val="2"/>
      <scheme val="minor"/>
    </font>
    <font>
      <sz val="11"/>
      <color rgb="FF7030A0"/>
      <name val="Aptos Narrow"/>
      <family val="2"/>
    </font>
    <font>
      <sz val="11"/>
      <color theme="1"/>
      <name val="Aptos Narrow"/>
      <family val="2"/>
      <charset val="222"/>
      <scheme val="minor"/>
    </font>
    <font>
      <sz val="11"/>
      <name val="Aptos Narrow"/>
      <family val="2"/>
      <scheme val="minor"/>
    </font>
    <font>
      <vertAlign val="superscript"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167" fontId="23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0" fillId="0" borderId="0" xfId="0" applyNumberFormat="1"/>
    <xf numFmtId="0" fontId="7" fillId="0" borderId="0" xfId="0" applyFont="1"/>
    <xf numFmtId="0" fontId="8" fillId="0" borderId="0" xfId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/>
    <xf numFmtId="0" fontId="12" fillId="0" borderId="1" xfId="0" applyFont="1" applyBorder="1" applyAlignment="1">
      <alignment horizontal="center" vertical="top" wrapText="1"/>
    </xf>
    <xf numFmtId="0" fontId="11" fillId="0" borderId="1" xfId="0" applyFont="1" applyBorder="1"/>
    <xf numFmtId="2" fontId="11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5" fillId="0" borderId="0" xfId="0" applyFont="1"/>
    <xf numFmtId="0" fontId="15" fillId="2" borderId="0" xfId="0" applyFont="1" applyFill="1"/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2" xfId="0" applyFill="1" applyBorder="1"/>
    <xf numFmtId="0" fontId="0" fillId="3" borderId="1" xfId="0" applyFill="1" applyBorder="1"/>
    <xf numFmtId="0" fontId="15" fillId="3" borderId="1" xfId="0" applyFont="1" applyFill="1" applyBorder="1"/>
    <xf numFmtId="0" fontId="14" fillId="3" borderId="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2" fontId="0" fillId="6" borderId="0" xfId="0" applyNumberFormat="1" applyFill="1"/>
    <xf numFmtId="0" fontId="16" fillId="0" borderId="0" xfId="0" applyFont="1" applyAlignment="1">
      <alignment horizontal="center" vertical="top" wrapText="1"/>
    </xf>
    <xf numFmtId="0" fontId="11" fillId="0" borderId="0" xfId="0" applyFont="1"/>
    <xf numFmtId="2" fontId="11" fillId="0" borderId="0" xfId="0" applyNumberFormat="1" applyFont="1"/>
    <xf numFmtId="166" fontId="20" fillId="0" borderId="0" xfId="0" applyNumberFormat="1" applyFont="1"/>
    <xf numFmtId="0" fontId="21" fillId="0" borderId="0" xfId="0" applyFont="1"/>
    <xf numFmtId="0" fontId="22" fillId="0" borderId="0" xfId="0" applyFont="1" applyAlignment="1">
      <alignment horizontal="center" vertical="top" wrapText="1"/>
    </xf>
    <xf numFmtId="2" fontId="6" fillId="0" borderId="0" xfId="0" applyNumberFormat="1" applyFont="1"/>
    <xf numFmtId="167" fontId="6" fillId="0" borderId="0" xfId="2" applyFont="1"/>
    <xf numFmtId="167" fontId="0" fillId="0" borderId="0" xfId="2" applyFont="1"/>
    <xf numFmtId="0" fontId="24" fillId="0" borderId="0" xfId="0" applyFont="1" applyAlignment="1">
      <alignment horizontal="center" vertical="top" wrapText="1"/>
    </xf>
    <xf numFmtId="0" fontId="24" fillId="0" borderId="0" xfId="0" applyFont="1"/>
    <xf numFmtId="165" fontId="24" fillId="0" borderId="0" xfId="0" applyNumberFormat="1" applyFont="1"/>
    <xf numFmtId="0" fontId="11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Comma 2" xfId="2" xr:uid="{E745A11A-30D7-4127-BE5B-97D0C90D74FF}"/>
    <cellStyle name="Hyperlink" xfId="1" builtinId="8"/>
    <cellStyle name="Normal" xfId="0" builtinId="0"/>
  </cellStyles>
  <dxfs count="3">
    <dxf>
      <font>
        <color rgb="FFFF0000"/>
      </font>
      <fill>
        <patternFill>
          <bgColor theme="5" tint="0.3999450666829432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u="none" strike="noStrike" kern="1200" cap="none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"HuayMaeNaRuea" </a:t>
            </a:r>
          </a:p>
        </c:rich>
      </c:tx>
      <c:layout>
        <c:manualLayout>
          <c:xMode val="edge"/>
          <c:yMode val="edge"/>
          <c:x val="0.34769357626329817"/>
          <c:y val="1.4286796748146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11971068334673E-2"/>
          <c:y val="0.15147298021833522"/>
          <c:w val="0.88251683159883332"/>
          <c:h val="0.727479694313373"/>
        </c:manualLayout>
      </c:layout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[1]Sheet1!$D$2:$D$772</c:f>
              <c:numCache>
                <c:formatCode>General</c:formatCode>
                <c:ptCount val="771"/>
                <c:pt idx="0">
                  <c:v>1924831.9028940999</c:v>
                </c:pt>
                <c:pt idx="1">
                  <c:v>1921577.3328207</c:v>
                </c:pt>
                <c:pt idx="2">
                  <c:v>1918325.2594951999</c:v>
                </c:pt>
                <c:pt idx="3">
                  <c:v>1915075.8372716999</c:v>
                </c:pt>
                <c:pt idx="4">
                  <c:v>1911828.9223907001</c:v>
                </c:pt>
                <c:pt idx="5">
                  <c:v>1908584.6045796</c:v>
                </c:pt>
                <c:pt idx="6">
                  <c:v>1905342.9537074999</c:v>
                </c:pt>
                <c:pt idx="7">
                  <c:v>1902103.8861223999</c:v>
                </c:pt>
                <c:pt idx="8">
                  <c:v>1898867.3732508</c:v>
                </c:pt>
                <c:pt idx="9">
                  <c:v>1895633.4937092999</c:v>
                </c:pt>
                <c:pt idx="10">
                  <c:v>1892402.5259835001</c:v>
                </c:pt>
                <c:pt idx="11">
                  <c:v>1889188.8624722001</c:v>
                </c:pt>
                <c:pt idx="12">
                  <c:v>1885978.3210372999</c:v>
                </c:pt>
                <c:pt idx="13">
                  <c:v>1882770.2680796001</c:v>
                </c:pt>
                <c:pt idx="14">
                  <c:v>1879564.5511618999</c:v>
                </c:pt>
                <c:pt idx="15">
                  <c:v>1876361.0360788</c:v>
                </c:pt>
                <c:pt idx="16">
                  <c:v>1873159.8403141999</c:v>
                </c:pt>
                <c:pt idx="17">
                  <c:v>1869960.8721248</c:v>
                </c:pt>
                <c:pt idx="18">
                  <c:v>1866764.1746503999</c:v>
                </c:pt>
                <c:pt idx="19">
                  <c:v>1863569.6882728001</c:v>
                </c:pt>
                <c:pt idx="20">
                  <c:v>1860377.4493782001</c:v>
                </c:pt>
                <c:pt idx="21">
                  <c:v>1857187.4190746001</c:v>
                </c:pt>
                <c:pt idx="22">
                  <c:v>1853999.5281457</c:v>
                </c:pt>
                <c:pt idx="23">
                  <c:v>1850813.8687481999</c:v>
                </c:pt>
                <c:pt idx="24">
                  <c:v>1847630.4164267001</c:v>
                </c:pt>
                <c:pt idx="25">
                  <c:v>1844449.1267047001</c:v>
                </c:pt>
                <c:pt idx="26">
                  <c:v>1841270.1013650999</c:v>
                </c:pt>
                <c:pt idx="27">
                  <c:v>1838093.2536219</c:v>
                </c:pt>
                <c:pt idx="28">
                  <c:v>1834918.6568181999</c:v>
                </c:pt>
                <c:pt idx="29">
                  <c:v>1831746.3314545001</c:v>
                </c:pt>
                <c:pt idx="30">
                  <c:v>1828576.609132</c:v>
                </c:pt>
                <c:pt idx="31">
                  <c:v>1825425.3189813001</c:v>
                </c:pt>
                <c:pt idx="32">
                  <c:v>1822276.6650483999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1809704.1751995999</c:v>
                </c:pt>
                <c:pt idx="37">
                  <c:v>1806566.4209612999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1797165.7765730999</c:v>
                </c:pt>
                <c:pt idx="41">
                  <c:v>1794036.4193345001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1784660.6460545999</c:v>
                </c:pt>
                <c:pt idx="45">
                  <c:v>1781539.4187105999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1772187.5765013001</c:v>
                </c:pt>
                <c:pt idx="49">
                  <c:v>1769074.3531835</c:v>
                </c:pt>
                <c:pt idx="50">
                  <c:v>1765963.4900541999</c:v>
                </c:pt>
                <c:pt idx="51">
                  <c:v>1762865.1589162999</c:v>
                </c:pt>
                <c:pt idx="52">
                  <c:v>1759768.7362509</c:v>
                </c:pt>
                <c:pt idx="53">
                  <c:v>1756674.0791535999</c:v>
                </c:pt>
                <c:pt idx="54">
                  <c:v>1753581.1481606001</c:v>
                </c:pt>
                <c:pt idx="55">
                  <c:v>1750489.8990714001</c:v>
                </c:pt>
                <c:pt idx="56">
                  <c:v>1747400.294549</c:v>
                </c:pt>
                <c:pt idx="57">
                  <c:v>1744312.3770924001</c:v>
                </c:pt>
                <c:pt idx="58">
                  <c:v>1741226.0555606</c:v>
                </c:pt>
                <c:pt idx="59">
                  <c:v>1738141.5165156999</c:v>
                </c:pt>
                <c:pt idx="60">
                  <c:v>1735058.5729155</c:v>
                </c:pt>
                <c:pt idx="61">
                  <c:v>1731977.2619970001</c:v>
                </c:pt>
                <c:pt idx="62">
                  <c:v>1728897.6614808999</c:v>
                </c:pt>
                <c:pt idx="63">
                  <c:v>1725819.6938243001</c:v>
                </c:pt>
                <c:pt idx="64">
                  <c:v>1722743.3880805001</c:v>
                </c:pt>
                <c:pt idx="65">
                  <c:v>1719668.7023854</c:v>
                </c:pt>
                <c:pt idx="66">
                  <c:v>1716595.6600502001</c:v>
                </c:pt>
                <c:pt idx="67">
                  <c:v>1713524.2337388999</c:v>
                </c:pt>
                <c:pt idx="68">
                  <c:v>1710454.4363392999</c:v>
                </c:pt>
                <c:pt idx="69">
                  <c:v>1707386.3914463001</c:v>
                </c:pt>
                <c:pt idx="70">
                  <c:v>1704320.2680112</c:v>
                </c:pt>
                <c:pt idx="71">
                  <c:v>1701265.9872818999</c:v>
                </c:pt>
                <c:pt idx="72">
                  <c:v>1698213.6426939999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1689066.0691295001</c:v>
                </c:pt>
                <c:pt idx="76">
                  <c:v>1686020.0677445</c:v>
                </c:pt>
                <c:pt idx="77">
                  <c:v>1682975.6527668999</c:v>
                </c:pt>
                <c:pt idx="78">
                  <c:v>1679932.8392697</c:v>
                </c:pt>
                <c:pt idx="79">
                  <c:v>1676891.4600323001</c:v>
                </c:pt>
                <c:pt idx="80">
                  <c:v>1673851.7406957999</c:v>
                </c:pt>
                <c:pt idx="81">
                  <c:v>1670813.4823932</c:v>
                </c:pt>
                <c:pt idx="82">
                  <c:v>1667776.8298903999</c:v>
                </c:pt>
                <c:pt idx="83">
                  <c:v>1664741.6725647999</c:v>
                </c:pt>
                <c:pt idx="84">
                  <c:v>1661708.0167959</c:v>
                </c:pt>
                <c:pt idx="85">
                  <c:v>1658675.7961466999</c:v>
                </c:pt>
                <c:pt idx="86">
                  <c:v>1655645.1614623</c:v>
                </c:pt>
                <c:pt idx="87">
                  <c:v>1652616.0060848999</c:v>
                </c:pt>
                <c:pt idx="88">
                  <c:v>1649588.4715396999</c:v>
                </c:pt>
                <c:pt idx="89">
                  <c:v>1646562.4785364</c:v>
                </c:pt>
                <c:pt idx="90">
                  <c:v>1643538.2164867001</c:v>
                </c:pt>
                <c:pt idx="91">
                  <c:v>1640521.8742390999</c:v>
                </c:pt>
                <c:pt idx="92">
                  <c:v>1637507.2197397</c:v>
                </c:pt>
                <c:pt idx="93">
                  <c:v>1634494.0165122999</c:v>
                </c:pt>
                <c:pt idx="94">
                  <c:v>1631482.3951735001</c:v>
                </c:pt>
                <c:pt idx="95">
                  <c:v>1628472.3057532001</c:v>
                </c:pt>
                <c:pt idx="96">
                  <c:v>1625463.7590197001</c:v>
                </c:pt>
                <c:pt idx="97">
                  <c:v>1622456.7729032</c:v>
                </c:pt>
                <c:pt idx="98">
                  <c:v>1619451.3170382001</c:v>
                </c:pt>
                <c:pt idx="99">
                  <c:v>1616447.3000027</c:v>
                </c:pt>
                <c:pt idx="100">
                  <c:v>1613444.9319478001</c:v>
                </c:pt>
                <c:pt idx="101">
                  <c:v>1610444.0173448001</c:v>
                </c:pt>
                <c:pt idx="102">
                  <c:v>1607444.5930314001</c:v>
                </c:pt>
                <c:pt idx="103">
                  <c:v>1604446.7185589999</c:v>
                </c:pt>
                <c:pt idx="104">
                  <c:v>1601450.3446648</c:v>
                </c:pt>
                <c:pt idx="105">
                  <c:v>1598455.4724355999</c:v>
                </c:pt>
                <c:pt idx="106">
                  <c:v>1595462.0162961001</c:v>
                </c:pt>
                <c:pt idx="107">
                  <c:v>1592470.1267521</c:v>
                </c:pt>
                <c:pt idx="108">
                  <c:v>1589479.7778056001</c:v>
                </c:pt>
                <c:pt idx="109">
                  <c:v>1586490.9615755</c:v>
                </c:pt>
                <c:pt idx="110">
                  <c:v>1583503.9153768001</c:v>
                </c:pt>
                <c:pt idx="111">
                  <c:v>1580534.3602253001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1571636.9871561001</c:v>
                </c:pt>
                <c:pt idx="115">
                  <c:v>1568674.6777429001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1559797.5867665999</c:v>
                </c:pt>
                <c:pt idx="119">
                  <c:v>1556841.7987319999</c:v>
                </c:pt>
                <c:pt idx="120">
                  <c:v>1553887.6114457999</c:v>
                </c:pt>
                <c:pt idx="121">
                  <c:v>1550934.9520858</c:v>
                </c:pt>
                <c:pt idx="122">
                  <c:v>1547983.8767252001</c:v>
                </c:pt>
                <c:pt idx="123">
                  <c:v>1545034.3582923999</c:v>
                </c:pt>
                <c:pt idx="124">
                  <c:v>1542086.3609643001</c:v>
                </c:pt>
                <c:pt idx="125">
                  <c:v>1539139.8888638001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1527368.2205111999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1518561.7284057001</c:v>
                </c:pt>
                <c:pt idx="133">
                  <c:v>1515629.6565953</c:v>
                </c:pt>
                <c:pt idx="134">
                  <c:v>1512698.4514311999</c:v>
                </c:pt>
                <c:pt idx="135">
                  <c:v>1509768.1303155001</c:v>
                </c:pt>
                <c:pt idx="136">
                  <c:v>1506838.6950445999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1495129.7332866001</c:v>
                </c:pt>
                <c:pt idx="141">
                  <c:v>1492204.6968380001</c:v>
                </c:pt>
                <c:pt idx="142">
                  <c:v>1489280.5058130999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1480512.9900535999</c:v>
                </c:pt>
                <c:pt idx="146">
                  <c:v>1477592.1420386999</c:v>
                </c:pt>
                <c:pt idx="147">
                  <c:v>1474672.1813453001</c:v>
                </c:pt>
                <c:pt idx="148">
                  <c:v>1471753.0165593999</c:v>
                </c:pt>
                <c:pt idx="149">
                  <c:v>1468834.6627917001</c:v>
                </c:pt>
                <c:pt idx="150">
                  <c:v>1465917.1830559999</c:v>
                </c:pt>
                <c:pt idx="151">
                  <c:v>1463000.4388212</c:v>
                </c:pt>
                <c:pt idx="152">
                  <c:v>1460084.4867827999</c:v>
                </c:pt>
                <c:pt idx="153">
                  <c:v>1457169.3844267</c:v>
                </c:pt>
                <c:pt idx="154">
                  <c:v>1454255.0691730001</c:v>
                </c:pt>
                <c:pt idx="155">
                  <c:v>1451341.5620411001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1442605.7158011999</c:v>
                </c:pt>
                <c:pt idx="159">
                  <c:v>1439695.2819463999</c:v>
                </c:pt>
                <c:pt idx="160">
                  <c:v>1436785.6733039999</c:v>
                </c:pt>
                <c:pt idx="161">
                  <c:v>1433876.8830075001</c:v>
                </c:pt>
                <c:pt idx="162">
                  <c:v>1430968.8174983</c:v>
                </c:pt>
                <c:pt idx="163">
                  <c:v>1428061.5598544001</c:v>
                </c:pt>
                <c:pt idx="164">
                  <c:v>1425155.0669104999</c:v>
                </c:pt>
                <c:pt idx="165">
                  <c:v>1422249.3957137</c:v>
                </c:pt>
                <c:pt idx="166">
                  <c:v>1419344.4679610999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1410634.2644525999</c:v>
                </c:pt>
                <c:pt idx="170">
                  <c:v>1407732.4119656</c:v>
                </c:pt>
                <c:pt idx="171">
                  <c:v>1404831.3032068999</c:v>
                </c:pt>
                <c:pt idx="172">
                  <c:v>1401930.9575960001</c:v>
                </c:pt>
                <c:pt idx="173">
                  <c:v>1399031.4112871999</c:v>
                </c:pt>
                <c:pt idx="174">
                  <c:v>1396132.6544669</c:v>
                </c:pt>
                <c:pt idx="175">
                  <c:v>1393234.6316031001</c:v>
                </c:pt>
                <c:pt idx="176">
                  <c:v>1390337.3398593001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1381650.0718537001</c:v>
                </c:pt>
                <c:pt idx="180">
                  <c:v>1378755.8348425</c:v>
                </c:pt>
                <c:pt idx="181">
                  <c:v>1375862.3110326999</c:v>
                </c:pt>
                <c:pt idx="182">
                  <c:v>1372969.6331738001</c:v>
                </c:pt>
                <c:pt idx="183">
                  <c:v>1370077.6250882</c:v>
                </c:pt>
                <c:pt idx="184">
                  <c:v>1367186.3441057999</c:v>
                </c:pt>
                <c:pt idx="185">
                  <c:v>1364295.8432312999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1355628.7252791999</c:v>
                </c:pt>
                <c:pt idx="189">
                  <c:v>1352741.2664206999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1341198.5610088999</c:v>
                </c:pt>
                <c:pt idx="194">
                  <c:v>1338314.7585372</c:v>
                </c:pt>
                <c:pt idx="195">
                  <c:v>1335431.6181383999</c:v>
                </c:pt>
                <c:pt idx="196">
                  <c:v>1332549.2248696999</c:v>
                </c:pt>
                <c:pt idx="197">
                  <c:v>1329667.5174676001</c:v>
                </c:pt>
                <c:pt idx="198">
                  <c:v>1326786.6239291001</c:v>
                </c:pt>
                <c:pt idx="199">
                  <c:v>1323906.4862617999</c:v>
                </c:pt>
                <c:pt idx="200">
                  <c:v>1321027.0312113001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1312393.2419616999</c:v>
                </c:pt>
                <c:pt idx="204">
                  <c:v>1309516.8094639999</c:v>
                </c:pt>
                <c:pt idx="205">
                  <c:v>1306641.1109467</c:v>
                </c:pt>
                <c:pt idx="206">
                  <c:v>1303766.0916420999</c:v>
                </c:pt>
                <c:pt idx="207">
                  <c:v>1300891.8656055999</c:v>
                </c:pt>
                <c:pt idx="208">
                  <c:v>1298018.3973407999</c:v>
                </c:pt>
                <c:pt idx="209">
                  <c:v>1295145.6276491999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1286531.7077254001</c:v>
                </c:pt>
                <c:pt idx="213">
                  <c:v>1283661.8768048</c:v>
                </c:pt>
                <c:pt idx="214">
                  <c:v>1280792.7929992999</c:v>
                </c:pt>
                <c:pt idx="215">
                  <c:v>1277924.4814023999</c:v>
                </c:pt>
                <c:pt idx="216">
                  <c:v>1275056.8270582999</c:v>
                </c:pt>
                <c:pt idx="217">
                  <c:v>1272189.9929577</c:v>
                </c:pt>
                <c:pt idx="218">
                  <c:v>1269323.8844379999</c:v>
                </c:pt>
                <c:pt idx="219">
                  <c:v>1266458.5017736999</c:v>
                </c:pt>
                <c:pt idx="220">
                  <c:v>1263593.7947883001</c:v>
                </c:pt>
                <c:pt idx="221">
                  <c:v>1260729.8334768999</c:v>
                </c:pt>
                <c:pt idx="222">
                  <c:v>1257866.6622627999</c:v>
                </c:pt>
                <c:pt idx="223">
                  <c:v>1255004.1894374001</c:v>
                </c:pt>
                <c:pt idx="224">
                  <c:v>1252142.4398658001</c:v>
                </c:pt>
                <c:pt idx="225">
                  <c:v>1249281.4928019999</c:v>
                </c:pt>
                <c:pt idx="226">
                  <c:v>1246421.226797</c:v>
                </c:pt>
                <c:pt idx="227">
                  <c:v>1243561.7561631999</c:v>
                </c:pt>
                <c:pt idx="228">
                  <c:v>1240702.9354506</c:v>
                </c:pt>
                <c:pt idx="229">
                  <c:v>1237844.9247252999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1229275.2022774999</c:v>
                </c:pt>
                <c:pt idx="233">
                  <c:v>1226420.1259184999</c:v>
                </c:pt>
                <c:pt idx="234">
                  <c:v>1223565.8094589999</c:v>
                </c:pt>
                <c:pt idx="235">
                  <c:v>1220712.271714</c:v>
                </c:pt>
                <c:pt idx="236">
                  <c:v>1217859.4908137999</c:v>
                </c:pt>
                <c:pt idx="237">
                  <c:v>1215007.4152285</c:v>
                </c:pt>
                <c:pt idx="238">
                  <c:v>1212156.1084125999</c:v>
                </c:pt>
                <c:pt idx="239">
                  <c:v>1209305.6026242999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1197910.9776409001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1183685.1329059999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1175159.2721641001</c:v>
                </c:pt>
                <c:pt idx="252">
                  <c:v>1172319.1797686999</c:v>
                </c:pt>
                <c:pt idx="253">
                  <c:v>1169479.8090294001</c:v>
                </c:pt>
                <c:pt idx="254">
                  <c:v>1166641.2531512999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1158130.4347302001</c:v>
                </c:pt>
                <c:pt idx="258">
                  <c:v>1155295.1114673</c:v>
                </c:pt>
                <c:pt idx="259">
                  <c:v>1152460.5816635001</c:v>
                </c:pt>
                <c:pt idx="260">
                  <c:v>1149626.9079950999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1141130.6322280001</c:v>
                </c:pt>
                <c:pt idx="264">
                  <c:v>1138300.1160035001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1126986.1940125001</c:v>
                </c:pt>
                <c:pt idx="269">
                  <c:v>1124159.8143986999</c:v>
                </c:pt>
                <c:pt idx="270">
                  <c:v>1121334.1993809999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1112863.5476470001</c:v>
                </c:pt>
                <c:pt idx="274">
                  <c:v>1110041.7677565999</c:v>
                </c:pt>
                <c:pt idx="275">
                  <c:v>1107220.9348009001</c:v>
                </c:pt>
                <c:pt idx="276">
                  <c:v>1104401.0212795001</c:v>
                </c:pt>
                <c:pt idx="277">
                  <c:v>1101582.0139150999</c:v>
                </c:pt>
                <c:pt idx="278">
                  <c:v>1098763.9447391001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1081874.9718017001</c:v>
                </c:pt>
                <c:pt idx="285">
                  <c:v>1079063.4864381</c:v>
                </c:pt>
                <c:pt idx="286">
                  <c:v>1076252.9647556001</c:v>
                </c:pt>
                <c:pt idx="287">
                  <c:v>1073443.3936256999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1065020.8161345001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1056634.2593322999</c:v>
                </c:pt>
                <c:pt idx="294">
                  <c:v>1053841.3136342999</c:v>
                </c:pt>
                <c:pt idx="295">
                  <c:v>1051049.7049368001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1025984.0551079001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998293.85347271001</c:v>
                </c:pt>
                <c:pt idx="315">
                  <c:v>995537.93043843005</c:v>
                </c:pt>
                <c:pt idx="316">
                  <c:v>992783.46364254004</c:v>
                </c:pt>
                <c:pt idx="317">
                  <c:v>990030.41098395002</c:v>
                </c:pt>
                <c:pt idx="318">
                  <c:v>987278.81160298001</c:v>
                </c:pt>
                <c:pt idx="319">
                  <c:v>984528.64064141002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976287.01795622997</c:v>
                </c:pt>
                <c:pt idx="323">
                  <c:v>973542.66549922002</c:v>
                </c:pt>
                <c:pt idx="324">
                  <c:v>970799.84866789996</c:v>
                </c:pt>
                <c:pt idx="325">
                  <c:v>968058.46794052003</c:v>
                </c:pt>
                <c:pt idx="326">
                  <c:v>965318.56176370999</c:v>
                </c:pt>
                <c:pt idx="327">
                  <c:v>962580.14218574006</c:v>
                </c:pt>
                <c:pt idx="328">
                  <c:v>959843.24844639003</c:v>
                </c:pt>
                <c:pt idx="329">
                  <c:v>957107.79212068999</c:v>
                </c:pt>
                <c:pt idx="330">
                  <c:v>954373.90773147997</c:v>
                </c:pt>
                <c:pt idx="331">
                  <c:v>951655.81414724002</c:v>
                </c:pt>
                <c:pt idx="332">
                  <c:v>948939.93859206</c:v>
                </c:pt>
                <c:pt idx="333">
                  <c:v>946226.07491475996</c:v>
                </c:pt>
                <c:pt idx="334">
                  <c:v>943514.21561052999</c:v>
                </c:pt>
                <c:pt idx="335">
                  <c:v>940804.38090344996</c:v>
                </c:pt>
                <c:pt idx="336">
                  <c:v>938096.51455791004</c:v>
                </c:pt>
                <c:pt idx="337">
                  <c:v>935390.72050378995</c:v>
                </c:pt>
                <c:pt idx="338">
                  <c:v>932686.89157833997</c:v>
                </c:pt>
                <c:pt idx="339">
                  <c:v>929985.04019505996</c:v>
                </c:pt>
                <c:pt idx="340">
                  <c:v>927285.07149147999</c:v>
                </c:pt>
                <c:pt idx="341">
                  <c:v>924587.10879675997</c:v>
                </c:pt>
                <c:pt idx="342">
                  <c:v>921891.01762102998</c:v>
                </c:pt>
                <c:pt idx="343">
                  <c:v>919196.88616114995</c:v>
                </c:pt>
                <c:pt idx="344">
                  <c:v>916504.65728222998</c:v>
                </c:pt>
                <c:pt idx="345">
                  <c:v>913814.34130714997</c:v>
                </c:pt>
                <c:pt idx="346">
                  <c:v>911125.87046713999</c:v>
                </c:pt>
                <c:pt idx="347">
                  <c:v>908439.30039107997</c:v>
                </c:pt>
                <c:pt idx="348">
                  <c:v>905754.59546764998</c:v>
                </c:pt>
                <c:pt idx="349">
                  <c:v>903071.78236257995</c:v>
                </c:pt>
                <c:pt idx="350">
                  <c:v>900390.97667150002</c:v>
                </c:pt>
                <c:pt idx="351">
                  <c:v>897718.60361850006</c:v>
                </c:pt>
                <c:pt idx="352">
                  <c:v>895048.04594862997</c:v>
                </c:pt>
                <c:pt idx="353">
                  <c:v>892379.22847541003</c:v>
                </c:pt>
                <c:pt idx="354">
                  <c:v>889712.14752159</c:v>
                </c:pt>
                <c:pt idx="355">
                  <c:v>887046.77323272999</c:v>
                </c:pt>
                <c:pt idx="356">
                  <c:v>884383.10755637998</c:v>
                </c:pt>
                <c:pt idx="357">
                  <c:v>881721.17363620002</c:v>
                </c:pt>
                <c:pt idx="358">
                  <c:v>879060.91797228996</c:v>
                </c:pt>
                <c:pt idx="359">
                  <c:v>876402.38435774005</c:v>
                </c:pt>
                <c:pt idx="360">
                  <c:v>873745.59532465995</c:v>
                </c:pt>
                <c:pt idx="361">
                  <c:v>871090.49050938</c:v>
                </c:pt>
                <c:pt idx="362">
                  <c:v>868437.10212091997</c:v>
                </c:pt>
                <c:pt idx="363">
                  <c:v>865785.38850850996</c:v>
                </c:pt>
                <c:pt idx="364">
                  <c:v>863135.32918413996</c:v>
                </c:pt>
                <c:pt idx="365">
                  <c:v>860487.01823151996</c:v>
                </c:pt>
                <c:pt idx="366">
                  <c:v>857840.37834621</c:v>
                </c:pt>
                <c:pt idx="367">
                  <c:v>855195.45260601002</c:v>
                </c:pt>
                <c:pt idx="368">
                  <c:v>852552.23013765004</c:v>
                </c:pt>
                <c:pt idx="369">
                  <c:v>849910.73510215001</c:v>
                </c:pt>
                <c:pt idx="370">
                  <c:v>847271.05216029997</c:v>
                </c:pt>
                <c:pt idx="371">
                  <c:v>844646.05426415999</c:v>
                </c:pt>
                <c:pt idx="372">
                  <c:v>842023.42216307996</c:v>
                </c:pt>
                <c:pt idx="373">
                  <c:v>839403.05039799004</c:v>
                </c:pt>
                <c:pt idx="374">
                  <c:v>836784.99192508997</c:v>
                </c:pt>
                <c:pt idx="375">
                  <c:v>834169.1049412</c:v>
                </c:pt>
                <c:pt idx="376">
                  <c:v>831555.53507822996</c:v>
                </c:pt>
                <c:pt idx="377">
                  <c:v>828944.16471041995</c:v>
                </c:pt>
                <c:pt idx="378">
                  <c:v>826335.01553592004</c:v>
                </c:pt>
                <c:pt idx="379">
                  <c:v>823728.09494991996</c:v>
                </c:pt>
                <c:pt idx="380">
                  <c:v>821123.34717567998</c:v>
                </c:pt>
                <c:pt idx="381">
                  <c:v>818520.85954454006</c:v>
                </c:pt>
                <c:pt idx="382">
                  <c:v>815920.54359207</c:v>
                </c:pt>
                <c:pt idx="383">
                  <c:v>813322.45432850998</c:v>
                </c:pt>
                <c:pt idx="384">
                  <c:v>810726.55816897994</c:v>
                </c:pt>
                <c:pt idx="385">
                  <c:v>808132.85400056001</c:v>
                </c:pt>
                <c:pt idx="386">
                  <c:v>805541.36556397995</c:v>
                </c:pt>
                <c:pt idx="387">
                  <c:v>802952.11316337006</c:v>
                </c:pt>
                <c:pt idx="388">
                  <c:v>800365.02058999997</c:v>
                </c:pt>
                <c:pt idx="389">
                  <c:v>797780.10869370005</c:v>
                </c:pt>
                <c:pt idx="390">
                  <c:v>795197.49619097996</c:v>
                </c:pt>
                <c:pt idx="391">
                  <c:v>792627.42075466004</c:v>
                </c:pt>
                <c:pt idx="392">
                  <c:v>790059.62117469998</c:v>
                </c:pt>
                <c:pt idx="393">
                  <c:v>787494.06257898</c:v>
                </c:pt>
                <c:pt idx="394">
                  <c:v>784930.69463289995</c:v>
                </c:pt>
                <c:pt idx="395">
                  <c:v>782369.53307264997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774699.10024470999</c:v>
                </c:pt>
                <c:pt idx="399">
                  <c:v>772146.61234240001</c:v>
                </c:pt>
                <c:pt idx="400">
                  <c:v>769596.26982688997</c:v>
                </c:pt>
                <c:pt idx="401">
                  <c:v>767048.05273550004</c:v>
                </c:pt>
                <c:pt idx="402">
                  <c:v>764501.99466274003</c:v>
                </c:pt>
                <c:pt idx="403">
                  <c:v>761958.04983003996</c:v>
                </c:pt>
                <c:pt idx="404">
                  <c:v>759416.22289911995</c:v>
                </c:pt>
                <c:pt idx="405">
                  <c:v>756876.40803824004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749269.49309987004</c:v>
                </c:pt>
                <c:pt idx="409">
                  <c:v>746737.95237664005</c:v>
                </c:pt>
                <c:pt idx="410">
                  <c:v>744208.47818414995</c:v>
                </c:pt>
                <c:pt idx="411">
                  <c:v>741682.01512288</c:v>
                </c:pt>
                <c:pt idx="412">
                  <c:v>739157.69790210004</c:v>
                </c:pt>
                <c:pt idx="413">
                  <c:v>736635.34469409997</c:v>
                </c:pt>
                <c:pt idx="414">
                  <c:v>734114.89858174999</c:v>
                </c:pt>
                <c:pt idx="415">
                  <c:v>731596.37028961</c:v>
                </c:pt>
                <c:pt idx="416">
                  <c:v>729079.72318744997</c:v>
                </c:pt>
                <c:pt idx="417">
                  <c:v>726564.98341257998</c:v>
                </c:pt>
                <c:pt idx="418">
                  <c:v>724052.16407542001</c:v>
                </c:pt>
                <c:pt idx="419">
                  <c:v>721541.13575302996</c:v>
                </c:pt>
                <c:pt idx="420">
                  <c:v>719032.01745233999</c:v>
                </c:pt>
                <c:pt idx="421">
                  <c:v>716524.68904773996</c:v>
                </c:pt>
                <c:pt idx="422">
                  <c:v>714019.23184989998</c:v>
                </c:pt>
                <c:pt idx="423">
                  <c:v>711515.55094920995</c:v>
                </c:pt>
                <c:pt idx="424">
                  <c:v>709013.72221975995</c:v>
                </c:pt>
                <c:pt idx="425">
                  <c:v>706513.69908466004</c:v>
                </c:pt>
                <c:pt idx="426">
                  <c:v>704015.45686071995</c:v>
                </c:pt>
                <c:pt idx="427">
                  <c:v>701519.08181640005</c:v>
                </c:pt>
                <c:pt idx="428">
                  <c:v>699024.47091863002</c:v>
                </c:pt>
                <c:pt idx="429">
                  <c:v>696531.65373668994</c:v>
                </c:pt>
                <c:pt idx="430">
                  <c:v>694040.59809820994</c:v>
                </c:pt>
                <c:pt idx="431">
                  <c:v>691553.38387680997</c:v>
                </c:pt>
                <c:pt idx="432">
                  <c:v>689067.98781264003</c:v>
                </c:pt>
                <c:pt idx="433">
                  <c:v>686584.36995864997</c:v>
                </c:pt>
                <c:pt idx="434">
                  <c:v>684102.43294888001</c:v>
                </c:pt>
                <c:pt idx="435">
                  <c:v>681622.26330569002</c:v>
                </c:pt>
                <c:pt idx="436">
                  <c:v>679143.79528625996</c:v>
                </c:pt>
                <c:pt idx="437">
                  <c:v>676667.12680615997</c:v>
                </c:pt>
                <c:pt idx="438">
                  <c:v>674192.14268093999</c:v>
                </c:pt>
                <c:pt idx="439">
                  <c:v>671718.95050206</c:v>
                </c:pt>
                <c:pt idx="440">
                  <c:v>669247.52662452997</c:v>
                </c:pt>
                <c:pt idx="441">
                  <c:v>666777.84369165997</c:v>
                </c:pt>
                <c:pt idx="442">
                  <c:v>664309.98266500002</c:v>
                </c:pt>
                <c:pt idx="443">
                  <c:v>661843.89445887005</c:v>
                </c:pt>
                <c:pt idx="444">
                  <c:v>659379.57581343001</c:v>
                </c:pt>
                <c:pt idx="445">
                  <c:v>656917.11407151003</c:v>
                </c:pt>
                <c:pt idx="446">
                  <c:v>654456.40571155003</c:v>
                </c:pt>
                <c:pt idx="447">
                  <c:v>651997.59137568995</c:v>
                </c:pt>
                <c:pt idx="448">
                  <c:v>649540.57578210998</c:v>
                </c:pt>
                <c:pt idx="449">
                  <c:v>647085.42898622004</c:v>
                </c:pt>
                <c:pt idx="450">
                  <c:v>644632.24726217997</c:v>
                </c:pt>
                <c:pt idx="451">
                  <c:v>642185.36183873005</c:v>
                </c:pt>
                <c:pt idx="452">
                  <c:v>639740.84069225006</c:v>
                </c:pt>
                <c:pt idx="453">
                  <c:v>637298.46797693998</c:v>
                </c:pt>
                <c:pt idx="454">
                  <c:v>634858.21247260005</c:v>
                </c:pt>
                <c:pt idx="455">
                  <c:v>632420.08159173001</c:v>
                </c:pt>
                <c:pt idx="456">
                  <c:v>629984.11643704004</c:v>
                </c:pt>
                <c:pt idx="457">
                  <c:v>627550.29107825004</c:v>
                </c:pt>
                <c:pt idx="458">
                  <c:v>625118.59944140003</c:v>
                </c:pt>
                <c:pt idx="459">
                  <c:v>622689.04586270999</c:v>
                </c:pt>
                <c:pt idx="460">
                  <c:v>620261.71814849996</c:v>
                </c:pt>
                <c:pt idx="461">
                  <c:v>617836.57865818997</c:v>
                </c:pt>
                <c:pt idx="462">
                  <c:v>615413.63317361998</c:v>
                </c:pt>
                <c:pt idx="463">
                  <c:v>612992.82838557998</c:v>
                </c:pt>
                <c:pt idx="464">
                  <c:v>610574.23994313995</c:v>
                </c:pt>
                <c:pt idx="465">
                  <c:v>608157.84332402004</c:v>
                </c:pt>
                <c:pt idx="466">
                  <c:v>605743.64491947996</c:v>
                </c:pt>
                <c:pt idx="467">
                  <c:v>603331.63394873997</c:v>
                </c:pt>
                <c:pt idx="468">
                  <c:v>600921.89997214999</c:v>
                </c:pt>
                <c:pt idx="469">
                  <c:v>598514.45365003997</c:v>
                </c:pt>
                <c:pt idx="470">
                  <c:v>596109.34431773995</c:v>
                </c:pt>
                <c:pt idx="471">
                  <c:v>593708.63922297</c:v>
                </c:pt>
                <c:pt idx="472">
                  <c:v>591310.86118288001</c:v>
                </c:pt>
                <c:pt idx="473">
                  <c:v>588915.83827855997</c:v>
                </c:pt>
                <c:pt idx="474">
                  <c:v>586523.49831837998</c:v>
                </c:pt>
                <c:pt idx="475">
                  <c:v>584133.84536878997</c:v>
                </c:pt>
                <c:pt idx="476">
                  <c:v>581746.90886284003</c:v>
                </c:pt>
                <c:pt idx="477">
                  <c:v>579362.64141189004</c:v>
                </c:pt>
                <c:pt idx="478">
                  <c:v>576981.01853660995</c:v>
                </c:pt>
                <c:pt idx="479">
                  <c:v>574602.12255295995</c:v>
                </c:pt>
                <c:pt idx="480">
                  <c:v>572225.83531793999</c:v>
                </c:pt>
                <c:pt idx="481">
                  <c:v>569852.21688477998</c:v>
                </c:pt>
                <c:pt idx="482">
                  <c:v>567481.26887631998</c:v>
                </c:pt>
                <c:pt idx="483">
                  <c:v>565112.95472372998</c:v>
                </c:pt>
                <c:pt idx="484">
                  <c:v>562747.24290903995</c:v>
                </c:pt>
                <c:pt idx="485">
                  <c:v>560384.12602931005</c:v>
                </c:pt>
                <c:pt idx="486">
                  <c:v>558023.66807031003</c:v>
                </c:pt>
                <c:pt idx="487">
                  <c:v>555665.84166577004</c:v>
                </c:pt>
                <c:pt idx="488">
                  <c:v>553310.67915202002</c:v>
                </c:pt>
                <c:pt idx="489">
                  <c:v>550958.13400095003</c:v>
                </c:pt>
                <c:pt idx="490">
                  <c:v>548608.26030213002</c:v>
                </c:pt>
                <c:pt idx="491">
                  <c:v>546263.60196601995</c:v>
                </c:pt>
                <c:pt idx="492">
                  <c:v>543921.58001476002</c:v>
                </c:pt>
                <c:pt idx="493">
                  <c:v>541582.06636397995</c:v>
                </c:pt>
                <c:pt idx="494">
                  <c:v>539245.01924320997</c:v>
                </c:pt>
                <c:pt idx="495">
                  <c:v>536910.40878339997</c:v>
                </c:pt>
                <c:pt idx="496">
                  <c:v>534578.30043045001</c:v>
                </c:pt>
                <c:pt idx="497">
                  <c:v>532248.65128015995</c:v>
                </c:pt>
                <c:pt idx="498">
                  <c:v>529921.50199370994</c:v>
                </c:pt>
                <c:pt idx="499">
                  <c:v>527596.81052447006</c:v>
                </c:pt>
                <c:pt idx="500">
                  <c:v>525274.65430576995</c:v>
                </c:pt>
                <c:pt idx="501">
                  <c:v>522954.96025450999</c:v>
                </c:pt>
                <c:pt idx="502">
                  <c:v>520637.78312152001</c:v>
                </c:pt>
                <c:pt idx="503">
                  <c:v>518323.07116748998</c:v>
                </c:pt>
                <c:pt idx="504">
                  <c:v>516010.89440763998</c:v>
                </c:pt>
                <c:pt idx="505">
                  <c:v>513701.11024279997</c:v>
                </c:pt>
                <c:pt idx="506">
                  <c:v>511393.84960727999</c:v>
                </c:pt>
                <c:pt idx="507">
                  <c:v>509089.07338109001</c:v>
                </c:pt>
                <c:pt idx="508">
                  <c:v>506786.78438218002</c:v>
                </c:pt>
                <c:pt idx="509">
                  <c:v>504486.99928752001</c:v>
                </c:pt>
                <c:pt idx="510">
                  <c:v>502189.70251736999</c:v>
                </c:pt>
                <c:pt idx="511">
                  <c:v>499898.34232579003</c:v>
                </c:pt>
                <c:pt idx="512">
                  <c:v>497609.18775972998</c:v>
                </c:pt>
                <c:pt idx="513">
                  <c:v>495322.06876214</c:v>
                </c:pt>
                <c:pt idx="514">
                  <c:v>493036.94658381998</c:v>
                </c:pt>
                <c:pt idx="515">
                  <c:v>490753.81267123</c:v>
                </c:pt>
                <c:pt idx="516">
                  <c:v>488472.67137672001</c:v>
                </c:pt>
                <c:pt idx="517">
                  <c:v>486193.50394970999</c:v>
                </c:pt>
                <c:pt idx="518">
                  <c:v>483916.35583706998</c:v>
                </c:pt>
                <c:pt idx="519">
                  <c:v>481641.20210285002</c:v>
                </c:pt>
                <c:pt idx="520">
                  <c:v>479368.03249481</c:v>
                </c:pt>
                <c:pt idx="521">
                  <c:v>477096.88728049002</c:v>
                </c:pt>
                <c:pt idx="522">
                  <c:v>474827.78744056</c:v>
                </c:pt>
                <c:pt idx="523">
                  <c:v>472560.67654238001</c:v>
                </c:pt>
                <c:pt idx="524">
                  <c:v>470295.56102985999</c:v>
                </c:pt>
                <c:pt idx="525">
                  <c:v>468032.54760374001</c:v>
                </c:pt>
                <c:pt idx="526">
                  <c:v>465771.53774538997</c:v>
                </c:pt>
                <c:pt idx="527">
                  <c:v>463512.67333323002</c:v>
                </c:pt>
                <c:pt idx="528">
                  <c:v>461255.83638095</c:v>
                </c:pt>
                <c:pt idx="529">
                  <c:v>459001.06916880998</c:v>
                </c:pt>
                <c:pt idx="530">
                  <c:v>456748.44411292003</c:v>
                </c:pt>
                <c:pt idx="531">
                  <c:v>454501.38017447002</c:v>
                </c:pt>
                <c:pt idx="532">
                  <c:v>452256.63055377</c:v>
                </c:pt>
                <c:pt idx="533">
                  <c:v>450014.03986637999</c:v>
                </c:pt>
                <c:pt idx="534">
                  <c:v>447773.56914598</c:v>
                </c:pt>
                <c:pt idx="535">
                  <c:v>445535.19833430997</c:v>
                </c:pt>
                <c:pt idx="536">
                  <c:v>443298.90985429997</c:v>
                </c:pt>
                <c:pt idx="537">
                  <c:v>441064.66733452003</c:v>
                </c:pt>
                <c:pt idx="538">
                  <c:v>438832.48246699001</c:v>
                </c:pt>
                <c:pt idx="539">
                  <c:v>436602.41774721001</c:v>
                </c:pt>
                <c:pt idx="540">
                  <c:v>434374.43155750999</c:v>
                </c:pt>
                <c:pt idx="541">
                  <c:v>432148.48107411998</c:v>
                </c:pt>
                <c:pt idx="542">
                  <c:v>429924.62779896997</c:v>
                </c:pt>
                <c:pt idx="543">
                  <c:v>427702.81621675001</c:v>
                </c:pt>
                <c:pt idx="544">
                  <c:v>425483.09000467003</c:v>
                </c:pt>
                <c:pt idx="545">
                  <c:v>423265.39893313003</c:v>
                </c:pt>
                <c:pt idx="546">
                  <c:v>421049.75704753998</c:v>
                </c:pt>
                <c:pt idx="547">
                  <c:v>418836.15231521003</c:v>
                </c:pt>
                <c:pt idx="548">
                  <c:v>416624.68671699998</c:v>
                </c:pt>
                <c:pt idx="549">
                  <c:v>414415.26010676002</c:v>
                </c:pt>
                <c:pt idx="550">
                  <c:v>412208.02685457002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405608.91232762998</c:v>
                </c:pt>
                <c:pt idx="554">
                  <c:v>403413.70691493002</c:v>
                </c:pt>
                <c:pt idx="555">
                  <c:v>401220.69661011</c:v>
                </c:pt>
                <c:pt idx="556">
                  <c:v>399029.85524966998</c:v>
                </c:pt>
                <c:pt idx="557">
                  <c:v>396841.17374305998</c:v>
                </c:pt>
                <c:pt idx="558">
                  <c:v>394654.67500802001</c:v>
                </c:pt>
                <c:pt idx="559">
                  <c:v>392470.27949274</c:v>
                </c:pt>
                <c:pt idx="560">
                  <c:v>390288.00182662997</c:v>
                </c:pt>
                <c:pt idx="561">
                  <c:v>388107.80293746002</c:v>
                </c:pt>
                <c:pt idx="562">
                  <c:v>385929.73679378</c:v>
                </c:pt>
                <c:pt idx="563">
                  <c:v>383753.78914816998</c:v>
                </c:pt>
                <c:pt idx="564">
                  <c:v>381579.89566317998</c:v>
                </c:pt>
                <c:pt idx="565">
                  <c:v>379408.12633109</c:v>
                </c:pt>
                <c:pt idx="566">
                  <c:v>377238.43371582002</c:v>
                </c:pt>
                <c:pt idx="567">
                  <c:v>375070.84091129998</c:v>
                </c:pt>
                <c:pt idx="568">
                  <c:v>372905.31290224998</c:v>
                </c:pt>
                <c:pt idx="569">
                  <c:v>370741.87834758998</c:v>
                </c:pt>
                <c:pt idx="570">
                  <c:v>368580.60581832001</c:v>
                </c:pt>
                <c:pt idx="571">
                  <c:v>366424.12524030998</c:v>
                </c:pt>
                <c:pt idx="572">
                  <c:v>364270.44385778002</c:v>
                </c:pt>
                <c:pt idx="573">
                  <c:v>362119.38084549003</c:v>
                </c:pt>
                <c:pt idx="574">
                  <c:v>359970.89538056997</c:v>
                </c:pt>
                <c:pt idx="575">
                  <c:v>357825.02183811</c:v>
                </c:pt>
                <c:pt idx="576">
                  <c:v>355681.69250841002</c:v>
                </c:pt>
                <c:pt idx="577">
                  <c:v>353540.97719091002</c:v>
                </c:pt>
                <c:pt idx="578">
                  <c:v>351402.86999171</c:v>
                </c:pt>
                <c:pt idx="579">
                  <c:v>349267.38350872998</c:v>
                </c:pt>
                <c:pt idx="580">
                  <c:v>347134.45540630003</c:v>
                </c:pt>
                <c:pt idx="581">
                  <c:v>345004.17960521003</c:v>
                </c:pt>
                <c:pt idx="582">
                  <c:v>342876.50871814002</c:v>
                </c:pt>
                <c:pt idx="583">
                  <c:v>340751.46455477999</c:v>
                </c:pt>
                <c:pt idx="584">
                  <c:v>338629.02949371003</c:v>
                </c:pt>
                <c:pt idx="585">
                  <c:v>336509.21255175001</c:v>
                </c:pt>
                <c:pt idx="586">
                  <c:v>334392.01495114999</c:v>
                </c:pt>
                <c:pt idx="587">
                  <c:v>332277.47757589997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325949.91860506003</c:v>
                </c:pt>
                <c:pt idx="591">
                  <c:v>323849.41524250002</c:v>
                </c:pt>
                <c:pt idx="592">
                  <c:v>321751.6904048</c:v>
                </c:pt>
                <c:pt idx="593">
                  <c:v>319656.62466281001</c:v>
                </c:pt>
                <c:pt idx="594">
                  <c:v>317564.15200354002</c:v>
                </c:pt>
                <c:pt idx="595">
                  <c:v>315474.31178431999</c:v>
                </c:pt>
                <c:pt idx="596">
                  <c:v>313387.07787118998</c:v>
                </c:pt>
                <c:pt idx="597">
                  <c:v>311302.44037402002</c:v>
                </c:pt>
                <c:pt idx="598">
                  <c:v>309220.39910664002</c:v>
                </c:pt>
                <c:pt idx="599">
                  <c:v>307140.97182321001</c:v>
                </c:pt>
                <c:pt idx="600">
                  <c:v>305064.12543676002</c:v>
                </c:pt>
                <c:pt idx="601">
                  <c:v>302989.91112945997</c:v>
                </c:pt>
                <c:pt idx="602">
                  <c:v>300918.31800506002</c:v>
                </c:pt>
                <c:pt idx="603">
                  <c:v>298849.31255730003</c:v>
                </c:pt>
                <c:pt idx="604">
                  <c:v>296782.90877461998</c:v>
                </c:pt>
                <c:pt idx="605">
                  <c:v>294719.12529126997</c:v>
                </c:pt>
                <c:pt idx="606">
                  <c:v>292657.92873301002</c:v>
                </c:pt>
                <c:pt idx="607">
                  <c:v>290599.42968546</c:v>
                </c:pt>
                <c:pt idx="608">
                  <c:v>288543.54009997001</c:v>
                </c:pt>
                <c:pt idx="609">
                  <c:v>286490.30408109003</c:v>
                </c:pt>
                <c:pt idx="610">
                  <c:v>284439.77734764997</c:v>
                </c:pt>
                <c:pt idx="611">
                  <c:v>282397.19204360002</c:v>
                </c:pt>
                <c:pt idx="612">
                  <c:v>280357.71641469997</c:v>
                </c:pt>
                <c:pt idx="613">
                  <c:v>278321.10440567997</c:v>
                </c:pt>
                <c:pt idx="614">
                  <c:v>276287.21983603999</c:v>
                </c:pt>
                <c:pt idx="615">
                  <c:v>274256.10523172002</c:v>
                </c:pt>
                <c:pt idx="616">
                  <c:v>272227.73302023002</c:v>
                </c:pt>
                <c:pt idx="617">
                  <c:v>270202.03890748002</c:v>
                </c:pt>
                <c:pt idx="618">
                  <c:v>268179.08902628999</c:v>
                </c:pt>
                <c:pt idx="619">
                  <c:v>266158.84924826998</c:v>
                </c:pt>
                <c:pt idx="620">
                  <c:v>264141.27930167998</c:v>
                </c:pt>
                <c:pt idx="621">
                  <c:v>262126.42692880999</c:v>
                </c:pt>
                <c:pt idx="622">
                  <c:v>260114.29027808001</c:v>
                </c:pt>
                <c:pt idx="623">
                  <c:v>258104.87518130001</c:v>
                </c:pt>
                <c:pt idx="624">
                  <c:v>256098.17218892</c:v>
                </c:pt>
                <c:pt idx="625">
                  <c:v>254094.15598559001</c:v>
                </c:pt>
                <c:pt idx="626">
                  <c:v>252092.85617720999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244114.82575774999</c:v>
                </c:pt>
                <c:pt idx="631">
                  <c:v>242133.02107856999</c:v>
                </c:pt>
                <c:pt idx="632">
                  <c:v>240154.30307498001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232268.23276439999</c:v>
                </c:pt>
                <c:pt idx="637">
                  <c:v>230303.7555997</c:v>
                </c:pt>
                <c:pt idx="638">
                  <c:v>228342.13047490001</c:v>
                </c:pt>
                <c:pt idx="639">
                  <c:v>226383.32931356001</c:v>
                </c:pt>
                <c:pt idx="640">
                  <c:v>224427.2628695</c:v>
                </c:pt>
                <c:pt idx="641">
                  <c:v>222474.02278577999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214688.94886092999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208879.31916367999</c:v>
                </c:pt>
                <c:pt idx="649">
                  <c:v>206948.39856753999</c:v>
                </c:pt>
                <c:pt idx="650">
                  <c:v>205020.44436533999</c:v>
                </c:pt>
                <c:pt idx="651">
                  <c:v>203102.96058936001</c:v>
                </c:pt>
                <c:pt idx="652">
                  <c:v>201188.86802811001</c:v>
                </c:pt>
                <c:pt idx="653">
                  <c:v>199277.89764114999</c:v>
                </c:pt>
                <c:pt idx="654">
                  <c:v>197370.06730500999</c:v>
                </c:pt>
                <c:pt idx="655">
                  <c:v>195465.32259672001</c:v>
                </c:pt>
                <c:pt idx="656">
                  <c:v>193563.68643348999</c:v>
                </c:pt>
                <c:pt idx="657">
                  <c:v>191665.13334726999</c:v>
                </c:pt>
                <c:pt idx="658">
                  <c:v>189769.65674708001</c:v>
                </c:pt>
                <c:pt idx="659">
                  <c:v>187877.27830698999</c:v>
                </c:pt>
                <c:pt idx="660">
                  <c:v>185987.9194781</c:v>
                </c:pt>
                <c:pt idx="661">
                  <c:v>184101.62976479999</c:v>
                </c:pt>
                <c:pt idx="662">
                  <c:v>182218.39287652</c:v>
                </c:pt>
                <c:pt idx="663">
                  <c:v>180338.21396113999</c:v>
                </c:pt>
                <c:pt idx="664">
                  <c:v>178461.11727265999</c:v>
                </c:pt>
                <c:pt idx="665">
                  <c:v>176587.00816301999</c:v>
                </c:pt>
                <c:pt idx="666">
                  <c:v>174715.94992404999</c:v>
                </c:pt>
                <c:pt idx="667">
                  <c:v>172847.94079662001</c:v>
                </c:pt>
                <c:pt idx="668">
                  <c:v>170982.95259077</c:v>
                </c:pt>
                <c:pt idx="669">
                  <c:v>169121.09049035999</c:v>
                </c:pt>
                <c:pt idx="670">
                  <c:v>167262.33677105</c:v>
                </c:pt>
                <c:pt idx="671">
                  <c:v>165411.92129294999</c:v>
                </c:pt>
                <c:pt idx="672">
                  <c:v>163564.27252726999</c:v>
                </c:pt>
                <c:pt idx="673">
                  <c:v>161719.264604</c:v>
                </c:pt>
                <c:pt idx="674">
                  <c:v>159876.83493534001</c:v>
                </c:pt>
                <c:pt idx="675">
                  <c:v>158037.00929427001</c:v>
                </c:pt>
                <c:pt idx="676">
                  <c:v>156199.72836917001</c:v>
                </c:pt>
                <c:pt idx="677">
                  <c:v>154365.05633538001</c:v>
                </c:pt>
                <c:pt idx="678">
                  <c:v>152532.96537324999</c:v>
                </c:pt>
                <c:pt idx="679">
                  <c:v>150703.43939148</c:v>
                </c:pt>
                <c:pt idx="680">
                  <c:v>148876.54151986999</c:v>
                </c:pt>
                <c:pt idx="681">
                  <c:v>147052.27579789</c:v>
                </c:pt>
                <c:pt idx="682">
                  <c:v>145230.57542256999</c:v>
                </c:pt>
                <c:pt idx="683">
                  <c:v>143411.48174659</c:v>
                </c:pt>
                <c:pt idx="684">
                  <c:v>141595.00337155999</c:v>
                </c:pt>
                <c:pt idx="685">
                  <c:v>139781.14224531999</c:v>
                </c:pt>
                <c:pt idx="686">
                  <c:v>137969.88366111999</c:v>
                </c:pt>
                <c:pt idx="687">
                  <c:v>136161.27007845999</c:v>
                </c:pt>
                <c:pt idx="688">
                  <c:v>134355.32941430999</c:v>
                </c:pt>
                <c:pt idx="689">
                  <c:v>132552.07370524999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127179.88814729999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113017.24002550999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106009.29063516999</c:v>
                </c:pt>
                <c:pt idx="705">
                  <c:v>104264.84586525999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99049.643659460999</c:v>
                </c:pt>
                <c:pt idx="709">
                  <c:v>97317.277208277999</c:v>
                </c:pt>
                <c:pt idx="710">
                  <c:v>95587.988295642994</c:v>
                </c:pt>
                <c:pt idx="711">
                  <c:v>93864.650928903997</c:v>
                </c:pt>
                <c:pt idx="712">
                  <c:v>92144.769237494998</c:v>
                </c:pt>
                <c:pt idx="713">
                  <c:v>90428.166466789</c:v>
                </c:pt>
                <c:pt idx="714">
                  <c:v>88714.874189316994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83594.855823695005</c:v>
                </c:pt>
                <c:pt idx="718">
                  <c:v>81894.858801320996</c:v>
                </c:pt>
                <c:pt idx="719">
                  <c:v>80198.227592551993</c:v>
                </c:pt>
                <c:pt idx="720">
                  <c:v>78504.924611612005</c:v>
                </c:pt>
                <c:pt idx="721">
                  <c:v>76815.022970146994</c:v>
                </c:pt>
                <c:pt idx="722">
                  <c:v>75128.480697892999</c:v>
                </c:pt>
                <c:pt idx="723">
                  <c:v>73445.354178416994</c:v>
                </c:pt>
                <c:pt idx="724">
                  <c:v>71765.641741632004</c:v>
                </c:pt>
                <c:pt idx="725">
                  <c:v>70089.345479060998</c:v>
                </c:pt>
                <c:pt idx="726">
                  <c:v>68416.495953001999</c:v>
                </c:pt>
                <c:pt idx="727">
                  <c:v>66747.096262539999</c:v>
                </c:pt>
                <c:pt idx="728">
                  <c:v>65081.177162467997</c:v>
                </c:pt>
                <c:pt idx="729">
                  <c:v>63418.785881194002</c:v>
                </c:pt>
                <c:pt idx="730">
                  <c:v>61760.105640018999</c:v>
                </c:pt>
                <c:pt idx="731">
                  <c:v>60122.506559973001</c:v>
                </c:pt>
                <c:pt idx="732">
                  <c:v>58489.54884956</c:v>
                </c:pt>
                <c:pt idx="733">
                  <c:v>56860.633533794004</c:v>
                </c:pt>
                <c:pt idx="734">
                  <c:v>55235.717418694003</c:v>
                </c:pt>
                <c:pt idx="735">
                  <c:v>53614.770257969001</c:v>
                </c:pt>
                <c:pt idx="736">
                  <c:v>51997.77929626</c:v>
                </c:pt>
                <c:pt idx="737">
                  <c:v>50384.799140458999</c:v>
                </c:pt>
                <c:pt idx="738">
                  <c:v>48775.796271223</c:v>
                </c:pt>
                <c:pt idx="739">
                  <c:v>47170.825356435998</c:v>
                </c:pt>
                <c:pt idx="740">
                  <c:v>45569.814380393997</c:v>
                </c:pt>
                <c:pt idx="741">
                  <c:v>43972.826938708997</c:v>
                </c:pt>
                <c:pt idx="742">
                  <c:v>42379.873653973998</c:v>
                </c:pt>
                <c:pt idx="743">
                  <c:v>40790.988700916998</c:v>
                </c:pt>
                <c:pt idx="744">
                  <c:v>39206.139236834002</c:v>
                </c:pt>
                <c:pt idx="745">
                  <c:v>37625.359249396999</c:v>
                </c:pt>
                <c:pt idx="746">
                  <c:v>36048.653842106003</c:v>
                </c:pt>
                <c:pt idx="747">
                  <c:v>34476.067833446999</c:v>
                </c:pt>
                <c:pt idx="748">
                  <c:v>32907.660446046997</c:v>
                </c:pt>
                <c:pt idx="749">
                  <c:v>31343.481590881001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26716.501689707999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22152.636452179999</c:v>
                </c:pt>
                <c:pt idx="756">
                  <c:v>20641.160951239999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13157.405516536001</c:v>
                </c:pt>
                <c:pt idx="762">
                  <c:v>11675.396949868</c:v>
                </c:pt>
                <c:pt idx="763">
                  <c:v>10198.297931282999</c:v>
                </c:pt>
                <c:pt idx="764">
                  <c:v>8726.0884104042998</c:v>
                </c:pt>
                <c:pt idx="765">
                  <c:v>7258.8256496430004</c:v>
                </c:pt>
                <c:pt idx="766">
                  <c:v>5796.4922306333001</c:v>
                </c:pt>
                <c:pt idx="767">
                  <c:v>4339.1395932971</c:v>
                </c:pt>
                <c:pt idx="768">
                  <c:v>2886.8076653165999</c:v>
                </c:pt>
                <c:pt idx="769">
                  <c:v>1439.6211008901</c:v>
                </c:pt>
                <c:pt idx="770">
                  <c:v>0.40316732228766999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[1]Sheet1!$C$2:$C$772</c:f>
              <c:numCache>
                <c:formatCode>General</c:formatCode>
                <c:ptCount val="771"/>
                <c:pt idx="0">
                  <c:v>325588.17431892001</c:v>
                </c:pt>
                <c:pt idx="1">
                  <c:v>325329.53681148001</c:v>
                </c:pt>
                <c:pt idx="2">
                  <c:v>325070.96122755</c:v>
                </c:pt>
                <c:pt idx="3">
                  <c:v>324812.56339069002</c:v>
                </c:pt>
                <c:pt idx="4">
                  <c:v>324554.23746429</c:v>
                </c:pt>
                <c:pt idx="5">
                  <c:v>324296.19840634998</c:v>
                </c:pt>
                <c:pt idx="6">
                  <c:v>324038.37448732997</c:v>
                </c:pt>
                <c:pt idx="7">
                  <c:v>323780.31346258998</c:v>
                </c:pt>
                <c:pt idx="8">
                  <c:v>323520.96327169001</c:v>
                </c:pt>
                <c:pt idx="9">
                  <c:v>323254.7703268</c:v>
                </c:pt>
                <c:pt idx="10">
                  <c:v>322850.90351689002</c:v>
                </c:pt>
                <c:pt idx="11">
                  <c:v>321169.48549544002</c:v>
                </c:pt>
                <c:pt idx="12">
                  <c:v>320922.74637299002</c:v>
                </c:pt>
                <c:pt idx="13">
                  <c:v>320688.93035422999</c:v>
                </c:pt>
                <c:pt idx="14">
                  <c:v>320459.38467626</c:v>
                </c:pt>
                <c:pt idx="15">
                  <c:v>320232.25391715998</c:v>
                </c:pt>
                <c:pt idx="16">
                  <c:v>320006.80870922998</c:v>
                </c:pt>
                <c:pt idx="17">
                  <c:v>319782.64968487999</c:v>
                </c:pt>
                <c:pt idx="18">
                  <c:v>319559.53947885998</c:v>
                </c:pt>
                <c:pt idx="19">
                  <c:v>319337.45160133002</c:v>
                </c:pt>
                <c:pt idx="20">
                  <c:v>319116.11146962002</c:v>
                </c:pt>
                <c:pt idx="21">
                  <c:v>318895.49862694001</c:v>
                </c:pt>
                <c:pt idx="22">
                  <c:v>318675.51763238001</c:v>
                </c:pt>
                <c:pt idx="23">
                  <c:v>318456.17851871997</c:v>
                </c:pt>
                <c:pt idx="24">
                  <c:v>318237.20207662001</c:v>
                </c:pt>
                <c:pt idx="25">
                  <c:v>318018.65045339998</c:v>
                </c:pt>
                <c:pt idx="26">
                  <c:v>317800.07471130003</c:v>
                </c:pt>
                <c:pt idx="27">
                  <c:v>317580.14673740999</c:v>
                </c:pt>
                <c:pt idx="28">
                  <c:v>317355.79962895002</c:v>
                </c:pt>
                <c:pt idx="29">
                  <c:v>317117.27117671003</c:v>
                </c:pt>
                <c:pt idx="30">
                  <c:v>315321.84388146998</c:v>
                </c:pt>
                <c:pt idx="31">
                  <c:v>314985.29095638002</c:v>
                </c:pt>
                <c:pt idx="32">
                  <c:v>314754.80334878003</c:v>
                </c:pt>
                <c:pt idx="33">
                  <c:v>314531.71502732998</c:v>
                </c:pt>
                <c:pt idx="34">
                  <c:v>314312.10060566</c:v>
                </c:pt>
                <c:pt idx="35">
                  <c:v>314095.25944714999</c:v>
                </c:pt>
                <c:pt idx="36">
                  <c:v>313880.61339121999</c:v>
                </c:pt>
                <c:pt idx="37">
                  <c:v>313668.01564877998</c:v>
                </c:pt>
                <c:pt idx="38">
                  <c:v>313457.41778583999</c:v>
                </c:pt>
                <c:pt idx="39">
                  <c:v>313248.70322900999</c:v>
                </c:pt>
                <c:pt idx="40">
                  <c:v>313041.85312043002</c:v>
                </c:pt>
                <c:pt idx="41">
                  <c:v>312836.80828554998</c:v>
                </c:pt>
                <c:pt idx="42">
                  <c:v>312633.50058752001</c:v>
                </c:pt>
                <c:pt idx="43">
                  <c:v>312431.91614936001</c:v>
                </c:pt>
                <c:pt idx="44">
                  <c:v>312232.01997990999</c:v>
                </c:pt>
                <c:pt idx="45">
                  <c:v>312033.48620614002</c:v>
                </c:pt>
                <c:pt idx="46">
                  <c:v>311835.94864279998</c:v>
                </c:pt>
                <c:pt idx="47">
                  <c:v>311638.60947078001</c:v>
                </c:pt>
                <c:pt idx="48">
                  <c:v>311439.00234002998</c:v>
                </c:pt>
                <c:pt idx="49">
                  <c:v>311228.82997705002</c:v>
                </c:pt>
                <c:pt idx="50">
                  <c:v>310873.10328629997</c:v>
                </c:pt>
                <c:pt idx="51">
                  <c:v>309723.08514615998</c:v>
                </c:pt>
                <c:pt idx="52">
                  <c:v>309549.18200853001</c:v>
                </c:pt>
                <c:pt idx="53">
                  <c:v>309379.56946447003</c:v>
                </c:pt>
                <c:pt idx="54">
                  <c:v>309211.16978160001</c:v>
                </c:pt>
                <c:pt idx="55">
                  <c:v>309043.52449500997</c:v>
                </c:pt>
                <c:pt idx="56">
                  <c:v>308876.43339088</c:v>
                </c:pt>
                <c:pt idx="57">
                  <c:v>308709.80517185002</c:v>
                </c:pt>
                <c:pt idx="58">
                  <c:v>308543.73717881</c:v>
                </c:pt>
                <c:pt idx="59">
                  <c:v>308378.16819031001</c:v>
                </c:pt>
                <c:pt idx="60">
                  <c:v>308212.99207225</c:v>
                </c:pt>
                <c:pt idx="61">
                  <c:v>308048.30701076001</c:v>
                </c:pt>
                <c:pt idx="62">
                  <c:v>307884.01495713001</c:v>
                </c:pt>
                <c:pt idx="63">
                  <c:v>307720.13189096999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307229.23397305002</c:v>
                </c:pt>
                <c:pt idx="67">
                  <c:v>307064.80832526</c:v>
                </c:pt>
                <c:pt idx="68">
                  <c:v>306897.98371016001</c:v>
                </c:pt>
                <c:pt idx="69">
                  <c:v>306724.20454712998</c:v>
                </c:pt>
                <c:pt idx="70">
                  <c:v>306471.52273581002</c:v>
                </c:pt>
                <c:pt idx="71">
                  <c:v>305320.35851221997</c:v>
                </c:pt>
                <c:pt idx="72">
                  <c:v>305156.85341689002</c:v>
                </c:pt>
                <c:pt idx="73">
                  <c:v>304996.58932228002</c:v>
                </c:pt>
                <c:pt idx="74">
                  <c:v>304837.65297777997</c:v>
                </c:pt>
                <c:pt idx="75">
                  <c:v>304679.54193437001</c:v>
                </c:pt>
                <c:pt idx="76">
                  <c:v>304522.16932415002</c:v>
                </c:pt>
                <c:pt idx="77">
                  <c:v>304365.68827534001</c:v>
                </c:pt>
                <c:pt idx="78">
                  <c:v>304209.99183711997</c:v>
                </c:pt>
                <c:pt idx="79">
                  <c:v>304055.10530309001</c:v>
                </c:pt>
                <c:pt idx="80">
                  <c:v>303901.08838572999</c:v>
                </c:pt>
                <c:pt idx="81">
                  <c:v>303747.80780519999</c:v>
                </c:pt>
                <c:pt idx="82">
                  <c:v>303595.38937186002</c:v>
                </c:pt>
                <c:pt idx="83">
                  <c:v>303443.85399182001</c:v>
                </c:pt>
                <c:pt idx="84">
                  <c:v>303293.11472786998</c:v>
                </c:pt>
                <c:pt idx="85">
                  <c:v>303142.78687538003</c:v>
                </c:pt>
                <c:pt idx="86">
                  <c:v>302992.54288939998</c:v>
                </c:pt>
                <c:pt idx="87">
                  <c:v>302841.51787645998</c:v>
                </c:pt>
                <c:pt idx="88">
                  <c:v>302687.78228300001</c:v>
                </c:pt>
                <c:pt idx="89">
                  <c:v>302526.71820379002</c:v>
                </c:pt>
                <c:pt idx="90">
                  <c:v>301739.89109271998</c:v>
                </c:pt>
                <c:pt idx="91">
                  <c:v>301550.28196717001</c:v>
                </c:pt>
                <c:pt idx="92">
                  <c:v>301394.81108970998</c:v>
                </c:pt>
                <c:pt idx="93">
                  <c:v>301239.44832112</c:v>
                </c:pt>
                <c:pt idx="94">
                  <c:v>301084.16214666999</c:v>
                </c:pt>
                <c:pt idx="95">
                  <c:v>300929.40521413001</c:v>
                </c:pt>
                <c:pt idx="96">
                  <c:v>300775.25974925002</c:v>
                </c:pt>
                <c:pt idx="97">
                  <c:v>300621.71354971</c:v>
                </c:pt>
                <c:pt idx="98">
                  <c:v>300468.72284037003</c:v>
                </c:pt>
                <c:pt idx="99">
                  <c:v>300316.29618762003</c:v>
                </c:pt>
                <c:pt idx="100">
                  <c:v>300164.52862608002</c:v>
                </c:pt>
                <c:pt idx="101">
                  <c:v>300013.27591263998</c:v>
                </c:pt>
                <c:pt idx="102">
                  <c:v>299862.58622433001</c:v>
                </c:pt>
                <c:pt idx="103">
                  <c:v>299712.50264576997</c:v>
                </c:pt>
                <c:pt idx="104">
                  <c:v>299562.93609426997</c:v>
                </c:pt>
                <c:pt idx="105">
                  <c:v>299413.77408837999</c:v>
                </c:pt>
                <c:pt idx="106">
                  <c:v>299264.86806598998</c:v>
                </c:pt>
                <c:pt idx="107">
                  <c:v>299115.74350962002</c:v>
                </c:pt>
                <c:pt idx="108">
                  <c:v>298964.85865004</c:v>
                </c:pt>
                <c:pt idx="109">
                  <c:v>298806.56880160997</c:v>
                </c:pt>
                <c:pt idx="110">
                  <c:v>298551.84888221999</c:v>
                </c:pt>
                <c:pt idx="111">
                  <c:v>296838.12705051003</c:v>
                </c:pt>
                <c:pt idx="112">
                  <c:v>296660.45488626999</c:v>
                </c:pt>
                <c:pt idx="113">
                  <c:v>296487.22539002</c:v>
                </c:pt>
                <c:pt idx="114">
                  <c:v>296316.63673655997</c:v>
                </c:pt>
                <c:pt idx="115">
                  <c:v>296148.24972432002</c:v>
                </c:pt>
                <c:pt idx="116">
                  <c:v>295981.95013476</c:v>
                </c:pt>
                <c:pt idx="117">
                  <c:v>295817.76531034999</c:v>
                </c:pt>
                <c:pt idx="118">
                  <c:v>295655.50279618002</c:v>
                </c:pt>
                <c:pt idx="119">
                  <c:v>295495.20580661</c:v>
                </c:pt>
                <c:pt idx="120">
                  <c:v>295336.95740979997</c:v>
                </c:pt>
                <c:pt idx="121">
                  <c:v>295180.7245822</c:v>
                </c:pt>
                <c:pt idx="122">
                  <c:v>295026.38830911001</c:v>
                </c:pt>
                <c:pt idx="123">
                  <c:v>294874.00895345001</c:v>
                </c:pt>
                <c:pt idx="124">
                  <c:v>294723.85654548003</c:v>
                </c:pt>
                <c:pt idx="125">
                  <c:v>294575.62108547002</c:v>
                </c:pt>
                <c:pt idx="126">
                  <c:v>294429.47474265</c:v>
                </c:pt>
                <c:pt idx="127">
                  <c:v>294285.58589724998</c:v>
                </c:pt>
                <c:pt idx="128">
                  <c:v>294144.15364711999</c:v>
                </c:pt>
                <c:pt idx="129">
                  <c:v>294005.70773940999</c:v>
                </c:pt>
                <c:pt idx="130">
                  <c:v>293447.44491383998</c:v>
                </c:pt>
                <c:pt idx="131">
                  <c:v>293343.90033393999</c:v>
                </c:pt>
                <c:pt idx="132">
                  <c:v>293251.32336933003</c:v>
                </c:pt>
                <c:pt idx="133">
                  <c:v>293160.71954250999</c:v>
                </c:pt>
                <c:pt idx="134">
                  <c:v>293071.14192561997</c:v>
                </c:pt>
                <c:pt idx="135">
                  <c:v>292982.29930869001</c:v>
                </c:pt>
                <c:pt idx="136">
                  <c:v>292894.00726848998</c:v>
                </c:pt>
                <c:pt idx="137">
                  <c:v>292806.26614795998</c:v>
                </c:pt>
                <c:pt idx="138">
                  <c:v>292719.10653711</c:v>
                </c:pt>
                <c:pt idx="139">
                  <c:v>292632.50123871001</c:v>
                </c:pt>
                <c:pt idx="140">
                  <c:v>292546.43048819999</c:v>
                </c:pt>
                <c:pt idx="141">
                  <c:v>292460.80522782</c:v>
                </c:pt>
                <c:pt idx="142">
                  <c:v>292375.64253936999</c:v>
                </c:pt>
                <c:pt idx="143">
                  <c:v>292291.02279983001</c:v>
                </c:pt>
                <c:pt idx="144">
                  <c:v>292206.87485341</c:v>
                </c:pt>
                <c:pt idx="145">
                  <c:v>292123.19478133001</c:v>
                </c:pt>
                <c:pt idx="146">
                  <c:v>292039.94859637</c:v>
                </c:pt>
                <c:pt idx="147">
                  <c:v>291957.11114445998</c:v>
                </c:pt>
                <c:pt idx="148">
                  <c:v>291874.74683421</c:v>
                </c:pt>
                <c:pt idx="149">
                  <c:v>291792.88645024999</c:v>
                </c:pt>
                <c:pt idx="150">
                  <c:v>291711.39380187</c:v>
                </c:pt>
                <c:pt idx="151">
                  <c:v>291629.97569634998</c:v>
                </c:pt>
                <c:pt idx="152">
                  <c:v>291549.89354212</c:v>
                </c:pt>
                <c:pt idx="153">
                  <c:v>291470.25554320001</c:v>
                </c:pt>
                <c:pt idx="154">
                  <c:v>291390.88598791999</c:v>
                </c:pt>
                <c:pt idx="155">
                  <c:v>291311.68709929998</c:v>
                </c:pt>
                <c:pt idx="156">
                  <c:v>291232.68019669002</c:v>
                </c:pt>
                <c:pt idx="157">
                  <c:v>291153.86466753</c:v>
                </c:pt>
                <c:pt idx="158">
                  <c:v>291075.24987627001</c:v>
                </c:pt>
                <c:pt idx="159">
                  <c:v>290996.79863943998</c:v>
                </c:pt>
                <c:pt idx="160">
                  <c:v>290918.55314855999</c:v>
                </c:pt>
                <c:pt idx="161">
                  <c:v>290840.48570155998</c:v>
                </c:pt>
                <c:pt idx="162">
                  <c:v>290762.57673596003</c:v>
                </c:pt>
                <c:pt idx="163">
                  <c:v>290684.87634716003</c:v>
                </c:pt>
                <c:pt idx="164">
                  <c:v>290607.31933999999</c:v>
                </c:pt>
                <c:pt idx="165">
                  <c:v>290529.93706361001</c:v>
                </c:pt>
                <c:pt idx="166">
                  <c:v>290452.73885620001</c:v>
                </c:pt>
                <c:pt idx="167">
                  <c:v>290375.70003921998</c:v>
                </c:pt>
                <c:pt idx="168">
                  <c:v>290298.82125684997</c:v>
                </c:pt>
                <c:pt idx="169">
                  <c:v>290222.06524005003</c:v>
                </c:pt>
                <c:pt idx="170">
                  <c:v>290145.45393880998</c:v>
                </c:pt>
                <c:pt idx="171">
                  <c:v>290069.01590940001</c:v>
                </c:pt>
                <c:pt idx="172">
                  <c:v>289992.86630174</c:v>
                </c:pt>
                <c:pt idx="173">
                  <c:v>289916.86606615997</c:v>
                </c:pt>
                <c:pt idx="174">
                  <c:v>289840.96597849001</c:v>
                </c:pt>
                <c:pt idx="175">
                  <c:v>289765.19390196999</c:v>
                </c:pt>
                <c:pt idx="176">
                  <c:v>289689.54640971002</c:v>
                </c:pt>
                <c:pt idx="177">
                  <c:v>289614.00595039001</c:v>
                </c:pt>
                <c:pt idx="178">
                  <c:v>289538.59275020001</c:v>
                </c:pt>
                <c:pt idx="179">
                  <c:v>289463.33263959998</c:v>
                </c:pt>
                <c:pt idx="180">
                  <c:v>289388.16373181</c:v>
                </c:pt>
                <c:pt idx="181">
                  <c:v>289313.10567084001</c:v>
                </c:pt>
                <c:pt idx="182">
                  <c:v>289238.15997565998</c:v>
                </c:pt>
                <c:pt idx="183">
                  <c:v>289163.29959511</c:v>
                </c:pt>
                <c:pt idx="184">
                  <c:v>289088.54970740998</c:v>
                </c:pt>
                <c:pt idx="185">
                  <c:v>289013.89596012997</c:v>
                </c:pt>
                <c:pt idx="186">
                  <c:v>288939.37116718001</c:v>
                </c:pt>
                <c:pt idx="187">
                  <c:v>288864.96946686</c:v>
                </c:pt>
                <c:pt idx="188">
                  <c:v>288790.65623378003</c:v>
                </c:pt>
                <c:pt idx="189">
                  <c:v>288716.49204943998</c:v>
                </c:pt>
                <c:pt idx="190">
                  <c:v>288642.42116949998</c:v>
                </c:pt>
                <c:pt idx="191">
                  <c:v>288568.41107267002</c:v>
                </c:pt>
                <c:pt idx="192">
                  <c:v>288494.53020499001</c:v>
                </c:pt>
                <c:pt idx="193">
                  <c:v>288420.71944384999</c:v>
                </c:pt>
                <c:pt idx="194">
                  <c:v>288346.94793099002</c:v>
                </c:pt>
                <c:pt idx="195">
                  <c:v>288273.22328118997</c:v>
                </c:pt>
                <c:pt idx="196">
                  <c:v>288199.48631076998</c:v>
                </c:pt>
                <c:pt idx="197">
                  <c:v>288125.72253005998</c:v>
                </c:pt>
                <c:pt idx="198">
                  <c:v>288051.94501232001</c:v>
                </c:pt>
                <c:pt idx="199">
                  <c:v>287978.23913127999</c:v>
                </c:pt>
                <c:pt idx="200">
                  <c:v>287904.55626253999</c:v>
                </c:pt>
                <c:pt idx="201">
                  <c:v>287830.86405805999</c:v>
                </c:pt>
                <c:pt idx="202">
                  <c:v>287757.17404858</c:v>
                </c:pt>
                <c:pt idx="203">
                  <c:v>287683.45844586001</c:v>
                </c:pt>
                <c:pt idx="204">
                  <c:v>287609.71068690001</c:v>
                </c:pt>
                <c:pt idx="205">
                  <c:v>287535.99554177001</c:v>
                </c:pt>
                <c:pt idx="206">
                  <c:v>287462.26540636999</c:v>
                </c:pt>
                <c:pt idx="207">
                  <c:v>287388.57911331998</c:v>
                </c:pt>
                <c:pt idx="208">
                  <c:v>287314.93462473003</c:v>
                </c:pt>
                <c:pt idx="209">
                  <c:v>287241.32668643002</c:v>
                </c:pt>
                <c:pt idx="210">
                  <c:v>287167.67560692999</c:v>
                </c:pt>
                <c:pt idx="211">
                  <c:v>287093.57679140999</c:v>
                </c:pt>
                <c:pt idx="212">
                  <c:v>287020.05793831003</c:v>
                </c:pt>
                <c:pt idx="213">
                  <c:v>286946.62747896003</c:v>
                </c:pt>
                <c:pt idx="214">
                  <c:v>286873.17889565998</c:v>
                </c:pt>
                <c:pt idx="215">
                  <c:v>286799.69033224997</c:v>
                </c:pt>
                <c:pt idx="216">
                  <c:v>286726.19515600998</c:v>
                </c:pt>
                <c:pt idx="217">
                  <c:v>286652.69483420998</c:v>
                </c:pt>
                <c:pt idx="218">
                  <c:v>286579.22636461002</c:v>
                </c:pt>
                <c:pt idx="219">
                  <c:v>286505.73053673003</c:v>
                </c:pt>
                <c:pt idx="220">
                  <c:v>286432.19649884</c:v>
                </c:pt>
                <c:pt idx="221">
                  <c:v>286358.65906680998</c:v>
                </c:pt>
                <c:pt idx="222">
                  <c:v>286285.10943089001</c:v>
                </c:pt>
                <c:pt idx="223">
                  <c:v>286211.53946767002</c:v>
                </c:pt>
                <c:pt idx="224">
                  <c:v>286137.91690328001</c:v>
                </c:pt>
                <c:pt idx="225">
                  <c:v>286064.28357238998</c:v>
                </c:pt>
                <c:pt idx="226">
                  <c:v>285990.62279610999</c:v>
                </c:pt>
                <c:pt idx="227">
                  <c:v>285916.94988703</c:v>
                </c:pt>
                <c:pt idx="228">
                  <c:v>285843.24276400998</c:v>
                </c:pt>
                <c:pt idx="229">
                  <c:v>285769.39851770003</c:v>
                </c:pt>
                <c:pt idx="230">
                  <c:v>285695.12168083002</c:v>
                </c:pt>
                <c:pt idx="231">
                  <c:v>285620.51532036997</c:v>
                </c:pt>
                <c:pt idx="232">
                  <c:v>285545.98593811999</c:v>
                </c:pt>
                <c:pt idx="233">
                  <c:v>285471.22160123999</c:v>
                </c:pt>
                <c:pt idx="234">
                  <c:v>285396.33741178003</c:v>
                </c:pt>
                <c:pt idx="235">
                  <c:v>285321.30360704003</c:v>
                </c:pt>
                <c:pt idx="236">
                  <c:v>285246.06360085</c:v>
                </c:pt>
                <c:pt idx="237">
                  <c:v>285170.67810988001</c:v>
                </c:pt>
                <c:pt idx="238">
                  <c:v>285095.12718348001</c:v>
                </c:pt>
                <c:pt idx="239">
                  <c:v>285019.42912216001</c:v>
                </c:pt>
                <c:pt idx="240">
                  <c:v>284943.58593494003</c:v>
                </c:pt>
                <c:pt idx="241">
                  <c:v>284867.56256564998</c:v>
                </c:pt>
                <c:pt idx="242">
                  <c:v>284791.35073667002</c:v>
                </c:pt>
                <c:pt idx="243">
                  <c:v>284714.95540404</c:v>
                </c:pt>
                <c:pt idx="244">
                  <c:v>284638.35864121001</c:v>
                </c:pt>
                <c:pt idx="245">
                  <c:v>284561.50293566001</c:v>
                </c:pt>
                <c:pt idx="246">
                  <c:v>284484.4042323</c:v>
                </c:pt>
                <c:pt idx="247">
                  <c:v>284406.99369312997</c:v>
                </c:pt>
                <c:pt idx="248">
                  <c:v>284329.14208785997</c:v>
                </c:pt>
                <c:pt idx="249">
                  <c:v>284250.51517619001</c:v>
                </c:pt>
                <c:pt idx="250">
                  <c:v>284166.87304388999</c:v>
                </c:pt>
                <c:pt idx="251">
                  <c:v>284054.68012570002</c:v>
                </c:pt>
                <c:pt idx="252">
                  <c:v>283974.51429755997</c:v>
                </c:pt>
                <c:pt idx="253">
                  <c:v>283894.57149218</c:v>
                </c:pt>
                <c:pt idx="254">
                  <c:v>283814.62714279001</c:v>
                </c:pt>
                <c:pt idx="255">
                  <c:v>283734.64744922001</c:v>
                </c:pt>
                <c:pt idx="256">
                  <c:v>283654.60187453002</c:v>
                </c:pt>
                <c:pt idx="257">
                  <c:v>283574.52701316</c:v>
                </c:pt>
                <c:pt idx="258">
                  <c:v>283494.43609172001</c:v>
                </c:pt>
                <c:pt idx="259">
                  <c:v>283414.34544935002</c:v>
                </c:pt>
                <c:pt idx="260">
                  <c:v>283334.18304029998</c:v>
                </c:pt>
                <c:pt idx="261">
                  <c:v>283254.03528894001</c:v>
                </c:pt>
                <c:pt idx="262">
                  <c:v>283173.84580159001</c:v>
                </c:pt>
                <c:pt idx="263">
                  <c:v>283093.57159221999</c:v>
                </c:pt>
                <c:pt idx="264">
                  <c:v>283013.20280716999</c:v>
                </c:pt>
                <c:pt idx="265">
                  <c:v>282932.67745358002</c:v>
                </c:pt>
                <c:pt idx="266">
                  <c:v>282851.99464938999</c:v>
                </c:pt>
                <c:pt idx="267">
                  <c:v>282771.03951030999</c:v>
                </c:pt>
                <c:pt idx="268">
                  <c:v>282689.62293736002</c:v>
                </c:pt>
                <c:pt idx="269">
                  <c:v>282607.34170932998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282312.43422355998</c:v>
                </c:pt>
                <c:pt idx="273">
                  <c:v>282223.37139679998</c:v>
                </c:pt>
                <c:pt idx="274">
                  <c:v>282133.34050082997</c:v>
                </c:pt>
                <c:pt idx="275">
                  <c:v>282042.57772350998</c:v>
                </c:pt>
                <c:pt idx="276">
                  <c:v>281951.14972117002</c:v>
                </c:pt>
                <c:pt idx="277">
                  <c:v>281859.10135077999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281579.88056522002</c:v>
                </c:pt>
                <c:pt idx="281">
                  <c:v>281485.85159922001</c:v>
                </c:pt>
                <c:pt idx="282">
                  <c:v>281391.36635134002</c:v>
                </c:pt>
                <c:pt idx="283">
                  <c:v>281296.32054062001</c:v>
                </c:pt>
                <c:pt idx="284">
                  <c:v>281200.72972792003</c:v>
                </c:pt>
                <c:pt idx="285">
                  <c:v>281104.51781933999</c:v>
                </c:pt>
                <c:pt idx="286">
                  <c:v>281007.58030819002</c:v>
                </c:pt>
                <c:pt idx="287">
                  <c:v>280909.76975068997</c:v>
                </c:pt>
                <c:pt idx="288">
                  <c:v>280810.71985378</c:v>
                </c:pt>
                <c:pt idx="289">
                  <c:v>280709.17996118002</c:v>
                </c:pt>
                <c:pt idx="290">
                  <c:v>279760.95917863998</c:v>
                </c:pt>
                <c:pt idx="291">
                  <c:v>279614.16580546001</c:v>
                </c:pt>
                <c:pt idx="292">
                  <c:v>279485.83714120998</c:v>
                </c:pt>
                <c:pt idx="293">
                  <c:v>279356.48000340001</c:v>
                </c:pt>
                <c:pt idx="294">
                  <c:v>279226.67102255998</c:v>
                </c:pt>
                <c:pt idx="295">
                  <c:v>279096.46292442997</c:v>
                </c:pt>
                <c:pt idx="296">
                  <c:v>278965.98531828</c:v>
                </c:pt>
                <c:pt idx="297">
                  <c:v>278835.39465849003</c:v>
                </c:pt>
                <c:pt idx="298">
                  <c:v>278704.81586996</c:v>
                </c:pt>
                <c:pt idx="299">
                  <c:v>278574.12994979002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278182.21197378001</c:v>
                </c:pt>
                <c:pt idx="303">
                  <c:v>278051.59269556002</c:v>
                </c:pt>
                <c:pt idx="304">
                  <c:v>277920.96010965999</c:v>
                </c:pt>
                <c:pt idx="305">
                  <c:v>277790.35826549999</c:v>
                </c:pt>
                <c:pt idx="306">
                  <c:v>277659.72440097999</c:v>
                </c:pt>
                <c:pt idx="307">
                  <c:v>277529.22389894002</c:v>
                </c:pt>
                <c:pt idx="308">
                  <c:v>277398.57322383998</c:v>
                </c:pt>
                <c:pt idx="309">
                  <c:v>277267.51090091001</c:v>
                </c:pt>
                <c:pt idx="310">
                  <c:v>277106.85961848998</c:v>
                </c:pt>
                <c:pt idx="311">
                  <c:v>276104.89766015002</c:v>
                </c:pt>
                <c:pt idx="312">
                  <c:v>275958.7892158</c:v>
                </c:pt>
                <c:pt idx="313">
                  <c:v>275813.39049884002</c:v>
                </c:pt>
                <c:pt idx="314">
                  <c:v>275668.24539296998</c:v>
                </c:pt>
                <c:pt idx="315">
                  <c:v>275523.10973531997</c:v>
                </c:pt>
                <c:pt idx="316">
                  <c:v>275377.98206538998</c:v>
                </c:pt>
                <c:pt idx="317">
                  <c:v>275232.66297358001</c:v>
                </c:pt>
                <c:pt idx="318">
                  <c:v>275087.26310555002</c:v>
                </c:pt>
                <c:pt idx="319">
                  <c:v>274941.65044127998</c:v>
                </c:pt>
                <c:pt idx="320">
                  <c:v>274795.83012423001</c:v>
                </c:pt>
                <c:pt idx="321">
                  <c:v>274649.71551731002</c:v>
                </c:pt>
                <c:pt idx="322">
                  <c:v>274503.35404097999</c:v>
                </c:pt>
                <c:pt idx="323">
                  <c:v>274356.84620828001</c:v>
                </c:pt>
                <c:pt idx="324">
                  <c:v>274210.02044892998</c:v>
                </c:pt>
                <c:pt idx="325">
                  <c:v>274062.92883172003</c:v>
                </c:pt>
                <c:pt idx="326">
                  <c:v>273915.59687427001</c:v>
                </c:pt>
                <c:pt idx="327">
                  <c:v>273768.03313752002</c:v>
                </c:pt>
                <c:pt idx="328">
                  <c:v>273620.1396312</c:v>
                </c:pt>
                <c:pt idx="329">
                  <c:v>273470.45455467998</c:v>
                </c:pt>
                <c:pt idx="330">
                  <c:v>271970.17036898999</c:v>
                </c:pt>
                <c:pt idx="331">
                  <c:v>271692.98934715998</c:v>
                </c:pt>
                <c:pt idx="332">
                  <c:v>271486.87758122</c:v>
                </c:pt>
                <c:pt idx="333">
                  <c:v>271283.64942207001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270682.16900668998</c:v>
                </c:pt>
                <c:pt idx="337">
                  <c:v>270484.25732868997</c:v>
                </c:pt>
                <c:pt idx="338">
                  <c:v>270287.59769775002</c:v>
                </c:pt>
                <c:pt idx="339">
                  <c:v>270091.92713213997</c:v>
                </c:pt>
                <c:pt idx="340">
                  <c:v>269897.46938865999</c:v>
                </c:pt>
                <c:pt idx="341">
                  <c:v>269704.08782736998</c:v>
                </c:pt>
                <c:pt idx="342">
                  <c:v>269511.66807210998</c:v>
                </c:pt>
                <c:pt idx="343">
                  <c:v>269320.36368047999</c:v>
                </c:pt>
                <c:pt idx="344">
                  <c:v>269130.12130224</c:v>
                </c:pt>
                <c:pt idx="345">
                  <c:v>268940.72566555999</c:v>
                </c:pt>
                <c:pt idx="346">
                  <c:v>268752.20744281</c:v>
                </c:pt>
                <c:pt idx="347">
                  <c:v>268564.66322280001</c:v>
                </c:pt>
                <c:pt idx="348">
                  <c:v>268377.83261465997</c:v>
                </c:pt>
                <c:pt idx="349">
                  <c:v>268190.54757345997</c:v>
                </c:pt>
                <c:pt idx="350">
                  <c:v>267959.67151671002</c:v>
                </c:pt>
                <c:pt idx="351">
                  <c:v>267141.52996504999</c:v>
                </c:pt>
                <c:pt idx="352">
                  <c:v>266968.54587426002</c:v>
                </c:pt>
                <c:pt idx="353">
                  <c:v>266796.09797927999</c:v>
                </c:pt>
                <c:pt idx="354">
                  <c:v>266623.91563980997</c:v>
                </c:pt>
                <c:pt idx="355">
                  <c:v>266452.12722467002</c:v>
                </c:pt>
                <c:pt idx="356">
                  <c:v>266280.68099659</c:v>
                </c:pt>
                <c:pt idx="357">
                  <c:v>266109.50179747998</c:v>
                </c:pt>
                <c:pt idx="358">
                  <c:v>265938.68802191003</c:v>
                </c:pt>
                <c:pt idx="359">
                  <c:v>265768.13908225001</c:v>
                </c:pt>
                <c:pt idx="360">
                  <c:v>265597.97833431</c:v>
                </c:pt>
                <c:pt idx="361">
                  <c:v>265428.13313259999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264920.00249073998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264412.00989615999</c:v>
                </c:pt>
                <c:pt idx="368">
                  <c:v>264241.70353126002</c:v>
                </c:pt>
                <c:pt idx="369">
                  <c:v>264069.05354991002</c:v>
                </c:pt>
                <c:pt idx="370">
                  <c:v>263852.67314818001</c:v>
                </c:pt>
                <c:pt idx="371">
                  <c:v>262374.69386006001</c:v>
                </c:pt>
                <c:pt idx="372">
                  <c:v>262148.23567889998</c:v>
                </c:pt>
                <c:pt idx="373">
                  <c:v>261923.03962272001</c:v>
                </c:pt>
                <c:pt idx="374">
                  <c:v>261698.40773946</c:v>
                </c:pt>
                <c:pt idx="375">
                  <c:v>261474.39971706001</c:v>
                </c:pt>
                <c:pt idx="376">
                  <c:v>261250.72651419</c:v>
                </c:pt>
                <c:pt idx="377">
                  <c:v>261027.75558205001</c:v>
                </c:pt>
                <c:pt idx="378">
                  <c:v>260805.33920235999</c:v>
                </c:pt>
                <c:pt idx="379">
                  <c:v>260583.38013619999</c:v>
                </c:pt>
                <c:pt idx="380">
                  <c:v>260361.94112855999</c:v>
                </c:pt>
                <c:pt idx="381">
                  <c:v>260141.15035700001</c:v>
                </c:pt>
                <c:pt idx="382">
                  <c:v>259920.89981381001</c:v>
                </c:pt>
                <c:pt idx="383">
                  <c:v>259701.12133168001</c:v>
                </c:pt>
                <c:pt idx="384">
                  <c:v>259481.77877576</c:v>
                </c:pt>
                <c:pt idx="385">
                  <c:v>259262.72668729999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258605.14912511999</c:v>
                </c:pt>
                <c:pt idx="389">
                  <c:v>258383.14172444001</c:v>
                </c:pt>
                <c:pt idx="390">
                  <c:v>257143.57241111001</c:v>
                </c:pt>
                <c:pt idx="391">
                  <c:v>256890.80062493001</c:v>
                </c:pt>
                <c:pt idx="392">
                  <c:v>256668.16558398999</c:v>
                </c:pt>
                <c:pt idx="393">
                  <c:v>256446.88898610999</c:v>
                </c:pt>
                <c:pt idx="394">
                  <c:v>256226.57670875001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255572.05058807001</c:v>
                </c:pt>
                <c:pt idx="398">
                  <c:v>255356.20106312001</c:v>
                </c:pt>
                <c:pt idx="399">
                  <c:v>255141.49917523999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254293.36072175999</c:v>
                </c:pt>
                <c:pt idx="404">
                  <c:v>254083.89984524</c:v>
                </c:pt>
                <c:pt idx="405">
                  <c:v>253875.30607791999</c:v>
                </c:pt>
                <c:pt idx="406">
                  <c:v>253667.80679830999</c:v>
                </c:pt>
                <c:pt idx="407">
                  <c:v>253461.40748361</c:v>
                </c:pt>
                <c:pt idx="408">
                  <c:v>253256.28220568001</c:v>
                </c:pt>
                <c:pt idx="409">
                  <c:v>253051.51174176999</c:v>
                </c:pt>
                <c:pt idx="410">
                  <c:v>252827.09202107001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252139.87856849999</c:v>
                </c:pt>
                <c:pt idx="414">
                  <c:v>251947.69559413</c:v>
                </c:pt>
                <c:pt idx="415">
                  <c:v>251757.33257041001</c:v>
                </c:pt>
                <c:pt idx="416">
                  <c:v>251568.38102798001</c:v>
                </c:pt>
                <c:pt idx="417">
                  <c:v>251380.55882400001</c:v>
                </c:pt>
                <c:pt idx="418">
                  <c:v>251193.76176893999</c:v>
                </c:pt>
                <c:pt idx="419">
                  <c:v>251007.95847074999</c:v>
                </c:pt>
                <c:pt idx="420">
                  <c:v>250823.11440229</c:v>
                </c:pt>
                <c:pt idx="421">
                  <c:v>250639.20964591001</c:v>
                </c:pt>
                <c:pt idx="422">
                  <c:v>250456.15052083999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249911.87483618999</c:v>
                </c:pt>
                <c:pt idx="426">
                  <c:v>249731.98725897999</c:v>
                </c:pt>
                <c:pt idx="427">
                  <c:v>249552.75311059001</c:v>
                </c:pt>
                <c:pt idx="428">
                  <c:v>249373.92572070999</c:v>
                </c:pt>
                <c:pt idx="429">
                  <c:v>249194.37352779999</c:v>
                </c:pt>
                <c:pt idx="430">
                  <c:v>248819.33457636999</c:v>
                </c:pt>
                <c:pt idx="431">
                  <c:v>248626.09527103</c:v>
                </c:pt>
                <c:pt idx="432">
                  <c:v>248451.48401623001</c:v>
                </c:pt>
                <c:pt idx="433">
                  <c:v>248278.22638817001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247757.93148070999</c:v>
                </c:pt>
                <c:pt idx="437">
                  <c:v>247583.51459634001</c:v>
                </c:pt>
                <c:pt idx="438">
                  <c:v>247408.42497399001</c:v>
                </c:pt>
                <c:pt idx="439">
                  <c:v>247232.65178320999</c:v>
                </c:pt>
                <c:pt idx="440">
                  <c:v>247056.15062224001</c:v>
                </c:pt>
                <c:pt idx="441">
                  <c:v>246878.91468178001</c:v>
                </c:pt>
                <c:pt idx="442">
                  <c:v>246700.92683452999</c:v>
                </c:pt>
                <c:pt idx="443">
                  <c:v>246522.12280924001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245796.37592724999</c:v>
                </c:pt>
                <c:pt idx="448">
                  <c:v>245611.53608918999</c:v>
                </c:pt>
                <c:pt idx="449">
                  <c:v>245423.12431121001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244344.87273999999</c:v>
                </c:pt>
                <c:pt idx="453">
                  <c:v>244131.79786615999</c:v>
                </c:pt>
                <c:pt idx="454">
                  <c:v>243918.73698894001</c:v>
                </c:pt>
                <c:pt idx="455">
                  <c:v>243705.17899573999</c:v>
                </c:pt>
                <c:pt idx="456">
                  <c:v>243491.12530916999</c:v>
                </c:pt>
                <c:pt idx="457">
                  <c:v>243276.40864581999</c:v>
                </c:pt>
                <c:pt idx="458">
                  <c:v>243061.11779672001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242410.91239390001</c:v>
                </c:pt>
                <c:pt idx="462">
                  <c:v>242192.59010038001</c:v>
                </c:pt>
                <c:pt idx="463">
                  <c:v>241973.40988086999</c:v>
                </c:pt>
                <c:pt idx="464">
                  <c:v>241753.36095254999</c:v>
                </c:pt>
                <c:pt idx="465">
                  <c:v>241532.40253846999</c:v>
                </c:pt>
                <c:pt idx="466">
                  <c:v>241310.23295944001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240633.91118664999</c:v>
                </c:pt>
                <c:pt idx="470">
                  <c:v>240376.42169635001</c:v>
                </c:pt>
                <c:pt idx="471">
                  <c:v>239915.96701046001</c:v>
                </c:pt>
                <c:pt idx="472">
                  <c:v>239641.38513405001</c:v>
                </c:pt>
                <c:pt idx="473">
                  <c:v>239369.51849834999</c:v>
                </c:pt>
                <c:pt idx="474">
                  <c:v>239099.16827718</c:v>
                </c:pt>
                <c:pt idx="475">
                  <c:v>238829.92729148001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238027.56630015999</c:v>
                </c:pt>
                <c:pt idx="479">
                  <c:v>237761.58071574001</c:v>
                </c:pt>
                <c:pt idx="480">
                  <c:v>237496.41257638001</c:v>
                </c:pt>
                <c:pt idx="481">
                  <c:v>237231.9074617</c:v>
                </c:pt>
                <c:pt idx="482">
                  <c:v>236968.00744953001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235917.71964001001</c:v>
                </c:pt>
                <c:pt idx="487">
                  <c:v>235655.38246575999</c:v>
                </c:pt>
                <c:pt idx="488">
                  <c:v>235392.05050931999</c:v>
                </c:pt>
                <c:pt idx="489">
                  <c:v>235125.90800406999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234076.99697447999</c:v>
                </c:pt>
                <c:pt idx="493">
                  <c:v>233828.93910394001</c:v>
                </c:pt>
                <c:pt idx="494">
                  <c:v>233581.19541904001</c:v>
                </c:pt>
                <c:pt idx="495">
                  <c:v>233333.45777044</c:v>
                </c:pt>
                <c:pt idx="496">
                  <c:v>233085.62996829001</c:v>
                </c:pt>
                <c:pt idx="497">
                  <c:v>232837.77615262999</c:v>
                </c:pt>
                <c:pt idx="498">
                  <c:v>232589.94316538001</c:v>
                </c:pt>
                <c:pt idx="499">
                  <c:v>232342.04349216999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230851.89176453001</c:v>
                </c:pt>
                <c:pt idx="506">
                  <c:v>230602.83493094999</c:v>
                </c:pt>
                <c:pt idx="507">
                  <c:v>230353.60552863</c:v>
                </c:pt>
                <c:pt idx="508">
                  <c:v>230103.87316707999</c:v>
                </c:pt>
                <c:pt idx="509">
                  <c:v>229852.20902303999</c:v>
                </c:pt>
                <c:pt idx="510">
                  <c:v>229350.63865822999</c:v>
                </c:pt>
                <c:pt idx="511">
                  <c:v>229014.36321901999</c:v>
                </c:pt>
                <c:pt idx="512">
                  <c:v>228811.51231647001</c:v>
                </c:pt>
                <c:pt idx="513">
                  <c:v>228611.78698947001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228015.88212610999</c:v>
                </c:pt>
                <c:pt idx="517">
                  <c:v>227816.80629184001</c:v>
                </c:pt>
                <c:pt idx="518">
                  <c:v>227617.24406863999</c:v>
                </c:pt>
                <c:pt idx="519">
                  <c:v>227417.19304665001</c:v>
                </c:pt>
                <c:pt idx="520">
                  <c:v>227216.61728817</c:v>
                </c:pt>
                <c:pt idx="521">
                  <c:v>227015.22529758001</c:v>
                </c:pt>
                <c:pt idx="522">
                  <c:v>226813.11176946</c:v>
                </c:pt>
                <c:pt idx="523">
                  <c:v>226610.26652120001</c:v>
                </c:pt>
                <c:pt idx="524">
                  <c:v>226406.71524113</c:v>
                </c:pt>
                <c:pt idx="525">
                  <c:v>226202.39906766999</c:v>
                </c:pt>
                <c:pt idx="526">
                  <c:v>225997.10709646999</c:v>
                </c:pt>
                <c:pt idx="527">
                  <c:v>225790.77073518999</c:v>
                </c:pt>
                <c:pt idx="528">
                  <c:v>225582.92216469999</c:v>
                </c:pt>
                <c:pt idx="529">
                  <c:v>225371.73517391001</c:v>
                </c:pt>
                <c:pt idx="530">
                  <c:v>224833.87420865</c:v>
                </c:pt>
                <c:pt idx="531">
                  <c:v>224582.82464671001</c:v>
                </c:pt>
                <c:pt idx="532">
                  <c:v>224366.38714810999</c:v>
                </c:pt>
                <c:pt idx="533">
                  <c:v>224154.35958558999</c:v>
                </c:pt>
                <c:pt idx="534">
                  <c:v>223944.09890285999</c:v>
                </c:pt>
                <c:pt idx="535">
                  <c:v>223735.15156835</c:v>
                </c:pt>
                <c:pt idx="536">
                  <c:v>223526.97003664001</c:v>
                </c:pt>
                <c:pt idx="537">
                  <c:v>223319.30960189001</c:v>
                </c:pt>
                <c:pt idx="538">
                  <c:v>223112.03223641001</c:v>
                </c:pt>
                <c:pt idx="539">
                  <c:v>222905.05461182</c:v>
                </c:pt>
                <c:pt idx="540">
                  <c:v>222698.39422784999</c:v>
                </c:pt>
                <c:pt idx="541">
                  <c:v>222492.01500928</c:v>
                </c:pt>
                <c:pt idx="542">
                  <c:v>222285.72445219001</c:v>
                </c:pt>
                <c:pt idx="543">
                  <c:v>222079.61974657999</c:v>
                </c:pt>
                <c:pt idx="544">
                  <c:v>221873.61677756</c:v>
                </c:pt>
                <c:pt idx="545">
                  <c:v>221667.65927159999</c:v>
                </c:pt>
                <c:pt idx="546">
                  <c:v>221461.69237907001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220592.35509863001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219411.42491788999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218762.69441078001</c:v>
                </c:pt>
                <c:pt idx="558">
                  <c:v>218548.74086749001</c:v>
                </c:pt>
                <c:pt idx="559">
                  <c:v>218335.63539626999</c:v>
                </c:pt>
                <c:pt idx="560">
                  <c:v>218123.70747446999</c:v>
                </c:pt>
                <c:pt idx="561">
                  <c:v>217912.70155845999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217284.60440427999</c:v>
                </c:pt>
                <c:pt idx="565">
                  <c:v>217076.53488570999</c:v>
                </c:pt>
                <c:pt idx="566">
                  <c:v>216869.08641978999</c:v>
                </c:pt>
                <c:pt idx="567">
                  <c:v>216661.77375846001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216000.91047912001</c:v>
                </c:pt>
                <c:pt idx="571">
                  <c:v>215499.75496814001</c:v>
                </c:pt>
                <c:pt idx="572">
                  <c:v>215238.24718377</c:v>
                </c:pt>
                <c:pt idx="573">
                  <c:v>214978.94443693999</c:v>
                </c:pt>
                <c:pt idx="574">
                  <c:v>214720.10216251999</c:v>
                </c:pt>
                <c:pt idx="575">
                  <c:v>214461.12977484</c:v>
                </c:pt>
                <c:pt idx="576">
                  <c:v>214201.86222807001</c:v>
                </c:pt>
                <c:pt idx="577">
                  <c:v>213942.30910685999</c:v>
                </c:pt>
                <c:pt idx="578">
                  <c:v>213682.51451477999</c:v>
                </c:pt>
                <c:pt idx="579">
                  <c:v>213422.41742489999</c:v>
                </c:pt>
                <c:pt idx="580">
                  <c:v>213161.97080817001</c:v>
                </c:pt>
                <c:pt idx="581">
                  <c:v>212901.18733814999</c:v>
                </c:pt>
                <c:pt idx="582">
                  <c:v>212639.88397240001</c:v>
                </c:pt>
                <c:pt idx="583">
                  <c:v>212378.27835419</c:v>
                </c:pt>
                <c:pt idx="584">
                  <c:v>212116.13510104999</c:v>
                </c:pt>
                <c:pt idx="585">
                  <c:v>211853.34009149001</c:v>
                </c:pt>
                <c:pt idx="586">
                  <c:v>211589.68934559001</c:v>
                </c:pt>
                <c:pt idx="587">
                  <c:v>211325.00902478999</c:v>
                </c:pt>
                <c:pt idx="588">
                  <c:v>211058.27770944999</c:v>
                </c:pt>
                <c:pt idx="589">
                  <c:v>210786.34594015</c:v>
                </c:pt>
                <c:pt idx="590">
                  <c:v>210219.79659842001</c:v>
                </c:pt>
                <c:pt idx="591">
                  <c:v>209900.90001909001</c:v>
                </c:pt>
                <c:pt idx="592">
                  <c:v>209637.95722412999</c:v>
                </c:pt>
                <c:pt idx="593">
                  <c:v>209377.37102582</c:v>
                </c:pt>
                <c:pt idx="594">
                  <c:v>209117.27407094001</c:v>
                </c:pt>
                <c:pt idx="595">
                  <c:v>208857.29257161001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208076.92246115001</c:v>
                </c:pt>
                <c:pt idx="599">
                  <c:v>207816.39314664001</c:v>
                </c:pt>
                <c:pt idx="600">
                  <c:v>207555.64880843001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206510.03633428999</c:v>
                </c:pt>
                <c:pt idx="605">
                  <c:v>206247.76426296</c:v>
                </c:pt>
                <c:pt idx="606">
                  <c:v>205985.20622411001</c:v>
                </c:pt>
                <c:pt idx="607">
                  <c:v>205722.30373730001</c:v>
                </c:pt>
                <c:pt idx="608">
                  <c:v>205458.60890344999</c:v>
                </c:pt>
                <c:pt idx="609">
                  <c:v>205192.48130814999</c:v>
                </c:pt>
                <c:pt idx="610">
                  <c:v>204876.89958622001</c:v>
                </c:pt>
                <c:pt idx="611">
                  <c:v>204085.85206172001</c:v>
                </c:pt>
                <c:pt idx="612">
                  <c:v>203803.67157110001</c:v>
                </c:pt>
                <c:pt idx="613">
                  <c:v>203526.57449150001</c:v>
                </c:pt>
                <c:pt idx="614">
                  <c:v>203251.75548344999</c:v>
                </c:pt>
                <c:pt idx="615">
                  <c:v>202978.31304502999</c:v>
                </c:pt>
                <c:pt idx="616">
                  <c:v>202705.75574364999</c:v>
                </c:pt>
                <c:pt idx="617">
                  <c:v>202433.72542353001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201620.10651680999</c:v>
                </c:pt>
                <c:pt idx="621">
                  <c:v>201349.42243904</c:v>
                </c:pt>
                <c:pt idx="622">
                  <c:v>201078.90245786999</c:v>
                </c:pt>
                <c:pt idx="623">
                  <c:v>200808.51692363</c:v>
                </c:pt>
                <c:pt idx="624">
                  <c:v>200538.23845028001</c:v>
                </c:pt>
                <c:pt idx="625">
                  <c:v>200267.99212325999</c:v>
                </c:pt>
                <c:pt idx="626">
                  <c:v>199997.60175080001</c:v>
                </c:pt>
                <c:pt idx="627">
                  <c:v>199726.75458072999</c:v>
                </c:pt>
                <c:pt idx="628">
                  <c:v>199454.80276429001</c:v>
                </c:pt>
                <c:pt idx="629">
                  <c:v>199178.85965791001</c:v>
                </c:pt>
                <c:pt idx="630">
                  <c:v>198365.68029505</c:v>
                </c:pt>
                <c:pt idx="631">
                  <c:v>198015.09692094999</c:v>
                </c:pt>
                <c:pt idx="632">
                  <c:v>197723.06612591</c:v>
                </c:pt>
                <c:pt idx="633">
                  <c:v>197436.66309623999</c:v>
                </c:pt>
                <c:pt idx="634">
                  <c:v>197152.43986479001</c:v>
                </c:pt>
                <c:pt idx="635">
                  <c:v>196869.48172785999</c:v>
                </c:pt>
                <c:pt idx="636">
                  <c:v>196587.49429505001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195745.57936885001</c:v>
                </c:pt>
                <c:pt idx="640">
                  <c:v>195466.09552616</c:v>
                </c:pt>
                <c:pt idx="641">
                  <c:v>195187.02230119999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194352.61308601001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193519.03586487001</c:v>
                </c:pt>
                <c:pt idx="648">
                  <c:v>193238.86354811999</c:v>
                </c:pt>
                <c:pt idx="649">
                  <c:v>192953.02924025999</c:v>
                </c:pt>
                <c:pt idx="650">
                  <c:v>192137.16797094999</c:v>
                </c:pt>
                <c:pt idx="651">
                  <c:v>191573.45535387</c:v>
                </c:pt>
                <c:pt idx="652">
                  <c:v>191254.39789953001</c:v>
                </c:pt>
                <c:pt idx="653">
                  <c:v>190941.4864237</c:v>
                </c:pt>
                <c:pt idx="654">
                  <c:v>190630.51904064001</c:v>
                </c:pt>
                <c:pt idx="655">
                  <c:v>190320.62265539001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189089.27054975001</c:v>
                </c:pt>
                <c:pt idx="660">
                  <c:v>188783.12101907001</c:v>
                </c:pt>
                <c:pt idx="661">
                  <c:v>188477.77534063999</c:v>
                </c:pt>
                <c:pt idx="662">
                  <c:v>188173.01433332</c:v>
                </c:pt>
                <c:pt idx="663">
                  <c:v>187868.99017832999</c:v>
                </c:pt>
                <c:pt idx="664">
                  <c:v>187565.39255292001</c:v>
                </c:pt>
                <c:pt idx="665">
                  <c:v>187262.15068118001</c:v>
                </c:pt>
                <c:pt idx="666">
                  <c:v>186959.02639320001</c:v>
                </c:pt>
                <c:pt idx="667">
                  <c:v>186655.36359356999</c:v>
                </c:pt>
                <c:pt idx="668">
                  <c:v>186350.40540305999</c:v>
                </c:pt>
                <c:pt idx="669">
                  <c:v>186041.19340799001</c:v>
                </c:pt>
                <c:pt idx="670">
                  <c:v>185686.96353668999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184374.22802529001</c:v>
                </c:pt>
                <c:pt idx="674">
                  <c:v>184115.73578168001</c:v>
                </c:pt>
                <c:pt idx="675">
                  <c:v>183857.22388015999</c:v>
                </c:pt>
                <c:pt idx="676">
                  <c:v>183598.61025319999</c:v>
                </c:pt>
                <c:pt idx="677">
                  <c:v>183339.85556828999</c:v>
                </c:pt>
                <c:pt idx="678">
                  <c:v>183080.80796276001</c:v>
                </c:pt>
                <c:pt idx="679">
                  <c:v>182821.70881807999</c:v>
                </c:pt>
                <c:pt idx="680">
                  <c:v>182562.31954053001</c:v>
                </c:pt>
                <c:pt idx="681">
                  <c:v>182302.85537634001</c:v>
                </c:pt>
                <c:pt idx="682">
                  <c:v>182042.99019886</c:v>
                </c:pt>
                <c:pt idx="683">
                  <c:v>181783.02110174001</c:v>
                </c:pt>
                <c:pt idx="684">
                  <c:v>181522.58644402001</c:v>
                </c:pt>
                <c:pt idx="685">
                  <c:v>181261.55882106</c:v>
                </c:pt>
                <c:pt idx="686">
                  <c:v>180999.44713449001</c:v>
                </c:pt>
                <c:pt idx="687">
                  <c:v>180735.63294442001</c:v>
                </c:pt>
                <c:pt idx="688">
                  <c:v>180468.97608219</c:v>
                </c:pt>
                <c:pt idx="689">
                  <c:v>180196.29639974001</c:v>
                </c:pt>
                <c:pt idx="690">
                  <c:v>178958.74918083</c:v>
                </c:pt>
                <c:pt idx="691">
                  <c:v>178581.51849106001</c:v>
                </c:pt>
                <c:pt idx="692">
                  <c:v>178265.75621674</c:v>
                </c:pt>
                <c:pt idx="693">
                  <c:v>177955.21415705001</c:v>
                </c:pt>
                <c:pt idx="694">
                  <c:v>177646.38640528999</c:v>
                </c:pt>
                <c:pt idx="695">
                  <c:v>177338.48483494</c:v>
                </c:pt>
                <c:pt idx="696">
                  <c:v>177031.18413328001</c:v>
                </c:pt>
                <c:pt idx="697">
                  <c:v>176724.67907337</c:v>
                </c:pt>
                <c:pt idx="698">
                  <c:v>176418.64848989999</c:v>
                </c:pt>
                <c:pt idx="699">
                  <c:v>176113.22774239999</c:v>
                </c:pt>
                <c:pt idx="700">
                  <c:v>175808.51801011001</c:v>
                </c:pt>
                <c:pt idx="701">
                  <c:v>175504.22272091999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174595.19968672001</c:v>
                </c:pt>
                <c:pt idx="705">
                  <c:v>174293.29044076</c:v>
                </c:pt>
                <c:pt idx="706">
                  <c:v>173991.95658388999</c:v>
                </c:pt>
                <c:pt idx="707">
                  <c:v>173690.97056094001</c:v>
                </c:pt>
                <c:pt idx="708">
                  <c:v>173390.19647019001</c:v>
                </c:pt>
                <c:pt idx="709">
                  <c:v>173088.36680558999</c:v>
                </c:pt>
                <c:pt idx="710">
                  <c:v>172756.23645088001</c:v>
                </c:pt>
                <c:pt idx="711">
                  <c:v>172155.01596824001</c:v>
                </c:pt>
                <c:pt idx="712">
                  <c:v>171824.04887306999</c:v>
                </c:pt>
                <c:pt idx="713">
                  <c:v>171494.37035710999</c:v>
                </c:pt>
                <c:pt idx="714">
                  <c:v>171164.26233587999</c:v>
                </c:pt>
                <c:pt idx="715">
                  <c:v>170833.13750879999</c:v>
                </c:pt>
                <c:pt idx="716">
                  <c:v>170500.96768746999</c:v>
                </c:pt>
                <c:pt idx="717">
                  <c:v>170167.77539056001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168822.80349749001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167801.60809359999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166768.27258849001</c:v>
                </c:pt>
                <c:pt idx="728">
                  <c:v>166419.52305071999</c:v>
                </c:pt>
                <c:pt idx="729">
                  <c:v>166063.78949622999</c:v>
                </c:pt>
                <c:pt idx="730">
                  <c:v>164873.5584528</c:v>
                </c:pt>
                <c:pt idx="731">
                  <c:v>163500.71315744999</c:v>
                </c:pt>
                <c:pt idx="732">
                  <c:v>163091.6730949</c:v>
                </c:pt>
                <c:pt idx="733">
                  <c:v>162691.00339083001</c:v>
                </c:pt>
                <c:pt idx="734">
                  <c:v>162293.07407509</c:v>
                </c:pt>
                <c:pt idx="735">
                  <c:v>161895.73873993999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160701.05839439001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159498.95343063999</c:v>
                </c:pt>
                <c:pt idx="742">
                  <c:v>159096.30734438001</c:v>
                </c:pt>
                <c:pt idx="743">
                  <c:v>158692.64806283999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157472.86746867001</c:v>
                </c:pt>
                <c:pt idx="747">
                  <c:v>157061.48082302001</c:v>
                </c:pt>
                <c:pt idx="748">
                  <c:v>156643.13262253001</c:v>
                </c:pt>
                <c:pt idx="749">
                  <c:v>156215.89019025999</c:v>
                </c:pt>
                <c:pt idx="750">
                  <c:v>155639.0693307</c:v>
                </c:pt>
                <c:pt idx="751">
                  <c:v>153357.26827038999</c:v>
                </c:pt>
                <c:pt idx="752">
                  <c:v>152865.04862556001</c:v>
                </c:pt>
                <c:pt idx="753">
                  <c:v>152374.66505586001</c:v>
                </c:pt>
                <c:pt idx="754">
                  <c:v>151884.12071456999</c:v>
                </c:pt>
                <c:pt idx="755">
                  <c:v>151393.39098952999</c:v>
                </c:pt>
                <c:pt idx="756">
                  <c:v>150902.57750782999</c:v>
                </c:pt>
                <c:pt idx="757">
                  <c:v>150411.73067431001</c:v>
                </c:pt>
                <c:pt idx="758">
                  <c:v>149920.93094319</c:v>
                </c:pt>
                <c:pt idx="759">
                  <c:v>149430.14112715999</c:v>
                </c:pt>
                <c:pt idx="760">
                  <c:v>148939.30940216</c:v>
                </c:pt>
                <c:pt idx="761">
                  <c:v>148448.54708126001</c:v>
                </c:pt>
                <c:pt idx="762">
                  <c:v>147957.77266235999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146484.77128434999</c:v>
                </c:pt>
                <c:pt idx="766">
                  <c:v>145992.50570377</c:v>
                </c:pt>
                <c:pt idx="767">
                  <c:v>145497.98098436001</c:v>
                </c:pt>
                <c:pt idx="768">
                  <c:v>144996.91824219999</c:v>
                </c:pt>
                <c:pt idx="769">
                  <c:v>144474.08244617001</c:v>
                </c:pt>
                <c:pt idx="770">
                  <c:v>33140.978649363999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193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74"/>
              <c:y val="0.9348236543691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220000"/>
        <c:minorUnit val="50000"/>
      </c:valAx>
      <c:valAx>
        <c:axId val="965013327"/>
        <c:scaling>
          <c:orientation val="minMax"/>
          <c:max val="490.7"/>
          <c:min val="48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At val="0"/>
        <c:crossBetween val="midCat"/>
        <c:majorUnit val="0.5"/>
      </c:valAx>
      <c:valAx>
        <c:axId val="1732847839"/>
        <c:scaling>
          <c:orientation val="minMax"/>
          <c:max val="490.7"/>
          <c:min val="482.8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5"/>
      </c:valAx>
      <c:valAx>
        <c:axId val="1524585551"/>
        <c:scaling>
          <c:orientation val="maxMin"/>
          <c:max val="330000"/>
          <c:min val="3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inorUnit val="3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th-TH" sz="1400" b="1" i="0" u="none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u="none" strike="noStrike" kern="1200" baseline="0">
                <a:solidFill>
                  <a:srgbClr val="0E2841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[2]ฝั่งสปิลเวย์!$L$6:$L$17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393.59999999999997</c:v>
                </c:pt>
                <c:pt idx="6">
                  <c:v>433.73333333333335</c:v>
                </c:pt>
                <c:pt idx="7">
                  <c:v>459.40000000000003</c:v>
                </c:pt>
                <c:pt idx="8">
                  <c:v>470.40000000000003</c:v>
                </c:pt>
                <c:pt idx="9">
                  <c:v>477.8</c:v>
                </c:pt>
                <c:pt idx="10">
                  <c:v>488.66666666666669</c:v>
                </c:pt>
                <c:pt idx="11">
                  <c:v>500.5333333333333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1-4512-836B-23B6A798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556400"/>
        <c:axId val="1156560720"/>
      </c:scatterChart>
      <c:valAx>
        <c:axId val="1156556400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0720"/>
        <c:crosses val="autoZero"/>
        <c:crossBetween val="midCat"/>
        <c:majorUnit val="1"/>
      </c:valAx>
      <c:valAx>
        <c:axId val="11565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6-412D-8195-C010CF037B0A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[2]ฝั่งสปิลเวย์!$F$6:$F$17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6-412D-8195-C010CF037B0A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[2]ฝั่งสปิลเวย์!$I$6:$I$17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464.40000000000003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76-412D-8195-C010CF037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25951"/>
        <c:axId val="1379330751"/>
      </c:lineChart>
      <c:catAx>
        <c:axId val="1379325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30751"/>
        <c:crosses val="autoZero"/>
        <c:auto val="1"/>
        <c:lblAlgn val="ctr"/>
        <c:lblOffset val="100"/>
        <c:noMultiLvlLbl val="0"/>
      </c:catAx>
      <c:valAx>
        <c:axId val="13793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2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spc="0" baseline="0">
              <a:solidFill>
                <a:srgbClr val="0E2841"/>
              </a:solidFill>
            </a:endParaRPr>
          </a:p>
          <a:p>
            <a:pPr>
              <a:defRPr sz="1400"/>
            </a:pP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Ruea reservoir)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[2]ฝั่งทางเข้าอ่าง!$L$6:$L$16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73.800000000000011</c:v>
                </c:pt>
                <c:pt idx="3">
                  <c:v>147.4</c:v>
                </c:pt>
                <c:pt idx="4">
                  <c:v>204.60000000000002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282.99999999999994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B-4AFA-B87C-259134E497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6558800"/>
        <c:axId val="1156567920"/>
      </c:scatterChart>
      <c:valAx>
        <c:axId val="1156558800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7920"/>
        <c:crosses val="autoZero"/>
        <c:crossBetween val="midCat"/>
        <c:majorUnit val="1"/>
      </c:valAx>
      <c:valAx>
        <c:axId val="1156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Rate </a:t>
                </a:r>
              </a:p>
              <a:p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[2]ฝั่งทางเข้าอ่าง!$C$6:$C$16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70.199999999999989</c:v>
                </c:pt>
                <c:pt idx="3">
                  <c:v>147.6</c:v>
                </c:pt>
                <c:pt idx="4">
                  <c:v>199.8</c:v>
                </c:pt>
                <c:pt idx="5">
                  <c:v>232.20000000000002</c:v>
                </c:pt>
                <c:pt idx="6">
                  <c:v>252.6</c:v>
                </c:pt>
                <c:pt idx="7">
                  <c:v>272.39999999999998</c:v>
                </c:pt>
                <c:pt idx="8">
                  <c:v>276.60000000000002</c:v>
                </c:pt>
                <c:pt idx="9">
                  <c:v>273.59999999999997</c:v>
                </c:pt>
                <c:pt idx="10">
                  <c:v>275.39999999999998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1-42C5-9BAE-E1216D914F2C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[2]ฝั่งทางเข้าอ่าง!$F$6:$F$16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148.80000000000001</c:v>
                </c:pt>
                <c:pt idx="4">
                  <c:v>214.2</c:v>
                </c:pt>
                <c:pt idx="5">
                  <c:v>227.4</c:v>
                </c:pt>
                <c:pt idx="6">
                  <c:v>249.00000000000003</c:v>
                </c:pt>
                <c:pt idx="7">
                  <c:v>276.60000000000002</c:v>
                </c:pt>
                <c:pt idx="8">
                  <c:v>279.60000000000002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1-42C5-9BAE-E1216D914F2C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[2]ฝั่งทางเข้าอ่าง!$I$6:$I$16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74.400000000000006</c:v>
                </c:pt>
                <c:pt idx="3">
                  <c:v>145.80000000000001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278.39999999999998</c:v>
                </c:pt>
                <c:pt idx="8">
                  <c:v>284.40000000000003</c:v>
                </c:pt>
                <c:pt idx="9">
                  <c:v>291</c:v>
                </c:pt>
                <c:pt idx="10">
                  <c:v>291.60000000000002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D1-42C5-9BAE-E1216D914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84511"/>
        <c:axId val="1379382591"/>
      </c:lineChart>
      <c:catAx>
        <c:axId val="137938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2591"/>
        <c:crosses val="autoZero"/>
        <c:auto val="1"/>
        <c:lblAlgn val="ctr"/>
        <c:lblOffset val="100"/>
        <c:noMultiLvlLbl val="0"/>
      </c:catAx>
      <c:valAx>
        <c:axId val="137938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'[3]RES002 (Adj)'!$C$1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(Adj)'!$C$2:$C$1758</c:f>
              <c:numCache>
                <c:formatCode>General</c:formatCode>
                <c:ptCount val="1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2.8</c:v>
                </c:pt>
                <c:pt idx="119">
                  <c:v>0.8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7.4</c:v>
                </c:pt>
                <c:pt idx="170">
                  <c:v>1.8</c:v>
                </c:pt>
                <c:pt idx="171">
                  <c:v>0.6</c:v>
                </c:pt>
                <c:pt idx="172">
                  <c:v>1.2</c:v>
                </c:pt>
                <c:pt idx="173">
                  <c:v>1</c:v>
                </c:pt>
                <c:pt idx="174">
                  <c:v>0.2</c:v>
                </c:pt>
                <c:pt idx="175">
                  <c:v>0.2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1.8</c:v>
                </c:pt>
                <c:pt idx="215">
                  <c:v>0.2</c:v>
                </c:pt>
                <c:pt idx="216">
                  <c:v>0</c:v>
                </c:pt>
                <c:pt idx="217">
                  <c:v>1.4</c:v>
                </c:pt>
                <c:pt idx="218">
                  <c:v>0</c:v>
                </c:pt>
                <c:pt idx="219">
                  <c:v>0.4</c:v>
                </c:pt>
                <c:pt idx="220">
                  <c:v>0</c:v>
                </c:pt>
                <c:pt idx="221">
                  <c:v>1</c:v>
                </c:pt>
                <c:pt idx="222">
                  <c:v>1.2</c:v>
                </c:pt>
                <c:pt idx="223">
                  <c:v>0.6</c:v>
                </c:pt>
                <c:pt idx="224">
                  <c:v>0.6</c:v>
                </c:pt>
                <c:pt idx="225">
                  <c:v>0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0.2</c:v>
                </c:pt>
                <c:pt idx="315">
                  <c:v>3.4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0.4</c:v>
                </c:pt>
                <c:pt idx="361">
                  <c:v>1.6</c:v>
                </c:pt>
                <c:pt idx="362">
                  <c:v>0.8</c:v>
                </c:pt>
                <c:pt idx="363">
                  <c:v>0.2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0.8</c:v>
                </c:pt>
                <c:pt idx="379">
                  <c:v>0</c:v>
                </c:pt>
                <c:pt idx="380">
                  <c:v>2.2000000000000002</c:v>
                </c:pt>
                <c:pt idx="381">
                  <c:v>0.8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0.2</c:v>
                </c:pt>
                <c:pt idx="391">
                  <c:v>0.4</c:v>
                </c:pt>
                <c:pt idx="392">
                  <c:v>0.2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0.8</c:v>
                </c:pt>
                <c:pt idx="456">
                  <c:v>0</c:v>
                </c:pt>
                <c:pt idx="457">
                  <c:v>0.4</c:v>
                </c:pt>
                <c:pt idx="458">
                  <c:v>0</c:v>
                </c:pt>
                <c:pt idx="459">
                  <c:v>3.6</c:v>
                </c:pt>
                <c:pt idx="460">
                  <c:v>4</c:v>
                </c:pt>
                <c:pt idx="461">
                  <c:v>1.2</c:v>
                </c:pt>
                <c:pt idx="462">
                  <c:v>1.6</c:v>
                </c:pt>
                <c:pt idx="463">
                  <c:v>0.4</c:v>
                </c:pt>
                <c:pt idx="464">
                  <c:v>0.4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0.6</c:v>
                </c:pt>
                <c:pt idx="472">
                  <c:v>0.4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2.2000000000000002</c:v>
                </c:pt>
                <c:pt idx="567">
                  <c:v>8.6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0.2</c:v>
                </c:pt>
                <c:pt idx="615">
                  <c:v>0.6</c:v>
                </c:pt>
                <c:pt idx="616">
                  <c:v>0.2</c:v>
                </c:pt>
                <c:pt idx="617">
                  <c:v>0</c:v>
                </c:pt>
                <c:pt idx="618">
                  <c:v>0.8</c:v>
                </c:pt>
                <c:pt idx="619">
                  <c:v>0.2</c:v>
                </c:pt>
                <c:pt idx="620">
                  <c:v>0.8</c:v>
                </c:pt>
                <c:pt idx="621">
                  <c:v>1.2</c:v>
                </c:pt>
                <c:pt idx="622">
                  <c:v>1.4</c:v>
                </c:pt>
                <c:pt idx="623">
                  <c:v>0.4</c:v>
                </c:pt>
                <c:pt idx="624">
                  <c:v>0.2</c:v>
                </c:pt>
                <c:pt idx="625">
                  <c:v>0</c:v>
                </c:pt>
                <c:pt idx="626">
                  <c:v>0</c:v>
                </c:pt>
                <c:pt idx="627">
                  <c:v>0.2</c:v>
                </c:pt>
                <c:pt idx="628">
                  <c:v>0.2</c:v>
                </c:pt>
                <c:pt idx="629">
                  <c:v>1</c:v>
                </c:pt>
                <c:pt idx="630">
                  <c:v>0.4</c:v>
                </c:pt>
                <c:pt idx="631">
                  <c:v>0.4</c:v>
                </c:pt>
                <c:pt idx="632">
                  <c:v>3.8</c:v>
                </c:pt>
                <c:pt idx="633">
                  <c:v>3.4</c:v>
                </c:pt>
                <c:pt idx="634">
                  <c:v>1.8</c:v>
                </c:pt>
                <c:pt idx="635">
                  <c:v>5.4</c:v>
                </c:pt>
                <c:pt idx="636">
                  <c:v>4.2</c:v>
                </c:pt>
                <c:pt idx="637">
                  <c:v>3.6</c:v>
                </c:pt>
                <c:pt idx="638">
                  <c:v>5.6</c:v>
                </c:pt>
                <c:pt idx="639">
                  <c:v>3.2</c:v>
                </c:pt>
                <c:pt idx="640">
                  <c:v>1.4</c:v>
                </c:pt>
                <c:pt idx="641">
                  <c:v>2.2000000000000002</c:v>
                </c:pt>
                <c:pt idx="642">
                  <c:v>0.4</c:v>
                </c:pt>
                <c:pt idx="643">
                  <c:v>0.8</c:v>
                </c:pt>
                <c:pt idx="644">
                  <c:v>0.6</c:v>
                </c:pt>
                <c:pt idx="645">
                  <c:v>0.8</c:v>
                </c:pt>
                <c:pt idx="646">
                  <c:v>0.6</c:v>
                </c:pt>
                <c:pt idx="647">
                  <c:v>0.4</c:v>
                </c:pt>
                <c:pt idx="648">
                  <c:v>0.6</c:v>
                </c:pt>
                <c:pt idx="649">
                  <c:v>0</c:v>
                </c:pt>
                <c:pt idx="650">
                  <c:v>0</c:v>
                </c:pt>
                <c:pt idx="651">
                  <c:v>0.2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0.2</c:v>
                </c:pt>
                <c:pt idx="656">
                  <c:v>0.2</c:v>
                </c:pt>
                <c:pt idx="657">
                  <c:v>0.6</c:v>
                </c:pt>
                <c:pt idx="658">
                  <c:v>0</c:v>
                </c:pt>
                <c:pt idx="659">
                  <c:v>0</c:v>
                </c:pt>
                <c:pt idx="660">
                  <c:v>0.4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0.6</c:v>
                </c:pt>
                <c:pt idx="699">
                  <c:v>0.2</c:v>
                </c:pt>
                <c:pt idx="700">
                  <c:v>0.8</c:v>
                </c:pt>
                <c:pt idx="701">
                  <c:v>0.6</c:v>
                </c:pt>
                <c:pt idx="702">
                  <c:v>0</c:v>
                </c:pt>
                <c:pt idx="703">
                  <c:v>0.2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8.8000000000000007</c:v>
                </c:pt>
                <c:pt idx="742">
                  <c:v>12</c:v>
                </c:pt>
                <c:pt idx="743">
                  <c:v>0.8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0.4</c:v>
                </c:pt>
                <c:pt idx="749">
                  <c:v>0</c:v>
                </c:pt>
                <c:pt idx="750">
                  <c:v>0</c:v>
                </c:pt>
                <c:pt idx="751">
                  <c:v>2.6</c:v>
                </c:pt>
                <c:pt idx="752">
                  <c:v>0.2</c:v>
                </c:pt>
                <c:pt idx="753">
                  <c:v>0.6</c:v>
                </c:pt>
                <c:pt idx="754">
                  <c:v>0.2</c:v>
                </c:pt>
                <c:pt idx="755">
                  <c:v>1.2</c:v>
                </c:pt>
                <c:pt idx="756">
                  <c:v>0.2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0.4</c:v>
                </c:pt>
                <c:pt idx="793">
                  <c:v>2.8</c:v>
                </c:pt>
                <c:pt idx="794">
                  <c:v>0.8</c:v>
                </c:pt>
                <c:pt idx="795">
                  <c:v>0.4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0.2</c:v>
                </c:pt>
                <c:pt idx="1016">
                  <c:v>0.2</c:v>
                </c:pt>
                <c:pt idx="1017">
                  <c:v>0.4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0.4</c:v>
                </c:pt>
                <c:pt idx="1034">
                  <c:v>0.2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0.4</c:v>
                </c:pt>
                <c:pt idx="1043">
                  <c:v>0.4</c:v>
                </c:pt>
                <c:pt idx="1044">
                  <c:v>0</c:v>
                </c:pt>
                <c:pt idx="1045">
                  <c:v>0.2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4.8</c:v>
                </c:pt>
                <c:pt idx="1123">
                  <c:v>0.8</c:v>
                </c:pt>
                <c:pt idx="1124">
                  <c:v>9.8000000000000007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2.6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0.4</c:v>
                </c:pt>
                <c:pt idx="1169">
                  <c:v>2</c:v>
                </c:pt>
                <c:pt idx="1170">
                  <c:v>0.2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7.8</c:v>
                </c:pt>
                <c:pt idx="1197">
                  <c:v>0.2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0.6</c:v>
                </c:pt>
                <c:pt idx="1218">
                  <c:v>0</c:v>
                </c:pt>
                <c:pt idx="1219">
                  <c:v>34.6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2.4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2.2000000000000002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9.4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1.2</c:v>
                </c:pt>
                <c:pt idx="1386">
                  <c:v>0.2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1.2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0.4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8.4</c:v>
                </c:pt>
                <c:pt idx="1453">
                  <c:v>0</c:v>
                </c:pt>
                <c:pt idx="1454">
                  <c:v>0</c:v>
                </c:pt>
                <c:pt idx="1455">
                  <c:v>0.2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</c:v>
                </c:pt>
                <c:pt idx="1461">
                  <c:v>0</c:v>
                </c:pt>
                <c:pt idx="1462">
                  <c:v>0</c:v>
                </c:pt>
                <c:pt idx="1463">
                  <c:v>2.2000000000000002</c:v>
                </c:pt>
                <c:pt idx="1464">
                  <c:v>0.2</c:v>
                </c:pt>
                <c:pt idx="1465">
                  <c:v>0</c:v>
                </c:pt>
                <c:pt idx="1466">
                  <c:v>0</c:v>
                </c:pt>
                <c:pt idx="1467">
                  <c:v>1.6</c:v>
                </c:pt>
                <c:pt idx="1468">
                  <c:v>1.8</c:v>
                </c:pt>
                <c:pt idx="1469">
                  <c:v>0</c:v>
                </c:pt>
                <c:pt idx="1470">
                  <c:v>0.2</c:v>
                </c:pt>
                <c:pt idx="1471">
                  <c:v>0.6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0.4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0.4</c:v>
                </c:pt>
                <c:pt idx="1488">
                  <c:v>0</c:v>
                </c:pt>
                <c:pt idx="1489">
                  <c:v>0.6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5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1.6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</c:v>
                </c:pt>
                <c:pt idx="1629">
                  <c:v>0</c:v>
                </c:pt>
                <c:pt idx="1630">
                  <c:v>0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0.4</c:v>
                </c:pt>
                <c:pt idx="1743">
                  <c:v>2.4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460991"/>
        <c:axId val="520460511"/>
      </c:barChart>
      <c:lineChart>
        <c:grouping val="standard"/>
        <c:varyColors val="0"/>
        <c:ser>
          <c:idx val="1"/>
          <c:order val="1"/>
          <c:tx>
            <c:strRef>
              <c:f>'[3]RES002 (Adj)'!$E$1</c:f>
              <c:strCache>
                <c:ptCount val="1"/>
                <c:pt idx="0">
                  <c:v>water_level (ADJ)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(Adj)'!$E$2:$E$1758</c:f>
              <c:numCache>
                <c:formatCode>General</c:formatCode>
                <c:ptCount val="1757"/>
                <c:pt idx="0">
                  <c:v>489.33102000000002</c:v>
                </c:pt>
                <c:pt idx="1">
                  <c:v>489.32400000000001</c:v>
                </c:pt>
                <c:pt idx="2">
                  <c:v>489.32400000000001</c:v>
                </c:pt>
                <c:pt idx="3">
                  <c:v>489.33102000000002</c:v>
                </c:pt>
                <c:pt idx="4">
                  <c:v>489.32400000000001</c:v>
                </c:pt>
                <c:pt idx="5">
                  <c:v>489.33102000000002</c:v>
                </c:pt>
                <c:pt idx="6">
                  <c:v>489.32500000000005</c:v>
                </c:pt>
                <c:pt idx="7">
                  <c:v>489.32500000000005</c:v>
                </c:pt>
                <c:pt idx="8">
                  <c:v>489.32400000000001</c:v>
                </c:pt>
                <c:pt idx="9">
                  <c:v>489.33102000000002</c:v>
                </c:pt>
                <c:pt idx="10">
                  <c:v>489.33102000000002</c:v>
                </c:pt>
                <c:pt idx="11">
                  <c:v>489.33102000000002</c:v>
                </c:pt>
                <c:pt idx="12">
                  <c:v>489.33102000000002</c:v>
                </c:pt>
                <c:pt idx="13">
                  <c:v>489.33102000000002</c:v>
                </c:pt>
                <c:pt idx="14">
                  <c:v>489.33200000000005</c:v>
                </c:pt>
                <c:pt idx="15">
                  <c:v>489.33700000000005</c:v>
                </c:pt>
                <c:pt idx="16">
                  <c:v>489.33700000000005</c:v>
                </c:pt>
                <c:pt idx="17">
                  <c:v>489.34402</c:v>
                </c:pt>
                <c:pt idx="18">
                  <c:v>489.34402</c:v>
                </c:pt>
                <c:pt idx="19">
                  <c:v>489.34402</c:v>
                </c:pt>
                <c:pt idx="20">
                  <c:v>489.35</c:v>
                </c:pt>
                <c:pt idx="21">
                  <c:v>489.34402</c:v>
                </c:pt>
                <c:pt idx="22">
                  <c:v>489.35</c:v>
                </c:pt>
                <c:pt idx="23">
                  <c:v>489.34900000000005</c:v>
                </c:pt>
                <c:pt idx="24">
                  <c:v>489.35</c:v>
                </c:pt>
                <c:pt idx="25">
                  <c:v>489.35</c:v>
                </c:pt>
                <c:pt idx="26">
                  <c:v>489.351</c:v>
                </c:pt>
                <c:pt idx="27">
                  <c:v>489.35</c:v>
                </c:pt>
                <c:pt idx="28">
                  <c:v>489.351</c:v>
                </c:pt>
                <c:pt idx="29">
                  <c:v>489.351</c:v>
                </c:pt>
                <c:pt idx="30">
                  <c:v>489.351</c:v>
                </c:pt>
                <c:pt idx="31">
                  <c:v>489.35</c:v>
                </c:pt>
                <c:pt idx="32">
                  <c:v>489.35</c:v>
                </c:pt>
                <c:pt idx="33">
                  <c:v>489.351</c:v>
                </c:pt>
                <c:pt idx="34">
                  <c:v>489.351</c:v>
                </c:pt>
                <c:pt idx="35">
                  <c:v>489.35702000000003</c:v>
                </c:pt>
                <c:pt idx="36">
                  <c:v>489.35</c:v>
                </c:pt>
                <c:pt idx="37">
                  <c:v>489.351</c:v>
                </c:pt>
                <c:pt idx="38">
                  <c:v>489.35</c:v>
                </c:pt>
                <c:pt idx="39">
                  <c:v>489.35</c:v>
                </c:pt>
                <c:pt idx="40">
                  <c:v>489.35</c:v>
                </c:pt>
                <c:pt idx="41">
                  <c:v>489.35</c:v>
                </c:pt>
                <c:pt idx="42">
                  <c:v>489.35</c:v>
                </c:pt>
                <c:pt idx="43">
                  <c:v>489.35</c:v>
                </c:pt>
                <c:pt idx="44">
                  <c:v>489.35602</c:v>
                </c:pt>
                <c:pt idx="45">
                  <c:v>489.35</c:v>
                </c:pt>
                <c:pt idx="46">
                  <c:v>489.35602</c:v>
                </c:pt>
                <c:pt idx="47">
                  <c:v>489.35602</c:v>
                </c:pt>
                <c:pt idx="48">
                  <c:v>489.35602</c:v>
                </c:pt>
                <c:pt idx="49">
                  <c:v>489.35602</c:v>
                </c:pt>
                <c:pt idx="50">
                  <c:v>489.35602</c:v>
                </c:pt>
                <c:pt idx="51">
                  <c:v>489.35602</c:v>
                </c:pt>
                <c:pt idx="52">
                  <c:v>489.35602</c:v>
                </c:pt>
                <c:pt idx="53">
                  <c:v>489.35602</c:v>
                </c:pt>
                <c:pt idx="54">
                  <c:v>489.35602</c:v>
                </c:pt>
                <c:pt idx="55">
                  <c:v>489.35602</c:v>
                </c:pt>
                <c:pt idx="56">
                  <c:v>489.35602</c:v>
                </c:pt>
                <c:pt idx="57">
                  <c:v>489.35602</c:v>
                </c:pt>
                <c:pt idx="58">
                  <c:v>489.35702000000003</c:v>
                </c:pt>
                <c:pt idx="59">
                  <c:v>489.35602</c:v>
                </c:pt>
                <c:pt idx="60">
                  <c:v>489.35702000000003</c:v>
                </c:pt>
                <c:pt idx="61">
                  <c:v>489.35602</c:v>
                </c:pt>
                <c:pt idx="62">
                  <c:v>489.35602</c:v>
                </c:pt>
                <c:pt idx="63">
                  <c:v>489.35602</c:v>
                </c:pt>
                <c:pt idx="64">
                  <c:v>489.35602</c:v>
                </c:pt>
                <c:pt idx="65">
                  <c:v>489.35602</c:v>
                </c:pt>
                <c:pt idx="66">
                  <c:v>489.35602</c:v>
                </c:pt>
                <c:pt idx="67">
                  <c:v>489.35602</c:v>
                </c:pt>
                <c:pt idx="68">
                  <c:v>489.35602</c:v>
                </c:pt>
                <c:pt idx="69">
                  <c:v>489.35602</c:v>
                </c:pt>
                <c:pt idx="70">
                  <c:v>489.363</c:v>
                </c:pt>
                <c:pt idx="71">
                  <c:v>489.35602</c:v>
                </c:pt>
                <c:pt idx="72">
                  <c:v>489.35602</c:v>
                </c:pt>
                <c:pt idx="73">
                  <c:v>489.35602</c:v>
                </c:pt>
                <c:pt idx="74">
                  <c:v>489.35602</c:v>
                </c:pt>
                <c:pt idx="75">
                  <c:v>489.35602</c:v>
                </c:pt>
                <c:pt idx="76">
                  <c:v>489.35602</c:v>
                </c:pt>
                <c:pt idx="77">
                  <c:v>489.363</c:v>
                </c:pt>
                <c:pt idx="78">
                  <c:v>489.363</c:v>
                </c:pt>
                <c:pt idx="79">
                  <c:v>489.35602</c:v>
                </c:pt>
                <c:pt idx="80">
                  <c:v>489.35602</c:v>
                </c:pt>
                <c:pt idx="81">
                  <c:v>489.363</c:v>
                </c:pt>
                <c:pt idx="82">
                  <c:v>489.35602</c:v>
                </c:pt>
                <c:pt idx="83">
                  <c:v>489.35602</c:v>
                </c:pt>
                <c:pt idx="84">
                  <c:v>489.35602</c:v>
                </c:pt>
                <c:pt idx="85">
                  <c:v>489.35602</c:v>
                </c:pt>
                <c:pt idx="86">
                  <c:v>489.36200000000002</c:v>
                </c:pt>
                <c:pt idx="87">
                  <c:v>489.35602</c:v>
                </c:pt>
                <c:pt idx="88">
                  <c:v>489.35602</c:v>
                </c:pt>
                <c:pt idx="89">
                  <c:v>489.36200000000002</c:v>
                </c:pt>
                <c:pt idx="90">
                  <c:v>489.36200000000002</c:v>
                </c:pt>
                <c:pt idx="91">
                  <c:v>489.36200000000002</c:v>
                </c:pt>
                <c:pt idx="92">
                  <c:v>489.36200000000002</c:v>
                </c:pt>
                <c:pt idx="93">
                  <c:v>489.36200000000002</c:v>
                </c:pt>
                <c:pt idx="94">
                  <c:v>489.36200000000002</c:v>
                </c:pt>
                <c:pt idx="95">
                  <c:v>489.36200000000002</c:v>
                </c:pt>
                <c:pt idx="96">
                  <c:v>489.36200000000002</c:v>
                </c:pt>
                <c:pt idx="97">
                  <c:v>489.35600000000005</c:v>
                </c:pt>
                <c:pt idx="98">
                  <c:v>489.363</c:v>
                </c:pt>
                <c:pt idx="99">
                  <c:v>489.35600000000005</c:v>
                </c:pt>
                <c:pt idx="100">
                  <c:v>489.363</c:v>
                </c:pt>
                <c:pt idx="101">
                  <c:v>489.363</c:v>
                </c:pt>
                <c:pt idx="102">
                  <c:v>489.363</c:v>
                </c:pt>
                <c:pt idx="103">
                  <c:v>489.363</c:v>
                </c:pt>
                <c:pt idx="104">
                  <c:v>489.363</c:v>
                </c:pt>
                <c:pt idx="105">
                  <c:v>489.363</c:v>
                </c:pt>
                <c:pt idx="106">
                  <c:v>489.35600000000005</c:v>
                </c:pt>
                <c:pt idx="107">
                  <c:v>489.35700000000003</c:v>
                </c:pt>
                <c:pt idx="108">
                  <c:v>489.363</c:v>
                </c:pt>
                <c:pt idx="109">
                  <c:v>489.363</c:v>
                </c:pt>
                <c:pt idx="110">
                  <c:v>489.36200000000002</c:v>
                </c:pt>
                <c:pt idx="111">
                  <c:v>489.36200000000002</c:v>
                </c:pt>
                <c:pt idx="112">
                  <c:v>489.36200000000002</c:v>
                </c:pt>
                <c:pt idx="113">
                  <c:v>489.36200000000002</c:v>
                </c:pt>
                <c:pt idx="114">
                  <c:v>489.36200000000002</c:v>
                </c:pt>
                <c:pt idx="115">
                  <c:v>489.36200000000002</c:v>
                </c:pt>
                <c:pt idx="116">
                  <c:v>489.36200000000002</c:v>
                </c:pt>
                <c:pt idx="117">
                  <c:v>489.36200000000002</c:v>
                </c:pt>
                <c:pt idx="118">
                  <c:v>489.36200000000002</c:v>
                </c:pt>
                <c:pt idx="119">
                  <c:v>489.363</c:v>
                </c:pt>
                <c:pt idx="120">
                  <c:v>489.363</c:v>
                </c:pt>
                <c:pt idx="121">
                  <c:v>489.363</c:v>
                </c:pt>
                <c:pt idx="122">
                  <c:v>489.363</c:v>
                </c:pt>
                <c:pt idx="123">
                  <c:v>489.36900000000003</c:v>
                </c:pt>
                <c:pt idx="124">
                  <c:v>489.36200000000002</c:v>
                </c:pt>
                <c:pt idx="125">
                  <c:v>489.363</c:v>
                </c:pt>
                <c:pt idx="126">
                  <c:v>489.363</c:v>
                </c:pt>
                <c:pt idx="127">
                  <c:v>489.363</c:v>
                </c:pt>
                <c:pt idx="128">
                  <c:v>489.36900000000003</c:v>
                </c:pt>
                <c:pt idx="129">
                  <c:v>489.363</c:v>
                </c:pt>
                <c:pt idx="130">
                  <c:v>489.36500000000001</c:v>
                </c:pt>
                <c:pt idx="131">
                  <c:v>489.36900000000003</c:v>
                </c:pt>
                <c:pt idx="132">
                  <c:v>489.36900000000003</c:v>
                </c:pt>
                <c:pt idx="133">
                  <c:v>489.36900000000003</c:v>
                </c:pt>
                <c:pt idx="134">
                  <c:v>489.363</c:v>
                </c:pt>
                <c:pt idx="135">
                  <c:v>489.36200000000002</c:v>
                </c:pt>
                <c:pt idx="136">
                  <c:v>489.363</c:v>
                </c:pt>
                <c:pt idx="137">
                  <c:v>489.36900000000003</c:v>
                </c:pt>
                <c:pt idx="138">
                  <c:v>489.36900000000003</c:v>
                </c:pt>
                <c:pt idx="139">
                  <c:v>489.36900000000003</c:v>
                </c:pt>
                <c:pt idx="140">
                  <c:v>489.36900000000003</c:v>
                </c:pt>
                <c:pt idx="141">
                  <c:v>489.36900000000003</c:v>
                </c:pt>
                <c:pt idx="142">
                  <c:v>489.36900000000003</c:v>
                </c:pt>
                <c:pt idx="143">
                  <c:v>489.36900000000003</c:v>
                </c:pt>
                <c:pt idx="144">
                  <c:v>489.36900000000003</c:v>
                </c:pt>
                <c:pt idx="145">
                  <c:v>489.36900000000003</c:v>
                </c:pt>
                <c:pt idx="146">
                  <c:v>489.36900000000003</c:v>
                </c:pt>
                <c:pt idx="147">
                  <c:v>489.36900000000003</c:v>
                </c:pt>
                <c:pt idx="148">
                  <c:v>489.36900000000003</c:v>
                </c:pt>
                <c:pt idx="149">
                  <c:v>489.36900000000003</c:v>
                </c:pt>
                <c:pt idx="150">
                  <c:v>489.36900000000003</c:v>
                </c:pt>
                <c:pt idx="151">
                  <c:v>489.36900000000003</c:v>
                </c:pt>
                <c:pt idx="152">
                  <c:v>489.36900000000003</c:v>
                </c:pt>
                <c:pt idx="153">
                  <c:v>489.36900000000003</c:v>
                </c:pt>
                <c:pt idx="154">
                  <c:v>489.36900000000003</c:v>
                </c:pt>
                <c:pt idx="155">
                  <c:v>489.36900000000003</c:v>
                </c:pt>
                <c:pt idx="156">
                  <c:v>489.36900000000003</c:v>
                </c:pt>
                <c:pt idx="157">
                  <c:v>489.36900000000003</c:v>
                </c:pt>
                <c:pt idx="158">
                  <c:v>489.36900000000003</c:v>
                </c:pt>
                <c:pt idx="159">
                  <c:v>489.36900000000003</c:v>
                </c:pt>
                <c:pt idx="160">
                  <c:v>489.36900000000003</c:v>
                </c:pt>
                <c:pt idx="161">
                  <c:v>489.36900000000003</c:v>
                </c:pt>
                <c:pt idx="162">
                  <c:v>489.36900000000003</c:v>
                </c:pt>
                <c:pt idx="163">
                  <c:v>489.36900000000003</c:v>
                </c:pt>
                <c:pt idx="164">
                  <c:v>489.36900000000003</c:v>
                </c:pt>
                <c:pt idx="165">
                  <c:v>489.36900000000003</c:v>
                </c:pt>
                <c:pt idx="166">
                  <c:v>489.36900000000003</c:v>
                </c:pt>
                <c:pt idx="167">
                  <c:v>489.36900000000003</c:v>
                </c:pt>
                <c:pt idx="168">
                  <c:v>489.36200000000002</c:v>
                </c:pt>
                <c:pt idx="169">
                  <c:v>489.38300000000004</c:v>
                </c:pt>
                <c:pt idx="170">
                  <c:v>489.39600000000002</c:v>
                </c:pt>
                <c:pt idx="171">
                  <c:v>489.39600000000002</c:v>
                </c:pt>
                <c:pt idx="172">
                  <c:v>489.39700000000005</c:v>
                </c:pt>
                <c:pt idx="173">
                  <c:v>489.39700000000005</c:v>
                </c:pt>
                <c:pt idx="174">
                  <c:v>489.40200000000004</c:v>
                </c:pt>
                <c:pt idx="175">
                  <c:v>489.40200000000004</c:v>
                </c:pt>
                <c:pt idx="176">
                  <c:v>489.40200000000004</c:v>
                </c:pt>
                <c:pt idx="177">
                  <c:v>489.40200000000004</c:v>
                </c:pt>
                <c:pt idx="178">
                  <c:v>489.40298000000001</c:v>
                </c:pt>
                <c:pt idx="179">
                  <c:v>489.40200000000004</c:v>
                </c:pt>
                <c:pt idx="180">
                  <c:v>489.40298000000001</c:v>
                </c:pt>
                <c:pt idx="181">
                  <c:v>489.40200000000004</c:v>
                </c:pt>
                <c:pt idx="182">
                  <c:v>489.40200000000004</c:v>
                </c:pt>
                <c:pt idx="183">
                  <c:v>489.40200000000004</c:v>
                </c:pt>
                <c:pt idx="184">
                  <c:v>489.39600000000002</c:v>
                </c:pt>
                <c:pt idx="185">
                  <c:v>489.40100000000001</c:v>
                </c:pt>
                <c:pt idx="186">
                  <c:v>489.40100000000001</c:v>
                </c:pt>
                <c:pt idx="187">
                  <c:v>489.40100000000001</c:v>
                </c:pt>
                <c:pt idx="188">
                  <c:v>489.40100000000001</c:v>
                </c:pt>
                <c:pt idx="189">
                  <c:v>489.40100000000001</c:v>
                </c:pt>
                <c:pt idx="190">
                  <c:v>489.40100000000001</c:v>
                </c:pt>
                <c:pt idx="191">
                  <c:v>489.40200000000004</c:v>
                </c:pt>
                <c:pt idx="192">
                  <c:v>489.40100000000001</c:v>
                </c:pt>
                <c:pt idx="193">
                  <c:v>489.40200000000004</c:v>
                </c:pt>
                <c:pt idx="194">
                  <c:v>489.40200000000004</c:v>
                </c:pt>
                <c:pt idx="195">
                  <c:v>489.40200000000004</c:v>
                </c:pt>
                <c:pt idx="196">
                  <c:v>489.40200000000004</c:v>
                </c:pt>
                <c:pt idx="197">
                  <c:v>489.40200000000004</c:v>
                </c:pt>
                <c:pt idx="198">
                  <c:v>489.40200000000004</c:v>
                </c:pt>
                <c:pt idx="199">
                  <c:v>489.40200000000004</c:v>
                </c:pt>
                <c:pt idx="200">
                  <c:v>489.40200000000004</c:v>
                </c:pt>
                <c:pt idx="201">
                  <c:v>489.39700000000005</c:v>
                </c:pt>
                <c:pt idx="202">
                  <c:v>489.40200000000004</c:v>
                </c:pt>
                <c:pt idx="203">
                  <c:v>489.40200000000004</c:v>
                </c:pt>
                <c:pt idx="204">
                  <c:v>489.40200000000004</c:v>
                </c:pt>
                <c:pt idx="205">
                  <c:v>489.40200000000004</c:v>
                </c:pt>
                <c:pt idx="206">
                  <c:v>489.40100000000001</c:v>
                </c:pt>
                <c:pt idx="207">
                  <c:v>489.40100000000001</c:v>
                </c:pt>
                <c:pt idx="208">
                  <c:v>489.39500000000004</c:v>
                </c:pt>
                <c:pt idx="209">
                  <c:v>489.39600000000002</c:v>
                </c:pt>
                <c:pt idx="210">
                  <c:v>489.40100000000001</c:v>
                </c:pt>
                <c:pt idx="211">
                  <c:v>489.40100000000001</c:v>
                </c:pt>
                <c:pt idx="212">
                  <c:v>489.39500000000004</c:v>
                </c:pt>
                <c:pt idx="213">
                  <c:v>489.40100000000001</c:v>
                </c:pt>
                <c:pt idx="214">
                  <c:v>489.39500000000004</c:v>
                </c:pt>
                <c:pt idx="215">
                  <c:v>489.40200000000004</c:v>
                </c:pt>
                <c:pt idx="216">
                  <c:v>489.40200000000004</c:v>
                </c:pt>
                <c:pt idx="217">
                  <c:v>489.40800000000002</c:v>
                </c:pt>
                <c:pt idx="218">
                  <c:v>489.40900000000005</c:v>
                </c:pt>
                <c:pt idx="219">
                  <c:v>489.40900000000005</c:v>
                </c:pt>
                <c:pt idx="220">
                  <c:v>489.40900000000005</c:v>
                </c:pt>
                <c:pt idx="221">
                  <c:v>489.41500000000002</c:v>
                </c:pt>
                <c:pt idx="222">
                  <c:v>489.41500000000002</c:v>
                </c:pt>
                <c:pt idx="223">
                  <c:v>489.41598000000005</c:v>
                </c:pt>
                <c:pt idx="224">
                  <c:v>489.42200000000003</c:v>
                </c:pt>
                <c:pt idx="225">
                  <c:v>489.41500000000002</c:v>
                </c:pt>
                <c:pt idx="226">
                  <c:v>489.42200000000003</c:v>
                </c:pt>
                <c:pt idx="227">
                  <c:v>489.41500000000002</c:v>
                </c:pt>
                <c:pt idx="228">
                  <c:v>489.42200000000003</c:v>
                </c:pt>
                <c:pt idx="229">
                  <c:v>489.42200000000003</c:v>
                </c:pt>
                <c:pt idx="230">
                  <c:v>489.42200000000003</c:v>
                </c:pt>
                <c:pt idx="231">
                  <c:v>489.42200000000003</c:v>
                </c:pt>
                <c:pt idx="232">
                  <c:v>489.42200000000003</c:v>
                </c:pt>
                <c:pt idx="233">
                  <c:v>489.42100000000005</c:v>
                </c:pt>
                <c:pt idx="234">
                  <c:v>489.42100000000005</c:v>
                </c:pt>
                <c:pt idx="235">
                  <c:v>489.42100000000005</c:v>
                </c:pt>
                <c:pt idx="236">
                  <c:v>489.42100000000005</c:v>
                </c:pt>
                <c:pt idx="237">
                  <c:v>489.42100000000005</c:v>
                </c:pt>
                <c:pt idx="238">
                  <c:v>489.42100000000005</c:v>
                </c:pt>
                <c:pt idx="239">
                  <c:v>489.42100000000005</c:v>
                </c:pt>
                <c:pt idx="240">
                  <c:v>489.42100000000005</c:v>
                </c:pt>
                <c:pt idx="241">
                  <c:v>489.42100000000005</c:v>
                </c:pt>
                <c:pt idx="242">
                  <c:v>489.41500000000002</c:v>
                </c:pt>
                <c:pt idx="243">
                  <c:v>489.42100000000005</c:v>
                </c:pt>
                <c:pt idx="244">
                  <c:v>489.42100000000005</c:v>
                </c:pt>
                <c:pt idx="245">
                  <c:v>489.42200000000003</c:v>
                </c:pt>
                <c:pt idx="246">
                  <c:v>489.42200000000003</c:v>
                </c:pt>
                <c:pt idx="247">
                  <c:v>489.42100000000005</c:v>
                </c:pt>
                <c:pt idx="248">
                  <c:v>489.42200000000003</c:v>
                </c:pt>
                <c:pt idx="249">
                  <c:v>489.42200000000003</c:v>
                </c:pt>
                <c:pt idx="250">
                  <c:v>489.42200000000003</c:v>
                </c:pt>
                <c:pt idx="251">
                  <c:v>489.42200000000003</c:v>
                </c:pt>
                <c:pt idx="252">
                  <c:v>489.42200000000003</c:v>
                </c:pt>
                <c:pt idx="253">
                  <c:v>489.42200000000003</c:v>
                </c:pt>
                <c:pt idx="254">
                  <c:v>489.42200000000003</c:v>
                </c:pt>
                <c:pt idx="255">
                  <c:v>489.42100000000005</c:v>
                </c:pt>
                <c:pt idx="256">
                  <c:v>489.42100000000005</c:v>
                </c:pt>
                <c:pt idx="257">
                  <c:v>489.42200000000003</c:v>
                </c:pt>
                <c:pt idx="258">
                  <c:v>489.41500000000002</c:v>
                </c:pt>
                <c:pt idx="259">
                  <c:v>489.42100000000005</c:v>
                </c:pt>
                <c:pt idx="260">
                  <c:v>489.42100000000005</c:v>
                </c:pt>
                <c:pt idx="261">
                  <c:v>489.42100000000005</c:v>
                </c:pt>
                <c:pt idx="262">
                  <c:v>489.42100000000005</c:v>
                </c:pt>
                <c:pt idx="263">
                  <c:v>489.42100000000005</c:v>
                </c:pt>
                <c:pt idx="264">
                  <c:v>489.42200000000003</c:v>
                </c:pt>
                <c:pt idx="265">
                  <c:v>489.42200000000003</c:v>
                </c:pt>
                <c:pt idx="266">
                  <c:v>489.42200000000003</c:v>
                </c:pt>
                <c:pt idx="267">
                  <c:v>489.41500000000002</c:v>
                </c:pt>
                <c:pt idx="268">
                  <c:v>489.42200000000003</c:v>
                </c:pt>
                <c:pt idx="269">
                  <c:v>489.41500000000002</c:v>
                </c:pt>
                <c:pt idx="270">
                  <c:v>489.42200000000003</c:v>
                </c:pt>
                <c:pt idx="271">
                  <c:v>489.42200000000003</c:v>
                </c:pt>
                <c:pt idx="272">
                  <c:v>489.41500000000002</c:v>
                </c:pt>
                <c:pt idx="273">
                  <c:v>489.41500000000002</c:v>
                </c:pt>
                <c:pt idx="274">
                  <c:v>489.41500000000002</c:v>
                </c:pt>
                <c:pt idx="275">
                  <c:v>489.42200000000003</c:v>
                </c:pt>
                <c:pt idx="276">
                  <c:v>489.42200000000003</c:v>
                </c:pt>
                <c:pt idx="277">
                  <c:v>489.42200000000003</c:v>
                </c:pt>
                <c:pt idx="278">
                  <c:v>489.41500000000002</c:v>
                </c:pt>
                <c:pt idx="279">
                  <c:v>489.41500000000002</c:v>
                </c:pt>
                <c:pt idx="280">
                  <c:v>489.41500000000002</c:v>
                </c:pt>
                <c:pt idx="281">
                  <c:v>489.42100000000005</c:v>
                </c:pt>
                <c:pt idx="282">
                  <c:v>489.42100000000005</c:v>
                </c:pt>
                <c:pt idx="283">
                  <c:v>489.41500000000002</c:v>
                </c:pt>
                <c:pt idx="284">
                  <c:v>489.41500000000002</c:v>
                </c:pt>
                <c:pt idx="285">
                  <c:v>489.41500000000002</c:v>
                </c:pt>
                <c:pt idx="286">
                  <c:v>489.42100000000005</c:v>
                </c:pt>
                <c:pt idx="287">
                  <c:v>489.42100000000005</c:v>
                </c:pt>
                <c:pt idx="288">
                  <c:v>489.41500000000002</c:v>
                </c:pt>
                <c:pt idx="289">
                  <c:v>489.42100000000005</c:v>
                </c:pt>
                <c:pt idx="290">
                  <c:v>489.41500000000002</c:v>
                </c:pt>
                <c:pt idx="291">
                  <c:v>489.42200000000003</c:v>
                </c:pt>
                <c:pt idx="292">
                  <c:v>489.41500000000002</c:v>
                </c:pt>
                <c:pt idx="293">
                  <c:v>489.42200000000003</c:v>
                </c:pt>
                <c:pt idx="294">
                  <c:v>489.41500000000002</c:v>
                </c:pt>
                <c:pt idx="295">
                  <c:v>489.41500000000002</c:v>
                </c:pt>
                <c:pt idx="296">
                  <c:v>489.41500000000002</c:v>
                </c:pt>
                <c:pt idx="297">
                  <c:v>489.41500000000002</c:v>
                </c:pt>
                <c:pt idx="298">
                  <c:v>489.41500000000002</c:v>
                </c:pt>
                <c:pt idx="299">
                  <c:v>489.41500000000002</c:v>
                </c:pt>
                <c:pt idx="300">
                  <c:v>489.41500000000002</c:v>
                </c:pt>
                <c:pt idx="301">
                  <c:v>489.41500000000002</c:v>
                </c:pt>
                <c:pt idx="302">
                  <c:v>489.41500000000002</c:v>
                </c:pt>
                <c:pt idx="303">
                  <c:v>489.42100000000005</c:v>
                </c:pt>
                <c:pt idx="304">
                  <c:v>489.41500000000002</c:v>
                </c:pt>
                <c:pt idx="305">
                  <c:v>489.41500000000002</c:v>
                </c:pt>
                <c:pt idx="306">
                  <c:v>489.41500000000002</c:v>
                </c:pt>
                <c:pt idx="307">
                  <c:v>489.41500000000002</c:v>
                </c:pt>
                <c:pt idx="308">
                  <c:v>489.41500000000002</c:v>
                </c:pt>
                <c:pt idx="309">
                  <c:v>489.41500000000002</c:v>
                </c:pt>
                <c:pt idx="310">
                  <c:v>489.41500000000002</c:v>
                </c:pt>
                <c:pt idx="311">
                  <c:v>489.41500000000002</c:v>
                </c:pt>
                <c:pt idx="312">
                  <c:v>489.40800000000002</c:v>
                </c:pt>
                <c:pt idx="313">
                  <c:v>489.40800000000002</c:v>
                </c:pt>
                <c:pt idx="314">
                  <c:v>489.40800000000002</c:v>
                </c:pt>
                <c:pt idx="315">
                  <c:v>489.40900000000005</c:v>
                </c:pt>
                <c:pt idx="316">
                  <c:v>489.41500000000002</c:v>
                </c:pt>
                <c:pt idx="317">
                  <c:v>489.41500000000002</c:v>
                </c:pt>
                <c:pt idx="318">
                  <c:v>489.40900000000005</c:v>
                </c:pt>
                <c:pt idx="319">
                  <c:v>489.40900000000005</c:v>
                </c:pt>
                <c:pt idx="320">
                  <c:v>489.40900000000005</c:v>
                </c:pt>
                <c:pt idx="321">
                  <c:v>489.40900000000005</c:v>
                </c:pt>
                <c:pt idx="322">
                  <c:v>489.40900000000005</c:v>
                </c:pt>
                <c:pt idx="323">
                  <c:v>489.40200000000004</c:v>
                </c:pt>
                <c:pt idx="324">
                  <c:v>489.40900000000005</c:v>
                </c:pt>
                <c:pt idx="325">
                  <c:v>489.40900000000005</c:v>
                </c:pt>
                <c:pt idx="326">
                  <c:v>489.40200000000004</c:v>
                </c:pt>
                <c:pt idx="327">
                  <c:v>489.40200000000004</c:v>
                </c:pt>
                <c:pt idx="328">
                  <c:v>489.40200000000004</c:v>
                </c:pt>
                <c:pt idx="329">
                  <c:v>489.40200000000004</c:v>
                </c:pt>
                <c:pt idx="330">
                  <c:v>489.40100000000001</c:v>
                </c:pt>
                <c:pt idx="331">
                  <c:v>489.40100000000001</c:v>
                </c:pt>
                <c:pt idx="332">
                  <c:v>489.39600000000002</c:v>
                </c:pt>
                <c:pt idx="333">
                  <c:v>489.39600000000002</c:v>
                </c:pt>
                <c:pt idx="334">
                  <c:v>489.40100000000001</c:v>
                </c:pt>
                <c:pt idx="335">
                  <c:v>489.39600000000002</c:v>
                </c:pt>
                <c:pt idx="336">
                  <c:v>489.39600000000002</c:v>
                </c:pt>
                <c:pt idx="337">
                  <c:v>489.39600000000002</c:v>
                </c:pt>
                <c:pt idx="338">
                  <c:v>489.39600000000002</c:v>
                </c:pt>
                <c:pt idx="339">
                  <c:v>489.39200000000005</c:v>
                </c:pt>
                <c:pt idx="340">
                  <c:v>489.38900000000001</c:v>
                </c:pt>
                <c:pt idx="341">
                  <c:v>489.38900000000001</c:v>
                </c:pt>
                <c:pt idx="342">
                  <c:v>489.38900000000001</c:v>
                </c:pt>
                <c:pt idx="343">
                  <c:v>489.38900000000001</c:v>
                </c:pt>
                <c:pt idx="344">
                  <c:v>489.38900000000001</c:v>
                </c:pt>
                <c:pt idx="345">
                  <c:v>489.38900000000001</c:v>
                </c:pt>
                <c:pt idx="346">
                  <c:v>489.38900000000001</c:v>
                </c:pt>
                <c:pt idx="347">
                  <c:v>489.38900000000001</c:v>
                </c:pt>
                <c:pt idx="348">
                  <c:v>489.38900000000001</c:v>
                </c:pt>
                <c:pt idx="349">
                  <c:v>489.38900000000001</c:v>
                </c:pt>
                <c:pt idx="350">
                  <c:v>489.38300000000004</c:v>
                </c:pt>
                <c:pt idx="351">
                  <c:v>489.38200000000001</c:v>
                </c:pt>
                <c:pt idx="352">
                  <c:v>489.38200000000001</c:v>
                </c:pt>
                <c:pt idx="353">
                  <c:v>489.38200000000001</c:v>
                </c:pt>
                <c:pt idx="354">
                  <c:v>489.38200000000001</c:v>
                </c:pt>
                <c:pt idx="355">
                  <c:v>489.38200000000001</c:v>
                </c:pt>
                <c:pt idx="356">
                  <c:v>489.38200000000001</c:v>
                </c:pt>
                <c:pt idx="357">
                  <c:v>489.375</c:v>
                </c:pt>
                <c:pt idx="358">
                  <c:v>489.375</c:v>
                </c:pt>
                <c:pt idx="359">
                  <c:v>489.375</c:v>
                </c:pt>
                <c:pt idx="360">
                  <c:v>489.375</c:v>
                </c:pt>
                <c:pt idx="361">
                  <c:v>489.375</c:v>
                </c:pt>
                <c:pt idx="362">
                  <c:v>489.375</c:v>
                </c:pt>
                <c:pt idx="363">
                  <c:v>489.375</c:v>
                </c:pt>
                <c:pt idx="364">
                  <c:v>489.375</c:v>
                </c:pt>
                <c:pt idx="365">
                  <c:v>489.375</c:v>
                </c:pt>
                <c:pt idx="366">
                  <c:v>489.37600000000003</c:v>
                </c:pt>
                <c:pt idx="367">
                  <c:v>489.375</c:v>
                </c:pt>
                <c:pt idx="368">
                  <c:v>489.37600000000003</c:v>
                </c:pt>
                <c:pt idx="369">
                  <c:v>489.375</c:v>
                </c:pt>
                <c:pt idx="370">
                  <c:v>489.37600000000003</c:v>
                </c:pt>
                <c:pt idx="371">
                  <c:v>489.37600000000003</c:v>
                </c:pt>
                <c:pt idx="372">
                  <c:v>489.36900000000003</c:v>
                </c:pt>
                <c:pt idx="373">
                  <c:v>489.37600000000003</c:v>
                </c:pt>
                <c:pt idx="374">
                  <c:v>489.38900000000001</c:v>
                </c:pt>
                <c:pt idx="375">
                  <c:v>489.38900000000001</c:v>
                </c:pt>
                <c:pt idx="376">
                  <c:v>489.39600000000002</c:v>
                </c:pt>
                <c:pt idx="377">
                  <c:v>489.39600000000002</c:v>
                </c:pt>
                <c:pt idx="378">
                  <c:v>489.40100000000001</c:v>
                </c:pt>
                <c:pt idx="379">
                  <c:v>489.40200000000004</c:v>
                </c:pt>
                <c:pt idx="380">
                  <c:v>489.40100000000001</c:v>
                </c:pt>
                <c:pt idx="381">
                  <c:v>489.40900000000005</c:v>
                </c:pt>
                <c:pt idx="382">
                  <c:v>489.41500000000002</c:v>
                </c:pt>
                <c:pt idx="383">
                  <c:v>489.41500000000002</c:v>
                </c:pt>
                <c:pt idx="384">
                  <c:v>489.41500000000002</c:v>
                </c:pt>
                <c:pt idx="385">
                  <c:v>489.41500000000002</c:v>
                </c:pt>
                <c:pt idx="386">
                  <c:v>489.42200000000003</c:v>
                </c:pt>
                <c:pt idx="387">
                  <c:v>489.42200000000003</c:v>
                </c:pt>
                <c:pt idx="388">
                  <c:v>489.42200000000003</c:v>
                </c:pt>
                <c:pt idx="389">
                  <c:v>489.42100000000005</c:v>
                </c:pt>
                <c:pt idx="390">
                  <c:v>489.42200000000003</c:v>
                </c:pt>
                <c:pt idx="391">
                  <c:v>489.42800000000005</c:v>
                </c:pt>
                <c:pt idx="392">
                  <c:v>489.43400000000003</c:v>
                </c:pt>
                <c:pt idx="393">
                  <c:v>489.42898000000002</c:v>
                </c:pt>
                <c:pt idx="394">
                  <c:v>489.43400000000003</c:v>
                </c:pt>
                <c:pt idx="395">
                  <c:v>489.43400000000003</c:v>
                </c:pt>
                <c:pt idx="396">
                  <c:v>489.43400000000003</c:v>
                </c:pt>
                <c:pt idx="397">
                  <c:v>489.43400000000003</c:v>
                </c:pt>
                <c:pt idx="398">
                  <c:v>489.43400000000003</c:v>
                </c:pt>
                <c:pt idx="399">
                  <c:v>489.43298000000004</c:v>
                </c:pt>
                <c:pt idx="400">
                  <c:v>489.43298000000004</c:v>
                </c:pt>
                <c:pt idx="401">
                  <c:v>489.43298000000004</c:v>
                </c:pt>
                <c:pt idx="402">
                  <c:v>489.43298000000004</c:v>
                </c:pt>
                <c:pt idx="403">
                  <c:v>489.43298000000004</c:v>
                </c:pt>
                <c:pt idx="404">
                  <c:v>489.43298000000004</c:v>
                </c:pt>
                <c:pt idx="405">
                  <c:v>489.43298000000004</c:v>
                </c:pt>
                <c:pt idx="406">
                  <c:v>489.43298000000004</c:v>
                </c:pt>
                <c:pt idx="407">
                  <c:v>489.43298000000004</c:v>
                </c:pt>
                <c:pt idx="408">
                  <c:v>489.43298000000004</c:v>
                </c:pt>
                <c:pt idx="409">
                  <c:v>489.43298000000004</c:v>
                </c:pt>
                <c:pt idx="410">
                  <c:v>489.43298000000004</c:v>
                </c:pt>
                <c:pt idx="411">
                  <c:v>489.42898000000002</c:v>
                </c:pt>
                <c:pt idx="412">
                  <c:v>489.43298000000004</c:v>
                </c:pt>
                <c:pt idx="413">
                  <c:v>489.42800000000005</c:v>
                </c:pt>
                <c:pt idx="414">
                  <c:v>489.42800000000005</c:v>
                </c:pt>
                <c:pt idx="415">
                  <c:v>489.42800000000005</c:v>
                </c:pt>
                <c:pt idx="416">
                  <c:v>489.42800000000005</c:v>
                </c:pt>
                <c:pt idx="417">
                  <c:v>489.42800000000005</c:v>
                </c:pt>
                <c:pt idx="418">
                  <c:v>489.42800000000005</c:v>
                </c:pt>
                <c:pt idx="419">
                  <c:v>489.42800000000005</c:v>
                </c:pt>
                <c:pt idx="420">
                  <c:v>489.42898000000002</c:v>
                </c:pt>
                <c:pt idx="421">
                  <c:v>489.42800000000005</c:v>
                </c:pt>
                <c:pt idx="422">
                  <c:v>489.42700000000002</c:v>
                </c:pt>
                <c:pt idx="423">
                  <c:v>489.42800000000005</c:v>
                </c:pt>
                <c:pt idx="424">
                  <c:v>489.42700000000002</c:v>
                </c:pt>
                <c:pt idx="425">
                  <c:v>489.42700000000002</c:v>
                </c:pt>
                <c:pt idx="426">
                  <c:v>489.42800000000005</c:v>
                </c:pt>
                <c:pt idx="427">
                  <c:v>489.42700000000002</c:v>
                </c:pt>
                <c:pt idx="428">
                  <c:v>489.42700000000002</c:v>
                </c:pt>
                <c:pt idx="429">
                  <c:v>489.42700000000002</c:v>
                </c:pt>
                <c:pt idx="430">
                  <c:v>489.42800000000005</c:v>
                </c:pt>
                <c:pt idx="431">
                  <c:v>489.42100000000005</c:v>
                </c:pt>
                <c:pt idx="432">
                  <c:v>489.42100000000005</c:v>
                </c:pt>
                <c:pt idx="433">
                  <c:v>489.42200000000003</c:v>
                </c:pt>
                <c:pt idx="434">
                  <c:v>489.42200000000003</c:v>
                </c:pt>
                <c:pt idx="435">
                  <c:v>489.42200000000003</c:v>
                </c:pt>
                <c:pt idx="436">
                  <c:v>489.42200000000003</c:v>
                </c:pt>
                <c:pt idx="437">
                  <c:v>489.42200000000003</c:v>
                </c:pt>
                <c:pt idx="438">
                  <c:v>489.42200000000003</c:v>
                </c:pt>
                <c:pt idx="439">
                  <c:v>489.42200000000003</c:v>
                </c:pt>
                <c:pt idx="440">
                  <c:v>489.42200000000003</c:v>
                </c:pt>
                <c:pt idx="441">
                  <c:v>489.42200000000003</c:v>
                </c:pt>
                <c:pt idx="442">
                  <c:v>489.42200000000003</c:v>
                </c:pt>
                <c:pt idx="443">
                  <c:v>489.41500000000002</c:v>
                </c:pt>
                <c:pt idx="444">
                  <c:v>489.41500000000002</c:v>
                </c:pt>
                <c:pt idx="445">
                  <c:v>489.41500000000002</c:v>
                </c:pt>
                <c:pt idx="446">
                  <c:v>489.41500000000002</c:v>
                </c:pt>
                <c:pt idx="447">
                  <c:v>489.41500000000002</c:v>
                </c:pt>
                <c:pt idx="448">
                  <c:v>489.41500000000002</c:v>
                </c:pt>
                <c:pt idx="449">
                  <c:v>489.41500000000002</c:v>
                </c:pt>
                <c:pt idx="450">
                  <c:v>489.41500000000002</c:v>
                </c:pt>
                <c:pt idx="451">
                  <c:v>489.41500000000002</c:v>
                </c:pt>
                <c:pt idx="452">
                  <c:v>489.41500000000002</c:v>
                </c:pt>
                <c:pt idx="453">
                  <c:v>489.40800000000002</c:v>
                </c:pt>
                <c:pt idx="454">
                  <c:v>489.40200000000004</c:v>
                </c:pt>
                <c:pt idx="455">
                  <c:v>489.40900000000005</c:v>
                </c:pt>
                <c:pt idx="456">
                  <c:v>489.40900000000005</c:v>
                </c:pt>
                <c:pt idx="457">
                  <c:v>489.40900000000005</c:v>
                </c:pt>
                <c:pt idx="458">
                  <c:v>489.40800000000002</c:v>
                </c:pt>
                <c:pt idx="459">
                  <c:v>489.40900000000005</c:v>
                </c:pt>
                <c:pt idx="460">
                  <c:v>489.447</c:v>
                </c:pt>
                <c:pt idx="461">
                  <c:v>489.48498000000001</c:v>
                </c:pt>
                <c:pt idx="462">
                  <c:v>489.59500000000003</c:v>
                </c:pt>
                <c:pt idx="463">
                  <c:v>489.66598000000005</c:v>
                </c:pt>
                <c:pt idx="464">
                  <c:v>489.69100000000003</c:v>
                </c:pt>
                <c:pt idx="465">
                  <c:v>489.69800000000004</c:v>
                </c:pt>
                <c:pt idx="466">
                  <c:v>489.70500000000004</c:v>
                </c:pt>
                <c:pt idx="467">
                  <c:v>489.70500000000004</c:v>
                </c:pt>
                <c:pt idx="468">
                  <c:v>489.70500000000004</c:v>
                </c:pt>
                <c:pt idx="469">
                  <c:v>489.69800000000004</c:v>
                </c:pt>
                <c:pt idx="470">
                  <c:v>489.69800000000004</c:v>
                </c:pt>
                <c:pt idx="471">
                  <c:v>489.69100000000003</c:v>
                </c:pt>
                <c:pt idx="472">
                  <c:v>489.69100000000003</c:v>
                </c:pt>
                <c:pt idx="473">
                  <c:v>489.68700000000001</c:v>
                </c:pt>
                <c:pt idx="474">
                  <c:v>489.68400000000003</c:v>
                </c:pt>
                <c:pt idx="475">
                  <c:v>489.67800000000005</c:v>
                </c:pt>
                <c:pt idx="476">
                  <c:v>489.67100000000005</c:v>
                </c:pt>
                <c:pt idx="477">
                  <c:v>489.66500000000002</c:v>
                </c:pt>
                <c:pt idx="478">
                  <c:v>489.66500000000002</c:v>
                </c:pt>
                <c:pt idx="479">
                  <c:v>489.65800000000002</c:v>
                </c:pt>
                <c:pt idx="480">
                  <c:v>489.65200000000004</c:v>
                </c:pt>
                <c:pt idx="481">
                  <c:v>489.64600000000002</c:v>
                </c:pt>
                <c:pt idx="482">
                  <c:v>489.64600000000002</c:v>
                </c:pt>
                <c:pt idx="483">
                  <c:v>489.64600000000002</c:v>
                </c:pt>
                <c:pt idx="484">
                  <c:v>489.63900000000001</c:v>
                </c:pt>
                <c:pt idx="485">
                  <c:v>489.63400000000001</c:v>
                </c:pt>
                <c:pt idx="486">
                  <c:v>489.62800000000004</c:v>
                </c:pt>
                <c:pt idx="487">
                  <c:v>489.62800000000004</c:v>
                </c:pt>
                <c:pt idx="488">
                  <c:v>489.62100000000004</c:v>
                </c:pt>
                <c:pt idx="489">
                  <c:v>489.62100000000004</c:v>
                </c:pt>
                <c:pt idx="490">
                  <c:v>489.61400000000003</c:v>
                </c:pt>
                <c:pt idx="491">
                  <c:v>489.608</c:v>
                </c:pt>
                <c:pt idx="492">
                  <c:v>489.608</c:v>
                </c:pt>
                <c:pt idx="493">
                  <c:v>489.608</c:v>
                </c:pt>
                <c:pt idx="494">
                  <c:v>489.60200000000003</c:v>
                </c:pt>
                <c:pt idx="495">
                  <c:v>489.60200000000003</c:v>
                </c:pt>
                <c:pt idx="496">
                  <c:v>489.59500000000003</c:v>
                </c:pt>
                <c:pt idx="497">
                  <c:v>489.59500000000003</c:v>
                </c:pt>
                <c:pt idx="498">
                  <c:v>489.59500000000003</c:v>
                </c:pt>
                <c:pt idx="499">
                  <c:v>489.58800000000002</c:v>
                </c:pt>
                <c:pt idx="500">
                  <c:v>489.58800000000002</c:v>
                </c:pt>
                <c:pt idx="501">
                  <c:v>489.58100000000002</c:v>
                </c:pt>
                <c:pt idx="502">
                  <c:v>489.58100000000002</c:v>
                </c:pt>
                <c:pt idx="503">
                  <c:v>489.57500000000005</c:v>
                </c:pt>
                <c:pt idx="504">
                  <c:v>489.57500000000005</c:v>
                </c:pt>
                <c:pt idx="505">
                  <c:v>489.57500000000005</c:v>
                </c:pt>
                <c:pt idx="506">
                  <c:v>489.56800000000004</c:v>
                </c:pt>
                <c:pt idx="507">
                  <c:v>489.56200000000001</c:v>
                </c:pt>
                <c:pt idx="508">
                  <c:v>489.56200000000001</c:v>
                </c:pt>
                <c:pt idx="509">
                  <c:v>489.55600000000004</c:v>
                </c:pt>
                <c:pt idx="510">
                  <c:v>489.55600000000004</c:v>
                </c:pt>
                <c:pt idx="511">
                  <c:v>489.55600000000004</c:v>
                </c:pt>
                <c:pt idx="512">
                  <c:v>489.55600000000004</c:v>
                </c:pt>
                <c:pt idx="513">
                  <c:v>489.55600000000004</c:v>
                </c:pt>
                <c:pt idx="514">
                  <c:v>489.55</c:v>
                </c:pt>
                <c:pt idx="515">
                  <c:v>489.55</c:v>
                </c:pt>
                <c:pt idx="516">
                  <c:v>489.54300000000001</c:v>
                </c:pt>
                <c:pt idx="517">
                  <c:v>489.54300000000001</c:v>
                </c:pt>
                <c:pt idx="518">
                  <c:v>489.536</c:v>
                </c:pt>
                <c:pt idx="519">
                  <c:v>489.53700000000003</c:v>
                </c:pt>
                <c:pt idx="520">
                  <c:v>489.53700000000003</c:v>
                </c:pt>
                <c:pt idx="521">
                  <c:v>489.536</c:v>
                </c:pt>
                <c:pt idx="522">
                  <c:v>489.53000000000003</c:v>
                </c:pt>
                <c:pt idx="523">
                  <c:v>489.524</c:v>
                </c:pt>
                <c:pt idx="524">
                  <c:v>489.524</c:v>
                </c:pt>
                <c:pt idx="525">
                  <c:v>489.524</c:v>
                </c:pt>
                <c:pt idx="526">
                  <c:v>489.51700000000005</c:v>
                </c:pt>
                <c:pt idx="527">
                  <c:v>489.52500000000003</c:v>
                </c:pt>
                <c:pt idx="528">
                  <c:v>489.51800000000003</c:v>
                </c:pt>
                <c:pt idx="529">
                  <c:v>489.51100000000002</c:v>
                </c:pt>
                <c:pt idx="530">
                  <c:v>489.51100000000002</c:v>
                </c:pt>
                <c:pt idx="531">
                  <c:v>489.51100000000002</c:v>
                </c:pt>
                <c:pt idx="532">
                  <c:v>489.51100000000002</c:v>
                </c:pt>
                <c:pt idx="533">
                  <c:v>489.50500000000005</c:v>
                </c:pt>
                <c:pt idx="534">
                  <c:v>489.50500000000005</c:v>
                </c:pt>
                <c:pt idx="535">
                  <c:v>489.50500000000005</c:v>
                </c:pt>
                <c:pt idx="536">
                  <c:v>489.50500000000005</c:v>
                </c:pt>
                <c:pt idx="537">
                  <c:v>489.49900000000002</c:v>
                </c:pt>
                <c:pt idx="538">
                  <c:v>489.49900000000002</c:v>
                </c:pt>
                <c:pt idx="539">
                  <c:v>489.49900000000002</c:v>
                </c:pt>
                <c:pt idx="540">
                  <c:v>489.49200000000002</c:v>
                </c:pt>
                <c:pt idx="541">
                  <c:v>489.49300000000005</c:v>
                </c:pt>
                <c:pt idx="542">
                  <c:v>489.49200000000002</c:v>
                </c:pt>
                <c:pt idx="543">
                  <c:v>489.48498000000001</c:v>
                </c:pt>
                <c:pt idx="544">
                  <c:v>489.48498000000001</c:v>
                </c:pt>
                <c:pt idx="545">
                  <c:v>489.48400000000004</c:v>
                </c:pt>
                <c:pt idx="546">
                  <c:v>489.48498000000001</c:v>
                </c:pt>
                <c:pt idx="547">
                  <c:v>489.48498000000001</c:v>
                </c:pt>
                <c:pt idx="548">
                  <c:v>489.48498000000001</c:v>
                </c:pt>
                <c:pt idx="549">
                  <c:v>489.48498000000001</c:v>
                </c:pt>
                <c:pt idx="550">
                  <c:v>489.48498000000001</c:v>
                </c:pt>
                <c:pt idx="551">
                  <c:v>489.47800000000001</c:v>
                </c:pt>
                <c:pt idx="552">
                  <c:v>489.47900000000004</c:v>
                </c:pt>
                <c:pt idx="553">
                  <c:v>489.47198000000003</c:v>
                </c:pt>
                <c:pt idx="554">
                  <c:v>489.47198000000003</c:v>
                </c:pt>
                <c:pt idx="555">
                  <c:v>489.47198000000003</c:v>
                </c:pt>
                <c:pt idx="556">
                  <c:v>489.46500000000003</c:v>
                </c:pt>
                <c:pt idx="557">
                  <c:v>489.46500000000003</c:v>
                </c:pt>
                <c:pt idx="558">
                  <c:v>489.46500000000003</c:v>
                </c:pt>
                <c:pt idx="559">
                  <c:v>489.46500000000003</c:v>
                </c:pt>
                <c:pt idx="560">
                  <c:v>489.46500000000003</c:v>
                </c:pt>
                <c:pt idx="561">
                  <c:v>489.46500000000003</c:v>
                </c:pt>
                <c:pt idx="562">
                  <c:v>489.46000000000004</c:v>
                </c:pt>
                <c:pt idx="563">
                  <c:v>489.46000000000004</c:v>
                </c:pt>
                <c:pt idx="564">
                  <c:v>489.45300000000003</c:v>
                </c:pt>
                <c:pt idx="565">
                  <c:v>489.45300000000003</c:v>
                </c:pt>
                <c:pt idx="566">
                  <c:v>489.45300000000003</c:v>
                </c:pt>
                <c:pt idx="567">
                  <c:v>489.46000000000004</c:v>
                </c:pt>
                <c:pt idx="568">
                  <c:v>489.46600000000001</c:v>
                </c:pt>
                <c:pt idx="569">
                  <c:v>489.46500000000003</c:v>
                </c:pt>
                <c:pt idx="570">
                  <c:v>489.47198000000003</c:v>
                </c:pt>
                <c:pt idx="571">
                  <c:v>489.471</c:v>
                </c:pt>
                <c:pt idx="572">
                  <c:v>489.47198000000003</c:v>
                </c:pt>
                <c:pt idx="573">
                  <c:v>489.471</c:v>
                </c:pt>
                <c:pt idx="574">
                  <c:v>489.47198000000003</c:v>
                </c:pt>
                <c:pt idx="575">
                  <c:v>489.47198000000003</c:v>
                </c:pt>
                <c:pt idx="576">
                  <c:v>489.47198000000003</c:v>
                </c:pt>
                <c:pt idx="577">
                  <c:v>489.46500000000003</c:v>
                </c:pt>
                <c:pt idx="578">
                  <c:v>489.46500000000003</c:v>
                </c:pt>
                <c:pt idx="579">
                  <c:v>489.46000000000004</c:v>
                </c:pt>
                <c:pt idx="580">
                  <c:v>489.46000000000004</c:v>
                </c:pt>
                <c:pt idx="581">
                  <c:v>489.45898000000005</c:v>
                </c:pt>
                <c:pt idx="582">
                  <c:v>489.46000000000004</c:v>
                </c:pt>
                <c:pt idx="583">
                  <c:v>489.46000000000004</c:v>
                </c:pt>
                <c:pt idx="584">
                  <c:v>489.46000000000004</c:v>
                </c:pt>
                <c:pt idx="585">
                  <c:v>489.46000000000004</c:v>
                </c:pt>
                <c:pt idx="586">
                  <c:v>489.46000000000004</c:v>
                </c:pt>
                <c:pt idx="587">
                  <c:v>489.45300000000003</c:v>
                </c:pt>
                <c:pt idx="588">
                  <c:v>489.45300000000003</c:v>
                </c:pt>
                <c:pt idx="589">
                  <c:v>489.45300000000003</c:v>
                </c:pt>
                <c:pt idx="590">
                  <c:v>489.45300000000003</c:v>
                </c:pt>
                <c:pt idx="591">
                  <c:v>489.45300000000003</c:v>
                </c:pt>
                <c:pt idx="592">
                  <c:v>489.45200000000006</c:v>
                </c:pt>
                <c:pt idx="593">
                  <c:v>489.45200000000006</c:v>
                </c:pt>
                <c:pt idx="594">
                  <c:v>489.45200000000006</c:v>
                </c:pt>
                <c:pt idx="595">
                  <c:v>489.45200000000006</c:v>
                </c:pt>
                <c:pt idx="596">
                  <c:v>489.45200000000006</c:v>
                </c:pt>
                <c:pt idx="597">
                  <c:v>489.447</c:v>
                </c:pt>
                <c:pt idx="598">
                  <c:v>489.447</c:v>
                </c:pt>
                <c:pt idx="599">
                  <c:v>489.447</c:v>
                </c:pt>
                <c:pt idx="600">
                  <c:v>489.447</c:v>
                </c:pt>
                <c:pt idx="601">
                  <c:v>489.447</c:v>
                </c:pt>
                <c:pt idx="602">
                  <c:v>489.44000000000005</c:v>
                </c:pt>
                <c:pt idx="603">
                  <c:v>489.447</c:v>
                </c:pt>
                <c:pt idx="604">
                  <c:v>489.44000000000005</c:v>
                </c:pt>
                <c:pt idx="605">
                  <c:v>489.44000000000005</c:v>
                </c:pt>
                <c:pt idx="606">
                  <c:v>489.44000000000005</c:v>
                </c:pt>
                <c:pt idx="607">
                  <c:v>489.43298000000004</c:v>
                </c:pt>
                <c:pt idx="608">
                  <c:v>489.44000000000005</c:v>
                </c:pt>
                <c:pt idx="609">
                  <c:v>489.43400000000003</c:v>
                </c:pt>
                <c:pt idx="610">
                  <c:v>489.43400000000003</c:v>
                </c:pt>
                <c:pt idx="611">
                  <c:v>489.43298000000004</c:v>
                </c:pt>
                <c:pt idx="612">
                  <c:v>489.43400000000003</c:v>
                </c:pt>
                <c:pt idx="613">
                  <c:v>489.43400000000003</c:v>
                </c:pt>
                <c:pt idx="614">
                  <c:v>489.42800000000005</c:v>
                </c:pt>
                <c:pt idx="615">
                  <c:v>489.42800000000005</c:v>
                </c:pt>
                <c:pt idx="616">
                  <c:v>489.42800000000005</c:v>
                </c:pt>
                <c:pt idx="617">
                  <c:v>489.42800000000005</c:v>
                </c:pt>
                <c:pt idx="618">
                  <c:v>489.42800000000005</c:v>
                </c:pt>
                <c:pt idx="619">
                  <c:v>489.42800000000005</c:v>
                </c:pt>
                <c:pt idx="620">
                  <c:v>489.43298000000004</c:v>
                </c:pt>
                <c:pt idx="621">
                  <c:v>489.43400000000003</c:v>
                </c:pt>
                <c:pt idx="622">
                  <c:v>489.43400000000003</c:v>
                </c:pt>
                <c:pt idx="623">
                  <c:v>489.43400000000003</c:v>
                </c:pt>
                <c:pt idx="624">
                  <c:v>489.44000000000005</c:v>
                </c:pt>
                <c:pt idx="625">
                  <c:v>489.44000000000005</c:v>
                </c:pt>
                <c:pt idx="626">
                  <c:v>489.43400000000003</c:v>
                </c:pt>
                <c:pt idx="627">
                  <c:v>489.44100000000003</c:v>
                </c:pt>
                <c:pt idx="628">
                  <c:v>489.44100000000003</c:v>
                </c:pt>
                <c:pt idx="629">
                  <c:v>489.44100000000003</c:v>
                </c:pt>
                <c:pt idx="630">
                  <c:v>489.447</c:v>
                </c:pt>
                <c:pt idx="631">
                  <c:v>489.447</c:v>
                </c:pt>
                <c:pt idx="632">
                  <c:v>489.447</c:v>
                </c:pt>
                <c:pt idx="633">
                  <c:v>489.46000000000004</c:v>
                </c:pt>
                <c:pt idx="634">
                  <c:v>489.47900000000004</c:v>
                </c:pt>
                <c:pt idx="635">
                  <c:v>489.50500000000005</c:v>
                </c:pt>
                <c:pt idx="636">
                  <c:v>489.55700000000002</c:v>
                </c:pt>
                <c:pt idx="637">
                  <c:v>489.64600000000002</c:v>
                </c:pt>
                <c:pt idx="638">
                  <c:v>489.72500000000002</c:v>
                </c:pt>
                <c:pt idx="639">
                  <c:v>489.82098000000002</c:v>
                </c:pt>
                <c:pt idx="640">
                  <c:v>489.91300000000001</c:v>
                </c:pt>
                <c:pt idx="641">
                  <c:v>489.971</c:v>
                </c:pt>
                <c:pt idx="642">
                  <c:v>490.00300000000004</c:v>
                </c:pt>
                <c:pt idx="643">
                  <c:v>490.01700000000005</c:v>
                </c:pt>
                <c:pt idx="644">
                  <c:v>490.01000000000005</c:v>
                </c:pt>
                <c:pt idx="645">
                  <c:v>490.00300000000004</c:v>
                </c:pt>
                <c:pt idx="646">
                  <c:v>489.99600000000004</c:v>
                </c:pt>
                <c:pt idx="647">
                  <c:v>489.97700000000003</c:v>
                </c:pt>
                <c:pt idx="648">
                  <c:v>489.96400000000006</c:v>
                </c:pt>
                <c:pt idx="649">
                  <c:v>489.95200000000006</c:v>
                </c:pt>
                <c:pt idx="650">
                  <c:v>489.93298000000004</c:v>
                </c:pt>
                <c:pt idx="651">
                  <c:v>489.91300000000001</c:v>
                </c:pt>
                <c:pt idx="652">
                  <c:v>489.899</c:v>
                </c:pt>
                <c:pt idx="653">
                  <c:v>489.88600000000002</c:v>
                </c:pt>
                <c:pt idx="654">
                  <c:v>489.86700000000002</c:v>
                </c:pt>
                <c:pt idx="655">
                  <c:v>489.85400000000004</c:v>
                </c:pt>
                <c:pt idx="656">
                  <c:v>489.84100000000001</c:v>
                </c:pt>
                <c:pt idx="657">
                  <c:v>489.83500000000004</c:v>
                </c:pt>
                <c:pt idx="658">
                  <c:v>489.82098000000002</c:v>
                </c:pt>
                <c:pt idx="659">
                  <c:v>489.80900000000003</c:v>
                </c:pt>
                <c:pt idx="660">
                  <c:v>489.80200000000002</c:v>
                </c:pt>
                <c:pt idx="661">
                  <c:v>489.78800000000001</c:v>
                </c:pt>
                <c:pt idx="662">
                  <c:v>489.78100000000001</c:v>
                </c:pt>
                <c:pt idx="663">
                  <c:v>489.76800000000003</c:v>
                </c:pt>
                <c:pt idx="664">
                  <c:v>489.762</c:v>
                </c:pt>
                <c:pt idx="665">
                  <c:v>489.75500000000005</c:v>
                </c:pt>
                <c:pt idx="666">
                  <c:v>489.74200000000002</c:v>
                </c:pt>
                <c:pt idx="667">
                  <c:v>489.73600000000005</c:v>
                </c:pt>
                <c:pt idx="668">
                  <c:v>489.73</c:v>
                </c:pt>
                <c:pt idx="669">
                  <c:v>489.72500000000002</c:v>
                </c:pt>
                <c:pt idx="670">
                  <c:v>489.72400000000005</c:v>
                </c:pt>
                <c:pt idx="671">
                  <c:v>489.71700000000004</c:v>
                </c:pt>
                <c:pt idx="672">
                  <c:v>489.71700000000004</c:v>
                </c:pt>
                <c:pt idx="673">
                  <c:v>489.71100000000001</c:v>
                </c:pt>
                <c:pt idx="674">
                  <c:v>489.70400000000001</c:v>
                </c:pt>
                <c:pt idx="675">
                  <c:v>489.69800000000004</c:v>
                </c:pt>
                <c:pt idx="676">
                  <c:v>489.69800000000004</c:v>
                </c:pt>
                <c:pt idx="677">
                  <c:v>489.69100000000003</c:v>
                </c:pt>
                <c:pt idx="678">
                  <c:v>489.68400000000003</c:v>
                </c:pt>
                <c:pt idx="679">
                  <c:v>489.68400000000003</c:v>
                </c:pt>
                <c:pt idx="680">
                  <c:v>489.67800000000005</c:v>
                </c:pt>
                <c:pt idx="681">
                  <c:v>489.67100000000005</c:v>
                </c:pt>
                <c:pt idx="682">
                  <c:v>489.67100000000005</c:v>
                </c:pt>
                <c:pt idx="683">
                  <c:v>489.67100000000005</c:v>
                </c:pt>
                <c:pt idx="684">
                  <c:v>489.66598000000005</c:v>
                </c:pt>
                <c:pt idx="685">
                  <c:v>489.66598000000005</c:v>
                </c:pt>
                <c:pt idx="686">
                  <c:v>489.66598000000005</c:v>
                </c:pt>
                <c:pt idx="687">
                  <c:v>489.66500000000002</c:v>
                </c:pt>
                <c:pt idx="688">
                  <c:v>489.65800000000002</c:v>
                </c:pt>
                <c:pt idx="689">
                  <c:v>489.65800000000002</c:v>
                </c:pt>
                <c:pt idx="690">
                  <c:v>489.65200000000004</c:v>
                </c:pt>
                <c:pt idx="691">
                  <c:v>489.65200000000004</c:v>
                </c:pt>
                <c:pt idx="692">
                  <c:v>489.64500000000004</c:v>
                </c:pt>
                <c:pt idx="693">
                  <c:v>489.63900000000001</c:v>
                </c:pt>
                <c:pt idx="694">
                  <c:v>489.63900000000001</c:v>
                </c:pt>
                <c:pt idx="695">
                  <c:v>489.63900000000001</c:v>
                </c:pt>
                <c:pt idx="696">
                  <c:v>489.63900000000001</c:v>
                </c:pt>
                <c:pt idx="697">
                  <c:v>489.63300000000004</c:v>
                </c:pt>
                <c:pt idx="698">
                  <c:v>489.63300000000004</c:v>
                </c:pt>
                <c:pt idx="699">
                  <c:v>489.63400000000001</c:v>
                </c:pt>
                <c:pt idx="700">
                  <c:v>489.62698</c:v>
                </c:pt>
                <c:pt idx="701">
                  <c:v>489.63400000000001</c:v>
                </c:pt>
                <c:pt idx="702">
                  <c:v>489.62698</c:v>
                </c:pt>
                <c:pt idx="703">
                  <c:v>489.62800000000004</c:v>
                </c:pt>
                <c:pt idx="704">
                  <c:v>489.62800000000004</c:v>
                </c:pt>
                <c:pt idx="705">
                  <c:v>489.62800000000004</c:v>
                </c:pt>
                <c:pt idx="706">
                  <c:v>489.62100000000004</c:v>
                </c:pt>
                <c:pt idx="707">
                  <c:v>489.62100000000004</c:v>
                </c:pt>
                <c:pt idx="708">
                  <c:v>489.62100000000004</c:v>
                </c:pt>
                <c:pt idx="709">
                  <c:v>489.61400000000003</c:v>
                </c:pt>
                <c:pt idx="710">
                  <c:v>489.62100000000004</c:v>
                </c:pt>
                <c:pt idx="711">
                  <c:v>489.61400000000003</c:v>
                </c:pt>
                <c:pt idx="712">
                  <c:v>489.61400000000003</c:v>
                </c:pt>
                <c:pt idx="713">
                  <c:v>489.61400000000003</c:v>
                </c:pt>
                <c:pt idx="714">
                  <c:v>489.60700000000003</c:v>
                </c:pt>
                <c:pt idx="715">
                  <c:v>489.60700000000003</c:v>
                </c:pt>
                <c:pt idx="716">
                  <c:v>489.601</c:v>
                </c:pt>
                <c:pt idx="717">
                  <c:v>489.60700000000003</c:v>
                </c:pt>
                <c:pt idx="718">
                  <c:v>489.601</c:v>
                </c:pt>
                <c:pt idx="719">
                  <c:v>489.601</c:v>
                </c:pt>
                <c:pt idx="720">
                  <c:v>489.601</c:v>
                </c:pt>
                <c:pt idx="721">
                  <c:v>489.59400000000005</c:v>
                </c:pt>
                <c:pt idx="722">
                  <c:v>489.59400000000005</c:v>
                </c:pt>
                <c:pt idx="723">
                  <c:v>489.59400000000005</c:v>
                </c:pt>
                <c:pt idx="724">
                  <c:v>489.58800000000002</c:v>
                </c:pt>
                <c:pt idx="725">
                  <c:v>489.58800000000002</c:v>
                </c:pt>
                <c:pt idx="726">
                  <c:v>489.58800000000002</c:v>
                </c:pt>
                <c:pt idx="727">
                  <c:v>489.58800000000002</c:v>
                </c:pt>
                <c:pt idx="728">
                  <c:v>489.58800000000002</c:v>
                </c:pt>
                <c:pt idx="729">
                  <c:v>489.58100000000002</c:v>
                </c:pt>
                <c:pt idx="730">
                  <c:v>489.58100000000002</c:v>
                </c:pt>
                <c:pt idx="731">
                  <c:v>489.58100000000002</c:v>
                </c:pt>
                <c:pt idx="732">
                  <c:v>489.58100000000002</c:v>
                </c:pt>
                <c:pt idx="733">
                  <c:v>489.57500000000005</c:v>
                </c:pt>
                <c:pt idx="734">
                  <c:v>489.58100000000002</c:v>
                </c:pt>
                <c:pt idx="735">
                  <c:v>489.58100000000002</c:v>
                </c:pt>
                <c:pt idx="736">
                  <c:v>489.57500000000005</c:v>
                </c:pt>
                <c:pt idx="737">
                  <c:v>489.57400000000001</c:v>
                </c:pt>
                <c:pt idx="738">
                  <c:v>489.57500000000005</c:v>
                </c:pt>
                <c:pt idx="739">
                  <c:v>489.56800000000004</c:v>
                </c:pt>
                <c:pt idx="740">
                  <c:v>489.56800000000004</c:v>
                </c:pt>
                <c:pt idx="741">
                  <c:v>489.56800000000004</c:v>
                </c:pt>
                <c:pt idx="742">
                  <c:v>489.59500000000003</c:v>
                </c:pt>
                <c:pt idx="743">
                  <c:v>489.65200000000004</c:v>
                </c:pt>
                <c:pt idx="744">
                  <c:v>489.71700000000004</c:v>
                </c:pt>
                <c:pt idx="745">
                  <c:v>489.74300000000005</c:v>
                </c:pt>
                <c:pt idx="746">
                  <c:v>489.762</c:v>
                </c:pt>
                <c:pt idx="747">
                  <c:v>489.76600000000002</c:v>
                </c:pt>
                <c:pt idx="748">
                  <c:v>489.77500000000003</c:v>
                </c:pt>
                <c:pt idx="749">
                  <c:v>489.76900000000001</c:v>
                </c:pt>
                <c:pt idx="750">
                  <c:v>489.76800000000003</c:v>
                </c:pt>
                <c:pt idx="751">
                  <c:v>489.76900000000001</c:v>
                </c:pt>
                <c:pt idx="752">
                  <c:v>489.76800000000003</c:v>
                </c:pt>
                <c:pt idx="753">
                  <c:v>489.76800000000003</c:v>
                </c:pt>
                <c:pt idx="754">
                  <c:v>489.762</c:v>
                </c:pt>
                <c:pt idx="755">
                  <c:v>489.762</c:v>
                </c:pt>
                <c:pt idx="756">
                  <c:v>489.762</c:v>
                </c:pt>
                <c:pt idx="757">
                  <c:v>489.75600000000003</c:v>
                </c:pt>
                <c:pt idx="758">
                  <c:v>489.75</c:v>
                </c:pt>
                <c:pt idx="759">
                  <c:v>489.74900000000002</c:v>
                </c:pt>
                <c:pt idx="760">
                  <c:v>489.74300000000005</c:v>
                </c:pt>
                <c:pt idx="761">
                  <c:v>489.73600000000005</c:v>
                </c:pt>
                <c:pt idx="762">
                  <c:v>489.73</c:v>
                </c:pt>
                <c:pt idx="763">
                  <c:v>489.73</c:v>
                </c:pt>
                <c:pt idx="764">
                  <c:v>489.72400000000005</c:v>
                </c:pt>
                <c:pt idx="765">
                  <c:v>489.72400000000005</c:v>
                </c:pt>
                <c:pt idx="766">
                  <c:v>489.71600000000001</c:v>
                </c:pt>
                <c:pt idx="767">
                  <c:v>489.71100000000001</c:v>
                </c:pt>
                <c:pt idx="768">
                  <c:v>489.71100000000001</c:v>
                </c:pt>
                <c:pt idx="769">
                  <c:v>489.70400000000001</c:v>
                </c:pt>
                <c:pt idx="770">
                  <c:v>489.70500000000004</c:v>
                </c:pt>
                <c:pt idx="771">
                  <c:v>489.70400000000001</c:v>
                </c:pt>
                <c:pt idx="772">
                  <c:v>489.69800000000004</c:v>
                </c:pt>
                <c:pt idx="773">
                  <c:v>489.69100000000003</c:v>
                </c:pt>
                <c:pt idx="774">
                  <c:v>489.69100000000003</c:v>
                </c:pt>
                <c:pt idx="775">
                  <c:v>489.68400000000003</c:v>
                </c:pt>
                <c:pt idx="776">
                  <c:v>489.68400000000003</c:v>
                </c:pt>
                <c:pt idx="777">
                  <c:v>489.67800000000005</c:v>
                </c:pt>
                <c:pt idx="778">
                  <c:v>489.67700000000002</c:v>
                </c:pt>
                <c:pt idx="779">
                  <c:v>489.67100000000005</c:v>
                </c:pt>
                <c:pt idx="780">
                  <c:v>489.67100000000005</c:v>
                </c:pt>
                <c:pt idx="781">
                  <c:v>489.66500000000002</c:v>
                </c:pt>
                <c:pt idx="782">
                  <c:v>489.66500000000002</c:v>
                </c:pt>
                <c:pt idx="783">
                  <c:v>489.65800000000002</c:v>
                </c:pt>
                <c:pt idx="784">
                  <c:v>489.65800000000002</c:v>
                </c:pt>
                <c:pt idx="785">
                  <c:v>489.65800000000002</c:v>
                </c:pt>
                <c:pt idx="786">
                  <c:v>489.65200000000004</c:v>
                </c:pt>
                <c:pt idx="787">
                  <c:v>489.65200000000004</c:v>
                </c:pt>
                <c:pt idx="788">
                  <c:v>489.64600000000002</c:v>
                </c:pt>
                <c:pt idx="789">
                  <c:v>489.64500000000004</c:v>
                </c:pt>
                <c:pt idx="790">
                  <c:v>489.64600000000002</c:v>
                </c:pt>
                <c:pt idx="791">
                  <c:v>489.64600000000002</c:v>
                </c:pt>
                <c:pt idx="792">
                  <c:v>489.65200000000004</c:v>
                </c:pt>
                <c:pt idx="793">
                  <c:v>489.67800000000005</c:v>
                </c:pt>
                <c:pt idx="794">
                  <c:v>489.69100000000003</c:v>
                </c:pt>
                <c:pt idx="795">
                  <c:v>489.71200000000005</c:v>
                </c:pt>
                <c:pt idx="796">
                  <c:v>489.71100000000001</c:v>
                </c:pt>
                <c:pt idx="797">
                  <c:v>489.71700000000004</c:v>
                </c:pt>
                <c:pt idx="798">
                  <c:v>489.71800000000002</c:v>
                </c:pt>
                <c:pt idx="799">
                  <c:v>489.72500000000002</c:v>
                </c:pt>
                <c:pt idx="800">
                  <c:v>489.71700000000004</c:v>
                </c:pt>
                <c:pt idx="801">
                  <c:v>489.71700000000004</c:v>
                </c:pt>
                <c:pt idx="802">
                  <c:v>489.71700000000004</c:v>
                </c:pt>
                <c:pt idx="803">
                  <c:v>489.71700000000004</c:v>
                </c:pt>
                <c:pt idx="804">
                  <c:v>489.71200000000005</c:v>
                </c:pt>
                <c:pt idx="805">
                  <c:v>489.70500000000004</c:v>
                </c:pt>
                <c:pt idx="806">
                  <c:v>489.71100000000001</c:v>
                </c:pt>
                <c:pt idx="807">
                  <c:v>489.71100000000001</c:v>
                </c:pt>
                <c:pt idx="808">
                  <c:v>489.70400000000001</c:v>
                </c:pt>
                <c:pt idx="809">
                  <c:v>489.70400000000001</c:v>
                </c:pt>
                <c:pt idx="810">
                  <c:v>489.70400000000001</c:v>
                </c:pt>
                <c:pt idx="811">
                  <c:v>489.69000000000005</c:v>
                </c:pt>
                <c:pt idx="812">
                  <c:v>489.68400000000003</c:v>
                </c:pt>
                <c:pt idx="813">
                  <c:v>489.68400000000003</c:v>
                </c:pt>
                <c:pt idx="814">
                  <c:v>489.68400000000003</c:v>
                </c:pt>
                <c:pt idx="815">
                  <c:v>489.67700000000002</c:v>
                </c:pt>
                <c:pt idx="816">
                  <c:v>489.67100000000005</c:v>
                </c:pt>
                <c:pt idx="817">
                  <c:v>489.67100000000005</c:v>
                </c:pt>
                <c:pt idx="818">
                  <c:v>489.66500000000002</c:v>
                </c:pt>
                <c:pt idx="819">
                  <c:v>489.65800000000002</c:v>
                </c:pt>
                <c:pt idx="820">
                  <c:v>489.65800000000002</c:v>
                </c:pt>
                <c:pt idx="821">
                  <c:v>489.65900000000005</c:v>
                </c:pt>
                <c:pt idx="822">
                  <c:v>489.65200000000004</c:v>
                </c:pt>
                <c:pt idx="823">
                  <c:v>489.65200000000004</c:v>
                </c:pt>
                <c:pt idx="824">
                  <c:v>489.64600000000002</c:v>
                </c:pt>
                <c:pt idx="825">
                  <c:v>489.64600000000002</c:v>
                </c:pt>
                <c:pt idx="826">
                  <c:v>489.63998000000004</c:v>
                </c:pt>
                <c:pt idx="827">
                  <c:v>489.63900000000001</c:v>
                </c:pt>
                <c:pt idx="828">
                  <c:v>489.63900000000001</c:v>
                </c:pt>
                <c:pt idx="829">
                  <c:v>489.63400000000001</c:v>
                </c:pt>
                <c:pt idx="830">
                  <c:v>489.63300000000004</c:v>
                </c:pt>
                <c:pt idx="831">
                  <c:v>489.62698</c:v>
                </c:pt>
                <c:pt idx="832">
                  <c:v>489.62698</c:v>
                </c:pt>
                <c:pt idx="833">
                  <c:v>489.62100000000004</c:v>
                </c:pt>
                <c:pt idx="834">
                  <c:v>489.62100000000004</c:v>
                </c:pt>
                <c:pt idx="835">
                  <c:v>489.62100000000004</c:v>
                </c:pt>
                <c:pt idx="836">
                  <c:v>489.61400000000003</c:v>
                </c:pt>
                <c:pt idx="837">
                  <c:v>489.61400000000003</c:v>
                </c:pt>
                <c:pt idx="838">
                  <c:v>489.61400000000003</c:v>
                </c:pt>
                <c:pt idx="839">
                  <c:v>489.60700000000003</c:v>
                </c:pt>
                <c:pt idx="840">
                  <c:v>489.60700000000003</c:v>
                </c:pt>
                <c:pt idx="841">
                  <c:v>489.60700000000003</c:v>
                </c:pt>
                <c:pt idx="842">
                  <c:v>489.60200000000003</c:v>
                </c:pt>
                <c:pt idx="843">
                  <c:v>489.601</c:v>
                </c:pt>
                <c:pt idx="844">
                  <c:v>489.601</c:v>
                </c:pt>
                <c:pt idx="845">
                  <c:v>489.59500000000003</c:v>
                </c:pt>
                <c:pt idx="846">
                  <c:v>489.59400000000005</c:v>
                </c:pt>
                <c:pt idx="847">
                  <c:v>489.59400000000005</c:v>
                </c:pt>
                <c:pt idx="848">
                  <c:v>489.58800000000002</c:v>
                </c:pt>
                <c:pt idx="849">
                  <c:v>489.58800000000002</c:v>
                </c:pt>
                <c:pt idx="850">
                  <c:v>489.58800000000002</c:v>
                </c:pt>
                <c:pt idx="851">
                  <c:v>489.58800000000002</c:v>
                </c:pt>
                <c:pt idx="852">
                  <c:v>489.58100000000002</c:v>
                </c:pt>
                <c:pt idx="853">
                  <c:v>489.58100000000002</c:v>
                </c:pt>
                <c:pt idx="854">
                  <c:v>489.58100000000002</c:v>
                </c:pt>
                <c:pt idx="855">
                  <c:v>489.58100000000002</c:v>
                </c:pt>
                <c:pt idx="856">
                  <c:v>489.58100000000002</c:v>
                </c:pt>
                <c:pt idx="857">
                  <c:v>489.57500000000005</c:v>
                </c:pt>
                <c:pt idx="858">
                  <c:v>489.57400000000001</c:v>
                </c:pt>
                <c:pt idx="859">
                  <c:v>489.57500000000005</c:v>
                </c:pt>
                <c:pt idx="860">
                  <c:v>489.56800000000004</c:v>
                </c:pt>
                <c:pt idx="861">
                  <c:v>489.56800000000004</c:v>
                </c:pt>
                <c:pt idx="862">
                  <c:v>489.56700000000001</c:v>
                </c:pt>
                <c:pt idx="863">
                  <c:v>489.56800000000004</c:v>
                </c:pt>
                <c:pt idx="864">
                  <c:v>489.56700000000001</c:v>
                </c:pt>
                <c:pt idx="865">
                  <c:v>489.56100000000004</c:v>
                </c:pt>
                <c:pt idx="866">
                  <c:v>489.56200000000001</c:v>
                </c:pt>
                <c:pt idx="867">
                  <c:v>489.56100000000004</c:v>
                </c:pt>
                <c:pt idx="868">
                  <c:v>489.55600000000004</c:v>
                </c:pt>
                <c:pt idx="869">
                  <c:v>489.55600000000004</c:v>
                </c:pt>
                <c:pt idx="870">
                  <c:v>489.55600000000004</c:v>
                </c:pt>
                <c:pt idx="871">
                  <c:v>489.55600000000004</c:v>
                </c:pt>
                <c:pt idx="872">
                  <c:v>489.55500000000001</c:v>
                </c:pt>
                <c:pt idx="873">
                  <c:v>489.55600000000004</c:v>
                </c:pt>
                <c:pt idx="874">
                  <c:v>489.54900000000004</c:v>
                </c:pt>
                <c:pt idx="875">
                  <c:v>489.55</c:v>
                </c:pt>
                <c:pt idx="876">
                  <c:v>489.55</c:v>
                </c:pt>
                <c:pt idx="877">
                  <c:v>489.54900000000004</c:v>
                </c:pt>
                <c:pt idx="878">
                  <c:v>489.55</c:v>
                </c:pt>
                <c:pt idx="879">
                  <c:v>489.54300000000001</c:v>
                </c:pt>
                <c:pt idx="880">
                  <c:v>489.54300000000001</c:v>
                </c:pt>
                <c:pt idx="881">
                  <c:v>489.54300000000001</c:v>
                </c:pt>
                <c:pt idx="882">
                  <c:v>489.536</c:v>
                </c:pt>
                <c:pt idx="883">
                  <c:v>489.53700000000003</c:v>
                </c:pt>
                <c:pt idx="884">
                  <c:v>489.536</c:v>
                </c:pt>
                <c:pt idx="885">
                  <c:v>489.53000000000003</c:v>
                </c:pt>
                <c:pt idx="886">
                  <c:v>489.53000000000003</c:v>
                </c:pt>
                <c:pt idx="887">
                  <c:v>489.53000000000003</c:v>
                </c:pt>
                <c:pt idx="888">
                  <c:v>489.52500000000003</c:v>
                </c:pt>
                <c:pt idx="889">
                  <c:v>489.53000000000003</c:v>
                </c:pt>
                <c:pt idx="890">
                  <c:v>489.52500000000003</c:v>
                </c:pt>
                <c:pt idx="891">
                  <c:v>489.524</c:v>
                </c:pt>
                <c:pt idx="892">
                  <c:v>489.51800000000003</c:v>
                </c:pt>
                <c:pt idx="893">
                  <c:v>489.51800000000003</c:v>
                </c:pt>
                <c:pt idx="894">
                  <c:v>489.51900000000001</c:v>
                </c:pt>
                <c:pt idx="895">
                  <c:v>489.51800000000003</c:v>
                </c:pt>
                <c:pt idx="896">
                  <c:v>489.51100000000002</c:v>
                </c:pt>
                <c:pt idx="897">
                  <c:v>489.51100000000002</c:v>
                </c:pt>
                <c:pt idx="898">
                  <c:v>489.51100000000002</c:v>
                </c:pt>
                <c:pt idx="899">
                  <c:v>489.51100000000002</c:v>
                </c:pt>
                <c:pt idx="900">
                  <c:v>489.51100000000002</c:v>
                </c:pt>
                <c:pt idx="901">
                  <c:v>489.50500000000005</c:v>
                </c:pt>
                <c:pt idx="902">
                  <c:v>489.50500000000005</c:v>
                </c:pt>
                <c:pt idx="903">
                  <c:v>489.50500000000005</c:v>
                </c:pt>
                <c:pt idx="904">
                  <c:v>489.50500000000005</c:v>
                </c:pt>
                <c:pt idx="905">
                  <c:v>489.49798000000004</c:v>
                </c:pt>
                <c:pt idx="906">
                  <c:v>489.49798000000004</c:v>
                </c:pt>
                <c:pt idx="907">
                  <c:v>489.49798000000004</c:v>
                </c:pt>
                <c:pt idx="908">
                  <c:v>489.49798000000004</c:v>
                </c:pt>
                <c:pt idx="909">
                  <c:v>489.49798000000004</c:v>
                </c:pt>
                <c:pt idx="910">
                  <c:v>489.49200000000002</c:v>
                </c:pt>
                <c:pt idx="911">
                  <c:v>489.49200000000002</c:v>
                </c:pt>
                <c:pt idx="912">
                  <c:v>489.49200000000002</c:v>
                </c:pt>
                <c:pt idx="913">
                  <c:v>489.48498000000001</c:v>
                </c:pt>
                <c:pt idx="914">
                  <c:v>489.48498000000001</c:v>
                </c:pt>
                <c:pt idx="915">
                  <c:v>489.48498000000001</c:v>
                </c:pt>
                <c:pt idx="916">
                  <c:v>489.48600000000005</c:v>
                </c:pt>
                <c:pt idx="917">
                  <c:v>489.48498000000001</c:v>
                </c:pt>
                <c:pt idx="918">
                  <c:v>489.47900000000004</c:v>
                </c:pt>
                <c:pt idx="919">
                  <c:v>489.47900000000004</c:v>
                </c:pt>
                <c:pt idx="920">
                  <c:v>489.47900000000004</c:v>
                </c:pt>
                <c:pt idx="921">
                  <c:v>489.47900000000004</c:v>
                </c:pt>
                <c:pt idx="922">
                  <c:v>489.47198000000003</c:v>
                </c:pt>
                <c:pt idx="923">
                  <c:v>489.47198000000003</c:v>
                </c:pt>
                <c:pt idx="924">
                  <c:v>489.47198000000003</c:v>
                </c:pt>
                <c:pt idx="925">
                  <c:v>489.46500000000003</c:v>
                </c:pt>
                <c:pt idx="926">
                  <c:v>489.47198000000003</c:v>
                </c:pt>
                <c:pt idx="927">
                  <c:v>489.46500000000003</c:v>
                </c:pt>
                <c:pt idx="928">
                  <c:v>489.45898000000005</c:v>
                </c:pt>
                <c:pt idx="929">
                  <c:v>489.46500000000003</c:v>
                </c:pt>
                <c:pt idx="930">
                  <c:v>489.45898000000005</c:v>
                </c:pt>
                <c:pt idx="931">
                  <c:v>489.45898000000005</c:v>
                </c:pt>
                <c:pt idx="932">
                  <c:v>489.46000000000004</c:v>
                </c:pt>
                <c:pt idx="933">
                  <c:v>489.45898000000005</c:v>
                </c:pt>
                <c:pt idx="934">
                  <c:v>489.45898000000005</c:v>
                </c:pt>
                <c:pt idx="935">
                  <c:v>489.45200000000006</c:v>
                </c:pt>
                <c:pt idx="936">
                  <c:v>489.45200000000006</c:v>
                </c:pt>
                <c:pt idx="937">
                  <c:v>489.45200000000006</c:v>
                </c:pt>
                <c:pt idx="938">
                  <c:v>489.447</c:v>
                </c:pt>
                <c:pt idx="939">
                  <c:v>489.447</c:v>
                </c:pt>
                <c:pt idx="940">
                  <c:v>489.44100000000003</c:v>
                </c:pt>
                <c:pt idx="941">
                  <c:v>489.44100000000003</c:v>
                </c:pt>
                <c:pt idx="942">
                  <c:v>489.44100000000003</c:v>
                </c:pt>
                <c:pt idx="943">
                  <c:v>489.44100000000003</c:v>
                </c:pt>
                <c:pt idx="944">
                  <c:v>489.44100000000003</c:v>
                </c:pt>
                <c:pt idx="945">
                  <c:v>489.43400000000003</c:v>
                </c:pt>
                <c:pt idx="946">
                  <c:v>489.43400000000003</c:v>
                </c:pt>
                <c:pt idx="947">
                  <c:v>489.43298000000004</c:v>
                </c:pt>
                <c:pt idx="948">
                  <c:v>489.42800000000005</c:v>
                </c:pt>
                <c:pt idx="949">
                  <c:v>489.42800000000005</c:v>
                </c:pt>
                <c:pt idx="950">
                  <c:v>489.42200000000003</c:v>
                </c:pt>
                <c:pt idx="951">
                  <c:v>489.42100000000005</c:v>
                </c:pt>
                <c:pt idx="952">
                  <c:v>489.42100000000005</c:v>
                </c:pt>
                <c:pt idx="953">
                  <c:v>489.42100000000005</c:v>
                </c:pt>
                <c:pt idx="954">
                  <c:v>489.42100000000005</c:v>
                </c:pt>
                <c:pt idx="955">
                  <c:v>489.42100000000005</c:v>
                </c:pt>
                <c:pt idx="956">
                  <c:v>489.42100000000005</c:v>
                </c:pt>
                <c:pt idx="957">
                  <c:v>489.41500000000002</c:v>
                </c:pt>
                <c:pt idx="958">
                  <c:v>489.41500000000002</c:v>
                </c:pt>
                <c:pt idx="959">
                  <c:v>489.41500000000002</c:v>
                </c:pt>
                <c:pt idx="960">
                  <c:v>489.41500000000002</c:v>
                </c:pt>
                <c:pt idx="961">
                  <c:v>489.40800000000002</c:v>
                </c:pt>
                <c:pt idx="962">
                  <c:v>489.40800000000002</c:v>
                </c:pt>
                <c:pt idx="963">
                  <c:v>489.40900000000005</c:v>
                </c:pt>
                <c:pt idx="964">
                  <c:v>489.40900000000005</c:v>
                </c:pt>
                <c:pt idx="965">
                  <c:v>489.40200000000004</c:v>
                </c:pt>
                <c:pt idx="966">
                  <c:v>489.40200000000004</c:v>
                </c:pt>
                <c:pt idx="967">
                  <c:v>489.40200000000004</c:v>
                </c:pt>
                <c:pt idx="968">
                  <c:v>489.40200000000004</c:v>
                </c:pt>
                <c:pt idx="969">
                  <c:v>489.40200000000004</c:v>
                </c:pt>
                <c:pt idx="970">
                  <c:v>489.39600000000002</c:v>
                </c:pt>
                <c:pt idx="971">
                  <c:v>489.39600000000002</c:v>
                </c:pt>
                <c:pt idx="972">
                  <c:v>489.39600000000002</c:v>
                </c:pt>
                <c:pt idx="973">
                  <c:v>489.39600000000002</c:v>
                </c:pt>
                <c:pt idx="974">
                  <c:v>489.38800000000003</c:v>
                </c:pt>
                <c:pt idx="975">
                  <c:v>489.38900000000001</c:v>
                </c:pt>
                <c:pt idx="976">
                  <c:v>489.38800000000003</c:v>
                </c:pt>
                <c:pt idx="977">
                  <c:v>489.38800000000003</c:v>
                </c:pt>
                <c:pt idx="978">
                  <c:v>489.38800000000003</c:v>
                </c:pt>
                <c:pt idx="979">
                  <c:v>489.38800000000003</c:v>
                </c:pt>
                <c:pt idx="980">
                  <c:v>489.38200000000001</c:v>
                </c:pt>
                <c:pt idx="981">
                  <c:v>489.38200000000001</c:v>
                </c:pt>
                <c:pt idx="982">
                  <c:v>489.38200000000001</c:v>
                </c:pt>
                <c:pt idx="983">
                  <c:v>489.38200000000001</c:v>
                </c:pt>
                <c:pt idx="984">
                  <c:v>489.375</c:v>
                </c:pt>
                <c:pt idx="985">
                  <c:v>489.375</c:v>
                </c:pt>
                <c:pt idx="986">
                  <c:v>489.37600000000003</c:v>
                </c:pt>
                <c:pt idx="987">
                  <c:v>489.375</c:v>
                </c:pt>
                <c:pt idx="988">
                  <c:v>489.37600000000003</c:v>
                </c:pt>
                <c:pt idx="989">
                  <c:v>489.36900000000003</c:v>
                </c:pt>
                <c:pt idx="990">
                  <c:v>489.36900000000003</c:v>
                </c:pt>
                <c:pt idx="991">
                  <c:v>489.36900000000003</c:v>
                </c:pt>
                <c:pt idx="992">
                  <c:v>489.36900000000003</c:v>
                </c:pt>
                <c:pt idx="993">
                  <c:v>489.363</c:v>
                </c:pt>
                <c:pt idx="994">
                  <c:v>489.363</c:v>
                </c:pt>
                <c:pt idx="995">
                  <c:v>489.36200000000002</c:v>
                </c:pt>
                <c:pt idx="996">
                  <c:v>489.36200000000002</c:v>
                </c:pt>
                <c:pt idx="997">
                  <c:v>489.36200000000002</c:v>
                </c:pt>
                <c:pt idx="998">
                  <c:v>489.35600000000005</c:v>
                </c:pt>
                <c:pt idx="999">
                  <c:v>489.35600000000005</c:v>
                </c:pt>
                <c:pt idx="1000">
                  <c:v>489.35600000000005</c:v>
                </c:pt>
                <c:pt idx="1001">
                  <c:v>489.35600000000005</c:v>
                </c:pt>
                <c:pt idx="1002">
                  <c:v>489.35600000000005</c:v>
                </c:pt>
                <c:pt idx="1003">
                  <c:v>489.35600000000005</c:v>
                </c:pt>
                <c:pt idx="1004">
                  <c:v>489.34900000000005</c:v>
                </c:pt>
                <c:pt idx="1005">
                  <c:v>489.34900000000005</c:v>
                </c:pt>
                <c:pt idx="1006">
                  <c:v>489.34300000000002</c:v>
                </c:pt>
                <c:pt idx="1007">
                  <c:v>489.34300000000002</c:v>
                </c:pt>
                <c:pt idx="1008">
                  <c:v>489.34300000000002</c:v>
                </c:pt>
                <c:pt idx="1009">
                  <c:v>489.34300000000002</c:v>
                </c:pt>
                <c:pt idx="1010">
                  <c:v>489.34400000000005</c:v>
                </c:pt>
                <c:pt idx="1011">
                  <c:v>489.33700000000005</c:v>
                </c:pt>
                <c:pt idx="1012">
                  <c:v>489.33700000000005</c:v>
                </c:pt>
                <c:pt idx="1013">
                  <c:v>489.33700000000005</c:v>
                </c:pt>
                <c:pt idx="1014">
                  <c:v>489.33700000000005</c:v>
                </c:pt>
                <c:pt idx="1015">
                  <c:v>489.33700000000005</c:v>
                </c:pt>
                <c:pt idx="1016">
                  <c:v>489.33700000000005</c:v>
                </c:pt>
                <c:pt idx="1017">
                  <c:v>489.33100000000002</c:v>
                </c:pt>
                <c:pt idx="1018">
                  <c:v>489.33100000000002</c:v>
                </c:pt>
                <c:pt idx="1019">
                  <c:v>489.33200000000005</c:v>
                </c:pt>
                <c:pt idx="1020">
                  <c:v>489.33100000000002</c:v>
                </c:pt>
                <c:pt idx="1021">
                  <c:v>489.33100000000002</c:v>
                </c:pt>
                <c:pt idx="1022">
                  <c:v>489.33100000000002</c:v>
                </c:pt>
                <c:pt idx="1023">
                  <c:v>489.32400000000001</c:v>
                </c:pt>
                <c:pt idx="1024">
                  <c:v>489.32400000000001</c:v>
                </c:pt>
                <c:pt idx="1025">
                  <c:v>489.32400000000001</c:v>
                </c:pt>
                <c:pt idx="1026">
                  <c:v>489.31900000000002</c:v>
                </c:pt>
                <c:pt idx="1027">
                  <c:v>489.31800000000004</c:v>
                </c:pt>
                <c:pt idx="1028">
                  <c:v>489.31800000000004</c:v>
                </c:pt>
                <c:pt idx="1029">
                  <c:v>489.31800000000004</c:v>
                </c:pt>
                <c:pt idx="1030">
                  <c:v>489.31800000000004</c:v>
                </c:pt>
                <c:pt idx="1031">
                  <c:v>489.31800000000004</c:v>
                </c:pt>
                <c:pt idx="1032">
                  <c:v>489.31900000000002</c:v>
                </c:pt>
                <c:pt idx="1033">
                  <c:v>489.31200000000001</c:v>
                </c:pt>
                <c:pt idx="1034">
                  <c:v>489.31200000000001</c:v>
                </c:pt>
                <c:pt idx="1035">
                  <c:v>489.31200000000001</c:v>
                </c:pt>
                <c:pt idx="1036">
                  <c:v>489.31200000000001</c:v>
                </c:pt>
                <c:pt idx="1037">
                  <c:v>489.30500000000001</c:v>
                </c:pt>
                <c:pt idx="1038">
                  <c:v>489.30500000000001</c:v>
                </c:pt>
                <c:pt idx="1039">
                  <c:v>489.30500000000001</c:v>
                </c:pt>
                <c:pt idx="1040">
                  <c:v>489.30500000000001</c:v>
                </c:pt>
                <c:pt idx="1041">
                  <c:v>489.30500000000001</c:v>
                </c:pt>
                <c:pt idx="1042">
                  <c:v>489.29900000000004</c:v>
                </c:pt>
                <c:pt idx="1043">
                  <c:v>489.30500000000001</c:v>
                </c:pt>
                <c:pt idx="1044">
                  <c:v>489.29900000000004</c:v>
                </c:pt>
                <c:pt idx="1045">
                  <c:v>489.29900000000004</c:v>
                </c:pt>
                <c:pt idx="1046">
                  <c:v>489.29900000000004</c:v>
                </c:pt>
                <c:pt idx="1047">
                  <c:v>489.29200000000003</c:v>
                </c:pt>
                <c:pt idx="1048">
                  <c:v>489.29200000000003</c:v>
                </c:pt>
                <c:pt idx="1049">
                  <c:v>489.29200000000003</c:v>
                </c:pt>
                <c:pt idx="1050">
                  <c:v>489.29200000000003</c:v>
                </c:pt>
                <c:pt idx="1051">
                  <c:v>489.29200000000003</c:v>
                </c:pt>
                <c:pt idx="1052">
                  <c:v>489.29200000000003</c:v>
                </c:pt>
                <c:pt idx="1053">
                  <c:v>489.286</c:v>
                </c:pt>
                <c:pt idx="1054">
                  <c:v>489.286</c:v>
                </c:pt>
                <c:pt idx="1055">
                  <c:v>489.286</c:v>
                </c:pt>
                <c:pt idx="1056">
                  <c:v>489.286</c:v>
                </c:pt>
                <c:pt idx="1057">
                  <c:v>489.286</c:v>
                </c:pt>
                <c:pt idx="1058">
                  <c:v>489.27900000000005</c:v>
                </c:pt>
                <c:pt idx="1059">
                  <c:v>489.27900000000005</c:v>
                </c:pt>
                <c:pt idx="1060">
                  <c:v>489.27900000000005</c:v>
                </c:pt>
                <c:pt idx="1061">
                  <c:v>489.27900000000005</c:v>
                </c:pt>
                <c:pt idx="1062">
                  <c:v>489.27798000000001</c:v>
                </c:pt>
                <c:pt idx="1063">
                  <c:v>489.27300000000002</c:v>
                </c:pt>
                <c:pt idx="1064">
                  <c:v>489.27300000000002</c:v>
                </c:pt>
                <c:pt idx="1065">
                  <c:v>489.26600000000002</c:v>
                </c:pt>
                <c:pt idx="1066">
                  <c:v>489.27300000000002</c:v>
                </c:pt>
                <c:pt idx="1067">
                  <c:v>489.26600000000002</c:v>
                </c:pt>
                <c:pt idx="1068">
                  <c:v>489.26600000000002</c:v>
                </c:pt>
                <c:pt idx="1069">
                  <c:v>489.26000000000005</c:v>
                </c:pt>
                <c:pt idx="1070">
                  <c:v>489.26498000000004</c:v>
                </c:pt>
                <c:pt idx="1071">
                  <c:v>489.25900000000001</c:v>
                </c:pt>
                <c:pt idx="1072">
                  <c:v>489.25900000000001</c:v>
                </c:pt>
                <c:pt idx="1073">
                  <c:v>489.26000000000005</c:v>
                </c:pt>
                <c:pt idx="1074">
                  <c:v>489.25300000000004</c:v>
                </c:pt>
                <c:pt idx="1075">
                  <c:v>489.25300000000004</c:v>
                </c:pt>
                <c:pt idx="1076">
                  <c:v>489.25300000000004</c:v>
                </c:pt>
                <c:pt idx="1077">
                  <c:v>489.25300000000004</c:v>
                </c:pt>
                <c:pt idx="1078">
                  <c:v>489.24600000000004</c:v>
                </c:pt>
                <c:pt idx="1079">
                  <c:v>489.24600000000004</c:v>
                </c:pt>
                <c:pt idx="1080">
                  <c:v>489.24700000000001</c:v>
                </c:pt>
                <c:pt idx="1081">
                  <c:v>489.24700000000001</c:v>
                </c:pt>
                <c:pt idx="1082">
                  <c:v>489.24700000000001</c:v>
                </c:pt>
                <c:pt idx="1083">
                  <c:v>489.24100000000004</c:v>
                </c:pt>
                <c:pt idx="1084">
                  <c:v>489.24100000000004</c:v>
                </c:pt>
                <c:pt idx="1085">
                  <c:v>489.24100000000004</c:v>
                </c:pt>
                <c:pt idx="1086">
                  <c:v>489.23498000000001</c:v>
                </c:pt>
                <c:pt idx="1087">
                  <c:v>489.23498000000001</c:v>
                </c:pt>
                <c:pt idx="1088">
                  <c:v>489.23498000000001</c:v>
                </c:pt>
                <c:pt idx="1089">
                  <c:v>489.23498000000001</c:v>
                </c:pt>
                <c:pt idx="1090">
                  <c:v>489.22800000000001</c:v>
                </c:pt>
                <c:pt idx="1091">
                  <c:v>489.22800000000001</c:v>
                </c:pt>
                <c:pt idx="1092">
                  <c:v>489.22800000000001</c:v>
                </c:pt>
                <c:pt idx="1093">
                  <c:v>489.22198000000003</c:v>
                </c:pt>
                <c:pt idx="1094">
                  <c:v>489.22198000000003</c:v>
                </c:pt>
                <c:pt idx="1095">
                  <c:v>489.22800000000001</c:v>
                </c:pt>
                <c:pt idx="1096">
                  <c:v>489.22198000000003</c:v>
                </c:pt>
                <c:pt idx="1097">
                  <c:v>489.22198000000003</c:v>
                </c:pt>
                <c:pt idx="1098">
                  <c:v>489.22300000000001</c:v>
                </c:pt>
                <c:pt idx="1099">
                  <c:v>489.22198000000003</c:v>
                </c:pt>
                <c:pt idx="1100">
                  <c:v>489.22198000000003</c:v>
                </c:pt>
                <c:pt idx="1101">
                  <c:v>489.22198000000003</c:v>
                </c:pt>
                <c:pt idx="1102">
                  <c:v>489.22198000000003</c:v>
                </c:pt>
                <c:pt idx="1103">
                  <c:v>489.22198000000003</c:v>
                </c:pt>
                <c:pt idx="1104">
                  <c:v>489.22198000000003</c:v>
                </c:pt>
                <c:pt idx="1105">
                  <c:v>489.22198000000003</c:v>
                </c:pt>
                <c:pt idx="1106">
                  <c:v>489.22300000000001</c:v>
                </c:pt>
                <c:pt idx="1107">
                  <c:v>489.22300000000001</c:v>
                </c:pt>
                <c:pt idx="1108">
                  <c:v>489.22198000000003</c:v>
                </c:pt>
                <c:pt idx="1109">
                  <c:v>489.22300000000001</c:v>
                </c:pt>
                <c:pt idx="1110">
                  <c:v>489.22300000000001</c:v>
                </c:pt>
                <c:pt idx="1111">
                  <c:v>489.22300000000001</c:v>
                </c:pt>
                <c:pt idx="1112">
                  <c:v>489.22300000000001</c:v>
                </c:pt>
                <c:pt idx="1113">
                  <c:v>489.21600000000001</c:v>
                </c:pt>
                <c:pt idx="1114">
                  <c:v>489.221</c:v>
                </c:pt>
                <c:pt idx="1115">
                  <c:v>489.21700000000004</c:v>
                </c:pt>
                <c:pt idx="1116">
                  <c:v>489.21600000000001</c:v>
                </c:pt>
                <c:pt idx="1117">
                  <c:v>489.21600000000001</c:v>
                </c:pt>
                <c:pt idx="1118">
                  <c:v>489.21600000000001</c:v>
                </c:pt>
                <c:pt idx="1119">
                  <c:v>489.21600000000001</c:v>
                </c:pt>
                <c:pt idx="1120">
                  <c:v>489.21600000000001</c:v>
                </c:pt>
                <c:pt idx="1121">
                  <c:v>489.22800000000001</c:v>
                </c:pt>
                <c:pt idx="1122">
                  <c:v>489.24600000000004</c:v>
                </c:pt>
                <c:pt idx="1123">
                  <c:v>489.26000000000005</c:v>
                </c:pt>
                <c:pt idx="1124">
                  <c:v>489.286</c:v>
                </c:pt>
                <c:pt idx="1125">
                  <c:v>489.29900000000004</c:v>
                </c:pt>
                <c:pt idx="1126">
                  <c:v>489.30500000000001</c:v>
                </c:pt>
                <c:pt idx="1127">
                  <c:v>489.31200000000001</c:v>
                </c:pt>
                <c:pt idx="1128">
                  <c:v>489.31200000000001</c:v>
                </c:pt>
                <c:pt idx="1129">
                  <c:v>489.31900000000002</c:v>
                </c:pt>
                <c:pt idx="1130">
                  <c:v>489.31900000000002</c:v>
                </c:pt>
                <c:pt idx="1131">
                  <c:v>489.32500000000005</c:v>
                </c:pt>
                <c:pt idx="1132">
                  <c:v>489.32500000000005</c:v>
                </c:pt>
                <c:pt idx="1133">
                  <c:v>489.32500000000005</c:v>
                </c:pt>
                <c:pt idx="1134">
                  <c:v>489.33100000000002</c:v>
                </c:pt>
                <c:pt idx="1135">
                  <c:v>489.33100000000002</c:v>
                </c:pt>
                <c:pt idx="1136">
                  <c:v>489.33100000000002</c:v>
                </c:pt>
                <c:pt idx="1137">
                  <c:v>489.33700000000005</c:v>
                </c:pt>
                <c:pt idx="1138">
                  <c:v>489.33700000000005</c:v>
                </c:pt>
                <c:pt idx="1139">
                  <c:v>489.33700000000005</c:v>
                </c:pt>
                <c:pt idx="1140">
                  <c:v>489.33700000000005</c:v>
                </c:pt>
                <c:pt idx="1141">
                  <c:v>489.34400000000005</c:v>
                </c:pt>
                <c:pt idx="1142">
                  <c:v>489.33700000000005</c:v>
                </c:pt>
                <c:pt idx="1143">
                  <c:v>489.34300000000002</c:v>
                </c:pt>
                <c:pt idx="1144">
                  <c:v>489.34400000000005</c:v>
                </c:pt>
                <c:pt idx="1145">
                  <c:v>489.35</c:v>
                </c:pt>
                <c:pt idx="1146">
                  <c:v>489.34900000000005</c:v>
                </c:pt>
                <c:pt idx="1147">
                  <c:v>489.36200000000002</c:v>
                </c:pt>
                <c:pt idx="1148">
                  <c:v>489.39600000000002</c:v>
                </c:pt>
                <c:pt idx="1149">
                  <c:v>489.41500000000002</c:v>
                </c:pt>
                <c:pt idx="1150">
                  <c:v>489.42100000000005</c:v>
                </c:pt>
                <c:pt idx="1151">
                  <c:v>489.42800000000005</c:v>
                </c:pt>
                <c:pt idx="1152">
                  <c:v>489.42800000000005</c:v>
                </c:pt>
                <c:pt idx="1153">
                  <c:v>489.43400000000003</c:v>
                </c:pt>
                <c:pt idx="1154">
                  <c:v>489.43400000000003</c:v>
                </c:pt>
                <c:pt idx="1155">
                  <c:v>489.43400000000003</c:v>
                </c:pt>
                <c:pt idx="1156">
                  <c:v>489.43400000000003</c:v>
                </c:pt>
                <c:pt idx="1157">
                  <c:v>489.44100000000003</c:v>
                </c:pt>
                <c:pt idx="1158">
                  <c:v>489.44100000000003</c:v>
                </c:pt>
                <c:pt idx="1159">
                  <c:v>489.44100000000003</c:v>
                </c:pt>
                <c:pt idx="1160">
                  <c:v>489.44000000000005</c:v>
                </c:pt>
                <c:pt idx="1161">
                  <c:v>489.447</c:v>
                </c:pt>
                <c:pt idx="1162">
                  <c:v>489.44100000000003</c:v>
                </c:pt>
                <c:pt idx="1163">
                  <c:v>489.44000000000005</c:v>
                </c:pt>
                <c:pt idx="1164">
                  <c:v>489.447</c:v>
                </c:pt>
                <c:pt idx="1165">
                  <c:v>489.44100000000003</c:v>
                </c:pt>
                <c:pt idx="1166">
                  <c:v>489.447</c:v>
                </c:pt>
                <c:pt idx="1167">
                  <c:v>489.447</c:v>
                </c:pt>
                <c:pt idx="1168">
                  <c:v>489.44100000000003</c:v>
                </c:pt>
                <c:pt idx="1169">
                  <c:v>489.44000000000005</c:v>
                </c:pt>
                <c:pt idx="1170">
                  <c:v>489.44000000000005</c:v>
                </c:pt>
                <c:pt idx="1171">
                  <c:v>489.447</c:v>
                </c:pt>
                <c:pt idx="1172">
                  <c:v>489.447</c:v>
                </c:pt>
                <c:pt idx="1173">
                  <c:v>489.44000000000005</c:v>
                </c:pt>
                <c:pt idx="1174">
                  <c:v>489.44000000000005</c:v>
                </c:pt>
                <c:pt idx="1175">
                  <c:v>489.43298000000004</c:v>
                </c:pt>
                <c:pt idx="1176">
                  <c:v>489.44100000000003</c:v>
                </c:pt>
                <c:pt idx="1177">
                  <c:v>489.43298000000004</c:v>
                </c:pt>
                <c:pt idx="1178">
                  <c:v>489.43400000000003</c:v>
                </c:pt>
                <c:pt idx="1179">
                  <c:v>489.43400000000003</c:v>
                </c:pt>
                <c:pt idx="1180">
                  <c:v>489.43400000000003</c:v>
                </c:pt>
                <c:pt idx="1181">
                  <c:v>489.42800000000005</c:v>
                </c:pt>
                <c:pt idx="1182">
                  <c:v>489.42800000000005</c:v>
                </c:pt>
                <c:pt idx="1183">
                  <c:v>489.42800000000005</c:v>
                </c:pt>
                <c:pt idx="1184">
                  <c:v>489.42800000000005</c:v>
                </c:pt>
                <c:pt idx="1185">
                  <c:v>489.42898000000002</c:v>
                </c:pt>
                <c:pt idx="1186">
                  <c:v>489.42200000000003</c:v>
                </c:pt>
                <c:pt idx="1187">
                  <c:v>489.42200000000003</c:v>
                </c:pt>
                <c:pt idx="1188">
                  <c:v>489.42200000000003</c:v>
                </c:pt>
                <c:pt idx="1189">
                  <c:v>489.42200000000003</c:v>
                </c:pt>
                <c:pt idx="1190">
                  <c:v>489.41500000000002</c:v>
                </c:pt>
                <c:pt idx="1191">
                  <c:v>489.41500000000002</c:v>
                </c:pt>
                <c:pt idx="1192">
                  <c:v>489.41500000000002</c:v>
                </c:pt>
                <c:pt idx="1193">
                  <c:v>489.41500000000002</c:v>
                </c:pt>
                <c:pt idx="1194">
                  <c:v>489.41500000000002</c:v>
                </c:pt>
                <c:pt idx="1195">
                  <c:v>489.42100000000005</c:v>
                </c:pt>
                <c:pt idx="1196">
                  <c:v>489.48600000000005</c:v>
                </c:pt>
                <c:pt idx="1197">
                  <c:v>489.51800000000003</c:v>
                </c:pt>
                <c:pt idx="1198">
                  <c:v>489.53000000000003</c:v>
                </c:pt>
                <c:pt idx="1199">
                  <c:v>489.53700000000003</c:v>
                </c:pt>
                <c:pt idx="1200">
                  <c:v>489.53700000000003</c:v>
                </c:pt>
                <c:pt idx="1201">
                  <c:v>489.53700000000003</c:v>
                </c:pt>
                <c:pt idx="1202">
                  <c:v>489.53700000000003</c:v>
                </c:pt>
                <c:pt idx="1203">
                  <c:v>489.53800000000001</c:v>
                </c:pt>
                <c:pt idx="1204">
                  <c:v>489.53700000000003</c:v>
                </c:pt>
                <c:pt idx="1205">
                  <c:v>489.53800000000001</c:v>
                </c:pt>
                <c:pt idx="1206">
                  <c:v>489.53800000000001</c:v>
                </c:pt>
                <c:pt idx="1207">
                  <c:v>489.53800000000001</c:v>
                </c:pt>
                <c:pt idx="1208">
                  <c:v>489.53700000000003</c:v>
                </c:pt>
                <c:pt idx="1209">
                  <c:v>489.53700000000003</c:v>
                </c:pt>
                <c:pt idx="1210">
                  <c:v>489.53800000000001</c:v>
                </c:pt>
                <c:pt idx="1211">
                  <c:v>489.53800000000001</c:v>
                </c:pt>
                <c:pt idx="1212">
                  <c:v>489.53700000000003</c:v>
                </c:pt>
                <c:pt idx="1213">
                  <c:v>489.53100000000001</c:v>
                </c:pt>
                <c:pt idx="1214">
                  <c:v>489.53000000000003</c:v>
                </c:pt>
                <c:pt idx="1215">
                  <c:v>489.53000000000003</c:v>
                </c:pt>
                <c:pt idx="1216">
                  <c:v>489.53000000000003</c:v>
                </c:pt>
                <c:pt idx="1217">
                  <c:v>489.53000000000003</c:v>
                </c:pt>
                <c:pt idx="1218">
                  <c:v>489.53000000000003</c:v>
                </c:pt>
                <c:pt idx="1219">
                  <c:v>489.62800000000004</c:v>
                </c:pt>
                <c:pt idx="1220">
                  <c:v>489.74300000000005</c:v>
                </c:pt>
                <c:pt idx="1221">
                  <c:v>489.77500000000003</c:v>
                </c:pt>
                <c:pt idx="1222">
                  <c:v>489.78800000000001</c:v>
                </c:pt>
                <c:pt idx="1223">
                  <c:v>489.78100000000001</c:v>
                </c:pt>
                <c:pt idx="1224">
                  <c:v>489.78800000000001</c:v>
                </c:pt>
                <c:pt idx="1225">
                  <c:v>489.78100000000001</c:v>
                </c:pt>
                <c:pt idx="1226">
                  <c:v>489.77500000000003</c:v>
                </c:pt>
                <c:pt idx="1227">
                  <c:v>489.78100000000001</c:v>
                </c:pt>
                <c:pt idx="1228">
                  <c:v>489.77600000000001</c:v>
                </c:pt>
                <c:pt idx="1229">
                  <c:v>489.77500000000003</c:v>
                </c:pt>
                <c:pt idx="1230">
                  <c:v>489.76900000000001</c:v>
                </c:pt>
                <c:pt idx="1231">
                  <c:v>489.762</c:v>
                </c:pt>
                <c:pt idx="1232">
                  <c:v>489.75</c:v>
                </c:pt>
                <c:pt idx="1233">
                  <c:v>489.74400000000003</c:v>
                </c:pt>
                <c:pt idx="1234">
                  <c:v>489.73700000000002</c:v>
                </c:pt>
                <c:pt idx="1235">
                  <c:v>489.73100000000005</c:v>
                </c:pt>
                <c:pt idx="1236">
                  <c:v>489.72500000000002</c:v>
                </c:pt>
                <c:pt idx="1237">
                  <c:v>489.71700000000004</c:v>
                </c:pt>
                <c:pt idx="1238">
                  <c:v>489.71100000000001</c:v>
                </c:pt>
                <c:pt idx="1239">
                  <c:v>489.70400000000001</c:v>
                </c:pt>
                <c:pt idx="1240">
                  <c:v>489.69800000000004</c:v>
                </c:pt>
                <c:pt idx="1241">
                  <c:v>489.71200000000005</c:v>
                </c:pt>
                <c:pt idx="1242">
                  <c:v>489.73</c:v>
                </c:pt>
                <c:pt idx="1243">
                  <c:v>489.73600000000005</c:v>
                </c:pt>
                <c:pt idx="1244">
                  <c:v>489.73</c:v>
                </c:pt>
                <c:pt idx="1245">
                  <c:v>489.73</c:v>
                </c:pt>
                <c:pt idx="1246">
                  <c:v>489.73</c:v>
                </c:pt>
                <c:pt idx="1247">
                  <c:v>489.73</c:v>
                </c:pt>
                <c:pt idx="1248">
                  <c:v>489.73</c:v>
                </c:pt>
                <c:pt idx="1249">
                  <c:v>489.72500000000002</c:v>
                </c:pt>
                <c:pt idx="1250">
                  <c:v>489.72500000000002</c:v>
                </c:pt>
                <c:pt idx="1251">
                  <c:v>489.71700000000004</c:v>
                </c:pt>
                <c:pt idx="1252">
                  <c:v>489.71200000000005</c:v>
                </c:pt>
                <c:pt idx="1253">
                  <c:v>489.71100000000001</c:v>
                </c:pt>
                <c:pt idx="1254">
                  <c:v>489.70500000000004</c:v>
                </c:pt>
                <c:pt idx="1255">
                  <c:v>489.69800000000004</c:v>
                </c:pt>
                <c:pt idx="1256">
                  <c:v>489.69800000000004</c:v>
                </c:pt>
                <c:pt idx="1257">
                  <c:v>489.69100000000003</c:v>
                </c:pt>
                <c:pt idx="1258">
                  <c:v>489.68400000000003</c:v>
                </c:pt>
                <c:pt idx="1259">
                  <c:v>489.68400000000003</c:v>
                </c:pt>
                <c:pt idx="1260">
                  <c:v>489.67800000000005</c:v>
                </c:pt>
                <c:pt idx="1261">
                  <c:v>489.67100000000005</c:v>
                </c:pt>
                <c:pt idx="1262">
                  <c:v>489.66500000000002</c:v>
                </c:pt>
                <c:pt idx="1263">
                  <c:v>489.66400000000004</c:v>
                </c:pt>
                <c:pt idx="1264">
                  <c:v>489.66500000000002</c:v>
                </c:pt>
                <c:pt idx="1265">
                  <c:v>489.65800000000002</c:v>
                </c:pt>
                <c:pt idx="1266">
                  <c:v>489.65200000000004</c:v>
                </c:pt>
                <c:pt idx="1267">
                  <c:v>489.65200000000004</c:v>
                </c:pt>
                <c:pt idx="1268">
                  <c:v>489.65200000000004</c:v>
                </c:pt>
                <c:pt idx="1269">
                  <c:v>489.64600000000002</c:v>
                </c:pt>
                <c:pt idx="1270">
                  <c:v>489.64600000000002</c:v>
                </c:pt>
                <c:pt idx="1271">
                  <c:v>489.63900000000001</c:v>
                </c:pt>
                <c:pt idx="1272">
                  <c:v>489.63400000000001</c:v>
                </c:pt>
                <c:pt idx="1273">
                  <c:v>489.63400000000001</c:v>
                </c:pt>
                <c:pt idx="1274">
                  <c:v>489.63400000000001</c:v>
                </c:pt>
                <c:pt idx="1275">
                  <c:v>489.62698</c:v>
                </c:pt>
                <c:pt idx="1276">
                  <c:v>489.62698</c:v>
                </c:pt>
                <c:pt idx="1277">
                  <c:v>489.62100000000004</c:v>
                </c:pt>
                <c:pt idx="1278">
                  <c:v>489.62100000000004</c:v>
                </c:pt>
                <c:pt idx="1279">
                  <c:v>489.61400000000003</c:v>
                </c:pt>
                <c:pt idx="1280">
                  <c:v>489.61400000000003</c:v>
                </c:pt>
                <c:pt idx="1281">
                  <c:v>489.608</c:v>
                </c:pt>
                <c:pt idx="1282">
                  <c:v>489.60700000000003</c:v>
                </c:pt>
                <c:pt idx="1283">
                  <c:v>489.608</c:v>
                </c:pt>
                <c:pt idx="1284">
                  <c:v>489.60200000000003</c:v>
                </c:pt>
                <c:pt idx="1285">
                  <c:v>489.59400000000005</c:v>
                </c:pt>
                <c:pt idx="1286">
                  <c:v>489.59400000000005</c:v>
                </c:pt>
                <c:pt idx="1287">
                  <c:v>489.59400000000005</c:v>
                </c:pt>
                <c:pt idx="1288">
                  <c:v>489.59400000000005</c:v>
                </c:pt>
                <c:pt idx="1289">
                  <c:v>489.58800000000002</c:v>
                </c:pt>
                <c:pt idx="1290">
                  <c:v>489.58800000000002</c:v>
                </c:pt>
                <c:pt idx="1291">
                  <c:v>489.58800000000002</c:v>
                </c:pt>
                <c:pt idx="1292">
                  <c:v>489.58100000000002</c:v>
                </c:pt>
                <c:pt idx="1293">
                  <c:v>489.58100000000002</c:v>
                </c:pt>
                <c:pt idx="1294">
                  <c:v>489.58100000000002</c:v>
                </c:pt>
                <c:pt idx="1295">
                  <c:v>489.58100000000002</c:v>
                </c:pt>
                <c:pt idx="1296">
                  <c:v>489.57500000000005</c:v>
                </c:pt>
                <c:pt idx="1297">
                  <c:v>489.56800000000004</c:v>
                </c:pt>
                <c:pt idx="1298">
                  <c:v>489.56900000000002</c:v>
                </c:pt>
                <c:pt idx="1299">
                  <c:v>489.56900000000002</c:v>
                </c:pt>
                <c:pt idx="1300">
                  <c:v>489.56200000000001</c:v>
                </c:pt>
                <c:pt idx="1301">
                  <c:v>489.56200000000001</c:v>
                </c:pt>
                <c:pt idx="1302">
                  <c:v>489.56200000000001</c:v>
                </c:pt>
                <c:pt idx="1303">
                  <c:v>489.55600000000004</c:v>
                </c:pt>
                <c:pt idx="1304">
                  <c:v>489.55600000000004</c:v>
                </c:pt>
                <c:pt idx="1305">
                  <c:v>489.55600000000004</c:v>
                </c:pt>
                <c:pt idx="1306">
                  <c:v>489.55600000000004</c:v>
                </c:pt>
                <c:pt idx="1307">
                  <c:v>489.55</c:v>
                </c:pt>
                <c:pt idx="1308">
                  <c:v>489.55</c:v>
                </c:pt>
                <c:pt idx="1309">
                  <c:v>489.55</c:v>
                </c:pt>
                <c:pt idx="1310">
                  <c:v>489.54300000000001</c:v>
                </c:pt>
                <c:pt idx="1311">
                  <c:v>489.54300000000001</c:v>
                </c:pt>
                <c:pt idx="1312">
                  <c:v>489.54300000000001</c:v>
                </c:pt>
                <c:pt idx="1313">
                  <c:v>489.536</c:v>
                </c:pt>
                <c:pt idx="1314">
                  <c:v>489.536</c:v>
                </c:pt>
                <c:pt idx="1315">
                  <c:v>489.536</c:v>
                </c:pt>
                <c:pt idx="1316">
                  <c:v>489.53700000000003</c:v>
                </c:pt>
                <c:pt idx="1317">
                  <c:v>489.53000000000003</c:v>
                </c:pt>
                <c:pt idx="1318">
                  <c:v>489.53000000000003</c:v>
                </c:pt>
                <c:pt idx="1319">
                  <c:v>489.53000000000003</c:v>
                </c:pt>
                <c:pt idx="1320">
                  <c:v>489.52500000000003</c:v>
                </c:pt>
                <c:pt idx="1321">
                  <c:v>489.52500000000003</c:v>
                </c:pt>
                <c:pt idx="1322">
                  <c:v>489.52500000000003</c:v>
                </c:pt>
                <c:pt idx="1323">
                  <c:v>489.52500000000003</c:v>
                </c:pt>
                <c:pt idx="1324">
                  <c:v>489.51900000000001</c:v>
                </c:pt>
                <c:pt idx="1325">
                  <c:v>489.51900000000001</c:v>
                </c:pt>
                <c:pt idx="1326">
                  <c:v>489.51900000000001</c:v>
                </c:pt>
                <c:pt idx="1327">
                  <c:v>489.51100000000002</c:v>
                </c:pt>
                <c:pt idx="1328">
                  <c:v>489.51100000000002</c:v>
                </c:pt>
                <c:pt idx="1329">
                  <c:v>489.51100000000002</c:v>
                </c:pt>
                <c:pt idx="1330">
                  <c:v>489.512</c:v>
                </c:pt>
                <c:pt idx="1331">
                  <c:v>489.512</c:v>
                </c:pt>
                <c:pt idx="1332">
                  <c:v>489.51100000000002</c:v>
                </c:pt>
                <c:pt idx="1333">
                  <c:v>489.51100000000002</c:v>
                </c:pt>
                <c:pt idx="1334">
                  <c:v>489.50500000000005</c:v>
                </c:pt>
                <c:pt idx="1335">
                  <c:v>489.50500000000005</c:v>
                </c:pt>
                <c:pt idx="1336">
                  <c:v>489.50500000000005</c:v>
                </c:pt>
                <c:pt idx="1337">
                  <c:v>489.50500000000005</c:v>
                </c:pt>
                <c:pt idx="1338">
                  <c:v>489.50500000000005</c:v>
                </c:pt>
                <c:pt idx="1339">
                  <c:v>489.49798000000004</c:v>
                </c:pt>
                <c:pt idx="1340">
                  <c:v>489.49798000000004</c:v>
                </c:pt>
                <c:pt idx="1341">
                  <c:v>489.49798000000004</c:v>
                </c:pt>
                <c:pt idx="1342">
                  <c:v>489.49798000000004</c:v>
                </c:pt>
                <c:pt idx="1343">
                  <c:v>489.49200000000002</c:v>
                </c:pt>
                <c:pt idx="1344">
                  <c:v>489.49300000000005</c:v>
                </c:pt>
                <c:pt idx="1345">
                  <c:v>489.49300000000005</c:v>
                </c:pt>
                <c:pt idx="1346">
                  <c:v>489.49300000000005</c:v>
                </c:pt>
                <c:pt idx="1347">
                  <c:v>489.48600000000005</c:v>
                </c:pt>
                <c:pt idx="1348">
                  <c:v>489.48600000000005</c:v>
                </c:pt>
                <c:pt idx="1349">
                  <c:v>489.48600000000005</c:v>
                </c:pt>
                <c:pt idx="1350">
                  <c:v>489.48600000000005</c:v>
                </c:pt>
                <c:pt idx="1351">
                  <c:v>489.47900000000004</c:v>
                </c:pt>
                <c:pt idx="1352">
                  <c:v>489.47900000000004</c:v>
                </c:pt>
                <c:pt idx="1353">
                  <c:v>489.47900000000004</c:v>
                </c:pt>
                <c:pt idx="1354">
                  <c:v>489.47900000000004</c:v>
                </c:pt>
                <c:pt idx="1355">
                  <c:v>489.49300000000005</c:v>
                </c:pt>
                <c:pt idx="1356">
                  <c:v>489.49900000000002</c:v>
                </c:pt>
                <c:pt idx="1357">
                  <c:v>489.50600000000003</c:v>
                </c:pt>
                <c:pt idx="1358">
                  <c:v>489.50600000000003</c:v>
                </c:pt>
                <c:pt idx="1359">
                  <c:v>489.50600000000003</c:v>
                </c:pt>
                <c:pt idx="1360">
                  <c:v>489.50500000000005</c:v>
                </c:pt>
                <c:pt idx="1361">
                  <c:v>489.50600000000003</c:v>
                </c:pt>
                <c:pt idx="1362">
                  <c:v>489.50500000000005</c:v>
                </c:pt>
                <c:pt idx="1363">
                  <c:v>489.49900000000002</c:v>
                </c:pt>
                <c:pt idx="1364">
                  <c:v>489.50500000000005</c:v>
                </c:pt>
                <c:pt idx="1365">
                  <c:v>489.50500000000005</c:v>
                </c:pt>
                <c:pt idx="1366">
                  <c:v>489.49200000000002</c:v>
                </c:pt>
                <c:pt idx="1367">
                  <c:v>489.49300000000005</c:v>
                </c:pt>
                <c:pt idx="1368">
                  <c:v>489.48600000000005</c:v>
                </c:pt>
                <c:pt idx="1369">
                  <c:v>489.49300000000005</c:v>
                </c:pt>
                <c:pt idx="1370">
                  <c:v>489.48600000000005</c:v>
                </c:pt>
                <c:pt idx="1371">
                  <c:v>489.48600000000005</c:v>
                </c:pt>
                <c:pt idx="1372">
                  <c:v>489.48498000000001</c:v>
                </c:pt>
                <c:pt idx="1373">
                  <c:v>489.48600000000005</c:v>
                </c:pt>
                <c:pt idx="1374">
                  <c:v>489.48498000000001</c:v>
                </c:pt>
                <c:pt idx="1375">
                  <c:v>489.48600000000005</c:v>
                </c:pt>
                <c:pt idx="1376">
                  <c:v>489.48600000000005</c:v>
                </c:pt>
                <c:pt idx="1377">
                  <c:v>489.48498000000001</c:v>
                </c:pt>
                <c:pt idx="1378">
                  <c:v>489.47900000000004</c:v>
                </c:pt>
                <c:pt idx="1379">
                  <c:v>489.48600000000005</c:v>
                </c:pt>
                <c:pt idx="1380">
                  <c:v>489.47900000000004</c:v>
                </c:pt>
                <c:pt idx="1381">
                  <c:v>489.47900000000004</c:v>
                </c:pt>
                <c:pt idx="1382">
                  <c:v>489.47900000000004</c:v>
                </c:pt>
                <c:pt idx="1383">
                  <c:v>489.47900000000004</c:v>
                </c:pt>
                <c:pt idx="1384">
                  <c:v>489.47198000000003</c:v>
                </c:pt>
                <c:pt idx="1385">
                  <c:v>489.47900000000004</c:v>
                </c:pt>
                <c:pt idx="1386">
                  <c:v>489.48498000000001</c:v>
                </c:pt>
                <c:pt idx="1387">
                  <c:v>489.49300000000005</c:v>
                </c:pt>
                <c:pt idx="1388">
                  <c:v>489.49798000000004</c:v>
                </c:pt>
                <c:pt idx="1389">
                  <c:v>489.49798000000004</c:v>
                </c:pt>
                <c:pt idx="1390">
                  <c:v>489.49900000000002</c:v>
                </c:pt>
                <c:pt idx="1391">
                  <c:v>489.49200000000002</c:v>
                </c:pt>
                <c:pt idx="1392">
                  <c:v>489.51100000000002</c:v>
                </c:pt>
                <c:pt idx="1393">
                  <c:v>489.53100000000001</c:v>
                </c:pt>
                <c:pt idx="1394">
                  <c:v>489.54300000000001</c:v>
                </c:pt>
                <c:pt idx="1395">
                  <c:v>489.54300000000001</c:v>
                </c:pt>
                <c:pt idx="1396">
                  <c:v>489.55</c:v>
                </c:pt>
                <c:pt idx="1397">
                  <c:v>489.55</c:v>
                </c:pt>
                <c:pt idx="1398">
                  <c:v>489.55</c:v>
                </c:pt>
                <c:pt idx="1399">
                  <c:v>489.55600000000004</c:v>
                </c:pt>
                <c:pt idx="1400">
                  <c:v>489.55600000000004</c:v>
                </c:pt>
                <c:pt idx="1401">
                  <c:v>489.55</c:v>
                </c:pt>
                <c:pt idx="1402">
                  <c:v>489.55600000000004</c:v>
                </c:pt>
                <c:pt idx="1403">
                  <c:v>489.55</c:v>
                </c:pt>
                <c:pt idx="1404">
                  <c:v>489.55</c:v>
                </c:pt>
                <c:pt idx="1405">
                  <c:v>489.55</c:v>
                </c:pt>
                <c:pt idx="1406">
                  <c:v>489.55600000000004</c:v>
                </c:pt>
                <c:pt idx="1407">
                  <c:v>489.56200000000001</c:v>
                </c:pt>
                <c:pt idx="1408">
                  <c:v>489.56100000000004</c:v>
                </c:pt>
                <c:pt idx="1409">
                  <c:v>489.55600000000004</c:v>
                </c:pt>
                <c:pt idx="1410">
                  <c:v>489.56100000000004</c:v>
                </c:pt>
                <c:pt idx="1411">
                  <c:v>489.55600000000004</c:v>
                </c:pt>
                <c:pt idx="1412">
                  <c:v>489.55600000000004</c:v>
                </c:pt>
                <c:pt idx="1413">
                  <c:v>489.54300000000001</c:v>
                </c:pt>
                <c:pt idx="1414">
                  <c:v>489.54300000000001</c:v>
                </c:pt>
                <c:pt idx="1415">
                  <c:v>489.54300000000001</c:v>
                </c:pt>
                <c:pt idx="1416">
                  <c:v>489.54300000000001</c:v>
                </c:pt>
                <c:pt idx="1417">
                  <c:v>489.54300000000001</c:v>
                </c:pt>
                <c:pt idx="1418">
                  <c:v>489.54300000000001</c:v>
                </c:pt>
                <c:pt idx="1419">
                  <c:v>489.53700000000003</c:v>
                </c:pt>
                <c:pt idx="1420">
                  <c:v>489.54300000000001</c:v>
                </c:pt>
                <c:pt idx="1421">
                  <c:v>489.53700000000003</c:v>
                </c:pt>
                <c:pt idx="1422">
                  <c:v>489.53100000000001</c:v>
                </c:pt>
                <c:pt idx="1423">
                  <c:v>489.53700000000003</c:v>
                </c:pt>
                <c:pt idx="1424">
                  <c:v>489.53800000000001</c:v>
                </c:pt>
                <c:pt idx="1425">
                  <c:v>489.53700000000003</c:v>
                </c:pt>
                <c:pt idx="1426">
                  <c:v>489.53100000000001</c:v>
                </c:pt>
                <c:pt idx="1427">
                  <c:v>489.53100000000001</c:v>
                </c:pt>
                <c:pt idx="1428">
                  <c:v>489.53100000000001</c:v>
                </c:pt>
                <c:pt idx="1429">
                  <c:v>489.53100000000001</c:v>
                </c:pt>
                <c:pt idx="1430">
                  <c:v>489.53000000000003</c:v>
                </c:pt>
                <c:pt idx="1431">
                  <c:v>489.53700000000003</c:v>
                </c:pt>
                <c:pt idx="1432">
                  <c:v>489.53000000000003</c:v>
                </c:pt>
                <c:pt idx="1433">
                  <c:v>489.536</c:v>
                </c:pt>
                <c:pt idx="1434">
                  <c:v>489.52500000000003</c:v>
                </c:pt>
                <c:pt idx="1435">
                  <c:v>489.49900000000002</c:v>
                </c:pt>
                <c:pt idx="1436">
                  <c:v>489.49798000000004</c:v>
                </c:pt>
                <c:pt idx="1437">
                  <c:v>489.49798000000004</c:v>
                </c:pt>
                <c:pt idx="1438">
                  <c:v>489.49798000000004</c:v>
                </c:pt>
                <c:pt idx="1439">
                  <c:v>489.49798000000004</c:v>
                </c:pt>
                <c:pt idx="1440">
                  <c:v>489.49300000000005</c:v>
                </c:pt>
                <c:pt idx="1441">
                  <c:v>489.49200000000002</c:v>
                </c:pt>
                <c:pt idx="1442">
                  <c:v>489.49200000000002</c:v>
                </c:pt>
                <c:pt idx="1443">
                  <c:v>489.49200000000002</c:v>
                </c:pt>
                <c:pt idx="1444">
                  <c:v>489.48498000000001</c:v>
                </c:pt>
                <c:pt idx="1445">
                  <c:v>489.48498000000001</c:v>
                </c:pt>
                <c:pt idx="1446">
                  <c:v>489.48600000000005</c:v>
                </c:pt>
                <c:pt idx="1447">
                  <c:v>489.48498000000001</c:v>
                </c:pt>
                <c:pt idx="1448">
                  <c:v>489.47900000000004</c:v>
                </c:pt>
                <c:pt idx="1449">
                  <c:v>489.47900000000004</c:v>
                </c:pt>
                <c:pt idx="1450">
                  <c:v>489.48498000000001</c:v>
                </c:pt>
                <c:pt idx="1451">
                  <c:v>489.47900000000004</c:v>
                </c:pt>
                <c:pt idx="1452">
                  <c:v>489.49300000000005</c:v>
                </c:pt>
                <c:pt idx="1453">
                  <c:v>489.49300000000005</c:v>
                </c:pt>
                <c:pt idx="1454">
                  <c:v>489.49300000000005</c:v>
                </c:pt>
                <c:pt idx="1455">
                  <c:v>489.49200000000002</c:v>
                </c:pt>
                <c:pt idx="1456">
                  <c:v>489.49200000000002</c:v>
                </c:pt>
                <c:pt idx="1457">
                  <c:v>489.49200000000002</c:v>
                </c:pt>
                <c:pt idx="1458">
                  <c:v>489.50500000000005</c:v>
                </c:pt>
                <c:pt idx="1459">
                  <c:v>489.51100000000002</c:v>
                </c:pt>
                <c:pt idx="1460">
                  <c:v>489.52500000000003</c:v>
                </c:pt>
                <c:pt idx="1461">
                  <c:v>489.53000000000003</c:v>
                </c:pt>
                <c:pt idx="1462">
                  <c:v>489.53700000000003</c:v>
                </c:pt>
                <c:pt idx="1463">
                  <c:v>489.54300000000001</c:v>
                </c:pt>
                <c:pt idx="1464">
                  <c:v>489.55600000000004</c:v>
                </c:pt>
                <c:pt idx="1465">
                  <c:v>489.56900000000002</c:v>
                </c:pt>
                <c:pt idx="1466">
                  <c:v>489.57500000000005</c:v>
                </c:pt>
                <c:pt idx="1467">
                  <c:v>489.58900000000006</c:v>
                </c:pt>
                <c:pt idx="1468">
                  <c:v>489.61500000000001</c:v>
                </c:pt>
                <c:pt idx="1469">
                  <c:v>489.63998000000004</c:v>
                </c:pt>
                <c:pt idx="1470">
                  <c:v>489.65900000000005</c:v>
                </c:pt>
                <c:pt idx="1471">
                  <c:v>489.67100000000005</c:v>
                </c:pt>
                <c:pt idx="1472">
                  <c:v>489.69100000000003</c:v>
                </c:pt>
                <c:pt idx="1473">
                  <c:v>489.69800000000004</c:v>
                </c:pt>
                <c:pt idx="1474">
                  <c:v>489.71200000000005</c:v>
                </c:pt>
                <c:pt idx="1475">
                  <c:v>489.71200000000005</c:v>
                </c:pt>
                <c:pt idx="1476">
                  <c:v>489.71700000000004</c:v>
                </c:pt>
                <c:pt idx="1477">
                  <c:v>489.71800000000002</c:v>
                </c:pt>
                <c:pt idx="1478">
                  <c:v>489.72500000000002</c:v>
                </c:pt>
                <c:pt idx="1479">
                  <c:v>489.71700000000004</c:v>
                </c:pt>
                <c:pt idx="1480">
                  <c:v>489.71700000000004</c:v>
                </c:pt>
                <c:pt idx="1481">
                  <c:v>489.71700000000004</c:v>
                </c:pt>
                <c:pt idx="1482">
                  <c:v>489.71700000000004</c:v>
                </c:pt>
                <c:pt idx="1483">
                  <c:v>489.71700000000004</c:v>
                </c:pt>
                <c:pt idx="1484">
                  <c:v>489.71100000000001</c:v>
                </c:pt>
                <c:pt idx="1485">
                  <c:v>489.70400000000001</c:v>
                </c:pt>
                <c:pt idx="1486">
                  <c:v>489.71700000000004</c:v>
                </c:pt>
                <c:pt idx="1487">
                  <c:v>489.72500000000002</c:v>
                </c:pt>
                <c:pt idx="1488">
                  <c:v>489.73</c:v>
                </c:pt>
                <c:pt idx="1489">
                  <c:v>489.72500000000002</c:v>
                </c:pt>
                <c:pt idx="1490">
                  <c:v>489.72500000000002</c:v>
                </c:pt>
                <c:pt idx="1491">
                  <c:v>489.71700000000004</c:v>
                </c:pt>
                <c:pt idx="1492">
                  <c:v>489.71200000000005</c:v>
                </c:pt>
                <c:pt idx="1493">
                  <c:v>489.70500000000004</c:v>
                </c:pt>
                <c:pt idx="1494">
                  <c:v>489.70500000000004</c:v>
                </c:pt>
                <c:pt idx="1495">
                  <c:v>489.70500000000004</c:v>
                </c:pt>
                <c:pt idx="1496">
                  <c:v>489.69800000000004</c:v>
                </c:pt>
                <c:pt idx="1497">
                  <c:v>489.69800000000004</c:v>
                </c:pt>
                <c:pt idx="1498">
                  <c:v>489.69100000000003</c:v>
                </c:pt>
                <c:pt idx="1499">
                  <c:v>489.68400000000003</c:v>
                </c:pt>
                <c:pt idx="1500">
                  <c:v>489.68400000000003</c:v>
                </c:pt>
                <c:pt idx="1501">
                  <c:v>489.67800000000005</c:v>
                </c:pt>
                <c:pt idx="1502">
                  <c:v>489.67700000000002</c:v>
                </c:pt>
                <c:pt idx="1503">
                  <c:v>489.67100000000005</c:v>
                </c:pt>
                <c:pt idx="1504">
                  <c:v>489.67100000000005</c:v>
                </c:pt>
                <c:pt idx="1505">
                  <c:v>489.66500000000002</c:v>
                </c:pt>
                <c:pt idx="1506">
                  <c:v>489.66500000000002</c:v>
                </c:pt>
                <c:pt idx="1507">
                  <c:v>489.66500000000002</c:v>
                </c:pt>
                <c:pt idx="1508">
                  <c:v>489.65800000000002</c:v>
                </c:pt>
                <c:pt idx="1509">
                  <c:v>489.65200000000004</c:v>
                </c:pt>
                <c:pt idx="1510">
                  <c:v>489.65200000000004</c:v>
                </c:pt>
                <c:pt idx="1511">
                  <c:v>489.64600000000002</c:v>
                </c:pt>
                <c:pt idx="1512">
                  <c:v>489.63998000000004</c:v>
                </c:pt>
                <c:pt idx="1513">
                  <c:v>489.63998000000004</c:v>
                </c:pt>
                <c:pt idx="1514">
                  <c:v>489.63900000000001</c:v>
                </c:pt>
                <c:pt idx="1515">
                  <c:v>489.63400000000001</c:v>
                </c:pt>
                <c:pt idx="1516">
                  <c:v>489.63400000000001</c:v>
                </c:pt>
                <c:pt idx="1517">
                  <c:v>489.63400000000001</c:v>
                </c:pt>
                <c:pt idx="1518">
                  <c:v>489.62800000000004</c:v>
                </c:pt>
                <c:pt idx="1519">
                  <c:v>489.62800000000004</c:v>
                </c:pt>
                <c:pt idx="1520">
                  <c:v>489.62100000000004</c:v>
                </c:pt>
                <c:pt idx="1521">
                  <c:v>489.62100000000004</c:v>
                </c:pt>
                <c:pt idx="1522">
                  <c:v>489.62100000000004</c:v>
                </c:pt>
                <c:pt idx="1523">
                  <c:v>489.61500000000001</c:v>
                </c:pt>
                <c:pt idx="1524">
                  <c:v>489.61500000000001</c:v>
                </c:pt>
                <c:pt idx="1525">
                  <c:v>489.60700000000003</c:v>
                </c:pt>
                <c:pt idx="1526">
                  <c:v>489.60700000000003</c:v>
                </c:pt>
                <c:pt idx="1527">
                  <c:v>489.60700000000003</c:v>
                </c:pt>
                <c:pt idx="1528">
                  <c:v>489.60700000000003</c:v>
                </c:pt>
                <c:pt idx="1529">
                  <c:v>489.601</c:v>
                </c:pt>
                <c:pt idx="1530">
                  <c:v>489.60200000000003</c:v>
                </c:pt>
                <c:pt idx="1531">
                  <c:v>489.601</c:v>
                </c:pt>
                <c:pt idx="1532">
                  <c:v>489.59400000000005</c:v>
                </c:pt>
                <c:pt idx="1533">
                  <c:v>489.59400000000005</c:v>
                </c:pt>
                <c:pt idx="1534">
                  <c:v>489.59400000000005</c:v>
                </c:pt>
                <c:pt idx="1535">
                  <c:v>489.58800000000002</c:v>
                </c:pt>
                <c:pt idx="1536">
                  <c:v>489.58800000000002</c:v>
                </c:pt>
                <c:pt idx="1537">
                  <c:v>489.58100000000002</c:v>
                </c:pt>
                <c:pt idx="1538">
                  <c:v>489.58100000000002</c:v>
                </c:pt>
                <c:pt idx="1539">
                  <c:v>489.58100000000002</c:v>
                </c:pt>
                <c:pt idx="1540">
                  <c:v>489.57500000000005</c:v>
                </c:pt>
                <c:pt idx="1541">
                  <c:v>489.57500000000005</c:v>
                </c:pt>
                <c:pt idx="1542">
                  <c:v>489.57500000000005</c:v>
                </c:pt>
                <c:pt idx="1543">
                  <c:v>489.57500000000005</c:v>
                </c:pt>
                <c:pt idx="1544">
                  <c:v>489.56900000000002</c:v>
                </c:pt>
                <c:pt idx="1545">
                  <c:v>489.56800000000004</c:v>
                </c:pt>
                <c:pt idx="1546">
                  <c:v>489.56600000000003</c:v>
                </c:pt>
                <c:pt idx="1547">
                  <c:v>489.56200000000001</c:v>
                </c:pt>
                <c:pt idx="1548">
                  <c:v>489.56200000000001</c:v>
                </c:pt>
                <c:pt idx="1549">
                  <c:v>489.56200000000001</c:v>
                </c:pt>
                <c:pt idx="1550">
                  <c:v>489.56100000000004</c:v>
                </c:pt>
                <c:pt idx="1551">
                  <c:v>489.56100000000004</c:v>
                </c:pt>
                <c:pt idx="1552">
                  <c:v>489.55500000000001</c:v>
                </c:pt>
                <c:pt idx="1553">
                  <c:v>489.56200000000001</c:v>
                </c:pt>
                <c:pt idx="1554">
                  <c:v>489.56100000000004</c:v>
                </c:pt>
                <c:pt idx="1555">
                  <c:v>489.55600000000004</c:v>
                </c:pt>
                <c:pt idx="1556">
                  <c:v>489.55600000000004</c:v>
                </c:pt>
                <c:pt idx="1557">
                  <c:v>489.56100000000004</c:v>
                </c:pt>
                <c:pt idx="1558">
                  <c:v>489.56200000000001</c:v>
                </c:pt>
                <c:pt idx="1559">
                  <c:v>489.56200000000001</c:v>
                </c:pt>
                <c:pt idx="1560">
                  <c:v>489.56800000000004</c:v>
                </c:pt>
                <c:pt idx="1561">
                  <c:v>489.56200000000001</c:v>
                </c:pt>
                <c:pt idx="1562">
                  <c:v>489.56200000000001</c:v>
                </c:pt>
                <c:pt idx="1563">
                  <c:v>489.56200000000001</c:v>
                </c:pt>
                <c:pt idx="1564">
                  <c:v>489.56200000000001</c:v>
                </c:pt>
                <c:pt idx="1565">
                  <c:v>489.56200000000001</c:v>
                </c:pt>
                <c:pt idx="1566">
                  <c:v>489.55700000000002</c:v>
                </c:pt>
                <c:pt idx="1567">
                  <c:v>489.55700000000002</c:v>
                </c:pt>
                <c:pt idx="1568">
                  <c:v>489.55600000000004</c:v>
                </c:pt>
                <c:pt idx="1569">
                  <c:v>489.55700000000002</c:v>
                </c:pt>
                <c:pt idx="1570">
                  <c:v>489.55</c:v>
                </c:pt>
                <c:pt idx="1571">
                  <c:v>489.55</c:v>
                </c:pt>
                <c:pt idx="1572">
                  <c:v>489.55</c:v>
                </c:pt>
                <c:pt idx="1573">
                  <c:v>489.55</c:v>
                </c:pt>
                <c:pt idx="1574">
                  <c:v>489.54900000000004</c:v>
                </c:pt>
                <c:pt idx="1575">
                  <c:v>489.54900000000004</c:v>
                </c:pt>
                <c:pt idx="1576">
                  <c:v>489.54300000000001</c:v>
                </c:pt>
                <c:pt idx="1577">
                  <c:v>489.54300000000001</c:v>
                </c:pt>
                <c:pt idx="1578">
                  <c:v>489.54300000000001</c:v>
                </c:pt>
                <c:pt idx="1579">
                  <c:v>489.54300000000001</c:v>
                </c:pt>
                <c:pt idx="1580">
                  <c:v>489.54300000000001</c:v>
                </c:pt>
                <c:pt idx="1581">
                  <c:v>489.54300000000001</c:v>
                </c:pt>
                <c:pt idx="1582">
                  <c:v>489.54300000000001</c:v>
                </c:pt>
                <c:pt idx="1583">
                  <c:v>489.54300000000001</c:v>
                </c:pt>
                <c:pt idx="1584">
                  <c:v>489.53700000000003</c:v>
                </c:pt>
                <c:pt idx="1585">
                  <c:v>489.54200000000003</c:v>
                </c:pt>
                <c:pt idx="1586">
                  <c:v>489.53700000000003</c:v>
                </c:pt>
                <c:pt idx="1587">
                  <c:v>489.53700000000003</c:v>
                </c:pt>
                <c:pt idx="1588">
                  <c:v>489.53700000000003</c:v>
                </c:pt>
                <c:pt idx="1589">
                  <c:v>489.53700000000003</c:v>
                </c:pt>
                <c:pt idx="1590">
                  <c:v>489.53100000000001</c:v>
                </c:pt>
                <c:pt idx="1591">
                  <c:v>489.53100000000001</c:v>
                </c:pt>
                <c:pt idx="1592">
                  <c:v>489.53100000000001</c:v>
                </c:pt>
                <c:pt idx="1593">
                  <c:v>489.53100000000001</c:v>
                </c:pt>
                <c:pt idx="1594">
                  <c:v>489.53100000000001</c:v>
                </c:pt>
                <c:pt idx="1595">
                  <c:v>489.53000000000003</c:v>
                </c:pt>
                <c:pt idx="1596">
                  <c:v>489.52500000000003</c:v>
                </c:pt>
                <c:pt idx="1597">
                  <c:v>489.52500000000003</c:v>
                </c:pt>
                <c:pt idx="1598">
                  <c:v>489.52500000000003</c:v>
                </c:pt>
                <c:pt idx="1599">
                  <c:v>489.52500000000003</c:v>
                </c:pt>
                <c:pt idx="1600">
                  <c:v>489.52500000000003</c:v>
                </c:pt>
                <c:pt idx="1601">
                  <c:v>489.52500000000003</c:v>
                </c:pt>
                <c:pt idx="1602">
                  <c:v>489.52500000000003</c:v>
                </c:pt>
                <c:pt idx="1603">
                  <c:v>489.52500000000003</c:v>
                </c:pt>
                <c:pt idx="1604">
                  <c:v>489.52500000000003</c:v>
                </c:pt>
                <c:pt idx="1605">
                  <c:v>489.51800000000003</c:v>
                </c:pt>
                <c:pt idx="1606">
                  <c:v>489.51800000000003</c:v>
                </c:pt>
                <c:pt idx="1607">
                  <c:v>489.51800000000003</c:v>
                </c:pt>
                <c:pt idx="1608">
                  <c:v>489.51800000000003</c:v>
                </c:pt>
                <c:pt idx="1609">
                  <c:v>489.51800000000003</c:v>
                </c:pt>
                <c:pt idx="1610">
                  <c:v>489.51100000000002</c:v>
                </c:pt>
                <c:pt idx="1611">
                  <c:v>489.51100000000002</c:v>
                </c:pt>
                <c:pt idx="1612">
                  <c:v>489.51100000000002</c:v>
                </c:pt>
                <c:pt idx="1613">
                  <c:v>489.51100000000002</c:v>
                </c:pt>
                <c:pt idx="1614">
                  <c:v>489.50600000000003</c:v>
                </c:pt>
                <c:pt idx="1615">
                  <c:v>489.512</c:v>
                </c:pt>
                <c:pt idx="1616">
                  <c:v>489.50600000000003</c:v>
                </c:pt>
                <c:pt idx="1617">
                  <c:v>489.50600000000003</c:v>
                </c:pt>
                <c:pt idx="1618">
                  <c:v>489.50600000000003</c:v>
                </c:pt>
                <c:pt idx="1619">
                  <c:v>489.50600000000003</c:v>
                </c:pt>
                <c:pt idx="1620">
                  <c:v>489.50600000000003</c:v>
                </c:pt>
                <c:pt idx="1621">
                  <c:v>489.50600000000003</c:v>
                </c:pt>
                <c:pt idx="1622">
                  <c:v>489.50500000000005</c:v>
                </c:pt>
                <c:pt idx="1623">
                  <c:v>489.50500000000005</c:v>
                </c:pt>
                <c:pt idx="1624">
                  <c:v>489.49798000000004</c:v>
                </c:pt>
                <c:pt idx="1625">
                  <c:v>489.49798000000004</c:v>
                </c:pt>
                <c:pt idx="1626">
                  <c:v>489.49798000000004</c:v>
                </c:pt>
                <c:pt idx="1627">
                  <c:v>489.49798000000004</c:v>
                </c:pt>
                <c:pt idx="1628">
                  <c:v>489.49798000000004</c:v>
                </c:pt>
                <c:pt idx="1629">
                  <c:v>489.50500000000005</c:v>
                </c:pt>
                <c:pt idx="1630">
                  <c:v>489.50500000000005</c:v>
                </c:pt>
                <c:pt idx="1631">
                  <c:v>489.51100000000002</c:v>
                </c:pt>
                <c:pt idx="1632">
                  <c:v>489.51100000000002</c:v>
                </c:pt>
                <c:pt idx="1633">
                  <c:v>489.51100000000002</c:v>
                </c:pt>
                <c:pt idx="1634">
                  <c:v>489.51100000000002</c:v>
                </c:pt>
                <c:pt idx="1635">
                  <c:v>489.51100000000002</c:v>
                </c:pt>
                <c:pt idx="1636">
                  <c:v>489.512</c:v>
                </c:pt>
                <c:pt idx="1637">
                  <c:v>489.512</c:v>
                </c:pt>
                <c:pt idx="1638">
                  <c:v>489.512</c:v>
                </c:pt>
                <c:pt idx="1639">
                  <c:v>489.50600000000003</c:v>
                </c:pt>
                <c:pt idx="1640">
                  <c:v>489.512</c:v>
                </c:pt>
                <c:pt idx="1641">
                  <c:v>489.50600000000003</c:v>
                </c:pt>
                <c:pt idx="1642">
                  <c:v>489.50600000000003</c:v>
                </c:pt>
                <c:pt idx="1643">
                  <c:v>489.50600000000003</c:v>
                </c:pt>
                <c:pt idx="1644">
                  <c:v>489.50600000000003</c:v>
                </c:pt>
                <c:pt idx="1645">
                  <c:v>489.50500000000005</c:v>
                </c:pt>
                <c:pt idx="1646">
                  <c:v>489.50500000000005</c:v>
                </c:pt>
                <c:pt idx="1647">
                  <c:v>489.51100000000002</c:v>
                </c:pt>
                <c:pt idx="1648">
                  <c:v>489.50400000000002</c:v>
                </c:pt>
                <c:pt idx="1649">
                  <c:v>489.51100000000002</c:v>
                </c:pt>
                <c:pt idx="1650">
                  <c:v>489.50400000000002</c:v>
                </c:pt>
                <c:pt idx="1651">
                  <c:v>489.50500000000005</c:v>
                </c:pt>
                <c:pt idx="1652">
                  <c:v>489.50400000000002</c:v>
                </c:pt>
                <c:pt idx="1653">
                  <c:v>489.49798000000004</c:v>
                </c:pt>
                <c:pt idx="1654">
                  <c:v>489.49798000000004</c:v>
                </c:pt>
                <c:pt idx="1655">
                  <c:v>489.49798000000004</c:v>
                </c:pt>
                <c:pt idx="1656">
                  <c:v>489.49200000000002</c:v>
                </c:pt>
                <c:pt idx="1657">
                  <c:v>489.49200000000002</c:v>
                </c:pt>
                <c:pt idx="1658">
                  <c:v>489.49200000000002</c:v>
                </c:pt>
                <c:pt idx="1659">
                  <c:v>489.49200000000002</c:v>
                </c:pt>
                <c:pt idx="1660">
                  <c:v>489.49200000000002</c:v>
                </c:pt>
                <c:pt idx="1661">
                  <c:v>489.49300000000005</c:v>
                </c:pt>
                <c:pt idx="1662">
                  <c:v>489.49300000000005</c:v>
                </c:pt>
                <c:pt idx="1663">
                  <c:v>489.48498000000001</c:v>
                </c:pt>
                <c:pt idx="1664">
                  <c:v>489.48498000000001</c:v>
                </c:pt>
                <c:pt idx="1665">
                  <c:v>489.48498000000001</c:v>
                </c:pt>
                <c:pt idx="1666">
                  <c:v>489.48498000000001</c:v>
                </c:pt>
                <c:pt idx="1667">
                  <c:v>489.48600000000005</c:v>
                </c:pt>
                <c:pt idx="1668">
                  <c:v>489.48498000000001</c:v>
                </c:pt>
                <c:pt idx="1669">
                  <c:v>489.48498000000001</c:v>
                </c:pt>
                <c:pt idx="1670">
                  <c:v>489.48400000000004</c:v>
                </c:pt>
                <c:pt idx="1671">
                  <c:v>489.48498000000001</c:v>
                </c:pt>
                <c:pt idx="1672">
                  <c:v>489.47900000000004</c:v>
                </c:pt>
                <c:pt idx="1673">
                  <c:v>489.48498000000001</c:v>
                </c:pt>
                <c:pt idx="1674">
                  <c:v>489.47800000000001</c:v>
                </c:pt>
                <c:pt idx="1675">
                  <c:v>489.47900000000004</c:v>
                </c:pt>
                <c:pt idx="1676">
                  <c:v>489.47800000000001</c:v>
                </c:pt>
                <c:pt idx="1677">
                  <c:v>489.471</c:v>
                </c:pt>
                <c:pt idx="1678">
                  <c:v>489.471</c:v>
                </c:pt>
                <c:pt idx="1679">
                  <c:v>489.46500000000003</c:v>
                </c:pt>
                <c:pt idx="1680">
                  <c:v>489.46500000000003</c:v>
                </c:pt>
                <c:pt idx="1681">
                  <c:v>489.46500000000003</c:v>
                </c:pt>
                <c:pt idx="1682">
                  <c:v>489.46500000000003</c:v>
                </c:pt>
                <c:pt idx="1683">
                  <c:v>489.46500000000003</c:v>
                </c:pt>
                <c:pt idx="1684">
                  <c:v>489.46000000000004</c:v>
                </c:pt>
                <c:pt idx="1685">
                  <c:v>489.46500000000003</c:v>
                </c:pt>
                <c:pt idx="1686">
                  <c:v>489.46000000000004</c:v>
                </c:pt>
                <c:pt idx="1687">
                  <c:v>489.46500000000003</c:v>
                </c:pt>
                <c:pt idx="1688">
                  <c:v>489.46000000000004</c:v>
                </c:pt>
                <c:pt idx="1689">
                  <c:v>489.46000000000004</c:v>
                </c:pt>
                <c:pt idx="1690">
                  <c:v>489.46000000000004</c:v>
                </c:pt>
                <c:pt idx="1691">
                  <c:v>489.46000000000004</c:v>
                </c:pt>
                <c:pt idx="1692">
                  <c:v>489.45300000000003</c:v>
                </c:pt>
                <c:pt idx="1693">
                  <c:v>489.45200000000006</c:v>
                </c:pt>
                <c:pt idx="1694">
                  <c:v>489.45200000000006</c:v>
                </c:pt>
                <c:pt idx="1695">
                  <c:v>489.45200000000006</c:v>
                </c:pt>
                <c:pt idx="1696">
                  <c:v>489.45898000000005</c:v>
                </c:pt>
                <c:pt idx="1697">
                  <c:v>489.45200000000006</c:v>
                </c:pt>
                <c:pt idx="1698">
                  <c:v>489.45200000000006</c:v>
                </c:pt>
                <c:pt idx="1699">
                  <c:v>489.45200000000006</c:v>
                </c:pt>
                <c:pt idx="1700">
                  <c:v>489.45200000000006</c:v>
                </c:pt>
                <c:pt idx="1701">
                  <c:v>489.447</c:v>
                </c:pt>
                <c:pt idx="1702">
                  <c:v>489.44598000000002</c:v>
                </c:pt>
                <c:pt idx="1703">
                  <c:v>489.447</c:v>
                </c:pt>
                <c:pt idx="1704">
                  <c:v>489.447</c:v>
                </c:pt>
                <c:pt idx="1705">
                  <c:v>489.44000000000005</c:v>
                </c:pt>
                <c:pt idx="1706">
                  <c:v>489.44000000000005</c:v>
                </c:pt>
                <c:pt idx="1707">
                  <c:v>489.44000000000005</c:v>
                </c:pt>
                <c:pt idx="1708">
                  <c:v>489.44000000000005</c:v>
                </c:pt>
                <c:pt idx="1709">
                  <c:v>489.44000000000005</c:v>
                </c:pt>
                <c:pt idx="1710">
                  <c:v>489.43400000000003</c:v>
                </c:pt>
                <c:pt idx="1711">
                  <c:v>489.43400000000003</c:v>
                </c:pt>
                <c:pt idx="1712">
                  <c:v>489.43400000000003</c:v>
                </c:pt>
                <c:pt idx="1713">
                  <c:v>489.43400000000003</c:v>
                </c:pt>
                <c:pt idx="1714">
                  <c:v>489.43400000000003</c:v>
                </c:pt>
                <c:pt idx="1715">
                  <c:v>489.43400000000003</c:v>
                </c:pt>
                <c:pt idx="1716">
                  <c:v>489.43400000000003</c:v>
                </c:pt>
                <c:pt idx="1717">
                  <c:v>489.43400000000003</c:v>
                </c:pt>
                <c:pt idx="1718">
                  <c:v>489.43400000000003</c:v>
                </c:pt>
                <c:pt idx="1719">
                  <c:v>489.43298000000004</c:v>
                </c:pt>
                <c:pt idx="1720">
                  <c:v>489.43298000000004</c:v>
                </c:pt>
                <c:pt idx="1721">
                  <c:v>489.43298000000004</c:v>
                </c:pt>
                <c:pt idx="1722">
                  <c:v>489.43298000000004</c:v>
                </c:pt>
                <c:pt idx="1723">
                  <c:v>489.42800000000005</c:v>
                </c:pt>
                <c:pt idx="1724">
                  <c:v>489.42100000000005</c:v>
                </c:pt>
                <c:pt idx="1725">
                  <c:v>489.42100000000005</c:v>
                </c:pt>
                <c:pt idx="1726">
                  <c:v>489.42100000000005</c:v>
                </c:pt>
                <c:pt idx="1727">
                  <c:v>489.42100000000005</c:v>
                </c:pt>
                <c:pt idx="1728">
                  <c:v>489.42200000000003</c:v>
                </c:pt>
                <c:pt idx="1729">
                  <c:v>489.41500000000002</c:v>
                </c:pt>
                <c:pt idx="1730">
                  <c:v>489.41500000000002</c:v>
                </c:pt>
                <c:pt idx="1731">
                  <c:v>489.41500000000002</c:v>
                </c:pt>
                <c:pt idx="1732">
                  <c:v>489.41500000000002</c:v>
                </c:pt>
                <c:pt idx="1733">
                  <c:v>489.41598000000005</c:v>
                </c:pt>
                <c:pt idx="1734">
                  <c:v>489.40900000000005</c:v>
                </c:pt>
                <c:pt idx="1735">
                  <c:v>489.41500000000002</c:v>
                </c:pt>
                <c:pt idx="1736">
                  <c:v>489.40900000000005</c:v>
                </c:pt>
                <c:pt idx="1737">
                  <c:v>489.40900000000005</c:v>
                </c:pt>
                <c:pt idx="1738">
                  <c:v>489.40900000000005</c:v>
                </c:pt>
                <c:pt idx="1739">
                  <c:v>489.40900000000005</c:v>
                </c:pt>
                <c:pt idx="1740">
                  <c:v>489.40900000000005</c:v>
                </c:pt>
                <c:pt idx="1741">
                  <c:v>489.40900000000005</c:v>
                </c:pt>
                <c:pt idx="1742">
                  <c:v>489.40900000000005</c:v>
                </c:pt>
                <c:pt idx="1743">
                  <c:v>489.41500000000002</c:v>
                </c:pt>
                <c:pt idx="1744">
                  <c:v>489.41500000000002</c:v>
                </c:pt>
                <c:pt idx="1745">
                  <c:v>489.41500000000002</c:v>
                </c:pt>
                <c:pt idx="1746">
                  <c:v>489.41500000000002</c:v>
                </c:pt>
                <c:pt idx="1747">
                  <c:v>489.41500000000002</c:v>
                </c:pt>
                <c:pt idx="1748">
                  <c:v>489.40800000000002</c:v>
                </c:pt>
                <c:pt idx="1749">
                  <c:v>489.40800000000002</c:v>
                </c:pt>
                <c:pt idx="1750">
                  <c:v>489.40100000000001</c:v>
                </c:pt>
                <c:pt idx="1751">
                  <c:v>489.40200000000004</c:v>
                </c:pt>
                <c:pt idx="1752">
                  <c:v>489.40200000000004</c:v>
                </c:pt>
                <c:pt idx="1753">
                  <c:v>489.40200000000004</c:v>
                </c:pt>
                <c:pt idx="1754">
                  <c:v>489.39600000000002</c:v>
                </c:pt>
                <c:pt idx="1755">
                  <c:v>489.39600000000002</c:v>
                </c:pt>
                <c:pt idx="1756">
                  <c:v>489.39600000000002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95-4CB9-A6EB-8D7FFCCDA2A2}"/>
            </c:ext>
          </c:extLst>
        </c:ser>
        <c:ser>
          <c:idx val="2"/>
          <c:order val="2"/>
          <c:tx>
            <c:strRef>
              <c:f>'[3]RES002 (Adj)'!$F$1</c:f>
              <c:strCache>
                <c:ptCount val="1"/>
                <c:pt idx="0">
                  <c:v>Volume (M3)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(Adj)'!$F$2:$F$1758</c:f>
              <c:numCache>
                <c:formatCode>General</c:formatCode>
                <c:ptCount val="1757"/>
                <c:pt idx="0">
                  <c:v>1607444.5930314001</c:v>
                </c:pt>
                <c:pt idx="1">
                  <c:v>1604446.7185589999</c:v>
                </c:pt>
                <c:pt idx="2">
                  <c:v>1604446.7185589999</c:v>
                </c:pt>
                <c:pt idx="3">
                  <c:v>1607444.5930314001</c:v>
                </c:pt>
                <c:pt idx="4">
                  <c:v>1604446.7185589999</c:v>
                </c:pt>
                <c:pt idx="5">
                  <c:v>1607444.5930314001</c:v>
                </c:pt>
                <c:pt idx="6">
                  <c:v>1607444.5930314001</c:v>
                </c:pt>
                <c:pt idx="7">
                  <c:v>1607444.5930314001</c:v>
                </c:pt>
                <c:pt idx="8">
                  <c:v>1604446.7185589999</c:v>
                </c:pt>
                <c:pt idx="9">
                  <c:v>1607444.5930314001</c:v>
                </c:pt>
                <c:pt idx="10">
                  <c:v>1607444.5930314001</c:v>
                </c:pt>
                <c:pt idx="11">
                  <c:v>1607444.5930314001</c:v>
                </c:pt>
                <c:pt idx="12">
                  <c:v>1607444.5930314001</c:v>
                </c:pt>
                <c:pt idx="13">
                  <c:v>1607444.5930314001</c:v>
                </c:pt>
                <c:pt idx="14">
                  <c:v>1607444.5930314001</c:v>
                </c:pt>
                <c:pt idx="15">
                  <c:v>1610444.0173448001</c:v>
                </c:pt>
                <c:pt idx="16">
                  <c:v>1610444.0173448001</c:v>
                </c:pt>
                <c:pt idx="17">
                  <c:v>1610444.0173448001</c:v>
                </c:pt>
                <c:pt idx="18">
                  <c:v>1610444.0173448001</c:v>
                </c:pt>
                <c:pt idx="19">
                  <c:v>1610444.0173448001</c:v>
                </c:pt>
                <c:pt idx="20">
                  <c:v>1613444.9319478001</c:v>
                </c:pt>
                <c:pt idx="21">
                  <c:v>1610444.0173448001</c:v>
                </c:pt>
                <c:pt idx="22">
                  <c:v>1613444.9319478001</c:v>
                </c:pt>
                <c:pt idx="23">
                  <c:v>1613444.9319478001</c:v>
                </c:pt>
                <c:pt idx="24">
                  <c:v>1613444.9319478001</c:v>
                </c:pt>
                <c:pt idx="25">
                  <c:v>1613444.9319478001</c:v>
                </c:pt>
                <c:pt idx="26">
                  <c:v>1613444.9319478001</c:v>
                </c:pt>
                <c:pt idx="27">
                  <c:v>1613444.9319478001</c:v>
                </c:pt>
                <c:pt idx="28">
                  <c:v>1613444.9319478001</c:v>
                </c:pt>
                <c:pt idx="29">
                  <c:v>1613444.9319478001</c:v>
                </c:pt>
                <c:pt idx="30">
                  <c:v>1613444.9319478001</c:v>
                </c:pt>
                <c:pt idx="31">
                  <c:v>1613444.9319478001</c:v>
                </c:pt>
                <c:pt idx="32">
                  <c:v>1613444.9319478001</c:v>
                </c:pt>
                <c:pt idx="33">
                  <c:v>1613444.9319478001</c:v>
                </c:pt>
                <c:pt idx="34">
                  <c:v>1613444.9319478001</c:v>
                </c:pt>
                <c:pt idx="35">
                  <c:v>1616447.3000027</c:v>
                </c:pt>
                <c:pt idx="36">
                  <c:v>1613444.9319478001</c:v>
                </c:pt>
                <c:pt idx="37">
                  <c:v>1613444.9319478001</c:v>
                </c:pt>
                <c:pt idx="38">
                  <c:v>1613444.9319478001</c:v>
                </c:pt>
                <c:pt idx="39">
                  <c:v>1613444.9319478001</c:v>
                </c:pt>
                <c:pt idx="40">
                  <c:v>1613444.9319478001</c:v>
                </c:pt>
                <c:pt idx="41">
                  <c:v>1613444.9319478001</c:v>
                </c:pt>
                <c:pt idx="42">
                  <c:v>1613444.9319478001</c:v>
                </c:pt>
                <c:pt idx="43">
                  <c:v>1613444.9319478001</c:v>
                </c:pt>
                <c:pt idx="44">
                  <c:v>1616447.3000027</c:v>
                </c:pt>
                <c:pt idx="45">
                  <c:v>1613444.9319478001</c:v>
                </c:pt>
                <c:pt idx="46">
                  <c:v>1616447.3000027</c:v>
                </c:pt>
                <c:pt idx="47">
                  <c:v>1616447.3000027</c:v>
                </c:pt>
                <c:pt idx="48">
                  <c:v>1616447.3000027</c:v>
                </c:pt>
                <c:pt idx="49">
                  <c:v>1616447.3000027</c:v>
                </c:pt>
                <c:pt idx="50">
                  <c:v>1616447.3000027</c:v>
                </c:pt>
                <c:pt idx="51">
                  <c:v>1616447.3000027</c:v>
                </c:pt>
                <c:pt idx="52">
                  <c:v>1616447.3000027</c:v>
                </c:pt>
                <c:pt idx="53">
                  <c:v>1616447.3000027</c:v>
                </c:pt>
                <c:pt idx="54">
                  <c:v>1616447.3000027</c:v>
                </c:pt>
                <c:pt idx="55">
                  <c:v>1616447.3000027</c:v>
                </c:pt>
                <c:pt idx="56">
                  <c:v>1616447.3000027</c:v>
                </c:pt>
                <c:pt idx="57">
                  <c:v>1616447.3000027</c:v>
                </c:pt>
                <c:pt idx="58">
                  <c:v>1616447.3000027</c:v>
                </c:pt>
                <c:pt idx="59">
                  <c:v>1616447.3000027</c:v>
                </c:pt>
                <c:pt idx="60">
                  <c:v>1616447.3000027</c:v>
                </c:pt>
                <c:pt idx="61">
                  <c:v>1616447.3000027</c:v>
                </c:pt>
                <c:pt idx="62">
                  <c:v>1616447.3000027</c:v>
                </c:pt>
                <c:pt idx="63">
                  <c:v>1616447.3000027</c:v>
                </c:pt>
                <c:pt idx="64">
                  <c:v>1616447.3000027</c:v>
                </c:pt>
                <c:pt idx="65">
                  <c:v>1616447.3000027</c:v>
                </c:pt>
                <c:pt idx="66">
                  <c:v>1616447.3000027</c:v>
                </c:pt>
                <c:pt idx="67">
                  <c:v>1616447.3000027</c:v>
                </c:pt>
                <c:pt idx="68">
                  <c:v>1616447.3000027</c:v>
                </c:pt>
                <c:pt idx="69">
                  <c:v>1616447.3000027</c:v>
                </c:pt>
                <c:pt idx="70">
                  <c:v>1616447.3000027</c:v>
                </c:pt>
                <c:pt idx="71">
                  <c:v>1616447.3000027</c:v>
                </c:pt>
                <c:pt idx="72">
                  <c:v>1616447.3000027</c:v>
                </c:pt>
                <c:pt idx="73">
                  <c:v>1616447.3000027</c:v>
                </c:pt>
                <c:pt idx="74">
                  <c:v>1616447.3000027</c:v>
                </c:pt>
                <c:pt idx="75">
                  <c:v>1616447.3000027</c:v>
                </c:pt>
                <c:pt idx="76">
                  <c:v>1616447.3000027</c:v>
                </c:pt>
                <c:pt idx="77">
                  <c:v>1616447.3000027</c:v>
                </c:pt>
                <c:pt idx="78">
                  <c:v>1616447.3000027</c:v>
                </c:pt>
                <c:pt idx="79">
                  <c:v>1616447.3000027</c:v>
                </c:pt>
                <c:pt idx="80">
                  <c:v>1616447.3000027</c:v>
                </c:pt>
                <c:pt idx="81">
                  <c:v>1616447.3000027</c:v>
                </c:pt>
                <c:pt idx="82">
                  <c:v>1616447.3000027</c:v>
                </c:pt>
                <c:pt idx="83">
                  <c:v>1616447.3000027</c:v>
                </c:pt>
                <c:pt idx="84">
                  <c:v>1616447.3000027</c:v>
                </c:pt>
                <c:pt idx="85">
                  <c:v>1616447.3000027</c:v>
                </c:pt>
                <c:pt idx="86">
                  <c:v>1616447.3000027</c:v>
                </c:pt>
                <c:pt idx="87">
                  <c:v>1616447.3000027</c:v>
                </c:pt>
                <c:pt idx="88">
                  <c:v>1616447.3000027</c:v>
                </c:pt>
                <c:pt idx="89">
                  <c:v>1616447.3000027</c:v>
                </c:pt>
                <c:pt idx="90">
                  <c:v>1616447.3000027</c:v>
                </c:pt>
                <c:pt idx="91">
                  <c:v>1616447.3000027</c:v>
                </c:pt>
                <c:pt idx="92">
                  <c:v>1616447.3000027</c:v>
                </c:pt>
                <c:pt idx="93">
                  <c:v>1616447.3000027</c:v>
                </c:pt>
                <c:pt idx="94">
                  <c:v>1616447.3000027</c:v>
                </c:pt>
                <c:pt idx="95">
                  <c:v>1616447.3000027</c:v>
                </c:pt>
                <c:pt idx="96">
                  <c:v>1616447.3000027</c:v>
                </c:pt>
                <c:pt idx="97">
                  <c:v>1616447.3000027</c:v>
                </c:pt>
                <c:pt idx="98">
                  <c:v>1616447.3000027</c:v>
                </c:pt>
                <c:pt idx="99">
                  <c:v>1616447.3000027</c:v>
                </c:pt>
                <c:pt idx="100">
                  <c:v>1616447.3000027</c:v>
                </c:pt>
                <c:pt idx="101">
                  <c:v>1616447.3000027</c:v>
                </c:pt>
                <c:pt idx="102">
                  <c:v>1616447.3000027</c:v>
                </c:pt>
                <c:pt idx="103">
                  <c:v>1616447.3000027</c:v>
                </c:pt>
                <c:pt idx="104">
                  <c:v>1616447.3000027</c:v>
                </c:pt>
                <c:pt idx="105">
                  <c:v>1616447.3000027</c:v>
                </c:pt>
                <c:pt idx="106">
                  <c:v>1616447.3000027</c:v>
                </c:pt>
                <c:pt idx="107">
                  <c:v>1616447.3000027</c:v>
                </c:pt>
                <c:pt idx="108">
                  <c:v>1616447.3000027</c:v>
                </c:pt>
                <c:pt idx="109">
                  <c:v>1616447.3000027</c:v>
                </c:pt>
                <c:pt idx="110">
                  <c:v>1616447.3000027</c:v>
                </c:pt>
                <c:pt idx="111">
                  <c:v>1616447.3000027</c:v>
                </c:pt>
                <c:pt idx="112">
                  <c:v>1616447.3000027</c:v>
                </c:pt>
                <c:pt idx="113">
                  <c:v>1616447.3000027</c:v>
                </c:pt>
                <c:pt idx="114">
                  <c:v>1616447.3000027</c:v>
                </c:pt>
                <c:pt idx="115">
                  <c:v>1616447.3000027</c:v>
                </c:pt>
                <c:pt idx="116">
                  <c:v>1616447.3000027</c:v>
                </c:pt>
                <c:pt idx="117">
                  <c:v>1616447.3000027</c:v>
                </c:pt>
                <c:pt idx="118">
                  <c:v>1616447.3000027</c:v>
                </c:pt>
                <c:pt idx="119">
                  <c:v>1616447.3000027</c:v>
                </c:pt>
                <c:pt idx="120">
                  <c:v>1616447.3000027</c:v>
                </c:pt>
                <c:pt idx="121">
                  <c:v>1616447.3000027</c:v>
                </c:pt>
                <c:pt idx="122">
                  <c:v>1616447.3000027</c:v>
                </c:pt>
                <c:pt idx="123">
                  <c:v>1619451.3170382001</c:v>
                </c:pt>
                <c:pt idx="124">
                  <c:v>1616447.3000027</c:v>
                </c:pt>
                <c:pt idx="125">
                  <c:v>1616447.3000027</c:v>
                </c:pt>
                <c:pt idx="126">
                  <c:v>1616447.3000027</c:v>
                </c:pt>
                <c:pt idx="127">
                  <c:v>1616447.3000027</c:v>
                </c:pt>
                <c:pt idx="128">
                  <c:v>1619451.3170382001</c:v>
                </c:pt>
                <c:pt idx="129">
                  <c:v>1616447.3000027</c:v>
                </c:pt>
                <c:pt idx="130">
                  <c:v>1619451.3170382001</c:v>
                </c:pt>
                <c:pt idx="131">
                  <c:v>1619451.3170382001</c:v>
                </c:pt>
                <c:pt idx="132">
                  <c:v>1619451.3170382001</c:v>
                </c:pt>
                <c:pt idx="133">
                  <c:v>1619451.3170382001</c:v>
                </c:pt>
                <c:pt idx="134">
                  <c:v>1616447.3000027</c:v>
                </c:pt>
                <c:pt idx="135">
                  <c:v>1616447.3000027</c:v>
                </c:pt>
                <c:pt idx="136">
                  <c:v>1616447.3000027</c:v>
                </c:pt>
                <c:pt idx="137">
                  <c:v>1619451.3170382001</c:v>
                </c:pt>
                <c:pt idx="138">
                  <c:v>1619451.3170382001</c:v>
                </c:pt>
                <c:pt idx="139">
                  <c:v>1619451.3170382001</c:v>
                </c:pt>
                <c:pt idx="140">
                  <c:v>1619451.3170382001</c:v>
                </c:pt>
                <c:pt idx="141">
                  <c:v>1619451.3170382001</c:v>
                </c:pt>
                <c:pt idx="142">
                  <c:v>1619451.3170382001</c:v>
                </c:pt>
                <c:pt idx="143">
                  <c:v>1619451.3170382001</c:v>
                </c:pt>
                <c:pt idx="144">
                  <c:v>1619451.3170382001</c:v>
                </c:pt>
                <c:pt idx="145">
                  <c:v>1619451.3170382001</c:v>
                </c:pt>
                <c:pt idx="146">
                  <c:v>1619451.3170382001</c:v>
                </c:pt>
                <c:pt idx="147">
                  <c:v>1619451.3170382001</c:v>
                </c:pt>
                <c:pt idx="148">
                  <c:v>1619451.3170382001</c:v>
                </c:pt>
                <c:pt idx="149">
                  <c:v>1619451.3170382001</c:v>
                </c:pt>
                <c:pt idx="150">
                  <c:v>1619451.3170382001</c:v>
                </c:pt>
                <c:pt idx="151">
                  <c:v>1619451.3170382001</c:v>
                </c:pt>
                <c:pt idx="152">
                  <c:v>1619451.3170382001</c:v>
                </c:pt>
                <c:pt idx="153">
                  <c:v>1619451.3170382001</c:v>
                </c:pt>
                <c:pt idx="154">
                  <c:v>1619451.3170382001</c:v>
                </c:pt>
                <c:pt idx="155">
                  <c:v>1619451.3170382001</c:v>
                </c:pt>
                <c:pt idx="156">
                  <c:v>1619451.3170382001</c:v>
                </c:pt>
                <c:pt idx="157">
                  <c:v>1619451.3170382001</c:v>
                </c:pt>
                <c:pt idx="158">
                  <c:v>1619451.3170382001</c:v>
                </c:pt>
                <c:pt idx="159">
                  <c:v>1619451.3170382001</c:v>
                </c:pt>
                <c:pt idx="160">
                  <c:v>1619451.3170382001</c:v>
                </c:pt>
                <c:pt idx="161">
                  <c:v>1619451.3170382001</c:v>
                </c:pt>
                <c:pt idx="162">
                  <c:v>1619451.3170382001</c:v>
                </c:pt>
                <c:pt idx="163">
                  <c:v>1619451.3170382001</c:v>
                </c:pt>
                <c:pt idx="164">
                  <c:v>1619451.3170382001</c:v>
                </c:pt>
                <c:pt idx="165">
                  <c:v>1619451.3170382001</c:v>
                </c:pt>
                <c:pt idx="166">
                  <c:v>1619451.3170382001</c:v>
                </c:pt>
                <c:pt idx="167">
                  <c:v>1619451.3170382001</c:v>
                </c:pt>
                <c:pt idx="168">
                  <c:v>1616447.3000027</c:v>
                </c:pt>
                <c:pt idx="169">
                  <c:v>1622456.7729032</c:v>
                </c:pt>
                <c:pt idx="170">
                  <c:v>1628472.3057532001</c:v>
                </c:pt>
                <c:pt idx="171">
                  <c:v>1628472.3057532001</c:v>
                </c:pt>
                <c:pt idx="172">
                  <c:v>1628472.3057532001</c:v>
                </c:pt>
                <c:pt idx="173">
                  <c:v>1628472.3057532001</c:v>
                </c:pt>
                <c:pt idx="174">
                  <c:v>1628472.3057532001</c:v>
                </c:pt>
                <c:pt idx="175">
                  <c:v>1628472.3057532001</c:v>
                </c:pt>
                <c:pt idx="176">
                  <c:v>1628472.3057532001</c:v>
                </c:pt>
                <c:pt idx="177">
                  <c:v>1628472.3057532001</c:v>
                </c:pt>
                <c:pt idx="178">
                  <c:v>1628472.3057532001</c:v>
                </c:pt>
                <c:pt idx="179">
                  <c:v>1628472.3057532001</c:v>
                </c:pt>
                <c:pt idx="180">
                  <c:v>1628472.3057532001</c:v>
                </c:pt>
                <c:pt idx="181">
                  <c:v>1628472.3057532001</c:v>
                </c:pt>
                <c:pt idx="182">
                  <c:v>1628472.3057532001</c:v>
                </c:pt>
                <c:pt idx="183">
                  <c:v>1628472.3057532001</c:v>
                </c:pt>
                <c:pt idx="184">
                  <c:v>1628472.3057532001</c:v>
                </c:pt>
                <c:pt idx="185">
                  <c:v>1628472.3057532001</c:v>
                </c:pt>
                <c:pt idx="186">
                  <c:v>1628472.3057532001</c:v>
                </c:pt>
                <c:pt idx="187">
                  <c:v>1628472.3057532001</c:v>
                </c:pt>
                <c:pt idx="188">
                  <c:v>1628472.3057532001</c:v>
                </c:pt>
                <c:pt idx="189">
                  <c:v>1628472.3057532001</c:v>
                </c:pt>
                <c:pt idx="190">
                  <c:v>1628472.3057532001</c:v>
                </c:pt>
                <c:pt idx="191">
                  <c:v>1628472.3057532001</c:v>
                </c:pt>
                <c:pt idx="192">
                  <c:v>1628472.3057532001</c:v>
                </c:pt>
                <c:pt idx="193">
                  <c:v>1628472.3057532001</c:v>
                </c:pt>
                <c:pt idx="194">
                  <c:v>1628472.3057532001</c:v>
                </c:pt>
                <c:pt idx="195">
                  <c:v>1628472.3057532001</c:v>
                </c:pt>
                <c:pt idx="196">
                  <c:v>1628472.3057532001</c:v>
                </c:pt>
                <c:pt idx="197">
                  <c:v>1628472.3057532001</c:v>
                </c:pt>
                <c:pt idx="198">
                  <c:v>1628472.3057532001</c:v>
                </c:pt>
                <c:pt idx="199">
                  <c:v>1628472.3057532001</c:v>
                </c:pt>
                <c:pt idx="200">
                  <c:v>1628472.3057532001</c:v>
                </c:pt>
                <c:pt idx="201">
                  <c:v>1628472.3057532001</c:v>
                </c:pt>
                <c:pt idx="202">
                  <c:v>1628472.3057532001</c:v>
                </c:pt>
                <c:pt idx="203">
                  <c:v>1628472.3057532001</c:v>
                </c:pt>
                <c:pt idx="204">
                  <c:v>1628472.3057532001</c:v>
                </c:pt>
                <c:pt idx="205">
                  <c:v>1628472.3057532001</c:v>
                </c:pt>
                <c:pt idx="206">
                  <c:v>1628472.3057532001</c:v>
                </c:pt>
                <c:pt idx="207">
                  <c:v>1628472.3057532001</c:v>
                </c:pt>
                <c:pt idx="208">
                  <c:v>1628472.3057532001</c:v>
                </c:pt>
                <c:pt idx="209">
                  <c:v>1628472.3057532001</c:v>
                </c:pt>
                <c:pt idx="210">
                  <c:v>1628472.3057532001</c:v>
                </c:pt>
                <c:pt idx="211">
                  <c:v>1628472.3057532001</c:v>
                </c:pt>
                <c:pt idx="212">
                  <c:v>1628472.3057532001</c:v>
                </c:pt>
                <c:pt idx="213">
                  <c:v>1628472.3057532001</c:v>
                </c:pt>
                <c:pt idx="214">
                  <c:v>1628472.3057532001</c:v>
                </c:pt>
                <c:pt idx="215">
                  <c:v>1628472.3057532001</c:v>
                </c:pt>
                <c:pt idx="216">
                  <c:v>1628472.3057532001</c:v>
                </c:pt>
                <c:pt idx="217">
                  <c:v>1631482.3951735001</c:v>
                </c:pt>
                <c:pt idx="218">
                  <c:v>1631482.3951735001</c:v>
                </c:pt>
                <c:pt idx="219">
                  <c:v>1631482.3951735001</c:v>
                </c:pt>
                <c:pt idx="220">
                  <c:v>1631482.3951735001</c:v>
                </c:pt>
                <c:pt idx="221">
                  <c:v>1634494.0165122999</c:v>
                </c:pt>
                <c:pt idx="222">
                  <c:v>1634494.0165122999</c:v>
                </c:pt>
                <c:pt idx="223">
                  <c:v>1634494.0165122999</c:v>
                </c:pt>
                <c:pt idx="224">
                  <c:v>1634494.0165122999</c:v>
                </c:pt>
                <c:pt idx="225">
                  <c:v>1634494.0165122999</c:v>
                </c:pt>
                <c:pt idx="226">
                  <c:v>1634494.0165122999</c:v>
                </c:pt>
                <c:pt idx="227">
                  <c:v>1634494.0165122999</c:v>
                </c:pt>
                <c:pt idx="228">
                  <c:v>1634494.0165122999</c:v>
                </c:pt>
                <c:pt idx="229">
                  <c:v>1634494.0165122999</c:v>
                </c:pt>
                <c:pt idx="230">
                  <c:v>1634494.0165122999</c:v>
                </c:pt>
                <c:pt idx="231">
                  <c:v>1634494.0165122999</c:v>
                </c:pt>
                <c:pt idx="232">
                  <c:v>1634494.0165122999</c:v>
                </c:pt>
                <c:pt idx="233">
                  <c:v>1634494.0165122999</c:v>
                </c:pt>
                <c:pt idx="234">
                  <c:v>1634494.0165122999</c:v>
                </c:pt>
                <c:pt idx="235">
                  <c:v>1634494.0165122999</c:v>
                </c:pt>
                <c:pt idx="236">
                  <c:v>1634494.0165122999</c:v>
                </c:pt>
                <c:pt idx="237">
                  <c:v>1634494.0165122999</c:v>
                </c:pt>
                <c:pt idx="238">
                  <c:v>1634494.0165122999</c:v>
                </c:pt>
                <c:pt idx="239">
                  <c:v>1634494.0165122999</c:v>
                </c:pt>
                <c:pt idx="240">
                  <c:v>1634494.0165122999</c:v>
                </c:pt>
                <c:pt idx="241">
                  <c:v>1634494.0165122999</c:v>
                </c:pt>
                <c:pt idx="242">
                  <c:v>1634494.0165122999</c:v>
                </c:pt>
                <c:pt idx="243">
                  <c:v>1634494.0165122999</c:v>
                </c:pt>
                <c:pt idx="244">
                  <c:v>1634494.0165122999</c:v>
                </c:pt>
                <c:pt idx="245">
                  <c:v>1634494.0165122999</c:v>
                </c:pt>
                <c:pt idx="246">
                  <c:v>1634494.0165122999</c:v>
                </c:pt>
                <c:pt idx="247">
                  <c:v>1634494.0165122999</c:v>
                </c:pt>
                <c:pt idx="248">
                  <c:v>1634494.0165122999</c:v>
                </c:pt>
                <c:pt idx="249">
                  <c:v>1634494.0165122999</c:v>
                </c:pt>
                <c:pt idx="250">
                  <c:v>1634494.0165122999</c:v>
                </c:pt>
                <c:pt idx="251">
                  <c:v>1634494.0165122999</c:v>
                </c:pt>
                <c:pt idx="252">
                  <c:v>1634494.0165122999</c:v>
                </c:pt>
                <c:pt idx="253">
                  <c:v>1634494.0165122999</c:v>
                </c:pt>
                <c:pt idx="254">
                  <c:v>1634494.0165122999</c:v>
                </c:pt>
                <c:pt idx="255">
                  <c:v>1634494.0165122999</c:v>
                </c:pt>
                <c:pt idx="256">
                  <c:v>1634494.0165122999</c:v>
                </c:pt>
                <c:pt idx="257">
                  <c:v>1634494.0165122999</c:v>
                </c:pt>
                <c:pt idx="258">
                  <c:v>1634494.0165122999</c:v>
                </c:pt>
                <c:pt idx="259">
                  <c:v>1634494.0165122999</c:v>
                </c:pt>
                <c:pt idx="260">
                  <c:v>1634494.0165122999</c:v>
                </c:pt>
                <c:pt idx="261">
                  <c:v>1634494.0165122999</c:v>
                </c:pt>
                <c:pt idx="262">
                  <c:v>1634494.0165122999</c:v>
                </c:pt>
                <c:pt idx="263">
                  <c:v>1634494.0165122999</c:v>
                </c:pt>
                <c:pt idx="264">
                  <c:v>1634494.0165122999</c:v>
                </c:pt>
                <c:pt idx="265">
                  <c:v>1634494.0165122999</c:v>
                </c:pt>
                <c:pt idx="266">
                  <c:v>1634494.0165122999</c:v>
                </c:pt>
                <c:pt idx="267">
                  <c:v>1634494.0165122999</c:v>
                </c:pt>
                <c:pt idx="268">
                  <c:v>1634494.0165122999</c:v>
                </c:pt>
                <c:pt idx="269">
                  <c:v>1634494.0165122999</c:v>
                </c:pt>
                <c:pt idx="270">
                  <c:v>1634494.0165122999</c:v>
                </c:pt>
                <c:pt idx="271">
                  <c:v>1634494.0165122999</c:v>
                </c:pt>
                <c:pt idx="272">
                  <c:v>1634494.0165122999</c:v>
                </c:pt>
                <c:pt idx="273">
                  <c:v>1634494.0165122999</c:v>
                </c:pt>
                <c:pt idx="274">
                  <c:v>1634494.0165122999</c:v>
                </c:pt>
                <c:pt idx="275">
                  <c:v>1634494.0165122999</c:v>
                </c:pt>
                <c:pt idx="276">
                  <c:v>1634494.0165122999</c:v>
                </c:pt>
                <c:pt idx="277">
                  <c:v>1634494.0165122999</c:v>
                </c:pt>
                <c:pt idx="278">
                  <c:v>1634494.0165122999</c:v>
                </c:pt>
                <c:pt idx="279">
                  <c:v>1634494.0165122999</c:v>
                </c:pt>
                <c:pt idx="280">
                  <c:v>1634494.0165122999</c:v>
                </c:pt>
                <c:pt idx="281">
                  <c:v>1634494.0165122999</c:v>
                </c:pt>
                <c:pt idx="282">
                  <c:v>1634494.0165122999</c:v>
                </c:pt>
                <c:pt idx="283">
                  <c:v>1634494.0165122999</c:v>
                </c:pt>
                <c:pt idx="284">
                  <c:v>1634494.0165122999</c:v>
                </c:pt>
                <c:pt idx="285">
                  <c:v>1634494.0165122999</c:v>
                </c:pt>
                <c:pt idx="286">
                  <c:v>1634494.0165122999</c:v>
                </c:pt>
                <c:pt idx="287">
                  <c:v>1634494.0165122999</c:v>
                </c:pt>
                <c:pt idx="288">
                  <c:v>1634494.0165122999</c:v>
                </c:pt>
                <c:pt idx="289">
                  <c:v>1634494.0165122999</c:v>
                </c:pt>
                <c:pt idx="290">
                  <c:v>1634494.0165122999</c:v>
                </c:pt>
                <c:pt idx="291">
                  <c:v>1634494.0165122999</c:v>
                </c:pt>
                <c:pt idx="292">
                  <c:v>1634494.0165122999</c:v>
                </c:pt>
                <c:pt idx="293">
                  <c:v>1634494.0165122999</c:v>
                </c:pt>
                <c:pt idx="294">
                  <c:v>1634494.0165122999</c:v>
                </c:pt>
                <c:pt idx="295">
                  <c:v>1634494.0165122999</c:v>
                </c:pt>
                <c:pt idx="296">
                  <c:v>1634494.0165122999</c:v>
                </c:pt>
                <c:pt idx="297">
                  <c:v>1634494.0165122999</c:v>
                </c:pt>
                <c:pt idx="298">
                  <c:v>1634494.0165122999</c:v>
                </c:pt>
                <c:pt idx="299">
                  <c:v>1634494.0165122999</c:v>
                </c:pt>
                <c:pt idx="300">
                  <c:v>1634494.0165122999</c:v>
                </c:pt>
                <c:pt idx="301">
                  <c:v>1634494.0165122999</c:v>
                </c:pt>
                <c:pt idx="302">
                  <c:v>1634494.0165122999</c:v>
                </c:pt>
                <c:pt idx="303">
                  <c:v>1634494.0165122999</c:v>
                </c:pt>
                <c:pt idx="304">
                  <c:v>1634494.0165122999</c:v>
                </c:pt>
                <c:pt idx="305">
                  <c:v>1634494.0165122999</c:v>
                </c:pt>
                <c:pt idx="306">
                  <c:v>1634494.0165122999</c:v>
                </c:pt>
                <c:pt idx="307">
                  <c:v>1634494.0165122999</c:v>
                </c:pt>
                <c:pt idx="308">
                  <c:v>1634494.0165122999</c:v>
                </c:pt>
                <c:pt idx="309">
                  <c:v>1634494.0165122999</c:v>
                </c:pt>
                <c:pt idx="310">
                  <c:v>1634494.0165122999</c:v>
                </c:pt>
                <c:pt idx="311">
                  <c:v>1634494.0165122999</c:v>
                </c:pt>
                <c:pt idx="312">
                  <c:v>1631482.3951735001</c:v>
                </c:pt>
                <c:pt idx="313">
                  <c:v>1631482.3951735001</c:v>
                </c:pt>
                <c:pt idx="314">
                  <c:v>1631482.3951735001</c:v>
                </c:pt>
                <c:pt idx="315">
                  <c:v>1631482.3951735001</c:v>
                </c:pt>
                <c:pt idx="316">
                  <c:v>1634494.0165122999</c:v>
                </c:pt>
                <c:pt idx="317">
                  <c:v>1634494.0165122999</c:v>
                </c:pt>
                <c:pt idx="318">
                  <c:v>1631482.3951735001</c:v>
                </c:pt>
                <c:pt idx="319">
                  <c:v>1631482.3951735001</c:v>
                </c:pt>
                <c:pt idx="320">
                  <c:v>1631482.3951735001</c:v>
                </c:pt>
                <c:pt idx="321">
                  <c:v>1631482.3951735001</c:v>
                </c:pt>
                <c:pt idx="322">
                  <c:v>1631482.3951735001</c:v>
                </c:pt>
                <c:pt idx="323">
                  <c:v>1628472.3057532001</c:v>
                </c:pt>
                <c:pt idx="324">
                  <c:v>1631482.3951735001</c:v>
                </c:pt>
                <c:pt idx="325">
                  <c:v>1631482.3951735001</c:v>
                </c:pt>
                <c:pt idx="326">
                  <c:v>1628472.3057532001</c:v>
                </c:pt>
                <c:pt idx="327">
                  <c:v>1628472.3057532001</c:v>
                </c:pt>
                <c:pt idx="328">
                  <c:v>1628472.3057532001</c:v>
                </c:pt>
                <c:pt idx="329">
                  <c:v>1628472.3057532001</c:v>
                </c:pt>
                <c:pt idx="330">
                  <c:v>1628472.3057532001</c:v>
                </c:pt>
                <c:pt idx="331">
                  <c:v>1628472.3057532001</c:v>
                </c:pt>
                <c:pt idx="332">
                  <c:v>1628472.3057532001</c:v>
                </c:pt>
                <c:pt idx="333">
                  <c:v>1628472.3057532001</c:v>
                </c:pt>
                <c:pt idx="334">
                  <c:v>1628472.3057532001</c:v>
                </c:pt>
                <c:pt idx="335">
                  <c:v>1628472.3057532001</c:v>
                </c:pt>
                <c:pt idx="336">
                  <c:v>1628472.3057532001</c:v>
                </c:pt>
                <c:pt idx="337">
                  <c:v>1628472.3057532001</c:v>
                </c:pt>
                <c:pt idx="338">
                  <c:v>1628472.3057532001</c:v>
                </c:pt>
                <c:pt idx="339">
                  <c:v>1625463.7590197001</c:v>
                </c:pt>
                <c:pt idx="340">
                  <c:v>1625463.7590197001</c:v>
                </c:pt>
                <c:pt idx="341">
                  <c:v>1625463.7590197001</c:v>
                </c:pt>
                <c:pt idx="342">
                  <c:v>1625463.7590197001</c:v>
                </c:pt>
                <c:pt idx="343">
                  <c:v>1625463.7590197001</c:v>
                </c:pt>
                <c:pt idx="344">
                  <c:v>1625463.7590197001</c:v>
                </c:pt>
                <c:pt idx="345">
                  <c:v>1625463.7590197001</c:v>
                </c:pt>
                <c:pt idx="346">
                  <c:v>1625463.7590197001</c:v>
                </c:pt>
                <c:pt idx="347">
                  <c:v>1625463.7590197001</c:v>
                </c:pt>
                <c:pt idx="348">
                  <c:v>1625463.7590197001</c:v>
                </c:pt>
                <c:pt idx="349">
                  <c:v>1625463.7590197001</c:v>
                </c:pt>
                <c:pt idx="350">
                  <c:v>1622456.7729032</c:v>
                </c:pt>
                <c:pt idx="351">
                  <c:v>1622456.7729032</c:v>
                </c:pt>
                <c:pt idx="352">
                  <c:v>1622456.7729032</c:v>
                </c:pt>
                <c:pt idx="353">
                  <c:v>1622456.7729032</c:v>
                </c:pt>
                <c:pt idx="354">
                  <c:v>1622456.7729032</c:v>
                </c:pt>
                <c:pt idx="355">
                  <c:v>1622456.7729032</c:v>
                </c:pt>
                <c:pt idx="356">
                  <c:v>1622456.7729032</c:v>
                </c:pt>
                <c:pt idx="357">
                  <c:v>1622456.7729032</c:v>
                </c:pt>
                <c:pt idx="358">
                  <c:v>1622456.7729032</c:v>
                </c:pt>
                <c:pt idx="359">
                  <c:v>1622456.7729032</c:v>
                </c:pt>
                <c:pt idx="360">
                  <c:v>1622456.7729032</c:v>
                </c:pt>
                <c:pt idx="361">
                  <c:v>1622456.7729032</c:v>
                </c:pt>
                <c:pt idx="362">
                  <c:v>1622456.7729032</c:v>
                </c:pt>
                <c:pt idx="363">
                  <c:v>1622456.7729032</c:v>
                </c:pt>
                <c:pt idx="364">
                  <c:v>1622456.7729032</c:v>
                </c:pt>
                <c:pt idx="365">
                  <c:v>1622456.7729032</c:v>
                </c:pt>
                <c:pt idx="366">
                  <c:v>1622456.7729032</c:v>
                </c:pt>
                <c:pt idx="367">
                  <c:v>1622456.7729032</c:v>
                </c:pt>
                <c:pt idx="368">
                  <c:v>1622456.7729032</c:v>
                </c:pt>
                <c:pt idx="369">
                  <c:v>1622456.7729032</c:v>
                </c:pt>
                <c:pt idx="370">
                  <c:v>1622456.7729032</c:v>
                </c:pt>
                <c:pt idx="371">
                  <c:v>1622456.7729032</c:v>
                </c:pt>
                <c:pt idx="372">
                  <c:v>1619451.3170382001</c:v>
                </c:pt>
                <c:pt idx="373">
                  <c:v>1622456.7729032</c:v>
                </c:pt>
                <c:pt idx="374">
                  <c:v>1625463.7590197001</c:v>
                </c:pt>
                <c:pt idx="375">
                  <c:v>1625463.7590197001</c:v>
                </c:pt>
                <c:pt idx="376">
                  <c:v>1628472.3057532001</c:v>
                </c:pt>
                <c:pt idx="377">
                  <c:v>1628472.3057532001</c:v>
                </c:pt>
                <c:pt idx="378">
                  <c:v>1628472.3057532001</c:v>
                </c:pt>
                <c:pt idx="379">
                  <c:v>1628472.3057532001</c:v>
                </c:pt>
                <c:pt idx="380">
                  <c:v>1628472.3057532001</c:v>
                </c:pt>
                <c:pt idx="381">
                  <c:v>1631482.3951735001</c:v>
                </c:pt>
                <c:pt idx="382">
                  <c:v>1634494.0165122999</c:v>
                </c:pt>
                <c:pt idx="383">
                  <c:v>1634494.0165122999</c:v>
                </c:pt>
                <c:pt idx="384">
                  <c:v>1634494.0165122999</c:v>
                </c:pt>
                <c:pt idx="385">
                  <c:v>1634494.0165122999</c:v>
                </c:pt>
                <c:pt idx="386">
                  <c:v>1634494.0165122999</c:v>
                </c:pt>
                <c:pt idx="387">
                  <c:v>1634494.0165122999</c:v>
                </c:pt>
                <c:pt idx="388">
                  <c:v>1634494.0165122999</c:v>
                </c:pt>
                <c:pt idx="389">
                  <c:v>1634494.0165122999</c:v>
                </c:pt>
                <c:pt idx="390">
                  <c:v>1634494.0165122999</c:v>
                </c:pt>
                <c:pt idx="391">
                  <c:v>1637507.2197397</c:v>
                </c:pt>
                <c:pt idx="392">
                  <c:v>1637507.2197397</c:v>
                </c:pt>
                <c:pt idx="393">
                  <c:v>1637507.2197397</c:v>
                </c:pt>
                <c:pt idx="394">
                  <c:v>1637507.2197397</c:v>
                </c:pt>
                <c:pt idx="395">
                  <c:v>1637507.2197397</c:v>
                </c:pt>
                <c:pt idx="396">
                  <c:v>1637507.2197397</c:v>
                </c:pt>
                <c:pt idx="397">
                  <c:v>1637507.2197397</c:v>
                </c:pt>
                <c:pt idx="398">
                  <c:v>1637507.2197397</c:v>
                </c:pt>
                <c:pt idx="399">
                  <c:v>1637507.2197397</c:v>
                </c:pt>
                <c:pt idx="400">
                  <c:v>1637507.2197397</c:v>
                </c:pt>
                <c:pt idx="401">
                  <c:v>1637507.2197397</c:v>
                </c:pt>
                <c:pt idx="402">
                  <c:v>1637507.2197397</c:v>
                </c:pt>
                <c:pt idx="403">
                  <c:v>1637507.2197397</c:v>
                </c:pt>
                <c:pt idx="404">
                  <c:v>1637507.2197397</c:v>
                </c:pt>
                <c:pt idx="405">
                  <c:v>1637507.2197397</c:v>
                </c:pt>
                <c:pt idx="406">
                  <c:v>1637507.2197397</c:v>
                </c:pt>
                <c:pt idx="407">
                  <c:v>1637507.2197397</c:v>
                </c:pt>
                <c:pt idx="408">
                  <c:v>1637507.2197397</c:v>
                </c:pt>
                <c:pt idx="409">
                  <c:v>1637507.2197397</c:v>
                </c:pt>
                <c:pt idx="410">
                  <c:v>1637507.2197397</c:v>
                </c:pt>
                <c:pt idx="411">
                  <c:v>1637507.2197397</c:v>
                </c:pt>
                <c:pt idx="412">
                  <c:v>1637507.2197397</c:v>
                </c:pt>
                <c:pt idx="413">
                  <c:v>1637507.2197397</c:v>
                </c:pt>
                <c:pt idx="414">
                  <c:v>1637507.2197397</c:v>
                </c:pt>
                <c:pt idx="415">
                  <c:v>1637507.2197397</c:v>
                </c:pt>
                <c:pt idx="416">
                  <c:v>1637507.2197397</c:v>
                </c:pt>
                <c:pt idx="417">
                  <c:v>1637507.2197397</c:v>
                </c:pt>
                <c:pt idx="418">
                  <c:v>1637507.2197397</c:v>
                </c:pt>
                <c:pt idx="419">
                  <c:v>1637507.2197397</c:v>
                </c:pt>
                <c:pt idx="420">
                  <c:v>1637507.2197397</c:v>
                </c:pt>
                <c:pt idx="421">
                  <c:v>1637507.2197397</c:v>
                </c:pt>
                <c:pt idx="422">
                  <c:v>1637507.2197397</c:v>
                </c:pt>
                <c:pt idx="423">
                  <c:v>1637507.2197397</c:v>
                </c:pt>
                <c:pt idx="424">
                  <c:v>1637507.2197397</c:v>
                </c:pt>
                <c:pt idx="425">
                  <c:v>1637507.2197397</c:v>
                </c:pt>
                <c:pt idx="426">
                  <c:v>1637507.2197397</c:v>
                </c:pt>
                <c:pt idx="427">
                  <c:v>1637507.2197397</c:v>
                </c:pt>
                <c:pt idx="428">
                  <c:v>1637507.2197397</c:v>
                </c:pt>
                <c:pt idx="429">
                  <c:v>1637507.2197397</c:v>
                </c:pt>
                <c:pt idx="430">
                  <c:v>1637507.2197397</c:v>
                </c:pt>
                <c:pt idx="431">
                  <c:v>1634494.0165122999</c:v>
                </c:pt>
                <c:pt idx="432">
                  <c:v>1634494.0165122999</c:v>
                </c:pt>
                <c:pt idx="433">
                  <c:v>1634494.0165122999</c:v>
                </c:pt>
                <c:pt idx="434">
                  <c:v>1634494.0165122999</c:v>
                </c:pt>
                <c:pt idx="435">
                  <c:v>1634494.0165122999</c:v>
                </c:pt>
                <c:pt idx="436">
                  <c:v>1634494.0165122999</c:v>
                </c:pt>
                <c:pt idx="437">
                  <c:v>1634494.0165122999</c:v>
                </c:pt>
                <c:pt idx="438">
                  <c:v>1634494.0165122999</c:v>
                </c:pt>
                <c:pt idx="439">
                  <c:v>1634494.0165122999</c:v>
                </c:pt>
                <c:pt idx="440">
                  <c:v>1634494.0165122999</c:v>
                </c:pt>
                <c:pt idx="441">
                  <c:v>1634494.0165122999</c:v>
                </c:pt>
                <c:pt idx="442">
                  <c:v>1634494.0165122999</c:v>
                </c:pt>
                <c:pt idx="443">
                  <c:v>1634494.0165122999</c:v>
                </c:pt>
                <c:pt idx="444">
                  <c:v>1634494.0165122999</c:v>
                </c:pt>
                <c:pt idx="445">
                  <c:v>1634494.0165122999</c:v>
                </c:pt>
                <c:pt idx="446">
                  <c:v>1634494.0165122999</c:v>
                </c:pt>
                <c:pt idx="447">
                  <c:v>1634494.0165122999</c:v>
                </c:pt>
                <c:pt idx="448">
                  <c:v>1634494.0165122999</c:v>
                </c:pt>
                <c:pt idx="449">
                  <c:v>1634494.0165122999</c:v>
                </c:pt>
                <c:pt idx="450">
                  <c:v>1634494.0165122999</c:v>
                </c:pt>
                <c:pt idx="451">
                  <c:v>1634494.0165122999</c:v>
                </c:pt>
                <c:pt idx="452">
                  <c:v>1634494.0165122999</c:v>
                </c:pt>
                <c:pt idx="453">
                  <c:v>1631482.3951735001</c:v>
                </c:pt>
                <c:pt idx="454">
                  <c:v>1628472.3057532001</c:v>
                </c:pt>
                <c:pt idx="455">
                  <c:v>1631482.3951735001</c:v>
                </c:pt>
                <c:pt idx="456">
                  <c:v>1631482.3951735001</c:v>
                </c:pt>
                <c:pt idx="457">
                  <c:v>1631482.3951735001</c:v>
                </c:pt>
                <c:pt idx="458">
                  <c:v>1631482.3951735001</c:v>
                </c:pt>
                <c:pt idx="459">
                  <c:v>1631482.3951735001</c:v>
                </c:pt>
                <c:pt idx="460">
                  <c:v>1643538.2164867001</c:v>
                </c:pt>
                <c:pt idx="461">
                  <c:v>1652616.0060848999</c:v>
                </c:pt>
                <c:pt idx="462">
                  <c:v>1689066.0691295001</c:v>
                </c:pt>
                <c:pt idx="463">
                  <c:v>1710454.4363392999</c:v>
                </c:pt>
                <c:pt idx="464">
                  <c:v>1716595.6600502001</c:v>
                </c:pt>
                <c:pt idx="465">
                  <c:v>1719668.7023854</c:v>
                </c:pt>
                <c:pt idx="466">
                  <c:v>1722743.3880805001</c:v>
                </c:pt>
                <c:pt idx="467">
                  <c:v>1722743.3880805001</c:v>
                </c:pt>
                <c:pt idx="468">
                  <c:v>1722743.3880805001</c:v>
                </c:pt>
                <c:pt idx="469">
                  <c:v>1719668.7023854</c:v>
                </c:pt>
                <c:pt idx="470">
                  <c:v>1719668.7023854</c:v>
                </c:pt>
                <c:pt idx="471">
                  <c:v>1716595.6600502001</c:v>
                </c:pt>
                <c:pt idx="472">
                  <c:v>1716595.6600502001</c:v>
                </c:pt>
                <c:pt idx="473">
                  <c:v>1716595.6600502001</c:v>
                </c:pt>
                <c:pt idx="474">
                  <c:v>1713524.2337388999</c:v>
                </c:pt>
                <c:pt idx="475">
                  <c:v>1713524.2337388999</c:v>
                </c:pt>
                <c:pt idx="476">
                  <c:v>1710454.4363392999</c:v>
                </c:pt>
                <c:pt idx="477">
                  <c:v>1710454.4363392999</c:v>
                </c:pt>
                <c:pt idx="478">
                  <c:v>1710454.4363392999</c:v>
                </c:pt>
                <c:pt idx="479">
                  <c:v>1707386.3914463001</c:v>
                </c:pt>
                <c:pt idx="480">
                  <c:v>1704320.2680112</c:v>
                </c:pt>
                <c:pt idx="481">
                  <c:v>1704320.2680112</c:v>
                </c:pt>
                <c:pt idx="482">
                  <c:v>1704320.2680112</c:v>
                </c:pt>
                <c:pt idx="483">
                  <c:v>1704320.2680112</c:v>
                </c:pt>
                <c:pt idx="484">
                  <c:v>1701265.9872818999</c:v>
                </c:pt>
                <c:pt idx="485">
                  <c:v>1698213.6426939999</c:v>
                </c:pt>
                <c:pt idx="486">
                  <c:v>1698213.6426939999</c:v>
                </c:pt>
                <c:pt idx="487">
                  <c:v>1698213.6426939999</c:v>
                </c:pt>
                <c:pt idx="488">
                  <c:v>1695162.8519716</c:v>
                </c:pt>
                <c:pt idx="489">
                  <c:v>1695162.8519716</c:v>
                </c:pt>
                <c:pt idx="490">
                  <c:v>1692113.6615758</c:v>
                </c:pt>
                <c:pt idx="491">
                  <c:v>1692113.6615758</c:v>
                </c:pt>
                <c:pt idx="492">
                  <c:v>1692113.6615758</c:v>
                </c:pt>
                <c:pt idx="493">
                  <c:v>1692113.6615758</c:v>
                </c:pt>
                <c:pt idx="494">
                  <c:v>1689066.0691295001</c:v>
                </c:pt>
                <c:pt idx="495">
                  <c:v>1689066.0691295001</c:v>
                </c:pt>
                <c:pt idx="496">
                  <c:v>1689066.0691295001</c:v>
                </c:pt>
                <c:pt idx="497">
                  <c:v>1689066.0691295001</c:v>
                </c:pt>
                <c:pt idx="498">
                  <c:v>1689066.0691295001</c:v>
                </c:pt>
                <c:pt idx="499">
                  <c:v>1686020.0677445</c:v>
                </c:pt>
                <c:pt idx="500">
                  <c:v>1686020.0677445</c:v>
                </c:pt>
                <c:pt idx="501">
                  <c:v>1682975.6527668999</c:v>
                </c:pt>
                <c:pt idx="502">
                  <c:v>1682975.6527668999</c:v>
                </c:pt>
                <c:pt idx="503">
                  <c:v>1682975.6527668999</c:v>
                </c:pt>
                <c:pt idx="504">
                  <c:v>1682975.6527668999</c:v>
                </c:pt>
                <c:pt idx="505">
                  <c:v>1682975.6527668999</c:v>
                </c:pt>
                <c:pt idx="506">
                  <c:v>1679932.8392697</c:v>
                </c:pt>
                <c:pt idx="507">
                  <c:v>1676891.4600323001</c:v>
                </c:pt>
                <c:pt idx="508">
                  <c:v>1676891.4600323001</c:v>
                </c:pt>
                <c:pt idx="509">
                  <c:v>1676891.4600323001</c:v>
                </c:pt>
                <c:pt idx="510">
                  <c:v>1676891.4600323001</c:v>
                </c:pt>
                <c:pt idx="511">
                  <c:v>1676891.4600323001</c:v>
                </c:pt>
                <c:pt idx="512">
                  <c:v>1676891.4600323001</c:v>
                </c:pt>
                <c:pt idx="513">
                  <c:v>1676891.4600323001</c:v>
                </c:pt>
                <c:pt idx="514">
                  <c:v>1673851.7406957999</c:v>
                </c:pt>
                <c:pt idx="515">
                  <c:v>1673851.7406957999</c:v>
                </c:pt>
                <c:pt idx="516">
                  <c:v>1670813.4823932</c:v>
                </c:pt>
                <c:pt idx="517">
                  <c:v>1670813.4823932</c:v>
                </c:pt>
                <c:pt idx="518">
                  <c:v>1670813.4823932</c:v>
                </c:pt>
                <c:pt idx="519">
                  <c:v>1670813.4823932</c:v>
                </c:pt>
                <c:pt idx="520">
                  <c:v>1670813.4823932</c:v>
                </c:pt>
                <c:pt idx="521">
                  <c:v>1670813.4823932</c:v>
                </c:pt>
                <c:pt idx="522">
                  <c:v>1667776.8298903999</c:v>
                </c:pt>
                <c:pt idx="523">
                  <c:v>1664741.6725647999</c:v>
                </c:pt>
                <c:pt idx="524">
                  <c:v>1664741.6725647999</c:v>
                </c:pt>
                <c:pt idx="525">
                  <c:v>1664741.6725647999</c:v>
                </c:pt>
                <c:pt idx="526">
                  <c:v>1664741.6725647999</c:v>
                </c:pt>
                <c:pt idx="527">
                  <c:v>1667776.8298903999</c:v>
                </c:pt>
                <c:pt idx="528">
                  <c:v>1664741.6725647999</c:v>
                </c:pt>
                <c:pt idx="529">
                  <c:v>1661708.0167959</c:v>
                </c:pt>
                <c:pt idx="530">
                  <c:v>1661708.0167959</c:v>
                </c:pt>
                <c:pt idx="531">
                  <c:v>1661708.0167959</c:v>
                </c:pt>
                <c:pt idx="532">
                  <c:v>1661708.0167959</c:v>
                </c:pt>
                <c:pt idx="533">
                  <c:v>1661708.0167959</c:v>
                </c:pt>
                <c:pt idx="534">
                  <c:v>1661708.0167959</c:v>
                </c:pt>
                <c:pt idx="535">
                  <c:v>1661708.0167959</c:v>
                </c:pt>
                <c:pt idx="536">
                  <c:v>1661708.0167959</c:v>
                </c:pt>
                <c:pt idx="537">
                  <c:v>1658675.7961466999</c:v>
                </c:pt>
                <c:pt idx="538">
                  <c:v>1658675.7961466999</c:v>
                </c:pt>
                <c:pt idx="539">
                  <c:v>1658675.7961466999</c:v>
                </c:pt>
                <c:pt idx="540">
                  <c:v>1655645.1614623</c:v>
                </c:pt>
                <c:pt idx="541">
                  <c:v>1655645.1614623</c:v>
                </c:pt>
                <c:pt idx="542">
                  <c:v>1655645.1614623</c:v>
                </c:pt>
                <c:pt idx="543">
                  <c:v>1652616.0060848999</c:v>
                </c:pt>
                <c:pt idx="544">
                  <c:v>1652616.0060848999</c:v>
                </c:pt>
                <c:pt idx="545">
                  <c:v>1652616.0060848999</c:v>
                </c:pt>
                <c:pt idx="546">
                  <c:v>1652616.0060848999</c:v>
                </c:pt>
                <c:pt idx="547">
                  <c:v>1652616.0060848999</c:v>
                </c:pt>
                <c:pt idx="548">
                  <c:v>1652616.0060848999</c:v>
                </c:pt>
                <c:pt idx="549">
                  <c:v>1652616.0060848999</c:v>
                </c:pt>
                <c:pt idx="550">
                  <c:v>1652616.0060848999</c:v>
                </c:pt>
                <c:pt idx="551">
                  <c:v>1652616.0060848999</c:v>
                </c:pt>
                <c:pt idx="552">
                  <c:v>1652616.0060848999</c:v>
                </c:pt>
                <c:pt idx="553">
                  <c:v>1649588.4715396999</c:v>
                </c:pt>
                <c:pt idx="554">
                  <c:v>1649588.4715396999</c:v>
                </c:pt>
                <c:pt idx="555">
                  <c:v>1649588.4715396999</c:v>
                </c:pt>
                <c:pt idx="556">
                  <c:v>1649588.4715396999</c:v>
                </c:pt>
                <c:pt idx="557">
                  <c:v>1649588.4715396999</c:v>
                </c:pt>
                <c:pt idx="558">
                  <c:v>1649588.4715396999</c:v>
                </c:pt>
                <c:pt idx="559">
                  <c:v>1649588.4715396999</c:v>
                </c:pt>
                <c:pt idx="560">
                  <c:v>1649588.4715396999</c:v>
                </c:pt>
                <c:pt idx="561">
                  <c:v>1649588.4715396999</c:v>
                </c:pt>
                <c:pt idx="562">
                  <c:v>1646562.4785364</c:v>
                </c:pt>
                <c:pt idx="563">
                  <c:v>1646562.4785364</c:v>
                </c:pt>
                <c:pt idx="564">
                  <c:v>1643538.2164867001</c:v>
                </c:pt>
                <c:pt idx="565">
                  <c:v>1643538.2164867001</c:v>
                </c:pt>
                <c:pt idx="566">
                  <c:v>1643538.2164867001</c:v>
                </c:pt>
                <c:pt idx="567">
                  <c:v>1646562.4785364</c:v>
                </c:pt>
                <c:pt idx="568">
                  <c:v>1649588.4715396999</c:v>
                </c:pt>
                <c:pt idx="569">
                  <c:v>1649588.4715396999</c:v>
                </c:pt>
                <c:pt idx="570">
                  <c:v>1649588.4715396999</c:v>
                </c:pt>
                <c:pt idx="571">
                  <c:v>1649588.4715396999</c:v>
                </c:pt>
                <c:pt idx="572">
                  <c:v>1649588.4715396999</c:v>
                </c:pt>
                <c:pt idx="573">
                  <c:v>1649588.4715396999</c:v>
                </c:pt>
                <c:pt idx="574">
                  <c:v>1649588.4715396999</c:v>
                </c:pt>
                <c:pt idx="575">
                  <c:v>1649588.4715396999</c:v>
                </c:pt>
                <c:pt idx="576">
                  <c:v>1649588.4715396999</c:v>
                </c:pt>
                <c:pt idx="577">
                  <c:v>1649588.4715396999</c:v>
                </c:pt>
                <c:pt idx="578">
                  <c:v>1649588.4715396999</c:v>
                </c:pt>
                <c:pt idx="579">
                  <c:v>1646562.4785364</c:v>
                </c:pt>
                <c:pt idx="580">
                  <c:v>1646562.4785364</c:v>
                </c:pt>
                <c:pt idx="581">
                  <c:v>1646562.4785364</c:v>
                </c:pt>
                <c:pt idx="582">
                  <c:v>1646562.4785364</c:v>
                </c:pt>
                <c:pt idx="583">
                  <c:v>1646562.4785364</c:v>
                </c:pt>
                <c:pt idx="584">
                  <c:v>1646562.4785364</c:v>
                </c:pt>
                <c:pt idx="585">
                  <c:v>1646562.4785364</c:v>
                </c:pt>
                <c:pt idx="586">
                  <c:v>1646562.4785364</c:v>
                </c:pt>
                <c:pt idx="587">
                  <c:v>1643538.2164867001</c:v>
                </c:pt>
                <c:pt idx="588">
                  <c:v>1643538.2164867001</c:v>
                </c:pt>
                <c:pt idx="589">
                  <c:v>1643538.2164867001</c:v>
                </c:pt>
                <c:pt idx="590">
                  <c:v>1643538.2164867001</c:v>
                </c:pt>
                <c:pt idx="591">
                  <c:v>1643538.2164867001</c:v>
                </c:pt>
                <c:pt idx="592">
                  <c:v>1643538.2164867001</c:v>
                </c:pt>
                <c:pt idx="593">
                  <c:v>1643538.2164867001</c:v>
                </c:pt>
                <c:pt idx="594">
                  <c:v>1643538.2164867001</c:v>
                </c:pt>
                <c:pt idx="595">
                  <c:v>1643538.2164867001</c:v>
                </c:pt>
                <c:pt idx="596">
                  <c:v>1643538.2164867001</c:v>
                </c:pt>
                <c:pt idx="597">
                  <c:v>1643538.2164867001</c:v>
                </c:pt>
                <c:pt idx="598">
                  <c:v>1643538.2164867001</c:v>
                </c:pt>
                <c:pt idx="599">
                  <c:v>1643538.2164867001</c:v>
                </c:pt>
                <c:pt idx="600">
                  <c:v>1643538.2164867001</c:v>
                </c:pt>
                <c:pt idx="601">
                  <c:v>1643538.2164867001</c:v>
                </c:pt>
                <c:pt idx="602">
                  <c:v>1640521.8742390999</c:v>
                </c:pt>
                <c:pt idx="603">
                  <c:v>1643538.2164867001</c:v>
                </c:pt>
                <c:pt idx="604">
                  <c:v>1640521.8742390999</c:v>
                </c:pt>
                <c:pt idx="605">
                  <c:v>1640521.8742390999</c:v>
                </c:pt>
                <c:pt idx="606">
                  <c:v>1640521.8742390999</c:v>
                </c:pt>
                <c:pt idx="607">
                  <c:v>1637507.2197397</c:v>
                </c:pt>
                <c:pt idx="608">
                  <c:v>1640521.8742390999</c:v>
                </c:pt>
                <c:pt idx="609">
                  <c:v>1637507.2197397</c:v>
                </c:pt>
                <c:pt idx="610">
                  <c:v>1637507.2197397</c:v>
                </c:pt>
                <c:pt idx="611">
                  <c:v>1637507.2197397</c:v>
                </c:pt>
                <c:pt idx="612">
                  <c:v>1637507.2197397</c:v>
                </c:pt>
                <c:pt idx="613">
                  <c:v>1637507.2197397</c:v>
                </c:pt>
                <c:pt idx="614">
                  <c:v>1637507.2197397</c:v>
                </c:pt>
                <c:pt idx="615">
                  <c:v>1637507.2197397</c:v>
                </c:pt>
                <c:pt idx="616">
                  <c:v>1637507.2197397</c:v>
                </c:pt>
                <c:pt idx="617">
                  <c:v>1637507.2197397</c:v>
                </c:pt>
                <c:pt idx="618">
                  <c:v>1637507.2197397</c:v>
                </c:pt>
                <c:pt idx="619">
                  <c:v>1637507.2197397</c:v>
                </c:pt>
                <c:pt idx="620">
                  <c:v>1637507.2197397</c:v>
                </c:pt>
                <c:pt idx="621">
                  <c:v>1637507.2197397</c:v>
                </c:pt>
                <c:pt idx="622">
                  <c:v>1637507.2197397</c:v>
                </c:pt>
                <c:pt idx="623">
                  <c:v>1637507.2197397</c:v>
                </c:pt>
                <c:pt idx="624">
                  <c:v>1640521.8742390999</c:v>
                </c:pt>
                <c:pt idx="625">
                  <c:v>1640521.8742390999</c:v>
                </c:pt>
                <c:pt idx="626">
                  <c:v>1637507.2197397</c:v>
                </c:pt>
                <c:pt idx="627">
                  <c:v>1640521.8742390999</c:v>
                </c:pt>
                <c:pt idx="628">
                  <c:v>1640521.8742390999</c:v>
                </c:pt>
                <c:pt idx="629">
                  <c:v>1640521.8742390999</c:v>
                </c:pt>
                <c:pt idx="630">
                  <c:v>1643538.2164867001</c:v>
                </c:pt>
                <c:pt idx="631">
                  <c:v>1643538.2164867001</c:v>
                </c:pt>
                <c:pt idx="632">
                  <c:v>1643538.2164867001</c:v>
                </c:pt>
                <c:pt idx="633">
                  <c:v>1646562.4785364</c:v>
                </c:pt>
                <c:pt idx="634">
                  <c:v>1652616.0060848999</c:v>
                </c:pt>
                <c:pt idx="635">
                  <c:v>1661708.0167959</c:v>
                </c:pt>
                <c:pt idx="636">
                  <c:v>1676891.4600323001</c:v>
                </c:pt>
                <c:pt idx="637">
                  <c:v>1704320.2680112</c:v>
                </c:pt>
                <c:pt idx="638">
                  <c:v>1728897.6614808999</c:v>
                </c:pt>
                <c:pt idx="639">
                  <c:v>1756674.0791535999</c:v>
                </c:pt>
                <c:pt idx="640">
                  <c:v>1784660.6460545999</c:v>
                </c:pt>
                <c:pt idx="641">
                  <c:v>1803430.7613921</c:v>
                </c:pt>
                <c:pt idx="642">
                  <c:v>1812844.0720364</c:v>
                </c:pt>
                <c:pt idx="643">
                  <c:v>1819130.2569062</c:v>
                </c:pt>
                <c:pt idx="644">
                  <c:v>1815986.1206991</c:v>
                </c:pt>
                <c:pt idx="645">
                  <c:v>1812844.0720364</c:v>
                </c:pt>
                <c:pt idx="646">
                  <c:v>1812844.0720364</c:v>
                </c:pt>
                <c:pt idx="647">
                  <c:v>1806566.4209612999</c:v>
                </c:pt>
                <c:pt idx="648">
                  <c:v>1800297.2455334</c:v>
                </c:pt>
                <c:pt idx="649">
                  <c:v>1797165.7765730999</c:v>
                </c:pt>
                <c:pt idx="650">
                  <c:v>1790909.120043</c:v>
                </c:pt>
                <c:pt idx="651">
                  <c:v>1784660.6460545999</c:v>
                </c:pt>
                <c:pt idx="652">
                  <c:v>1781539.4187105999</c:v>
                </c:pt>
                <c:pt idx="653">
                  <c:v>1778420.1250922</c:v>
                </c:pt>
                <c:pt idx="654">
                  <c:v>1772187.5765013001</c:v>
                </c:pt>
                <c:pt idx="655">
                  <c:v>1765963.4900541999</c:v>
                </c:pt>
                <c:pt idx="656">
                  <c:v>1762865.1589162999</c:v>
                </c:pt>
                <c:pt idx="657">
                  <c:v>1762865.1589162999</c:v>
                </c:pt>
                <c:pt idx="658">
                  <c:v>1756674.0791535999</c:v>
                </c:pt>
                <c:pt idx="659">
                  <c:v>1753581.1481606001</c:v>
                </c:pt>
                <c:pt idx="660">
                  <c:v>1750489.8990714001</c:v>
                </c:pt>
                <c:pt idx="661">
                  <c:v>1747400.294549</c:v>
                </c:pt>
                <c:pt idx="662">
                  <c:v>1744312.3770924001</c:v>
                </c:pt>
                <c:pt idx="663">
                  <c:v>1741226.0555606</c:v>
                </c:pt>
                <c:pt idx="664">
                  <c:v>1738141.5165156999</c:v>
                </c:pt>
                <c:pt idx="665">
                  <c:v>1738141.5165156999</c:v>
                </c:pt>
                <c:pt idx="666">
                  <c:v>1731977.2619970001</c:v>
                </c:pt>
                <c:pt idx="667">
                  <c:v>1731977.2619970001</c:v>
                </c:pt>
                <c:pt idx="668">
                  <c:v>1728897.6614808999</c:v>
                </c:pt>
                <c:pt idx="669">
                  <c:v>1728897.6614808999</c:v>
                </c:pt>
                <c:pt idx="670">
                  <c:v>1725819.6938243001</c:v>
                </c:pt>
                <c:pt idx="671">
                  <c:v>1725819.6938243001</c:v>
                </c:pt>
                <c:pt idx="672">
                  <c:v>1725819.6938243001</c:v>
                </c:pt>
                <c:pt idx="673">
                  <c:v>1722743.3880805001</c:v>
                </c:pt>
                <c:pt idx="674">
                  <c:v>1719668.7023854</c:v>
                </c:pt>
                <c:pt idx="675">
                  <c:v>1719668.7023854</c:v>
                </c:pt>
                <c:pt idx="676">
                  <c:v>1719668.7023854</c:v>
                </c:pt>
                <c:pt idx="677">
                  <c:v>1716595.6600502001</c:v>
                </c:pt>
                <c:pt idx="678">
                  <c:v>1713524.2337388999</c:v>
                </c:pt>
                <c:pt idx="679">
                  <c:v>1713524.2337388999</c:v>
                </c:pt>
                <c:pt idx="680">
                  <c:v>1713524.2337388999</c:v>
                </c:pt>
                <c:pt idx="681">
                  <c:v>1710454.4363392999</c:v>
                </c:pt>
                <c:pt idx="682">
                  <c:v>1710454.4363392999</c:v>
                </c:pt>
                <c:pt idx="683">
                  <c:v>1710454.4363392999</c:v>
                </c:pt>
                <c:pt idx="684">
                  <c:v>1710454.4363392999</c:v>
                </c:pt>
                <c:pt idx="685">
                  <c:v>1710454.4363392999</c:v>
                </c:pt>
                <c:pt idx="686">
                  <c:v>1710454.4363392999</c:v>
                </c:pt>
                <c:pt idx="687">
                  <c:v>1710454.4363392999</c:v>
                </c:pt>
                <c:pt idx="688">
                  <c:v>1707386.3914463001</c:v>
                </c:pt>
                <c:pt idx="689">
                  <c:v>1707386.3914463001</c:v>
                </c:pt>
                <c:pt idx="690">
                  <c:v>1704320.2680112</c:v>
                </c:pt>
                <c:pt idx="691">
                  <c:v>1704320.2680112</c:v>
                </c:pt>
                <c:pt idx="692">
                  <c:v>1704320.2680112</c:v>
                </c:pt>
                <c:pt idx="693">
                  <c:v>1701265.9872818999</c:v>
                </c:pt>
                <c:pt idx="694">
                  <c:v>1701265.9872818999</c:v>
                </c:pt>
                <c:pt idx="695">
                  <c:v>1701265.9872818999</c:v>
                </c:pt>
                <c:pt idx="696">
                  <c:v>1701265.9872818999</c:v>
                </c:pt>
                <c:pt idx="697">
                  <c:v>1698213.6426939999</c:v>
                </c:pt>
                <c:pt idx="698">
                  <c:v>1698213.6426939999</c:v>
                </c:pt>
                <c:pt idx="699">
                  <c:v>1698213.6426939999</c:v>
                </c:pt>
                <c:pt idx="700">
                  <c:v>1698213.6426939999</c:v>
                </c:pt>
                <c:pt idx="701">
                  <c:v>1698213.6426939999</c:v>
                </c:pt>
                <c:pt idx="702">
                  <c:v>1698213.6426939999</c:v>
                </c:pt>
                <c:pt idx="703">
                  <c:v>1698213.6426939999</c:v>
                </c:pt>
                <c:pt idx="704">
                  <c:v>1698213.6426939999</c:v>
                </c:pt>
                <c:pt idx="705">
                  <c:v>1698213.6426939999</c:v>
                </c:pt>
                <c:pt idx="706">
                  <c:v>1695162.8519716</c:v>
                </c:pt>
                <c:pt idx="707">
                  <c:v>1695162.8519716</c:v>
                </c:pt>
                <c:pt idx="708">
                  <c:v>1695162.8519716</c:v>
                </c:pt>
                <c:pt idx="709">
                  <c:v>1692113.6615758</c:v>
                </c:pt>
                <c:pt idx="710">
                  <c:v>1695162.8519716</c:v>
                </c:pt>
                <c:pt idx="711">
                  <c:v>1692113.6615758</c:v>
                </c:pt>
                <c:pt idx="712">
                  <c:v>1692113.6615758</c:v>
                </c:pt>
                <c:pt idx="713">
                  <c:v>1692113.6615758</c:v>
                </c:pt>
                <c:pt idx="714">
                  <c:v>1692113.6615758</c:v>
                </c:pt>
                <c:pt idx="715">
                  <c:v>1692113.6615758</c:v>
                </c:pt>
                <c:pt idx="716">
                  <c:v>1689066.0691295001</c:v>
                </c:pt>
                <c:pt idx="717">
                  <c:v>1692113.6615758</c:v>
                </c:pt>
                <c:pt idx="718">
                  <c:v>1689066.0691295001</c:v>
                </c:pt>
                <c:pt idx="719">
                  <c:v>1689066.0691295001</c:v>
                </c:pt>
                <c:pt idx="720">
                  <c:v>1689066.0691295001</c:v>
                </c:pt>
                <c:pt idx="721">
                  <c:v>1686020.0677445</c:v>
                </c:pt>
                <c:pt idx="722">
                  <c:v>1686020.0677445</c:v>
                </c:pt>
                <c:pt idx="723">
                  <c:v>1686020.0677445</c:v>
                </c:pt>
                <c:pt idx="724">
                  <c:v>1686020.0677445</c:v>
                </c:pt>
                <c:pt idx="725">
                  <c:v>1686020.0677445</c:v>
                </c:pt>
                <c:pt idx="726">
                  <c:v>1686020.0677445</c:v>
                </c:pt>
                <c:pt idx="727">
                  <c:v>1686020.0677445</c:v>
                </c:pt>
                <c:pt idx="728">
                  <c:v>1686020.0677445</c:v>
                </c:pt>
                <c:pt idx="729">
                  <c:v>1682975.6527668999</c:v>
                </c:pt>
                <c:pt idx="730">
                  <c:v>1682975.6527668999</c:v>
                </c:pt>
                <c:pt idx="731">
                  <c:v>1682975.6527668999</c:v>
                </c:pt>
                <c:pt idx="732">
                  <c:v>1682975.6527668999</c:v>
                </c:pt>
                <c:pt idx="733">
                  <c:v>1682975.6527668999</c:v>
                </c:pt>
                <c:pt idx="734">
                  <c:v>1682975.6527668999</c:v>
                </c:pt>
                <c:pt idx="735">
                  <c:v>1682975.6527668999</c:v>
                </c:pt>
                <c:pt idx="736">
                  <c:v>1682975.6527668999</c:v>
                </c:pt>
                <c:pt idx="737">
                  <c:v>1679932.8392697</c:v>
                </c:pt>
                <c:pt idx="738">
                  <c:v>1682975.6527668999</c:v>
                </c:pt>
                <c:pt idx="739">
                  <c:v>1679932.8392697</c:v>
                </c:pt>
                <c:pt idx="740">
                  <c:v>1679932.8392697</c:v>
                </c:pt>
                <c:pt idx="741">
                  <c:v>1679932.8392697</c:v>
                </c:pt>
                <c:pt idx="742">
                  <c:v>1689066.0691295001</c:v>
                </c:pt>
                <c:pt idx="743">
                  <c:v>1704320.2680112</c:v>
                </c:pt>
                <c:pt idx="744">
                  <c:v>1725819.6938243001</c:v>
                </c:pt>
                <c:pt idx="745">
                  <c:v>1731977.2619970001</c:v>
                </c:pt>
                <c:pt idx="746">
                  <c:v>1738141.5165156999</c:v>
                </c:pt>
                <c:pt idx="747">
                  <c:v>1741226.0555606</c:v>
                </c:pt>
                <c:pt idx="748">
                  <c:v>1744312.3770924001</c:v>
                </c:pt>
                <c:pt idx="749">
                  <c:v>1741226.0555606</c:v>
                </c:pt>
                <c:pt idx="750">
                  <c:v>1741226.0555606</c:v>
                </c:pt>
                <c:pt idx="751">
                  <c:v>1741226.0555606</c:v>
                </c:pt>
                <c:pt idx="752">
                  <c:v>1741226.0555606</c:v>
                </c:pt>
                <c:pt idx="753">
                  <c:v>1741226.0555606</c:v>
                </c:pt>
                <c:pt idx="754">
                  <c:v>1738141.5165156999</c:v>
                </c:pt>
                <c:pt idx="755">
                  <c:v>1738141.5165156999</c:v>
                </c:pt>
                <c:pt idx="756">
                  <c:v>1738141.5165156999</c:v>
                </c:pt>
                <c:pt idx="757">
                  <c:v>1738141.5165156999</c:v>
                </c:pt>
                <c:pt idx="758">
                  <c:v>1735058.5729155</c:v>
                </c:pt>
                <c:pt idx="759">
                  <c:v>1735058.5729155</c:v>
                </c:pt>
                <c:pt idx="760">
                  <c:v>1731977.2619970001</c:v>
                </c:pt>
                <c:pt idx="761">
                  <c:v>1731977.2619970001</c:v>
                </c:pt>
                <c:pt idx="762">
                  <c:v>1728897.6614808999</c:v>
                </c:pt>
                <c:pt idx="763">
                  <c:v>1728897.6614808999</c:v>
                </c:pt>
                <c:pt idx="764">
                  <c:v>1725819.6938243001</c:v>
                </c:pt>
                <c:pt idx="765">
                  <c:v>1725819.6938243001</c:v>
                </c:pt>
                <c:pt idx="766">
                  <c:v>1725819.6938243001</c:v>
                </c:pt>
                <c:pt idx="767">
                  <c:v>1722743.3880805001</c:v>
                </c:pt>
                <c:pt idx="768">
                  <c:v>1722743.3880805001</c:v>
                </c:pt>
                <c:pt idx="769">
                  <c:v>1719668.7023854</c:v>
                </c:pt>
                <c:pt idx="770">
                  <c:v>1722743.3880805001</c:v>
                </c:pt>
                <c:pt idx="771">
                  <c:v>1719668.7023854</c:v>
                </c:pt>
                <c:pt idx="772">
                  <c:v>1719668.7023854</c:v>
                </c:pt>
                <c:pt idx="773">
                  <c:v>1716595.6600502001</c:v>
                </c:pt>
                <c:pt idx="774">
                  <c:v>1716595.6600502001</c:v>
                </c:pt>
                <c:pt idx="775">
                  <c:v>1713524.2337388999</c:v>
                </c:pt>
                <c:pt idx="776">
                  <c:v>1713524.2337388999</c:v>
                </c:pt>
                <c:pt idx="777">
                  <c:v>1713524.2337388999</c:v>
                </c:pt>
                <c:pt idx="778">
                  <c:v>1713524.2337388999</c:v>
                </c:pt>
                <c:pt idx="779">
                  <c:v>1710454.4363392999</c:v>
                </c:pt>
                <c:pt idx="780">
                  <c:v>1710454.4363392999</c:v>
                </c:pt>
                <c:pt idx="781">
                  <c:v>1710454.4363392999</c:v>
                </c:pt>
                <c:pt idx="782">
                  <c:v>1710454.4363392999</c:v>
                </c:pt>
                <c:pt idx="783">
                  <c:v>1707386.3914463001</c:v>
                </c:pt>
                <c:pt idx="784">
                  <c:v>1707386.3914463001</c:v>
                </c:pt>
                <c:pt idx="785">
                  <c:v>1707386.3914463001</c:v>
                </c:pt>
                <c:pt idx="786">
                  <c:v>1704320.2680112</c:v>
                </c:pt>
                <c:pt idx="787">
                  <c:v>1704320.2680112</c:v>
                </c:pt>
                <c:pt idx="788">
                  <c:v>1704320.2680112</c:v>
                </c:pt>
                <c:pt idx="789">
                  <c:v>1704320.2680112</c:v>
                </c:pt>
                <c:pt idx="790">
                  <c:v>1704320.2680112</c:v>
                </c:pt>
                <c:pt idx="791">
                  <c:v>1704320.2680112</c:v>
                </c:pt>
                <c:pt idx="792">
                  <c:v>1704320.2680112</c:v>
                </c:pt>
                <c:pt idx="793">
                  <c:v>1713524.2337388999</c:v>
                </c:pt>
                <c:pt idx="794">
                  <c:v>1716595.6600502001</c:v>
                </c:pt>
                <c:pt idx="795">
                  <c:v>1722743.3880805001</c:v>
                </c:pt>
                <c:pt idx="796">
                  <c:v>1722743.3880805001</c:v>
                </c:pt>
                <c:pt idx="797">
                  <c:v>1725819.6938243001</c:v>
                </c:pt>
                <c:pt idx="798">
                  <c:v>1725819.6938243001</c:v>
                </c:pt>
                <c:pt idx="799">
                  <c:v>1728897.6614808999</c:v>
                </c:pt>
                <c:pt idx="800">
                  <c:v>1725819.6938243001</c:v>
                </c:pt>
                <c:pt idx="801">
                  <c:v>1725819.6938243001</c:v>
                </c:pt>
                <c:pt idx="802">
                  <c:v>1725819.6938243001</c:v>
                </c:pt>
                <c:pt idx="803">
                  <c:v>1725819.6938243001</c:v>
                </c:pt>
                <c:pt idx="804">
                  <c:v>1722743.3880805001</c:v>
                </c:pt>
                <c:pt idx="805">
                  <c:v>1722743.3880805001</c:v>
                </c:pt>
                <c:pt idx="806">
                  <c:v>1722743.3880805001</c:v>
                </c:pt>
                <c:pt idx="807">
                  <c:v>1722743.3880805001</c:v>
                </c:pt>
                <c:pt idx="808">
                  <c:v>1719668.7023854</c:v>
                </c:pt>
                <c:pt idx="809">
                  <c:v>1719668.7023854</c:v>
                </c:pt>
                <c:pt idx="810">
                  <c:v>1719668.7023854</c:v>
                </c:pt>
                <c:pt idx="811">
                  <c:v>1716595.6600502001</c:v>
                </c:pt>
                <c:pt idx="812">
                  <c:v>1713524.2337388999</c:v>
                </c:pt>
                <c:pt idx="813">
                  <c:v>1713524.2337388999</c:v>
                </c:pt>
                <c:pt idx="814">
                  <c:v>1713524.2337388999</c:v>
                </c:pt>
                <c:pt idx="815">
                  <c:v>1713524.2337388999</c:v>
                </c:pt>
                <c:pt idx="816">
                  <c:v>1710454.4363392999</c:v>
                </c:pt>
                <c:pt idx="817">
                  <c:v>1710454.4363392999</c:v>
                </c:pt>
                <c:pt idx="818">
                  <c:v>1710454.4363392999</c:v>
                </c:pt>
                <c:pt idx="819">
                  <c:v>1707386.3914463001</c:v>
                </c:pt>
                <c:pt idx="820">
                  <c:v>1707386.3914463001</c:v>
                </c:pt>
                <c:pt idx="821">
                  <c:v>1707386.3914463001</c:v>
                </c:pt>
                <c:pt idx="822">
                  <c:v>1704320.2680112</c:v>
                </c:pt>
                <c:pt idx="823">
                  <c:v>1704320.2680112</c:v>
                </c:pt>
                <c:pt idx="824">
                  <c:v>1704320.2680112</c:v>
                </c:pt>
                <c:pt idx="825">
                  <c:v>1704320.2680112</c:v>
                </c:pt>
                <c:pt idx="826">
                  <c:v>1701265.9872818999</c:v>
                </c:pt>
                <c:pt idx="827">
                  <c:v>1701265.9872818999</c:v>
                </c:pt>
                <c:pt idx="828">
                  <c:v>1701265.9872818999</c:v>
                </c:pt>
                <c:pt idx="829">
                  <c:v>1698213.6426939999</c:v>
                </c:pt>
                <c:pt idx="830">
                  <c:v>1698213.6426939999</c:v>
                </c:pt>
                <c:pt idx="831">
                  <c:v>1698213.6426939999</c:v>
                </c:pt>
                <c:pt idx="832">
                  <c:v>1698213.6426939999</c:v>
                </c:pt>
                <c:pt idx="833">
                  <c:v>1695162.8519716</c:v>
                </c:pt>
                <c:pt idx="834">
                  <c:v>1695162.8519716</c:v>
                </c:pt>
                <c:pt idx="835">
                  <c:v>1695162.8519716</c:v>
                </c:pt>
                <c:pt idx="836">
                  <c:v>1692113.6615758</c:v>
                </c:pt>
                <c:pt idx="837">
                  <c:v>1692113.6615758</c:v>
                </c:pt>
                <c:pt idx="838">
                  <c:v>1692113.6615758</c:v>
                </c:pt>
                <c:pt idx="839">
                  <c:v>1692113.6615758</c:v>
                </c:pt>
                <c:pt idx="840">
                  <c:v>1692113.6615758</c:v>
                </c:pt>
                <c:pt idx="841">
                  <c:v>1692113.6615758</c:v>
                </c:pt>
                <c:pt idx="842">
                  <c:v>1689066.0691295001</c:v>
                </c:pt>
                <c:pt idx="843">
                  <c:v>1689066.0691295001</c:v>
                </c:pt>
                <c:pt idx="844">
                  <c:v>1689066.0691295001</c:v>
                </c:pt>
                <c:pt idx="845">
                  <c:v>1689066.0691295001</c:v>
                </c:pt>
                <c:pt idx="846">
                  <c:v>1686020.0677445</c:v>
                </c:pt>
                <c:pt idx="847">
                  <c:v>1686020.0677445</c:v>
                </c:pt>
                <c:pt idx="848">
                  <c:v>1686020.0677445</c:v>
                </c:pt>
                <c:pt idx="849">
                  <c:v>1686020.0677445</c:v>
                </c:pt>
                <c:pt idx="850">
                  <c:v>1686020.0677445</c:v>
                </c:pt>
                <c:pt idx="851">
                  <c:v>1686020.0677445</c:v>
                </c:pt>
                <c:pt idx="852">
                  <c:v>1682975.6527668999</c:v>
                </c:pt>
                <c:pt idx="853">
                  <c:v>1682975.6527668999</c:v>
                </c:pt>
                <c:pt idx="854">
                  <c:v>1682975.6527668999</c:v>
                </c:pt>
                <c:pt idx="855">
                  <c:v>1682975.6527668999</c:v>
                </c:pt>
                <c:pt idx="856">
                  <c:v>1682975.6527668999</c:v>
                </c:pt>
                <c:pt idx="857">
                  <c:v>1682975.6527668999</c:v>
                </c:pt>
                <c:pt idx="858">
                  <c:v>1679932.8392697</c:v>
                </c:pt>
                <c:pt idx="859">
                  <c:v>1682975.6527668999</c:v>
                </c:pt>
                <c:pt idx="860">
                  <c:v>1679932.8392697</c:v>
                </c:pt>
                <c:pt idx="861">
                  <c:v>1679932.8392697</c:v>
                </c:pt>
                <c:pt idx="862">
                  <c:v>1679932.8392697</c:v>
                </c:pt>
                <c:pt idx="863">
                  <c:v>1679932.8392697</c:v>
                </c:pt>
                <c:pt idx="864">
                  <c:v>1679932.8392697</c:v>
                </c:pt>
                <c:pt idx="865">
                  <c:v>1676891.4600323001</c:v>
                </c:pt>
                <c:pt idx="866">
                  <c:v>1676891.4600323001</c:v>
                </c:pt>
                <c:pt idx="867">
                  <c:v>1676891.4600323001</c:v>
                </c:pt>
                <c:pt idx="868">
                  <c:v>1676891.4600323001</c:v>
                </c:pt>
                <c:pt idx="869">
                  <c:v>1676891.4600323001</c:v>
                </c:pt>
                <c:pt idx="870">
                  <c:v>1676891.4600323001</c:v>
                </c:pt>
                <c:pt idx="871">
                  <c:v>1676891.4600323001</c:v>
                </c:pt>
                <c:pt idx="872">
                  <c:v>1676891.4600323001</c:v>
                </c:pt>
                <c:pt idx="873">
                  <c:v>1676891.4600323001</c:v>
                </c:pt>
                <c:pt idx="874">
                  <c:v>1673851.7406957999</c:v>
                </c:pt>
                <c:pt idx="875">
                  <c:v>1673851.7406957999</c:v>
                </c:pt>
                <c:pt idx="876">
                  <c:v>1673851.7406957999</c:v>
                </c:pt>
                <c:pt idx="877">
                  <c:v>1673851.7406957999</c:v>
                </c:pt>
                <c:pt idx="878">
                  <c:v>1673851.7406957999</c:v>
                </c:pt>
                <c:pt idx="879">
                  <c:v>1670813.4823932</c:v>
                </c:pt>
                <c:pt idx="880">
                  <c:v>1670813.4823932</c:v>
                </c:pt>
                <c:pt idx="881">
                  <c:v>1670813.4823932</c:v>
                </c:pt>
                <c:pt idx="882">
                  <c:v>1670813.4823932</c:v>
                </c:pt>
                <c:pt idx="883">
                  <c:v>1670813.4823932</c:v>
                </c:pt>
                <c:pt idx="884">
                  <c:v>1670813.4823932</c:v>
                </c:pt>
                <c:pt idx="885">
                  <c:v>1667776.8298903999</c:v>
                </c:pt>
                <c:pt idx="886">
                  <c:v>1667776.8298903999</c:v>
                </c:pt>
                <c:pt idx="887">
                  <c:v>1667776.8298903999</c:v>
                </c:pt>
                <c:pt idx="888">
                  <c:v>1667776.8298903999</c:v>
                </c:pt>
                <c:pt idx="889">
                  <c:v>1667776.8298903999</c:v>
                </c:pt>
                <c:pt idx="890">
                  <c:v>1667776.8298903999</c:v>
                </c:pt>
                <c:pt idx="891">
                  <c:v>1664741.6725647999</c:v>
                </c:pt>
                <c:pt idx="892">
                  <c:v>1664741.6725647999</c:v>
                </c:pt>
                <c:pt idx="893">
                  <c:v>1664741.6725647999</c:v>
                </c:pt>
                <c:pt idx="894">
                  <c:v>1664741.6725647999</c:v>
                </c:pt>
                <c:pt idx="895">
                  <c:v>1664741.6725647999</c:v>
                </c:pt>
                <c:pt idx="896">
                  <c:v>1661708.0167959</c:v>
                </c:pt>
                <c:pt idx="897">
                  <c:v>1661708.0167959</c:v>
                </c:pt>
                <c:pt idx="898">
                  <c:v>1661708.0167959</c:v>
                </c:pt>
                <c:pt idx="899">
                  <c:v>1661708.0167959</c:v>
                </c:pt>
                <c:pt idx="900">
                  <c:v>1661708.0167959</c:v>
                </c:pt>
                <c:pt idx="901">
                  <c:v>1661708.0167959</c:v>
                </c:pt>
                <c:pt idx="902">
                  <c:v>1661708.0167959</c:v>
                </c:pt>
                <c:pt idx="903">
                  <c:v>1661708.0167959</c:v>
                </c:pt>
                <c:pt idx="904">
                  <c:v>1661708.0167959</c:v>
                </c:pt>
                <c:pt idx="905">
                  <c:v>1658675.7961466999</c:v>
                </c:pt>
                <c:pt idx="906">
                  <c:v>1658675.7961466999</c:v>
                </c:pt>
                <c:pt idx="907">
                  <c:v>1658675.7961466999</c:v>
                </c:pt>
                <c:pt idx="908">
                  <c:v>1658675.7961466999</c:v>
                </c:pt>
                <c:pt idx="909">
                  <c:v>1658675.7961466999</c:v>
                </c:pt>
                <c:pt idx="910">
                  <c:v>1655645.1614623</c:v>
                </c:pt>
                <c:pt idx="911">
                  <c:v>1655645.1614623</c:v>
                </c:pt>
                <c:pt idx="912">
                  <c:v>1655645.1614623</c:v>
                </c:pt>
                <c:pt idx="913">
                  <c:v>1652616.0060848999</c:v>
                </c:pt>
                <c:pt idx="914">
                  <c:v>1652616.0060848999</c:v>
                </c:pt>
                <c:pt idx="915">
                  <c:v>1652616.0060848999</c:v>
                </c:pt>
                <c:pt idx="916">
                  <c:v>1655645.1614623</c:v>
                </c:pt>
                <c:pt idx="917">
                  <c:v>1652616.0060848999</c:v>
                </c:pt>
                <c:pt idx="918">
                  <c:v>1652616.0060848999</c:v>
                </c:pt>
                <c:pt idx="919">
                  <c:v>1652616.0060848999</c:v>
                </c:pt>
                <c:pt idx="920">
                  <c:v>1652616.0060848999</c:v>
                </c:pt>
                <c:pt idx="921">
                  <c:v>1652616.0060848999</c:v>
                </c:pt>
                <c:pt idx="922">
                  <c:v>1649588.4715396999</c:v>
                </c:pt>
                <c:pt idx="923">
                  <c:v>1649588.4715396999</c:v>
                </c:pt>
                <c:pt idx="924">
                  <c:v>1649588.4715396999</c:v>
                </c:pt>
                <c:pt idx="925">
                  <c:v>1649588.4715396999</c:v>
                </c:pt>
                <c:pt idx="926">
                  <c:v>1649588.4715396999</c:v>
                </c:pt>
                <c:pt idx="927">
                  <c:v>1649588.4715396999</c:v>
                </c:pt>
                <c:pt idx="928">
                  <c:v>1646562.4785364</c:v>
                </c:pt>
                <c:pt idx="929">
                  <c:v>1649588.4715396999</c:v>
                </c:pt>
                <c:pt idx="930">
                  <c:v>1646562.4785364</c:v>
                </c:pt>
                <c:pt idx="931">
                  <c:v>1646562.4785364</c:v>
                </c:pt>
                <c:pt idx="932">
                  <c:v>1646562.4785364</c:v>
                </c:pt>
                <c:pt idx="933">
                  <c:v>1646562.4785364</c:v>
                </c:pt>
                <c:pt idx="934">
                  <c:v>1646562.4785364</c:v>
                </c:pt>
                <c:pt idx="935">
                  <c:v>1643538.2164867001</c:v>
                </c:pt>
                <c:pt idx="936">
                  <c:v>1643538.2164867001</c:v>
                </c:pt>
                <c:pt idx="937">
                  <c:v>1643538.2164867001</c:v>
                </c:pt>
                <c:pt idx="938">
                  <c:v>1643538.2164867001</c:v>
                </c:pt>
                <c:pt idx="939">
                  <c:v>1643538.2164867001</c:v>
                </c:pt>
                <c:pt idx="940">
                  <c:v>1640521.8742390999</c:v>
                </c:pt>
                <c:pt idx="941">
                  <c:v>1640521.8742390999</c:v>
                </c:pt>
                <c:pt idx="942">
                  <c:v>1640521.8742390999</c:v>
                </c:pt>
                <c:pt idx="943">
                  <c:v>1640521.8742390999</c:v>
                </c:pt>
                <c:pt idx="944">
                  <c:v>1640521.8742390999</c:v>
                </c:pt>
                <c:pt idx="945">
                  <c:v>1637507.2197397</c:v>
                </c:pt>
                <c:pt idx="946">
                  <c:v>1637507.2197397</c:v>
                </c:pt>
                <c:pt idx="947">
                  <c:v>1637507.2197397</c:v>
                </c:pt>
                <c:pt idx="948">
                  <c:v>1637507.2197397</c:v>
                </c:pt>
                <c:pt idx="949">
                  <c:v>1637507.2197397</c:v>
                </c:pt>
                <c:pt idx="950">
                  <c:v>1634494.0165122999</c:v>
                </c:pt>
                <c:pt idx="951">
                  <c:v>1634494.0165122999</c:v>
                </c:pt>
                <c:pt idx="952">
                  <c:v>1634494.0165122999</c:v>
                </c:pt>
                <c:pt idx="953">
                  <c:v>1634494.0165122999</c:v>
                </c:pt>
                <c:pt idx="954">
                  <c:v>1634494.0165122999</c:v>
                </c:pt>
                <c:pt idx="955">
                  <c:v>1634494.0165122999</c:v>
                </c:pt>
                <c:pt idx="956">
                  <c:v>1634494.0165122999</c:v>
                </c:pt>
                <c:pt idx="957">
                  <c:v>1634494.0165122999</c:v>
                </c:pt>
                <c:pt idx="958">
                  <c:v>1634494.0165122999</c:v>
                </c:pt>
                <c:pt idx="959">
                  <c:v>1634494.0165122999</c:v>
                </c:pt>
                <c:pt idx="960">
                  <c:v>1634494.0165122999</c:v>
                </c:pt>
                <c:pt idx="961">
                  <c:v>1631482.3951735001</c:v>
                </c:pt>
                <c:pt idx="962">
                  <c:v>1631482.3951735001</c:v>
                </c:pt>
                <c:pt idx="963">
                  <c:v>1631482.3951735001</c:v>
                </c:pt>
                <c:pt idx="964">
                  <c:v>1631482.3951735001</c:v>
                </c:pt>
                <c:pt idx="965">
                  <c:v>1628472.3057532001</c:v>
                </c:pt>
                <c:pt idx="966">
                  <c:v>1628472.3057532001</c:v>
                </c:pt>
                <c:pt idx="967">
                  <c:v>1628472.3057532001</c:v>
                </c:pt>
                <c:pt idx="968">
                  <c:v>1628472.3057532001</c:v>
                </c:pt>
                <c:pt idx="969">
                  <c:v>1628472.3057532001</c:v>
                </c:pt>
                <c:pt idx="970">
                  <c:v>1628472.3057532001</c:v>
                </c:pt>
                <c:pt idx="971">
                  <c:v>1628472.3057532001</c:v>
                </c:pt>
                <c:pt idx="972">
                  <c:v>1628472.3057532001</c:v>
                </c:pt>
                <c:pt idx="973">
                  <c:v>1628472.3057532001</c:v>
                </c:pt>
                <c:pt idx="974">
                  <c:v>1625463.7590197001</c:v>
                </c:pt>
                <c:pt idx="975">
                  <c:v>1625463.7590197001</c:v>
                </c:pt>
                <c:pt idx="976">
                  <c:v>1625463.7590197001</c:v>
                </c:pt>
                <c:pt idx="977">
                  <c:v>1625463.7590197001</c:v>
                </c:pt>
                <c:pt idx="978">
                  <c:v>1625463.7590197001</c:v>
                </c:pt>
                <c:pt idx="979">
                  <c:v>1625463.7590197001</c:v>
                </c:pt>
                <c:pt idx="980">
                  <c:v>1622456.7729032</c:v>
                </c:pt>
                <c:pt idx="981">
                  <c:v>1622456.7729032</c:v>
                </c:pt>
                <c:pt idx="982">
                  <c:v>1622456.7729032</c:v>
                </c:pt>
                <c:pt idx="983">
                  <c:v>1622456.7729032</c:v>
                </c:pt>
                <c:pt idx="984">
                  <c:v>1622456.7729032</c:v>
                </c:pt>
                <c:pt idx="985">
                  <c:v>1622456.7729032</c:v>
                </c:pt>
                <c:pt idx="986">
                  <c:v>1622456.7729032</c:v>
                </c:pt>
                <c:pt idx="987">
                  <c:v>1622456.7729032</c:v>
                </c:pt>
                <c:pt idx="988">
                  <c:v>1622456.7729032</c:v>
                </c:pt>
                <c:pt idx="989">
                  <c:v>1619451.3170382001</c:v>
                </c:pt>
                <c:pt idx="990">
                  <c:v>1619451.3170382001</c:v>
                </c:pt>
                <c:pt idx="991">
                  <c:v>1619451.3170382001</c:v>
                </c:pt>
                <c:pt idx="992">
                  <c:v>1619451.3170382001</c:v>
                </c:pt>
                <c:pt idx="993">
                  <c:v>1616447.3000027</c:v>
                </c:pt>
                <c:pt idx="994">
                  <c:v>1616447.3000027</c:v>
                </c:pt>
                <c:pt idx="995">
                  <c:v>1616447.3000027</c:v>
                </c:pt>
                <c:pt idx="996">
                  <c:v>1616447.3000027</c:v>
                </c:pt>
                <c:pt idx="997">
                  <c:v>1616447.3000027</c:v>
                </c:pt>
                <c:pt idx="998">
                  <c:v>1616447.3000027</c:v>
                </c:pt>
                <c:pt idx="999">
                  <c:v>1616447.3000027</c:v>
                </c:pt>
                <c:pt idx="1000">
                  <c:v>1616447.3000027</c:v>
                </c:pt>
                <c:pt idx="1001">
                  <c:v>1616447.3000027</c:v>
                </c:pt>
                <c:pt idx="1002">
                  <c:v>1616447.3000027</c:v>
                </c:pt>
                <c:pt idx="1003">
                  <c:v>1616447.3000027</c:v>
                </c:pt>
                <c:pt idx="1004">
                  <c:v>1613444.9319478001</c:v>
                </c:pt>
                <c:pt idx="1005">
                  <c:v>1613444.9319478001</c:v>
                </c:pt>
                <c:pt idx="1006">
                  <c:v>1610444.0173448001</c:v>
                </c:pt>
                <c:pt idx="1007">
                  <c:v>1610444.0173448001</c:v>
                </c:pt>
                <c:pt idx="1008">
                  <c:v>1610444.0173448001</c:v>
                </c:pt>
                <c:pt idx="1009">
                  <c:v>1610444.0173448001</c:v>
                </c:pt>
                <c:pt idx="1010">
                  <c:v>1610444.0173448001</c:v>
                </c:pt>
                <c:pt idx="1011">
                  <c:v>1610444.0173448001</c:v>
                </c:pt>
                <c:pt idx="1012">
                  <c:v>1610444.0173448001</c:v>
                </c:pt>
                <c:pt idx="1013">
                  <c:v>1610444.0173448001</c:v>
                </c:pt>
                <c:pt idx="1014">
                  <c:v>1610444.0173448001</c:v>
                </c:pt>
                <c:pt idx="1015">
                  <c:v>1610444.0173448001</c:v>
                </c:pt>
                <c:pt idx="1016">
                  <c:v>1610444.0173448001</c:v>
                </c:pt>
                <c:pt idx="1017">
                  <c:v>1607444.5930314001</c:v>
                </c:pt>
                <c:pt idx="1018">
                  <c:v>1607444.5930314001</c:v>
                </c:pt>
                <c:pt idx="1019">
                  <c:v>1607444.5930314001</c:v>
                </c:pt>
                <c:pt idx="1020">
                  <c:v>1607444.5930314001</c:v>
                </c:pt>
                <c:pt idx="1021">
                  <c:v>1607444.5930314001</c:v>
                </c:pt>
                <c:pt idx="1022">
                  <c:v>1607444.5930314001</c:v>
                </c:pt>
                <c:pt idx="1023">
                  <c:v>1604446.7185589999</c:v>
                </c:pt>
                <c:pt idx="1024">
                  <c:v>1604446.7185589999</c:v>
                </c:pt>
                <c:pt idx="1025">
                  <c:v>1604446.7185589999</c:v>
                </c:pt>
                <c:pt idx="1026">
                  <c:v>1604446.7185589999</c:v>
                </c:pt>
                <c:pt idx="1027">
                  <c:v>1604446.7185589999</c:v>
                </c:pt>
                <c:pt idx="1028">
                  <c:v>1604446.7185589999</c:v>
                </c:pt>
                <c:pt idx="1029">
                  <c:v>1604446.7185589999</c:v>
                </c:pt>
                <c:pt idx="1030">
                  <c:v>1604446.7185589999</c:v>
                </c:pt>
                <c:pt idx="1031">
                  <c:v>1604446.7185589999</c:v>
                </c:pt>
                <c:pt idx="1032">
                  <c:v>1604446.7185589999</c:v>
                </c:pt>
                <c:pt idx="1033">
                  <c:v>1601450.3446648</c:v>
                </c:pt>
                <c:pt idx="1034">
                  <c:v>1601450.3446648</c:v>
                </c:pt>
                <c:pt idx="1035">
                  <c:v>1601450.3446648</c:v>
                </c:pt>
                <c:pt idx="1036">
                  <c:v>1601450.3446648</c:v>
                </c:pt>
                <c:pt idx="1037">
                  <c:v>1601450.3446648</c:v>
                </c:pt>
                <c:pt idx="1038">
                  <c:v>1601450.3446648</c:v>
                </c:pt>
                <c:pt idx="1039">
                  <c:v>1601450.3446648</c:v>
                </c:pt>
                <c:pt idx="1040">
                  <c:v>1601450.3446648</c:v>
                </c:pt>
                <c:pt idx="1041">
                  <c:v>1601450.3446648</c:v>
                </c:pt>
                <c:pt idx="1042">
                  <c:v>1598455.4724355999</c:v>
                </c:pt>
                <c:pt idx="1043">
                  <c:v>1601450.3446648</c:v>
                </c:pt>
                <c:pt idx="1044">
                  <c:v>1598455.4724355999</c:v>
                </c:pt>
                <c:pt idx="1045">
                  <c:v>1598455.4724355999</c:v>
                </c:pt>
                <c:pt idx="1046">
                  <c:v>1598455.4724355999</c:v>
                </c:pt>
                <c:pt idx="1047">
                  <c:v>1595462.0162961001</c:v>
                </c:pt>
                <c:pt idx="1048">
                  <c:v>1595462.0162961001</c:v>
                </c:pt>
                <c:pt idx="1049">
                  <c:v>1595462.0162961001</c:v>
                </c:pt>
                <c:pt idx="1050">
                  <c:v>1595462.0162961001</c:v>
                </c:pt>
                <c:pt idx="1051">
                  <c:v>1595462.0162961001</c:v>
                </c:pt>
                <c:pt idx="1052">
                  <c:v>1595462.0162961001</c:v>
                </c:pt>
                <c:pt idx="1053">
                  <c:v>1595462.0162961001</c:v>
                </c:pt>
                <c:pt idx="1054">
                  <c:v>1595462.0162961001</c:v>
                </c:pt>
                <c:pt idx="1055">
                  <c:v>1595462.0162961001</c:v>
                </c:pt>
                <c:pt idx="1056">
                  <c:v>1595462.0162961001</c:v>
                </c:pt>
                <c:pt idx="1057">
                  <c:v>1595462.0162961001</c:v>
                </c:pt>
                <c:pt idx="1058">
                  <c:v>1592470.1267521</c:v>
                </c:pt>
                <c:pt idx="1059">
                  <c:v>1592470.1267521</c:v>
                </c:pt>
                <c:pt idx="1060">
                  <c:v>1592470.1267521</c:v>
                </c:pt>
                <c:pt idx="1061">
                  <c:v>1592470.1267521</c:v>
                </c:pt>
                <c:pt idx="1062">
                  <c:v>1592470.1267521</c:v>
                </c:pt>
                <c:pt idx="1063">
                  <c:v>1589479.7778056001</c:v>
                </c:pt>
                <c:pt idx="1064">
                  <c:v>1589479.7778056001</c:v>
                </c:pt>
                <c:pt idx="1065">
                  <c:v>1589479.7778056001</c:v>
                </c:pt>
                <c:pt idx="1066">
                  <c:v>1589479.7778056001</c:v>
                </c:pt>
                <c:pt idx="1067">
                  <c:v>1589479.7778056001</c:v>
                </c:pt>
                <c:pt idx="1068">
                  <c:v>1589479.7778056001</c:v>
                </c:pt>
                <c:pt idx="1069">
                  <c:v>1586490.9615755</c:v>
                </c:pt>
                <c:pt idx="1070">
                  <c:v>1586490.9615755</c:v>
                </c:pt>
                <c:pt idx="1071">
                  <c:v>1586490.9615755</c:v>
                </c:pt>
                <c:pt idx="1072">
                  <c:v>1586490.9615755</c:v>
                </c:pt>
                <c:pt idx="1073">
                  <c:v>1586490.9615755</c:v>
                </c:pt>
                <c:pt idx="1074">
                  <c:v>1583503.9153768001</c:v>
                </c:pt>
                <c:pt idx="1075">
                  <c:v>1583503.9153768001</c:v>
                </c:pt>
                <c:pt idx="1076">
                  <c:v>1583503.9153768001</c:v>
                </c:pt>
                <c:pt idx="1077">
                  <c:v>1583503.9153768001</c:v>
                </c:pt>
                <c:pt idx="1078">
                  <c:v>1583503.9153768001</c:v>
                </c:pt>
                <c:pt idx="1079">
                  <c:v>1583503.9153768001</c:v>
                </c:pt>
                <c:pt idx="1080">
                  <c:v>1583503.9153768001</c:v>
                </c:pt>
                <c:pt idx="1081">
                  <c:v>1583503.9153768001</c:v>
                </c:pt>
                <c:pt idx="1082">
                  <c:v>1583503.9153768001</c:v>
                </c:pt>
                <c:pt idx="1083">
                  <c:v>1580534.3602253001</c:v>
                </c:pt>
                <c:pt idx="1084">
                  <c:v>1580534.3602253001</c:v>
                </c:pt>
                <c:pt idx="1085">
                  <c:v>1580534.3602253001</c:v>
                </c:pt>
                <c:pt idx="1086">
                  <c:v>1577566.834908</c:v>
                </c:pt>
                <c:pt idx="1087">
                  <c:v>1577566.834908</c:v>
                </c:pt>
                <c:pt idx="1088">
                  <c:v>1577566.834908</c:v>
                </c:pt>
                <c:pt idx="1089">
                  <c:v>1577566.834908</c:v>
                </c:pt>
                <c:pt idx="1090">
                  <c:v>1577566.834908</c:v>
                </c:pt>
                <c:pt idx="1091">
                  <c:v>1577566.834908</c:v>
                </c:pt>
                <c:pt idx="1092">
                  <c:v>1577566.834908</c:v>
                </c:pt>
                <c:pt idx="1093">
                  <c:v>1574601.0268989</c:v>
                </c:pt>
                <c:pt idx="1094">
                  <c:v>1574601.0268989</c:v>
                </c:pt>
                <c:pt idx="1095">
                  <c:v>1577566.834908</c:v>
                </c:pt>
                <c:pt idx="1096">
                  <c:v>1574601.0268989</c:v>
                </c:pt>
                <c:pt idx="1097">
                  <c:v>1574601.0268989</c:v>
                </c:pt>
                <c:pt idx="1098">
                  <c:v>1574601.0268989</c:v>
                </c:pt>
                <c:pt idx="1099">
                  <c:v>1574601.0268989</c:v>
                </c:pt>
                <c:pt idx="1100">
                  <c:v>1574601.0268989</c:v>
                </c:pt>
                <c:pt idx="1101">
                  <c:v>1574601.0268989</c:v>
                </c:pt>
                <c:pt idx="1102">
                  <c:v>1574601.0268989</c:v>
                </c:pt>
                <c:pt idx="1103">
                  <c:v>1574601.0268989</c:v>
                </c:pt>
                <c:pt idx="1104">
                  <c:v>1574601.0268989</c:v>
                </c:pt>
                <c:pt idx="1105">
                  <c:v>1574601.0268989</c:v>
                </c:pt>
                <c:pt idx="1106">
                  <c:v>1574601.0268989</c:v>
                </c:pt>
                <c:pt idx="1107">
                  <c:v>1574601.0268989</c:v>
                </c:pt>
                <c:pt idx="1108">
                  <c:v>1574601.0268989</c:v>
                </c:pt>
                <c:pt idx="1109">
                  <c:v>1574601.0268989</c:v>
                </c:pt>
                <c:pt idx="1110">
                  <c:v>1574601.0268989</c:v>
                </c:pt>
                <c:pt idx="1111">
                  <c:v>1574601.0268989</c:v>
                </c:pt>
                <c:pt idx="1112">
                  <c:v>1574601.0268989</c:v>
                </c:pt>
                <c:pt idx="1113">
                  <c:v>1574601.0268989</c:v>
                </c:pt>
                <c:pt idx="1114">
                  <c:v>1574601.0268989</c:v>
                </c:pt>
                <c:pt idx="1115">
                  <c:v>1574601.0268989</c:v>
                </c:pt>
                <c:pt idx="1116">
                  <c:v>1574601.0268989</c:v>
                </c:pt>
                <c:pt idx="1117">
                  <c:v>1574601.0268989</c:v>
                </c:pt>
                <c:pt idx="1118">
                  <c:v>1574601.0268989</c:v>
                </c:pt>
                <c:pt idx="1119">
                  <c:v>1574601.0268989</c:v>
                </c:pt>
                <c:pt idx="1120">
                  <c:v>1574601.0268989</c:v>
                </c:pt>
                <c:pt idx="1121">
                  <c:v>1577566.834908</c:v>
                </c:pt>
                <c:pt idx="1122">
                  <c:v>1583503.9153768001</c:v>
                </c:pt>
                <c:pt idx="1123">
                  <c:v>1586490.9615755</c:v>
                </c:pt>
                <c:pt idx="1124">
                  <c:v>1595462.0162961001</c:v>
                </c:pt>
                <c:pt idx="1125">
                  <c:v>1598455.4724355999</c:v>
                </c:pt>
                <c:pt idx="1126">
                  <c:v>1601450.3446648</c:v>
                </c:pt>
                <c:pt idx="1127">
                  <c:v>1601450.3446648</c:v>
                </c:pt>
                <c:pt idx="1128">
                  <c:v>1601450.3446648</c:v>
                </c:pt>
                <c:pt idx="1129">
                  <c:v>1604446.7185589999</c:v>
                </c:pt>
                <c:pt idx="1130">
                  <c:v>1604446.7185589999</c:v>
                </c:pt>
                <c:pt idx="1131">
                  <c:v>1607444.5930314001</c:v>
                </c:pt>
                <c:pt idx="1132">
                  <c:v>1607444.5930314001</c:v>
                </c:pt>
                <c:pt idx="1133">
                  <c:v>1607444.5930314001</c:v>
                </c:pt>
                <c:pt idx="1134">
                  <c:v>1607444.5930314001</c:v>
                </c:pt>
                <c:pt idx="1135">
                  <c:v>1607444.5930314001</c:v>
                </c:pt>
                <c:pt idx="1136">
                  <c:v>1607444.5930314001</c:v>
                </c:pt>
                <c:pt idx="1137">
                  <c:v>1610444.0173448001</c:v>
                </c:pt>
                <c:pt idx="1138">
                  <c:v>1610444.0173448001</c:v>
                </c:pt>
                <c:pt idx="1139">
                  <c:v>1610444.0173448001</c:v>
                </c:pt>
                <c:pt idx="1140">
                  <c:v>1610444.0173448001</c:v>
                </c:pt>
                <c:pt idx="1141">
                  <c:v>1610444.0173448001</c:v>
                </c:pt>
                <c:pt idx="1142">
                  <c:v>1610444.0173448001</c:v>
                </c:pt>
                <c:pt idx="1143">
                  <c:v>1610444.0173448001</c:v>
                </c:pt>
                <c:pt idx="1144">
                  <c:v>1610444.0173448001</c:v>
                </c:pt>
                <c:pt idx="1145">
                  <c:v>1613444.9319478001</c:v>
                </c:pt>
                <c:pt idx="1146">
                  <c:v>1613444.9319478001</c:v>
                </c:pt>
                <c:pt idx="1147">
                  <c:v>1616447.3000027</c:v>
                </c:pt>
                <c:pt idx="1148">
                  <c:v>1628472.3057532001</c:v>
                </c:pt>
                <c:pt idx="1149">
                  <c:v>1634494.0165122999</c:v>
                </c:pt>
                <c:pt idx="1150">
                  <c:v>1634494.0165122999</c:v>
                </c:pt>
                <c:pt idx="1151">
                  <c:v>1637507.2197397</c:v>
                </c:pt>
                <c:pt idx="1152">
                  <c:v>1637507.2197397</c:v>
                </c:pt>
                <c:pt idx="1153">
                  <c:v>1637507.2197397</c:v>
                </c:pt>
                <c:pt idx="1154">
                  <c:v>1637507.2197397</c:v>
                </c:pt>
                <c:pt idx="1155">
                  <c:v>1637507.2197397</c:v>
                </c:pt>
                <c:pt idx="1156">
                  <c:v>1637507.2197397</c:v>
                </c:pt>
                <c:pt idx="1157">
                  <c:v>1640521.8742390999</c:v>
                </c:pt>
                <c:pt idx="1158">
                  <c:v>1640521.8742390999</c:v>
                </c:pt>
                <c:pt idx="1159">
                  <c:v>1640521.8742390999</c:v>
                </c:pt>
                <c:pt idx="1160">
                  <c:v>1640521.8742390999</c:v>
                </c:pt>
                <c:pt idx="1161">
                  <c:v>1643538.2164867001</c:v>
                </c:pt>
                <c:pt idx="1162">
                  <c:v>1640521.8742390999</c:v>
                </c:pt>
                <c:pt idx="1163">
                  <c:v>1640521.8742390999</c:v>
                </c:pt>
                <c:pt idx="1164">
                  <c:v>1643538.2164867001</c:v>
                </c:pt>
                <c:pt idx="1165">
                  <c:v>1640521.8742390999</c:v>
                </c:pt>
                <c:pt idx="1166">
                  <c:v>1643538.2164867001</c:v>
                </c:pt>
                <c:pt idx="1167">
                  <c:v>1643538.2164867001</c:v>
                </c:pt>
                <c:pt idx="1168">
                  <c:v>1640521.8742390999</c:v>
                </c:pt>
                <c:pt idx="1169">
                  <c:v>1640521.8742390999</c:v>
                </c:pt>
                <c:pt idx="1170">
                  <c:v>1640521.8742390999</c:v>
                </c:pt>
                <c:pt idx="1171">
                  <c:v>1643538.2164867001</c:v>
                </c:pt>
                <c:pt idx="1172">
                  <c:v>1643538.2164867001</c:v>
                </c:pt>
                <c:pt idx="1173">
                  <c:v>1640521.8742390999</c:v>
                </c:pt>
                <c:pt idx="1174">
                  <c:v>1640521.8742390999</c:v>
                </c:pt>
                <c:pt idx="1175">
                  <c:v>1637507.2197397</c:v>
                </c:pt>
                <c:pt idx="1176">
                  <c:v>1640521.8742390999</c:v>
                </c:pt>
                <c:pt idx="1177">
                  <c:v>1637507.2197397</c:v>
                </c:pt>
                <c:pt idx="1178">
                  <c:v>1637507.2197397</c:v>
                </c:pt>
                <c:pt idx="1179">
                  <c:v>1637507.2197397</c:v>
                </c:pt>
                <c:pt idx="1180">
                  <c:v>1637507.2197397</c:v>
                </c:pt>
                <c:pt idx="1181">
                  <c:v>1637507.2197397</c:v>
                </c:pt>
                <c:pt idx="1182">
                  <c:v>1637507.2197397</c:v>
                </c:pt>
                <c:pt idx="1183">
                  <c:v>1637507.2197397</c:v>
                </c:pt>
                <c:pt idx="1184">
                  <c:v>1637507.2197397</c:v>
                </c:pt>
                <c:pt idx="1185">
                  <c:v>1637507.2197397</c:v>
                </c:pt>
                <c:pt idx="1186">
                  <c:v>1634494.0165122999</c:v>
                </c:pt>
                <c:pt idx="1187">
                  <c:v>1634494.0165122999</c:v>
                </c:pt>
                <c:pt idx="1188">
                  <c:v>1634494.0165122999</c:v>
                </c:pt>
                <c:pt idx="1189">
                  <c:v>1634494.0165122999</c:v>
                </c:pt>
                <c:pt idx="1190">
                  <c:v>1634494.0165122999</c:v>
                </c:pt>
                <c:pt idx="1191">
                  <c:v>1634494.0165122999</c:v>
                </c:pt>
                <c:pt idx="1192">
                  <c:v>1634494.0165122999</c:v>
                </c:pt>
                <c:pt idx="1193">
                  <c:v>1634494.0165122999</c:v>
                </c:pt>
                <c:pt idx="1194">
                  <c:v>1634494.0165122999</c:v>
                </c:pt>
                <c:pt idx="1195">
                  <c:v>1634494.0165122999</c:v>
                </c:pt>
                <c:pt idx="1196">
                  <c:v>1655645.1614623</c:v>
                </c:pt>
                <c:pt idx="1197">
                  <c:v>1664741.6725647999</c:v>
                </c:pt>
                <c:pt idx="1198">
                  <c:v>1667776.8298903999</c:v>
                </c:pt>
                <c:pt idx="1199">
                  <c:v>1670813.4823932</c:v>
                </c:pt>
                <c:pt idx="1200">
                  <c:v>1670813.4823932</c:v>
                </c:pt>
                <c:pt idx="1201">
                  <c:v>1670813.4823932</c:v>
                </c:pt>
                <c:pt idx="1202">
                  <c:v>1670813.4823932</c:v>
                </c:pt>
                <c:pt idx="1203">
                  <c:v>1670813.4823932</c:v>
                </c:pt>
                <c:pt idx="1204">
                  <c:v>1670813.4823932</c:v>
                </c:pt>
                <c:pt idx="1205">
                  <c:v>1670813.4823932</c:v>
                </c:pt>
                <c:pt idx="1206">
                  <c:v>1670813.4823932</c:v>
                </c:pt>
                <c:pt idx="1207">
                  <c:v>1670813.4823932</c:v>
                </c:pt>
                <c:pt idx="1208">
                  <c:v>1670813.4823932</c:v>
                </c:pt>
                <c:pt idx="1209">
                  <c:v>1670813.4823932</c:v>
                </c:pt>
                <c:pt idx="1210">
                  <c:v>1670813.4823932</c:v>
                </c:pt>
                <c:pt idx="1211">
                  <c:v>1670813.4823932</c:v>
                </c:pt>
                <c:pt idx="1212">
                  <c:v>1670813.4823932</c:v>
                </c:pt>
                <c:pt idx="1213">
                  <c:v>1667776.8298903999</c:v>
                </c:pt>
                <c:pt idx="1214">
                  <c:v>1667776.8298903999</c:v>
                </c:pt>
                <c:pt idx="1215">
                  <c:v>1667776.8298903999</c:v>
                </c:pt>
                <c:pt idx="1216">
                  <c:v>1667776.8298903999</c:v>
                </c:pt>
                <c:pt idx="1217">
                  <c:v>1667776.8298903999</c:v>
                </c:pt>
                <c:pt idx="1218">
                  <c:v>1667776.8298903999</c:v>
                </c:pt>
                <c:pt idx="1219">
                  <c:v>1698213.6426939999</c:v>
                </c:pt>
                <c:pt idx="1220">
                  <c:v>1731977.2619970001</c:v>
                </c:pt>
                <c:pt idx="1221">
                  <c:v>1744312.3770924001</c:v>
                </c:pt>
                <c:pt idx="1222">
                  <c:v>1747400.294549</c:v>
                </c:pt>
                <c:pt idx="1223">
                  <c:v>1744312.3770924001</c:v>
                </c:pt>
                <c:pt idx="1224">
                  <c:v>1747400.294549</c:v>
                </c:pt>
                <c:pt idx="1225">
                  <c:v>1744312.3770924001</c:v>
                </c:pt>
                <c:pt idx="1226">
                  <c:v>1744312.3770924001</c:v>
                </c:pt>
                <c:pt idx="1227">
                  <c:v>1744312.3770924001</c:v>
                </c:pt>
                <c:pt idx="1228">
                  <c:v>1744312.3770924001</c:v>
                </c:pt>
                <c:pt idx="1229">
                  <c:v>1744312.3770924001</c:v>
                </c:pt>
                <c:pt idx="1230">
                  <c:v>1741226.0555606</c:v>
                </c:pt>
                <c:pt idx="1231">
                  <c:v>1738141.5165156999</c:v>
                </c:pt>
                <c:pt idx="1232">
                  <c:v>1735058.5729155</c:v>
                </c:pt>
                <c:pt idx="1233">
                  <c:v>1731977.2619970001</c:v>
                </c:pt>
                <c:pt idx="1234">
                  <c:v>1731977.2619970001</c:v>
                </c:pt>
                <c:pt idx="1235">
                  <c:v>1728897.6614808999</c:v>
                </c:pt>
                <c:pt idx="1236">
                  <c:v>1728897.6614808999</c:v>
                </c:pt>
                <c:pt idx="1237">
                  <c:v>1725819.6938243001</c:v>
                </c:pt>
                <c:pt idx="1238">
                  <c:v>1722743.3880805001</c:v>
                </c:pt>
                <c:pt idx="1239">
                  <c:v>1719668.7023854</c:v>
                </c:pt>
                <c:pt idx="1240">
                  <c:v>1719668.7023854</c:v>
                </c:pt>
                <c:pt idx="1241">
                  <c:v>1722743.3880805001</c:v>
                </c:pt>
                <c:pt idx="1242">
                  <c:v>1728897.6614808999</c:v>
                </c:pt>
                <c:pt idx="1243">
                  <c:v>1731977.2619970001</c:v>
                </c:pt>
                <c:pt idx="1244">
                  <c:v>1728897.6614808999</c:v>
                </c:pt>
                <c:pt idx="1245">
                  <c:v>1728897.6614808999</c:v>
                </c:pt>
                <c:pt idx="1246">
                  <c:v>1728897.6614808999</c:v>
                </c:pt>
                <c:pt idx="1247">
                  <c:v>1728897.6614808999</c:v>
                </c:pt>
                <c:pt idx="1248">
                  <c:v>1728897.6614808999</c:v>
                </c:pt>
                <c:pt idx="1249">
                  <c:v>1728897.6614808999</c:v>
                </c:pt>
                <c:pt idx="1250">
                  <c:v>1728897.6614808999</c:v>
                </c:pt>
                <c:pt idx="1251">
                  <c:v>1725819.6938243001</c:v>
                </c:pt>
                <c:pt idx="1252">
                  <c:v>1722743.3880805001</c:v>
                </c:pt>
                <c:pt idx="1253">
                  <c:v>1722743.3880805001</c:v>
                </c:pt>
                <c:pt idx="1254">
                  <c:v>1722743.3880805001</c:v>
                </c:pt>
                <c:pt idx="1255">
                  <c:v>1719668.7023854</c:v>
                </c:pt>
                <c:pt idx="1256">
                  <c:v>1719668.7023854</c:v>
                </c:pt>
                <c:pt idx="1257">
                  <c:v>1716595.6600502001</c:v>
                </c:pt>
                <c:pt idx="1258">
                  <c:v>1713524.2337388999</c:v>
                </c:pt>
                <c:pt idx="1259">
                  <c:v>1713524.2337388999</c:v>
                </c:pt>
                <c:pt idx="1260">
                  <c:v>1713524.2337388999</c:v>
                </c:pt>
                <c:pt idx="1261">
                  <c:v>1710454.4363392999</c:v>
                </c:pt>
                <c:pt idx="1262">
                  <c:v>1710454.4363392999</c:v>
                </c:pt>
                <c:pt idx="1263">
                  <c:v>1707386.3914463001</c:v>
                </c:pt>
                <c:pt idx="1264">
                  <c:v>1710454.4363392999</c:v>
                </c:pt>
                <c:pt idx="1265">
                  <c:v>1707386.3914463001</c:v>
                </c:pt>
                <c:pt idx="1266">
                  <c:v>1704320.2680112</c:v>
                </c:pt>
                <c:pt idx="1267">
                  <c:v>1704320.2680112</c:v>
                </c:pt>
                <c:pt idx="1268">
                  <c:v>1704320.2680112</c:v>
                </c:pt>
                <c:pt idx="1269">
                  <c:v>1704320.2680112</c:v>
                </c:pt>
                <c:pt idx="1270">
                  <c:v>1704320.2680112</c:v>
                </c:pt>
                <c:pt idx="1271">
                  <c:v>1701265.9872818999</c:v>
                </c:pt>
                <c:pt idx="1272">
                  <c:v>1698213.6426939999</c:v>
                </c:pt>
                <c:pt idx="1273">
                  <c:v>1698213.6426939999</c:v>
                </c:pt>
                <c:pt idx="1274">
                  <c:v>1698213.6426939999</c:v>
                </c:pt>
                <c:pt idx="1275">
                  <c:v>1698213.6426939999</c:v>
                </c:pt>
                <c:pt idx="1276">
                  <c:v>1698213.6426939999</c:v>
                </c:pt>
                <c:pt idx="1277">
                  <c:v>1695162.8519716</c:v>
                </c:pt>
                <c:pt idx="1278">
                  <c:v>1695162.8519716</c:v>
                </c:pt>
                <c:pt idx="1279">
                  <c:v>1692113.6615758</c:v>
                </c:pt>
                <c:pt idx="1280">
                  <c:v>1692113.6615758</c:v>
                </c:pt>
                <c:pt idx="1281">
                  <c:v>1692113.6615758</c:v>
                </c:pt>
                <c:pt idx="1282">
                  <c:v>1692113.6615758</c:v>
                </c:pt>
                <c:pt idx="1283">
                  <c:v>1692113.6615758</c:v>
                </c:pt>
                <c:pt idx="1284">
                  <c:v>1689066.0691295001</c:v>
                </c:pt>
                <c:pt idx="1285">
                  <c:v>1686020.0677445</c:v>
                </c:pt>
                <c:pt idx="1286">
                  <c:v>1686020.0677445</c:v>
                </c:pt>
                <c:pt idx="1287">
                  <c:v>1686020.0677445</c:v>
                </c:pt>
                <c:pt idx="1288">
                  <c:v>1686020.0677445</c:v>
                </c:pt>
                <c:pt idx="1289">
                  <c:v>1686020.0677445</c:v>
                </c:pt>
                <c:pt idx="1290">
                  <c:v>1686020.0677445</c:v>
                </c:pt>
                <c:pt idx="1291">
                  <c:v>1686020.0677445</c:v>
                </c:pt>
                <c:pt idx="1292">
                  <c:v>1682975.6527668999</c:v>
                </c:pt>
                <c:pt idx="1293">
                  <c:v>1682975.6527668999</c:v>
                </c:pt>
                <c:pt idx="1294">
                  <c:v>1682975.6527668999</c:v>
                </c:pt>
                <c:pt idx="1295">
                  <c:v>1682975.6527668999</c:v>
                </c:pt>
                <c:pt idx="1296">
                  <c:v>1682975.6527668999</c:v>
                </c:pt>
                <c:pt idx="1297">
                  <c:v>1679932.8392697</c:v>
                </c:pt>
                <c:pt idx="1298">
                  <c:v>1679932.8392697</c:v>
                </c:pt>
                <c:pt idx="1299">
                  <c:v>1679932.8392697</c:v>
                </c:pt>
                <c:pt idx="1300">
                  <c:v>1676891.4600323001</c:v>
                </c:pt>
                <c:pt idx="1301">
                  <c:v>1676891.4600323001</c:v>
                </c:pt>
                <c:pt idx="1302">
                  <c:v>1676891.4600323001</c:v>
                </c:pt>
                <c:pt idx="1303">
                  <c:v>1676891.4600323001</c:v>
                </c:pt>
                <c:pt idx="1304">
                  <c:v>1676891.4600323001</c:v>
                </c:pt>
                <c:pt idx="1305">
                  <c:v>1676891.4600323001</c:v>
                </c:pt>
                <c:pt idx="1306">
                  <c:v>1676891.4600323001</c:v>
                </c:pt>
                <c:pt idx="1307">
                  <c:v>1673851.7406957999</c:v>
                </c:pt>
                <c:pt idx="1308">
                  <c:v>1673851.7406957999</c:v>
                </c:pt>
                <c:pt idx="1309">
                  <c:v>1673851.7406957999</c:v>
                </c:pt>
                <c:pt idx="1310">
                  <c:v>1670813.4823932</c:v>
                </c:pt>
                <c:pt idx="1311">
                  <c:v>1670813.4823932</c:v>
                </c:pt>
                <c:pt idx="1312">
                  <c:v>1670813.4823932</c:v>
                </c:pt>
                <c:pt idx="1313">
                  <c:v>1670813.4823932</c:v>
                </c:pt>
                <c:pt idx="1314">
                  <c:v>1670813.4823932</c:v>
                </c:pt>
                <c:pt idx="1315">
                  <c:v>1670813.4823932</c:v>
                </c:pt>
                <c:pt idx="1316">
                  <c:v>1670813.4823932</c:v>
                </c:pt>
                <c:pt idx="1317">
                  <c:v>1667776.8298903999</c:v>
                </c:pt>
                <c:pt idx="1318">
                  <c:v>1667776.8298903999</c:v>
                </c:pt>
                <c:pt idx="1319">
                  <c:v>1667776.8298903999</c:v>
                </c:pt>
                <c:pt idx="1320">
                  <c:v>1667776.8298903999</c:v>
                </c:pt>
                <c:pt idx="1321">
                  <c:v>1667776.8298903999</c:v>
                </c:pt>
                <c:pt idx="1322">
                  <c:v>1667776.8298903999</c:v>
                </c:pt>
                <c:pt idx="1323">
                  <c:v>1667776.8298903999</c:v>
                </c:pt>
                <c:pt idx="1324">
                  <c:v>1664741.6725647999</c:v>
                </c:pt>
                <c:pt idx="1325">
                  <c:v>1664741.6725647999</c:v>
                </c:pt>
                <c:pt idx="1326">
                  <c:v>1664741.6725647999</c:v>
                </c:pt>
                <c:pt idx="1327">
                  <c:v>1661708.0167959</c:v>
                </c:pt>
                <c:pt idx="1328">
                  <c:v>1661708.0167959</c:v>
                </c:pt>
                <c:pt idx="1329">
                  <c:v>1661708.0167959</c:v>
                </c:pt>
                <c:pt idx="1330">
                  <c:v>1661708.0167959</c:v>
                </c:pt>
                <c:pt idx="1331">
                  <c:v>1661708.0167959</c:v>
                </c:pt>
                <c:pt idx="1332">
                  <c:v>1661708.0167959</c:v>
                </c:pt>
                <c:pt idx="1333">
                  <c:v>1661708.0167959</c:v>
                </c:pt>
                <c:pt idx="1334">
                  <c:v>1661708.0167959</c:v>
                </c:pt>
                <c:pt idx="1335">
                  <c:v>1661708.0167959</c:v>
                </c:pt>
                <c:pt idx="1336">
                  <c:v>1661708.0167959</c:v>
                </c:pt>
                <c:pt idx="1337">
                  <c:v>1661708.0167959</c:v>
                </c:pt>
                <c:pt idx="1338">
                  <c:v>1661708.0167959</c:v>
                </c:pt>
                <c:pt idx="1339">
                  <c:v>1658675.7961466999</c:v>
                </c:pt>
                <c:pt idx="1340">
                  <c:v>1658675.7961466999</c:v>
                </c:pt>
                <c:pt idx="1341">
                  <c:v>1658675.7961466999</c:v>
                </c:pt>
                <c:pt idx="1342">
                  <c:v>1658675.7961466999</c:v>
                </c:pt>
                <c:pt idx="1343">
                  <c:v>1655645.1614623</c:v>
                </c:pt>
                <c:pt idx="1344">
                  <c:v>1655645.1614623</c:v>
                </c:pt>
                <c:pt idx="1345">
                  <c:v>1655645.1614623</c:v>
                </c:pt>
                <c:pt idx="1346">
                  <c:v>1655645.1614623</c:v>
                </c:pt>
                <c:pt idx="1347">
                  <c:v>1655645.1614623</c:v>
                </c:pt>
                <c:pt idx="1348">
                  <c:v>1655645.1614623</c:v>
                </c:pt>
                <c:pt idx="1349">
                  <c:v>1655645.1614623</c:v>
                </c:pt>
                <c:pt idx="1350">
                  <c:v>1655645.1614623</c:v>
                </c:pt>
                <c:pt idx="1351">
                  <c:v>1652616.0060848999</c:v>
                </c:pt>
                <c:pt idx="1352">
                  <c:v>1652616.0060848999</c:v>
                </c:pt>
                <c:pt idx="1353">
                  <c:v>1652616.0060848999</c:v>
                </c:pt>
                <c:pt idx="1354">
                  <c:v>1652616.0060848999</c:v>
                </c:pt>
                <c:pt idx="1355">
                  <c:v>1655645.1614623</c:v>
                </c:pt>
                <c:pt idx="1356">
                  <c:v>1658675.7961466999</c:v>
                </c:pt>
                <c:pt idx="1357">
                  <c:v>1661708.0167959</c:v>
                </c:pt>
                <c:pt idx="1358">
                  <c:v>1661708.0167959</c:v>
                </c:pt>
                <c:pt idx="1359">
                  <c:v>1661708.0167959</c:v>
                </c:pt>
                <c:pt idx="1360">
                  <c:v>1661708.0167959</c:v>
                </c:pt>
                <c:pt idx="1361">
                  <c:v>1661708.0167959</c:v>
                </c:pt>
                <c:pt idx="1362">
                  <c:v>1661708.0167959</c:v>
                </c:pt>
                <c:pt idx="1363">
                  <c:v>1658675.7961466999</c:v>
                </c:pt>
                <c:pt idx="1364">
                  <c:v>1661708.0167959</c:v>
                </c:pt>
                <c:pt idx="1365">
                  <c:v>1661708.0167959</c:v>
                </c:pt>
                <c:pt idx="1366">
                  <c:v>1655645.1614623</c:v>
                </c:pt>
                <c:pt idx="1367">
                  <c:v>1655645.1614623</c:v>
                </c:pt>
                <c:pt idx="1368">
                  <c:v>1655645.1614623</c:v>
                </c:pt>
                <c:pt idx="1369">
                  <c:v>1655645.1614623</c:v>
                </c:pt>
                <c:pt idx="1370">
                  <c:v>1655645.1614623</c:v>
                </c:pt>
                <c:pt idx="1371">
                  <c:v>1655645.1614623</c:v>
                </c:pt>
                <c:pt idx="1372">
                  <c:v>1652616.0060848999</c:v>
                </c:pt>
                <c:pt idx="1373">
                  <c:v>1655645.1614623</c:v>
                </c:pt>
                <c:pt idx="1374">
                  <c:v>1652616.0060848999</c:v>
                </c:pt>
                <c:pt idx="1375">
                  <c:v>1655645.1614623</c:v>
                </c:pt>
                <c:pt idx="1376">
                  <c:v>1655645.1614623</c:v>
                </c:pt>
                <c:pt idx="1377">
                  <c:v>1652616.0060848999</c:v>
                </c:pt>
                <c:pt idx="1378">
                  <c:v>1652616.0060848999</c:v>
                </c:pt>
                <c:pt idx="1379">
                  <c:v>1655645.1614623</c:v>
                </c:pt>
                <c:pt idx="1380">
                  <c:v>1652616.0060848999</c:v>
                </c:pt>
                <c:pt idx="1381">
                  <c:v>1652616.0060848999</c:v>
                </c:pt>
                <c:pt idx="1382">
                  <c:v>1652616.0060848999</c:v>
                </c:pt>
                <c:pt idx="1383">
                  <c:v>1652616.0060848999</c:v>
                </c:pt>
                <c:pt idx="1384">
                  <c:v>1649588.4715396999</c:v>
                </c:pt>
                <c:pt idx="1385">
                  <c:v>1652616.0060848999</c:v>
                </c:pt>
                <c:pt idx="1386">
                  <c:v>1652616.0060848999</c:v>
                </c:pt>
                <c:pt idx="1387">
                  <c:v>1655645.1614623</c:v>
                </c:pt>
                <c:pt idx="1388">
                  <c:v>1658675.7961466999</c:v>
                </c:pt>
                <c:pt idx="1389">
                  <c:v>1658675.7961466999</c:v>
                </c:pt>
                <c:pt idx="1390">
                  <c:v>1658675.7961466999</c:v>
                </c:pt>
                <c:pt idx="1391">
                  <c:v>1655645.1614623</c:v>
                </c:pt>
                <c:pt idx="1392">
                  <c:v>1661708.0167959</c:v>
                </c:pt>
                <c:pt idx="1393">
                  <c:v>1667776.8298903999</c:v>
                </c:pt>
                <c:pt idx="1394">
                  <c:v>1670813.4823932</c:v>
                </c:pt>
                <c:pt idx="1395">
                  <c:v>1670813.4823932</c:v>
                </c:pt>
                <c:pt idx="1396">
                  <c:v>1673851.7406957999</c:v>
                </c:pt>
                <c:pt idx="1397">
                  <c:v>1673851.7406957999</c:v>
                </c:pt>
                <c:pt idx="1398">
                  <c:v>1673851.7406957999</c:v>
                </c:pt>
                <c:pt idx="1399">
                  <c:v>1676891.4600323001</c:v>
                </c:pt>
                <c:pt idx="1400">
                  <c:v>1676891.4600323001</c:v>
                </c:pt>
                <c:pt idx="1401">
                  <c:v>1673851.7406957999</c:v>
                </c:pt>
                <c:pt idx="1402">
                  <c:v>1676891.4600323001</c:v>
                </c:pt>
                <c:pt idx="1403">
                  <c:v>1673851.7406957999</c:v>
                </c:pt>
                <c:pt idx="1404">
                  <c:v>1673851.7406957999</c:v>
                </c:pt>
                <c:pt idx="1405">
                  <c:v>1673851.7406957999</c:v>
                </c:pt>
                <c:pt idx="1406">
                  <c:v>1676891.4600323001</c:v>
                </c:pt>
                <c:pt idx="1407">
                  <c:v>1676891.4600323001</c:v>
                </c:pt>
                <c:pt idx="1408">
                  <c:v>1676891.4600323001</c:v>
                </c:pt>
                <c:pt idx="1409">
                  <c:v>1676891.4600323001</c:v>
                </c:pt>
                <c:pt idx="1410">
                  <c:v>1676891.4600323001</c:v>
                </c:pt>
                <c:pt idx="1411">
                  <c:v>1676891.4600323001</c:v>
                </c:pt>
                <c:pt idx="1412">
                  <c:v>1676891.4600323001</c:v>
                </c:pt>
                <c:pt idx="1413">
                  <c:v>1670813.4823932</c:v>
                </c:pt>
                <c:pt idx="1414">
                  <c:v>1670813.4823932</c:v>
                </c:pt>
                <c:pt idx="1415">
                  <c:v>1670813.4823932</c:v>
                </c:pt>
                <c:pt idx="1416">
                  <c:v>1670813.4823932</c:v>
                </c:pt>
                <c:pt idx="1417">
                  <c:v>1670813.4823932</c:v>
                </c:pt>
                <c:pt idx="1418">
                  <c:v>1670813.4823932</c:v>
                </c:pt>
                <c:pt idx="1419">
                  <c:v>1670813.4823932</c:v>
                </c:pt>
                <c:pt idx="1420">
                  <c:v>1670813.4823932</c:v>
                </c:pt>
                <c:pt idx="1421">
                  <c:v>1670813.4823932</c:v>
                </c:pt>
                <c:pt idx="1422">
                  <c:v>1667776.8298903999</c:v>
                </c:pt>
                <c:pt idx="1423">
                  <c:v>1670813.4823932</c:v>
                </c:pt>
                <c:pt idx="1424">
                  <c:v>1670813.4823932</c:v>
                </c:pt>
                <c:pt idx="1425">
                  <c:v>1670813.4823932</c:v>
                </c:pt>
                <c:pt idx="1426">
                  <c:v>1667776.8298903999</c:v>
                </c:pt>
                <c:pt idx="1427">
                  <c:v>1667776.8298903999</c:v>
                </c:pt>
                <c:pt idx="1428">
                  <c:v>1667776.8298903999</c:v>
                </c:pt>
                <c:pt idx="1429">
                  <c:v>1667776.8298903999</c:v>
                </c:pt>
                <c:pt idx="1430">
                  <c:v>1667776.8298903999</c:v>
                </c:pt>
                <c:pt idx="1431">
                  <c:v>1670813.4823932</c:v>
                </c:pt>
                <c:pt idx="1432">
                  <c:v>1667776.8298903999</c:v>
                </c:pt>
                <c:pt idx="1433">
                  <c:v>1670813.4823932</c:v>
                </c:pt>
                <c:pt idx="1434">
                  <c:v>1667776.8298903999</c:v>
                </c:pt>
                <c:pt idx="1435">
                  <c:v>1658675.7961466999</c:v>
                </c:pt>
                <c:pt idx="1436">
                  <c:v>1658675.7961466999</c:v>
                </c:pt>
                <c:pt idx="1437">
                  <c:v>1658675.7961466999</c:v>
                </c:pt>
                <c:pt idx="1438">
                  <c:v>1658675.7961466999</c:v>
                </c:pt>
                <c:pt idx="1439">
                  <c:v>1658675.7961466999</c:v>
                </c:pt>
                <c:pt idx="1440">
                  <c:v>1655645.1614623</c:v>
                </c:pt>
                <c:pt idx="1441">
                  <c:v>1655645.1614623</c:v>
                </c:pt>
                <c:pt idx="1442">
                  <c:v>1655645.1614623</c:v>
                </c:pt>
                <c:pt idx="1443">
                  <c:v>1655645.1614623</c:v>
                </c:pt>
                <c:pt idx="1444">
                  <c:v>1652616.0060848999</c:v>
                </c:pt>
                <c:pt idx="1445">
                  <c:v>1652616.0060848999</c:v>
                </c:pt>
                <c:pt idx="1446">
                  <c:v>1655645.1614623</c:v>
                </c:pt>
                <c:pt idx="1447">
                  <c:v>1652616.0060848999</c:v>
                </c:pt>
                <c:pt idx="1448">
                  <c:v>1652616.0060848999</c:v>
                </c:pt>
                <c:pt idx="1449">
                  <c:v>1652616.0060848999</c:v>
                </c:pt>
                <c:pt idx="1450">
                  <c:v>1652616.0060848999</c:v>
                </c:pt>
                <c:pt idx="1451">
                  <c:v>1652616.0060848999</c:v>
                </c:pt>
                <c:pt idx="1452">
                  <c:v>1655645.1614623</c:v>
                </c:pt>
                <c:pt idx="1453">
                  <c:v>1655645.1614623</c:v>
                </c:pt>
                <c:pt idx="1454">
                  <c:v>1655645.1614623</c:v>
                </c:pt>
                <c:pt idx="1455">
                  <c:v>1655645.1614623</c:v>
                </c:pt>
                <c:pt idx="1456">
                  <c:v>1655645.1614623</c:v>
                </c:pt>
                <c:pt idx="1457">
                  <c:v>1655645.1614623</c:v>
                </c:pt>
                <c:pt idx="1458">
                  <c:v>1661708.0167959</c:v>
                </c:pt>
                <c:pt idx="1459">
                  <c:v>1661708.0167959</c:v>
                </c:pt>
                <c:pt idx="1460">
                  <c:v>1667776.8298903999</c:v>
                </c:pt>
                <c:pt idx="1461">
                  <c:v>1667776.8298903999</c:v>
                </c:pt>
                <c:pt idx="1462">
                  <c:v>1670813.4823932</c:v>
                </c:pt>
                <c:pt idx="1463">
                  <c:v>1670813.4823932</c:v>
                </c:pt>
                <c:pt idx="1464">
                  <c:v>1676891.4600323001</c:v>
                </c:pt>
                <c:pt idx="1465">
                  <c:v>1679932.8392697</c:v>
                </c:pt>
                <c:pt idx="1466">
                  <c:v>1682975.6527668999</c:v>
                </c:pt>
                <c:pt idx="1467">
                  <c:v>1686020.0677445</c:v>
                </c:pt>
                <c:pt idx="1468">
                  <c:v>1695162.8519716</c:v>
                </c:pt>
                <c:pt idx="1469">
                  <c:v>1701265.9872818999</c:v>
                </c:pt>
                <c:pt idx="1470">
                  <c:v>1707386.3914463001</c:v>
                </c:pt>
                <c:pt idx="1471">
                  <c:v>1710454.4363392999</c:v>
                </c:pt>
                <c:pt idx="1472">
                  <c:v>1716595.6600502001</c:v>
                </c:pt>
                <c:pt idx="1473">
                  <c:v>1719668.7023854</c:v>
                </c:pt>
                <c:pt idx="1474">
                  <c:v>1722743.3880805001</c:v>
                </c:pt>
                <c:pt idx="1475">
                  <c:v>1722743.3880805001</c:v>
                </c:pt>
                <c:pt idx="1476">
                  <c:v>1725819.6938243001</c:v>
                </c:pt>
                <c:pt idx="1477">
                  <c:v>1725819.6938243001</c:v>
                </c:pt>
                <c:pt idx="1478">
                  <c:v>1728897.6614808999</c:v>
                </c:pt>
                <c:pt idx="1479">
                  <c:v>1725819.6938243001</c:v>
                </c:pt>
                <c:pt idx="1480">
                  <c:v>1725819.6938243001</c:v>
                </c:pt>
                <c:pt idx="1481">
                  <c:v>1725819.6938243001</c:v>
                </c:pt>
                <c:pt idx="1482">
                  <c:v>1725819.6938243001</c:v>
                </c:pt>
                <c:pt idx="1483">
                  <c:v>1725819.6938243001</c:v>
                </c:pt>
                <c:pt idx="1484">
                  <c:v>1722743.3880805001</c:v>
                </c:pt>
                <c:pt idx="1485">
                  <c:v>1719668.7023854</c:v>
                </c:pt>
                <c:pt idx="1486">
                  <c:v>1725819.6938243001</c:v>
                </c:pt>
                <c:pt idx="1487">
                  <c:v>1728897.6614808999</c:v>
                </c:pt>
                <c:pt idx="1488">
                  <c:v>1728897.6614808999</c:v>
                </c:pt>
                <c:pt idx="1489">
                  <c:v>1728897.6614808999</c:v>
                </c:pt>
                <c:pt idx="1490">
                  <c:v>1728897.6614808999</c:v>
                </c:pt>
                <c:pt idx="1491">
                  <c:v>1725819.6938243001</c:v>
                </c:pt>
                <c:pt idx="1492">
                  <c:v>1722743.3880805001</c:v>
                </c:pt>
                <c:pt idx="1493">
                  <c:v>1722743.3880805001</c:v>
                </c:pt>
                <c:pt idx="1494">
                  <c:v>1722743.3880805001</c:v>
                </c:pt>
                <c:pt idx="1495">
                  <c:v>1722743.3880805001</c:v>
                </c:pt>
                <c:pt idx="1496">
                  <c:v>1719668.7023854</c:v>
                </c:pt>
                <c:pt idx="1497">
                  <c:v>1719668.7023854</c:v>
                </c:pt>
                <c:pt idx="1498">
                  <c:v>1716595.6600502001</c:v>
                </c:pt>
                <c:pt idx="1499">
                  <c:v>1713524.2337388999</c:v>
                </c:pt>
                <c:pt idx="1500">
                  <c:v>1713524.2337388999</c:v>
                </c:pt>
                <c:pt idx="1501">
                  <c:v>1713524.2337388999</c:v>
                </c:pt>
                <c:pt idx="1502">
                  <c:v>1713524.2337388999</c:v>
                </c:pt>
                <c:pt idx="1503">
                  <c:v>1710454.4363392999</c:v>
                </c:pt>
                <c:pt idx="1504">
                  <c:v>1710454.4363392999</c:v>
                </c:pt>
                <c:pt idx="1505">
                  <c:v>1710454.4363392999</c:v>
                </c:pt>
                <c:pt idx="1506">
                  <c:v>1710454.4363392999</c:v>
                </c:pt>
                <c:pt idx="1507">
                  <c:v>1710454.4363392999</c:v>
                </c:pt>
                <c:pt idx="1508">
                  <c:v>1707386.3914463001</c:v>
                </c:pt>
                <c:pt idx="1509">
                  <c:v>1704320.2680112</c:v>
                </c:pt>
                <c:pt idx="1510">
                  <c:v>1704320.2680112</c:v>
                </c:pt>
                <c:pt idx="1511">
                  <c:v>1704320.2680112</c:v>
                </c:pt>
                <c:pt idx="1512">
                  <c:v>1701265.9872818999</c:v>
                </c:pt>
                <c:pt idx="1513">
                  <c:v>1701265.9872818999</c:v>
                </c:pt>
                <c:pt idx="1514">
                  <c:v>1701265.9872818999</c:v>
                </c:pt>
                <c:pt idx="1515">
                  <c:v>1698213.6426939999</c:v>
                </c:pt>
                <c:pt idx="1516">
                  <c:v>1698213.6426939999</c:v>
                </c:pt>
                <c:pt idx="1517">
                  <c:v>1698213.6426939999</c:v>
                </c:pt>
                <c:pt idx="1518">
                  <c:v>1698213.6426939999</c:v>
                </c:pt>
                <c:pt idx="1519">
                  <c:v>1698213.6426939999</c:v>
                </c:pt>
                <c:pt idx="1520">
                  <c:v>1695162.8519716</c:v>
                </c:pt>
                <c:pt idx="1521">
                  <c:v>1695162.8519716</c:v>
                </c:pt>
                <c:pt idx="1522">
                  <c:v>1695162.8519716</c:v>
                </c:pt>
                <c:pt idx="1523">
                  <c:v>1695162.8519716</c:v>
                </c:pt>
                <c:pt idx="1524">
                  <c:v>1695162.8519716</c:v>
                </c:pt>
                <c:pt idx="1525">
                  <c:v>1692113.6615758</c:v>
                </c:pt>
                <c:pt idx="1526">
                  <c:v>1692113.6615758</c:v>
                </c:pt>
                <c:pt idx="1527">
                  <c:v>1692113.6615758</c:v>
                </c:pt>
                <c:pt idx="1528">
                  <c:v>1692113.6615758</c:v>
                </c:pt>
                <c:pt idx="1529">
                  <c:v>1689066.0691295001</c:v>
                </c:pt>
                <c:pt idx="1530">
                  <c:v>1689066.0691295001</c:v>
                </c:pt>
                <c:pt idx="1531">
                  <c:v>1689066.0691295001</c:v>
                </c:pt>
                <c:pt idx="1532">
                  <c:v>1686020.0677445</c:v>
                </c:pt>
                <c:pt idx="1533">
                  <c:v>1686020.0677445</c:v>
                </c:pt>
                <c:pt idx="1534">
                  <c:v>1686020.0677445</c:v>
                </c:pt>
                <c:pt idx="1535">
                  <c:v>1686020.0677445</c:v>
                </c:pt>
                <c:pt idx="1536">
                  <c:v>1686020.0677445</c:v>
                </c:pt>
                <c:pt idx="1537">
                  <c:v>1682975.6527668999</c:v>
                </c:pt>
                <c:pt idx="1538">
                  <c:v>1682975.6527668999</c:v>
                </c:pt>
                <c:pt idx="1539">
                  <c:v>1682975.6527668999</c:v>
                </c:pt>
                <c:pt idx="1540">
                  <c:v>1682975.6527668999</c:v>
                </c:pt>
                <c:pt idx="1541">
                  <c:v>1682975.6527668999</c:v>
                </c:pt>
                <c:pt idx="1542">
                  <c:v>1682975.6527668999</c:v>
                </c:pt>
                <c:pt idx="1543">
                  <c:v>1682975.6527668999</c:v>
                </c:pt>
                <c:pt idx="1544">
                  <c:v>1679932.8392697</c:v>
                </c:pt>
                <c:pt idx="1545">
                  <c:v>1679932.8392697</c:v>
                </c:pt>
                <c:pt idx="1546">
                  <c:v>1679932.8392697</c:v>
                </c:pt>
                <c:pt idx="1547">
                  <c:v>1676891.4600323001</c:v>
                </c:pt>
                <c:pt idx="1548">
                  <c:v>1676891.4600323001</c:v>
                </c:pt>
                <c:pt idx="1549">
                  <c:v>1676891.4600323001</c:v>
                </c:pt>
                <c:pt idx="1550">
                  <c:v>1676891.4600323001</c:v>
                </c:pt>
                <c:pt idx="1551">
                  <c:v>1676891.4600323001</c:v>
                </c:pt>
                <c:pt idx="1552">
                  <c:v>1676891.4600323001</c:v>
                </c:pt>
                <c:pt idx="1553">
                  <c:v>1676891.4600323001</c:v>
                </c:pt>
                <c:pt idx="1554">
                  <c:v>1676891.4600323001</c:v>
                </c:pt>
                <c:pt idx="1555">
                  <c:v>1676891.4600323001</c:v>
                </c:pt>
                <c:pt idx="1556">
                  <c:v>1676891.4600323001</c:v>
                </c:pt>
                <c:pt idx="1557">
                  <c:v>1676891.4600323001</c:v>
                </c:pt>
                <c:pt idx="1558">
                  <c:v>1676891.4600323001</c:v>
                </c:pt>
                <c:pt idx="1559">
                  <c:v>1676891.4600323001</c:v>
                </c:pt>
                <c:pt idx="1560">
                  <c:v>1679932.8392697</c:v>
                </c:pt>
                <c:pt idx="1561">
                  <c:v>1676891.4600323001</c:v>
                </c:pt>
                <c:pt idx="1562">
                  <c:v>1676891.4600323001</c:v>
                </c:pt>
                <c:pt idx="1563">
                  <c:v>1676891.4600323001</c:v>
                </c:pt>
                <c:pt idx="1564">
                  <c:v>1676891.4600323001</c:v>
                </c:pt>
                <c:pt idx="1565">
                  <c:v>1676891.4600323001</c:v>
                </c:pt>
                <c:pt idx="1566">
                  <c:v>1676891.4600323001</c:v>
                </c:pt>
                <c:pt idx="1567">
                  <c:v>1676891.4600323001</c:v>
                </c:pt>
                <c:pt idx="1568">
                  <c:v>1676891.4600323001</c:v>
                </c:pt>
                <c:pt idx="1569">
                  <c:v>1676891.4600323001</c:v>
                </c:pt>
                <c:pt idx="1570">
                  <c:v>1673851.7406957999</c:v>
                </c:pt>
                <c:pt idx="1571">
                  <c:v>1673851.7406957999</c:v>
                </c:pt>
                <c:pt idx="1572">
                  <c:v>1673851.7406957999</c:v>
                </c:pt>
                <c:pt idx="1573">
                  <c:v>1673851.7406957999</c:v>
                </c:pt>
                <c:pt idx="1574">
                  <c:v>1673851.7406957999</c:v>
                </c:pt>
                <c:pt idx="1575">
                  <c:v>1673851.7406957999</c:v>
                </c:pt>
                <c:pt idx="1576">
                  <c:v>1670813.4823932</c:v>
                </c:pt>
                <c:pt idx="1577">
                  <c:v>1670813.4823932</c:v>
                </c:pt>
                <c:pt idx="1578">
                  <c:v>1670813.4823932</c:v>
                </c:pt>
                <c:pt idx="1579">
                  <c:v>1670813.4823932</c:v>
                </c:pt>
                <c:pt idx="1580">
                  <c:v>1670813.4823932</c:v>
                </c:pt>
                <c:pt idx="1581">
                  <c:v>1670813.4823932</c:v>
                </c:pt>
                <c:pt idx="1582">
                  <c:v>1670813.4823932</c:v>
                </c:pt>
                <c:pt idx="1583">
                  <c:v>1670813.4823932</c:v>
                </c:pt>
                <c:pt idx="1584">
                  <c:v>1670813.4823932</c:v>
                </c:pt>
                <c:pt idx="1585">
                  <c:v>1670813.4823932</c:v>
                </c:pt>
                <c:pt idx="1586">
                  <c:v>1670813.4823932</c:v>
                </c:pt>
                <c:pt idx="1587">
                  <c:v>1670813.4823932</c:v>
                </c:pt>
                <c:pt idx="1588">
                  <c:v>1670813.4823932</c:v>
                </c:pt>
                <c:pt idx="1589">
                  <c:v>1670813.4823932</c:v>
                </c:pt>
                <c:pt idx="1590">
                  <c:v>1667776.8298903999</c:v>
                </c:pt>
                <c:pt idx="1591">
                  <c:v>1667776.8298903999</c:v>
                </c:pt>
                <c:pt idx="1592">
                  <c:v>1667776.8298903999</c:v>
                </c:pt>
                <c:pt idx="1593">
                  <c:v>1667776.8298903999</c:v>
                </c:pt>
                <c:pt idx="1594">
                  <c:v>1667776.8298903999</c:v>
                </c:pt>
                <c:pt idx="1595">
                  <c:v>1667776.8298903999</c:v>
                </c:pt>
                <c:pt idx="1596">
                  <c:v>1667776.8298903999</c:v>
                </c:pt>
                <c:pt idx="1597">
                  <c:v>1667776.8298903999</c:v>
                </c:pt>
                <c:pt idx="1598">
                  <c:v>1667776.8298903999</c:v>
                </c:pt>
                <c:pt idx="1599">
                  <c:v>1667776.8298903999</c:v>
                </c:pt>
                <c:pt idx="1600">
                  <c:v>1667776.8298903999</c:v>
                </c:pt>
                <c:pt idx="1601">
                  <c:v>1667776.8298903999</c:v>
                </c:pt>
                <c:pt idx="1602">
                  <c:v>1667776.8298903999</c:v>
                </c:pt>
                <c:pt idx="1603">
                  <c:v>1667776.8298903999</c:v>
                </c:pt>
                <c:pt idx="1604">
                  <c:v>1667776.8298903999</c:v>
                </c:pt>
                <c:pt idx="1605">
                  <c:v>1664741.6725647999</c:v>
                </c:pt>
                <c:pt idx="1606">
                  <c:v>1664741.6725647999</c:v>
                </c:pt>
                <c:pt idx="1607">
                  <c:v>1664741.6725647999</c:v>
                </c:pt>
                <c:pt idx="1608">
                  <c:v>1664741.6725647999</c:v>
                </c:pt>
                <c:pt idx="1609">
                  <c:v>1664741.6725647999</c:v>
                </c:pt>
                <c:pt idx="1610">
                  <c:v>1661708.0167959</c:v>
                </c:pt>
                <c:pt idx="1611">
                  <c:v>1661708.0167959</c:v>
                </c:pt>
                <c:pt idx="1612">
                  <c:v>1661708.0167959</c:v>
                </c:pt>
                <c:pt idx="1613">
                  <c:v>1661708.0167959</c:v>
                </c:pt>
                <c:pt idx="1614">
                  <c:v>1661708.0167959</c:v>
                </c:pt>
                <c:pt idx="1615">
                  <c:v>1661708.0167959</c:v>
                </c:pt>
                <c:pt idx="1616">
                  <c:v>1661708.0167959</c:v>
                </c:pt>
                <c:pt idx="1617">
                  <c:v>1661708.0167959</c:v>
                </c:pt>
                <c:pt idx="1618">
                  <c:v>1661708.0167959</c:v>
                </c:pt>
                <c:pt idx="1619">
                  <c:v>1661708.0167959</c:v>
                </c:pt>
                <c:pt idx="1620">
                  <c:v>1661708.0167959</c:v>
                </c:pt>
                <c:pt idx="1621">
                  <c:v>1661708.0167959</c:v>
                </c:pt>
                <c:pt idx="1622">
                  <c:v>1661708.0167959</c:v>
                </c:pt>
                <c:pt idx="1623">
                  <c:v>1661708.0167959</c:v>
                </c:pt>
                <c:pt idx="1624">
                  <c:v>1658675.7961466999</c:v>
                </c:pt>
                <c:pt idx="1625">
                  <c:v>1658675.7961466999</c:v>
                </c:pt>
                <c:pt idx="1626">
                  <c:v>1658675.7961466999</c:v>
                </c:pt>
                <c:pt idx="1627">
                  <c:v>1658675.7961466999</c:v>
                </c:pt>
                <c:pt idx="1628">
                  <c:v>1658675.7961466999</c:v>
                </c:pt>
                <c:pt idx="1629">
                  <c:v>1661708.0167959</c:v>
                </c:pt>
                <c:pt idx="1630">
                  <c:v>1661708.0167959</c:v>
                </c:pt>
                <c:pt idx="1631">
                  <c:v>1661708.0167959</c:v>
                </c:pt>
                <c:pt idx="1632">
                  <c:v>1661708.0167959</c:v>
                </c:pt>
                <c:pt idx="1633">
                  <c:v>1661708.0167959</c:v>
                </c:pt>
                <c:pt idx="1634">
                  <c:v>1661708.0167959</c:v>
                </c:pt>
                <c:pt idx="1635">
                  <c:v>1661708.0167959</c:v>
                </c:pt>
                <c:pt idx="1636">
                  <c:v>1661708.0167959</c:v>
                </c:pt>
                <c:pt idx="1637">
                  <c:v>1661708.0167959</c:v>
                </c:pt>
                <c:pt idx="1638">
                  <c:v>1661708.0167959</c:v>
                </c:pt>
                <c:pt idx="1639">
                  <c:v>1661708.0167959</c:v>
                </c:pt>
                <c:pt idx="1640">
                  <c:v>1661708.0167959</c:v>
                </c:pt>
                <c:pt idx="1641">
                  <c:v>1661708.0167959</c:v>
                </c:pt>
                <c:pt idx="1642">
                  <c:v>1661708.0167959</c:v>
                </c:pt>
                <c:pt idx="1643">
                  <c:v>1661708.0167959</c:v>
                </c:pt>
                <c:pt idx="1644">
                  <c:v>1661708.0167959</c:v>
                </c:pt>
                <c:pt idx="1645">
                  <c:v>1661708.0167959</c:v>
                </c:pt>
                <c:pt idx="1646">
                  <c:v>1661708.0167959</c:v>
                </c:pt>
                <c:pt idx="1647">
                  <c:v>1661708.0167959</c:v>
                </c:pt>
                <c:pt idx="1648">
                  <c:v>1658675.7961466999</c:v>
                </c:pt>
                <c:pt idx="1649">
                  <c:v>1661708.0167959</c:v>
                </c:pt>
                <c:pt idx="1650">
                  <c:v>1658675.7961466999</c:v>
                </c:pt>
                <c:pt idx="1651">
                  <c:v>1661708.0167959</c:v>
                </c:pt>
                <c:pt idx="1652">
                  <c:v>1658675.7961466999</c:v>
                </c:pt>
                <c:pt idx="1653">
                  <c:v>1658675.7961466999</c:v>
                </c:pt>
                <c:pt idx="1654">
                  <c:v>1658675.7961466999</c:v>
                </c:pt>
                <c:pt idx="1655">
                  <c:v>1658675.7961466999</c:v>
                </c:pt>
                <c:pt idx="1656">
                  <c:v>1655645.1614623</c:v>
                </c:pt>
                <c:pt idx="1657">
                  <c:v>1655645.1614623</c:v>
                </c:pt>
                <c:pt idx="1658">
                  <c:v>1655645.1614623</c:v>
                </c:pt>
                <c:pt idx="1659">
                  <c:v>1655645.1614623</c:v>
                </c:pt>
                <c:pt idx="1660">
                  <c:v>1655645.1614623</c:v>
                </c:pt>
                <c:pt idx="1661">
                  <c:v>1655645.1614623</c:v>
                </c:pt>
                <c:pt idx="1662">
                  <c:v>1655645.1614623</c:v>
                </c:pt>
                <c:pt idx="1663">
                  <c:v>1652616.0060848999</c:v>
                </c:pt>
                <c:pt idx="1664">
                  <c:v>1652616.0060848999</c:v>
                </c:pt>
                <c:pt idx="1665">
                  <c:v>1652616.0060848999</c:v>
                </c:pt>
                <c:pt idx="1666">
                  <c:v>1652616.0060848999</c:v>
                </c:pt>
                <c:pt idx="1667">
                  <c:v>1655645.1614623</c:v>
                </c:pt>
                <c:pt idx="1668">
                  <c:v>1652616.0060848999</c:v>
                </c:pt>
                <c:pt idx="1669">
                  <c:v>1652616.0060848999</c:v>
                </c:pt>
                <c:pt idx="1670">
                  <c:v>1652616.0060848999</c:v>
                </c:pt>
                <c:pt idx="1671">
                  <c:v>1652616.0060848999</c:v>
                </c:pt>
                <c:pt idx="1672">
                  <c:v>1652616.0060848999</c:v>
                </c:pt>
                <c:pt idx="1673">
                  <c:v>1652616.0060848999</c:v>
                </c:pt>
                <c:pt idx="1674">
                  <c:v>1652616.0060848999</c:v>
                </c:pt>
                <c:pt idx="1675">
                  <c:v>1652616.0060848999</c:v>
                </c:pt>
                <c:pt idx="1676">
                  <c:v>1652616.0060848999</c:v>
                </c:pt>
                <c:pt idx="1677">
                  <c:v>1649588.4715396999</c:v>
                </c:pt>
                <c:pt idx="1678">
                  <c:v>1649588.4715396999</c:v>
                </c:pt>
                <c:pt idx="1679">
                  <c:v>1649588.4715396999</c:v>
                </c:pt>
                <c:pt idx="1680">
                  <c:v>1649588.4715396999</c:v>
                </c:pt>
                <c:pt idx="1681">
                  <c:v>1649588.4715396999</c:v>
                </c:pt>
                <c:pt idx="1682">
                  <c:v>1649588.4715396999</c:v>
                </c:pt>
                <c:pt idx="1683">
                  <c:v>1649588.4715396999</c:v>
                </c:pt>
                <c:pt idx="1684">
                  <c:v>1646562.4785364</c:v>
                </c:pt>
                <c:pt idx="1685">
                  <c:v>1649588.4715396999</c:v>
                </c:pt>
                <c:pt idx="1686">
                  <c:v>1646562.4785364</c:v>
                </c:pt>
                <c:pt idx="1687">
                  <c:v>1649588.4715396999</c:v>
                </c:pt>
                <c:pt idx="1688">
                  <c:v>1646562.4785364</c:v>
                </c:pt>
                <c:pt idx="1689">
                  <c:v>1646562.4785364</c:v>
                </c:pt>
                <c:pt idx="1690">
                  <c:v>1646562.4785364</c:v>
                </c:pt>
                <c:pt idx="1691">
                  <c:v>1646562.4785364</c:v>
                </c:pt>
                <c:pt idx="1692">
                  <c:v>1643538.2164867001</c:v>
                </c:pt>
                <c:pt idx="1693">
                  <c:v>1643538.2164867001</c:v>
                </c:pt>
                <c:pt idx="1694">
                  <c:v>1643538.2164867001</c:v>
                </c:pt>
                <c:pt idx="1695">
                  <c:v>1643538.2164867001</c:v>
                </c:pt>
                <c:pt idx="1696">
                  <c:v>1646562.4785364</c:v>
                </c:pt>
                <c:pt idx="1697">
                  <c:v>1643538.2164867001</c:v>
                </c:pt>
                <c:pt idx="1698">
                  <c:v>1643538.2164867001</c:v>
                </c:pt>
                <c:pt idx="1699">
                  <c:v>1643538.2164867001</c:v>
                </c:pt>
                <c:pt idx="1700">
                  <c:v>1643538.2164867001</c:v>
                </c:pt>
                <c:pt idx="1701">
                  <c:v>1643538.2164867001</c:v>
                </c:pt>
                <c:pt idx="1702">
                  <c:v>1643538.2164867001</c:v>
                </c:pt>
                <c:pt idx="1703">
                  <c:v>1643538.2164867001</c:v>
                </c:pt>
                <c:pt idx="1704">
                  <c:v>1643538.2164867001</c:v>
                </c:pt>
                <c:pt idx="1705">
                  <c:v>1640521.8742390999</c:v>
                </c:pt>
                <c:pt idx="1706">
                  <c:v>1640521.8742390999</c:v>
                </c:pt>
                <c:pt idx="1707">
                  <c:v>1640521.8742390999</c:v>
                </c:pt>
                <c:pt idx="1708">
                  <c:v>1640521.8742390999</c:v>
                </c:pt>
                <c:pt idx="1709">
                  <c:v>1640521.8742390999</c:v>
                </c:pt>
                <c:pt idx="1710">
                  <c:v>1637507.2197397</c:v>
                </c:pt>
                <c:pt idx="1711">
                  <c:v>1637507.2197397</c:v>
                </c:pt>
                <c:pt idx="1712">
                  <c:v>1637507.2197397</c:v>
                </c:pt>
                <c:pt idx="1713">
                  <c:v>1637507.2197397</c:v>
                </c:pt>
                <c:pt idx="1714">
                  <c:v>1637507.2197397</c:v>
                </c:pt>
                <c:pt idx="1715">
                  <c:v>1637507.2197397</c:v>
                </c:pt>
                <c:pt idx="1716">
                  <c:v>1637507.2197397</c:v>
                </c:pt>
                <c:pt idx="1717">
                  <c:v>1637507.2197397</c:v>
                </c:pt>
                <c:pt idx="1718">
                  <c:v>1637507.2197397</c:v>
                </c:pt>
                <c:pt idx="1719">
                  <c:v>1637507.2197397</c:v>
                </c:pt>
                <c:pt idx="1720">
                  <c:v>1637507.2197397</c:v>
                </c:pt>
                <c:pt idx="1721">
                  <c:v>1637507.2197397</c:v>
                </c:pt>
                <c:pt idx="1722">
                  <c:v>1637507.2197397</c:v>
                </c:pt>
                <c:pt idx="1723">
                  <c:v>1637507.2197397</c:v>
                </c:pt>
                <c:pt idx="1724">
                  <c:v>1634494.0165122999</c:v>
                </c:pt>
                <c:pt idx="1725">
                  <c:v>1634494.0165122999</c:v>
                </c:pt>
                <c:pt idx="1726">
                  <c:v>1634494.0165122999</c:v>
                </c:pt>
                <c:pt idx="1727">
                  <c:v>1634494.0165122999</c:v>
                </c:pt>
                <c:pt idx="1728">
                  <c:v>1634494.0165122999</c:v>
                </c:pt>
                <c:pt idx="1729">
                  <c:v>1634494.0165122999</c:v>
                </c:pt>
                <c:pt idx="1730">
                  <c:v>1634494.0165122999</c:v>
                </c:pt>
                <c:pt idx="1731">
                  <c:v>1634494.0165122999</c:v>
                </c:pt>
                <c:pt idx="1732">
                  <c:v>1634494.0165122999</c:v>
                </c:pt>
                <c:pt idx="1733">
                  <c:v>1634494.0165122999</c:v>
                </c:pt>
                <c:pt idx="1734">
                  <c:v>1631482.3951735001</c:v>
                </c:pt>
                <c:pt idx="1735">
                  <c:v>1634494.0165122999</c:v>
                </c:pt>
                <c:pt idx="1736">
                  <c:v>1631482.3951735001</c:v>
                </c:pt>
                <c:pt idx="1737">
                  <c:v>1631482.3951735001</c:v>
                </c:pt>
                <c:pt idx="1738">
                  <c:v>1631482.3951735001</c:v>
                </c:pt>
                <c:pt idx="1739">
                  <c:v>1631482.3951735001</c:v>
                </c:pt>
                <c:pt idx="1740">
                  <c:v>1631482.3951735001</c:v>
                </c:pt>
                <c:pt idx="1741">
                  <c:v>1631482.3951735001</c:v>
                </c:pt>
                <c:pt idx="1742">
                  <c:v>1631482.3951735001</c:v>
                </c:pt>
                <c:pt idx="1743">
                  <c:v>1634494.0165122999</c:v>
                </c:pt>
                <c:pt idx="1744">
                  <c:v>1634494.0165122999</c:v>
                </c:pt>
                <c:pt idx="1745">
                  <c:v>1634494.0165122999</c:v>
                </c:pt>
                <c:pt idx="1746">
                  <c:v>1634494.0165122999</c:v>
                </c:pt>
                <c:pt idx="1747">
                  <c:v>1634494.0165122999</c:v>
                </c:pt>
                <c:pt idx="1748">
                  <c:v>1631482.3951735001</c:v>
                </c:pt>
                <c:pt idx="1749">
                  <c:v>1631482.3951735001</c:v>
                </c:pt>
                <c:pt idx="1750">
                  <c:v>1628472.3057532001</c:v>
                </c:pt>
                <c:pt idx="1751">
                  <c:v>1628472.3057532001</c:v>
                </c:pt>
                <c:pt idx="1752">
                  <c:v>1628472.3057532001</c:v>
                </c:pt>
                <c:pt idx="1753">
                  <c:v>1628472.3057532001</c:v>
                </c:pt>
                <c:pt idx="1754">
                  <c:v>1628472.3057532001</c:v>
                </c:pt>
                <c:pt idx="1755">
                  <c:v>1628472.3057532001</c:v>
                </c:pt>
                <c:pt idx="1756">
                  <c:v>1628472.3057532001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58079"/>
        <c:axId val="525256639"/>
      </c:lineChart>
      <c:catAx>
        <c:axId val="525258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6639"/>
        <c:crosses val="autoZero"/>
        <c:auto val="1"/>
        <c:lblAlgn val="ctr"/>
        <c:lblOffset val="100"/>
        <c:noMultiLvlLbl val="1"/>
      </c:catAx>
      <c:valAx>
        <c:axId val="525256639"/>
        <c:scaling>
          <c:orientation val="minMax"/>
          <c:max val="490.1"/>
          <c:min val="488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8079"/>
        <c:crosses val="autoZero"/>
        <c:crossBetween val="between"/>
      </c:valAx>
      <c:valAx>
        <c:axId val="520460511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60991"/>
        <c:crosses val="max"/>
        <c:crossBetween val="between"/>
      </c:valAx>
      <c:catAx>
        <c:axId val="520460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0460511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31</xdr:col>
      <xdr:colOff>81642</xdr:colOff>
      <xdr:row>41</xdr:row>
      <xdr:rowOff>23431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156A6-EAB1-43DC-9FCD-329885B0E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179070</xdr:rowOff>
    </xdr:from>
    <xdr:to>
      <xdr:col>11</xdr:col>
      <xdr:colOff>563880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4DB6D-6DC3-45F3-92DC-D3C07BA89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18</xdr:row>
      <xdr:rowOff>3810</xdr:rowOff>
    </xdr:from>
    <xdr:to>
      <xdr:col>22</xdr:col>
      <xdr:colOff>15240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547E63-7788-4832-95B7-80F0B7F45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17</xdr:row>
      <xdr:rowOff>3810</xdr:rowOff>
    </xdr:from>
    <xdr:to>
      <xdr:col>10</xdr:col>
      <xdr:colOff>335280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E49C2-6D45-4E1B-87D7-5D1ACE254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16</xdr:row>
      <xdr:rowOff>171450</xdr:rowOff>
    </xdr:from>
    <xdr:to>
      <xdr:col>21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F37FC-FC3F-4F22-A95B-95B5F5F9F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156210</xdr:rowOff>
    </xdr:from>
    <xdr:to>
      <xdr:col>30</xdr:col>
      <xdr:colOff>518160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861610-AB3E-41F1-86C9-8F945BF52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pdox\Desktop\20250318_MeaNeRuea_1CM.xlsx" TargetMode="External"/><Relationship Id="rId1" Type="http://schemas.openxmlformats.org/officeDocument/2006/relationships/externalLinkPath" Target="file:///C:\Users\mpdox\Desktop\20250318_MeaNeRuea_1C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ing\&#3629;&#3639;&#3656;&#3609;&#3654;\MIT\&#3614;&#3632;&#3648;&#3618;&#3634;\&#3607;&#3619;&#3636;&#3611;%2016-19%20&#3605;.&#3588;\flow.xlsx" TargetMode="External"/><Relationship Id="rId1" Type="http://schemas.openxmlformats.org/officeDocument/2006/relationships/externalLinkPath" Target="/Working/&#3629;&#3639;&#3656;&#3609;&#3654;/MIT/&#3614;&#3632;&#3648;&#3618;&#3634;/&#3607;&#3619;&#3636;&#3611;%2016-19%20&#3605;.&#3588;/flow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niversity%20of%20Phayao\&#3648;&#3629;&#3585;&#3626;&#3634;&#3619;&#3585;&#3634;&#3619;&#3648;&#3619;&#3637;&#3618;&#3609;\Paper%203\RES002.xlsx" TargetMode="External"/><Relationship Id="rId1" Type="http://schemas.openxmlformats.org/officeDocument/2006/relationships/externalLinkPath" Target="/University%20of%20Phayao/&#3648;&#3629;&#3585;&#3626;&#3634;&#3619;&#3585;&#3634;&#3619;&#3648;&#3619;&#3637;&#3618;&#3609;/Paper%203/RES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002"/>
      <sheetName val="RES002 (Adj)"/>
      <sheetName val="Rating Curve"/>
      <sheetName val="Flow rate ท่อฝั่งทางเข้าอ่าง"/>
      <sheetName val="Flow rate ท่อฝั่งสปิลเวย์"/>
    </sheetNames>
    <sheetDataSet>
      <sheetData sheetId="0"/>
      <sheetData sheetId="1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ners.thaiwater.net:3007/teleChart/th/VLGE12/25" TargetMode="External"/><Relationship Id="rId1" Type="http://schemas.openxmlformats.org/officeDocument/2006/relationships/hyperlink" Target="https://partners.thaiwater.net:3007/teleChart/th/VLGE12/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5954-4D46-4541-A6A7-092B375624EE}">
  <dimension ref="A1:K40"/>
  <sheetViews>
    <sheetView tabSelected="1" topLeftCell="A20" workbookViewId="0">
      <selection activeCell="J6" sqref="J6:J36"/>
    </sheetView>
  </sheetViews>
  <sheetFormatPr defaultRowHeight="16.8" x14ac:dyDescent="0.4"/>
  <cols>
    <col min="2" max="2" width="11.8984375" customWidth="1"/>
    <col min="3" max="3" width="10.19921875" customWidth="1"/>
    <col min="4" max="4" width="13.796875" customWidth="1"/>
    <col min="5" max="5" width="16.09765625" customWidth="1"/>
    <col min="6" max="6" width="14.09765625" customWidth="1"/>
    <col min="7" max="8" width="15" customWidth="1"/>
    <col min="9" max="9" width="15.09765625" customWidth="1"/>
    <col min="11" max="11" width="9.296875" style="37" bestFit="1" customWidth="1"/>
  </cols>
  <sheetData>
    <row r="1" spans="1:11" x14ac:dyDescent="0.4">
      <c r="A1" s="49" t="s">
        <v>5</v>
      </c>
      <c r="B1" s="49"/>
      <c r="C1" s="49"/>
      <c r="D1" s="49"/>
      <c r="E1" s="49"/>
      <c r="F1" s="49"/>
      <c r="G1" s="49"/>
      <c r="H1" s="49"/>
      <c r="I1" s="49"/>
      <c r="J1" s="49"/>
    </row>
    <row r="2" spans="1:11" x14ac:dyDescent="0.4">
      <c r="A2" s="49" t="s">
        <v>26</v>
      </c>
      <c r="B2" s="49"/>
      <c r="C2" s="49"/>
      <c r="D2" s="49"/>
      <c r="E2" s="49"/>
      <c r="F2" s="49"/>
      <c r="G2" s="49"/>
      <c r="H2" s="49"/>
      <c r="I2" s="49"/>
      <c r="J2" s="9"/>
    </row>
    <row r="3" spans="1:11" x14ac:dyDescent="0.4">
      <c r="A3" s="10"/>
      <c r="B3" s="10"/>
      <c r="C3" s="10"/>
      <c r="D3" s="10" t="s">
        <v>6</v>
      </c>
      <c r="E3" s="11" t="s">
        <v>54</v>
      </c>
      <c r="F3" s="10" t="s">
        <v>7</v>
      </c>
      <c r="G3" s="11">
        <v>2568</v>
      </c>
      <c r="H3" s="11"/>
      <c r="I3" s="10" t="s">
        <v>8</v>
      </c>
      <c r="J3" s="9"/>
    </row>
    <row r="4" spans="1:11" x14ac:dyDescent="0.4">
      <c r="D4" s="39" t="s">
        <v>61</v>
      </c>
      <c r="E4" s="40" t="s">
        <v>62</v>
      </c>
      <c r="F4" s="40" t="s">
        <v>63</v>
      </c>
      <c r="G4" s="40"/>
      <c r="H4" s="40" t="s">
        <v>64</v>
      </c>
      <c r="I4" s="40" t="s">
        <v>65</v>
      </c>
      <c r="J4" s="40" t="s">
        <v>66</v>
      </c>
      <c r="K4" s="41" t="s">
        <v>53</v>
      </c>
    </row>
    <row r="5" spans="1:11" s="1" customFormat="1" ht="34.200000000000003" customHeight="1" x14ac:dyDescent="0.4">
      <c r="A5" s="3" t="s">
        <v>55</v>
      </c>
      <c r="B5" s="3" t="s">
        <v>56</v>
      </c>
      <c r="C5" s="3" t="s">
        <v>57</v>
      </c>
      <c r="D5" s="3" t="s">
        <v>58</v>
      </c>
      <c r="E5" s="45" t="s">
        <v>71</v>
      </c>
      <c r="F5" s="45" t="s">
        <v>72</v>
      </c>
      <c r="G5" s="45" t="s">
        <v>59</v>
      </c>
      <c r="H5" s="45" t="s">
        <v>73</v>
      </c>
      <c r="I5" s="45" t="s">
        <v>74</v>
      </c>
      <c r="J5" s="48" t="s">
        <v>75</v>
      </c>
      <c r="K5" s="36" t="s">
        <v>60</v>
      </c>
    </row>
    <row r="6" spans="1:11" x14ac:dyDescent="0.4">
      <c r="A6">
        <v>1</v>
      </c>
      <c r="B6">
        <v>488.904</v>
      </c>
      <c r="C6" s="35">
        <f>_xlfn.XLOOKUP(B6,'Rating Curve 1 CM'!$A$2:$A$500,'Rating Curve 1 CM'!$D$2:$D$500,, -1)</f>
        <v>1436785.6733039999</v>
      </c>
      <c r="D6">
        <f>IF(K6-H6+E6+F6+I6+J6 &lt; 0, 0, K6-H6+E6+F6+I6+J6)</f>
        <v>15817.94020789491</v>
      </c>
      <c r="E6" s="46">
        <f>('อัตราการไหล ท่อฝั่งspillway'!L$11*24)+(อัตราการไหลท่อฝั่งทางเข้าอ่าง!L$11*24)</f>
        <v>15019.199999999999</v>
      </c>
      <c r="F6" s="46">
        <v>0</v>
      </c>
      <c r="G6" s="46">
        <v>10.8</v>
      </c>
      <c r="H6" s="47">
        <f>(_xlfn.XLOOKUP(B6,'Rating Curve 1 CM'!$A$2:$A$500,'Rating Curve 1 CM'!$C$2:$C$500,,-1)*(G6/1000))</f>
        <v>3141.9203740044481</v>
      </c>
      <c r="I6" s="47">
        <f>(_xlfn.XLOOKUP(B6,'Rating Curve 1 CM'!$A$2:$A$500,'Rating Curve 1 CM'!$C$2:$C$500,,-1)*((112.24/31)*0.7)/1000)</f>
        <v>737.31899625084077</v>
      </c>
      <c r="J6" s="12">
        <f>_xlfn.XLOOKUP(B6,Area_Terrain!$A$2:$A$500,Area_Terrain!$C$2:$C$500,, -1)*0.001</f>
        <v>294.54828164846998</v>
      </c>
      <c r="K6" s="38">
        <f>C6-1433876.88</f>
        <v>2908.7933040000498</v>
      </c>
    </row>
    <row r="7" spans="1:11" x14ac:dyDescent="0.4">
      <c r="A7">
        <v>2</v>
      </c>
      <c r="B7">
        <v>488.87900000000002</v>
      </c>
      <c r="C7" s="35">
        <f>_xlfn.XLOOKUP(B7,'Rating Curve 1 CM'!$A$2:$A$500,'Rating Curve 1 CM'!$D$2:$D$500,, -1)</f>
        <v>1428061.5598544001</v>
      </c>
      <c r="D7">
        <f t="shared" ref="D7:D36" si="0">IF(K7-H7+E7+F7+I7+J7 &lt; 0, 0, K7-H7+E7+F7+I7+J7)</f>
        <v>6919.1413482762027</v>
      </c>
      <c r="E7" s="46">
        <f>('อัตราการไหล ท่อฝั่งspillway'!L$11*24)+(อัตราการไหลท่อฝั่งทางเข้าอ่าง!L$11*24)</f>
        <v>15019.199999999999</v>
      </c>
      <c r="F7" s="46">
        <v>0</v>
      </c>
      <c r="G7" s="46">
        <v>1.4</v>
      </c>
      <c r="H7" s="47">
        <f>(_xlfn.XLOOKUP(B7,'Rating Curve 1 CM'!$A$2:$A$500,'Rating Curve 1 CM'!$C$2:$C$500,,-1)*(G7/1000))</f>
        <v>406.95882688602404</v>
      </c>
      <c r="I7" s="47">
        <f>(_xlfn.XLOOKUP(B7,'Rating Curve 1 CM'!$A$2:$A$500,'Rating Curve 1 CM'!$C$2:$C$500,,-1)*((112.24/31)*0.7)/1000)</f>
        <v>736.72675370463446</v>
      </c>
      <c r="J7" s="12">
        <f>_xlfn.XLOOKUP(B7,Area_Terrain!$A$2:$A$500,Area_Terrain!$C$2:$C$500,, -1)*0.001</f>
        <v>294.28687105742</v>
      </c>
      <c r="K7" s="38">
        <f>C7-C6</f>
        <v>-8724.1134495998267</v>
      </c>
    </row>
    <row r="8" spans="1:11" x14ac:dyDescent="0.4">
      <c r="A8">
        <v>3</v>
      </c>
      <c r="B8">
        <v>488.86599999999999</v>
      </c>
      <c r="C8" s="35">
        <f>_xlfn.XLOOKUP(B8,'Rating Curve 1 CM'!$A$2:$A$500,'Rating Curve 1 CM'!$D$2:$D$500,, -1)</f>
        <v>1425155.0669104999</v>
      </c>
      <c r="D8">
        <f t="shared" si="0"/>
        <v>13143.437283754383</v>
      </c>
      <c r="E8" s="46">
        <f>('อัตราการไหล ท่อฝั่งspillway'!L$11*24)+(อัตราการไหลท่อฝั่งทางเข้าอ่าง!L$11*24)</f>
        <v>15019.199999999999</v>
      </c>
      <c r="F8" s="46">
        <v>0</v>
      </c>
      <c r="G8" s="46">
        <v>0</v>
      </c>
      <c r="H8" s="47">
        <f>(_xlfn.XLOOKUP(B8,'Rating Curve 1 CM'!$A$2:$A$500,'Rating Curve 1 CM'!$C$2:$C$500,,-1)*(G8/1000))</f>
        <v>0</v>
      </c>
      <c r="I8" s="47">
        <f>(_xlfn.XLOOKUP(B8,'Rating Curve 1 CM'!$A$2:$A$500,'Rating Curve 1 CM'!$C$2:$C$500,,-1)*((112.24/31)*0.7)/1000)</f>
        <v>736.53018922274566</v>
      </c>
      <c r="J8" s="12">
        <f>_xlfn.XLOOKUP(B8,Area_Terrain!$A$2:$A$500,Area_Terrain!$C$2:$C$500,, -1)*0.001</f>
        <v>294.20003843181001</v>
      </c>
      <c r="K8" s="38">
        <f t="shared" ref="K8:K36" si="1">C8-C7</f>
        <v>-2906.4929439001717</v>
      </c>
    </row>
    <row r="9" spans="1:11" x14ac:dyDescent="0.4">
      <c r="A9">
        <v>4</v>
      </c>
      <c r="B9">
        <v>488.84800000000001</v>
      </c>
      <c r="C9" s="35">
        <f>_xlfn.XLOOKUP(B9,'Rating Curve 1 CM'!$A$2:$A$500,'Rating Curve 1 CM'!$D$2:$D$500,, -1)</f>
        <v>1419344.4679610999</v>
      </c>
      <c r="D9">
        <f t="shared" si="0"/>
        <v>9657.860847183736</v>
      </c>
      <c r="E9" s="46">
        <f>('อัตราการไหล ท่อฝั่งspillway'!L$11*24)+(อัตราการไหลท่อฝั่งทางเข้าอ่าง!L$11*24)</f>
        <v>15019.199999999999</v>
      </c>
      <c r="F9" s="46">
        <v>0</v>
      </c>
      <c r="G9" s="46">
        <v>2</v>
      </c>
      <c r="H9" s="47">
        <f>(_xlfn.XLOOKUP(B9,'Rating Curve 1 CM'!$A$2:$A$500,'Rating Curve 1 CM'!$C$2:$C$500,,-1)*(G9/1000))</f>
        <v>580.90547771240006</v>
      </c>
      <c r="I9" s="47">
        <f>(_xlfn.XLOOKUP(B9,'Rating Curve 1 CM'!$A$2:$A$500,'Rating Curve 1 CM'!$C$2:$C$500,,-1)*((112.24/31)*0.7)/1000)</f>
        <v>736.13841246625555</v>
      </c>
      <c r="J9" s="12">
        <f>_xlfn.XLOOKUP(B9,Area_Terrain!$A$2:$A$500,Area_Terrain!$C$2:$C$500,, -1)*0.001</f>
        <v>294.02686182988998</v>
      </c>
      <c r="K9" s="38">
        <f t="shared" si="1"/>
        <v>-5810.5989494000096</v>
      </c>
    </row>
    <row r="10" spans="1:11" x14ac:dyDescent="0.4">
      <c r="A10">
        <v>5</v>
      </c>
      <c r="B10">
        <v>488.82098000000002</v>
      </c>
      <c r="C10" s="35">
        <f>_xlfn.XLOOKUP(B10,'Rating Curve 1 CM'!$A$2:$A$500,'Rating Curve 1 CM'!$D$2:$D$500,, -1)</f>
        <v>1413536.9222839</v>
      </c>
      <c r="D10">
        <f t="shared" si="0"/>
        <v>9370.3604702878874</v>
      </c>
      <c r="E10" s="46">
        <f>('อัตราการไหล ท่อฝั่งspillway'!L$11*24)+(อัตราการไหลท่อฝั่งทางเข้าอ่าง!L$11*24)</f>
        <v>15019.199999999999</v>
      </c>
      <c r="F10" s="46">
        <v>0</v>
      </c>
      <c r="G10" s="46">
        <v>3</v>
      </c>
      <c r="H10" s="47">
        <f>(_xlfn.XLOOKUP(B10,'Rating Curve 1 CM'!$A$2:$A$500,'Rating Curve 1 CM'!$C$2:$C$500,,-1)*(G10/1000))</f>
        <v>870.89646377054999</v>
      </c>
      <c r="I10" s="47">
        <f>(_xlfn.XLOOKUP(B10,'Rating Curve 1 CM'!$A$2:$A$500,'Rating Curve 1 CM'!$C$2:$C$500,,-1)*((112.24/31)*0.7)/1000)</f>
        <v>735.74831575832866</v>
      </c>
      <c r="J10" s="12">
        <f>_xlfn.XLOOKUP(B10,Area_Terrain!$A$2:$A$500,Area_Terrain!$C$2:$C$500,, -1)*0.001</f>
        <v>293.85429550006995</v>
      </c>
      <c r="K10" s="38">
        <f t="shared" si="1"/>
        <v>-5807.5456771999598</v>
      </c>
    </row>
    <row r="11" spans="1:11" x14ac:dyDescent="0.4">
      <c r="A11">
        <v>6</v>
      </c>
      <c r="B11">
        <v>488.78899999999999</v>
      </c>
      <c r="C11" s="35">
        <f>_xlfn.XLOOKUP(B11,'Rating Curve 1 CM'!$A$2:$A$500,'Rating Curve 1 CM'!$D$2:$D$500,, -1)</f>
        <v>1401930.9575960001</v>
      </c>
      <c r="D11">
        <f t="shared" si="0"/>
        <v>4441.7191053469041</v>
      </c>
      <c r="E11" s="46">
        <f>('อัตราการไหล ท่อฝั่งspillway'!L$11*24)+(อัตราการไหลท่อฝั่งทางเข้าอ่าง!L$11*24)</f>
        <v>15019.199999999999</v>
      </c>
      <c r="F11" s="46">
        <v>0</v>
      </c>
      <c r="G11" s="46">
        <v>0</v>
      </c>
      <c r="H11" s="47">
        <f>(_xlfn.XLOOKUP(B11,'Rating Curve 1 CM'!$A$2:$A$500,'Rating Curve 1 CM'!$C$2:$C$500,,-1)*(G11/1000))</f>
        <v>0</v>
      </c>
      <c r="I11" s="47">
        <f>(_xlfn.XLOOKUP(B11,'Rating Curve 1 CM'!$A$2:$A$500,'Rating Curve 1 CM'!$C$2:$C$500,,-1)*((112.24/31)*0.7)/1000)</f>
        <v>734.97288772887441</v>
      </c>
      <c r="J11" s="12">
        <f>_xlfn.XLOOKUP(B11,Area_Terrain!$A$2:$A$500,Area_Terrain!$C$2:$C$500,, -1)*0.001</f>
        <v>293.51090551794999</v>
      </c>
      <c r="K11" s="38">
        <f t="shared" si="1"/>
        <v>-11605.964687899919</v>
      </c>
    </row>
    <row r="12" spans="1:11" x14ac:dyDescent="0.4">
      <c r="A12">
        <v>7</v>
      </c>
      <c r="B12">
        <v>488.745</v>
      </c>
      <c r="C12" s="35">
        <f>_xlfn.XLOOKUP(B12,'Rating Curve 1 CM'!$A$2:$A$500,'Rating Curve 1 CM'!$D$2:$D$500,, -1)</f>
        <v>1390337.3398593001</v>
      </c>
      <c r="D12">
        <f t="shared" si="0"/>
        <v>4452.9563767526815</v>
      </c>
      <c r="E12" s="46">
        <f>('อัตราการไหล ท่อฝั่งspillway'!L$11*24)+(อัตราการไหลท่อฝั่งทางเข้าอ่าง!L$11*24)</f>
        <v>15019.199999999999</v>
      </c>
      <c r="F12" s="46">
        <v>0</v>
      </c>
      <c r="G12" s="46">
        <v>0</v>
      </c>
      <c r="H12" s="47">
        <f>(_xlfn.XLOOKUP(B12,'Rating Curve 1 CM'!$A$2:$A$500,'Rating Curve 1 CM'!$C$2:$C$500,,-1)*(G12/1000))</f>
        <v>0</v>
      </c>
      <c r="I12" s="47">
        <f>(_xlfn.XLOOKUP(B12,'Rating Curve 1 CM'!$A$2:$A$500,'Rating Curve 1 CM'!$C$2:$C$500,,-1)*((112.24/31)*0.7)/1000)</f>
        <v>734.20413813929338</v>
      </c>
      <c r="J12" s="12">
        <f>_xlfn.XLOOKUP(B12,Area_Terrain!$A$2:$A$500,Area_Terrain!$C$2:$C$500,, -1)*0.001</f>
        <v>293.16997531338001</v>
      </c>
      <c r="K12" s="38">
        <f t="shared" si="1"/>
        <v>-11593.617736699991</v>
      </c>
    </row>
    <row r="13" spans="1:11" x14ac:dyDescent="0.4">
      <c r="A13">
        <v>8</v>
      </c>
      <c r="B13">
        <v>488.75198</v>
      </c>
      <c r="C13" s="35">
        <f>_xlfn.XLOOKUP(B13,'Rating Curve 1 CM'!$A$2:$A$500,'Rating Curve 1 CM'!$D$2:$D$500,, -1)</f>
        <v>1393234.6316031001</v>
      </c>
      <c r="D13">
        <f t="shared" si="0"/>
        <v>17843.03491368231</v>
      </c>
      <c r="E13" s="46">
        <f>('อัตราการไหล ท่อฝั่งspillway'!L$11*24)+(อัตราการไหลท่อฝั่งทางเข้าอ่าง!L$11*24)</f>
        <v>15019.199999999999</v>
      </c>
      <c r="F13" s="46">
        <v>0</v>
      </c>
      <c r="G13" s="46">
        <v>3.8</v>
      </c>
      <c r="H13" s="47">
        <f>(_xlfn.XLOOKUP(B13,'Rating Curve 1 CM'!$A$2:$A$500,'Rating Curve 1 CM'!$C$2:$C$500,,-1)*(G13/1000))</f>
        <v>1101.107736827486</v>
      </c>
      <c r="I13" s="47">
        <f>(_xlfn.XLOOKUP(B13,'Rating Curve 1 CM'!$A$2:$A$500,'Rating Curve 1 CM'!$C$2:$C$500,,-1)*((112.24/31)*0.7)/1000)</f>
        <v>734.3958630480638</v>
      </c>
      <c r="J13" s="12">
        <f>_xlfn.XLOOKUP(B13,Area_Terrain!$A$2:$A$500,Area_Terrain!$C$2:$C$500,, -1)*0.001</f>
        <v>293.25504366169002</v>
      </c>
      <c r="K13" s="38">
        <f t="shared" si="1"/>
        <v>2897.2917438000441</v>
      </c>
    </row>
    <row r="14" spans="1:11" x14ac:dyDescent="0.4">
      <c r="A14">
        <v>9</v>
      </c>
      <c r="B14">
        <v>488.91</v>
      </c>
      <c r="C14" s="35">
        <f>_xlfn.XLOOKUP(B14,'Rating Curve 1 CM'!$A$2:$A$500,'Rating Curve 1 CM'!$D$2:$D$500,, -1)</f>
        <v>1439695.2819463999</v>
      </c>
      <c r="D14">
        <f t="shared" si="0"/>
        <v>62279.205948142459</v>
      </c>
      <c r="E14" s="46">
        <f>('อัตราการไหล ท่อฝั่งspillway'!L$11*24)+(อัตราการไหลท่อฝั่งทางเข้าอ่าง!L$11*24)</f>
        <v>15019.199999999999</v>
      </c>
      <c r="F14" s="46">
        <v>0</v>
      </c>
      <c r="G14" s="46">
        <v>0.8</v>
      </c>
      <c r="H14" s="47">
        <f>(_xlfn.XLOOKUP(B14,'Rating Curve 1 CM'!$A$2:$A$500,'Rating Curve 1 CM'!$C$2:$C$500,,-1)*(G14/1000))</f>
        <v>232.79743891155201</v>
      </c>
      <c r="I14" s="47">
        <f>(_xlfn.XLOOKUP(B14,'Rating Curve 1 CM'!$A$2:$A$500,'Rating Curve 1 CM'!$C$2:$C$500,,-1)*((112.24/31)*0.7)/1000)</f>
        <v>737.51730566140384</v>
      </c>
      <c r="J14" s="12">
        <f>_xlfn.XLOOKUP(B14,Area_Terrain!$A$2:$A$500,Area_Terrain!$C$2:$C$500,, -1)*0.001</f>
        <v>294.63573809277</v>
      </c>
      <c r="K14" s="38">
        <f t="shared" si="1"/>
        <v>46460.650343299843</v>
      </c>
    </row>
    <row r="15" spans="1:11" x14ac:dyDescent="0.4">
      <c r="A15">
        <v>10</v>
      </c>
      <c r="B15">
        <v>488.94299999999998</v>
      </c>
      <c r="C15" s="35">
        <f>_xlfn.XLOOKUP(B15,'Rating Curve 1 CM'!$A$2:$A$500,'Rating Curve 1 CM'!$D$2:$D$500,, -1)</f>
        <v>1448428.8738585</v>
      </c>
      <c r="D15">
        <f t="shared" si="0"/>
        <v>24086.847755427094</v>
      </c>
      <c r="E15" s="46">
        <f>('อัตราการไหล ท่อฝั่งspillway'!L$11*24)+(อัตราการไหลท่อฝั่งทางเข้าอ่าง!L$11*24)</f>
        <v>15019.199999999999</v>
      </c>
      <c r="F15" s="46">
        <v>0</v>
      </c>
      <c r="G15" s="46">
        <v>2.4</v>
      </c>
      <c r="H15" s="47">
        <f>(_xlfn.XLOOKUP(B15,'Rating Curve 1 CM'!$A$2:$A$500,'Rating Curve 1 CM'!$C$2:$C$500,,-1)*(G15/1000))</f>
        <v>698.95843247205596</v>
      </c>
      <c r="I15" s="47">
        <f>(_xlfn.XLOOKUP(B15,'Rating Curve 1 CM'!$A$2:$A$500,'Rating Curve 1 CM'!$C$2:$C$500,,-1)*((112.24/31)*0.7)/1000)</f>
        <v>738.1151360546304</v>
      </c>
      <c r="J15" s="12">
        <f>_xlfn.XLOOKUP(B15,Area_Terrain!$A$2:$A$500,Area_Terrain!$C$2:$C$500,, -1)*0.001</f>
        <v>294.89913974443004</v>
      </c>
      <c r="K15" s="38">
        <f t="shared" si="1"/>
        <v>8733.5919121000916</v>
      </c>
    </row>
    <row r="16" spans="1:11" x14ac:dyDescent="0.4">
      <c r="A16">
        <v>11</v>
      </c>
      <c r="B16">
        <v>488.93599999999998</v>
      </c>
      <c r="C16" s="35">
        <f>_xlfn.XLOOKUP(B16,'Rating Curve 1 CM'!$A$2:$A$500,'Rating Curve 1 CM'!$D$2:$D$500,, -1)</f>
        <v>1445516.8740723</v>
      </c>
      <c r="D16">
        <f t="shared" si="0"/>
        <v>13139.926765396176</v>
      </c>
      <c r="E16" s="46">
        <f>('อัตราการไหล ท่อฝั่งspillway'!L$11*24)+(อัตราการไหลท่อฝั่งทางเข้าอ่าง!L$11*24)</f>
        <v>15019.199999999999</v>
      </c>
      <c r="F16" s="46">
        <v>0</v>
      </c>
      <c r="G16" s="46">
        <v>0</v>
      </c>
      <c r="H16" s="47">
        <f>(_xlfn.XLOOKUP(B16,'Rating Curve 1 CM'!$A$2:$A$500,'Rating Curve 1 CM'!$C$2:$C$500,,-1)*(G16/1000))</f>
        <v>0</v>
      </c>
      <c r="I16" s="47">
        <f>(_xlfn.XLOOKUP(B16,'Rating Curve 1 CM'!$A$2:$A$500,'Rating Curve 1 CM'!$C$2:$C$500,,-1)*((112.24/31)*0.7)/1000)</f>
        <v>737.91538190962888</v>
      </c>
      <c r="J16" s="12">
        <f>_xlfn.XLOOKUP(B16,Area_Terrain!$A$2:$A$500,Area_Terrain!$C$2:$C$500,, -1)*0.001</f>
        <v>294.81116968654999</v>
      </c>
      <c r="K16" s="38">
        <f t="shared" si="1"/>
        <v>-2911.9997862000018</v>
      </c>
    </row>
    <row r="17" spans="1:11" x14ac:dyDescent="0.4">
      <c r="A17">
        <v>12</v>
      </c>
      <c r="B17">
        <v>488.91699999999997</v>
      </c>
      <c r="C17" s="35">
        <f>_xlfn.XLOOKUP(B17,'Rating Curve 1 CM'!$A$2:$A$500,'Rating Curve 1 CM'!$D$2:$D$500,, -1)</f>
        <v>1439695.2819463999</v>
      </c>
      <c r="D17">
        <f t="shared" si="0"/>
        <v>10229.760917854082</v>
      </c>
      <c r="E17" s="46">
        <f>('อัตราการไหล ท่อฝั่งspillway'!L$11*24)+(อัตราการไหลท่อฝั่งทางเข้าอ่าง!L$11*24)</f>
        <v>15019.199999999999</v>
      </c>
      <c r="F17" s="46">
        <v>0</v>
      </c>
      <c r="G17" s="46">
        <v>0</v>
      </c>
      <c r="H17" s="47">
        <f>(_xlfn.XLOOKUP(B17,'Rating Curve 1 CM'!$A$2:$A$500,'Rating Curve 1 CM'!$C$2:$C$500,,-1)*(G17/1000))</f>
        <v>0</v>
      </c>
      <c r="I17" s="47">
        <f>(_xlfn.XLOOKUP(B17,'Rating Curve 1 CM'!$A$2:$A$500,'Rating Curve 1 CM'!$C$2:$C$500,,-1)*((112.24/31)*0.7)/1000)</f>
        <v>737.51730566140384</v>
      </c>
      <c r="J17" s="12">
        <f>_xlfn.XLOOKUP(B17,Area_Terrain!$A$2:$A$500,Area_Terrain!$C$2:$C$500,, -1)*0.001</f>
        <v>294.63573809277</v>
      </c>
      <c r="K17" s="38">
        <f t="shared" si="1"/>
        <v>-5821.5921259000897</v>
      </c>
    </row>
    <row r="18" spans="1:11" x14ac:dyDescent="0.4">
      <c r="A18">
        <v>13</v>
      </c>
      <c r="B18">
        <v>488.89100000000002</v>
      </c>
      <c r="C18" s="35">
        <f>_xlfn.XLOOKUP(B18,'Rating Curve 1 CM'!$A$2:$A$500,'Rating Curve 1 CM'!$D$2:$D$500,, -1)</f>
        <v>1433876.8830075001</v>
      </c>
      <c r="D18">
        <f t="shared" si="0"/>
        <v>10232.383184925226</v>
      </c>
      <c r="E18" s="46">
        <f>('อัตราการไหล ท่อฝั่งspillway'!L$11*24)+(อัตราการไหลท่อฝั่งทางเข้าอ่าง!L$11*24)</f>
        <v>15019.199999999999</v>
      </c>
      <c r="F18" s="46">
        <v>0</v>
      </c>
      <c r="G18" s="46">
        <v>0</v>
      </c>
      <c r="H18" s="47">
        <f>(_xlfn.XLOOKUP(B18,'Rating Curve 1 CM'!$A$2:$A$500,'Rating Curve 1 CM'!$C$2:$C$500,,-1)*(G18/1000))</f>
        <v>0</v>
      </c>
      <c r="I18" s="47">
        <f>(_xlfn.XLOOKUP(B18,'Rating Curve 1 CM'!$A$2:$A$500,'Rating Curve 1 CM'!$C$2:$C$500,,-1)*((112.24/31)*0.7)/1000)</f>
        <v>737.12113808387619</v>
      </c>
      <c r="J18" s="12">
        <f>_xlfn.XLOOKUP(B18,Area_Terrain!$A$2:$A$500,Area_Terrain!$C$2:$C$500,, -1)*0.001</f>
        <v>294.46098574120998</v>
      </c>
      <c r="K18" s="38">
        <f t="shared" si="1"/>
        <v>-5818.3989388998598</v>
      </c>
    </row>
    <row r="19" spans="1:11" x14ac:dyDescent="0.4">
      <c r="A19">
        <v>14</v>
      </c>
      <c r="B19">
        <v>488.87200000000001</v>
      </c>
      <c r="C19" s="35">
        <f>_xlfn.XLOOKUP(B19,'Rating Curve 1 CM'!$A$2:$A$500,'Rating Curve 1 CM'!$D$2:$D$500,, -1)</f>
        <v>1428061.5598544001</v>
      </c>
      <c r="D19">
        <f t="shared" si="0"/>
        <v>9595.3837436983231</v>
      </c>
      <c r="E19" s="46">
        <f>('อัตราการไหล ท่อฝั่งspillway'!L$11*24)+(อัตราการไหลท่อฝั่งทางเข้าอ่าง!L$11*24)</f>
        <v>15019.199999999999</v>
      </c>
      <c r="F19" s="46">
        <v>0</v>
      </c>
      <c r="G19" s="46">
        <v>2.2000000000000002</v>
      </c>
      <c r="H19" s="47">
        <f>(_xlfn.XLOOKUP(B19,'Rating Curve 1 CM'!$A$2:$A$500,'Rating Curve 1 CM'!$C$2:$C$500,,-1)*(G19/1000))</f>
        <v>639.50672796375204</v>
      </c>
      <c r="I19" s="47">
        <f>(_xlfn.XLOOKUP(B19,'Rating Curve 1 CM'!$A$2:$A$500,'Rating Curve 1 CM'!$C$2:$C$500,,-1)*((112.24/31)*0.7)/1000)</f>
        <v>736.72675370463446</v>
      </c>
      <c r="J19" s="12">
        <f>_xlfn.XLOOKUP(B19,Area_Terrain!$A$2:$A$500,Area_Terrain!$C$2:$C$500,, -1)*0.001</f>
        <v>294.28687105742</v>
      </c>
      <c r="K19" s="38">
        <f t="shared" si="1"/>
        <v>-5815.3231530999765</v>
      </c>
    </row>
    <row r="20" spans="1:11" x14ac:dyDescent="0.4">
      <c r="A20">
        <v>15</v>
      </c>
      <c r="B20">
        <v>488.96100000000001</v>
      </c>
      <c r="C20" s="35">
        <f>_xlfn.XLOOKUP(B20,'Rating Curve 1 CM'!$A$2:$A$500,'Rating Curve 1 CM'!$D$2:$D$500,, -1)</f>
        <v>1454255.0691730001</v>
      </c>
      <c r="D20">
        <f t="shared" si="0"/>
        <v>41838.353770982081</v>
      </c>
      <c r="E20" s="46">
        <f>('อัตราการไหล ท่อฝั่งspillway'!L$11*24)+(อัตราการไหลท่อฝั่งทางเข้าอ่าง!L$11*24)</f>
        <v>15019.199999999999</v>
      </c>
      <c r="F20" s="46">
        <v>0</v>
      </c>
      <c r="G20" s="46">
        <v>1.4</v>
      </c>
      <c r="H20" s="47">
        <f>(_xlfn.XLOOKUP(B20,'Rating Curve 1 CM'!$A$2:$A$500,'Rating Curve 1 CM'!$C$2:$C$500,,-1)*(G20/1000))</f>
        <v>407.947240383088</v>
      </c>
      <c r="I20" s="47">
        <f>(_xlfn.XLOOKUP(B20,'Rating Curve 1 CM'!$A$2:$A$500,'Rating Curve 1 CM'!$C$2:$C$500,,-1)*((112.24/31)*0.7)/1000)</f>
        <v>738.51610097738376</v>
      </c>
      <c r="J20" s="12">
        <f>_xlfn.XLOOKUP(B20,Area_Terrain!$A$2:$A$500,Area_Terrain!$C$2:$C$500,, -1)*0.001</f>
        <v>295.07559178784004</v>
      </c>
      <c r="K20" s="38">
        <f t="shared" si="1"/>
        <v>26193.509318599943</v>
      </c>
    </row>
    <row r="21" spans="1:11" x14ac:dyDescent="0.4">
      <c r="A21">
        <v>16</v>
      </c>
      <c r="B21">
        <v>489.07</v>
      </c>
      <c r="C21" s="35">
        <f>_xlfn.XLOOKUP(B21,'Rating Curve 1 CM'!$A$2:$A$500,'Rating Curve 1 CM'!$D$2:$D$500,, -1)</f>
        <v>1486357.15604</v>
      </c>
      <c r="D21">
        <f t="shared" si="0"/>
        <v>42136.963545253326</v>
      </c>
      <c r="E21" s="46">
        <f>('อัตราการไหล ท่อฝั่งspillway'!L$11*24)+(อัตราการไหลท่อฝั่งทางเข้าอ่าง!L$11*24)</f>
        <v>15019.199999999999</v>
      </c>
      <c r="F21" s="46">
        <v>0</v>
      </c>
      <c r="G21" s="46">
        <v>20.6</v>
      </c>
      <c r="H21" s="47">
        <f>(_xlfn.XLOOKUP(B21,'Rating Curve 1 CM'!$A$2:$A$500,'Rating Curve 1 CM'!$C$2:$C$500,,-1)*(G21/1000))</f>
        <v>6021.195069676498</v>
      </c>
      <c r="I21" s="47">
        <f>(_xlfn.XLOOKUP(B21,'Rating Curve 1 CM'!$A$2:$A$500,'Rating Curve 1 CM'!$C$2:$C$500,,-1)*((112.24/31)*0.7)/1000)</f>
        <v>740.7974541721627</v>
      </c>
      <c r="J21" s="12">
        <f>_xlfn.XLOOKUP(B21,Area_Terrain!$A$2:$A$500,Area_Terrain!$C$2:$C$500,, -1)*0.001</f>
        <v>296.07429375768999</v>
      </c>
      <c r="K21" s="38">
        <f t="shared" si="1"/>
        <v>32102.086866999976</v>
      </c>
    </row>
    <row r="22" spans="1:11" x14ac:dyDescent="0.4">
      <c r="A22">
        <v>17</v>
      </c>
      <c r="B22">
        <v>489.28500000000003</v>
      </c>
      <c r="C22" s="35">
        <f>_xlfn.XLOOKUP(B22,'Rating Curve 1 CM'!$A$2:$A$500,'Rating Curve 1 CM'!$D$2:$D$500,, -1)</f>
        <v>1547983.8767252001</v>
      </c>
      <c r="D22">
        <f t="shared" si="0"/>
        <v>73149.231376409327</v>
      </c>
      <c r="E22" s="46">
        <f>('อัตราการไหล ท่อฝั่งspillway'!L$11*24)+(อัตราการไหลท่อฝั่งทางเข้าอ่าง!L$11*24)</f>
        <v>15019.199999999999</v>
      </c>
      <c r="F22" s="46">
        <v>0</v>
      </c>
      <c r="G22" s="46">
        <v>15.4</v>
      </c>
      <c r="H22" s="47">
        <f>(_xlfn.XLOOKUP(B22,'Rating Curve 1 CM'!$A$2:$A$500,'Rating Curve 1 CM'!$C$2:$C$500,,-1)*(G22/1000))</f>
        <v>4543.4063799602945</v>
      </c>
      <c r="I22" s="47">
        <f>(_xlfn.XLOOKUP(B22,'Rating Curve 1 CM'!$A$2:$A$500,'Rating Curve 1 CM'!$C$2:$C$500,,-1)*((112.24/31)*0.7)/1000)</f>
        <v>747.73010569903715</v>
      </c>
      <c r="J22" s="12">
        <f>_xlfn.XLOOKUP(B22,Area_Terrain!$A$2:$A$500,Area_Terrain!$C$2:$C$500,, -1)*0.001</f>
        <v>298.98696547051003</v>
      </c>
      <c r="K22" s="38">
        <f t="shared" si="1"/>
        <v>61626.720685200067</v>
      </c>
    </row>
    <row r="23" spans="1:11" x14ac:dyDescent="0.4">
      <c r="A23">
        <v>18</v>
      </c>
      <c r="B23">
        <v>489.42399999999998</v>
      </c>
      <c r="C23" s="35">
        <f>_xlfn.XLOOKUP(B23,'Rating Curve 1 CM'!$A$2:$A$500,'Rating Curve 1 CM'!$D$2:$D$500,, -1)</f>
        <v>1589479.7778056001</v>
      </c>
      <c r="D23">
        <f t="shared" si="0"/>
        <v>57575.848315913776</v>
      </c>
      <c r="E23" s="46">
        <f>('อัตราการไหล ท่อฝั่งspillway'!L$11*24)+(อัตราการไหลท่อฝั่งทางเข้าอ่าง!L$11*24)</f>
        <v>15019.199999999999</v>
      </c>
      <c r="F23" s="46">
        <v>0</v>
      </c>
      <c r="G23" s="46">
        <v>0</v>
      </c>
      <c r="H23" s="47">
        <f>(_xlfn.XLOOKUP(B23,'Rating Curve 1 CM'!$A$2:$A$500,'Rating Curve 1 CM'!$C$2:$C$500,,-1)*(G23/1000))</f>
        <v>0</v>
      </c>
      <c r="I23" s="47">
        <f>(_xlfn.XLOOKUP(B23,'Rating Curve 1 CM'!$A$2:$A$500,'Rating Curve 1 CM'!$C$2:$C$500,,-1)*((112.24/31)*0.7)/1000)</f>
        <v>757.71196820697878</v>
      </c>
      <c r="J23" s="12">
        <f>_xlfn.XLOOKUP(B23,Area_Terrain!$A$2:$A$500,Area_Terrain!$C$2:$C$500,, -1)*0.001</f>
        <v>303.03526730682</v>
      </c>
      <c r="K23" s="38">
        <f t="shared" si="1"/>
        <v>41495.901080399984</v>
      </c>
    </row>
    <row r="24" spans="1:11" x14ac:dyDescent="0.4">
      <c r="A24">
        <v>19</v>
      </c>
      <c r="B24">
        <v>489.52798000000001</v>
      </c>
      <c r="C24" s="35">
        <f>_xlfn.XLOOKUP(B24,'Rating Curve 1 CM'!$A$2:$A$500,'Rating Curve 1 CM'!$D$2:$D$500,, -1)</f>
        <v>1619451.3170382001</v>
      </c>
      <c r="D24">
        <f t="shared" si="0"/>
        <v>59597.44767041102</v>
      </c>
      <c r="E24" s="46">
        <f>('อัตราการไหล ท่อฝั่งspillway'!L$11*24)+(อัตราการไหลท่อฝั่งทางเข้าอ่าง!L$11*24)</f>
        <v>15019.199999999999</v>
      </c>
      <c r="F24" s="46">
        <v>13540.567419999999</v>
      </c>
      <c r="G24" s="46">
        <v>0</v>
      </c>
      <c r="H24" s="47">
        <f>(_xlfn.XLOOKUP(B24,'Rating Curve 1 CM'!$A$2:$A$500,'Rating Curve 1 CM'!$C$2:$C$500,,-1)*(G24/1000))</f>
        <v>0</v>
      </c>
      <c r="I24" s="47">
        <f>(_xlfn.XLOOKUP(B24,'Rating Curve 1 CM'!$A$2:$A$500,'Rating Curve 1 CM'!$C$2:$C$500,,-1)*((112.24/31)*0.7)/1000)</f>
        <v>761.52343922974808</v>
      </c>
      <c r="J24" s="12">
        <f>_xlfn.XLOOKUP(B24,Area_Terrain!$A$2:$A$500,Area_Terrain!$C$2:$C$500,, -1)*0.001</f>
        <v>304.61757858125998</v>
      </c>
      <c r="K24" s="38">
        <f t="shared" si="1"/>
        <v>29971.539232600015</v>
      </c>
    </row>
    <row r="25" spans="1:11" x14ac:dyDescent="0.4">
      <c r="A25">
        <v>20</v>
      </c>
      <c r="B25">
        <v>489.61799999999999</v>
      </c>
      <c r="C25" s="35">
        <f>_xlfn.XLOOKUP(B25,'Rating Curve 1 CM'!$A$2:$A$500,'Rating Curve 1 CM'!$D$2:$D$500,, -1)</f>
        <v>1646562.4785364</v>
      </c>
      <c r="D25">
        <f t="shared" si="0"/>
        <v>160128.78104252563</v>
      </c>
      <c r="E25" s="46">
        <f>('อัตราการไหล ท่อฝั่งspillway'!L$11*24)+(อัตราการไหลท่อฝั่งทางเข้าอ่าง!L$11*24)</f>
        <v>15019.199999999999</v>
      </c>
      <c r="F25" s="46">
        <v>118498.07309999999</v>
      </c>
      <c r="G25" s="46">
        <v>5.2</v>
      </c>
      <c r="H25" s="47">
        <f>(_xlfn.XLOOKUP(B25,'Rating Curve 1 CM'!$A$2:$A$500,'Rating Curve 1 CM'!$C$2:$C$500,,-1)*(G25/1000))</f>
        <v>1573.138934659708</v>
      </c>
      <c r="I25" s="47">
        <f>(_xlfn.XLOOKUP(B25,'Rating Curve 1 CM'!$A$2:$A$500,'Rating Curve 1 CM'!$C$2:$C$500,,-1)*((112.24/31)*0.7)/1000)</f>
        <v>766.73932889791536</v>
      </c>
      <c r="J25" s="12">
        <f>_xlfn.XLOOKUP(B25,Area_Terrain!$A$2:$A$500,Area_Terrain!$C$2:$C$500,, -1)*0.001</f>
        <v>306.74605008754003</v>
      </c>
      <c r="K25" s="38">
        <f t="shared" si="1"/>
        <v>27111.161498199916</v>
      </c>
    </row>
    <row r="26" spans="1:11" x14ac:dyDescent="0.4">
      <c r="A26">
        <v>21</v>
      </c>
      <c r="B26">
        <v>489.65697999999998</v>
      </c>
      <c r="C26" s="35">
        <f>_xlfn.XLOOKUP(B26,'Rating Curve 1 CM'!$A$2:$A$500,'Rating Curve 1 CM'!$D$2:$D$500,, -1)</f>
        <v>1658675.7961466999</v>
      </c>
      <c r="D26">
        <f t="shared" si="0"/>
        <v>224197.73004406077</v>
      </c>
      <c r="E26" s="46">
        <f>('อัตราการไหล ท่อฝั่งspillway'!L$11*24)+(อัตราการไหลท่อฝั่งทางเข้าอ่าง!L$11*24)</f>
        <v>15019.199999999999</v>
      </c>
      <c r="F26" s="46">
        <v>195989.51560000001</v>
      </c>
      <c r="G26" s="46">
        <v>0</v>
      </c>
      <c r="H26" s="47">
        <f>(_xlfn.XLOOKUP(B26,'Rating Curve 1 CM'!$A$2:$A$500,'Rating Curve 1 CM'!$C$2:$C$500,,-1)*(G26/1000))</f>
        <v>0</v>
      </c>
      <c r="I26" s="47">
        <f>(_xlfn.XLOOKUP(B26,'Rating Curve 1 CM'!$A$2:$A$500,'Rating Curve 1 CM'!$C$2:$C$500,,-1)*((112.24/31)*0.7)/1000)</f>
        <v>768.30072513628579</v>
      </c>
      <c r="J26" s="12">
        <f>_xlfn.XLOOKUP(B26,Area_Terrain!$A$2:$A$500,Area_Terrain!$C$2:$C$500,, -1)*0.001</f>
        <v>307.39610862457005</v>
      </c>
      <c r="K26" s="38">
        <f t="shared" si="1"/>
        <v>12113.317610299913</v>
      </c>
    </row>
    <row r="27" spans="1:11" x14ac:dyDescent="0.4">
      <c r="A27">
        <v>22</v>
      </c>
      <c r="B27">
        <v>489.67099999999999</v>
      </c>
      <c r="C27" s="35">
        <f>_xlfn.XLOOKUP(B27,'Rating Curve 1 CM'!$A$2:$A$500,'Rating Curve 1 CM'!$D$2:$D$500,, -1)</f>
        <v>1664741.6725647999</v>
      </c>
      <c r="D27">
        <f t="shared" si="0"/>
        <v>225138.18840221464</v>
      </c>
      <c r="E27" s="46">
        <f>('อัตราการไหล ท่อฝั่งspillway'!L$11*24)+(อัตราการไหลท่อฝั่งทางเข้าอ่าง!L$11*24)</f>
        <v>15019.199999999999</v>
      </c>
      <c r="F27" s="46">
        <v>202976.33369999999</v>
      </c>
      <c r="G27" s="46">
        <v>0</v>
      </c>
      <c r="H27" s="47">
        <f>(_xlfn.XLOOKUP(B27,'Rating Curve 1 CM'!$A$2:$A$500,'Rating Curve 1 CM'!$C$2:$C$500,,-1)*(G27/1000))</f>
        <v>0</v>
      </c>
      <c r="I27" s="47">
        <f>(_xlfn.XLOOKUP(B27,'Rating Curve 1 CM'!$A$2:$A$500,'Rating Curve 1 CM'!$C$2:$C$500,,-1)*((112.24/31)*0.7)/1000)</f>
        <v>769.06376517513922</v>
      </c>
      <c r="J27" s="12">
        <f>_xlfn.XLOOKUP(B27,Area_Terrain!$A$2:$A$500,Area_Terrain!$C$2:$C$500,, -1)*0.001</f>
        <v>307.71451893954998</v>
      </c>
      <c r="K27" s="38">
        <f t="shared" si="1"/>
        <v>6065.8764180999715</v>
      </c>
    </row>
    <row r="28" spans="1:11" x14ac:dyDescent="0.4">
      <c r="A28">
        <v>23</v>
      </c>
      <c r="B28">
        <v>489.65697999999998</v>
      </c>
      <c r="C28" s="35">
        <f>_xlfn.XLOOKUP(B28,'Rating Curve 1 CM'!$A$2:$A$500,'Rating Curve 1 CM'!$D$2:$D$500,, -1)</f>
        <v>1658675.7961466999</v>
      </c>
      <c r="D28">
        <f t="shared" si="0"/>
        <v>173020.97051566088</v>
      </c>
      <c r="E28" s="46">
        <f>('อัตราการไหล ท่อฝั่งspillway'!L$11*24)+(อัตราการไหลท่อฝั่งทางเข้าอ่าง!L$11*24)</f>
        <v>15019.199999999999</v>
      </c>
      <c r="F28" s="46">
        <v>162991.95009999999</v>
      </c>
      <c r="G28" s="46">
        <v>0</v>
      </c>
      <c r="H28" s="47">
        <f>(_xlfn.XLOOKUP(B28,'Rating Curve 1 CM'!$A$2:$A$500,'Rating Curve 1 CM'!$C$2:$C$500,,-1)*(G28/1000))</f>
        <v>0</v>
      </c>
      <c r="I28" s="47">
        <f>(_xlfn.XLOOKUP(B28,'Rating Curve 1 CM'!$A$2:$A$500,'Rating Curve 1 CM'!$C$2:$C$500,,-1)*((112.24/31)*0.7)/1000)</f>
        <v>768.30072513628579</v>
      </c>
      <c r="J28" s="12">
        <f>_xlfn.XLOOKUP(B28,Area_Terrain!$A$2:$A$500,Area_Terrain!$C$2:$C$500,, -1)*0.001</f>
        <v>307.39610862457005</v>
      </c>
      <c r="K28" s="38">
        <f t="shared" si="1"/>
        <v>-6065.8764180999715</v>
      </c>
    </row>
    <row r="29" spans="1:11" x14ac:dyDescent="0.4">
      <c r="A29">
        <v>24</v>
      </c>
      <c r="B29">
        <v>489.63799999999998</v>
      </c>
      <c r="C29" s="35">
        <f>_xlfn.XLOOKUP(B29,'Rating Curve 1 CM'!$A$2:$A$500,'Rating Curve 1 CM'!$D$2:$D$500,, -1)</f>
        <v>1652616.0060848999</v>
      </c>
      <c r="D29">
        <f t="shared" si="0"/>
        <v>130773.2730821234</v>
      </c>
      <c r="E29" s="46">
        <f>('อัตราการไหล ท่อฝั่งspillway'!L$11*24)+(อัตราการไหลท่อฝั่งทางเข้าอ่าง!L$11*24)</f>
        <v>15019.199999999999</v>
      </c>
      <c r="F29" s="46">
        <v>120739.24830000001</v>
      </c>
      <c r="G29" s="46">
        <v>0</v>
      </c>
      <c r="H29" s="47">
        <f>(_xlfn.XLOOKUP(B29,'Rating Curve 1 CM'!$A$2:$A$500,'Rating Curve 1 CM'!$C$2:$C$500,,-1)*(G29/1000))</f>
        <v>0</v>
      </c>
      <c r="I29" s="47">
        <f>(_xlfn.XLOOKUP(B29,'Rating Curve 1 CM'!$A$2:$A$500,'Rating Curve 1 CM'!$C$2:$C$500,,-1)*((112.24/31)*0.7)/1000)</f>
        <v>767.53717343605513</v>
      </c>
      <c r="J29" s="12">
        <f>_xlfn.XLOOKUP(B29,Area_Terrain!$A$2:$A$500,Area_Terrain!$C$2:$C$500,, -1)*0.001</f>
        <v>307.07767048739004</v>
      </c>
      <c r="K29" s="38">
        <f t="shared" si="1"/>
        <v>-6059.7900618000422</v>
      </c>
    </row>
    <row r="30" spans="1:11" x14ac:dyDescent="0.4">
      <c r="A30">
        <v>25</v>
      </c>
      <c r="B30">
        <v>489.60599999999999</v>
      </c>
      <c r="C30" s="35">
        <f>_xlfn.XLOOKUP(B30,'Rating Curve 1 CM'!$A$2:$A$500,'Rating Curve 1 CM'!$D$2:$D$500,, -1)</f>
        <v>1643538.2164867001</v>
      </c>
      <c r="D30">
        <f t="shared" si="0"/>
        <v>77792.348775952967</v>
      </c>
      <c r="E30" s="46">
        <f>('อัตราการไหล ท่อฝั่งspillway'!L$11*24)+(อัตราการไหลท่อฝั่งทางเข้าอ่าง!L$11*24)</f>
        <v>15019.199999999999</v>
      </c>
      <c r="F30" s="46">
        <v>70780.242159999994</v>
      </c>
      <c r="G30" s="46">
        <v>0</v>
      </c>
      <c r="H30" s="47">
        <f>(_xlfn.XLOOKUP(B30,'Rating Curve 1 CM'!$A$2:$A$500,'Rating Curve 1 CM'!$C$2:$C$500,,-1)*(G30/1000))</f>
        <v>0</v>
      </c>
      <c r="I30" s="47">
        <f>(_xlfn.XLOOKUP(B30,'Rating Curve 1 CM'!$A$2:$A$500,'Rating Curve 1 CM'!$C$2:$C$500,,-1)*((112.24/31)*0.7)/1000)</f>
        <v>764.74515365718787</v>
      </c>
      <c r="J30" s="12">
        <f>_xlfn.XLOOKUP(B30,Area_Terrain!$A$2:$A$500,Area_Terrain!$C$2:$C$500,, -1)*0.001</f>
        <v>305.95106049556</v>
      </c>
      <c r="K30" s="38">
        <f t="shared" si="1"/>
        <v>-9077.7895981997717</v>
      </c>
    </row>
    <row r="31" spans="1:11" x14ac:dyDescent="0.4">
      <c r="A31">
        <v>26</v>
      </c>
      <c r="B31">
        <v>489.58699999999999</v>
      </c>
      <c r="C31" s="35">
        <f>_xlfn.XLOOKUP(B31,'Rating Curve 1 CM'!$A$2:$A$500,'Rating Curve 1 CM'!$D$2:$D$500,, -1)</f>
        <v>1637507.2197397</v>
      </c>
      <c r="D31">
        <f t="shared" si="0"/>
        <v>44784.932004664217</v>
      </c>
      <c r="E31" s="46">
        <f>('อัตราการไหล ท่อฝั่งspillway'!L$11*24)+(อัตราการไหลท่อฝั่งทางเข้าอ่าง!L$11*24)</f>
        <v>15019.199999999999</v>
      </c>
      <c r="F31" s="46">
        <v>34727.267890000003</v>
      </c>
      <c r="G31" s="46">
        <v>0</v>
      </c>
      <c r="H31" s="47">
        <f>(_xlfn.XLOOKUP(B31,'Rating Curve 1 CM'!$A$2:$A$500,'Rating Curve 1 CM'!$C$2:$C$500,,-1)*(G31/1000))</f>
        <v>0</v>
      </c>
      <c r="I31" s="47">
        <f>(_xlfn.XLOOKUP(B31,'Rating Curve 1 CM'!$A$2:$A$500,'Rating Curve 1 CM'!$C$2:$C$500,,-1)*((112.24/31)*0.7)/1000)</f>
        <v>763.87056508697844</v>
      </c>
      <c r="J31" s="12">
        <f>_xlfn.XLOOKUP(B31,Area_Terrain!$A$2:$A$500,Area_Terrain!$C$2:$C$500,, -1)*0.001</f>
        <v>305.59029657738</v>
      </c>
      <c r="K31" s="38">
        <f t="shared" si="1"/>
        <v>-6030.9967470001429</v>
      </c>
    </row>
    <row r="32" spans="1:11" x14ac:dyDescent="0.4">
      <c r="A32">
        <v>27</v>
      </c>
      <c r="B32">
        <v>489.56099999999998</v>
      </c>
      <c r="C32" s="35">
        <f>_xlfn.XLOOKUP(B32,'Rating Curve 1 CM'!$A$2:$A$500,'Rating Curve 1 CM'!$D$2:$D$500,, -1)</f>
        <v>1631482.3951735001</v>
      </c>
      <c r="D32">
        <f t="shared" si="0"/>
        <v>18567.957467475244</v>
      </c>
      <c r="E32" s="46">
        <f>('อัตราการไหล ท่อฝั่งspillway'!L$11*24)+(อัตราการไหลท่อฝั่งทางเข้าอ่าง!L$11*24)</f>
        <v>15019.199999999999</v>
      </c>
      <c r="F32" s="46">
        <v>8505.2347019999997</v>
      </c>
      <c r="G32" s="46">
        <v>0</v>
      </c>
      <c r="H32" s="47">
        <f>(_xlfn.XLOOKUP(B32,'Rating Curve 1 CM'!$A$2:$A$500,'Rating Curve 1 CM'!$C$2:$C$500,,-1)*(G32/1000))</f>
        <v>0</v>
      </c>
      <c r="I32" s="47">
        <f>(_xlfn.XLOOKUP(B32,'Rating Curve 1 CM'!$A$2:$A$500,'Rating Curve 1 CM'!$C$2:$C$500,,-1)*((112.24/31)*0.7)/1000)</f>
        <v>763.08324037224406</v>
      </c>
      <c r="J32" s="12">
        <f>_xlfn.XLOOKUP(B32,Area_Terrain!$A$2:$A$500,Area_Terrain!$C$2:$C$500,, -1)*0.001</f>
        <v>305.26409130291</v>
      </c>
      <c r="K32" s="38">
        <f t="shared" si="1"/>
        <v>-6024.8245661999099</v>
      </c>
    </row>
    <row r="33" spans="1:11" x14ac:dyDescent="0.4">
      <c r="A33">
        <v>28</v>
      </c>
      <c r="B33">
        <v>489.54199999999997</v>
      </c>
      <c r="C33" s="35">
        <f>_xlfn.XLOOKUP(B33,'Rating Curve 1 CM'!$A$2:$A$500,'Rating Curve 1 CM'!$D$2:$D$500,, -1)</f>
        <v>1625463.7590197001</v>
      </c>
      <c r="D33">
        <f t="shared" si="0"/>
        <v>10123.898591554334</v>
      </c>
      <c r="E33" s="46">
        <f>('อัตราการไหล ท่อฝั่งspillway'!L$11*24)+(อัตราการไหลท่อฝั่งทางเข้าอ่าง!L$11*24)</f>
        <v>15019.199999999999</v>
      </c>
      <c r="F33" s="46">
        <v>56.094737610000003</v>
      </c>
      <c r="G33" s="46">
        <v>0</v>
      </c>
      <c r="H33" s="47">
        <f>(_xlfn.XLOOKUP(B33,'Rating Curve 1 CM'!$A$2:$A$500,'Rating Curve 1 CM'!$C$2:$C$500,,-1)*(G33/1000))</f>
        <v>0</v>
      </c>
      <c r="I33" s="47">
        <f>(_xlfn.XLOOKUP(B33,'Rating Curve 1 CM'!$A$2:$A$500,'Rating Curve 1 CM'!$C$2:$C$500,,-1)*((112.24/31)*0.7)/1000)</f>
        <v>762.30034219287336</v>
      </c>
      <c r="J33" s="12">
        <f>_xlfn.XLOOKUP(B33,Area_Terrain!$A$2:$A$500,Area_Terrain!$C$2:$C$500,, -1)*0.001</f>
        <v>304.93966555141003</v>
      </c>
      <c r="K33" s="38">
        <f t="shared" si="1"/>
        <v>-6018.6361537999474</v>
      </c>
    </row>
    <row r="34" spans="1:11" x14ac:dyDescent="0.4">
      <c r="A34">
        <v>29</v>
      </c>
      <c r="B34">
        <v>489.52100000000002</v>
      </c>
      <c r="C34" s="35">
        <f>_xlfn.XLOOKUP(B34,'Rating Curve 1 CM'!$A$2:$A$500,'Rating Curve 1 CM'!$D$2:$D$500,, -1)</f>
        <v>1619451.3170382001</v>
      </c>
      <c r="D34">
        <f t="shared" si="0"/>
        <v>10072.899036310992</v>
      </c>
      <c r="E34" s="46">
        <f>('อัตราการไหล ท่อฝั่งspillway'!L$11*24)+(อัตราการไหลท่อฝั่งทางเข้าอ่าง!L$11*24)</f>
        <v>15019.199999999999</v>
      </c>
      <c r="F34" s="46">
        <v>0</v>
      </c>
      <c r="G34" s="46">
        <v>0</v>
      </c>
      <c r="H34" s="47">
        <f>(_xlfn.XLOOKUP(B34,'Rating Curve 1 CM'!$A$2:$A$500,'Rating Curve 1 CM'!$C$2:$C$500,,-1)*(G34/1000))</f>
        <v>0</v>
      </c>
      <c r="I34" s="47">
        <f>(_xlfn.XLOOKUP(B34,'Rating Curve 1 CM'!$A$2:$A$500,'Rating Curve 1 CM'!$C$2:$C$500,,-1)*((112.24/31)*0.7)/1000)</f>
        <v>761.52343922974808</v>
      </c>
      <c r="J34" s="12">
        <f>_xlfn.XLOOKUP(B34,Area_Terrain!$A$2:$A$500,Area_Terrain!$C$2:$C$500,, -1)*0.001</f>
        <v>304.61757858125998</v>
      </c>
      <c r="K34" s="38">
        <f t="shared" si="1"/>
        <v>-6012.4419815000147</v>
      </c>
    </row>
    <row r="35" spans="1:11" x14ac:dyDescent="0.4">
      <c r="A35">
        <v>30</v>
      </c>
      <c r="B35">
        <v>489.50198</v>
      </c>
      <c r="C35" s="35">
        <f>_xlfn.XLOOKUP(B35,'Rating Curve 1 CM'!$A$2:$A$500,'Rating Curve 1 CM'!$D$2:$D$500,, -1)</f>
        <v>1613444.9319478001</v>
      </c>
      <c r="D35">
        <f t="shared" si="0"/>
        <v>10077.865167052254</v>
      </c>
      <c r="E35" s="46">
        <f>('อัตราการไหล ท่อฝั่งspillway'!L$11*24)+(อัตราการไหลท่อฝั่งทางเข้าอ่าง!L$11*24)</f>
        <v>15019.199999999999</v>
      </c>
      <c r="F35" s="46">
        <v>0</v>
      </c>
      <c r="G35" s="46">
        <v>0</v>
      </c>
      <c r="H35" s="47">
        <f>(_xlfn.XLOOKUP(B35,'Rating Curve 1 CM'!$A$2:$A$500,'Rating Curve 1 CM'!$C$2:$C$500,,-1)*(G35/1000))</f>
        <v>0</v>
      </c>
      <c r="I35" s="47">
        <f>(_xlfn.XLOOKUP(B35,'Rating Curve 1 CM'!$A$2:$A$500,'Rating Curve 1 CM'!$C$2:$C$500,,-1)*((112.24/31)*0.7)/1000)</f>
        <v>760.75247371270495</v>
      </c>
      <c r="J35" s="12">
        <f>_xlfn.XLOOKUP(B35,Area_Terrain!$A$2:$A$500,Area_Terrain!$C$2:$C$500,, -1)*0.001</f>
        <v>304.29778373954997</v>
      </c>
      <c r="K35" s="38">
        <f t="shared" si="1"/>
        <v>-6006.3850903999992</v>
      </c>
    </row>
    <row r="36" spans="1:11" x14ac:dyDescent="0.4">
      <c r="A36">
        <v>31</v>
      </c>
      <c r="B36">
        <v>489.483</v>
      </c>
      <c r="C36" s="35">
        <f>_xlfn.XLOOKUP(B36,'Rating Curve 1 CM'!$A$2:$A$500,'Rating Curve 1 CM'!$D$2:$D$500,, -1)</f>
        <v>1607444.5930314001</v>
      </c>
      <c r="D36">
        <f t="shared" si="0"/>
        <v>10082.828486909842</v>
      </c>
      <c r="E36" s="46">
        <f>('อัตราการไหล ท่อฝั่งspillway'!L$11*24)+(อัตราการไหลท่อฝั่งทางเข้าอ่าง!L$11*24)</f>
        <v>15019.199999999999</v>
      </c>
      <c r="F36" s="46">
        <v>0</v>
      </c>
      <c r="G36" s="46">
        <v>0</v>
      </c>
      <c r="H36" s="47">
        <f>(_xlfn.XLOOKUP(B36,'Rating Curve 1 CM'!$A$2:$A$500,'Rating Curve 1 CM'!$C$2:$C$500,,-1)*(G36/1000))</f>
        <v>0</v>
      </c>
      <c r="I36" s="47">
        <f>(_xlfn.XLOOKUP(B36,'Rating Curve 1 CM'!$A$2:$A$500,'Rating Curve 1 CM'!$C$2:$C$500,,-1)*((112.24/31)*0.7)/1000)</f>
        <v>759.98721530558578</v>
      </c>
      <c r="J36" s="12">
        <f>_xlfn.XLOOKUP(B36,Area_Terrain!$A$2:$A$500,Area_Terrain!$C$2:$C$500,, -1)*0.001</f>
        <v>303.98018800424001</v>
      </c>
      <c r="K36" s="38">
        <f t="shared" si="1"/>
        <v>-6000.3389163999818</v>
      </c>
    </row>
    <row r="37" spans="1:11" x14ac:dyDescent="0.4">
      <c r="J37" s="12"/>
    </row>
    <row r="40" spans="1:11" ht="117.6" x14ac:dyDescent="0.4">
      <c r="A40" s="3"/>
      <c r="B40" s="8" t="s">
        <v>25</v>
      </c>
      <c r="D40" s="8"/>
      <c r="F40" s="3"/>
      <c r="G40" s="8" t="s">
        <v>25</v>
      </c>
      <c r="H40" s="8"/>
    </row>
  </sheetData>
  <mergeCells count="2">
    <mergeCell ref="A1:J1"/>
    <mergeCell ref="A2:I2"/>
  </mergeCells>
  <conditionalFormatting sqref="K6:K36">
    <cfRule type="cellIs" dxfId="2" priority="1" operator="greater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hyperlinks>
    <hyperlink ref="B40" r:id="rId1" display="https://partners.thaiwater.net:3007/teleChart/th/VLGE12/25" xr:uid="{0CECB892-4373-4105-B23D-B1960DBC569B}"/>
    <hyperlink ref="G40" r:id="rId2" display="https://partners.thaiwater.net:3007/teleChart/th/VLGE12/25" xr:uid="{E9F92F70-E68D-490B-8E01-C2591C6979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4F24-2F00-435E-8E5D-3C5432F7D9E9}">
  <dimension ref="A1:D873"/>
  <sheetViews>
    <sheetView workbookViewId="0">
      <selection sqref="A1:XFD1048576"/>
    </sheetView>
  </sheetViews>
  <sheetFormatPr defaultRowHeight="16.8" x14ac:dyDescent="0.4"/>
  <cols>
    <col min="1" max="1" width="15.09765625" bestFit="1" customWidth="1"/>
    <col min="2" max="2" width="14.5" bestFit="1" customWidth="1"/>
    <col min="3" max="3" width="15.19921875" bestFit="1" customWidth="1"/>
    <col min="4" max="4" width="12.5" bestFit="1" customWidth="1"/>
  </cols>
  <sheetData>
    <row r="1" spans="1:4" x14ac:dyDescent="0.4">
      <c r="A1" s="42" t="s">
        <v>67</v>
      </c>
      <c r="B1" s="43" t="s">
        <v>68</v>
      </c>
      <c r="C1" s="43" t="s">
        <v>69</v>
      </c>
      <c r="D1" s="43" t="s">
        <v>70</v>
      </c>
    </row>
    <row r="2" spans="1:4" x14ac:dyDescent="0.4">
      <c r="A2" s="6">
        <v>491.5</v>
      </c>
      <c r="B2" s="44">
        <v>361994.81056329003</v>
      </c>
      <c r="C2" s="44">
        <v>368340.05274868</v>
      </c>
      <c r="D2" s="44">
        <v>2267398.1057934002</v>
      </c>
    </row>
    <row r="3" spans="1:4" x14ac:dyDescent="0.4">
      <c r="A3" s="6">
        <v>491.49</v>
      </c>
      <c r="B3" s="44">
        <v>361599.09217861999</v>
      </c>
      <c r="C3" s="44">
        <v>367932.97570021002</v>
      </c>
      <c r="D3" s="44">
        <v>2263780.1451647002</v>
      </c>
    </row>
    <row r="4" spans="1:4" x14ac:dyDescent="0.4">
      <c r="A4" s="6">
        <v>491.48</v>
      </c>
      <c r="B4" s="44">
        <v>361204.48328425002</v>
      </c>
      <c r="C4" s="44">
        <v>367526.99293025001</v>
      </c>
      <c r="D4" s="44">
        <v>2260166.0975861</v>
      </c>
    </row>
    <row r="5" spans="1:4" x14ac:dyDescent="0.4">
      <c r="A5" s="6">
        <v>491.47</v>
      </c>
      <c r="B5" s="44">
        <v>360810.87578886998</v>
      </c>
      <c r="C5" s="44">
        <v>367121.99631220999</v>
      </c>
      <c r="D5" s="44">
        <v>2256556.0523282001</v>
      </c>
    </row>
    <row r="6" spans="1:4" x14ac:dyDescent="0.4">
      <c r="A6" s="6">
        <v>491.46</v>
      </c>
      <c r="B6" s="44">
        <v>360418.36157864</v>
      </c>
      <c r="C6" s="44">
        <v>366718.07687236997</v>
      </c>
      <c r="D6" s="44">
        <v>2252949.9085300998</v>
      </c>
    </row>
    <row r="7" spans="1:4" x14ac:dyDescent="0.4">
      <c r="A7" s="6">
        <v>491.45</v>
      </c>
      <c r="B7" s="44">
        <v>360026.72667454998</v>
      </c>
      <c r="C7" s="44">
        <v>366315.01866474998</v>
      </c>
      <c r="D7" s="44">
        <v>2249347.6350584002</v>
      </c>
    </row>
    <row r="8" spans="1:4" x14ac:dyDescent="0.4">
      <c r="A8" s="6">
        <v>491.44</v>
      </c>
      <c r="B8" s="44">
        <v>359636.10792063002</v>
      </c>
      <c r="C8" s="44">
        <v>365912.95881956001</v>
      </c>
      <c r="D8" s="44">
        <v>2245749.3000022001</v>
      </c>
    </row>
    <row r="9" spans="1:4" x14ac:dyDescent="0.4">
      <c r="A9" s="6">
        <v>491.43</v>
      </c>
      <c r="B9" s="44">
        <v>359245.89051766001</v>
      </c>
      <c r="C9" s="44">
        <v>365511.28032938001</v>
      </c>
      <c r="D9" s="44">
        <v>2242154.8152557001</v>
      </c>
    </row>
    <row r="10" spans="1:4" x14ac:dyDescent="0.4">
      <c r="A10" s="6">
        <v>491.42</v>
      </c>
      <c r="B10" s="44">
        <v>358854.56899566</v>
      </c>
      <c r="C10" s="44">
        <v>365108.47499984002</v>
      </c>
      <c r="D10" s="44">
        <v>2238564.2927140999</v>
      </c>
    </row>
    <row r="11" spans="1:4" x14ac:dyDescent="0.4">
      <c r="A11" s="6">
        <v>491.41</v>
      </c>
      <c r="B11" s="44">
        <v>358454.94462258002</v>
      </c>
      <c r="C11" s="44">
        <v>364697.36971136997</v>
      </c>
      <c r="D11" s="44">
        <v>2234977.7088191998</v>
      </c>
    </row>
    <row r="12" spans="1:4" x14ac:dyDescent="0.4">
      <c r="A12" s="6">
        <v>491.4</v>
      </c>
      <c r="B12" s="44">
        <v>357875.26972702</v>
      </c>
      <c r="C12" s="44">
        <v>364106.28927918</v>
      </c>
      <c r="D12" s="44">
        <v>2231395.4648157</v>
      </c>
    </row>
    <row r="13" spans="1:4" x14ac:dyDescent="0.4">
      <c r="A13" s="6">
        <v>491.39</v>
      </c>
      <c r="B13" s="44">
        <v>355774.16176699998</v>
      </c>
      <c r="C13" s="44">
        <v>361993.47940244997</v>
      </c>
      <c r="D13" s="44">
        <v>2227834.7025144999</v>
      </c>
    </row>
    <row r="14" spans="1:4" x14ac:dyDescent="0.4">
      <c r="A14" s="6">
        <v>491.38</v>
      </c>
      <c r="B14" s="44">
        <v>355423.66029019997</v>
      </c>
      <c r="C14" s="44">
        <v>361630.83912327001</v>
      </c>
      <c r="D14" s="44">
        <v>2224278.6237130002</v>
      </c>
    </row>
    <row r="15" spans="1:4" x14ac:dyDescent="0.4">
      <c r="A15" s="6">
        <v>491.37</v>
      </c>
      <c r="B15" s="44">
        <v>355094.77136686002</v>
      </c>
      <c r="C15" s="44">
        <v>361289.53597536997</v>
      </c>
      <c r="D15" s="44">
        <v>2220725.9583041999</v>
      </c>
    </row>
    <row r="16" spans="1:4" x14ac:dyDescent="0.4">
      <c r="A16" s="6">
        <v>491.36</v>
      </c>
      <c r="B16" s="44">
        <v>354774.61946383002</v>
      </c>
      <c r="C16" s="44">
        <v>360956.77199739002</v>
      </c>
      <c r="D16" s="44">
        <v>2217176.5620702999</v>
      </c>
    </row>
    <row r="17" spans="1:4" x14ac:dyDescent="0.4">
      <c r="A17" s="6">
        <v>491.35</v>
      </c>
      <c r="B17" s="44">
        <v>354458.49281564</v>
      </c>
      <c r="C17" s="44">
        <v>360627.89738422999</v>
      </c>
      <c r="D17" s="44">
        <v>2213630.4407194001</v>
      </c>
    </row>
    <row r="18" spans="1:4" x14ac:dyDescent="0.4">
      <c r="A18" s="6">
        <v>491.34</v>
      </c>
      <c r="B18" s="44">
        <v>354144.88432865002</v>
      </c>
      <c r="C18" s="44">
        <v>360301.43869634997</v>
      </c>
      <c r="D18" s="44">
        <v>2210087.3554578</v>
      </c>
    </row>
    <row r="19" spans="1:4" x14ac:dyDescent="0.4">
      <c r="A19" s="6">
        <v>491.33</v>
      </c>
      <c r="B19" s="44">
        <v>353833.04541179998</v>
      </c>
      <c r="C19" s="44">
        <v>359976.67029174999</v>
      </c>
      <c r="D19" s="44">
        <v>2206547.5282641998</v>
      </c>
    </row>
    <row r="20" spans="1:4" x14ac:dyDescent="0.4">
      <c r="A20" s="6">
        <v>491.32</v>
      </c>
      <c r="B20" s="44">
        <v>353522.54291130998</v>
      </c>
      <c r="C20" s="44">
        <v>359653.17648819002</v>
      </c>
      <c r="D20" s="44">
        <v>2203010.6791985999</v>
      </c>
    </row>
    <row r="21" spans="1:4" x14ac:dyDescent="0.4">
      <c r="A21" s="6">
        <v>491.31</v>
      </c>
      <c r="B21" s="44">
        <v>353213.14609777002</v>
      </c>
      <c r="C21" s="44">
        <v>359330.74321729998</v>
      </c>
      <c r="D21" s="44">
        <v>2199477.0620276998</v>
      </c>
    </row>
    <row r="22" spans="1:4" x14ac:dyDescent="0.4">
      <c r="A22" s="6">
        <v>491.3</v>
      </c>
      <c r="B22" s="44">
        <v>352904.66295319999</v>
      </c>
      <c r="C22" s="44">
        <v>359009.18799089</v>
      </c>
      <c r="D22" s="44">
        <v>2195946.4522772999</v>
      </c>
    </row>
    <row r="23" spans="1:4" x14ac:dyDescent="0.4">
      <c r="A23" s="6">
        <v>491.29</v>
      </c>
      <c r="B23" s="44">
        <v>352597.04076223</v>
      </c>
      <c r="C23" s="44">
        <v>358688.46231585997</v>
      </c>
      <c r="D23" s="44">
        <v>2192418.9378793999</v>
      </c>
    </row>
    <row r="24" spans="1:4" x14ac:dyDescent="0.4">
      <c r="A24" s="6">
        <v>491.28</v>
      </c>
      <c r="B24" s="44">
        <v>352290.24867085001</v>
      </c>
      <c r="C24" s="44">
        <v>358368.54036821</v>
      </c>
      <c r="D24" s="44">
        <v>2188894.4553939002</v>
      </c>
    </row>
    <row r="25" spans="1:4" x14ac:dyDescent="0.4">
      <c r="A25" s="6">
        <v>491.27</v>
      </c>
      <c r="B25" s="44">
        <v>351984.11745109002</v>
      </c>
      <c r="C25" s="44">
        <v>358049.25928161998</v>
      </c>
      <c r="D25" s="44">
        <v>2185373.0613814001</v>
      </c>
    </row>
    <row r="26" spans="1:4" x14ac:dyDescent="0.4">
      <c r="A26" s="6">
        <v>491.26</v>
      </c>
      <c r="B26" s="44">
        <v>351678.54789704998</v>
      </c>
      <c r="C26" s="44">
        <v>357730.52137246</v>
      </c>
      <c r="D26" s="44">
        <v>2181854.7566109002</v>
      </c>
    </row>
    <row r="27" spans="1:4" x14ac:dyDescent="0.4">
      <c r="A27" s="6">
        <v>491.25</v>
      </c>
      <c r="B27" s="44">
        <v>351373.30300058</v>
      </c>
      <c r="C27" s="44">
        <v>357412.09655915998</v>
      </c>
      <c r="D27" s="44">
        <v>2178339.4728294001</v>
      </c>
    </row>
    <row r="28" spans="1:4" x14ac:dyDescent="0.4">
      <c r="A28" s="6">
        <v>491.24</v>
      </c>
      <c r="B28" s="44">
        <v>351067.69144446001</v>
      </c>
      <c r="C28" s="44">
        <v>357093.30658138002</v>
      </c>
      <c r="D28" s="44">
        <v>2174827.2757795001</v>
      </c>
    </row>
    <row r="29" spans="1:4" x14ac:dyDescent="0.4">
      <c r="A29" s="6">
        <v>491.23</v>
      </c>
      <c r="B29" s="44">
        <v>350760.54667508003</v>
      </c>
      <c r="C29" s="44">
        <v>356772.99914933997</v>
      </c>
      <c r="D29" s="44">
        <v>2171318.2239152999</v>
      </c>
    </row>
    <row r="30" spans="1:4" x14ac:dyDescent="0.4">
      <c r="A30" s="6">
        <v>491.22</v>
      </c>
      <c r="B30" s="44">
        <v>350448.32221671002</v>
      </c>
      <c r="C30" s="44">
        <v>356447.65902234998</v>
      </c>
      <c r="D30" s="44">
        <v>2167812.3269048999</v>
      </c>
    </row>
    <row r="31" spans="1:4" x14ac:dyDescent="0.4">
      <c r="A31" s="6">
        <v>491.21</v>
      </c>
      <c r="B31" s="44">
        <v>350117.88861905999</v>
      </c>
      <c r="C31" s="44">
        <v>356104.22420037002</v>
      </c>
      <c r="D31" s="44">
        <v>2164309.5389024001</v>
      </c>
    </row>
    <row r="32" spans="1:4" x14ac:dyDescent="0.4">
      <c r="A32" s="6">
        <v>491.2</v>
      </c>
      <c r="B32" s="44">
        <v>348469.35554532002</v>
      </c>
      <c r="C32" s="44">
        <v>354442.95473910001</v>
      </c>
      <c r="D32" s="44">
        <v>2160810.3136793999</v>
      </c>
    </row>
    <row r="33" spans="1:4" x14ac:dyDescent="0.4">
      <c r="A33" s="6">
        <v>491.19</v>
      </c>
      <c r="B33" s="44">
        <v>348063.81002815999</v>
      </c>
      <c r="C33" s="44">
        <v>354024.94091250998</v>
      </c>
      <c r="D33" s="44">
        <v>2157327.7464752002</v>
      </c>
    </row>
    <row r="34" spans="1:4" x14ac:dyDescent="0.4">
      <c r="A34" s="6">
        <v>491.18</v>
      </c>
      <c r="B34" s="44">
        <v>347768.88951403002</v>
      </c>
      <c r="C34" s="44">
        <v>353717.36495587003</v>
      </c>
      <c r="D34" s="44">
        <v>2153848.5312756998</v>
      </c>
    </row>
    <row r="35" spans="1:4" x14ac:dyDescent="0.4">
      <c r="A35" s="6">
        <v>491.17</v>
      </c>
      <c r="B35" s="44">
        <v>347483.81645079999</v>
      </c>
      <c r="C35" s="44">
        <v>353419.51144931</v>
      </c>
      <c r="D35" s="44">
        <v>2150372.2201692001</v>
      </c>
    </row>
    <row r="36" spans="1:4" x14ac:dyDescent="0.4">
      <c r="A36" s="6">
        <v>491.16</v>
      </c>
      <c r="B36" s="44">
        <v>347203.01842959999</v>
      </c>
      <c r="C36" s="44">
        <v>353125.83862463001</v>
      </c>
      <c r="D36" s="44">
        <v>2146898.8495493</v>
      </c>
    </row>
    <row r="37" spans="1:4" x14ac:dyDescent="0.4">
      <c r="A37" s="6">
        <v>491.15</v>
      </c>
      <c r="B37" s="44">
        <v>346925.03626109002</v>
      </c>
      <c r="C37" s="44">
        <v>352834.90379865002</v>
      </c>
      <c r="D37" s="44">
        <v>2143428.1549565</v>
      </c>
    </row>
    <row r="38" spans="1:4" x14ac:dyDescent="0.4">
      <c r="A38" s="6">
        <v>491.14</v>
      </c>
      <c r="B38" s="44">
        <v>346649.29335696</v>
      </c>
      <c r="C38" s="44">
        <v>352546.14337775001</v>
      </c>
      <c r="D38" s="44">
        <v>2139960.2476853002</v>
      </c>
    </row>
    <row r="39" spans="1:4" x14ac:dyDescent="0.4">
      <c r="A39" s="6">
        <v>491.13</v>
      </c>
      <c r="B39" s="44">
        <v>346375.31590107002</v>
      </c>
      <c r="C39" s="44">
        <v>352259.09606225003</v>
      </c>
      <c r="D39" s="44">
        <v>2136495.0873159999</v>
      </c>
    </row>
    <row r="40" spans="1:4" x14ac:dyDescent="0.4">
      <c r="A40" s="6">
        <v>491.12</v>
      </c>
      <c r="B40" s="44">
        <v>346102.93652054999</v>
      </c>
      <c r="C40" s="44">
        <v>351973.60707726999</v>
      </c>
      <c r="D40" s="44">
        <v>2133032.7639349001</v>
      </c>
    </row>
    <row r="41" spans="1:4" x14ac:dyDescent="0.4">
      <c r="A41" s="6">
        <v>491.11</v>
      </c>
      <c r="B41" s="44">
        <v>345831.96141933999</v>
      </c>
      <c r="C41" s="44">
        <v>351689.49034740002</v>
      </c>
      <c r="D41" s="44">
        <v>2129573.0747276</v>
      </c>
    </row>
    <row r="42" spans="1:4" x14ac:dyDescent="0.4">
      <c r="A42" s="6">
        <v>491.1</v>
      </c>
      <c r="B42" s="44">
        <v>345562.46075675997</v>
      </c>
      <c r="C42" s="44">
        <v>351406.82509847998</v>
      </c>
      <c r="D42" s="44">
        <v>2126116.0967271002</v>
      </c>
    </row>
    <row r="43" spans="1:4" x14ac:dyDescent="0.4">
      <c r="A43" s="6">
        <v>491.09</v>
      </c>
      <c r="B43" s="44">
        <v>345294.24927000998</v>
      </c>
      <c r="C43" s="44">
        <v>351125.43184500001</v>
      </c>
      <c r="D43" s="44">
        <v>2122661.8483120999</v>
      </c>
    </row>
    <row r="44" spans="1:4" x14ac:dyDescent="0.4">
      <c r="A44" s="6">
        <v>491.08</v>
      </c>
      <c r="B44" s="44">
        <v>345027.08492224</v>
      </c>
      <c r="C44" s="44">
        <v>350845.07568081998</v>
      </c>
      <c r="D44" s="44">
        <v>2119210.2801950001</v>
      </c>
    </row>
    <row r="45" spans="1:4" x14ac:dyDescent="0.4">
      <c r="A45" s="6">
        <v>491.07</v>
      </c>
      <c r="B45" s="44">
        <v>344760.88078526</v>
      </c>
      <c r="C45" s="44">
        <v>350565.67732019001</v>
      </c>
      <c r="D45" s="44">
        <v>2115761.3381375</v>
      </c>
    </row>
    <row r="46" spans="1:4" x14ac:dyDescent="0.4">
      <c r="A46" s="6">
        <v>491.06</v>
      </c>
      <c r="B46" s="44">
        <v>344495.50517665001</v>
      </c>
      <c r="C46" s="44">
        <v>350287.11370058003</v>
      </c>
      <c r="D46" s="44">
        <v>2112315.0806582002</v>
      </c>
    </row>
    <row r="47" spans="1:4" x14ac:dyDescent="0.4">
      <c r="A47" s="6">
        <v>491.05</v>
      </c>
      <c r="B47" s="44">
        <v>344230.56771263003</v>
      </c>
      <c r="C47" s="44">
        <v>350009.00800107</v>
      </c>
      <c r="D47" s="44">
        <v>2108871.5469594002</v>
      </c>
    </row>
    <row r="48" spans="1:4" x14ac:dyDescent="0.4">
      <c r="A48" s="6">
        <v>491.04</v>
      </c>
      <c r="B48" s="44">
        <v>343965.51880130998</v>
      </c>
      <c r="C48" s="44">
        <v>349730.82812681003</v>
      </c>
      <c r="D48" s="44">
        <v>2105430.6179609001</v>
      </c>
    </row>
    <row r="49" spans="1:4" x14ac:dyDescent="0.4">
      <c r="A49" s="6">
        <v>491.03</v>
      </c>
      <c r="B49" s="44">
        <v>343699.13498834998</v>
      </c>
      <c r="C49" s="44">
        <v>349451.37041949999</v>
      </c>
      <c r="D49" s="44">
        <v>2101992.4237683001</v>
      </c>
    </row>
    <row r="50" spans="1:4" x14ac:dyDescent="0.4">
      <c r="A50" s="6">
        <v>491.02</v>
      </c>
      <c r="B50" s="44">
        <v>343428.20610856998</v>
      </c>
      <c r="C50" s="44">
        <v>349167.45838695002</v>
      </c>
      <c r="D50" s="44">
        <v>2098556.9442183999</v>
      </c>
    </row>
    <row r="51" spans="1:4" x14ac:dyDescent="0.4">
      <c r="A51" s="6">
        <v>491.01</v>
      </c>
      <c r="B51" s="44">
        <v>343142.20284008002</v>
      </c>
      <c r="C51" s="44">
        <v>348868.63132665999</v>
      </c>
      <c r="D51" s="44">
        <v>2095124.1898590999</v>
      </c>
    </row>
    <row r="52" spans="1:4" x14ac:dyDescent="0.4">
      <c r="A52" s="6">
        <v>491</v>
      </c>
      <c r="B52" s="44">
        <v>342687.38406000001</v>
      </c>
      <c r="C52" s="44">
        <v>348401.28039693</v>
      </c>
      <c r="D52" s="44">
        <v>2091694.4424974001</v>
      </c>
    </row>
    <row r="53" spans="1:4" x14ac:dyDescent="0.4">
      <c r="A53" s="6">
        <v>490.99</v>
      </c>
      <c r="B53" s="44">
        <v>341048.83724794001</v>
      </c>
      <c r="C53" s="44">
        <v>346750.43961187999</v>
      </c>
      <c r="D53" s="44">
        <v>2088282.2695275999</v>
      </c>
    </row>
    <row r="54" spans="1:4" x14ac:dyDescent="0.4">
      <c r="A54" s="6">
        <v>490.98</v>
      </c>
      <c r="B54" s="44">
        <v>340777.31586441997</v>
      </c>
      <c r="C54" s="44">
        <v>346466.51725332002</v>
      </c>
      <c r="D54" s="44">
        <v>2084873.1042265999</v>
      </c>
    </row>
    <row r="55" spans="1:4" x14ac:dyDescent="0.4">
      <c r="A55" s="6">
        <v>490.97</v>
      </c>
      <c r="B55" s="44">
        <v>340513.86422359</v>
      </c>
      <c r="C55" s="44">
        <v>346190.61141682998</v>
      </c>
      <c r="D55" s="44">
        <v>2081466.6312352</v>
      </c>
    </row>
    <row r="56" spans="1:4" x14ac:dyDescent="0.4">
      <c r="A56" s="6">
        <v>490.96</v>
      </c>
      <c r="B56" s="44">
        <v>340253.10418993997</v>
      </c>
      <c r="C56" s="44">
        <v>345917.36196737998</v>
      </c>
      <c r="D56" s="44">
        <v>2078062.814554</v>
      </c>
    </row>
    <row r="57" spans="1:4" x14ac:dyDescent="0.4">
      <c r="A57" s="6">
        <v>490.95</v>
      </c>
      <c r="B57" s="44">
        <v>339994.23976654001</v>
      </c>
      <c r="C57" s="44">
        <v>345645.98266774003</v>
      </c>
      <c r="D57" s="44">
        <v>2074661.6229377999</v>
      </c>
    </row>
    <row r="58" spans="1:4" x14ac:dyDescent="0.4">
      <c r="A58" s="6">
        <v>490.94</v>
      </c>
      <c r="B58" s="44">
        <v>339736.74564183003</v>
      </c>
      <c r="C58" s="44">
        <v>345375.95342641999</v>
      </c>
      <c r="D58" s="44">
        <v>2071262.9695909999</v>
      </c>
    </row>
    <row r="59" spans="1:4" x14ac:dyDescent="0.4">
      <c r="A59" s="6">
        <v>490.93</v>
      </c>
      <c r="B59" s="44">
        <v>339480.26161848003</v>
      </c>
      <c r="C59" s="44">
        <v>345106.91804298997</v>
      </c>
      <c r="D59" s="44">
        <v>2067866.8161039001</v>
      </c>
    </row>
    <row r="60" spans="1:4" x14ac:dyDescent="0.4">
      <c r="A60" s="6">
        <v>490.92</v>
      </c>
      <c r="B60" s="44">
        <v>339224.81307402998</v>
      </c>
      <c r="C60" s="44">
        <v>344838.90493249003</v>
      </c>
      <c r="D60" s="44">
        <v>2064473.3373987</v>
      </c>
    </row>
    <row r="61" spans="1:4" x14ac:dyDescent="0.4">
      <c r="A61" s="6">
        <v>490.91</v>
      </c>
      <c r="B61" s="44">
        <v>338970.17698988999</v>
      </c>
      <c r="C61" s="44">
        <v>344571.69683387002</v>
      </c>
      <c r="D61" s="44">
        <v>2061082.3567572001</v>
      </c>
    </row>
    <row r="62" spans="1:4" x14ac:dyDescent="0.4">
      <c r="A62" s="6">
        <v>490.9</v>
      </c>
      <c r="B62" s="44">
        <v>338716.55030085001</v>
      </c>
      <c r="C62" s="44">
        <v>344305.49910224997</v>
      </c>
      <c r="D62" s="44">
        <v>2057693.9429265</v>
      </c>
    </row>
    <row r="63" spans="1:4" x14ac:dyDescent="0.4">
      <c r="A63" s="6">
        <v>490.89</v>
      </c>
      <c r="B63" s="44">
        <v>338463.72858649999</v>
      </c>
      <c r="C63" s="44">
        <v>344040.11405226</v>
      </c>
      <c r="D63" s="44">
        <v>2054308.1041403001</v>
      </c>
    </row>
    <row r="64" spans="1:4" x14ac:dyDescent="0.4">
      <c r="A64" s="6">
        <v>490.88</v>
      </c>
      <c r="B64" s="44">
        <v>338211.89065711002</v>
      </c>
      <c r="C64" s="44">
        <v>343775.72555951</v>
      </c>
      <c r="D64" s="44">
        <v>2050924.8395797999</v>
      </c>
    </row>
    <row r="65" spans="1:4" x14ac:dyDescent="0.4">
      <c r="A65" s="6">
        <v>490.87</v>
      </c>
      <c r="B65" s="44">
        <v>337960.64202392002</v>
      </c>
      <c r="C65" s="44">
        <v>343511.94774839003</v>
      </c>
      <c r="D65" s="44">
        <v>2047544.090515</v>
      </c>
    </row>
    <row r="66" spans="1:4" x14ac:dyDescent="0.4">
      <c r="A66" s="6">
        <v>490.86</v>
      </c>
      <c r="B66" s="44">
        <v>337709.94038196001</v>
      </c>
      <c r="C66" s="44">
        <v>343248.74775560002</v>
      </c>
      <c r="D66" s="44">
        <v>2044165.7631326001</v>
      </c>
    </row>
    <row r="67" spans="1:4" x14ac:dyDescent="0.4">
      <c r="A67" s="6">
        <v>490.85</v>
      </c>
      <c r="B67" s="44">
        <v>337459.45293322997</v>
      </c>
      <c r="C67" s="44">
        <v>342985.80535396002</v>
      </c>
      <c r="D67" s="44">
        <v>2040789.9433728999</v>
      </c>
    </row>
    <row r="68" spans="1:4" x14ac:dyDescent="0.4">
      <c r="A68" s="6">
        <v>490.84</v>
      </c>
      <c r="B68" s="44">
        <v>337208.79519998998</v>
      </c>
      <c r="C68" s="44">
        <v>342722.75001358998</v>
      </c>
      <c r="D68" s="44">
        <v>2037416.6519801</v>
      </c>
    </row>
    <row r="69" spans="1:4" x14ac:dyDescent="0.4">
      <c r="A69" s="6">
        <v>490.83</v>
      </c>
      <c r="B69" s="44">
        <v>336957.13016018999</v>
      </c>
      <c r="C69" s="44">
        <v>342458.76157038001</v>
      </c>
      <c r="D69" s="44">
        <v>2034045.9350223001</v>
      </c>
    </row>
    <row r="70" spans="1:4" x14ac:dyDescent="0.4">
      <c r="A70" s="6">
        <v>490.82</v>
      </c>
      <c r="B70" s="44">
        <v>336702.43073283997</v>
      </c>
      <c r="C70" s="44">
        <v>342191.84244779003</v>
      </c>
      <c r="D70" s="44">
        <v>2030677.7810974</v>
      </c>
    </row>
    <row r="71" spans="1:4" x14ac:dyDescent="0.4">
      <c r="A71" s="6">
        <v>490.81</v>
      </c>
      <c r="B71" s="44">
        <v>336437.51978530001</v>
      </c>
      <c r="C71" s="44">
        <v>341914.85777583998</v>
      </c>
      <c r="D71" s="44">
        <v>2027312.1787779001</v>
      </c>
    </row>
    <row r="72" spans="1:4" x14ac:dyDescent="0.4">
      <c r="A72" s="6">
        <v>490.8</v>
      </c>
      <c r="B72" s="44">
        <v>336040.58872121002</v>
      </c>
      <c r="C72" s="44">
        <v>341506.09894121002</v>
      </c>
      <c r="D72" s="44">
        <v>2023949.5565116</v>
      </c>
    </row>
    <row r="73" spans="1:4" x14ac:dyDescent="0.4">
      <c r="A73" s="6">
        <v>490.79</v>
      </c>
      <c r="B73" s="44">
        <v>334456.16375571</v>
      </c>
      <c r="C73" s="44">
        <v>339910.00982648</v>
      </c>
      <c r="D73" s="44">
        <v>2020603.1341386</v>
      </c>
    </row>
    <row r="74" spans="1:4" x14ac:dyDescent="0.4">
      <c r="A74" s="6">
        <v>490.78</v>
      </c>
      <c r="B74" s="44">
        <v>334190.35490181</v>
      </c>
      <c r="C74" s="44">
        <v>339632.51498277998</v>
      </c>
      <c r="D74" s="44">
        <v>2017259.9092401001</v>
      </c>
    </row>
    <row r="75" spans="1:4" x14ac:dyDescent="0.4">
      <c r="A75" s="6">
        <v>490.77</v>
      </c>
      <c r="B75" s="44">
        <v>333930.74267799</v>
      </c>
      <c r="C75" s="44">
        <v>339361.24290688999</v>
      </c>
      <c r="D75" s="44">
        <v>2013919.2603499</v>
      </c>
    </row>
    <row r="76" spans="1:4" x14ac:dyDescent="0.4">
      <c r="A76" s="6">
        <v>490.76</v>
      </c>
      <c r="B76" s="44">
        <v>333672.781885</v>
      </c>
      <c r="C76" s="44">
        <v>339091.64833643998</v>
      </c>
      <c r="D76" s="44">
        <v>2010581.2500636</v>
      </c>
    </row>
    <row r="77" spans="1:4" x14ac:dyDescent="0.4">
      <c r="A77" s="6">
        <v>490.75</v>
      </c>
      <c r="B77" s="44">
        <v>333415.44873490999</v>
      </c>
      <c r="C77" s="44">
        <v>338822.70468114002</v>
      </c>
      <c r="D77" s="44">
        <v>2007245.8198293999</v>
      </c>
    </row>
    <row r="78" spans="1:4" x14ac:dyDescent="0.4">
      <c r="A78" s="6">
        <v>490.74</v>
      </c>
      <c r="B78" s="44">
        <v>333158.75248296</v>
      </c>
      <c r="C78" s="44">
        <v>338554.41607993998</v>
      </c>
      <c r="D78" s="44">
        <v>2003912.9959539</v>
      </c>
    </row>
    <row r="79" spans="1:4" x14ac:dyDescent="0.4">
      <c r="A79" s="6">
        <v>490.73</v>
      </c>
      <c r="B79" s="44">
        <v>332902.74898032</v>
      </c>
      <c r="C79" s="44">
        <v>338286.8316112</v>
      </c>
      <c r="D79" s="44">
        <v>2000582.7320868</v>
      </c>
    </row>
    <row r="80" spans="1:4" x14ac:dyDescent="0.4">
      <c r="A80" s="6">
        <v>490.72</v>
      </c>
      <c r="B80" s="44">
        <v>332647.33418641001</v>
      </c>
      <c r="C80" s="44">
        <v>338019.84132493002</v>
      </c>
      <c r="D80" s="44">
        <v>1997254.9834962999</v>
      </c>
    </row>
    <row r="81" spans="1:4" x14ac:dyDescent="0.4">
      <c r="A81" s="6">
        <v>490.71</v>
      </c>
      <c r="B81" s="44">
        <v>332392.63899860001</v>
      </c>
      <c r="C81" s="44">
        <v>337753.5716504</v>
      </c>
      <c r="D81" s="44">
        <v>1993929.7929346999</v>
      </c>
    </row>
    <row r="82" spans="1:4" x14ac:dyDescent="0.4">
      <c r="A82" s="6">
        <v>490.7</v>
      </c>
      <c r="B82" s="44">
        <v>332138.54721019999</v>
      </c>
      <c r="C82" s="44">
        <v>337487.90915244003</v>
      </c>
      <c r="D82" s="44">
        <v>1990607.1617972001</v>
      </c>
    </row>
    <row r="83" spans="1:4" x14ac:dyDescent="0.4">
      <c r="A83" s="6">
        <v>490.69</v>
      </c>
      <c r="B83" s="44">
        <v>331885.14077538002</v>
      </c>
      <c r="C83" s="44">
        <v>337222.94139769999</v>
      </c>
      <c r="D83" s="44">
        <v>1987287.0272895</v>
      </c>
    </row>
    <row r="84" spans="1:4" x14ac:dyDescent="0.4">
      <c r="A84" s="6">
        <v>490.68</v>
      </c>
      <c r="B84" s="44">
        <v>331632.48394641001</v>
      </c>
      <c r="C84" s="44">
        <v>336958.73243644001</v>
      </c>
      <c r="D84" s="44">
        <v>1983969.5057343</v>
      </c>
    </row>
    <row r="85" spans="1:4" x14ac:dyDescent="0.4">
      <c r="A85" s="6">
        <v>490.67</v>
      </c>
      <c r="B85" s="44">
        <v>331380.36511666997</v>
      </c>
      <c r="C85" s="44">
        <v>336695.07425940002</v>
      </c>
      <c r="D85" s="44">
        <v>1980654.5295861999</v>
      </c>
    </row>
    <row r="86" spans="1:4" x14ac:dyDescent="0.4">
      <c r="A86" s="6">
        <v>490.66</v>
      </c>
      <c r="B86" s="44">
        <v>331128.81659170002</v>
      </c>
      <c r="C86" s="44">
        <v>336432.00554186001</v>
      </c>
      <c r="D86" s="44">
        <v>1977342.0785176</v>
      </c>
    </row>
    <row r="87" spans="1:4" x14ac:dyDescent="0.4">
      <c r="A87" s="6">
        <v>490.65</v>
      </c>
      <c r="B87" s="44">
        <v>330877.43216357997</v>
      </c>
      <c r="C87" s="44">
        <v>336169.1288372</v>
      </c>
      <c r="D87" s="44">
        <v>1974032.1074234999</v>
      </c>
    </row>
    <row r="88" spans="1:4" x14ac:dyDescent="0.4">
      <c r="A88" s="6">
        <v>490.64</v>
      </c>
      <c r="B88" s="44">
        <v>330625.79234555998</v>
      </c>
      <c r="C88" s="44">
        <v>335906.04240024003</v>
      </c>
      <c r="D88" s="44">
        <v>1970724.6477868999</v>
      </c>
    </row>
    <row r="89" spans="1:4" x14ac:dyDescent="0.4">
      <c r="A89" s="6">
        <v>490.63</v>
      </c>
      <c r="B89" s="44">
        <v>330372.67015513999</v>
      </c>
      <c r="C89" s="44">
        <v>335641.53881217999</v>
      </c>
      <c r="D89" s="44">
        <v>1967419.7138497001</v>
      </c>
    </row>
    <row r="90" spans="1:4" x14ac:dyDescent="0.4">
      <c r="A90" s="6">
        <v>490.62</v>
      </c>
      <c r="B90" s="44">
        <v>330115.04078377999</v>
      </c>
      <c r="C90" s="44">
        <v>335372.62312071997</v>
      </c>
      <c r="D90" s="44">
        <v>1964117.3706068001</v>
      </c>
    </row>
    <row r="91" spans="1:4" x14ac:dyDescent="0.4">
      <c r="A91" s="6">
        <v>490.61</v>
      </c>
      <c r="B91" s="44">
        <v>329843.10720555001</v>
      </c>
      <c r="C91" s="44">
        <v>335089.56040955998</v>
      </c>
      <c r="D91" s="44">
        <v>1960817.7316209001</v>
      </c>
    </row>
    <row r="92" spans="1:4" x14ac:dyDescent="0.4">
      <c r="A92" s="6">
        <v>490.6</v>
      </c>
      <c r="B92" s="44">
        <v>328304.14930813003</v>
      </c>
      <c r="C92" s="44">
        <v>333539.76065246999</v>
      </c>
      <c r="D92" s="44">
        <v>1957520.9234</v>
      </c>
    </row>
    <row r="93" spans="1:4" x14ac:dyDescent="0.4">
      <c r="A93" s="6">
        <v>490.59</v>
      </c>
      <c r="B93" s="44">
        <v>327933.31413129001</v>
      </c>
      <c r="C93" s="44">
        <v>333158.35387019999</v>
      </c>
      <c r="D93" s="44">
        <v>1954239.9708648999</v>
      </c>
    </row>
    <row r="94" spans="1:4" x14ac:dyDescent="0.4">
      <c r="A94" s="6">
        <v>490.58</v>
      </c>
      <c r="B94" s="44">
        <v>327667.19117299002</v>
      </c>
      <c r="C94" s="44">
        <v>332881.61262109998</v>
      </c>
      <c r="D94" s="44">
        <v>1950962.0048912</v>
      </c>
    </row>
    <row r="95" spans="1:4" x14ac:dyDescent="0.4">
      <c r="A95" s="6">
        <v>490.57</v>
      </c>
      <c r="B95" s="44">
        <v>327405.55484290002</v>
      </c>
      <c r="C95" s="44">
        <v>332609.35424149001</v>
      </c>
      <c r="D95" s="44">
        <v>1947686.5958455999</v>
      </c>
    </row>
    <row r="96" spans="1:4" x14ac:dyDescent="0.4">
      <c r="A96" s="6">
        <v>490.56</v>
      </c>
      <c r="B96" s="44">
        <v>327145.07855089998</v>
      </c>
      <c r="C96" s="44">
        <v>332338.25114415999</v>
      </c>
      <c r="D96" s="44">
        <v>1944413.8610723999</v>
      </c>
    </row>
    <row r="97" spans="1:4" x14ac:dyDescent="0.4">
      <c r="A97" s="6">
        <v>490.55</v>
      </c>
      <c r="B97" s="44">
        <v>326885.02308820002</v>
      </c>
      <c r="C97" s="44">
        <v>332067.56211214</v>
      </c>
      <c r="D97" s="44">
        <v>1941143.7357828999</v>
      </c>
    </row>
    <row r="98" spans="1:4" x14ac:dyDescent="0.4">
      <c r="A98" s="6">
        <v>490.54</v>
      </c>
      <c r="B98" s="44">
        <v>326625.2604881</v>
      </c>
      <c r="C98" s="44">
        <v>331797.15932946</v>
      </c>
      <c r="D98" s="44">
        <v>1937876.1869852999</v>
      </c>
    </row>
    <row r="99" spans="1:4" x14ac:dyDescent="0.4">
      <c r="A99" s="6">
        <v>490.53</v>
      </c>
      <c r="B99" s="44">
        <v>326365.66345176002</v>
      </c>
      <c r="C99" s="44">
        <v>331526.91691099002</v>
      </c>
      <c r="D99" s="44">
        <v>1934611.1929909</v>
      </c>
    </row>
    <row r="100" spans="1:4" x14ac:dyDescent="0.4">
      <c r="A100" s="6">
        <v>490.52</v>
      </c>
      <c r="B100" s="44">
        <v>326106.29139502998</v>
      </c>
      <c r="C100" s="44">
        <v>331256.89304375998</v>
      </c>
      <c r="D100" s="44">
        <v>1931348.8182196</v>
      </c>
    </row>
    <row r="101" spans="1:4" x14ac:dyDescent="0.4">
      <c r="A101" s="6">
        <v>490.51</v>
      </c>
      <c r="B101" s="44">
        <v>325847.14215107</v>
      </c>
      <c r="C101" s="44">
        <v>330987.08401093999</v>
      </c>
      <c r="D101" s="44">
        <v>1928089.0695133</v>
      </c>
    </row>
    <row r="102" spans="1:4" x14ac:dyDescent="0.4">
      <c r="A102" s="6">
        <v>490.5</v>
      </c>
      <c r="B102" s="44">
        <v>325588.17431893997</v>
      </c>
      <c r="C102" s="44">
        <v>330717.44662313</v>
      </c>
      <c r="D102" s="44">
        <v>1924831.9059820999</v>
      </c>
    </row>
    <row r="103" spans="1:4" x14ac:dyDescent="0.4">
      <c r="A103" s="6">
        <v>490.49</v>
      </c>
      <c r="B103" s="44">
        <v>325329.53681150998</v>
      </c>
      <c r="C103" s="44">
        <v>330448.13197841001</v>
      </c>
      <c r="D103" s="44">
        <v>1921577.3328207</v>
      </c>
    </row>
    <row r="104" spans="1:4" x14ac:dyDescent="0.4">
      <c r="A104" s="6">
        <v>490.48</v>
      </c>
      <c r="B104" s="44">
        <v>325070.96122757997</v>
      </c>
      <c r="C104" s="44">
        <v>330178.87365840998</v>
      </c>
      <c r="D104" s="44">
        <v>1918325.2594951999</v>
      </c>
    </row>
    <row r="105" spans="1:4" x14ac:dyDescent="0.4">
      <c r="A105" s="6">
        <v>490.47</v>
      </c>
      <c r="B105" s="44">
        <v>324812.56339070998</v>
      </c>
      <c r="C105" s="44">
        <v>329909.78910195001</v>
      </c>
      <c r="D105" s="44">
        <v>1915075.8372718</v>
      </c>
    </row>
    <row r="106" spans="1:4" x14ac:dyDescent="0.4">
      <c r="A106" s="6">
        <v>490.46</v>
      </c>
      <c r="B106" s="44">
        <v>324554.23746431002</v>
      </c>
      <c r="C106" s="44">
        <v>329640.76873517002</v>
      </c>
      <c r="D106" s="44">
        <v>1911828.9223908</v>
      </c>
    </row>
    <row r="107" spans="1:4" x14ac:dyDescent="0.4">
      <c r="A107" s="6">
        <v>490.45</v>
      </c>
      <c r="B107" s="44">
        <v>324296.19840637001</v>
      </c>
      <c r="C107" s="44">
        <v>329372.02358913003</v>
      </c>
      <c r="D107" s="44">
        <v>1908584.6045798</v>
      </c>
    </row>
    <row r="108" spans="1:4" x14ac:dyDescent="0.4">
      <c r="A108" s="6">
        <v>490.44</v>
      </c>
      <c r="B108" s="44">
        <v>324038.37448736001</v>
      </c>
      <c r="C108" s="44">
        <v>329103.48172679002</v>
      </c>
      <c r="D108" s="44">
        <v>1905342.9537076</v>
      </c>
    </row>
    <row r="109" spans="1:4" x14ac:dyDescent="0.4">
      <c r="A109" s="6">
        <v>490.43</v>
      </c>
      <c r="B109" s="44">
        <v>323780.31346262002</v>
      </c>
      <c r="C109" s="44">
        <v>328834.69650193001</v>
      </c>
      <c r="D109" s="44">
        <v>1902103.8861231001</v>
      </c>
    </row>
    <row r="110" spans="1:4" x14ac:dyDescent="0.4">
      <c r="A110" s="6">
        <v>490.42</v>
      </c>
      <c r="B110" s="44">
        <v>323520.96327170997</v>
      </c>
      <c r="C110" s="44">
        <v>328564.61501970002</v>
      </c>
      <c r="D110" s="44">
        <v>1898867.3732509001</v>
      </c>
    </row>
    <row r="111" spans="1:4" x14ac:dyDescent="0.4">
      <c r="A111" s="6">
        <v>490.41</v>
      </c>
      <c r="B111" s="44">
        <v>323254.77032682003</v>
      </c>
      <c r="C111" s="44">
        <v>328287.69285594003</v>
      </c>
      <c r="D111" s="44">
        <v>1895633.4937094001</v>
      </c>
    </row>
    <row r="112" spans="1:4" x14ac:dyDescent="0.4">
      <c r="A112" s="6">
        <v>490.4</v>
      </c>
      <c r="B112" s="44">
        <v>322850.90351738001</v>
      </c>
      <c r="C112" s="44">
        <v>327873.17375458003</v>
      </c>
      <c r="D112" s="44">
        <v>1892402.5259835001</v>
      </c>
    </row>
    <row r="113" spans="1:4" x14ac:dyDescent="0.4">
      <c r="A113" s="6">
        <v>490.39</v>
      </c>
      <c r="B113" s="44">
        <v>321169.48549547</v>
      </c>
      <c r="C113" s="44">
        <v>326180.98925863998</v>
      </c>
      <c r="D113" s="44">
        <v>1889188.8624723</v>
      </c>
    </row>
    <row r="114" spans="1:4" x14ac:dyDescent="0.4">
      <c r="A114" s="6">
        <v>490.38</v>
      </c>
      <c r="B114" s="44">
        <v>320922.74637302</v>
      </c>
      <c r="C114" s="44">
        <v>325923.23154432001</v>
      </c>
      <c r="D114" s="44">
        <v>1885978.3210376</v>
      </c>
    </row>
    <row r="115" spans="1:4" x14ac:dyDescent="0.4">
      <c r="A115" s="6">
        <v>490.37</v>
      </c>
      <c r="B115" s="44">
        <v>320688.93035425001</v>
      </c>
      <c r="C115" s="44">
        <v>325678.25378093001</v>
      </c>
      <c r="D115" s="44">
        <v>1882770.2680796999</v>
      </c>
    </row>
    <row r="116" spans="1:4" x14ac:dyDescent="0.4">
      <c r="A116" s="6">
        <v>490.36</v>
      </c>
      <c r="B116" s="44">
        <v>320459.38467628002</v>
      </c>
      <c r="C116" s="44">
        <v>325437.45166274998</v>
      </c>
      <c r="D116" s="44">
        <v>1879564.5511644999</v>
      </c>
    </row>
    <row r="117" spans="1:4" x14ac:dyDescent="0.4">
      <c r="A117" s="6">
        <v>490.35</v>
      </c>
      <c r="B117" s="44">
        <v>320232.25391718</v>
      </c>
      <c r="C117" s="44">
        <v>325198.99067082</v>
      </c>
      <c r="D117" s="44">
        <v>1876361.0360789001</v>
      </c>
    </row>
    <row r="118" spans="1:4" x14ac:dyDescent="0.4">
      <c r="A118" s="6">
        <v>490.34</v>
      </c>
      <c r="B118" s="44">
        <v>320006.80870925001</v>
      </c>
      <c r="C118" s="44">
        <v>324962.16042675998</v>
      </c>
      <c r="D118" s="44">
        <v>1873159.8403145</v>
      </c>
    </row>
    <row r="119" spans="1:4" x14ac:dyDescent="0.4">
      <c r="A119" s="6">
        <v>490.33</v>
      </c>
      <c r="B119" s="44">
        <v>319782.64968491002</v>
      </c>
      <c r="C119" s="44">
        <v>324726.57383235003</v>
      </c>
      <c r="D119" s="44">
        <v>1869960.8721248</v>
      </c>
    </row>
    <row r="120" spans="1:4" x14ac:dyDescent="0.4">
      <c r="A120" s="6">
        <v>490.32</v>
      </c>
      <c r="B120" s="44">
        <v>319559.53947888</v>
      </c>
      <c r="C120" s="44">
        <v>324492.00281366002</v>
      </c>
      <c r="D120" s="44">
        <v>1866764.1746505001</v>
      </c>
    </row>
    <row r="121" spans="1:4" x14ac:dyDescent="0.4">
      <c r="A121" s="6">
        <v>490.31</v>
      </c>
      <c r="B121" s="44">
        <v>319337.45160134998</v>
      </c>
      <c r="C121" s="44">
        <v>324258.42899360001</v>
      </c>
      <c r="D121" s="44">
        <v>1863569.6882728001</v>
      </c>
    </row>
    <row r="122" spans="1:4" x14ac:dyDescent="0.4">
      <c r="A122" s="6">
        <v>490.3</v>
      </c>
      <c r="B122" s="44">
        <v>319116.11146963999</v>
      </c>
      <c r="C122" s="44">
        <v>324025.58344054001</v>
      </c>
      <c r="D122" s="44">
        <v>1860377.4493782001</v>
      </c>
    </row>
    <row r="123" spans="1:4" x14ac:dyDescent="0.4">
      <c r="A123" s="6">
        <v>490.29</v>
      </c>
      <c r="B123" s="44">
        <v>318895.49862695998</v>
      </c>
      <c r="C123" s="44">
        <v>323793.45032179001</v>
      </c>
      <c r="D123" s="44">
        <v>1857187.4190753</v>
      </c>
    </row>
    <row r="124" spans="1:4" x14ac:dyDescent="0.4">
      <c r="A124" s="6">
        <v>490.28</v>
      </c>
      <c r="B124" s="44">
        <v>318675.51763240999</v>
      </c>
      <c r="C124" s="44">
        <v>323561.94201055</v>
      </c>
      <c r="D124" s="44">
        <v>1853999.5281458001</v>
      </c>
    </row>
    <row r="125" spans="1:4" x14ac:dyDescent="0.4">
      <c r="A125" s="6">
        <v>490.27</v>
      </c>
      <c r="B125" s="44">
        <v>318456.17851873999</v>
      </c>
      <c r="C125" s="44">
        <v>323331.07232822001</v>
      </c>
      <c r="D125" s="44">
        <v>1850813.8687485</v>
      </c>
    </row>
    <row r="126" spans="1:4" x14ac:dyDescent="0.4">
      <c r="A126" s="6">
        <v>490.26</v>
      </c>
      <c r="B126" s="44">
        <v>318237.20207664999</v>
      </c>
      <c r="C126" s="44">
        <v>323100.56623827998</v>
      </c>
      <c r="D126" s="44">
        <v>1847630.4164268</v>
      </c>
    </row>
    <row r="127" spans="1:4" x14ac:dyDescent="0.4">
      <c r="A127" s="6">
        <v>490.25</v>
      </c>
      <c r="B127" s="44">
        <v>318018.65045343002</v>
      </c>
      <c r="C127" s="44">
        <v>322870.48857500998</v>
      </c>
      <c r="D127" s="44">
        <v>1844449.1287563001</v>
      </c>
    </row>
    <row r="128" spans="1:4" x14ac:dyDescent="0.4">
      <c r="A128" s="6">
        <v>490.24</v>
      </c>
      <c r="B128" s="44">
        <v>317800.07471131999</v>
      </c>
      <c r="C128" s="44">
        <v>322640.40455184999</v>
      </c>
      <c r="D128" s="44">
        <v>1841270.1013650999</v>
      </c>
    </row>
    <row r="129" spans="1:4" x14ac:dyDescent="0.4">
      <c r="A129" s="6">
        <v>490.23</v>
      </c>
      <c r="B129" s="44">
        <v>317580.14673743001</v>
      </c>
      <c r="C129" s="44">
        <v>322409.00736271997</v>
      </c>
      <c r="D129" s="44">
        <v>1838093.2536219</v>
      </c>
    </row>
    <row r="130" spans="1:4" x14ac:dyDescent="0.4">
      <c r="A130" s="6">
        <v>490.22</v>
      </c>
      <c r="B130" s="44">
        <v>317355.79962897999</v>
      </c>
      <c r="C130" s="44">
        <v>322173.25823838997</v>
      </c>
      <c r="D130" s="44">
        <v>1834918.6568183</v>
      </c>
    </row>
    <row r="131" spans="1:4" x14ac:dyDescent="0.4">
      <c r="A131" s="6">
        <v>490.21</v>
      </c>
      <c r="B131" s="44">
        <v>317117.27117674</v>
      </c>
      <c r="C131" s="44">
        <v>321923.44617924001</v>
      </c>
      <c r="D131" s="44">
        <v>1831746.3314547001</v>
      </c>
    </row>
    <row r="132" spans="1:4" x14ac:dyDescent="0.4">
      <c r="A132" s="6">
        <v>490.2</v>
      </c>
      <c r="B132" s="44">
        <v>315321.84388186003</v>
      </c>
      <c r="C132" s="44">
        <v>320116.97554146999</v>
      </c>
      <c r="D132" s="44">
        <v>1828576.6091322</v>
      </c>
    </row>
    <row r="133" spans="1:4" x14ac:dyDescent="0.4">
      <c r="A133" s="6">
        <v>490.19</v>
      </c>
      <c r="B133" s="44">
        <v>314985.29095639999</v>
      </c>
      <c r="C133" s="44">
        <v>319769.64608256001</v>
      </c>
      <c r="D133" s="44">
        <v>1825425.3189814</v>
      </c>
    </row>
    <row r="134" spans="1:4" x14ac:dyDescent="0.4">
      <c r="A134" s="6">
        <v>490.18</v>
      </c>
      <c r="B134" s="44">
        <v>314754.80334879999</v>
      </c>
      <c r="C134" s="44">
        <v>319528.30285475001</v>
      </c>
      <c r="D134" s="44">
        <v>1822276.6650491999</v>
      </c>
    </row>
    <row r="135" spans="1:4" x14ac:dyDescent="0.4">
      <c r="A135" s="6">
        <v>490.17</v>
      </c>
      <c r="B135" s="44">
        <v>314531.71502735</v>
      </c>
      <c r="C135" s="44">
        <v>319294.31954572001</v>
      </c>
      <c r="D135" s="44">
        <v>1819130.2569063001</v>
      </c>
    </row>
    <row r="136" spans="1:4" x14ac:dyDescent="0.4">
      <c r="A136" s="6">
        <v>490.16</v>
      </c>
      <c r="B136" s="44">
        <v>314312.10060568003</v>
      </c>
      <c r="C136" s="44">
        <v>319063.78908185998</v>
      </c>
      <c r="D136" s="44">
        <v>1815986.1206992001</v>
      </c>
    </row>
    <row r="137" spans="1:4" x14ac:dyDescent="0.4">
      <c r="A137" s="6">
        <v>490.15</v>
      </c>
      <c r="B137" s="44">
        <v>314095.25944717001</v>
      </c>
      <c r="C137" s="44">
        <v>318836.01442860998</v>
      </c>
      <c r="D137" s="44">
        <v>1812844.0720364</v>
      </c>
    </row>
    <row r="138" spans="1:4" x14ac:dyDescent="0.4">
      <c r="A138" s="6">
        <v>490.14</v>
      </c>
      <c r="B138" s="44">
        <v>313880.61339124001</v>
      </c>
      <c r="C138" s="44">
        <v>318610.42469149001</v>
      </c>
      <c r="D138" s="44">
        <v>1809704.1751995999</v>
      </c>
    </row>
    <row r="139" spans="1:4" x14ac:dyDescent="0.4">
      <c r="A139" s="6">
        <v>490.13</v>
      </c>
      <c r="B139" s="44">
        <v>313668.01564880001</v>
      </c>
      <c r="C139" s="44">
        <v>318386.87567053997</v>
      </c>
      <c r="D139" s="44">
        <v>1806566.4209614999</v>
      </c>
    </row>
    <row r="140" spans="1:4" x14ac:dyDescent="0.4">
      <c r="A140" s="6">
        <v>490.12</v>
      </c>
      <c r="B140" s="44">
        <v>313457.41778586002</v>
      </c>
      <c r="C140" s="44">
        <v>318165.32633923</v>
      </c>
      <c r="D140" s="44">
        <v>1803430.7613921</v>
      </c>
    </row>
    <row r="141" spans="1:4" x14ac:dyDescent="0.4">
      <c r="A141" s="6">
        <v>490.11</v>
      </c>
      <c r="B141" s="44">
        <v>313248.70322903001</v>
      </c>
      <c r="C141" s="44">
        <v>317945.66634891002</v>
      </c>
      <c r="D141" s="44">
        <v>1800297.2455358999</v>
      </c>
    </row>
    <row r="142" spans="1:4" x14ac:dyDescent="0.4">
      <c r="A142" s="6">
        <v>490.1</v>
      </c>
      <c r="B142" s="44">
        <v>313041.85312044999</v>
      </c>
      <c r="C142" s="44">
        <v>317727.87793556001</v>
      </c>
      <c r="D142" s="44">
        <v>1797165.7765730999</v>
      </c>
    </row>
    <row r="143" spans="1:4" x14ac:dyDescent="0.4">
      <c r="A143" s="6">
        <v>490.09</v>
      </c>
      <c r="B143" s="44">
        <v>312836.80828557</v>
      </c>
      <c r="C143" s="44">
        <v>317511.90621470002</v>
      </c>
      <c r="D143" s="44">
        <v>1794036.4193347001</v>
      </c>
    </row>
    <row r="144" spans="1:4" x14ac:dyDescent="0.4">
      <c r="A144" s="6">
        <v>490.08</v>
      </c>
      <c r="B144" s="44">
        <v>312633.50058753998</v>
      </c>
      <c r="C144" s="44">
        <v>317297.68851079</v>
      </c>
      <c r="D144" s="44">
        <v>1790909.1200431001</v>
      </c>
    </row>
    <row r="145" spans="1:4" x14ac:dyDescent="0.4">
      <c r="A145" s="6">
        <v>490.07</v>
      </c>
      <c r="B145" s="44">
        <v>312431.91614937998</v>
      </c>
      <c r="C145" s="44">
        <v>317085.21598029003</v>
      </c>
      <c r="D145" s="44">
        <v>1787783.8828942999</v>
      </c>
    </row>
    <row r="146" spans="1:4" x14ac:dyDescent="0.4">
      <c r="A146" s="6">
        <v>490.06</v>
      </c>
      <c r="B146" s="44">
        <v>312232.01997993002</v>
      </c>
      <c r="C146" s="44">
        <v>316874.45766736998</v>
      </c>
      <c r="D146" s="44">
        <v>1784660.6460547</v>
      </c>
    </row>
    <row r="147" spans="1:4" x14ac:dyDescent="0.4">
      <c r="A147" s="6">
        <v>490.05</v>
      </c>
      <c r="B147" s="44">
        <v>312033.48620615999</v>
      </c>
      <c r="C147" s="44">
        <v>316665.09337486001</v>
      </c>
      <c r="D147" s="44">
        <v>1781539.4187105999</v>
      </c>
    </row>
    <row r="148" spans="1:4" x14ac:dyDescent="0.4">
      <c r="A148" s="6">
        <v>490.04</v>
      </c>
      <c r="B148" s="44">
        <v>311835.94864282</v>
      </c>
      <c r="C148" s="44">
        <v>316456.77004738001</v>
      </c>
      <c r="D148" s="44">
        <v>1778420.125093</v>
      </c>
    </row>
    <row r="149" spans="1:4" x14ac:dyDescent="0.4">
      <c r="A149" s="6">
        <v>490.03</v>
      </c>
      <c r="B149" s="44">
        <v>311638.60947079997</v>
      </c>
      <c r="C149" s="44">
        <v>316248.70847767999</v>
      </c>
      <c r="D149" s="44">
        <v>1775302.8732425999</v>
      </c>
    </row>
    <row r="150" spans="1:4" x14ac:dyDescent="0.4">
      <c r="A150" s="6">
        <v>490.02</v>
      </c>
      <c r="B150" s="44">
        <v>311439.00234005001</v>
      </c>
      <c r="C150" s="44">
        <v>316038.46935095999</v>
      </c>
      <c r="D150" s="44">
        <v>1772187.5765015001</v>
      </c>
    </row>
    <row r="151" spans="1:4" x14ac:dyDescent="0.4">
      <c r="A151" s="6">
        <v>490.01</v>
      </c>
      <c r="B151" s="44">
        <v>311228.82997707999</v>
      </c>
      <c r="C151" s="44">
        <v>315817.80603292002</v>
      </c>
      <c r="D151" s="44">
        <v>1769074.3531835999</v>
      </c>
    </row>
    <row r="152" spans="1:4" x14ac:dyDescent="0.4">
      <c r="A152" s="6">
        <v>490</v>
      </c>
      <c r="B152" s="44">
        <v>310873.10328699002</v>
      </c>
      <c r="C152" s="44">
        <v>315451.85337180999</v>
      </c>
      <c r="D152" s="44">
        <v>1765963.5882999001</v>
      </c>
    </row>
    <row r="153" spans="1:4" x14ac:dyDescent="0.4">
      <c r="A153" s="6">
        <v>489.99</v>
      </c>
      <c r="B153" s="44">
        <v>309723.08514618</v>
      </c>
      <c r="C153" s="44">
        <v>314291.96234978002</v>
      </c>
      <c r="D153" s="44">
        <v>1762865.1589162999</v>
      </c>
    </row>
    <row r="154" spans="1:4" x14ac:dyDescent="0.4">
      <c r="A154" s="6">
        <v>489.98</v>
      </c>
      <c r="B154" s="44">
        <v>309549.18200854998</v>
      </c>
      <c r="C154" s="44">
        <v>314108.16425153997</v>
      </c>
      <c r="D154" s="44">
        <v>1759768.7362510001</v>
      </c>
    </row>
    <row r="155" spans="1:4" x14ac:dyDescent="0.4">
      <c r="A155" s="6">
        <v>489.97</v>
      </c>
      <c r="B155" s="44">
        <v>309379.56946447998</v>
      </c>
      <c r="C155" s="44">
        <v>313928.66438471002</v>
      </c>
      <c r="D155" s="44">
        <v>1756674.0791535999</v>
      </c>
    </row>
    <row r="156" spans="1:4" x14ac:dyDescent="0.4">
      <c r="A156" s="6">
        <v>489.96</v>
      </c>
      <c r="B156" s="44">
        <v>309211.16978161997</v>
      </c>
      <c r="C156" s="44">
        <v>313750.39529144001</v>
      </c>
      <c r="D156" s="44">
        <v>1753581.1481608001</v>
      </c>
    </row>
    <row r="157" spans="1:4" x14ac:dyDescent="0.4">
      <c r="A157" s="6">
        <v>489.95</v>
      </c>
      <c r="B157" s="44">
        <v>309043.52449500997</v>
      </c>
      <c r="C157" s="44">
        <v>313572.90000556002</v>
      </c>
      <c r="D157" s="44">
        <v>1750489.8990714001</v>
      </c>
    </row>
    <row r="158" spans="1:4" x14ac:dyDescent="0.4">
      <c r="A158" s="6">
        <v>489.94</v>
      </c>
      <c r="B158" s="44">
        <v>308876.43339088</v>
      </c>
      <c r="C158" s="44">
        <v>313395.97776987002</v>
      </c>
      <c r="D158" s="44">
        <v>1747400.294549</v>
      </c>
    </row>
    <row r="159" spans="1:4" x14ac:dyDescent="0.4">
      <c r="A159" s="6">
        <v>489.93</v>
      </c>
      <c r="B159" s="44">
        <v>308709.80517185002</v>
      </c>
      <c r="C159" s="44">
        <v>313219.53859353001</v>
      </c>
      <c r="D159" s="44">
        <v>1744312.3770924001</v>
      </c>
    </row>
    <row r="160" spans="1:4" x14ac:dyDescent="0.4">
      <c r="A160" s="6">
        <v>489.92</v>
      </c>
      <c r="B160" s="44">
        <v>308543.73717881</v>
      </c>
      <c r="C160" s="44">
        <v>313043.67627960001</v>
      </c>
      <c r="D160" s="44">
        <v>1741226.0555606</v>
      </c>
    </row>
    <row r="161" spans="1:4" x14ac:dyDescent="0.4">
      <c r="A161" s="6">
        <v>489.91</v>
      </c>
      <c r="B161" s="44">
        <v>308378.16819031001</v>
      </c>
      <c r="C161" s="44">
        <v>312868.33197205001</v>
      </c>
      <c r="D161" s="44">
        <v>1738141.5165156999</v>
      </c>
    </row>
    <row r="162" spans="1:4" x14ac:dyDescent="0.4">
      <c r="A162" s="6">
        <v>489.9</v>
      </c>
      <c r="B162" s="44">
        <v>308212.99207225</v>
      </c>
      <c r="C162" s="44">
        <v>312693.40051918</v>
      </c>
      <c r="D162" s="44">
        <v>1735058.5729155</v>
      </c>
    </row>
    <row r="163" spans="1:4" x14ac:dyDescent="0.4">
      <c r="A163" s="6">
        <v>489.89</v>
      </c>
      <c r="B163" s="44">
        <v>308048.30701076001</v>
      </c>
      <c r="C163" s="44">
        <v>312518.98199812003</v>
      </c>
      <c r="D163" s="44">
        <v>1731977.2619970001</v>
      </c>
    </row>
    <row r="164" spans="1:4" x14ac:dyDescent="0.4">
      <c r="A164" s="6">
        <v>489.88</v>
      </c>
      <c r="B164" s="44">
        <v>307884.01495713001</v>
      </c>
      <c r="C164" s="44">
        <v>312344.98163951997</v>
      </c>
      <c r="D164" s="44">
        <v>1728897.6614808999</v>
      </c>
    </row>
    <row r="165" spans="1:4" x14ac:dyDescent="0.4">
      <c r="A165" s="6">
        <v>489.87</v>
      </c>
      <c r="B165" s="44">
        <v>307720.13189096999</v>
      </c>
      <c r="C165" s="44">
        <v>312171.41862011002</v>
      </c>
      <c r="D165" s="44">
        <v>1725819.6938243001</v>
      </c>
    </row>
    <row r="166" spans="1:4" x14ac:dyDescent="0.4">
      <c r="A166" s="6">
        <v>489.86</v>
      </c>
      <c r="B166" s="44">
        <v>307556.42993468</v>
      </c>
      <c r="C166" s="44">
        <v>311998.07104698999</v>
      </c>
      <c r="D166" s="44">
        <v>1722743.3880805001</v>
      </c>
    </row>
    <row r="167" spans="1:4" x14ac:dyDescent="0.4">
      <c r="A167" s="6">
        <v>489.85</v>
      </c>
      <c r="B167" s="44">
        <v>307392.93448221002</v>
      </c>
      <c r="C167" s="44">
        <v>311824.96909297002</v>
      </c>
      <c r="D167" s="44">
        <v>1719668.7023854</v>
      </c>
    </row>
    <row r="168" spans="1:4" x14ac:dyDescent="0.4">
      <c r="A168" s="6">
        <v>489.84</v>
      </c>
      <c r="B168" s="44">
        <v>307229.23397305998</v>
      </c>
      <c r="C168" s="44">
        <v>311651.71286928997</v>
      </c>
      <c r="D168" s="44">
        <v>1716595.6600502999</v>
      </c>
    </row>
    <row r="169" spans="1:4" x14ac:dyDescent="0.4">
      <c r="A169" s="6">
        <v>489.83</v>
      </c>
      <c r="B169" s="44">
        <v>307064.80832528003</v>
      </c>
      <c r="C169" s="44">
        <v>311477.79807627999</v>
      </c>
      <c r="D169" s="44">
        <v>1713524.2337414999</v>
      </c>
    </row>
    <row r="170" spans="1:4" x14ac:dyDescent="0.4">
      <c r="A170" s="6">
        <v>489.82</v>
      </c>
      <c r="B170" s="44">
        <v>306897.98371017998</v>
      </c>
      <c r="C170" s="44">
        <v>311301.56955260999</v>
      </c>
      <c r="D170" s="44">
        <v>1710454.4363394</v>
      </c>
    </row>
    <row r="171" spans="1:4" x14ac:dyDescent="0.4">
      <c r="A171" s="6">
        <v>489.81</v>
      </c>
      <c r="B171" s="44">
        <v>306724.20454713999</v>
      </c>
      <c r="C171" s="44">
        <v>311118.50277486001</v>
      </c>
      <c r="D171" s="44">
        <v>1707386.3914466</v>
      </c>
    </row>
    <row r="172" spans="1:4" x14ac:dyDescent="0.4">
      <c r="A172" s="6">
        <v>489.8</v>
      </c>
      <c r="B172" s="44">
        <v>306471.52273604</v>
      </c>
      <c r="C172" s="44">
        <v>310856.71609544999</v>
      </c>
      <c r="D172" s="44">
        <v>1704320.2680112999</v>
      </c>
    </row>
    <row r="173" spans="1:4" x14ac:dyDescent="0.4">
      <c r="A173" s="6">
        <v>489.79</v>
      </c>
      <c r="B173" s="44">
        <v>305320.35851224</v>
      </c>
      <c r="C173" s="44">
        <v>309696.64513575</v>
      </c>
      <c r="D173" s="44">
        <v>1701265.987282</v>
      </c>
    </row>
    <row r="174" spans="1:4" x14ac:dyDescent="0.4">
      <c r="A174" s="6">
        <v>489.78</v>
      </c>
      <c r="B174" s="44">
        <v>305156.85341689998</v>
      </c>
      <c r="C174" s="44">
        <v>309524.23501320003</v>
      </c>
      <c r="D174" s="44">
        <v>1698213.6426939999</v>
      </c>
    </row>
    <row r="175" spans="1:4" x14ac:dyDescent="0.4">
      <c r="A175" s="6">
        <v>489.77</v>
      </c>
      <c r="B175" s="44">
        <v>304996.58932229999</v>
      </c>
      <c r="C175" s="44">
        <v>309355.08648107998</v>
      </c>
      <c r="D175" s="44">
        <v>1695162.8519716</v>
      </c>
    </row>
    <row r="176" spans="1:4" x14ac:dyDescent="0.4">
      <c r="A176" s="6">
        <v>489.76</v>
      </c>
      <c r="B176" s="44">
        <v>304837.6529778</v>
      </c>
      <c r="C176" s="44">
        <v>309187.29194685002</v>
      </c>
      <c r="D176" s="44">
        <v>1692113.6615758</v>
      </c>
    </row>
    <row r="177" spans="1:4" x14ac:dyDescent="0.4">
      <c r="A177" s="6">
        <v>489.75</v>
      </c>
      <c r="B177" s="44">
        <v>304679.54193439003</v>
      </c>
      <c r="C177" s="44">
        <v>309020.34433857998</v>
      </c>
      <c r="D177" s="44">
        <v>1689066.0691296</v>
      </c>
    </row>
    <row r="178" spans="1:4" x14ac:dyDescent="0.4">
      <c r="A178" s="6">
        <v>489.74</v>
      </c>
      <c r="B178" s="44">
        <v>304522.16932416998</v>
      </c>
      <c r="C178" s="44">
        <v>308854.15246899001</v>
      </c>
      <c r="D178" s="44">
        <v>1686020.0677447999</v>
      </c>
    </row>
    <row r="179" spans="1:4" x14ac:dyDescent="0.4">
      <c r="A179" s="6">
        <v>489.73</v>
      </c>
      <c r="B179" s="44">
        <v>304365.68827535002</v>
      </c>
      <c r="C179" s="44">
        <v>308688.86637588998</v>
      </c>
      <c r="D179" s="44">
        <v>1682975.6527668999</v>
      </c>
    </row>
    <row r="180" spans="1:4" x14ac:dyDescent="0.4">
      <c r="A180" s="6">
        <v>489.72</v>
      </c>
      <c r="B180" s="44">
        <v>304209.99183712999</v>
      </c>
      <c r="C180" s="44">
        <v>308524.37919995998</v>
      </c>
      <c r="D180" s="44">
        <v>1679932.8392743</v>
      </c>
    </row>
    <row r="181" spans="1:4" x14ac:dyDescent="0.4">
      <c r="A181" s="6">
        <v>489.71</v>
      </c>
      <c r="B181" s="44">
        <v>304055.10530310997</v>
      </c>
      <c r="C181" s="44">
        <v>308360.71577983</v>
      </c>
      <c r="D181" s="44">
        <v>1676891.4600323001</v>
      </c>
    </row>
    <row r="182" spans="1:4" x14ac:dyDescent="0.4">
      <c r="A182" s="6">
        <v>489.7</v>
      </c>
      <c r="B182" s="44">
        <v>303901.08838575002</v>
      </c>
      <c r="C182" s="44">
        <v>308197.93688568001</v>
      </c>
      <c r="D182" s="44">
        <v>1673851.7406957999</v>
      </c>
    </row>
    <row r="183" spans="1:4" x14ac:dyDescent="0.4">
      <c r="A183" s="6">
        <v>489.69</v>
      </c>
      <c r="B183" s="44">
        <v>303747.80780521</v>
      </c>
      <c r="C183" s="44">
        <v>308035.91147454001</v>
      </c>
      <c r="D183" s="44">
        <v>1670813.4823932</v>
      </c>
    </row>
    <row r="184" spans="1:4" x14ac:dyDescent="0.4">
      <c r="A184" s="6">
        <v>489.68</v>
      </c>
      <c r="B184" s="44">
        <v>303595.38937187003</v>
      </c>
      <c r="C184" s="44">
        <v>307874.76419277</v>
      </c>
      <c r="D184" s="44">
        <v>1667776.8298905001</v>
      </c>
    </row>
    <row r="185" spans="1:4" x14ac:dyDescent="0.4">
      <c r="A185" s="6">
        <v>489.67</v>
      </c>
      <c r="B185" s="44">
        <v>303443.85399183998</v>
      </c>
      <c r="C185" s="44">
        <v>307714.51893954998</v>
      </c>
      <c r="D185" s="44">
        <v>1664741.6725651</v>
      </c>
    </row>
    <row r="186" spans="1:4" x14ac:dyDescent="0.4">
      <c r="A186" s="6">
        <v>489.66</v>
      </c>
      <c r="B186" s="44">
        <v>303293.11472789</v>
      </c>
      <c r="C186" s="44">
        <v>307555.09228684002</v>
      </c>
      <c r="D186" s="44">
        <v>1661708.0167960001</v>
      </c>
    </row>
    <row r="187" spans="1:4" x14ac:dyDescent="0.4">
      <c r="A187" s="6">
        <v>489.65</v>
      </c>
      <c r="B187" s="44">
        <v>303142.78687538998</v>
      </c>
      <c r="C187" s="44">
        <v>307396.10862457001</v>
      </c>
      <c r="D187" s="44">
        <v>1658675.7961476</v>
      </c>
    </row>
    <row r="188" spans="1:4" x14ac:dyDescent="0.4">
      <c r="A188" s="6">
        <v>489.64</v>
      </c>
      <c r="B188" s="44">
        <v>302992.54288940999</v>
      </c>
      <c r="C188" s="44">
        <v>307237.25027043</v>
      </c>
      <c r="D188" s="44">
        <v>1655645.1614623</v>
      </c>
    </row>
    <row r="189" spans="1:4" x14ac:dyDescent="0.4">
      <c r="A189" s="6">
        <v>489.63</v>
      </c>
      <c r="B189" s="44">
        <v>302841.51787648001</v>
      </c>
      <c r="C189" s="44">
        <v>307077.67048739002</v>
      </c>
      <c r="D189" s="44">
        <v>1652616.006085</v>
      </c>
    </row>
    <row r="190" spans="1:4" x14ac:dyDescent="0.4">
      <c r="A190" s="6">
        <v>489.62</v>
      </c>
      <c r="B190" s="44">
        <v>302687.78228301002</v>
      </c>
      <c r="C190" s="44">
        <v>306915.46560122998</v>
      </c>
      <c r="D190" s="44">
        <v>1649588.4715396999</v>
      </c>
    </row>
    <row r="191" spans="1:4" x14ac:dyDescent="0.4">
      <c r="A191" s="6">
        <v>489.61</v>
      </c>
      <c r="B191" s="44">
        <v>302526.71820380999</v>
      </c>
      <c r="C191" s="44">
        <v>306746.05008754</v>
      </c>
      <c r="D191" s="44">
        <v>1646562.4785364</v>
      </c>
    </row>
    <row r="192" spans="1:4" x14ac:dyDescent="0.4">
      <c r="A192" s="6">
        <v>489.6</v>
      </c>
      <c r="B192" s="44">
        <v>301739.89109286002</v>
      </c>
      <c r="C192" s="44">
        <v>305951.06049556</v>
      </c>
      <c r="D192" s="44">
        <v>1643538.2164868</v>
      </c>
    </row>
    <row r="193" spans="1:4" x14ac:dyDescent="0.4">
      <c r="A193" s="6">
        <v>489.59</v>
      </c>
      <c r="B193" s="44">
        <v>301550.28196718002</v>
      </c>
      <c r="C193" s="44">
        <v>305753.58527401998</v>
      </c>
      <c r="D193" s="44">
        <v>1640521.8742392</v>
      </c>
    </row>
    <row r="194" spans="1:4" x14ac:dyDescent="0.4">
      <c r="A194" s="6">
        <v>489.58</v>
      </c>
      <c r="B194" s="44">
        <v>301394.81108971999</v>
      </c>
      <c r="C194" s="44">
        <v>305590.29657737998</v>
      </c>
      <c r="D194" s="44">
        <v>1637507.2197422001</v>
      </c>
    </row>
    <row r="195" spans="1:4" x14ac:dyDescent="0.4">
      <c r="A195" s="6">
        <v>489.57</v>
      </c>
      <c r="B195" s="44">
        <v>301239.44832113001</v>
      </c>
      <c r="C195" s="44">
        <v>305427.14752752002</v>
      </c>
      <c r="D195" s="44">
        <v>1634494.0165124</v>
      </c>
    </row>
    <row r="196" spans="1:4" x14ac:dyDescent="0.4">
      <c r="A196" s="6">
        <v>489.56</v>
      </c>
      <c r="B196" s="44">
        <v>301084.16214669001</v>
      </c>
      <c r="C196" s="44">
        <v>305264.09130291</v>
      </c>
      <c r="D196" s="44">
        <v>1631482.3951737999</v>
      </c>
    </row>
    <row r="197" spans="1:4" x14ac:dyDescent="0.4">
      <c r="A197" s="6">
        <v>489.55</v>
      </c>
      <c r="B197" s="44">
        <v>300929.40521415003</v>
      </c>
      <c r="C197" s="44">
        <v>305101.57283528999</v>
      </c>
      <c r="D197" s="44">
        <v>1628472.3057533</v>
      </c>
    </row>
    <row r="198" spans="1:4" x14ac:dyDescent="0.4">
      <c r="A198" s="6">
        <v>489.54</v>
      </c>
      <c r="B198" s="44">
        <v>300775.25974926999</v>
      </c>
      <c r="C198" s="44">
        <v>304939.66555141</v>
      </c>
      <c r="D198" s="44">
        <v>1625463.7590197001</v>
      </c>
    </row>
    <row r="199" spans="1:4" x14ac:dyDescent="0.4">
      <c r="A199" s="6">
        <v>489.53</v>
      </c>
      <c r="B199" s="44">
        <v>300621.71354973002</v>
      </c>
      <c r="C199" s="44">
        <v>304778.34940865001</v>
      </c>
      <c r="D199" s="44">
        <v>1622456.7729032</v>
      </c>
    </row>
    <row r="200" spans="1:4" x14ac:dyDescent="0.4">
      <c r="A200" s="6">
        <v>489.52</v>
      </c>
      <c r="B200" s="44">
        <v>300468.72284038999</v>
      </c>
      <c r="C200" s="44">
        <v>304617.57858125999</v>
      </c>
      <c r="D200" s="44">
        <v>1619451.3170382001</v>
      </c>
    </row>
    <row r="201" spans="1:4" x14ac:dyDescent="0.4">
      <c r="A201" s="6">
        <v>489.51</v>
      </c>
      <c r="B201" s="44">
        <v>300316.29618763999</v>
      </c>
      <c r="C201" s="44">
        <v>304457.35831816</v>
      </c>
      <c r="D201" s="44">
        <v>1616447.3000028001</v>
      </c>
    </row>
    <row r="202" spans="1:4" x14ac:dyDescent="0.4">
      <c r="A202" s="6">
        <v>489.5</v>
      </c>
      <c r="B202" s="44">
        <v>300164.52862608997</v>
      </c>
      <c r="C202" s="44">
        <v>304297.78373954998</v>
      </c>
      <c r="D202" s="44">
        <v>1613444.9319479</v>
      </c>
    </row>
    <row r="203" spans="1:4" x14ac:dyDescent="0.4">
      <c r="A203" s="6">
        <v>489.49</v>
      </c>
      <c r="B203" s="44">
        <v>300013.27591264999</v>
      </c>
      <c r="C203" s="44">
        <v>304138.71103042999</v>
      </c>
      <c r="D203" s="44">
        <v>1610444.0173450999</v>
      </c>
    </row>
    <row r="204" spans="1:4" x14ac:dyDescent="0.4">
      <c r="A204" s="6">
        <v>489.48</v>
      </c>
      <c r="B204" s="44">
        <v>299862.58622434997</v>
      </c>
      <c r="C204" s="44">
        <v>303980.18800423999</v>
      </c>
      <c r="D204" s="44">
        <v>1607444.5930315</v>
      </c>
    </row>
    <row r="205" spans="1:4" x14ac:dyDescent="0.4">
      <c r="A205" s="6">
        <v>489.47</v>
      </c>
      <c r="B205" s="44">
        <v>299712.50264577998</v>
      </c>
      <c r="C205" s="44">
        <v>303822.25753896998</v>
      </c>
      <c r="D205" s="44">
        <v>1604446.7185633001</v>
      </c>
    </row>
    <row r="206" spans="1:4" x14ac:dyDescent="0.4">
      <c r="A206" s="6">
        <v>489.46</v>
      </c>
      <c r="B206" s="44">
        <v>299562.93609427998</v>
      </c>
      <c r="C206" s="44">
        <v>303664.83203245001</v>
      </c>
      <c r="D206" s="44">
        <v>1601450.3446649001</v>
      </c>
    </row>
    <row r="207" spans="1:4" x14ac:dyDescent="0.4">
      <c r="A207" s="6">
        <v>489.45</v>
      </c>
      <c r="B207" s="44">
        <v>299413.77408840001</v>
      </c>
      <c r="C207" s="44">
        <v>303507.80102545</v>
      </c>
      <c r="D207" s="44">
        <v>1598455.4724357</v>
      </c>
    </row>
    <row r="208" spans="1:4" x14ac:dyDescent="0.4">
      <c r="A208" s="6">
        <v>489.44</v>
      </c>
      <c r="B208" s="44">
        <v>299264.86806601001</v>
      </c>
      <c r="C208" s="44">
        <v>303351.01902334002</v>
      </c>
      <c r="D208" s="44">
        <v>1595462.0162962</v>
      </c>
    </row>
    <row r="209" spans="1:4" x14ac:dyDescent="0.4">
      <c r="A209" s="6">
        <v>489.43</v>
      </c>
      <c r="B209" s="44">
        <v>299115.74350962997</v>
      </c>
      <c r="C209" s="44">
        <v>303194.01770641998</v>
      </c>
      <c r="D209" s="44">
        <v>1592470.1267521</v>
      </c>
    </row>
    <row r="210" spans="1:4" x14ac:dyDescent="0.4">
      <c r="A210" s="6">
        <v>489.42</v>
      </c>
      <c r="B210" s="44">
        <v>298964.85865006002</v>
      </c>
      <c r="C210" s="44">
        <v>303035.26730682002</v>
      </c>
      <c r="D210" s="44">
        <v>1589479.7778058001</v>
      </c>
    </row>
    <row r="211" spans="1:4" x14ac:dyDescent="0.4">
      <c r="A211" s="6">
        <v>489.41</v>
      </c>
      <c r="B211" s="44">
        <v>298806.56880163</v>
      </c>
      <c r="C211" s="44">
        <v>302869.14575137</v>
      </c>
      <c r="D211" s="44">
        <v>1586490.9615756001</v>
      </c>
    </row>
    <row r="212" spans="1:4" x14ac:dyDescent="0.4">
      <c r="A212" s="6">
        <v>489.4</v>
      </c>
      <c r="B212" s="44">
        <v>298551.84888248</v>
      </c>
      <c r="C212" s="44">
        <v>302606.70097837999</v>
      </c>
      <c r="D212" s="44">
        <v>1583503.9153777</v>
      </c>
    </row>
    <row r="213" spans="1:4" x14ac:dyDescent="0.4">
      <c r="A213" s="6">
        <v>489.39</v>
      </c>
      <c r="B213" s="44">
        <v>296838.12705052999</v>
      </c>
      <c r="C213" s="44">
        <v>300885.36238224001</v>
      </c>
      <c r="D213" s="44">
        <v>1580534.3602253001</v>
      </c>
    </row>
    <row r="214" spans="1:4" x14ac:dyDescent="0.4">
      <c r="A214" s="6">
        <v>489.38</v>
      </c>
      <c r="B214" s="44">
        <v>296660.45488629001</v>
      </c>
      <c r="C214" s="44">
        <v>300699.99401317001</v>
      </c>
      <c r="D214" s="44">
        <v>1577566.8349081001</v>
      </c>
    </row>
    <row r="215" spans="1:4" x14ac:dyDescent="0.4">
      <c r="A215" s="6">
        <v>489.37</v>
      </c>
      <c r="B215" s="44">
        <v>296487.22539004002</v>
      </c>
      <c r="C215" s="44">
        <v>300519.01884839003</v>
      </c>
      <c r="D215" s="44">
        <v>1574601.0268989</v>
      </c>
    </row>
    <row r="216" spans="1:4" x14ac:dyDescent="0.4">
      <c r="A216" s="6">
        <v>489.36</v>
      </c>
      <c r="B216" s="44">
        <v>296316.63673658</v>
      </c>
      <c r="C216" s="44">
        <v>300340.64130463998</v>
      </c>
      <c r="D216" s="44">
        <v>1571636.9871561001</v>
      </c>
    </row>
    <row r="217" spans="1:4" x14ac:dyDescent="0.4">
      <c r="A217" s="6">
        <v>489.35</v>
      </c>
      <c r="B217" s="44">
        <v>296148.24972432997</v>
      </c>
      <c r="C217" s="44">
        <v>300164.43016871001</v>
      </c>
      <c r="D217" s="44">
        <v>1568674.6777429001</v>
      </c>
    </row>
    <row r="218" spans="1:4" x14ac:dyDescent="0.4">
      <c r="A218" s="6">
        <v>489.34</v>
      </c>
      <c r="B218" s="44">
        <v>295981.95013478003</v>
      </c>
      <c r="C218" s="44">
        <v>299990.27349201002</v>
      </c>
      <c r="D218" s="44">
        <v>1565714.0163253001</v>
      </c>
    </row>
    <row r="219" spans="1:4" x14ac:dyDescent="0.4">
      <c r="A219" s="6">
        <v>489.33</v>
      </c>
      <c r="B219" s="44">
        <v>295817.76531036</v>
      </c>
      <c r="C219" s="44">
        <v>299818.19878482999</v>
      </c>
      <c r="D219" s="44">
        <v>1562754.9976625999</v>
      </c>
    </row>
    <row r="220" spans="1:4" x14ac:dyDescent="0.4">
      <c r="A220" s="6">
        <v>489.32</v>
      </c>
      <c r="B220" s="44">
        <v>295655.50279619999</v>
      </c>
      <c r="C220" s="44">
        <v>299648.01709243999</v>
      </c>
      <c r="D220" s="44">
        <v>1559797.5867667</v>
      </c>
    </row>
    <row r="221" spans="1:4" x14ac:dyDescent="0.4">
      <c r="A221" s="6">
        <v>489.31</v>
      </c>
      <c r="B221" s="44">
        <v>295495.20580663002</v>
      </c>
      <c r="C221" s="44">
        <v>299479.77340874</v>
      </c>
      <c r="D221" s="44">
        <v>1556841.7987323001</v>
      </c>
    </row>
    <row r="222" spans="1:4" x14ac:dyDescent="0.4">
      <c r="A222" s="6">
        <v>489.3</v>
      </c>
      <c r="B222" s="44">
        <v>295336.95740982</v>
      </c>
      <c r="C222" s="44">
        <v>299313.55165211001</v>
      </c>
      <c r="D222" s="44">
        <v>1553887.6114459001</v>
      </c>
    </row>
    <row r="223" spans="1:4" x14ac:dyDescent="0.4">
      <c r="A223" s="6">
        <v>489.29</v>
      </c>
      <c r="B223" s="44">
        <v>295180.72458222002</v>
      </c>
      <c r="C223" s="44">
        <v>299149.32228616002</v>
      </c>
      <c r="D223" s="44">
        <v>1550934.9520858</v>
      </c>
    </row>
    <row r="224" spans="1:4" x14ac:dyDescent="0.4">
      <c r="A224" s="6">
        <v>489.28</v>
      </c>
      <c r="B224" s="44">
        <v>295026.38830912998</v>
      </c>
      <c r="C224" s="44">
        <v>298986.96547051001</v>
      </c>
      <c r="D224" s="44">
        <v>1547983.8767253</v>
      </c>
    </row>
    <row r="225" spans="1:4" x14ac:dyDescent="0.4">
      <c r="A225" s="6">
        <v>489.27</v>
      </c>
      <c r="B225" s="44">
        <v>294874.00895346003</v>
      </c>
      <c r="C225" s="44">
        <v>298826.54151434998</v>
      </c>
      <c r="D225" s="44">
        <v>1545034.3582923999</v>
      </c>
    </row>
    <row r="226" spans="1:4" x14ac:dyDescent="0.4">
      <c r="A226" s="6">
        <v>489.26</v>
      </c>
      <c r="B226" s="44">
        <v>294723.85654548998</v>
      </c>
      <c r="C226" s="44">
        <v>298668.31744710001</v>
      </c>
      <c r="D226" s="44">
        <v>1542086.3609643001</v>
      </c>
    </row>
    <row r="227" spans="1:4" x14ac:dyDescent="0.4">
      <c r="A227" s="6">
        <v>489.25</v>
      </c>
      <c r="B227" s="44">
        <v>294575.62108547997</v>
      </c>
      <c r="C227" s="44">
        <v>298511.98267907999</v>
      </c>
      <c r="D227" s="44">
        <v>1539139.8888639</v>
      </c>
    </row>
    <row r="228" spans="1:4" x14ac:dyDescent="0.4">
      <c r="A228" s="6">
        <v>489.24</v>
      </c>
      <c r="B228" s="44">
        <v>294429.47474266001</v>
      </c>
      <c r="C228" s="44">
        <v>298357.70636181999</v>
      </c>
      <c r="D228" s="44">
        <v>1536194.8351116001</v>
      </c>
    </row>
    <row r="229" spans="1:4" x14ac:dyDescent="0.4">
      <c r="A229" s="6">
        <v>489.23</v>
      </c>
      <c r="B229" s="44">
        <v>294285.58589727001</v>
      </c>
      <c r="C229" s="44">
        <v>298205.65395440999</v>
      </c>
      <c r="D229" s="44">
        <v>1533251.2254721001</v>
      </c>
    </row>
    <row r="230" spans="1:4" x14ac:dyDescent="0.4">
      <c r="A230" s="6">
        <v>489.22</v>
      </c>
      <c r="B230" s="44">
        <v>294144.15364713001</v>
      </c>
      <c r="C230" s="44">
        <v>298056.02163506002</v>
      </c>
      <c r="D230" s="44">
        <v>1530308.9801435999</v>
      </c>
    </row>
    <row r="231" spans="1:4" x14ac:dyDescent="0.4">
      <c r="A231" s="6">
        <v>489.21</v>
      </c>
      <c r="B231" s="44">
        <v>294005.70773942</v>
      </c>
      <c r="C231" s="44">
        <v>297909.33382544998</v>
      </c>
      <c r="D231" s="44">
        <v>1527368.2205113</v>
      </c>
    </row>
    <row r="232" spans="1:4" x14ac:dyDescent="0.4">
      <c r="A232" s="6">
        <v>489.2</v>
      </c>
      <c r="B232" s="44">
        <v>293447.44491387001</v>
      </c>
      <c r="C232" s="44">
        <v>297342.77621004998</v>
      </c>
      <c r="D232" s="44">
        <v>1524428.7714925001</v>
      </c>
    </row>
    <row r="233" spans="1:4" x14ac:dyDescent="0.4">
      <c r="A233" s="6">
        <v>489.19</v>
      </c>
      <c r="B233" s="44">
        <v>293343.90033395001</v>
      </c>
      <c r="C233" s="44">
        <v>297230.86911278003</v>
      </c>
      <c r="D233" s="44">
        <v>1521494.7669134</v>
      </c>
    </row>
    <row r="234" spans="1:4" x14ac:dyDescent="0.4">
      <c r="A234" s="6">
        <v>489.18</v>
      </c>
      <c r="B234" s="44">
        <v>293251.32336933998</v>
      </c>
      <c r="C234" s="44">
        <v>297129.86241821997</v>
      </c>
      <c r="D234" s="44">
        <v>1518561.7284057001</v>
      </c>
    </row>
    <row r="235" spans="1:4" x14ac:dyDescent="0.4">
      <c r="A235" s="6">
        <v>489.17</v>
      </c>
      <c r="B235" s="44">
        <v>293160.71954252</v>
      </c>
      <c r="C235" s="44">
        <v>297030.77520158002</v>
      </c>
      <c r="D235" s="44">
        <v>1515629.6565956001</v>
      </c>
    </row>
    <row r="236" spans="1:4" x14ac:dyDescent="0.4">
      <c r="A236" s="6">
        <v>489.16</v>
      </c>
      <c r="B236" s="44">
        <v>293071.14192562999</v>
      </c>
      <c r="C236" s="44">
        <v>296932.66918183002</v>
      </c>
      <c r="D236" s="44">
        <v>1512698.4514313</v>
      </c>
    </row>
    <row r="237" spans="1:4" x14ac:dyDescent="0.4">
      <c r="A237" s="6">
        <v>489.15</v>
      </c>
      <c r="B237" s="44">
        <v>292982.29930870002</v>
      </c>
      <c r="C237" s="44">
        <v>296835.25935573998</v>
      </c>
      <c r="D237" s="44">
        <v>1509768.1303164</v>
      </c>
    </row>
    <row r="238" spans="1:4" x14ac:dyDescent="0.4">
      <c r="A238" s="6">
        <v>489.14</v>
      </c>
      <c r="B238" s="44">
        <v>292894.00726849999</v>
      </c>
      <c r="C238" s="44">
        <v>296738.36514722998</v>
      </c>
      <c r="D238" s="44">
        <v>1506838.6950445999</v>
      </c>
    </row>
    <row r="239" spans="1:4" x14ac:dyDescent="0.4">
      <c r="A239" s="6">
        <v>489.13</v>
      </c>
      <c r="B239" s="44">
        <v>292806.26614796999</v>
      </c>
      <c r="C239" s="44">
        <v>296641.98757146002</v>
      </c>
      <c r="D239" s="44">
        <v>1503910.1094410999</v>
      </c>
    </row>
    <row r="240" spans="1:4" x14ac:dyDescent="0.4">
      <c r="A240" s="6">
        <v>489.12</v>
      </c>
      <c r="B240" s="44">
        <v>292719.10653712001</v>
      </c>
      <c r="C240" s="44">
        <v>296546.15708189999</v>
      </c>
      <c r="D240" s="44">
        <v>1500982.4454630001</v>
      </c>
    </row>
    <row r="241" spans="1:4" x14ac:dyDescent="0.4">
      <c r="A241" s="6">
        <v>489.11</v>
      </c>
      <c r="B241" s="44">
        <v>292632.50123872003</v>
      </c>
      <c r="C241" s="44">
        <v>296450.85027648002</v>
      </c>
      <c r="D241" s="44">
        <v>1498055.6269737999</v>
      </c>
    </row>
    <row r="242" spans="1:4" x14ac:dyDescent="0.4">
      <c r="A242" s="6">
        <v>489.1</v>
      </c>
      <c r="B242" s="44">
        <v>292546.43048821</v>
      </c>
      <c r="C242" s="44">
        <v>296356.04930144001</v>
      </c>
      <c r="D242" s="44">
        <v>1495129.7332866001</v>
      </c>
    </row>
    <row r="243" spans="1:4" x14ac:dyDescent="0.4">
      <c r="A243" s="6">
        <v>489.09</v>
      </c>
      <c r="B243" s="44">
        <v>292460.80522783002</v>
      </c>
      <c r="C243" s="44">
        <v>296261.66761354002</v>
      </c>
      <c r="D243" s="44">
        <v>1492204.6968381</v>
      </c>
    </row>
    <row r="244" spans="1:4" x14ac:dyDescent="0.4">
      <c r="A244" s="6">
        <v>489.08</v>
      </c>
      <c r="B244" s="44">
        <v>292375.64253938</v>
      </c>
      <c r="C244" s="44">
        <v>296167.72282991</v>
      </c>
      <c r="D244" s="44">
        <v>1489280.5058156999</v>
      </c>
    </row>
    <row r="245" spans="1:4" x14ac:dyDescent="0.4">
      <c r="A245" s="6">
        <v>489.07</v>
      </c>
      <c r="B245" s="44">
        <v>292291.02279984002</v>
      </c>
      <c r="C245" s="44">
        <v>296074.29375769</v>
      </c>
      <c r="D245" s="44">
        <v>1486357.1560400999</v>
      </c>
    </row>
    <row r="246" spans="1:4" x14ac:dyDescent="0.4">
      <c r="A246" s="6">
        <v>489.06</v>
      </c>
      <c r="B246" s="44">
        <v>292206.87485342001</v>
      </c>
      <c r="C246" s="44">
        <v>295981.31187148002</v>
      </c>
      <c r="D246" s="44">
        <v>1483434.6079883999</v>
      </c>
    </row>
    <row r="247" spans="1:4" x14ac:dyDescent="0.4">
      <c r="A247" s="6">
        <v>489.05</v>
      </c>
      <c r="B247" s="44">
        <v>292123.19478133001</v>
      </c>
      <c r="C247" s="44">
        <v>295888.77402910998</v>
      </c>
      <c r="D247" s="44">
        <v>1480512.9900537001</v>
      </c>
    </row>
    <row r="248" spans="1:4" x14ac:dyDescent="0.4">
      <c r="A248" s="6">
        <v>489.04</v>
      </c>
      <c r="B248" s="44">
        <v>292039.94859638001</v>
      </c>
      <c r="C248" s="44">
        <v>295796.64575913001</v>
      </c>
      <c r="D248" s="44">
        <v>1477592.1420386999</v>
      </c>
    </row>
    <row r="249" spans="1:4" x14ac:dyDescent="0.4">
      <c r="A249" s="6">
        <v>489.03</v>
      </c>
      <c r="B249" s="44">
        <v>291957.11114446999</v>
      </c>
      <c r="C249" s="44">
        <v>295704.90226732002</v>
      </c>
      <c r="D249" s="44">
        <v>1474672.1813453001</v>
      </c>
    </row>
    <row r="250" spans="1:4" x14ac:dyDescent="0.4">
      <c r="A250" s="6">
        <v>489.02</v>
      </c>
      <c r="B250" s="44">
        <v>291874.74683422002</v>
      </c>
      <c r="C250" s="44">
        <v>295613.60825495003</v>
      </c>
      <c r="D250" s="44">
        <v>1471753.0165593999</v>
      </c>
    </row>
    <row r="251" spans="1:4" x14ac:dyDescent="0.4">
      <c r="A251" s="6">
        <v>489.01</v>
      </c>
      <c r="B251" s="44">
        <v>291792.88645026</v>
      </c>
      <c r="C251" s="44">
        <v>295522.79397992999</v>
      </c>
      <c r="D251" s="44">
        <v>1468834.6627917001</v>
      </c>
    </row>
    <row r="252" spans="1:4" x14ac:dyDescent="0.4">
      <c r="A252" s="6">
        <v>489</v>
      </c>
      <c r="B252" s="44">
        <v>291711.39380188001</v>
      </c>
      <c r="C252" s="44">
        <v>295432.32366787002</v>
      </c>
      <c r="D252" s="44">
        <v>1465917.1830561</v>
      </c>
    </row>
    <row r="253" spans="1:4" x14ac:dyDescent="0.4">
      <c r="A253" s="6">
        <v>488.99</v>
      </c>
      <c r="B253" s="44">
        <v>291629.97569635999</v>
      </c>
      <c r="C253" s="44">
        <v>295341.88876131002</v>
      </c>
      <c r="D253" s="44">
        <v>1463000.4388214001</v>
      </c>
    </row>
    <row r="254" spans="1:4" x14ac:dyDescent="0.4">
      <c r="A254" s="6">
        <v>488.98</v>
      </c>
      <c r="B254" s="44">
        <v>291549.89354213001</v>
      </c>
      <c r="C254" s="44">
        <v>295252.76104816003</v>
      </c>
      <c r="D254" s="44">
        <v>1460084.4867829001</v>
      </c>
    </row>
    <row r="255" spans="1:4" x14ac:dyDescent="0.4">
      <c r="A255" s="6">
        <v>488.97</v>
      </c>
      <c r="B255" s="44">
        <v>291470.25554320001</v>
      </c>
      <c r="C255" s="44">
        <v>295164.05366060999</v>
      </c>
      <c r="D255" s="44">
        <v>1457169.3844303</v>
      </c>
    </row>
    <row r="256" spans="1:4" x14ac:dyDescent="0.4">
      <c r="A256" s="6">
        <v>488.96</v>
      </c>
      <c r="B256" s="44">
        <v>291390.88598791999</v>
      </c>
      <c r="C256" s="44">
        <v>295075.59178784001</v>
      </c>
      <c r="D256" s="44">
        <v>1454255.0691730001</v>
      </c>
    </row>
    <row r="257" spans="1:4" x14ac:dyDescent="0.4">
      <c r="A257" s="6">
        <v>488.95</v>
      </c>
      <c r="B257" s="44">
        <v>291311.68709929998</v>
      </c>
      <c r="C257" s="44">
        <v>294987.27977294999</v>
      </c>
      <c r="D257" s="44">
        <v>1451341.5620411001</v>
      </c>
    </row>
    <row r="258" spans="1:4" x14ac:dyDescent="0.4">
      <c r="A258" s="6">
        <v>488.94</v>
      </c>
      <c r="B258" s="44">
        <v>291232.68019669998</v>
      </c>
      <c r="C258" s="44">
        <v>294899.13974443002</v>
      </c>
      <c r="D258" s="44">
        <v>1448428.8738585</v>
      </c>
    </row>
    <row r="259" spans="1:4" x14ac:dyDescent="0.4">
      <c r="A259" s="6">
        <v>488.93</v>
      </c>
      <c r="B259" s="44">
        <v>291153.86466754001</v>
      </c>
      <c r="C259" s="44">
        <v>294811.16968654998</v>
      </c>
      <c r="D259" s="44">
        <v>1445516.8740723</v>
      </c>
    </row>
    <row r="260" spans="1:4" x14ac:dyDescent="0.4">
      <c r="A260" s="6">
        <v>488.92</v>
      </c>
      <c r="B260" s="44">
        <v>291075.24987627001</v>
      </c>
      <c r="C260" s="44">
        <v>294723.38121755997</v>
      </c>
      <c r="D260" s="44">
        <v>1442605.7158015</v>
      </c>
    </row>
    <row r="261" spans="1:4" x14ac:dyDescent="0.4">
      <c r="A261" s="6">
        <v>488.91</v>
      </c>
      <c r="B261" s="44">
        <v>290996.79863944999</v>
      </c>
      <c r="C261" s="44">
        <v>294635.73809276999</v>
      </c>
      <c r="D261" s="44">
        <v>1439695.2819465001</v>
      </c>
    </row>
    <row r="262" spans="1:4" x14ac:dyDescent="0.4">
      <c r="A262" s="6">
        <v>488.9</v>
      </c>
      <c r="B262" s="44">
        <v>290918.55314857</v>
      </c>
      <c r="C262" s="44">
        <v>294548.28164846997</v>
      </c>
      <c r="D262" s="44">
        <v>1436785.6733049001</v>
      </c>
    </row>
    <row r="263" spans="1:4" x14ac:dyDescent="0.4">
      <c r="A263" s="6">
        <v>488.89</v>
      </c>
      <c r="B263" s="44">
        <v>290840.48570157</v>
      </c>
      <c r="C263" s="44">
        <v>294460.98574121</v>
      </c>
      <c r="D263" s="44">
        <v>1433876.8830075001</v>
      </c>
    </row>
    <row r="264" spans="1:4" x14ac:dyDescent="0.4">
      <c r="A264" s="6">
        <v>488.88</v>
      </c>
      <c r="B264" s="44">
        <v>290762.57673596998</v>
      </c>
      <c r="C264" s="44">
        <v>294373.83191175997</v>
      </c>
      <c r="D264" s="44">
        <v>1430968.8174983</v>
      </c>
    </row>
    <row r="265" spans="1:4" x14ac:dyDescent="0.4">
      <c r="A265" s="6">
        <v>488.87</v>
      </c>
      <c r="B265" s="44">
        <v>290684.87634716998</v>
      </c>
      <c r="C265" s="44">
        <v>294286.87105741998</v>
      </c>
      <c r="D265" s="44">
        <v>1428061.5598544001</v>
      </c>
    </row>
    <row r="266" spans="1:4" x14ac:dyDescent="0.4">
      <c r="A266" s="6">
        <v>488.86</v>
      </c>
      <c r="B266" s="44">
        <v>290607.31934001</v>
      </c>
      <c r="C266" s="44">
        <v>294200.03843180998</v>
      </c>
      <c r="D266" s="44">
        <v>1425155.0669104999</v>
      </c>
    </row>
    <row r="267" spans="1:4" x14ac:dyDescent="0.4">
      <c r="A267" s="6">
        <v>488.85</v>
      </c>
      <c r="B267" s="44">
        <v>290529.93706361001</v>
      </c>
      <c r="C267" s="44">
        <v>294113.36544795998</v>
      </c>
      <c r="D267" s="44">
        <v>1422249.3957137</v>
      </c>
    </row>
    <row r="268" spans="1:4" x14ac:dyDescent="0.4">
      <c r="A268" s="6">
        <v>488.84</v>
      </c>
      <c r="B268" s="44">
        <v>290452.73885620001</v>
      </c>
      <c r="C268" s="44">
        <v>294026.86182989</v>
      </c>
      <c r="D268" s="44">
        <v>1419344.4679610999</v>
      </c>
    </row>
    <row r="269" spans="1:4" x14ac:dyDescent="0.4">
      <c r="A269" s="6">
        <v>488.83</v>
      </c>
      <c r="B269" s="44">
        <v>290375.70003921998</v>
      </c>
      <c r="C269" s="44">
        <v>293940.50507093</v>
      </c>
      <c r="D269" s="44">
        <v>1416440.2927267</v>
      </c>
    </row>
    <row r="270" spans="1:4" x14ac:dyDescent="0.4">
      <c r="A270" s="6">
        <v>488.82</v>
      </c>
      <c r="B270" s="44">
        <v>290298.82125684997</v>
      </c>
      <c r="C270" s="44">
        <v>293854.29550006997</v>
      </c>
      <c r="D270" s="44">
        <v>1413536.9222839</v>
      </c>
    </row>
    <row r="271" spans="1:4" x14ac:dyDescent="0.4">
      <c r="A271" s="6">
        <v>488.81</v>
      </c>
      <c r="B271" s="44">
        <v>290222.06524005003</v>
      </c>
      <c r="C271" s="44">
        <v>293768.19722882</v>
      </c>
      <c r="D271" s="44">
        <v>1410634.2644525999</v>
      </c>
    </row>
    <row r="272" spans="1:4" x14ac:dyDescent="0.4">
      <c r="A272" s="6">
        <v>488.8</v>
      </c>
      <c r="B272" s="44">
        <v>290145.45393880998</v>
      </c>
      <c r="C272" s="44">
        <v>293682.23248226999</v>
      </c>
      <c r="D272" s="44">
        <v>1407732.4119656</v>
      </c>
    </row>
    <row r="273" spans="1:4" x14ac:dyDescent="0.4">
      <c r="A273" s="6">
        <v>488.79</v>
      </c>
      <c r="B273" s="44">
        <v>290069.01590940001</v>
      </c>
      <c r="C273" s="44">
        <v>293596.43049576</v>
      </c>
      <c r="D273" s="44">
        <v>1404831.3032068999</v>
      </c>
    </row>
    <row r="274" spans="1:4" x14ac:dyDescent="0.4">
      <c r="A274" s="6">
        <v>488.78</v>
      </c>
      <c r="B274" s="44">
        <v>289992.86630174</v>
      </c>
      <c r="C274" s="44">
        <v>293510.90551795001</v>
      </c>
      <c r="D274" s="44">
        <v>1401930.9575960001</v>
      </c>
    </row>
    <row r="275" spans="1:4" x14ac:dyDescent="0.4">
      <c r="A275" s="6">
        <v>488.77</v>
      </c>
      <c r="B275" s="44">
        <v>289916.86606615997</v>
      </c>
      <c r="C275" s="44">
        <v>293425.51935447002</v>
      </c>
      <c r="D275" s="44">
        <v>1399031.4112871999</v>
      </c>
    </row>
    <row r="276" spans="1:4" x14ac:dyDescent="0.4">
      <c r="A276" s="6">
        <v>488.76</v>
      </c>
      <c r="B276" s="44">
        <v>289840.96597849001</v>
      </c>
      <c r="C276" s="44">
        <v>293340.22312147002</v>
      </c>
      <c r="D276" s="44">
        <v>1396132.6544669</v>
      </c>
    </row>
    <row r="277" spans="1:4" x14ac:dyDescent="0.4">
      <c r="A277" s="6">
        <v>488.75</v>
      </c>
      <c r="B277" s="44">
        <v>289765.19390198</v>
      </c>
      <c r="C277" s="44">
        <v>293255.04366169003</v>
      </c>
      <c r="D277" s="44">
        <v>1393234.6316032</v>
      </c>
    </row>
    <row r="278" spans="1:4" x14ac:dyDescent="0.4">
      <c r="A278" s="6">
        <v>488.74</v>
      </c>
      <c r="B278" s="44">
        <v>289689.54640971997</v>
      </c>
      <c r="C278" s="44">
        <v>293169.97531338001</v>
      </c>
      <c r="D278" s="44">
        <v>1390337.3398593001</v>
      </c>
    </row>
    <row r="279" spans="1:4" x14ac:dyDescent="0.4">
      <c r="A279" s="6">
        <v>488.73</v>
      </c>
      <c r="B279" s="44">
        <v>289614.00595040002</v>
      </c>
      <c r="C279" s="44">
        <v>293085.00313269999</v>
      </c>
      <c r="D279" s="44">
        <v>1387440.8647572</v>
      </c>
    </row>
    <row r="280" spans="1:4" x14ac:dyDescent="0.4">
      <c r="A280" s="6">
        <v>488.72</v>
      </c>
      <c r="B280" s="44">
        <v>289538.59275021002</v>
      </c>
      <c r="C280" s="44">
        <v>293000.14754759998</v>
      </c>
      <c r="D280" s="44">
        <v>1384545.0927503</v>
      </c>
    </row>
    <row r="281" spans="1:4" x14ac:dyDescent="0.4">
      <c r="A281" s="6">
        <v>488.71</v>
      </c>
      <c r="B281" s="44">
        <v>289463.33263960999</v>
      </c>
      <c r="C281" s="44">
        <v>292915.43540875998</v>
      </c>
      <c r="D281" s="44">
        <v>1381650.071854</v>
      </c>
    </row>
    <row r="282" spans="1:4" x14ac:dyDescent="0.4">
      <c r="A282" s="6">
        <v>488.7</v>
      </c>
      <c r="B282" s="44">
        <v>289388.16373181</v>
      </c>
      <c r="C282" s="44">
        <v>292830.80479153001</v>
      </c>
      <c r="D282" s="44">
        <v>1378755.8348425999</v>
      </c>
    </row>
    <row r="283" spans="1:4" x14ac:dyDescent="0.4">
      <c r="A283" s="6">
        <v>488.69</v>
      </c>
      <c r="B283" s="44">
        <v>289313.10567084001</v>
      </c>
      <c r="C283" s="44">
        <v>292746.27664514002</v>
      </c>
      <c r="D283" s="44">
        <v>1375862.3110326999</v>
      </c>
    </row>
    <row r="284" spans="1:4" x14ac:dyDescent="0.4">
      <c r="A284" s="6">
        <v>488.68</v>
      </c>
      <c r="B284" s="44">
        <v>289238.15997566999</v>
      </c>
      <c r="C284" s="44">
        <v>292661.85347189999</v>
      </c>
      <c r="D284" s="44">
        <v>1372969.6331739</v>
      </c>
    </row>
    <row r="285" spans="1:4" x14ac:dyDescent="0.4">
      <c r="A285" s="6">
        <v>488.67</v>
      </c>
      <c r="B285" s="44">
        <v>289163.29959511</v>
      </c>
      <c r="C285" s="44">
        <v>292577.50841442001</v>
      </c>
      <c r="D285" s="44">
        <v>1370077.6250882</v>
      </c>
    </row>
    <row r="286" spans="1:4" x14ac:dyDescent="0.4">
      <c r="A286" s="6">
        <v>488.66</v>
      </c>
      <c r="B286" s="44">
        <v>289088.54970740998</v>
      </c>
      <c r="C286" s="44">
        <v>292493.26577393</v>
      </c>
      <c r="D286" s="44">
        <v>1367186.3441059</v>
      </c>
    </row>
    <row r="287" spans="1:4" x14ac:dyDescent="0.4">
      <c r="A287" s="6">
        <v>488.65</v>
      </c>
      <c r="B287" s="44">
        <v>289013.89596012997</v>
      </c>
      <c r="C287" s="44">
        <v>292409.11127955001</v>
      </c>
      <c r="D287" s="44">
        <v>1364295.8432312999</v>
      </c>
    </row>
    <row r="288" spans="1:4" x14ac:dyDescent="0.4">
      <c r="A288" s="6">
        <v>488.64</v>
      </c>
      <c r="B288" s="44">
        <v>288939.37116718001</v>
      </c>
      <c r="C288" s="44">
        <v>292325.07958876999</v>
      </c>
      <c r="D288" s="44">
        <v>1361406.0363445</v>
      </c>
    </row>
    <row r="289" spans="1:4" x14ac:dyDescent="0.4">
      <c r="A289" s="6">
        <v>488.63</v>
      </c>
      <c r="B289" s="44">
        <v>288864.96946687001</v>
      </c>
      <c r="C289" s="44">
        <v>292241.16602166998</v>
      </c>
      <c r="D289" s="44">
        <v>1358517.0386471001</v>
      </c>
    </row>
    <row r="290" spans="1:4" x14ac:dyDescent="0.4">
      <c r="A290" s="6">
        <v>488.62</v>
      </c>
      <c r="B290" s="44">
        <v>288790.65623378003</v>
      </c>
      <c r="C290" s="44">
        <v>292157.33692486002</v>
      </c>
      <c r="D290" s="44">
        <v>1355628.7252801</v>
      </c>
    </row>
    <row r="291" spans="1:4" x14ac:dyDescent="0.4">
      <c r="A291" s="6">
        <v>488.61</v>
      </c>
      <c r="B291" s="44">
        <v>288716.49204945</v>
      </c>
      <c r="C291" s="44">
        <v>292073.65315602999</v>
      </c>
      <c r="D291" s="44">
        <v>1352741.2664208</v>
      </c>
    </row>
    <row r="292" spans="1:4" x14ac:dyDescent="0.4">
      <c r="A292" s="6">
        <v>488.6</v>
      </c>
      <c r="B292" s="44">
        <v>288642.42116950999</v>
      </c>
      <c r="C292" s="44">
        <v>291990.06115735997</v>
      </c>
      <c r="D292" s="44">
        <v>1349854.4726450001</v>
      </c>
    </row>
    <row r="293" spans="1:4" x14ac:dyDescent="0.4">
      <c r="A293" s="6">
        <v>488.59</v>
      </c>
      <c r="B293" s="44">
        <v>288568.41107268003</v>
      </c>
      <c r="C293" s="44">
        <v>291906.52544156997</v>
      </c>
      <c r="D293" s="44">
        <v>1346968.4341843999</v>
      </c>
    </row>
    <row r="294" spans="1:4" x14ac:dyDescent="0.4">
      <c r="A294" s="6">
        <v>488.58</v>
      </c>
      <c r="B294" s="44">
        <v>288494.53020500002</v>
      </c>
      <c r="C294" s="44">
        <v>291823.11642315</v>
      </c>
      <c r="D294" s="44">
        <v>1344083.1401392</v>
      </c>
    </row>
    <row r="295" spans="1:4" x14ac:dyDescent="0.4">
      <c r="A295" s="6">
        <v>488.57</v>
      </c>
      <c r="B295" s="44">
        <v>288420.71944386</v>
      </c>
      <c r="C295" s="44">
        <v>291739.77710206999</v>
      </c>
      <c r="D295" s="44">
        <v>1341198.5610088999</v>
      </c>
    </row>
    <row r="296" spans="1:4" x14ac:dyDescent="0.4">
      <c r="A296" s="6">
        <v>488.56</v>
      </c>
      <c r="B296" s="44">
        <v>288346.94793099997</v>
      </c>
      <c r="C296" s="44">
        <v>291656.47812242998</v>
      </c>
      <c r="D296" s="44">
        <v>1338314.7585372</v>
      </c>
    </row>
    <row r="297" spans="1:4" x14ac:dyDescent="0.4">
      <c r="A297" s="6">
        <v>488.55</v>
      </c>
      <c r="B297" s="44">
        <v>288273.22328119999</v>
      </c>
      <c r="C297" s="44">
        <v>291573.22638794</v>
      </c>
      <c r="D297" s="44">
        <v>1335431.6181409999</v>
      </c>
    </row>
    <row r="298" spans="1:4" x14ac:dyDescent="0.4">
      <c r="A298" s="6">
        <v>488.54</v>
      </c>
      <c r="B298" s="44">
        <v>288199.48631076998</v>
      </c>
      <c r="C298" s="44">
        <v>291489.96325490001</v>
      </c>
      <c r="D298" s="44">
        <v>1332549.2248698</v>
      </c>
    </row>
    <row r="299" spans="1:4" x14ac:dyDescent="0.4">
      <c r="A299" s="6">
        <v>488.53</v>
      </c>
      <c r="B299" s="44">
        <v>288125.72253005998</v>
      </c>
      <c r="C299" s="44">
        <v>291406.67546215001</v>
      </c>
      <c r="D299" s="44">
        <v>1329667.5174678999</v>
      </c>
    </row>
    <row r="300" spans="1:4" x14ac:dyDescent="0.4">
      <c r="A300" s="6">
        <v>488.52</v>
      </c>
      <c r="B300" s="44">
        <v>288051.94501233002</v>
      </c>
      <c r="C300" s="44">
        <v>291323.37500758999</v>
      </c>
      <c r="D300" s="44">
        <v>1326786.6239292</v>
      </c>
    </row>
    <row r="301" spans="1:4" x14ac:dyDescent="0.4">
      <c r="A301" s="6">
        <v>488.51</v>
      </c>
      <c r="B301" s="44">
        <v>287978.23913129</v>
      </c>
      <c r="C301" s="44">
        <v>291240.14676709002</v>
      </c>
      <c r="D301" s="44">
        <v>1323906.4862627001</v>
      </c>
    </row>
    <row r="302" spans="1:4" x14ac:dyDescent="0.4">
      <c r="A302" s="6">
        <v>488.5</v>
      </c>
      <c r="B302" s="44">
        <v>287904.55626253999</v>
      </c>
      <c r="C302" s="44">
        <v>291156.94197941001</v>
      </c>
      <c r="D302" s="44">
        <v>1321027.0312113001</v>
      </c>
    </row>
    <row r="303" spans="1:4" x14ac:dyDescent="0.4">
      <c r="A303" s="6">
        <v>488.49</v>
      </c>
      <c r="B303" s="44">
        <v>287830.86405807</v>
      </c>
      <c r="C303" s="44">
        <v>291073.73037372</v>
      </c>
      <c r="D303" s="44">
        <v>1318148.3398661001</v>
      </c>
    </row>
    <row r="304" spans="1:4" x14ac:dyDescent="0.4">
      <c r="A304" s="6">
        <v>488.48</v>
      </c>
      <c r="B304" s="44">
        <v>287757.17404858</v>
      </c>
      <c r="C304" s="44">
        <v>290990.52432438999</v>
      </c>
      <c r="D304" s="44">
        <v>1315270.4238605001</v>
      </c>
    </row>
    <row r="305" spans="1:4" x14ac:dyDescent="0.4">
      <c r="A305" s="6">
        <v>488.47</v>
      </c>
      <c r="B305" s="44">
        <v>287683.45844587003</v>
      </c>
      <c r="C305" s="44">
        <v>290907.29703535</v>
      </c>
      <c r="D305" s="44">
        <v>1312393.2419616999</v>
      </c>
    </row>
    <row r="306" spans="1:4" x14ac:dyDescent="0.4">
      <c r="A306" s="6">
        <v>488.46</v>
      </c>
      <c r="B306" s="44">
        <v>287609.71068691002</v>
      </c>
      <c r="C306" s="44">
        <v>290824.04106404999</v>
      </c>
      <c r="D306" s="44">
        <v>1309516.8094643001</v>
      </c>
    </row>
    <row r="307" spans="1:4" x14ac:dyDescent="0.4">
      <c r="A307" s="6">
        <v>488.45</v>
      </c>
      <c r="B307" s="44">
        <v>287535.99554178002</v>
      </c>
      <c r="C307" s="44">
        <v>290740.82091079</v>
      </c>
      <c r="D307" s="44">
        <v>1306641.1109468001</v>
      </c>
    </row>
    <row r="308" spans="1:4" x14ac:dyDescent="0.4">
      <c r="A308" s="6">
        <v>488.44</v>
      </c>
      <c r="B308" s="44">
        <v>287462.26540638</v>
      </c>
      <c r="C308" s="44">
        <v>290657.58827375999</v>
      </c>
      <c r="D308" s="44">
        <v>1303766.0916420999</v>
      </c>
    </row>
    <row r="309" spans="1:4" x14ac:dyDescent="0.4">
      <c r="A309" s="6">
        <v>488.43</v>
      </c>
      <c r="B309" s="44">
        <v>287388.57911332999</v>
      </c>
      <c r="C309" s="44">
        <v>290574.40169437998</v>
      </c>
      <c r="D309" s="44">
        <v>1300891.8656057001</v>
      </c>
    </row>
    <row r="310" spans="1:4" x14ac:dyDescent="0.4">
      <c r="A310" s="6">
        <v>488.42</v>
      </c>
      <c r="B310" s="44">
        <v>287314.93462473003</v>
      </c>
      <c r="C310" s="44">
        <v>290491.25947152998</v>
      </c>
      <c r="D310" s="44">
        <v>1298018.3973407999</v>
      </c>
    </row>
    <row r="311" spans="1:4" x14ac:dyDescent="0.4">
      <c r="A311" s="6">
        <v>488.41</v>
      </c>
      <c r="B311" s="44">
        <v>287241.32668643998</v>
      </c>
      <c r="C311" s="44">
        <v>290408.15518937999</v>
      </c>
      <c r="D311" s="44">
        <v>1295145.6276491999</v>
      </c>
    </row>
    <row r="312" spans="1:4" x14ac:dyDescent="0.4">
      <c r="A312" s="6">
        <v>488.4</v>
      </c>
      <c r="B312" s="44">
        <v>287167.67560694</v>
      </c>
      <c r="C312" s="44">
        <v>290325.01257543999</v>
      </c>
      <c r="D312" s="44">
        <v>1292273.5687561</v>
      </c>
    </row>
    <row r="313" spans="1:4" x14ac:dyDescent="0.4">
      <c r="A313" s="6">
        <v>488.39</v>
      </c>
      <c r="B313" s="44">
        <v>287093.57679142</v>
      </c>
      <c r="C313" s="44">
        <v>290241.42729929998</v>
      </c>
      <c r="D313" s="44">
        <v>1289402.2576915999</v>
      </c>
    </row>
    <row r="314" spans="1:4" x14ac:dyDescent="0.4">
      <c r="A314" s="6">
        <v>488.38</v>
      </c>
      <c r="B314" s="44">
        <v>287020.05793831003</v>
      </c>
      <c r="C314" s="44">
        <v>290158.42210045003</v>
      </c>
      <c r="D314" s="44">
        <v>1286531.7077255</v>
      </c>
    </row>
    <row r="315" spans="1:4" x14ac:dyDescent="0.4">
      <c r="A315" s="6">
        <v>488.37</v>
      </c>
      <c r="B315" s="44">
        <v>286946.62747896003</v>
      </c>
      <c r="C315" s="44">
        <v>290075.50726003002</v>
      </c>
      <c r="D315" s="44">
        <v>1283661.8768058</v>
      </c>
    </row>
    <row r="316" spans="1:4" x14ac:dyDescent="0.4">
      <c r="A316" s="6">
        <v>488.36</v>
      </c>
      <c r="B316" s="44">
        <v>286873.17889565998</v>
      </c>
      <c r="C316" s="44">
        <v>289992.57567002001</v>
      </c>
      <c r="D316" s="44">
        <v>1280792.7929994001</v>
      </c>
    </row>
    <row r="317" spans="1:4" x14ac:dyDescent="0.4">
      <c r="A317" s="6">
        <v>488.35</v>
      </c>
      <c r="B317" s="44">
        <v>286799.69033225998</v>
      </c>
      <c r="C317" s="44">
        <v>289909.60750580003</v>
      </c>
      <c r="D317" s="44">
        <v>1277924.4814027001</v>
      </c>
    </row>
    <row r="318" spans="1:4" x14ac:dyDescent="0.4">
      <c r="A318" s="6">
        <v>488.34</v>
      </c>
      <c r="B318" s="44">
        <v>286726.19515602</v>
      </c>
      <c r="C318" s="44">
        <v>289826.63648642</v>
      </c>
      <c r="D318" s="44">
        <v>1275056.8270582999</v>
      </c>
    </row>
    <row r="319" spans="1:4" x14ac:dyDescent="0.4">
      <c r="A319" s="6">
        <v>488.33</v>
      </c>
      <c r="B319" s="44">
        <v>286652.69483421999</v>
      </c>
      <c r="C319" s="44">
        <v>289743.66279599001</v>
      </c>
      <c r="D319" s="44">
        <v>1272189.9929577999</v>
      </c>
    </row>
    <row r="320" spans="1:4" x14ac:dyDescent="0.4">
      <c r="A320" s="6">
        <v>488.32</v>
      </c>
      <c r="B320" s="44">
        <v>286579.22636461002</v>
      </c>
      <c r="C320" s="44">
        <v>289660.72547483997</v>
      </c>
      <c r="D320" s="44">
        <v>1269323.8844381</v>
      </c>
    </row>
    <row r="321" spans="1:4" x14ac:dyDescent="0.4">
      <c r="A321" s="6">
        <v>488.31</v>
      </c>
      <c r="B321" s="44">
        <v>286505.73053673998</v>
      </c>
      <c r="C321" s="44">
        <v>289577.76493121998</v>
      </c>
      <c r="D321" s="44">
        <v>1266458.5017736999</v>
      </c>
    </row>
    <row r="322" spans="1:4" x14ac:dyDescent="0.4">
      <c r="A322" s="6">
        <v>488.3</v>
      </c>
      <c r="B322" s="44">
        <v>286432.19649885001</v>
      </c>
      <c r="C322" s="44">
        <v>289494.77191115997</v>
      </c>
      <c r="D322" s="44">
        <v>1263593.7947909001</v>
      </c>
    </row>
    <row r="323" spans="1:4" x14ac:dyDescent="0.4">
      <c r="A323" s="6">
        <v>488.29</v>
      </c>
      <c r="B323" s="44">
        <v>286358.65906681999</v>
      </c>
      <c r="C323" s="44">
        <v>289411.78163484001</v>
      </c>
      <c r="D323" s="44">
        <v>1260729.833477</v>
      </c>
    </row>
    <row r="324" spans="1:4" x14ac:dyDescent="0.4">
      <c r="A324" s="6">
        <v>488.28</v>
      </c>
      <c r="B324" s="44">
        <v>286285.10943090002</v>
      </c>
      <c r="C324" s="44">
        <v>289328.78613682999</v>
      </c>
      <c r="D324" s="44">
        <v>1257866.6622631</v>
      </c>
    </row>
    <row r="325" spans="1:4" x14ac:dyDescent="0.4">
      <c r="A325" s="6">
        <v>488.27</v>
      </c>
      <c r="B325" s="44">
        <v>286211.53946767002</v>
      </c>
      <c r="C325" s="44">
        <v>289245.77710394998</v>
      </c>
      <c r="D325" s="44">
        <v>1255004.1894374001</v>
      </c>
    </row>
    <row r="326" spans="1:4" x14ac:dyDescent="0.4">
      <c r="A326" s="6">
        <v>488.26</v>
      </c>
      <c r="B326" s="44">
        <v>286137.91690329002</v>
      </c>
      <c r="C326" s="44">
        <v>289162.72229316999</v>
      </c>
      <c r="D326" s="44">
        <v>1252142.4398667</v>
      </c>
    </row>
    <row r="327" spans="1:4" x14ac:dyDescent="0.4">
      <c r="A327" s="6">
        <v>488.25</v>
      </c>
      <c r="B327" s="44">
        <v>286064.28357238998</v>
      </c>
      <c r="C327" s="44">
        <v>289079.66396760999</v>
      </c>
      <c r="D327" s="44">
        <v>1249281.4928021</v>
      </c>
    </row>
    <row r="328" spans="1:4" x14ac:dyDescent="0.4">
      <c r="A328" s="6">
        <v>488.24</v>
      </c>
      <c r="B328" s="44">
        <v>285990.62279612001</v>
      </c>
      <c r="C328" s="44">
        <v>288996.58771301998</v>
      </c>
      <c r="D328" s="44">
        <v>1246421.226797</v>
      </c>
    </row>
    <row r="329" spans="1:4" x14ac:dyDescent="0.4">
      <c r="A329" s="6">
        <v>488.23</v>
      </c>
      <c r="B329" s="44">
        <v>285916.94988704001</v>
      </c>
      <c r="C329" s="44">
        <v>288913.50861771998</v>
      </c>
      <c r="D329" s="44">
        <v>1243561.7561633</v>
      </c>
    </row>
    <row r="330" spans="1:4" x14ac:dyDescent="0.4">
      <c r="A330" s="6">
        <v>488.22</v>
      </c>
      <c r="B330" s="44">
        <v>285843.24276401999</v>
      </c>
      <c r="C330" s="44">
        <v>288830.40424598003</v>
      </c>
      <c r="D330" s="44">
        <v>1240702.9354506</v>
      </c>
    </row>
    <row r="331" spans="1:4" x14ac:dyDescent="0.4">
      <c r="A331" s="6">
        <v>488.21</v>
      </c>
      <c r="B331" s="44">
        <v>285769.39851770998</v>
      </c>
      <c r="C331" s="44">
        <v>288747.1712783</v>
      </c>
      <c r="D331" s="44">
        <v>1237844.9247256001</v>
      </c>
    </row>
    <row r="332" spans="1:4" x14ac:dyDescent="0.4">
      <c r="A332" s="6">
        <v>488.2</v>
      </c>
      <c r="B332" s="44">
        <v>285695.12168083998</v>
      </c>
      <c r="C332" s="44">
        <v>288663.51800535002</v>
      </c>
      <c r="D332" s="44">
        <v>1234987.6051076001</v>
      </c>
    </row>
    <row r="333" spans="1:4" x14ac:dyDescent="0.4">
      <c r="A333" s="6">
        <v>488.19</v>
      </c>
      <c r="B333" s="44">
        <v>285620.51532037999</v>
      </c>
      <c r="C333" s="44">
        <v>288579.54533171002</v>
      </c>
      <c r="D333" s="44">
        <v>1232130.9755797</v>
      </c>
    </row>
    <row r="334" spans="1:4" x14ac:dyDescent="0.4">
      <c r="A334" s="6">
        <v>488.18</v>
      </c>
      <c r="B334" s="44">
        <v>285545.98593813</v>
      </c>
      <c r="C334" s="44">
        <v>288495.66350185999</v>
      </c>
      <c r="D334" s="44">
        <v>1229275.2022776001</v>
      </c>
    </row>
    <row r="335" spans="1:4" x14ac:dyDescent="0.4">
      <c r="A335" s="6">
        <v>488.17</v>
      </c>
      <c r="B335" s="44">
        <v>285471.22160125</v>
      </c>
      <c r="C335" s="44">
        <v>288411.56294050999</v>
      </c>
      <c r="D335" s="44">
        <v>1226420.1259184999</v>
      </c>
    </row>
    <row r="336" spans="1:4" x14ac:dyDescent="0.4">
      <c r="A336" s="6">
        <v>488.16</v>
      </c>
      <c r="B336" s="44">
        <v>285396.33741178998</v>
      </c>
      <c r="C336" s="44">
        <v>288327.35609073</v>
      </c>
      <c r="D336" s="44">
        <v>1223565.8094589999</v>
      </c>
    </row>
    <row r="337" spans="1:4" x14ac:dyDescent="0.4">
      <c r="A337" s="6">
        <v>488.15</v>
      </c>
      <c r="B337" s="44">
        <v>285321.30360704998</v>
      </c>
      <c r="C337" s="44">
        <v>288243.01438737998</v>
      </c>
      <c r="D337" s="44">
        <v>1220712.2717140999</v>
      </c>
    </row>
    <row r="338" spans="1:4" x14ac:dyDescent="0.4">
      <c r="A338" s="6">
        <v>488.14</v>
      </c>
      <c r="B338" s="44">
        <v>285246.06360086001</v>
      </c>
      <c r="C338" s="44">
        <v>288158.48385585001</v>
      </c>
      <c r="D338" s="44">
        <v>1217859.4908137999</v>
      </c>
    </row>
    <row r="339" spans="1:4" x14ac:dyDescent="0.4">
      <c r="A339" s="6">
        <v>488.13</v>
      </c>
      <c r="B339" s="44">
        <v>285170.67810988001</v>
      </c>
      <c r="C339" s="44">
        <v>288073.82574866002</v>
      </c>
      <c r="D339" s="44">
        <v>1215007.4152285999</v>
      </c>
    </row>
    <row r="340" spans="1:4" x14ac:dyDescent="0.4">
      <c r="A340" s="6">
        <v>488.12</v>
      </c>
      <c r="B340" s="44">
        <v>285095.12718348001</v>
      </c>
      <c r="C340" s="44">
        <v>287989.01919785998</v>
      </c>
      <c r="D340" s="44">
        <v>1212156.1084135999</v>
      </c>
    </row>
    <row r="341" spans="1:4" x14ac:dyDescent="0.4">
      <c r="A341" s="6">
        <v>488.11</v>
      </c>
      <c r="B341" s="44">
        <v>285019.42912216001</v>
      </c>
      <c r="C341" s="44">
        <v>287904.08000785997</v>
      </c>
      <c r="D341" s="44">
        <v>1209305.6026244001</v>
      </c>
    </row>
    <row r="342" spans="1:4" x14ac:dyDescent="0.4">
      <c r="A342" s="6">
        <v>488.1</v>
      </c>
      <c r="B342" s="44">
        <v>284943.58593494998</v>
      </c>
      <c r="C342" s="44">
        <v>287819.00951528997</v>
      </c>
      <c r="D342" s="44">
        <v>1206455.7766032</v>
      </c>
    </row>
    <row r="343" spans="1:4" x14ac:dyDescent="0.4">
      <c r="A343" s="6">
        <v>488.09</v>
      </c>
      <c r="B343" s="44">
        <v>284867.56256565999</v>
      </c>
      <c r="C343" s="44">
        <v>287733.77355441003</v>
      </c>
      <c r="D343" s="44">
        <v>1203606.7585447</v>
      </c>
    </row>
    <row r="344" spans="1:4" x14ac:dyDescent="0.4">
      <c r="A344" s="6">
        <v>488.08</v>
      </c>
      <c r="B344" s="44">
        <v>284791.35073667002</v>
      </c>
      <c r="C344" s="44">
        <v>287648.36624427</v>
      </c>
      <c r="D344" s="44">
        <v>1200758.448846</v>
      </c>
    </row>
    <row r="345" spans="1:4" x14ac:dyDescent="0.4">
      <c r="A345" s="6">
        <v>488.07</v>
      </c>
      <c r="B345" s="44">
        <v>284714.95540405001</v>
      </c>
      <c r="C345" s="44">
        <v>287562.79469230003</v>
      </c>
      <c r="D345" s="44">
        <v>1197910.9776409999</v>
      </c>
    </row>
    <row r="346" spans="1:4" x14ac:dyDescent="0.4">
      <c r="A346" s="6">
        <v>488.06</v>
      </c>
      <c r="B346" s="44">
        <v>284638.35864122002</v>
      </c>
      <c r="C346" s="44">
        <v>287477.04308529</v>
      </c>
      <c r="D346" s="44">
        <v>1195064.2566670999</v>
      </c>
    </row>
    <row r="347" spans="1:4" x14ac:dyDescent="0.4">
      <c r="A347" s="6">
        <v>488.05</v>
      </c>
      <c r="B347" s="44">
        <v>284561.50293567003</v>
      </c>
      <c r="C347" s="44">
        <v>287391.05603629001</v>
      </c>
      <c r="D347" s="44">
        <v>1192218.2930665</v>
      </c>
    </row>
    <row r="348" spans="1:4" x14ac:dyDescent="0.4">
      <c r="A348" s="6">
        <v>488.04</v>
      </c>
      <c r="B348" s="44">
        <v>284484.40423231001</v>
      </c>
      <c r="C348" s="44">
        <v>287304.85041383002</v>
      </c>
      <c r="D348" s="44">
        <v>1189373.1169257001</v>
      </c>
    </row>
    <row r="349" spans="1:4" x14ac:dyDescent="0.4">
      <c r="A349" s="6">
        <v>488.03</v>
      </c>
      <c r="B349" s="44">
        <v>284406.99369313999</v>
      </c>
      <c r="C349" s="44">
        <v>287218.35812498</v>
      </c>
      <c r="D349" s="44">
        <v>1186528.7602687001</v>
      </c>
    </row>
    <row r="350" spans="1:4" x14ac:dyDescent="0.4">
      <c r="A350" s="6">
        <v>488.02</v>
      </c>
      <c r="B350" s="44">
        <v>284329.14208786999</v>
      </c>
      <c r="C350" s="44">
        <v>287131.45482281997</v>
      </c>
      <c r="D350" s="44">
        <v>1183685.1329061</v>
      </c>
    </row>
    <row r="351" spans="1:4" x14ac:dyDescent="0.4">
      <c r="A351" s="6">
        <v>488.01</v>
      </c>
      <c r="B351" s="44">
        <v>284250.51517620002</v>
      </c>
      <c r="C351" s="44">
        <v>287043.80869276001</v>
      </c>
      <c r="D351" s="44">
        <v>1180842.294822</v>
      </c>
    </row>
    <row r="352" spans="1:4" x14ac:dyDescent="0.4">
      <c r="A352" s="6">
        <v>488</v>
      </c>
      <c r="B352" s="44">
        <v>284166.87304391002</v>
      </c>
      <c r="C352" s="44">
        <v>286951.18692974001</v>
      </c>
      <c r="D352" s="44">
        <v>1178000.2126780001</v>
      </c>
    </row>
    <row r="353" spans="1:4" x14ac:dyDescent="0.4">
      <c r="A353" s="6">
        <v>487.99</v>
      </c>
      <c r="B353" s="44">
        <v>284054.68012570002</v>
      </c>
      <c r="C353" s="44">
        <v>286830.05853858002</v>
      </c>
      <c r="D353" s="44">
        <v>1175159.2721641001</v>
      </c>
    </row>
    <row r="354" spans="1:4" x14ac:dyDescent="0.4">
      <c r="A354" s="6">
        <v>487.98</v>
      </c>
      <c r="B354" s="44">
        <v>283974.51429756999</v>
      </c>
      <c r="C354" s="44">
        <v>286740.98239175999</v>
      </c>
      <c r="D354" s="44">
        <v>1172319.1797686999</v>
      </c>
    </row>
    <row r="355" spans="1:4" x14ac:dyDescent="0.4">
      <c r="A355" s="6">
        <v>487.97</v>
      </c>
      <c r="B355" s="44">
        <v>283894.57149218</v>
      </c>
      <c r="C355" s="44">
        <v>286652.16235752002</v>
      </c>
      <c r="D355" s="44">
        <v>1169479.8090295</v>
      </c>
    </row>
    <row r="356" spans="1:4" x14ac:dyDescent="0.4">
      <c r="A356" s="6">
        <v>487.96</v>
      </c>
      <c r="B356" s="44">
        <v>283814.62714279001</v>
      </c>
      <c r="C356" s="44">
        <v>286563.37124891998</v>
      </c>
      <c r="D356" s="44">
        <v>1166641.2531516999</v>
      </c>
    </row>
    <row r="357" spans="1:4" x14ac:dyDescent="0.4">
      <c r="A357" s="6">
        <v>487.95</v>
      </c>
      <c r="B357" s="44">
        <v>283734.64744923002</v>
      </c>
      <c r="C357" s="44">
        <v>286474.57390757999</v>
      </c>
      <c r="D357" s="44">
        <v>1163803.4734428001</v>
      </c>
    </row>
    <row r="358" spans="1:4" x14ac:dyDescent="0.4">
      <c r="A358" s="6">
        <v>487.94</v>
      </c>
      <c r="B358" s="44">
        <v>283654.60187453998</v>
      </c>
      <c r="C358" s="44">
        <v>286385.7395733</v>
      </c>
      <c r="D358" s="44">
        <v>1160966.5046478999</v>
      </c>
    </row>
    <row r="359" spans="1:4" x14ac:dyDescent="0.4">
      <c r="A359" s="6">
        <v>487.93</v>
      </c>
      <c r="B359" s="44">
        <v>283574.52701317001</v>
      </c>
      <c r="C359" s="44">
        <v>286296.90387505002</v>
      </c>
      <c r="D359" s="44">
        <v>1158130.4347303</v>
      </c>
    </row>
    <row r="360" spans="1:4" x14ac:dyDescent="0.4">
      <c r="A360" s="6">
        <v>487.92</v>
      </c>
      <c r="B360" s="44">
        <v>283494.43609173002</v>
      </c>
      <c r="C360" s="44">
        <v>286208.07821265998</v>
      </c>
      <c r="D360" s="44">
        <v>1155295.1114674001</v>
      </c>
    </row>
    <row r="361" spans="1:4" x14ac:dyDescent="0.4">
      <c r="A361" s="6">
        <v>487.91</v>
      </c>
      <c r="B361" s="44">
        <v>283414.34544935997</v>
      </c>
      <c r="C361" s="44">
        <v>286119.27834204998</v>
      </c>
      <c r="D361" s="44">
        <v>1152460.5816635001</v>
      </c>
    </row>
    <row r="362" spans="1:4" x14ac:dyDescent="0.4">
      <c r="A362" s="6">
        <v>487.9</v>
      </c>
      <c r="B362" s="44">
        <v>283334.18304030999</v>
      </c>
      <c r="C362" s="44">
        <v>286030.43268059997</v>
      </c>
      <c r="D362" s="44">
        <v>1149626.9079952</v>
      </c>
    </row>
    <row r="363" spans="1:4" x14ac:dyDescent="0.4">
      <c r="A363" s="6">
        <v>487.89</v>
      </c>
      <c r="B363" s="44">
        <v>283254.03528895002</v>
      </c>
      <c r="C363" s="44">
        <v>285941.62964350003</v>
      </c>
      <c r="D363" s="44">
        <v>1146794.0362833999</v>
      </c>
    </row>
    <row r="364" spans="1:4" x14ac:dyDescent="0.4">
      <c r="A364" s="6">
        <v>487.88</v>
      </c>
      <c r="B364" s="44">
        <v>283173.84580159001</v>
      </c>
      <c r="C364" s="44">
        <v>285852.81177874998</v>
      </c>
      <c r="D364" s="44">
        <v>1143961.9491159001</v>
      </c>
    </row>
    <row r="365" spans="1:4" x14ac:dyDescent="0.4">
      <c r="A365" s="6">
        <v>487.87</v>
      </c>
      <c r="B365" s="44">
        <v>283093.57159223</v>
      </c>
      <c r="C365" s="44">
        <v>285763.93768442998</v>
      </c>
      <c r="D365" s="44">
        <v>1141130.6322290001</v>
      </c>
    </row>
    <row r="366" spans="1:4" x14ac:dyDescent="0.4">
      <c r="A366" s="6">
        <v>487.86</v>
      </c>
      <c r="B366" s="44">
        <v>283013.20280718</v>
      </c>
      <c r="C366" s="44">
        <v>285675.00202014</v>
      </c>
      <c r="D366" s="44">
        <v>1138300.1160035999</v>
      </c>
    </row>
    <row r="367" spans="1:4" x14ac:dyDescent="0.4">
      <c r="A367" s="6">
        <v>487.85</v>
      </c>
      <c r="B367" s="44">
        <v>282932.67745358997</v>
      </c>
      <c r="C367" s="44">
        <v>285585.94572978001</v>
      </c>
      <c r="D367" s="44">
        <v>1135470.3793105001</v>
      </c>
    </row>
    <row r="368" spans="1:4" x14ac:dyDescent="0.4">
      <c r="A368" s="6">
        <v>487.84</v>
      </c>
      <c r="B368" s="44">
        <v>282851.9946494</v>
      </c>
      <c r="C368" s="44">
        <v>285496.77303171001</v>
      </c>
      <c r="D368" s="44">
        <v>1132641.507246</v>
      </c>
    </row>
    <row r="369" spans="1:4" x14ac:dyDescent="0.4">
      <c r="A369" s="6">
        <v>487.83</v>
      </c>
      <c r="B369" s="44">
        <v>282771.03951032</v>
      </c>
      <c r="C369" s="44">
        <v>285407.37234368001</v>
      </c>
      <c r="D369" s="44">
        <v>1129813.4074404</v>
      </c>
    </row>
    <row r="370" spans="1:4" x14ac:dyDescent="0.4">
      <c r="A370" s="6">
        <v>487.82</v>
      </c>
      <c r="B370" s="44">
        <v>282689.62293736998</v>
      </c>
      <c r="C370" s="44">
        <v>285317.55971012003</v>
      </c>
      <c r="D370" s="44">
        <v>1126986.1940125001</v>
      </c>
    </row>
    <row r="371" spans="1:4" x14ac:dyDescent="0.4">
      <c r="A371" s="6">
        <v>487.81</v>
      </c>
      <c r="B371" s="44">
        <v>282607.34170933999</v>
      </c>
      <c r="C371" s="44">
        <v>285226.93882584001</v>
      </c>
      <c r="D371" s="44">
        <v>1124159.8143988</v>
      </c>
    </row>
    <row r="372" spans="1:4" x14ac:dyDescent="0.4">
      <c r="A372" s="6">
        <v>487.8</v>
      </c>
      <c r="B372" s="44">
        <v>282520.31457022001</v>
      </c>
      <c r="C372" s="44">
        <v>285131.64163168002</v>
      </c>
      <c r="D372" s="44">
        <v>1121334.1993837</v>
      </c>
    </row>
    <row r="373" spans="1:4" x14ac:dyDescent="0.4">
      <c r="A373" s="6">
        <v>487.79</v>
      </c>
      <c r="B373" s="44">
        <v>282400.30131194001</v>
      </c>
      <c r="C373" s="44">
        <v>285003.43891889002</v>
      </c>
      <c r="D373" s="44">
        <v>1118509.8169670999</v>
      </c>
    </row>
    <row r="374" spans="1:4" x14ac:dyDescent="0.4">
      <c r="A374" s="6">
        <v>487.78</v>
      </c>
      <c r="B374" s="44">
        <v>282312.43422356999</v>
      </c>
      <c r="C374" s="44">
        <v>284907.45021947002</v>
      </c>
      <c r="D374" s="44">
        <v>1115686.2229257999</v>
      </c>
    </row>
    <row r="375" spans="1:4" x14ac:dyDescent="0.4">
      <c r="A375" s="6">
        <v>487.77</v>
      </c>
      <c r="B375" s="44">
        <v>282223.37139680999</v>
      </c>
      <c r="C375" s="44">
        <v>284810.32650611002</v>
      </c>
      <c r="D375" s="44">
        <v>1112863.5476470999</v>
      </c>
    </row>
    <row r="376" spans="1:4" x14ac:dyDescent="0.4">
      <c r="A376" s="6">
        <v>487.76</v>
      </c>
      <c r="B376" s="44">
        <v>282133.34050083999</v>
      </c>
      <c r="C376" s="44">
        <v>284712.28664556</v>
      </c>
      <c r="D376" s="44">
        <v>1110041.7677575999</v>
      </c>
    </row>
    <row r="377" spans="1:4" x14ac:dyDescent="0.4">
      <c r="A377" s="6">
        <v>487.75</v>
      </c>
      <c r="B377" s="44">
        <v>282042.57772350998</v>
      </c>
      <c r="C377" s="44">
        <v>284613.55947058002</v>
      </c>
      <c r="D377" s="44">
        <v>1107220.9348009001</v>
      </c>
    </row>
    <row r="378" spans="1:4" x14ac:dyDescent="0.4">
      <c r="A378" s="6">
        <v>487.74</v>
      </c>
      <c r="B378" s="44">
        <v>281951.14972117002</v>
      </c>
      <c r="C378" s="44">
        <v>284514.20017213002</v>
      </c>
      <c r="D378" s="44">
        <v>1104401.0212795001</v>
      </c>
    </row>
    <row r="379" spans="1:4" x14ac:dyDescent="0.4">
      <c r="A379" s="6">
        <v>487.73</v>
      </c>
      <c r="B379" s="44">
        <v>281859.10135077999</v>
      </c>
      <c r="C379" s="44">
        <v>284414.24946907</v>
      </c>
      <c r="D379" s="44">
        <v>1101582.0139150999</v>
      </c>
    </row>
    <row r="380" spans="1:4" x14ac:dyDescent="0.4">
      <c r="A380" s="6">
        <v>487.72</v>
      </c>
      <c r="B380" s="44">
        <v>281766.55144019</v>
      </c>
      <c r="C380" s="44">
        <v>284313.82179234998</v>
      </c>
      <c r="D380" s="44">
        <v>1098763.9447391001</v>
      </c>
    </row>
    <row r="381" spans="1:4" x14ac:dyDescent="0.4">
      <c r="A381" s="6">
        <v>487.71</v>
      </c>
      <c r="B381" s="44">
        <v>281673.45327373</v>
      </c>
      <c r="C381" s="44">
        <v>284212.86945285002</v>
      </c>
      <c r="D381" s="44">
        <v>1095946.7679538</v>
      </c>
    </row>
    <row r="382" spans="1:4" x14ac:dyDescent="0.4">
      <c r="A382" s="6">
        <v>487.7</v>
      </c>
      <c r="B382" s="44">
        <v>281579.88056522002</v>
      </c>
      <c r="C382" s="44">
        <v>284111.46584212</v>
      </c>
      <c r="D382" s="44">
        <v>1093130.5326224</v>
      </c>
    </row>
    <row r="383" spans="1:4" x14ac:dyDescent="0.4">
      <c r="A383" s="6">
        <v>487.69</v>
      </c>
      <c r="B383" s="44">
        <v>281485.85159922001</v>
      </c>
      <c r="C383" s="44">
        <v>284009.62838352</v>
      </c>
      <c r="D383" s="44">
        <v>1090315.2170992</v>
      </c>
    </row>
    <row r="384" spans="1:4" x14ac:dyDescent="0.4">
      <c r="A384" s="6">
        <v>487.68</v>
      </c>
      <c r="B384" s="44">
        <v>281391.36635134002</v>
      </c>
      <c r="C384" s="44">
        <v>283907.35723273997</v>
      </c>
      <c r="D384" s="44">
        <v>1087500.8644961</v>
      </c>
    </row>
    <row r="385" spans="1:4" x14ac:dyDescent="0.4">
      <c r="A385" s="6">
        <v>487.67</v>
      </c>
      <c r="B385" s="44">
        <v>281296.32054062001</v>
      </c>
      <c r="C385" s="44">
        <v>283804.54855940002</v>
      </c>
      <c r="D385" s="44">
        <v>1084687.4314516</v>
      </c>
    </row>
    <row r="386" spans="1:4" x14ac:dyDescent="0.4">
      <c r="A386" s="6">
        <v>487.66</v>
      </c>
      <c r="B386" s="44">
        <v>281200.72972792003</v>
      </c>
      <c r="C386" s="44">
        <v>283701.22155776003</v>
      </c>
      <c r="D386" s="44">
        <v>1081874.9718017001</v>
      </c>
    </row>
    <row r="387" spans="1:4" x14ac:dyDescent="0.4">
      <c r="A387" s="6">
        <v>487.65</v>
      </c>
      <c r="B387" s="44">
        <v>281104.51781935</v>
      </c>
      <c r="C387" s="44">
        <v>283597.30396072002</v>
      </c>
      <c r="D387" s="44">
        <v>1079063.4864382001</v>
      </c>
    </row>
    <row r="388" spans="1:4" x14ac:dyDescent="0.4">
      <c r="A388" s="6">
        <v>487.64</v>
      </c>
      <c r="B388" s="44">
        <v>281007.58030819998</v>
      </c>
      <c r="C388" s="44">
        <v>283492.69486524002</v>
      </c>
      <c r="D388" s="44">
        <v>1076252.9647560001</v>
      </c>
    </row>
    <row r="389" spans="1:4" x14ac:dyDescent="0.4">
      <c r="A389" s="6">
        <v>487.63</v>
      </c>
      <c r="B389" s="44">
        <v>280909.76975069998</v>
      </c>
      <c r="C389" s="44">
        <v>283387.25205888</v>
      </c>
      <c r="D389" s="44">
        <v>1073443.3936258</v>
      </c>
    </row>
    <row r="390" spans="1:4" x14ac:dyDescent="0.4">
      <c r="A390" s="6">
        <v>487.62</v>
      </c>
      <c r="B390" s="44">
        <v>280810.71985379001</v>
      </c>
      <c r="C390" s="44">
        <v>283280.61426157999</v>
      </c>
      <c r="D390" s="44">
        <v>1070634.8405845</v>
      </c>
    </row>
    <row r="391" spans="1:4" x14ac:dyDescent="0.4">
      <c r="A391" s="6">
        <v>487.61</v>
      </c>
      <c r="B391" s="44">
        <v>280709.17996118998</v>
      </c>
      <c r="C391" s="44">
        <v>283171.54192549002</v>
      </c>
      <c r="D391" s="44">
        <v>1067827.2860359999</v>
      </c>
    </row>
    <row r="392" spans="1:4" x14ac:dyDescent="0.4">
      <c r="A392" s="6">
        <v>487.6</v>
      </c>
      <c r="B392" s="44">
        <v>279760.95917876001</v>
      </c>
      <c r="C392" s="44">
        <v>282215.86260560999</v>
      </c>
      <c r="D392" s="44">
        <v>1065020.8161347001</v>
      </c>
    </row>
    <row r="393" spans="1:4" x14ac:dyDescent="0.4">
      <c r="A393" s="6">
        <v>487.59</v>
      </c>
      <c r="B393" s="44">
        <v>279614.16580547002</v>
      </c>
      <c r="C393" s="44">
        <v>282061.68710958998</v>
      </c>
      <c r="D393" s="44">
        <v>1062223.9940957001</v>
      </c>
    </row>
    <row r="394" spans="1:4" x14ac:dyDescent="0.4">
      <c r="A394" s="6">
        <v>487.58</v>
      </c>
      <c r="B394" s="44">
        <v>279485.83714121999</v>
      </c>
      <c r="C394" s="44">
        <v>281926.02922894002</v>
      </c>
      <c r="D394" s="44">
        <v>1059428.4840901999</v>
      </c>
    </row>
    <row r="395" spans="1:4" x14ac:dyDescent="0.4">
      <c r="A395" s="6">
        <v>487.57</v>
      </c>
      <c r="B395" s="44">
        <v>279356.48000341997</v>
      </c>
      <c r="C395" s="44">
        <v>281789.39052125002</v>
      </c>
      <c r="D395" s="44">
        <v>1056634.2593326</v>
      </c>
    </row>
    <row r="396" spans="1:4" x14ac:dyDescent="0.4">
      <c r="A396" s="6">
        <v>487.56</v>
      </c>
      <c r="B396" s="44">
        <v>279226.67102256999</v>
      </c>
      <c r="C396" s="44">
        <v>281652.33980924002</v>
      </c>
      <c r="D396" s="44">
        <v>1053841.3136344</v>
      </c>
    </row>
    <row r="397" spans="1:4" x14ac:dyDescent="0.4">
      <c r="A397" s="6">
        <v>487.55</v>
      </c>
      <c r="B397" s="44">
        <v>279096.46292443998</v>
      </c>
      <c r="C397" s="44">
        <v>281514.91932788998</v>
      </c>
      <c r="D397" s="44">
        <v>1051049.7049368001</v>
      </c>
    </row>
    <row r="398" spans="1:4" x14ac:dyDescent="0.4">
      <c r="A398" s="6">
        <v>487.54</v>
      </c>
      <c r="B398" s="44">
        <v>278965.98531829001</v>
      </c>
      <c r="C398" s="44">
        <v>281377.25682605</v>
      </c>
      <c r="D398" s="44">
        <v>1048259.4063135</v>
      </c>
    </row>
    <row r="399" spans="1:4" x14ac:dyDescent="0.4">
      <c r="A399" s="6">
        <v>487.53</v>
      </c>
      <c r="B399" s="44">
        <v>278835.39465850999</v>
      </c>
      <c r="C399" s="44">
        <v>281239.50098081998</v>
      </c>
      <c r="D399" s="44">
        <v>1045470.3619771</v>
      </c>
    </row>
    <row r="400" spans="1:4" x14ac:dyDescent="0.4">
      <c r="A400" s="6">
        <v>487.52</v>
      </c>
      <c r="B400" s="44">
        <v>278704.81586997001</v>
      </c>
      <c r="C400" s="44">
        <v>281101.77032810001</v>
      </c>
      <c r="D400" s="44">
        <v>1042682.6765433</v>
      </c>
    </row>
    <row r="401" spans="1:4" x14ac:dyDescent="0.4">
      <c r="A401" s="6">
        <v>487.51</v>
      </c>
      <c r="B401" s="44">
        <v>278574.12994979997</v>
      </c>
      <c r="C401" s="44">
        <v>280963.94559864001</v>
      </c>
      <c r="D401" s="44">
        <v>1039896.2914503</v>
      </c>
    </row>
    <row r="402" spans="1:4" x14ac:dyDescent="0.4">
      <c r="A402" s="6">
        <v>487.5</v>
      </c>
      <c r="B402" s="44">
        <v>278443.46472732001</v>
      </c>
      <c r="C402" s="44">
        <v>280826.15081910999</v>
      </c>
      <c r="D402" s="44">
        <v>1037111.2349617</v>
      </c>
    </row>
    <row r="403" spans="1:4" x14ac:dyDescent="0.4">
      <c r="A403" s="6">
        <v>487.49</v>
      </c>
      <c r="B403" s="44">
        <v>278312.84111415001</v>
      </c>
      <c r="C403" s="44">
        <v>280688.40564447001</v>
      </c>
      <c r="D403" s="44">
        <v>1034327.469937</v>
      </c>
    </row>
    <row r="404" spans="1:4" x14ac:dyDescent="0.4">
      <c r="A404" s="6">
        <v>487.48</v>
      </c>
      <c r="B404" s="44">
        <v>278182.21197379997</v>
      </c>
      <c r="C404" s="44">
        <v>280550.66278845997</v>
      </c>
      <c r="D404" s="44">
        <v>1031545.0528818</v>
      </c>
    </row>
    <row r="405" spans="1:4" x14ac:dyDescent="0.4">
      <c r="A405" s="6">
        <v>487.47</v>
      </c>
      <c r="B405" s="44">
        <v>278051.59269557003</v>
      </c>
      <c r="C405" s="44">
        <v>280412.93883533002</v>
      </c>
      <c r="D405" s="44">
        <v>1028763.8942884</v>
      </c>
    </row>
    <row r="406" spans="1:4" x14ac:dyDescent="0.4">
      <c r="A406" s="6">
        <v>487.46</v>
      </c>
      <c r="B406" s="44">
        <v>277920.96010968002</v>
      </c>
      <c r="C406" s="44">
        <v>280275.21038318001</v>
      </c>
      <c r="D406" s="44">
        <v>1025984.0551079999</v>
      </c>
    </row>
    <row r="407" spans="1:4" x14ac:dyDescent="0.4">
      <c r="A407" s="6">
        <v>487.45</v>
      </c>
      <c r="B407" s="44">
        <v>277790.35826551</v>
      </c>
      <c r="C407" s="44">
        <v>280137.52254446998</v>
      </c>
      <c r="D407" s="44">
        <v>1023205.52247</v>
      </c>
    </row>
    <row r="408" spans="1:4" x14ac:dyDescent="0.4">
      <c r="A408" s="6">
        <v>487.44</v>
      </c>
      <c r="B408" s="44">
        <v>277659.72440100001</v>
      </c>
      <c r="C408" s="44">
        <v>279999.81034001999</v>
      </c>
      <c r="D408" s="44">
        <v>1020428.2497206</v>
      </c>
    </row>
    <row r="409" spans="1:4" x14ac:dyDescent="0.4">
      <c r="A409" s="6">
        <v>487.43</v>
      </c>
      <c r="B409" s="44">
        <v>277529.22389895999</v>
      </c>
      <c r="C409" s="44">
        <v>279862.23895178997</v>
      </c>
      <c r="D409" s="44">
        <v>1017652.3154524</v>
      </c>
    </row>
    <row r="410" spans="1:4" x14ac:dyDescent="0.4">
      <c r="A410" s="6">
        <v>487.42</v>
      </c>
      <c r="B410" s="44">
        <v>277398.57322384999</v>
      </c>
      <c r="C410" s="44">
        <v>279724.52696162002</v>
      </c>
      <c r="D410" s="44">
        <v>1014877.68373</v>
      </c>
    </row>
    <row r="411" spans="1:4" x14ac:dyDescent="0.4">
      <c r="A411" s="6">
        <v>487.41</v>
      </c>
      <c r="B411" s="44">
        <v>277267.51090092998</v>
      </c>
      <c r="C411" s="44">
        <v>279586.40967884997</v>
      </c>
      <c r="D411" s="44">
        <v>1012104.4034574</v>
      </c>
    </row>
    <row r="412" spans="1:4" x14ac:dyDescent="0.4">
      <c r="A412" s="6">
        <v>487.4</v>
      </c>
      <c r="B412" s="44">
        <v>277106.85961866</v>
      </c>
      <c r="C412" s="44">
        <v>279418.72281258</v>
      </c>
      <c r="D412" s="44">
        <v>1009332.4257887</v>
      </c>
    </row>
    <row r="413" spans="1:4" x14ac:dyDescent="0.4">
      <c r="A413" s="6">
        <v>487.39</v>
      </c>
      <c r="B413" s="44">
        <v>276104.89766016998</v>
      </c>
      <c r="C413" s="44">
        <v>278409.70832213003</v>
      </c>
      <c r="D413" s="44">
        <v>1006570.4954173</v>
      </c>
    </row>
    <row r="414" spans="1:4" x14ac:dyDescent="0.4">
      <c r="A414" s="6">
        <v>487.38</v>
      </c>
      <c r="B414" s="44">
        <v>275958.78921582003</v>
      </c>
      <c r="C414" s="44">
        <v>278256.51952968998</v>
      </c>
      <c r="D414" s="44">
        <v>1003810.1596158</v>
      </c>
    </row>
    <row r="415" spans="1:4" x14ac:dyDescent="0.4">
      <c r="A415" s="6">
        <v>487.37</v>
      </c>
      <c r="B415" s="44">
        <v>275813.39049885003</v>
      </c>
      <c r="C415" s="44">
        <v>278104.02751425997</v>
      </c>
      <c r="D415" s="44">
        <v>1001051.2688253</v>
      </c>
    </row>
    <row r="416" spans="1:4" x14ac:dyDescent="0.4">
      <c r="A416" s="6">
        <v>487.36</v>
      </c>
      <c r="B416" s="44">
        <v>275668.24539298</v>
      </c>
      <c r="C416" s="44">
        <v>277951.77632185002</v>
      </c>
      <c r="D416" s="44">
        <v>998293.85347275005</v>
      </c>
    </row>
    <row r="417" spans="1:4" x14ac:dyDescent="0.4">
      <c r="A417" s="6">
        <v>487.35</v>
      </c>
      <c r="B417" s="44">
        <v>275523.10973532998</v>
      </c>
      <c r="C417" s="44">
        <v>277799.52692752</v>
      </c>
      <c r="D417" s="44">
        <v>995537.93043857999</v>
      </c>
    </row>
    <row r="418" spans="1:4" x14ac:dyDescent="0.4">
      <c r="A418" s="6">
        <v>487.34</v>
      </c>
      <c r="B418" s="44">
        <v>275377.98206541</v>
      </c>
      <c r="C418" s="44">
        <v>277647.27903824003</v>
      </c>
      <c r="D418" s="44">
        <v>992783.4636435</v>
      </c>
    </row>
    <row r="419" spans="1:4" x14ac:dyDescent="0.4">
      <c r="A419" s="6">
        <v>487.33</v>
      </c>
      <c r="B419" s="44">
        <v>275232.66297359997</v>
      </c>
      <c r="C419" s="44">
        <v>277494.83185545</v>
      </c>
      <c r="D419" s="44">
        <v>990030.41098406003</v>
      </c>
    </row>
    <row r="420" spans="1:4" x14ac:dyDescent="0.4">
      <c r="A420" s="6">
        <v>487.32</v>
      </c>
      <c r="B420" s="44">
        <v>275087.26310555998</v>
      </c>
      <c r="C420" s="44">
        <v>277342.29683722003</v>
      </c>
      <c r="D420" s="44">
        <v>987278.81160331005</v>
      </c>
    </row>
    <row r="421" spans="1:4" x14ac:dyDescent="0.4">
      <c r="A421" s="6">
        <v>487.31</v>
      </c>
      <c r="B421" s="44">
        <v>274941.65044129</v>
      </c>
      <c r="C421" s="44">
        <v>277189.54804266</v>
      </c>
      <c r="D421" s="44">
        <v>984528.64064152003</v>
      </c>
    </row>
    <row r="422" spans="1:4" x14ac:dyDescent="0.4">
      <c r="A422" s="6">
        <v>487.3</v>
      </c>
      <c r="B422" s="44">
        <v>274795.83012424002</v>
      </c>
      <c r="C422" s="44">
        <v>277036.59313466999</v>
      </c>
      <c r="D422" s="44">
        <v>981779.95087437006</v>
      </c>
    </row>
    <row r="423" spans="1:4" x14ac:dyDescent="0.4">
      <c r="A423" s="6">
        <v>487.29</v>
      </c>
      <c r="B423" s="44">
        <v>274649.71551732998</v>
      </c>
      <c r="C423" s="44">
        <v>276883.34627008002</v>
      </c>
      <c r="D423" s="44">
        <v>979032.74858947995</v>
      </c>
    </row>
    <row r="424" spans="1:4" x14ac:dyDescent="0.4">
      <c r="A424" s="6">
        <v>487.28</v>
      </c>
      <c r="B424" s="44">
        <v>274503.35404100001</v>
      </c>
      <c r="C424" s="44">
        <v>276729.85618182999</v>
      </c>
      <c r="D424" s="44">
        <v>976287.01795628003</v>
      </c>
    </row>
    <row r="425" spans="1:4" x14ac:dyDescent="0.4">
      <c r="A425" s="6">
        <v>487.27</v>
      </c>
      <c r="B425" s="44">
        <v>274356.84620829998</v>
      </c>
      <c r="C425" s="44">
        <v>276576.22435321001</v>
      </c>
      <c r="D425" s="44">
        <v>973542.66549926996</v>
      </c>
    </row>
    <row r="426" spans="1:4" x14ac:dyDescent="0.4">
      <c r="A426" s="6">
        <v>487.26</v>
      </c>
      <c r="B426" s="44">
        <v>274210.02044893999</v>
      </c>
      <c r="C426" s="44">
        <v>276422.27793997002</v>
      </c>
      <c r="D426" s="44">
        <v>970799.84866800997</v>
      </c>
    </row>
    <row r="427" spans="1:4" x14ac:dyDescent="0.4">
      <c r="A427" s="6">
        <v>487.25</v>
      </c>
      <c r="B427" s="44">
        <v>274062.92883172998</v>
      </c>
      <c r="C427" s="44">
        <v>276268.06973614998</v>
      </c>
      <c r="D427" s="44">
        <v>968058.46794084995</v>
      </c>
    </row>
    <row r="428" spans="1:4" x14ac:dyDescent="0.4">
      <c r="A428" s="6">
        <v>487.24</v>
      </c>
      <c r="B428" s="44">
        <v>273915.59687428997</v>
      </c>
      <c r="C428" s="44">
        <v>276113.62264508998</v>
      </c>
      <c r="D428" s="44">
        <v>965318.56176383002</v>
      </c>
    </row>
    <row r="429" spans="1:4" x14ac:dyDescent="0.4">
      <c r="A429" s="6">
        <v>487.23</v>
      </c>
      <c r="B429" s="44">
        <v>273768.03313753998</v>
      </c>
      <c r="C429" s="44">
        <v>275958.94285882002</v>
      </c>
      <c r="D429" s="44">
        <v>962580.14218671003</v>
      </c>
    </row>
    <row r="430" spans="1:4" x14ac:dyDescent="0.4">
      <c r="A430" s="6">
        <v>487.22</v>
      </c>
      <c r="B430" s="44">
        <v>273620.13963122002</v>
      </c>
      <c r="C430" s="44">
        <v>275803.93292013003</v>
      </c>
      <c r="D430" s="44">
        <v>959843.24844652996</v>
      </c>
    </row>
    <row r="431" spans="1:4" x14ac:dyDescent="0.4">
      <c r="A431" s="6">
        <v>487.21</v>
      </c>
      <c r="B431" s="44">
        <v>273470.4545547</v>
      </c>
      <c r="C431" s="44">
        <v>275647.13121626002</v>
      </c>
      <c r="D431" s="44">
        <v>957107.79212074995</v>
      </c>
    </row>
    <row r="432" spans="1:4" x14ac:dyDescent="0.4">
      <c r="A432" s="6">
        <v>487.2</v>
      </c>
      <c r="B432" s="44">
        <v>271970.17036935</v>
      </c>
      <c r="C432" s="44">
        <v>274139.75019072002</v>
      </c>
      <c r="D432" s="44">
        <v>954373.90773153002</v>
      </c>
    </row>
    <row r="433" spans="1:4" x14ac:dyDescent="0.4">
      <c r="A433" s="6">
        <v>487.19</v>
      </c>
      <c r="B433" s="44">
        <v>271692.98934718</v>
      </c>
      <c r="C433" s="44">
        <v>273855.42949338001</v>
      </c>
      <c r="D433" s="44">
        <v>951655.81414727995</v>
      </c>
    </row>
    <row r="434" spans="1:4" x14ac:dyDescent="0.4">
      <c r="A434" s="6">
        <v>487.18</v>
      </c>
      <c r="B434" s="44">
        <v>271486.87758124003</v>
      </c>
      <c r="C434" s="44">
        <v>273642.12735686998</v>
      </c>
      <c r="D434" s="44">
        <v>948939.93859239004</v>
      </c>
    </row>
    <row r="435" spans="1:4" x14ac:dyDescent="0.4">
      <c r="A435" s="6">
        <v>487.17</v>
      </c>
      <c r="B435" s="44">
        <v>271283.64942208998</v>
      </c>
      <c r="C435" s="44">
        <v>273431.68034492002</v>
      </c>
      <c r="D435" s="44">
        <v>946226.07491487998</v>
      </c>
    </row>
    <row r="436" spans="1:4" x14ac:dyDescent="0.4">
      <c r="A436" s="6">
        <v>487.16</v>
      </c>
      <c r="B436" s="44">
        <v>271081.87453933002</v>
      </c>
      <c r="C436" s="44">
        <v>273222.66386725998</v>
      </c>
      <c r="D436" s="44">
        <v>943514.21561109996</v>
      </c>
    </row>
    <row r="437" spans="1:4" x14ac:dyDescent="0.4">
      <c r="A437" s="6">
        <v>487.15</v>
      </c>
      <c r="B437" s="44">
        <v>270881.47164086002</v>
      </c>
      <c r="C437" s="44">
        <v>273015.00188171002</v>
      </c>
      <c r="D437" s="44">
        <v>940804.38090356998</v>
      </c>
    </row>
    <row r="438" spans="1:4" x14ac:dyDescent="0.4">
      <c r="A438" s="6">
        <v>487.14</v>
      </c>
      <c r="B438" s="44">
        <v>270682.16900671</v>
      </c>
      <c r="C438" s="44">
        <v>272808.42739099002</v>
      </c>
      <c r="D438" s="44">
        <v>938096.51455826999</v>
      </c>
    </row>
    <row r="439" spans="1:4" x14ac:dyDescent="0.4">
      <c r="A439" s="6">
        <v>487.13</v>
      </c>
      <c r="B439" s="44">
        <v>270484.25732870999</v>
      </c>
      <c r="C439" s="44">
        <v>272603.23160323</v>
      </c>
      <c r="D439" s="44">
        <v>935390.72050384001</v>
      </c>
    </row>
    <row r="440" spans="1:4" x14ac:dyDescent="0.4">
      <c r="A440" s="6">
        <v>487.12</v>
      </c>
      <c r="B440" s="44">
        <v>270287.59769776999</v>
      </c>
      <c r="C440" s="44">
        <v>272399.27914494998</v>
      </c>
      <c r="D440" s="44">
        <v>932686.89157840004</v>
      </c>
    </row>
    <row r="441" spans="1:4" x14ac:dyDescent="0.4">
      <c r="A441" s="6">
        <v>487.11</v>
      </c>
      <c r="B441" s="44">
        <v>270091.92713216</v>
      </c>
      <c r="C441" s="44">
        <v>272196.30917621002</v>
      </c>
      <c r="D441" s="44">
        <v>929985.04019511002</v>
      </c>
    </row>
    <row r="442" spans="1:4" x14ac:dyDescent="0.4">
      <c r="A442" s="6">
        <v>487.1</v>
      </c>
      <c r="B442" s="44">
        <v>269897.46938868001</v>
      </c>
      <c r="C442" s="44">
        <v>271994.54744459997</v>
      </c>
      <c r="D442" s="44">
        <v>927285.07149163005</v>
      </c>
    </row>
    <row r="443" spans="1:4" x14ac:dyDescent="0.4">
      <c r="A443" s="6">
        <v>487.09</v>
      </c>
      <c r="B443" s="44">
        <v>269704.08782739</v>
      </c>
      <c r="C443" s="44">
        <v>271793.86027255002</v>
      </c>
      <c r="D443" s="44">
        <v>924587.10879773996</v>
      </c>
    </row>
    <row r="444" spans="1:4" x14ac:dyDescent="0.4">
      <c r="A444" s="6">
        <v>487.08</v>
      </c>
      <c r="B444" s="44">
        <v>269511.66807213001</v>
      </c>
      <c r="C444" s="44">
        <v>271594.13480994001</v>
      </c>
      <c r="D444" s="44">
        <v>921891.01762114</v>
      </c>
    </row>
    <row r="445" spans="1:4" x14ac:dyDescent="0.4">
      <c r="A445" s="6">
        <v>487.07</v>
      </c>
      <c r="B445" s="44">
        <v>269320.36368050001</v>
      </c>
      <c r="C445" s="44">
        <v>271395.52561657998</v>
      </c>
      <c r="D445" s="44">
        <v>919196.88616147998</v>
      </c>
    </row>
    <row r="446" spans="1:4" x14ac:dyDescent="0.4">
      <c r="A446" s="6">
        <v>487.06</v>
      </c>
      <c r="B446" s="44">
        <v>269130.12130226003</v>
      </c>
      <c r="C446" s="44">
        <v>271197.97892552998</v>
      </c>
      <c r="D446" s="44">
        <v>916504.65728235</v>
      </c>
    </row>
    <row r="447" spans="1:4" x14ac:dyDescent="0.4">
      <c r="A447" s="6">
        <v>487.05</v>
      </c>
      <c r="B447" s="44">
        <v>268940.72566558002</v>
      </c>
      <c r="C447" s="44">
        <v>271001.28405197</v>
      </c>
      <c r="D447" s="44">
        <v>913814.34130720003</v>
      </c>
    </row>
    <row r="448" spans="1:4" x14ac:dyDescent="0.4">
      <c r="A448" s="6">
        <v>487.04</v>
      </c>
      <c r="B448" s="44">
        <v>268752.20744283003</v>
      </c>
      <c r="C448" s="44">
        <v>270805.47648696997</v>
      </c>
      <c r="D448" s="44">
        <v>911125.87046719005</v>
      </c>
    </row>
    <row r="449" spans="1:4" x14ac:dyDescent="0.4">
      <c r="A449" s="6">
        <v>487.03</v>
      </c>
      <c r="B449" s="44">
        <v>268564.66322281997</v>
      </c>
      <c r="C449" s="44">
        <v>270610.65443619998</v>
      </c>
      <c r="D449" s="44">
        <v>908439.30039113003</v>
      </c>
    </row>
    <row r="450" spans="1:4" x14ac:dyDescent="0.4">
      <c r="A450" s="6">
        <v>487.02</v>
      </c>
      <c r="B450" s="44">
        <v>268377.83261468</v>
      </c>
      <c r="C450" s="44">
        <v>270416.55768395</v>
      </c>
      <c r="D450" s="44">
        <v>905754.59546770004</v>
      </c>
    </row>
    <row r="451" spans="1:4" x14ac:dyDescent="0.4">
      <c r="A451" s="6">
        <v>487.01</v>
      </c>
      <c r="B451" s="44">
        <v>268190.54757348</v>
      </c>
      <c r="C451" s="44">
        <v>270222.03144986002</v>
      </c>
      <c r="D451" s="44">
        <v>903071.78236269997</v>
      </c>
    </row>
    <row r="452" spans="1:4" x14ac:dyDescent="0.4">
      <c r="A452" s="6">
        <v>487</v>
      </c>
      <c r="B452" s="44">
        <v>267959.67151692999</v>
      </c>
      <c r="C452" s="44">
        <v>269983.97238979</v>
      </c>
      <c r="D452" s="44">
        <v>900390.97667183005</v>
      </c>
    </row>
    <row r="453" spans="1:4" x14ac:dyDescent="0.4">
      <c r="A453" s="6">
        <v>486.99</v>
      </c>
      <c r="B453" s="44">
        <v>267141.52996506001</v>
      </c>
      <c r="C453" s="44">
        <v>269158.7153556</v>
      </c>
      <c r="D453" s="44">
        <v>897718.60361861996</v>
      </c>
    </row>
    <row r="454" spans="1:4" x14ac:dyDescent="0.4">
      <c r="A454" s="6">
        <v>486.98</v>
      </c>
      <c r="B454" s="44">
        <v>266968.54587427998</v>
      </c>
      <c r="C454" s="44">
        <v>268978.61957039998</v>
      </c>
      <c r="D454" s="44">
        <v>895048.04594961996</v>
      </c>
    </row>
    <row r="455" spans="1:4" x14ac:dyDescent="0.4">
      <c r="A455" s="6">
        <v>486.97</v>
      </c>
      <c r="B455" s="44">
        <v>266796.09797929</v>
      </c>
      <c r="C455" s="44">
        <v>268799.06936287001</v>
      </c>
      <c r="D455" s="44">
        <v>892379.22847555997</v>
      </c>
    </row>
    <row r="456" spans="1:4" x14ac:dyDescent="0.4">
      <c r="A456" s="6">
        <v>486.96</v>
      </c>
      <c r="B456" s="44">
        <v>266623.91563981998</v>
      </c>
      <c r="C456" s="44">
        <v>268619.79273286997</v>
      </c>
      <c r="D456" s="44">
        <v>889712.14752164006</v>
      </c>
    </row>
    <row r="457" spans="1:4" x14ac:dyDescent="0.4">
      <c r="A457" s="6">
        <v>486.95</v>
      </c>
      <c r="B457" s="44">
        <v>266452.12722468999</v>
      </c>
      <c r="C457" s="44">
        <v>268440.91861772002</v>
      </c>
      <c r="D457" s="44">
        <v>887046.77323278005</v>
      </c>
    </row>
    <row r="458" spans="1:4" x14ac:dyDescent="0.4">
      <c r="A458" s="6">
        <v>486.94</v>
      </c>
      <c r="B458" s="44">
        <v>266280.68099661003</v>
      </c>
      <c r="C458" s="44">
        <v>268262.39370108</v>
      </c>
      <c r="D458" s="44">
        <v>884383.10755643004</v>
      </c>
    </row>
    <row r="459" spans="1:4" x14ac:dyDescent="0.4">
      <c r="A459" s="6">
        <v>486.93</v>
      </c>
      <c r="B459" s="44">
        <v>266109.50179750001</v>
      </c>
      <c r="C459" s="44">
        <v>268084.14181032998</v>
      </c>
      <c r="D459" s="44">
        <v>881721.17363652994</v>
      </c>
    </row>
    <row r="460" spans="1:4" x14ac:dyDescent="0.4">
      <c r="A460" s="6">
        <v>486.92</v>
      </c>
      <c r="B460" s="44">
        <v>265938.68802192999</v>
      </c>
      <c r="C460" s="44">
        <v>267906.25962306</v>
      </c>
      <c r="D460" s="44">
        <v>879060.91797239997</v>
      </c>
    </row>
    <row r="461" spans="1:4" x14ac:dyDescent="0.4">
      <c r="A461" s="6">
        <v>486.91</v>
      </c>
      <c r="B461" s="44">
        <v>265768.13908226998</v>
      </c>
      <c r="C461" s="44">
        <v>267728.64672060002</v>
      </c>
      <c r="D461" s="44">
        <v>876402.38435789</v>
      </c>
    </row>
    <row r="462" spans="1:4" x14ac:dyDescent="0.4">
      <c r="A462" s="6">
        <v>486.9</v>
      </c>
      <c r="B462" s="44">
        <v>265597.97833433002</v>
      </c>
      <c r="C462" s="44">
        <v>267551.42707814998</v>
      </c>
      <c r="D462" s="44">
        <v>873745.59532477998</v>
      </c>
    </row>
    <row r="463" spans="1:4" x14ac:dyDescent="0.4">
      <c r="A463" s="6">
        <v>486.89</v>
      </c>
      <c r="B463" s="44">
        <v>265428.13313262002</v>
      </c>
      <c r="C463" s="44">
        <v>267374.52941408003</v>
      </c>
      <c r="D463" s="44">
        <v>871090.49050973996</v>
      </c>
    </row>
    <row r="464" spans="1:4" x14ac:dyDescent="0.4">
      <c r="A464" s="6">
        <v>486.88</v>
      </c>
      <c r="B464" s="44">
        <v>265258.52265509003</v>
      </c>
      <c r="C464" s="44">
        <v>267197.87685151002</v>
      </c>
      <c r="D464" s="44">
        <v>868437.10212096001</v>
      </c>
    </row>
    <row r="465" spans="1:4" x14ac:dyDescent="0.4">
      <c r="A465" s="6">
        <v>486.87</v>
      </c>
      <c r="B465" s="44">
        <v>265089.22095663002</v>
      </c>
      <c r="C465" s="44">
        <v>267021.54821371002</v>
      </c>
      <c r="D465" s="44">
        <v>865785.38850857003</v>
      </c>
    </row>
    <row r="466" spans="1:4" x14ac:dyDescent="0.4">
      <c r="A466" s="6">
        <v>486.86</v>
      </c>
      <c r="B466" s="44">
        <v>264920.00249076</v>
      </c>
      <c r="C466" s="44">
        <v>266845.32016096002</v>
      </c>
      <c r="D466" s="44">
        <v>863135.32918419002</v>
      </c>
    </row>
    <row r="467" spans="1:4" x14ac:dyDescent="0.4">
      <c r="A467" s="6">
        <v>486.85</v>
      </c>
      <c r="B467" s="44">
        <v>264750.87184913002</v>
      </c>
      <c r="C467" s="44">
        <v>266669.20578654</v>
      </c>
      <c r="D467" s="44">
        <v>860487.01823167002</v>
      </c>
    </row>
    <row r="468" spans="1:4" x14ac:dyDescent="0.4">
      <c r="A468" s="6">
        <v>486.84</v>
      </c>
      <c r="B468" s="44">
        <v>264581.59786113002</v>
      </c>
      <c r="C468" s="44">
        <v>266492.97827078</v>
      </c>
      <c r="D468" s="44">
        <v>857840.37834721</v>
      </c>
    </row>
    <row r="469" spans="1:4" x14ac:dyDescent="0.4">
      <c r="A469" s="6">
        <v>486.83</v>
      </c>
      <c r="B469" s="44">
        <v>264412.00989617</v>
      </c>
      <c r="C469" s="44">
        <v>266316.47401059</v>
      </c>
      <c r="D469" s="44">
        <v>855195.45260612003</v>
      </c>
    </row>
    <row r="470" spans="1:4" x14ac:dyDescent="0.4">
      <c r="A470" s="6">
        <v>486.82</v>
      </c>
      <c r="B470" s="44">
        <v>264241.70353127999</v>
      </c>
      <c r="C470" s="44">
        <v>266139.29988467001</v>
      </c>
      <c r="D470" s="44">
        <v>852552.23013798997</v>
      </c>
    </row>
    <row r="471" spans="1:4" x14ac:dyDescent="0.4">
      <c r="A471" s="6">
        <v>486.81</v>
      </c>
      <c r="B471" s="44">
        <v>264069.05354992999</v>
      </c>
      <c r="C471" s="44">
        <v>265959.84152710001</v>
      </c>
      <c r="D471" s="44">
        <v>849910.73510227003</v>
      </c>
    </row>
    <row r="472" spans="1:4" x14ac:dyDescent="0.4">
      <c r="A472" s="6">
        <v>486.8</v>
      </c>
      <c r="B472" s="44">
        <v>263852.67314834998</v>
      </c>
      <c r="C472" s="44">
        <v>265736.73761011002</v>
      </c>
      <c r="D472" s="44">
        <v>847271.05216035002</v>
      </c>
    </row>
    <row r="473" spans="1:4" x14ac:dyDescent="0.4">
      <c r="A473" s="6">
        <v>486.79</v>
      </c>
      <c r="B473" s="44">
        <v>262374.69386007998</v>
      </c>
      <c r="C473" s="44">
        <v>264252.12341375998</v>
      </c>
      <c r="D473" s="44">
        <v>844646.05426421005</v>
      </c>
    </row>
    <row r="474" spans="1:4" x14ac:dyDescent="0.4">
      <c r="A474" s="6">
        <v>486.78</v>
      </c>
      <c r="B474" s="44">
        <v>262148.23567892</v>
      </c>
      <c r="C474" s="44">
        <v>264019.04210674</v>
      </c>
      <c r="D474" s="44">
        <v>842023.42216313002</v>
      </c>
    </row>
    <row r="475" spans="1:4" x14ac:dyDescent="0.4">
      <c r="A475" s="6">
        <v>486.77</v>
      </c>
      <c r="B475" s="44">
        <v>261923.03962274001</v>
      </c>
      <c r="C475" s="44">
        <v>263787.23868984001</v>
      </c>
      <c r="D475" s="44">
        <v>839403.05039803998</v>
      </c>
    </row>
    <row r="476" spans="1:4" x14ac:dyDescent="0.4">
      <c r="A476" s="6">
        <v>486.76</v>
      </c>
      <c r="B476" s="44">
        <v>261698.40773948</v>
      </c>
      <c r="C476" s="44">
        <v>263556.01893164002</v>
      </c>
      <c r="D476" s="44">
        <v>836784.99192519998</v>
      </c>
    </row>
    <row r="477" spans="1:4" x14ac:dyDescent="0.4">
      <c r="A477" s="6">
        <v>486.75</v>
      </c>
      <c r="B477" s="44">
        <v>261474.39971709001</v>
      </c>
      <c r="C477" s="44">
        <v>263325.43939391</v>
      </c>
      <c r="D477" s="44">
        <v>834169.10494153004</v>
      </c>
    </row>
    <row r="478" spans="1:4" x14ac:dyDescent="0.4">
      <c r="A478" s="6">
        <v>486.74</v>
      </c>
      <c r="B478" s="44">
        <v>261250.72651420999</v>
      </c>
      <c r="C478" s="44">
        <v>263095.21009722003</v>
      </c>
      <c r="D478" s="44">
        <v>831555.53507833998</v>
      </c>
    </row>
    <row r="479" spans="1:4" x14ac:dyDescent="0.4">
      <c r="A479" s="6">
        <v>486.73</v>
      </c>
      <c r="B479" s="44">
        <v>261027.75558207001</v>
      </c>
      <c r="C479" s="44">
        <v>262865.69605919998</v>
      </c>
      <c r="D479" s="44">
        <v>828944.16471141996</v>
      </c>
    </row>
    <row r="480" spans="1:4" x14ac:dyDescent="0.4">
      <c r="A480" s="6">
        <v>486.72</v>
      </c>
      <c r="B480" s="44">
        <v>260805.33920238001</v>
      </c>
      <c r="C480" s="44">
        <v>262636.74634642998</v>
      </c>
      <c r="D480" s="44">
        <v>826335.01553606999</v>
      </c>
    </row>
    <row r="481" spans="1:4" x14ac:dyDescent="0.4">
      <c r="A481" s="6">
        <v>486.71</v>
      </c>
      <c r="B481" s="44">
        <v>260583.38013621999</v>
      </c>
      <c r="C481" s="44">
        <v>262408.26290152001</v>
      </c>
      <c r="D481" s="44">
        <v>823728.09494998003</v>
      </c>
    </row>
    <row r="482" spans="1:4" x14ac:dyDescent="0.4">
      <c r="A482" s="6">
        <v>486.7</v>
      </c>
      <c r="B482" s="44">
        <v>260361.94112857999</v>
      </c>
      <c r="C482" s="44">
        <v>262180.30915548</v>
      </c>
      <c r="D482" s="44">
        <v>821123.34717574005</v>
      </c>
    </row>
    <row r="483" spans="1:4" x14ac:dyDescent="0.4">
      <c r="A483" s="6">
        <v>486.69</v>
      </c>
      <c r="B483" s="44">
        <v>260141.15035702</v>
      </c>
      <c r="C483" s="44">
        <v>261953.01327408</v>
      </c>
      <c r="D483" s="44">
        <v>818520.85954459</v>
      </c>
    </row>
    <row r="484" spans="1:4" x14ac:dyDescent="0.4">
      <c r="A484" s="6">
        <v>486.68</v>
      </c>
      <c r="B484" s="44">
        <v>259920.89981383001</v>
      </c>
      <c r="C484" s="44">
        <v>261726.26989277001</v>
      </c>
      <c r="D484" s="44">
        <v>815920.54359240003</v>
      </c>
    </row>
    <row r="485" spans="1:4" x14ac:dyDescent="0.4">
      <c r="A485" s="6">
        <v>486.67</v>
      </c>
      <c r="B485" s="44">
        <v>259701.12133170001</v>
      </c>
      <c r="C485" s="44">
        <v>261500.00792713001</v>
      </c>
      <c r="D485" s="44">
        <v>813322.45432863</v>
      </c>
    </row>
    <row r="486" spans="1:4" x14ac:dyDescent="0.4">
      <c r="A486" s="6">
        <v>486.66</v>
      </c>
      <c r="B486" s="44">
        <v>259481.77877578</v>
      </c>
      <c r="C486" s="44">
        <v>261274.19432149001</v>
      </c>
      <c r="D486" s="44">
        <v>810726.55816900998</v>
      </c>
    </row>
    <row r="487" spans="1:4" x14ac:dyDescent="0.4">
      <c r="A487" s="6">
        <v>486.65</v>
      </c>
      <c r="B487" s="44">
        <v>259262.72668729999</v>
      </c>
      <c r="C487" s="44">
        <v>261048.69063974</v>
      </c>
      <c r="D487" s="44">
        <v>808132.85400056001</v>
      </c>
    </row>
    <row r="488" spans="1:4" x14ac:dyDescent="0.4">
      <c r="A488" s="6">
        <v>486.64</v>
      </c>
      <c r="B488" s="44">
        <v>259043.86479145</v>
      </c>
      <c r="C488" s="44">
        <v>260823.40029475</v>
      </c>
      <c r="D488" s="44">
        <v>805541.36556397995</v>
      </c>
    </row>
    <row r="489" spans="1:4" x14ac:dyDescent="0.4">
      <c r="A489" s="6">
        <v>486.63</v>
      </c>
      <c r="B489" s="44">
        <v>258824.94176292</v>
      </c>
      <c r="C489" s="44">
        <v>260598.07665285</v>
      </c>
      <c r="D489" s="44">
        <v>802952.11316337006</v>
      </c>
    </row>
    <row r="490" spans="1:4" x14ac:dyDescent="0.4">
      <c r="A490" s="6">
        <v>486.62</v>
      </c>
      <c r="B490" s="44">
        <v>258605.14912511999</v>
      </c>
      <c r="C490" s="44">
        <v>260371.91892741001</v>
      </c>
      <c r="D490" s="44">
        <v>800365.02058999997</v>
      </c>
    </row>
    <row r="491" spans="1:4" x14ac:dyDescent="0.4">
      <c r="A491" s="6">
        <v>486.61</v>
      </c>
      <c r="B491" s="44">
        <v>258383.14172444001</v>
      </c>
      <c r="C491" s="44">
        <v>260143.59370113999</v>
      </c>
      <c r="D491" s="44">
        <v>797780.10869370005</v>
      </c>
    </row>
    <row r="492" spans="1:4" x14ac:dyDescent="0.4">
      <c r="A492" s="6">
        <v>486.6</v>
      </c>
      <c r="B492" s="44">
        <v>257143.57241111001</v>
      </c>
      <c r="C492" s="44">
        <v>258897.77723561999</v>
      </c>
      <c r="D492" s="44">
        <v>795197.49619097996</v>
      </c>
    </row>
    <row r="493" spans="1:4" x14ac:dyDescent="0.4">
      <c r="A493" s="6">
        <v>486.59</v>
      </c>
      <c r="B493" s="44">
        <v>256890.80062493001</v>
      </c>
      <c r="C493" s="44">
        <v>258638.84192944001</v>
      </c>
      <c r="D493" s="44">
        <v>792627.42075466004</v>
      </c>
    </row>
    <row r="494" spans="1:4" x14ac:dyDescent="0.4">
      <c r="A494" s="6">
        <v>486.58</v>
      </c>
      <c r="B494" s="44">
        <v>256668.16558398999</v>
      </c>
      <c r="C494" s="44">
        <v>258410.05468557999</v>
      </c>
      <c r="D494" s="44">
        <v>790059.62117469998</v>
      </c>
    </row>
    <row r="495" spans="1:4" x14ac:dyDescent="0.4">
      <c r="A495" s="6">
        <v>486.57</v>
      </c>
      <c r="B495" s="44">
        <v>256446.88898610999</v>
      </c>
      <c r="C495" s="44">
        <v>258182.63825664</v>
      </c>
      <c r="D495" s="44">
        <v>787494.06257898</v>
      </c>
    </row>
    <row r="496" spans="1:4" x14ac:dyDescent="0.4">
      <c r="A496" s="6">
        <v>486.56</v>
      </c>
      <c r="B496" s="44">
        <v>256226.57670875001</v>
      </c>
      <c r="C496" s="44">
        <v>257956.19338529999</v>
      </c>
      <c r="D496" s="44">
        <v>784930.69463289995</v>
      </c>
    </row>
    <row r="497" spans="1:4" x14ac:dyDescent="0.4">
      <c r="A497" s="6">
        <v>486.55</v>
      </c>
      <c r="B497" s="44">
        <v>256007.28574127</v>
      </c>
      <c r="C497" s="44">
        <v>257730.77281117</v>
      </c>
      <c r="D497" s="44">
        <v>782369.53307276999</v>
      </c>
    </row>
    <row r="498" spans="1:4" x14ac:dyDescent="0.4">
      <c r="A498" s="6">
        <v>486.54</v>
      </c>
      <c r="B498" s="44">
        <v>255789.11719548999</v>
      </c>
      <c r="C498" s="44">
        <v>257506.47562991999</v>
      </c>
      <c r="D498" s="44">
        <v>779810.53495014005</v>
      </c>
    </row>
    <row r="499" spans="1:4" x14ac:dyDescent="0.4">
      <c r="A499" s="6">
        <v>486.53</v>
      </c>
      <c r="B499" s="44">
        <v>255572.05058810001</v>
      </c>
      <c r="C499" s="44">
        <v>257283.28242511</v>
      </c>
      <c r="D499" s="44">
        <v>777253.74847727001</v>
      </c>
    </row>
    <row r="500" spans="1:4" x14ac:dyDescent="0.4">
      <c r="A500" s="6">
        <v>486.52</v>
      </c>
      <c r="B500" s="44">
        <v>255356.20106314</v>
      </c>
      <c r="C500" s="44">
        <v>257061.30845588999</v>
      </c>
      <c r="D500" s="44">
        <v>774699.10024704004</v>
      </c>
    </row>
    <row r="501" spans="1:4" x14ac:dyDescent="0.4">
      <c r="A501" s="6">
        <v>486.51</v>
      </c>
      <c r="B501" s="44">
        <v>255141.49917525999</v>
      </c>
      <c r="C501" s="44">
        <v>256840.48358113001</v>
      </c>
      <c r="D501" s="44">
        <v>772146.61234244995</v>
      </c>
    </row>
    <row r="502" spans="1:4" x14ac:dyDescent="0.4">
      <c r="A502" s="6">
        <v>486.5</v>
      </c>
      <c r="B502" s="44">
        <v>254927.89931057001</v>
      </c>
      <c r="C502" s="44">
        <v>256620.76246090999</v>
      </c>
      <c r="D502" s="44">
        <v>769596.26982695004</v>
      </c>
    </row>
    <row r="503" spans="1:4" x14ac:dyDescent="0.4">
      <c r="A503" s="6">
        <v>486.49</v>
      </c>
      <c r="B503" s="44">
        <v>254715.33132144</v>
      </c>
      <c r="C503" s="44">
        <v>256402.07644154999</v>
      </c>
      <c r="D503" s="44">
        <v>767048.05273554998</v>
      </c>
    </row>
    <row r="504" spans="1:4" x14ac:dyDescent="0.4">
      <c r="A504" s="6">
        <v>486.48</v>
      </c>
      <c r="B504" s="44">
        <v>254503.81648084</v>
      </c>
      <c r="C504" s="44">
        <v>256184.44878562001</v>
      </c>
      <c r="D504" s="44">
        <v>764501.99466278998</v>
      </c>
    </row>
    <row r="505" spans="1:4" x14ac:dyDescent="0.4">
      <c r="A505" s="6">
        <v>486.47</v>
      </c>
      <c r="B505" s="44">
        <v>254293.36072177999</v>
      </c>
      <c r="C505" s="44">
        <v>255967.88901677</v>
      </c>
      <c r="D505" s="44">
        <v>761958.04983037</v>
      </c>
    </row>
    <row r="506" spans="1:4" x14ac:dyDescent="0.4">
      <c r="A506" s="6">
        <v>486.46</v>
      </c>
      <c r="B506" s="44">
        <v>254083.89984525999</v>
      </c>
      <c r="C506" s="44">
        <v>255752.33245257</v>
      </c>
      <c r="D506" s="44">
        <v>759416.22289923998</v>
      </c>
    </row>
    <row r="507" spans="1:4" x14ac:dyDescent="0.4">
      <c r="A507" s="6">
        <v>486.45</v>
      </c>
      <c r="B507" s="44">
        <v>253875.30607794001</v>
      </c>
      <c r="C507" s="44">
        <v>255537.65311643001</v>
      </c>
      <c r="D507" s="44">
        <v>756876.40803925996</v>
      </c>
    </row>
    <row r="508" spans="1:4" x14ac:dyDescent="0.4">
      <c r="A508" s="6">
        <v>486.44</v>
      </c>
      <c r="B508" s="44">
        <v>253667.80679833001</v>
      </c>
      <c r="C508" s="44">
        <v>255324.07704184001</v>
      </c>
      <c r="D508" s="44">
        <v>754338.72138608003</v>
      </c>
    </row>
    <row r="509" spans="1:4" x14ac:dyDescent="0.4">
      <c r="A509" s="6">
        <v>486.43</v>
      </c>
      <c r="B509" s="44">
        <v>253461.40748363</v>
      </c>
      <c r="C509" s="44">
        <v>255111.60758916</v>
      </c>
      <c r="D509" s="44">
        <v>751803.10298266006</v>
      </c>
    </row>
    <row r="510" spans="1:4" x14ac:dyDescent="0.4">
      <c r="A510" s="6">
        <v>486.42</v>
      </c>
      <c r="B510" s="44">
        <v>253256.2822057</v>
      </c>
      <c r="C510" s="44">
        <v>254900.41312821</v>
      </c>
      <c r="D510" s="44">
        <v>749269.49309991999</v>
      </c>
    </row>
    <row r="511" spans="1:4" x14ac:dyDescent="0.4">
      <c r="A511" s="6">
        <v>486.41</v>
      </c>
      <c r="B511" s="44">
        <v>253051.51174178999</v>
      </c>
      <c r="C511" s="44">
        <v>254689.5708933</v>
      </c>
      <c r="D511" s="44">
        <v>746737.95237668999</v>
      </c>
    </row>
    <row r="512" spans="1:4" x14ac:dyDescent="0.4">
      <c r="A512" s="6">
        <v>486.4</v>
      </c>
      <c r="B512" s="44">
        <v>252827.09202117001</v>
      </c>
      <c r="C512" s="44">
        <v>254459.08704069001</v>
      </c>
      <c r="D512" s="44">
        <v>744208.47818420001</v>
      </c>
    </row>
    <row r="513" spans="1:4" x14ac:dyDescent="0.4">
      <c r="A513" s="6">
        <v>486.39</v>
      </c>
      <c r="B513" s="44">
        <v>252530.35642316999</v>
      </c>
      <c r="C513" s="44">
        <v>254156.25543578999</v>
      </c>
      <c r="D513" s="44">
        <v>741682.01512300002</v>
      </c>
    </row>
    <row r="514" spans="1:4" x14ac:dyDescent="0.4">
      <c r="A514" s="6">
        <v>486.38</v>
      </c>
      <c r="B514" s="44">
        <v>252333.61923852999</v>
      </c>
      <c r="C514" s="44">
        <v>253953.35073681001</v>
      </c>
      <c r="D514" s="44">
        <v>739157.69790212996</v>
      </c>
    </row>
    <row r="515" spans="1:4" x14ac:dyDescent="0.4">
      <c r="A515" s="6">
        <v>486.37</v>
      </c>
      <c r="B515" s="44">
        <v>252139.87856852001</v>
      </c>
      <c r="C515" s="44">
        <v>253753.38520051001</v>
      </c>
      <c r="D515" s="44">
        <v>736635.34469422</v>
      </c>
    </row>
    <row r="516" spans="1:4" x14ac:dyDescent="0.4">
      <c r="A516" s="6">
        <v>486.36</v>
      </c>
      <c r="B516" s="44">
        <v>251947.69559414999</v>
      </c>
      <c r="C516" s="44">
        <v>253554.93369529</v>
      </c>
      <c r="D516" s="44">
        <v>734114.89858209004</v>
      </c>
    </row>
    <row r="517" spans="1:4" x14ac:dyDescent="0.4">
      <c r="A517" s="6">
        <v>486.35</v>
      </c>
      <c r="B517" s="44">
        <v>251757.33257043001</v>
      </c>
      <c r="C517" s="44">
        <v>253358.26922354</v>
      </c>
      <c r="D517" s="44">
        <v>731596.37028965994</v>
      </c>
    </row>
    <row r="518" spans="1:4" x14ac:dyDescent="0.4">
      <c r="A518" s="6">
        <v>486.34</v>
      </c>
      <c r="B518" s="44">
        <v>251568.381028</v>
      </c>
      <c r="C518" s="44">
        <v>253162.99496148</v>
      </c>
      <c r="D518" s="44">
        <v>729079.72318750003</v>
      </c>
    </row>
    <row r="519" spans="1:4" x14ac:dyDescent="0.4">
      <c r="A519" s="6">
        <v>486.33</v>
      </c>
      <c r="B519" s="44">
        <v>251380.55882400999</v>
      </c>
      <c r="C519" s="44">
        <v>252968.83894660999</v>
      </c>
      <c r="D519" s="44">
        <v>726564.98341264005</v>
      </c>
    </row>
    <row r="520" spans="1:4" x14ac:dyDescent="0.4">
      <c r="A520" s="6">
        <v>486.32</v>
      </c>
      <c r="B520" s="44">
        <v>251193.76176895999</v>
      </c>
      <c r="C520" s="44">
        <v>252775.69869296</v>
      </c>
      <c r="D520" s="44">
        <v>724052.16407547996</v>
      </c>
    </row>
    <row r="521" spans="1:4" x14ac:dyDescent="0.4">
      <c r="A521" s="6">
        <v>486.31</v>
      </c>
      <c r="B521" s="44">
        <v>251007.95847077001</v>
      </c>
      <c r="C521" s="44">
        <v>252583.54556155999</v>
      </c>
      <c r="D521" s="44">
        <v>721541.13575410005</v>
      </c>
    </row>
    <row r="522" spans="1:4" x14ac:dyDescent="0.4">
      <c r="A522" s="6">
        <v>486.3</v>
      </c>
      <c r="B522" s="44">
        <v>250823.11440230999</v>
      </c>
      <c r="C522" s="44">
        <v>252392.34681779999</v>
      </c>
      <c r="D522" s="44">
        <v>719032.01745246002</v>
      </c>
    </row>
    <row r="523" spans="1:4" x14ac:dyDescent="0.4">
      <c r="A523" s="6">
        <v>486.29</v>
      </c>
      <c r="B523" s="44">
        <v>250639.20964593001</v>
      </c>
      <c r="C523" s="44">
        <v>252202.08718063001</v>
      </c>
      <c r="D523" s="44">
        <v>716524.68904809002</v>
      </c>
    </row>
    <row r="524" spans="1:4" x14ac:dyDescent="0.4">
      <c r="A524" s="6">
        <v>486.28</v>
      </c>
      <c r="B524" s="44">
        <v>250456.15052086001</v>
      </c>
      <c r="C524" s="44">
        <v>252012.67435332999</v>
      </c>
      <c r="D524" s="44">
        <v>714019.23185002001</v>
      </c>
    </row>
    <row r="525" spans="1:4" x14ac:dyDescent="0.4">
      <c r="A525" s="6">
        <v>486.27</v>
      </c>
      <c r="B525" s="44">
        <v>250273.93828402</v>
      </c>
      <c r="C525" s="44">
        <v>251824.10928999999</v>
      </c>
      <c r="D525" s="44">
        <v>711515.55095127004</v>
      </c>
    </row>
    <row r="526" spans="1:4" x14ac:dyDescent="0.4">
      <c r="A526" s="6">
        <v>486.26</v>
      </c>
      <c r="B526" s="44">
        <v>250092.52671711001</v>
      </c>
      <c r="C526" s="44">
        <v>251636.3477362</v>
      </c>
      <c r="D526" s="44">
        <v>709013.72221981001</v>
      </c>
    </row>
    <row r="527" spans="1:4" x14ac:dyDescent="0.4">
      <c r="A527" s="6">
        <v>486.25</v>
      </c>
      <c r="B527" s="44">
        <v>249911.87483620999</v>
      </c>
      <c r="C527" s="44">
        <v>251449.35299448</v>
      </c>
      <c r="D527" s="44">
        <v>706513.69908471999</v>
      </c>
    </row>
    <row r="528" spans="1:4" x14ac:dyDescent="0.4">
      <c r="A528" s="6">
        <v>486.24</v>
      </c>
      <c r="B528" s="44">
        <v>249731.98725899999</v>
      </c>
      <c r="C528" s="44">
        <v>251263.13073099</v>
      </c>
      <c r="D528" s="44">
        <v>704015.45686077001</v>
      </c>
    </row>
    <row r="529" spans="1:4" x14ac:dyDescent="0.4">
      <c r="A529" s="6">
        <v>486.23</v>
      </c>
      <c r="B529" s="44">
        <v>249552.75311061001</v>
      </c>
      <c r="C529" s="44">
        <v>251077.57012757999</v>
      </c>
      <c r="D529" s="44">
        <v>701519.08181644999</v>
      </c>
    </row>
    <row r="530" spans="1:4" x14ac:dyDescent="0.4">
      <c r="A530" s="6">
        <v>486.22</v>
      </c>
      <c r="B530" s="44">
        <v>249373.92572073001</v>
      </c>
      <c r="C530" s="44">
        <v>250892.42586133999</v>
      </c>
      <c r="D530" s="44">
        <v>699024.47091897996</v>
      </c>
    </row>
    <row r="531" spans="1:4" x14ac:dyDescent="0.4">
      <c r="A531" s="6">
        <v>486.21</v>
      </c>
      <c r="B531" s="44">
        <v>249194.37352781999</v>
      </c>
      <c r="C531" s="44">
        <v>250706.56963814</v>
      </c>
      <c r="D531" s="44">
        <v>696531.65373680997</v>
      </c>
    </row>
    <row r="532" spans="1:4" x14ac:dyDescent="0.4">
      <c r="A532" s="6">
        <v>486.2</v>
      </c>
      <c r="B532" s="44">
        <v>248819.33457641999</v>
      </c>
      <c r="C532" s="44">
        <v>250325.25517580999</v>
      </c>
      <c r="D532" s="44">
        <v>694040.59809925</v>
      </c>
    </row>
    <row r="533" spans="1:4" x14ac:dyDescent="0.4">
      <c r="A533" s="6">
        <v>486.19</v>
      </c>
      <c r="B533" s="44">
        <v>248626.09527105</v>
      </c>
      <c r="C533" s="44">
        <v>250125.75439573001</v>
      </c>
      <c r="D533" s="44">
        <v>691553.38387692999</v>
      </c>
    </row>
    <row r="534" spans="1:4" x14ac:dyDescent="0.4">
      <c r="A534" s="6">
        <v>486.18</v>
      </c>
      <c r="B534" s="44">
        <v>248451.48401625</v>
      </c>
      <c r="C534" s="44">
        <v>249944.83655521</v>
      </c>
      <c r="D534" s="44">
        <v>689067.98781269998</v>
      </c>
    </row>
    <row r="535" spans="1:4" x14ac:dyDescent="0.4">
      <c r="A535" s="6">
        <v>486.17</v>
      </c>
      <c r="B535" s="44">
        <v>248278.22638819</v>
      </c>
      <c r="C535" s="44">
        <v>249765.24324881</v>
      </c>
      <c r="D535" s="44">
        <v>686584.36995870003</v>
      </c>
    </row>
    <row r="536" spans="1:4" x14ac:dyDescent="0.4">
      <c r="A536" s="6">
        <v>486.16</v>
      </c>
      <c r="B536" s="44">
        <v>248105.20137642999</v>
      </c>
      <c r="C536" s="44">
        <v>249585.86346816001</v>
      </c>
      <c r="D536" s="44">
        <v>684102.43294892996</v>
      </c>
    </row>
    <row r="537" spans="1:4" x14ac:dyDescent="0.4">
      <c r="A537" s="6">
        <v>486.15</v>
      </c>
      <c r="B537" s="44">
        <v>247931.83463756001</v>
      </c>
      <c r="C537" s="44">
        <v>249406.12781077999</v>
      </c>
      <c r="D537" s="44">
        <v>681622.26330574998</v>
      </c>
    </row>
    <row r="538" spans="1:4" x14ac:dyDescent="0.4">
      <c r="A538" s="6">
        <v>486.14</v>
      </c>
      <c r="B538" s="44">
        <v>247757.93148072</v>
      </c>
      <c r="C538" s="44">
        <v>249225.84405556999</v>
      </c>
      <c r="D538" s="44">
        <v>679143.79528637999</v>
      </c>
    </row>
    <row r="539" spans="1:4" x14ac:dyDescent="0.4">
      <c r="A539" s="6">
        <v>486.13</v>
      </c>
      <c r="B539" s="44">
        <v>247583.51459635</v>
      </c>
      <c r="C539" s="44">
        <v>249045.042503</v>
      </c>
      <c r="D539" s="44">
        <v>676667.12680619</v>
      </c>
    </row>
    <row r="540" spans="1:4" x14ac:dyDescent="0.4">
      <c r="A540" s="6">
        <v>486.12</v>
      </c>
      <c r="B540" s="44">
        <v>247408.42497399999</v>
      </c>
      <c r="C540" s="44">
        <v>248863.57075908</v>
      </c>
      <c r="D540" s="44">
        <v>674192.14268106001</v>
      </c>
    </row>
    <row r="541" spans="1:4" x14ac:dyDescent="0.4">
      <c r="A541" s="6">
        <v>486.11</v>
      </c>
      <c r="B541" s="44">
        <v>247232.65178322999</v>
      </c>
      <c r="C541" s="44">
        <v>248681.42288355</v>
      </c>
      <c r="D541" s="44">
        <v>671718.95050240995</v>
      </c>
    </row>
    <row r="542" spans="1:4" x14ac:dyDescent="0.4">
      <c r="A542" s="6">
        <v>486.1</v>
      </c>
      <c r="B542" s="44">
        <v>247056.15062226</v>
      </c>
      <c r="C542" s="44">
        <v>248498.55563367999</v>
      </c>
      <c r="D542" s="44">
        <v>669247.52662458003</v>
      </c>
    </row>
    <row r="543" spans="1:4" x14ac:dyDescent="0.4">
      <c r="A543" s="6">
        <v>486.09</v>
      </c>
      <c r="B543" s="44">
        <v>246878.9146818</v>
      </c>
      <c r="C543" s="44">
        <v>248314.96131873</v>
      </c>
      <c r="D543" s="44">
        <v>666777.84369172005</v>
      </c>
    </row>
    <row r="544" spans="1:4" x14ac:dyDescent="0.4">
      <c r="A544" s="6">
        <v>486.08</v>
      </c>
      <c r="B544" s="44">
        <v>246700.92683454001</v>
      </c>
      <c r="C544" s="44">
        <v>248130.62571204</v>
      </c>
      <c r="D544" s="44">
        <v>664309.98266505997</v>
      </c>
    </row>
    <row r="545" spans="1:4" x14ac:dyDescent="0.4">
      <c r="A545" s="6">
        <v>486.07</v>
      </c>
      <c r="B545" s="44">
        <v>246522.12280926001</v>
      </c>
      <c r="C545" s="44">
        <v>247945.4853498</v>
      </c>
      <c r="D545" s="44">
        <v>661843.89445892</v>
      </c>
    </row>
    <row r="546" spans="1:4" x14ac:dyDescent="0.4">
      <c r="A546" s="6">
        <v>486.06</v>
      </c>
      <c r="B546" s="44">
        <v>246342.35237522001</v>
      </c>
      <c r="C546" s="44">
        <v>247759.39379683</v>
      </c>
      <c r="D546" s="44">
        <v>659379.57581452001</v>
      </c>
    </row>
    <row r="547" spans="1:4" x14ac:dyDescent="0.4">
      <c r="A547" s="6">
        <v>486.05</v>
      </c>
      <c r="B547" s="44">
        <v>246161.56784430001</v>
      </c>
      <c r="C547" s="44">
        <v>247572.30483837001</v>
      </c>
      <c r="D547" s="44">
        <v>656917.11407163006</v>
      </c>
    </row>
    <row r="548" spans="1:4" x14ac:dyDescent="0.4">
      <c r="A548" s="6">
        <v>486.04</v>
      </c>
      <c r="B548" s="44">
        <v>245979.69279100999</v>
      </c>
      <c r="C548" s="44">
        <v>247384.14530758999</v>
      </c>
      <c r="D548" s="44">
        <v>654456.40571192</v>
      </c>
    </row>
    <row r="549" spans="1:4" x14ac:dyDescent="0.4">
      <c r="A549" s="6">
        <v>486.03</v>
      </c>
      <c r="B549" s="44">
        <v>245796.37592726</v>
      </c>
      <c r="C549" s="44">
        <v>247194.57087860999</v>
      </c>
      <c r="D549" s="44">
        <v>651997.59137580998</v>
      </c>
    </row>
    <row r="550" spans="1:4" x14ac:dyDescent="0.4">
      <c r="A550" s="6">
        <v>486.02</v>
      </c>
      <c r="B550" s="44">
        <v>245611.53608921001</v>
      </c>
      <c r="C550" s="44">
        <v>247003.50458124999</v>
      </c>
      <c r="D550" s="44">
        <v>649540.57578387996</v>
      </c>
    </row>
    <row r="551" spans="1:4" x14ac:dyDescent="0.4">
      <c r="A551" s="6">
        <v>486.01</v>
      </c>
      <c r="B551" s="44">
        <v>245423.12431123</v>
      </c>
      <c r="C551" s="44">
        <v>246808.91030764001</v>
      </c>
      <c r="D551" s="44">
        <v>647085.42898627999</v>
      </c>
    </row>
    <row r="552" spans="1:4" x14ac:dyDescent="0.4">
      <c r="A552" s="6">
        <v>486</v>
      </c>
      <c r="B552" s="44">
        <v>245184.93791434</v>
      </c>
      <c r="C552" s="44">
        <v>246564.61108607001</v>
      </c>
      <c r="D552" s="44">
        <v>644632.24726224004</v>
      </c>
    </row>
    <row r="553" spans="1:4" x14ac:dyDescent="0.4">
      <c r="A553" s="6">
        <v>485.99</v>
      </c>
      <c r="B553" s="44">
        <v>244558.93018184</v>
      </c>
      <c r="C553" s="44">
        <v>245932.52374352</v>
      </c>
      <c r="D553" s="44">
        <v>642185.36183879001</v>
      </c>
    </row>
    <row r="554" spans="1:4" x14ac:dyDescent="0.4">
      <c r="A554" s="6">
        <v>485.98</v>
      </c>
      <c r="B554" s="44">
        <v>244344.87274001999</v>
      </c>
      <c r="C554" s="44">
        <v>245712.35390414001</v>
      </c>
      <c r="D554" s="44">
        <v>639740.8406923</v>
      </c>
    </row>
    <row r="555" spans="1:4" x14ac:dyDescent="0.4">
      <c r="A555" s="6">
        <v>485.97</v>
      </c>
      <c r="B555" s="44">
        <v>244131.79786617999</v>
      </c>
      <c r="C555" s="44">
        <v>245493.15003451001</v>
      </c>
      <c r="D555" s="44">
        <v>637298.46797730005</v>
      </c>
    </row>
    <row r="556" spans="1:4" x14ac:dyDescent="0.4">
      <c r="A556" s="6">
        <v>485.96</v>
      </c>
      <c r="B556" s="44">
        <v>243918.73698896001</v>
      </c>
      <c r="C556" s="44">
        <v>245273.94506267001</v>
      </c>
      <c r="D556" s="44">
        <v>634858.21247271996</v>
      </c>
    </row>
    <row r="557" spans="1:4" x14ac:dyDescent="0.4">
      <c r="A557" s="6">
        <v>485.95</v>
      </c>
      <c r="B557" s="44">
        <v>243705.17899576001</v>
      </c>
      <c r="C557" s="44">
        <v>245054.23677523001</v>
      </c>
      <c r="D557" s="44">
        <v>632420.08159279998</v>
      </c>
    </row>
    <row r="558" spans="1:4" x14ac:dyDescent="0.4">
      <c r="A558" s="6">
        <v>485.94</v>
      </c>
      <c r="B558" s="44">
        <v>243491.12530919001</v>
      </c>
      <c r="C558" s="44">
        <v>244834.03247916</v>
      </c>
      <c r="D558" s="44">
        <v>629984.11643715994</v>
      </c>
    </row>
    <row r="559" spans="1:4" x14ac:dyDescent="0.4">
      <c r="A559" s="6">
        <v>485.93</v>
      </c>
      <c r="B559" s="44">
        <v>243276.40864584001</v>
      </c>
      <c r="C559" s="44">
        <v>244613.16466673001</v>
      </c>
      <c r="D559" s="44">
        <v>627550.29107829998</v>
      </c>
    </row>
    <row r="560" spans="1:4" x14ac:dyDescent="0.4">
      <c r="A560" s="6">
        <v>485.92</v>
      </c>
      <c r="B560" s="44">
        <v>243061.11779674</v>
      </c>
      <c r="C560" s="44">
        <v>244391.72261460999</v>
      </c>
      <c r="D560" s="44">
        <v>625118.59944145998</v>
      </c>
    </row>
    <row r="561" spans="1:4" x14ac:dyDescent="0.4">
      <c r="A561" s="6">
        <v>485.91</v>
      </c>
      <c r="B561" s="44">
        <v>242845.17488055999</v>
      </c>
      <c r="C561" s="44">
        <v>244169.63222483001</v>
      </c>
      <c r="D561" s="44">
        <v>622689.04586276005</v>
      </c>
    </row>
    <row r="562" spans="1:4" x14ac:dyDescent="0.4">
      <c r="A562" s="6">
        <v>485.9</v>
      </c>
      <c r="B562" s="44">
        <v>242628.41422713999</v>
      </c>
      <c r="C562" s="44">
        <v>243946.73176676</v>
      </c>
      <c r="D562" s="44">
        <v>620261.71814855002</v>
      </c>
    </row>
    <row r="563" spans="1:4" x14ac:dyDescent="0.4">
      <c r="A563" s="6">
        <v>485.89</v>
      </c>
      <c r="B563" s="44">
        <v>242410.91239392001</v>
      </c>
      <c r="C563" s="44">
        <v>243723.10056178001</v>
      </c>
      <c r="D563" s="44">
        <v>617836.57865831</v>
      </c>
    </row>
    <row r="564" spans="1:4" x14ac:dyDescent="0.4">
      <c r="A564" s="6">
        <v>485.88</v>
      </c>
      <c r="B564" s="44">
        <v>242192.5901004</v>
      </c>
      <c r="C564" s="44">
        <v>243498.66240413001</v>
      </c>
      <c r="D564" s="44">
        <v>615413.63317365001</v>
      </c>
    </row>
    <row r="565" spans="1:4" x14ac:dyDescent="0.4">
      <c r="A565" s="6">
        <v>485.87</v>
      </c>
      <c r="B565" s="44">
        <v>241973.4098809</v>
      </c>
      <c r="C565" s="44">
        <v>243273.38025757999</v>
      </c>
      <c r="D565" s="44">
        <v>612992.82838570001</v>
      </c>
    </row>
    <row r="566" spans="1:4" x14ac:dyDescent="0.4">
      <c r="A566" s="6">
        <v>485.86</v>
      </c>
      <c r="B566" s="44">
        <v>241753.36095256999</v>
      </c>
      <c r="C566" s="44">
        <v>243047.24415766</v>
      </c>
      <c r="D566" s="44">
        <v>610574.23994351004</v>
      </c>
    </row>
    <row r="567" spans="1:4" x14ac:dyDescent="0.4">
      <c r="A567" s="6">
        <v>485.85</v>
      </c>
      <c r="B567" s="44">
        <v>241532.40253848999</v>
      </c>
      <c r="C567" s="44">
        <v>242820.21651905999</v>
      </c>
      <c r="D567" s="44">
        <v>608157.84332406998</v>
      </c>
    </row>
    <row r="568" spans="1:4" x14ac:dyDescent="0.4">
      <c r="A568" s="6">
        <v>485.84</v>
      </c>
      <c r="B568" s="44">
        <v>241310.23295946</v>
      </c>
      <c r="C568" s="44">
        <v>242591.99909197999</v>
      </c>
      <c r="D568" s="44">
        <v>605743.64491953002</v>
      </c>
    </row>
    <row r="569" spans="1:4" x14ac:dyDescent="0.4">
      <c r="A569" s="6">
        <v>485.83</v>
      </c>
      <c r="B569" s="44">
        <v>241086.65067331999</v>
      </c>
      <c r="C569" s="44">
        <v>242362.39717315001</v>
      </c>
      <c r="D569" s="44">
        <v>603331.63394880004</v>
      </c>
    </row>
    <row r="570" spans="1:4" x14ac:dyDescent="0.4">
      <c r="A570" s="6">
        <v>485.82</v>
      </c>
      <c r="B570" s="44">
        <v>240861.47899164</v>
      </c>
      <c r="C570" s="44">
        <v>242131.24244594999</v>
      </c>
      <c r="D570" s="44">
        <v>600921.89997221006</v>
      </c>
    </row>
    <row r="571" spans="1:4" x14ac:dyDescent="0.4">
      <c r="A571" s="6">
        <v>485.81</v>
      </c>
      <c r="B571" s="44">
        <v>240633.91118667999</v>
      </c>
      <c r="C571" s="44">
        <v>241897.73458138001</v>
      </c>
      <c r="D571" s="44">
        <v>598514.45365114999</v>
      </c>
    </row>
    <row r="572" spans="1:4" x14ac:dyDescent="0.4">
      <c r="A572" s="6">
        <v>485.8</v>
      </c>
      <c r="B572" s="44">
        <v>240376.42169645001</v>
      </c>
      <c r="C572" s="44">
        <v>241634.36586413</v>
      </c>
      <c r="D572" s="44">
        <v>596109.34431786998</v>
      </c>
    </row>
    <row r="573" spans="1:4" x14ac:dyDescent="0.4">
      <c r="A573" s="6">
        <v>485.79</v>
      </c>
      <c r="B573" s="44">
        <v>239915.96701048</v>
      </c>
      <c r="C573" s="44">
        <v>241168.04735446</v>
      </c>
      <c r="D573" s="44">
        <v>593708.63922334998</v>
      </c>
    </row>
    <row r="574" spans="1:4" x14ac:dyDescent="0.4">
      <c r="A574" s="6">
        <v>485.78</v>
      </c>
      <c r="B574" s="44">
        <v>239641.38513407001</v>
      </c>
      <c r="C574" s="44">
        <v>240887.57741043001</v>
      </c>
      <c r="D574" s="44">
        <v>591310.86118301004</v>
      </c>
    </row>
    <row r="575" spans="1:4" x14ac:dyDescent="0.4">
      <c r="A575" s="6">
        <v>485.77</v>
      </c>
      <c r="B575" s="44">
        <v>239369.51849838</v>
      </c>
      <c r="C575" s="44">
        <v>240609.81858751</v>
      </c>
      <c r="D575" s="44">
        <v>588915.83828002994</v>
      </c>
    </row>
    <row r="576" spans="1:4" x14ac:dyDescent="0.4">
      <c r="A576" s="6">
        <v>485.76</v>
      </c>
      <c r="B576" s="44">
        <v>239099.16827719999</v>
      </c>
      <c r="C576" s="44">
        <v>240333.57457242999</v>
      </c>
      <c r="D576" s="44">
        <v>586523.49831843004</v>
      </c>
    </row>
    <row r="577" spans="1:4" x14ac:dyDescent="0.4">
      <c r="A577" s="6">
        <v>485.75</v>
      </c>
      <c r="B577" s="44">
        <v>238829.9272915</v>
      </c>
      <c r="C577" s="44">
        <v>240058.44315974001</v>
      </c>
      <c r="D577" s="44">
        <v>584133.84536885004</v>
      </c>
    </row>
    <row r="578" spans="1:4" x14ac:dyDescent="0.4">
      <c r="A578" s="6">
        <v>485.74</v>
      </c>
      <c r="B578" s="44">
        <v>238561.67395597001</v>
      </c>
      <c r="C578" s="44">
        <v>239784.30941227</v>
      </c>
      <c r="D578" s="44">
        <v>581746.90886289999</v>
      </c>
    </row>
    <row r="579" spans="1:4" x14ac:dyDescent="0.4">
      <c r="A579" s="6">
        <v>485.73</v>
      </c>
      <c r="B579" s="44">
        <v>238294.20091757001</v>
      </c>
      <c r="C579" s="44">
        <v>239510.96586375</v>
      </c>
      <c r="D579" s="44">
        <v>579362.64141193999</v>
      </c>
    </row>
    <row r="580" spans="1:4" x14ac:dyDescent="0.4">
      <c r="A580" s="6">
        <v>485.72</v>
      </c>
      <c r="B580" s="44">
        <v>238027.56630019</v>
      </c>
      <c r="C580" s="44">
        <v>239238.47071580001</v>
      </c>
      <c r="D580" s="44">
        <v>576981.01853698003</v>
      </c>
    </row>
    <row r="581" spans="1:4" x14ac:dyDescent="0.4">
      <c r="A581" s="6">
        <v>485.71</v>
      </c>
      <c r="B581" s="44">
        <v>237761.58071576001</v>
      </c>
      <c r="C581" s="44">
        <v>238966.63672743001</v>
      </c>
      <c r="D581" s="44">
        <v>574602.12255308998</v>
      </c>
    </row>
    <row r="582" spans="1:4" x14ac:dyDescent="0.4">
      <c r="A582" s="6">
        <v>485.7</v>
      </c>
      <c r="B582" s="44">
        <v>237496.41257640999</v>
      </c>
      <c r="C582" s="44">
        <v>238695.63445237</v>
      </c>
      <c r="D582" s="44">
        <v>572225.83531902998</v>
      </c>
    </row>
    <row r="583" spans="1:4" x14ac:dyDescent="0.4">
      <c r="A583" s="6">
        <v>485.69</v>
      </c>
      <c r="B583" s="44">
        <v>237231.90746171999</v>
      </c>
      <c r="C583" s="44">
        <v>238425.30976455999</v>
      </c>
      <c r="D583" s="44">
        <v>569852.21688491001</v>
      </c>
    </row>
    <row r="584" spans="1:4" x14ac:dyDescent="0.4">
      <c r="A584" s="6">
        <v>485.68</v>
      </c>
      <c r="B584" s="44">
        <v>236968.00744956001</v>
      </c>
      <c r="C584" s="44">
        <v>238155.60807962</v>
      </c>
      <c r="D584" s="44">
        <v>567481.26887637004</v>
      </c>
    </row>
    <row r="585" spans="1:4" x14ac:dyDescent="0.4">
      <c r="A585" s="6">
        <v>485.67</v>
      </c>
      <c r="B585" s="44">
        <v>236704.74054356999</v>
      </c>
      <c r="C585" s="44">
        <v>237886.56044947999</v>
      </c>
      <c r="D585" s="44">
        <v>565112.95472378004</v>
      </c>
    </row>
    <row r="586" spans="1:4" x14ac:dyDescent="0.4">
      <c r="A586" s="6">
        <v>485.66</v>
      </c>
      <c r="B586" s="44">
        <v>236442.14677260999</v>
      </c>
      <c r="C586" s="44">
        <v>237618.21007157999</v>
      </c>
      <c r="D586" s="44">
        <v>562747.24290909001</v>
      </c>
    </row>
    <row r="587" spans="1:4" x14ac:dyDescent="0.4">
      <c r="A587" s="6">
        <v>485.65</v>
      </c>
      <c r="B587" s="44">
        <v>236179.83532432999</v>
      </c>
      <c r="C587" s="44">
        <v>237350.17264104</v>
      </c>
      <c r="D587" s="44">
        <v>560384.12602935999</v>
      </c>
    </row>
    <row r="588" spans="1:4" x14ac:dyDescent="0.4">
      <c r="A588" s="6">
        <v>485.64</v>
      </c>
      <c r="B588" s="44">
        <v>235917.71964004001</v>
      </c>
      <c r="C588" s="44">
        <v>237082.36705626</v>
      </c>
      <c r="D588" s="44">
        <v>558023.66807043995</v>
      </c>
    </row>
    <row r="589" spans="1:4" x14ac:dyDescent="0.4">
      <c r="A589" s="6">
        <v>485.63</v>
      </c>
      <c r="B589" s="44">
        <v>235655.38246578001</v>
      </c>
      <c r="C589" s="44">
        <v>236814.38396964999</v>
      </c>
      <c r="D589" s="44">
        <v>555665.84166578995</v>
      </c>
    </row>
    <row r="590" spans="1:4" x14ac:dyDescent="0.4">
      <c r="A590" s="6">
        <v>485.62</v>
      </c>
      <c r="B590" s="44">
        <v>235392.05050935</v>
      </c>
      <c r="C590" s="44">
        <v>236545.45967268001</v>
      </c>
      <c r="D590" s="44">
        <v>553310.67915215006</v>
      </c>
    </row>
    <row r="591" spans="1:4" x14ac:dyDescent="0.4">
      <c r="A591" s="6">
        <v>485.61</v>
      </c>
      <c r="B591" s="44">
        <v>235125.9080041</v>
      </c>
      <c r="C591" s="44">
        <v>236273.78869548001</v>
      </c>
      <c r="D591" s="44">
        <v>550958.13400133001</v>
      </c>
    </row>
    <row r="592" spans="1:4" x14ac:dyDescent="0.4">
      <c r="A592" s="6">
        <v>485.6</v>
      </c>
      <c r="B592" s="44">
        <v>234743.02694750001</v>
      </c>
      <c r="C592" s="44">
        <v>235885.47438329001</v>
      </c>
      <c r="D592" s="44">
        <v>548608.26030217996</v>
      </c>
    </row>
    <row r="593" spans="1:4" x14ac:dyDescent="0.4">
      <c r="A593" s="6">
        <v>485.59</v>
      </c>
      <c r="B593" s="44">
        <v>234326.97296017001</v>
      </c>
      <c r="C593" s="44">
        <v>235464.05334854001</v>
      </c>
      <c r="D593" s="44">
        <v>546263.60196607001</v>
      </c>
    </row>
    <row r="594" spans="1:4" x14ac:dyDescent="0.4">
      <c r="A594" s="6">
        <v>485.58</v>
      </c>
      <c r="B594" s="44">
        <v>234076.99697450001</v>
      </c>
      <c r="C594" s="44">
        <v>235208.68575877001</v>
      </c>
      <c r="D594" s="44">
        <v>543921.58001481998</v>
      </c>
    </row>
    <row r="595" spans="1:4" x14ac:dyDescent="0.4">
      <c r="A595" s="6">
        <v>485.57</v>
      </c>
      <c r="B595" s="44">
        <v>233828.93910397001</v>
      </c>
      <c r="C595" s="44">
        <v>234955.22617762999</v>
      </c>
      <c r="D595" s="44">
        <v>541582.06636403</v>
      </c>
    </row>
    <row r="596" spans="1:4" x14ac:dyDescent="0.4">
      <c r="A596" s="6">
        <v>485.56</v>
      </c>
      <c r="B596" s="44">
        <v>233581.19541906999</v>
      </c>
      <c r="C596" s="44">
        <v>234702.07368338999</v>
      </c>
      <c r="D596" s="44">
        <v>539245.01924435003</v>
      </c>
    </row>
    <row r="597" spans="1:4" x14ac:dyDescent="0.4">
      <c r="A597" s="6">
        <v>485.55</v>
      </c>
      <c r="B597" s="44">
        <v>233333.45777044</v>
      </c>
      <c r="C597" s="44">
        <v>234448.92572358999</v>
      </c>
      <c r="D597" s="44">
        <v>536910.40878339997</v>
      </c>
    </row>
    <row r="598" spans="1:4" x14ac:dyDescent="0.4">
      <c r="A598" s="6">
        <v>485.54</v>
      </c>
      <c r="B598" s="44">
        <v>233085.62996829001</v>
      </c>
      <c r="C598" s="44">
        <v>234195.69008899</v>
      </c>
      <c r="D598" s="44">
        <v>534578.30043045001</v>
      </c>
    </row>
    <row r="599" spans="1:4" x14ac:dyDescent="0.4">
      <c r="A599" s="6">
        <v>485.53</v>
      </c>
      <c r="B599" s="44">
        <v>232837.77615262999</v>
      </c>
      <c r="C599" s="44">
        <v>233942.42699871</v>
      </c>
      <c r="D599" s="44">
        <v>532248.65128015995</v>
      </c>
    </row>
    <row r="600" spans="1:4" x14ac:dyDescent="0.4">
      <c r="A600" s="6">
        <v>485.52</v>
      </c>
      <c r="B600" s="44">
        <v>232589.94316538001</v>
      </c>
      <c r="C600" s="44">
        <v>233689.1831885</v>
      </c>
      <c r="D600" s="44">
        <v>529921.50199370994</v>
      </c>
    </row>
    <row r="601" spans="1:4" x14ac:dyDescent="0.4">
      <c r="A601" s="6">
        <v>485.51</v>
      </c>
      <c r="B601" s="44">
        <v>232342.04349216999</v>
      </c>
      <c r="C601" s="44">
        <v>233435.87076697999</v>
      </c>
      <c r="D601" s="44">
        <v>527596.81052447006</v>
      </c>
    </row>
    <row r="602" spans="1:4" x14ac:dyDescent="0.4">
      <c r="A602" s="6">
        <v>485.5</v>
      </c>
      <c r="B602" s="44">
        <v>232094.09594253</v>
      </c>
      <c r="C602" s="44">
        <v>233182.50987238</v>
      </c>
      <c r="D602" s="44">
        <v>525274.65430576995</v>
      </c>
    </row>
    <row r="603" spans="1:4" x14ac:dyDescent="0.4">
      <c r="A603" s="6">
        <v>485.49</v>
      </c>
      <c r="B603" s="44">
        <v>231845.98112466</v>
      </c>
      <c r="C603" s="44">
        <v>232928.98205001999</v>
      </c>
      <c r="D603" s="44">
        <v>522954.96025450999</v>
      </c>
    </row>
    <row r="604" spans="1:4" x14ac:dyDescent="0.4">
      <c r="A604" s="6">
        <v>485.48</v>
      </c>
      <c r="B604" s="44">
        <v>231597.69369394</v>
      </c>
      <c r="C604" s="44">
        <v>232675.28402935</v>
      </c>
      <c r="D604" s="44">
        <v>520637.78312152001</v>
      </c>
    </row>
    <row r="605" spans="1:4" x14ac:dyDescent="0.4">
      <c r="A605" s="6">
        <v>485.47</v>
      </c>
      <c r="B605" s="44">
        <v>231349.24132129</v>
      </c>
      <c r="C605" s="44">
        <v>232421.42399782999</v>
      </c>
      <c r="D605" s="44">
        <v>518323.07116748998</v>
      </c>
    </row>
    <row r="606" spans="1:4" x14ac:dyDescent="0.4">
      <c r="A606" s="6">
        <v>485.46</v>
      </c>
      <c r="B606" s="44">
        <v>231100.62984352</v>
      </c>
      <c r="C606" s="44">
        <v>232167.40802775</v>
      </c>
      <c r="D606" s="44">
        <v>516010.89440763998</v>
      </c>
    </row>
    <row r="607" spans="1:4" x14ac:dyDescent="0.4">
      <c r="A607" s="6">
        <v>485.45</v>
      </c>
      <c r="B607" s="44">
        <v>230851.89176455</v>
      </c>
      <c r="C607" s="44">
        <v>231913.26777952001</v>
      </c>
      <c r="D607" s="44">
        <v>513701.11024285998</v>
      </c>
    </row>
    <row r="608" spans="1:4" x14ac:dyDescent="0.4">
      <c r="A608" s="6">
        <v>485.44</v>
      </c>
      <c r="B608" s="44">
        <v>230602.83493097001</v>
      </c>
      <c r="C608" s="44">
        <v>231658.81389041001</v>
      </c>
      <c r="D608" s="44">
        <v>511393.84960769</v>
      </c>
    </row>
    <row r="609" spans="1:4" x14ac:dyDescent="0.4">
      <c r="A609" s="6">
        <v>485.43</v>
      </c>
      <c r="B609" s="44">
        <v>230353.60552866</v>
      </c>
      <c r="C609" s="44">
        <v>231404.19288523</v>
      </c>
      <c r="D609" s="44">
        <v>509089.07338123</v>
      </c>
    </row>
    <row r="610" spans="1:4" x14ac:dyDescent="0.4">
      <c r="A610" s="6">
        <v>485.42</v>
      </c>
      <c r="B610" s="44">
        <v>230103.87316710001</v>
      </c>
      <c r="C610" s="44">
        <v>231149.06977003999</v>
      </c>
      <c r="D610" s="44">
        <v>506786.78438331001</v>
      </c>
    </row>
    <row r="611" spans="1:4" x14ac:dyDescent="0.4">
      <c r="A611" s="6">
        <v>485.41</v>
      </c>
      <c r="B611" s="44">
        <v>229852.20902307</v>
      </c>
      <c r="C611" s="44">
        <v>230892.0167914</v>
      </c>
      <c r="D611" s="44">
        <v>504486.99928764999</v>
      </c>
    </row>
    <row r="612" spans="1:4" x14ac:dyDescent="0.4">
      <c r="A612" s="6">
        <v>485.4</v>
      </c>
      <c r="B612" s="44">
        <v>229350.63865874999</v>
      </c>
      <c r="C612" s="44">
        <v>230385.07590932999</v>
      </c>
      <c r="D612" s="44">
        <v>502189.70251775999</v>
      </c>
    </row>
    <row r="613" spans="1:4" x14ac:dyDescent="0.4">
      <c r="A613" s="6">
        <v>485.39</v>
      </c>
      <c r="B613" s="44">
        <v>229014.36321904001</v>
      </c>
      <c r="C613" s="44">
        <v>230043.39552652001</v>
      </c>
      <c r="D613" s="44">
        <v>499898.34232584998</v>
      </c>
    </row>
    <row r="614" spans="1:4" x14ac:dyDescent="0.4">
      <c r="A614" s="6">
        <v>485.38</v>
      </c>
      <c r="B614" s="44">
        <v>228811.51231649</v>
      </c>
      <c r="C614" s="44">
        <v>229835.03623731999</v>
      </c>
      <c r="D614" s="44">
        <v>497609.1877598</v>
      </c>
    </row>
    <row r="615" spans="1:4" x14ac:dyDescent="0.4">
      <c r="A615" s="6">
        <v>485.37</v>
      </c>
      <c r="B615" s="44">
        <v>228611.78698949001</v>
      </c>
      <c r="C615" s="44">
        <v>229629.73858356001</v>
      </c>
      <c r="D615" s="44">
        <v>495322.06876219</v>
      </c>
    </row>
    <row r="616" spans="1:4" x14ac:dyDescent="0.4">
      <c r="A616" s="6">
        <v>485.36</v>
      </c>
      <c r="B616" s="44">
        <v>228412.95247187</v>
      </c>
      <c r="C616" s="44">
        <v>229425.28620902999</v>
      </c>
      <c r="D616" s="44">
        <v>493036.94658386998</v>
      </c>
    </row>
    <row r="617" spans="1:4" x14ac:dyDescent="0.4">
      <c r="A617" s="6">
        <v>485.35</v>
      </c>
      <c r="B617" s="44">
        <v>228214.54655961</v>
      </c>
      <c r="C617" s="44">
        <v>229221.23221751</v>
      </c>
      <c r="D617" s="44">
        <v>490753.81267125002</v>
      </c>
    </row>
    <row r="618" spans="1:4" x14ac:dyDescent="0.4">
      <c r="A618" s="6">
        <v>485.34</v>
      </c>
      <c r="B618" s="44">
        <v>228015.88212612999</v>
      </c>
      <c r="C618" s="44">
        <v>229016.89983993999</v>
      </c>
      <c r="D618" s="44">
        <v>488472.67137686</v>
      </c>
    </row>
    <row r="619" spans="1:4" x14ac:dyDescent="0.4">
      <c r="A619" s="6">
        <v>485.33</v>
      </c>
      <c r="B619" s="44">
        <v>227816.80629186999</v>
      </c>
      <c r="C619" s="44">
        <v>228812.14183146</v>
      </c>
      <c r="D619" s="44">
        <v>486193.50395009998</v>
      </c>
    </row>
    <row r="620" spans="1:4" x14ac:dyDescent="0.4">
      <c r="A620" s="6">
        <v>485.32</v>
      </c>
      <c r="B620" s="44">
        <v>227617.24406865999</v>
      </c>
      <c r="C620" s="44">
        <v>228606.88898043</v>
      </c>
      <c r="D620" s="44">
        <v>483916.35583720001</v>
      </c>
    </row>
    <row r="621" spans="1:4" x14ac:dyDescent="0.4">
      <c r="A621" s="6">
        <v>485.31</v>
      </c>
      <c r="B621" s="44">
        <v>227417.19304667</v>
      </c>
      <c r="C621" s="44">
        <v>228401.14355922001</v>
      </c>
      <c r="D621" s="44">
        <v>481641.20210291003</v>
      </c>
    </row>
    <row r="622" spans="1:4" x14ac:dyDescent="0.4">
      <c r="A622" s="6">
        <v>485.3</v>
      </c>
      <c r="B622" s="44">
        <v>227216.61728819</v>
      </c>
      <c r="C622" s="44">
        <v>228194.87334428</v>
      </c>
      <c r="D622" s="44">
        <v>479368.03249487001</v>
      </c>
    </row>
    <row r="623" spans="1:4" x14ac:dyDescent="0.4">
      <c r="A623" s="6">
        <v>485.29</v>
      </c>
      <c r="B623" s="44">
        <v>227015.2252976</v>
      </c>
      <c r="C623" s="44">
        <v>227987.79147547</v>
      </c>
      <c r="D623" s="44">
        <v>477096.88728055003</v>
      </c>
    </row>
    <row r="624" spans="1:4" x14ac:dyDescent="0.4">
      <c r="A624" s="6">
        <v>485.28</v>
      </c>
      <c r="B624" s="44">
        <v>226813.11176947999</v>
      </c>
      <c r="C624" s="44">
        <v>227779.99206814001</v>
      </c>
      <c r="D624" s="44">
        <v>474827.78744062001</v>
      </c>
    </row>
    <row r="625" spans="1:4" x14ac:dyDescent="0.4">
      <c r="A625" s="6">
        <v>485.27</v>
      </c>
      <c r="B625" s="44">
        <v>226610.26652122001</v>
      </c>
      <c r="C625" s="44">
        <v>227571.46528151</v>
      </c>
      <c r="D625" s="44">
        <v>472560.67654254998</v>
      </c>
    </row>
    <row r="626" spans="1:4" x14ac:dyDescent="0.4">
      <c r="A626" s="6">
        <v>485.26</v>
      </c>
      <c r="B626" s="44">
        <v>226406.71524115</v>
      </c>
      <c r="C626" s="44">
        <v>227362.23725328001</v>
      </c>
      <c r="D626" s="44">
        <v>470295.56103026</v>
      </c>
    </row>
    <row r="627" spans="1:4" x14ac:dyDescent="0.4">
      <c r="A627" s="6">
        <v>485.25</v>
      </c>
      <c r="B627" s="44">
        <v>226202.39906769001</v>
      </c>
      <c r="C627" s="44">
        <v>227152.25282323</v>
      </c>
      <c r="D627" s="44">
        <v>468032.54760386999</v>
      </c>
    </row>
    <row r="628" spans="1:4" x14ac:dyDescent="0.4">
      <c r="A628" s="6">
        <v>485.24</v>
      </c>
      <c r="B628" s="44">
        <v>225997.10709649001</v>
      </c>
      <c r="C628" s="44">
        <v>226941.30467108</v>
      </c>
      <c r="D628" s="44">
        <v>465771.53774608002</v>
      </c>
    </row>
    <row r="629" spans="1:4" x14ac:dyDescent="0.4">
      <c r="A629" s="6">
        <v>485.23</v>
      </c>
      <c r="B629" s="44">
        <v>225790.77073521001</v>
      </c>
      <c r="C629" s="44">
        <v>226729.32337639001</v>
      </c>
      <c r="D629" s="44">
        <v>463512.67333339999</v>
      </c>
    </row>
    <row r="630" spans="1:4" x14ac:dyDescent="0.4">
      <c r="A630" s="6">
        <v>485.22</v>
      </c>
      <c r="B630" s="44">
        <v>225582.92216471999</v>
      </c>
      <c r="C630" s="44">
        <v>226515.84400027001</v>
      </c>
      <c r="D630" s="44">
        <v>461255.83638101001</v>
      </c>
    </row>
    <row r="631" spans="1:4" x14ac:dyDescent="0.4">
      <c r="A631" s="6">
        <v>485.21</v>
      </c>
      <c r="B631" s="44">
        <v>225371.73517393001</v>
      </c>
      <c r="C631" s="44">
        <v>226299.04898076999</v>
      </c>
      <c r="D631" s="44">
        <v>459001.06916886999</v>
      </c>
    </row>
    <row r="632" spans="1:4" x14ac:dyDescent="0.4">
      <c r="A632" s="6">
        <v>485.2</v>
      </c>
      <c r="B632" s="44">
        <v>224833.87420881999</v>
      </c>
      <c r="C632" s="44">
        <v>225755.63904147001</v>
      </c>
      <c r="D632" s="44">
        <v>456748.44411297003</v>
      </c>
    </row>
    <row r="633" spans="1:4" x14ac:dyDescent="0.4">
      <c r="A633" s="6">
        <v>485.19</v>
      </c>
      <c r="B633" s="44">
        <v>224582.82464673999</v>
      </c>
      <c r="C633" s="44">
        <v>225499.04773014999</v>
      </c>
      <c r="D633" s="44">
        <v>454501.38017491001</v>
      </c>
    </row>
    <row r="634" spans="1:4" x14ac:dyDescent="0.4">
      <c r="A634" s="6">
        <v>485.18</v>
      </c>
      <c r="B634" s="44">
        <v>224366.38714814</v>
      </c>
      <c r="C634" s="44">
        <v>225276.98606626</v>
      </c>
      <c r="D634" s="44">
        <v>452256.63055389997</v>
      </c>
    </row>
    <row r="635" spans="1:4" x14ac:dyDescent="0.4">
      <c r="A635" s="6">
        <v>485.17</v>
      </c>
      <c r="B635" s="44">
        <v>224154.35958560999</v>
      </c>
      <c r="C635" s="44">
        <v>225059.28766959999</v>
      </c>
      <c r="D635" s="44">
        <v>450014.03986752999</v>
      </c>
    </row>
    <row r="636" spans="1:4" x14ac:dyDescent="0.4">
      <c r="A636" s="6">
        <v>485.16</v>
      </c>
      <c r="B636" s="44">
        <v>223944.09890288001</v>
      </c>
      <c r="C636" s="44">
        <v>224843.32234633999</v>
      </c>
      <c r="D636" s="44">
        <v>447773.56914611999</v>
      </c>
    </row>
    <row r="637" spans="1:4" x14ac:dyDescent="0.4">
      <c r="A637" s="6">
        <v>485.15</v>
      </c>
      <c r="B637" s="44">
        <v>223735.15156837</v>
      </c>
      <c r="C637" s="44">
        <v>224628.64707415999</v>
      </c>
      <c r="D637" s="44">
        <v>445535.19833471999</v>
      </c>
    </row>
    <row r="638" spans="1:4" x14ac:dyDescent="0.4">
      <c r="A638" s="6">
        <v>485.14</v>
      </c>
      <c r="B638" s="44">
        <v>223526.97003666</v>
      </c>
      <c r="C638" s="44">
        <v>224414.72318475999</v>
      </c>
      <c r="D638" s="44">
        <v>443298.90985435998</v>
      </c>
    </row>
    <row r="639" spans="1:4" x14ac:dyDescent="0.4">
      <c r="A639" s="6">
        <v>485.13</v>
      </c>
      <c r="B639" s="44">
        <v>223319.30960191</v>
      </c>
      <c r="C639" s="44">
        <v>224201.31598504001</v>
      </c>
      <c r="D639" s="44">
        <v>441064.66733458999</v>
      </c>
    </row>
    <row r="640" spans="1:4" x14ac:dyDescent="0.4">
      <c r="A640" s="6">
        <v>485.12</v>
      </c>
      <c r="B640" s="44">
        <v>223112.03223643001</v>
      </c>
      <c r="C640" s="44">
        <v>223988.29418222999</v>
      </c>
      <c r="D640" s="44">
        <v>438832.48246704001</v>
      </c>
    </row>
    <row r="641" spans="1:4" x14ac:dyDescent="0.4">
      <c r="A641" s="6">
        <v>485.11</v>
      </c>
      <c r="B641" s="44">
        <v>222905.05461183999</v>
      </c>
      <c r="C641" s="44">
        <v>223775.57920924999</v>
      </c>
      <c r="D641" s="44">
        <v>436602.41774727002</v>
      </c>
    </row>
    <row r="642" spans="1:4" x14ac:dyDescent="0.4">
      <c r="A642" s="6">
        <v>485.1</v>
      </c>
      <c r="B642" s="44">
        <v>222698.39422787001</v>
      </c>
      <c r="C642" s="44">
        <v>223563.19188855001</v>
      </c>
      <c r="D642" s="44">
        <v>434374.43155753001</v>
      </c>
    </row>
    <row r="643" spans="1:4" x14ac:dyDescent="0.4">
      <c r="A643" s="6">
        <v>485.09</v>
      </c>
      <c r="B643" s="44">
        <v>222492.0150093</v>
      </c>
      <c r="C643" s="44">
        <v>223351.10115244001</v>
      </c>
      <c r="D643" s="44">
        <v>432148.48107426002</v>
      </c>
    </row>
    <row r="644" spans="1:4" x14ac:dyDescent="0.4">
      <c r="A644" s="6">
        <v>485.08</v>
      </c>
      <c r="B644" s="44">
        <v>222285.72445221001</v>
      </c>
      <c r="C644" s="44">
        <v>223139.11513287999</v>
      </c>
      <c r="D644" s="44">
        <v>429924.62779939</v>
      </c>
    </row>
    <row r="645" spans="1:4" x14ac:dyDescent="0.4">
      <c r="A645" s="6">
        <v>485.07</v>
      </c>
      <c r="B645" s="44">
        <v>222079.61974659999</v>
      </c>
      <c r="C645" s="44">
        <v>222927.3343245</v>
      </c>
      <c r="D645" s="44">
        <v>427702.81621689</v>
      </c>
    </row>
    <row r="646" spans="1:4" x14ac:dyDescent="0.4">
      <c r="A646" s="6">
        <v>485.06</v>
      </c>
      <c r="B646" s="44">
        <v>221873.61677759001</v>
      </c>
      <c r="C646" s="44">
        <v>222715.67516904001</v>
      </c>
      <c r="D646" s="44">
        <v>425483.09000472003</v>
      </c>
    </row>
    <row r="647" spans="1:4" x14ac:dyDescent="0.4">
      <c r="A647" s="6">
        <v>485.05</v>
      </c>
      <c r="B647" s="44">
        <v>221667.65927162001</v>
      </c>
      <c r="C647" s="44">
        <v>222504.08374865001</v>
      </c>
      <c r="D647" s="44">
        <v>423265.39893318998</v>
      </c>
    </row>
    <row r="648" spans="1:4" x14ac:dyDescent="0.4">
      <c r="A648" s="6">
        <v>485.04</v>
      </c>
      <c r="B648" s="44">
        <v>221461.69237909</v>
      </c>
      <c r="C648" s="44">
        <v>222292.50480461001</v>
      </c>
      <c r="D648" s="44">
        <v>421049.7570476</v>
      </c>
    </row>
    <row r="649" spans="1:4" x14ac:dyDescent="0.4">
      <c r="A649" s="6">
        <v>485.03</v>
      </c>
      <c r="B649" s="44">
        <v>221255.55957596999</v>
      </c>
      <c r="C649" s="44">
        <v>222080.78919899001</v>
      </c>
      <c r="D649" s="44">
        <v>418836.15231526998</v>
      </c>
    </row>
    <row r="650" spans="1:4" x14ac:dyDescent="0.4">
      <c r="A650" s="6">
        <v>485.02</v>
      </c>
      <c r="B650" s="44">
        <v>221048.71946138999</v>
      </c>
      <c r="C650" s="44">
        <v>221868.40359428999</v>
      </c>
      <c r="D650" s="44">
        <v>416624.68671717</v>
      </c>
    </row>
    <row r="651" spans="1:4" x14ac:dyDescent="0.4">
      <c r="A651" s="6">
        <v>485.01</v>
      </c>
      <c r="B651" s="44">
        <v>220839.51992307999</v>
      </c>
      <c r="C651" s="44">
        <v>221653.70808491</v>
      </c>
      <c r="D651" s="44">
        <v>414415.26010719</v>
      </c>
    </row>
    <row r="652" spans="1:4" x14ac:dyDescent="0.4">
      <c r="A652" s="6">
        <v>485</v>
      </c>
      <c r="B652" s="44">
        <v>220592.35509883999</v>
      </c>
      <c r="C652" s="44">
        <v>221401.12880024</v>
      </c>
      <c r="D652" s="44">
        <v>412208.02685471001</v>
      </c>
    </row>
    <row r="653" spans="1:4" x14ac:dyDescent="0.4">
      <c r="A653" s="6">
        <v>484.99</v>
      </c>
      <c r="B653" s="44">
        <v>220075.32952699999</v>
      </c>
      <c r="C653" s="44">
        <v>220878.72921856001</v>
      </c>
      <c r="D653" s="44">
        <v>410005.97727976</v>
      </c>
    </row>
    <row r="654" spans="1:4" x14ac:dyDescent="0.4">
      <c r="A654" s="6">
        <v>484.98</v>
      </c>
      <c r="B654" s="44">
        <v>219851.20417334</v>
      </c>
      <c r="C654" s="44">
        <v>220649.19301709</v>
      </c>
      <c r="D654" s="44">
        <v>407806.33159433003</v>
      </c>
    </row>
    <row r="655" spans="1:4" x14ac:dyDescent="0.4">
      <c r="A655" s="6">
        <v>484.97</v>
      </c>
      <c r="B655" s="44">
        <v>219630.25331751999</v>
      </c>
      <c r="C655" s="44">
        <v>220422.80624229999</v>
      </c>
      <c r="D655" s="44">
        <v>405608.91232768999</v>
      </c>
    </row>
    <row r="656" spans="1:4" x14ac:dyDescent="0.4">
      <c r="A656" s="6">
        <v>484.96</v>
      </c>
      <c r="B656" s="44">
        <v>219411.42491790999</v>
      </c>
      <c r="C656" s="44">
        <v>220198.52024556001</v>
      </c>
      <c r="D656" s="44">
        <v>403413.70691499999</v>
      </c>
    </row>
    <row r="657" spans="1:4" x14ac:dyDescent="0.4">
      <c r="A657" s="6">
        <v>484.95</v>
      </c>
      <c r="B657" s="44">
        <v>219194.02693959</v>
      </c>
      <c r="C657" s="44">
        <v>219975.65378145</v>
      </c>
      <c r="D657" s="44">
        <v>401220.69661017001</v>
      </c>
    </row>
    <row r="658" spans="1:4" x14ac:dyDescent="0.4">
      <c r="A658" s="6">
        <v>484.94</v>
      </c>
      <c r="B658" s="44">
        <v>218977.69649239999</v>
      </c>
      <c r="C658" s="44">
        <v>219753.85258012</v>
      </c>
      <c r="D658" s="44">
        <v>399029.85525013</v>
      </c>
    </row>
    <row r="659" spans="1:4" x14ac:dyDescent="0.4">
      <c r="A659" s="6">
        <v>484.93</v>
      </c>
      <c r="B659" s="44">
        <v>218762.69441081001</v>
      </c>
      <c r="C659" s="44">
        <v>219533.37710665</v>
      </c>
      <c r="D659" s="44">
        <v>396841.17374320998</v>
      </c>
    </row>
    <row r="660" spans="1:4" x14ac:dyDescent="0.4">
      <c r="A660" s="6">
        <v>484.92</v>
      </c>
      <c r="B660" s="44">
        <v>218548.74086751</v>
      </c>
      <c r="C660" s="44">
        <v>219313.95126641999</v>
      </c>
      <c r="D660" s="44">
        <v>394654.6750092</v>
      </c>
    </row>
    <row r="661" spans="1:4" x14ac:dyDescent="0.4">
      <c r="A661" s="6">
        <v>484.91</v>
      </c>
      <c r="B661" s="44">
        <v>218335.63539628999</v>
      </c>
      <c r="C661" s="44">
        <v>219095.37752800999</v>
      </c>
      <c r="D661" s="44">
        <v>392470.27949289</v>
      </c>
    </row>
    <row r="662" spans="1:4" x14ac:dyDescent="0.4">
      <c r="A662" s="6">
        <v>484.9</v>
      </c>
      <c r="B662" s="44">
        <v>218123.70747448999</v>
      </c>
      <c r="C662" s="44">
        <v>218877.98705386999</v>
      </c>
      <c r="D662" s="44">
        <v>390288.00182705</v>
      </c>
    </row>
    <row r="663" spans="1:4" x14ac:dyDescent="0.4">
      <c r="A663" s="6">
        <v>484.89</v>
      </c>
      <c r="B663" s="44">
        <v>217912.70155848001</v>
      </c>
      <c r="C663" s="44">
        <v>218661.52797930001</v>
      </c>
      <c r="D663" s="44">
        <v>388107.80293752003</v>
      </c>
    </row>
    <row r="664" spans="1:4" x14ac:dyDescent="0.4">
      <c r="A664" s="6">
        <v>484.88</v>
      </c>
      <c r="B664" s="44">
        <v>217702.57008475999</v>
      </c>
      <c r="C664" s="44">
        <v>218445.95603823001</v>
      </c>
      <c r="D664" s="44">
        <v>385929.73679385002</v>
      </c>
    </row>
    <row r="665" spans="1:4" x14ac:dyDescent="0.4">
      <c r="A665" s="6">
        <v>484.87</v>
      </c>
      <c r="B665" s="44">
        <v>217493.24460810999</v>
      </c>
      <c r="C665" s="44">
        <v>218231.20509904</v>
      </c>
      <c r="D665" s="44">
        <v>383753.78914822999</v>
      </c>
    </row>
    <row r="666" spans="1:4" x14ac:dyDescent="0.4">
      <c r="A666" s="6">
        <v>484.86</v>
      </c>
      <c r="B666" s="44">
        <v>217284.60440429999</v>
      </c>
      <c r="C666" s="44">
        <v>218017.15795316</v>
      </c>
      <c r="D666" s="44">
        <v>381579.89566323999</v>
      </c>
    </row>
    <row r="667" spans="1:4" x14ac:dyDescent="0.4">
      <c r="A667" s="6">
        <v>484.85</v>
      </c>
      <c r="B667" s="44">
        <v>217076.53488573001</v>
      </c>
      <c r="C667" s="44">
        <v>217803.70647437999</v>
      </c>
      <c r="D667" s="44">
        <v>379408.12633111997</v>
      </c>
    </row>
    <row r="668" spans="1:4" x14ac:dyDescent="0.4">
      <c r="A668" s="6">
        <v>484.84</v>
      </c>
      <c r="B668" s="44">
        <v>216869.08641980999</v>
      </c>
      <c r="C668" s="44">
        <v>217590.90894266</v>
      </c>
      <c r="D668" s="44">
        <v>377238.43371597002</v>
      </c>
    </row>
    <row r="669" spans="1:4" x14ac:dyDescent="0.4">
      <c r="A669" s="6">
        <v>484.83</v>
      </c>
      <c r="B669" s="44">
        <v>216661.77375848999</v>
      </c>
      <c r="C669" s="44">
        <v>217378.28476672</v>
      </c>
      <c r="D669" s="44">
        <v>375070.84091173002</v>
      </c>
    </row>
    <row r="670" spans="1:4" x14ac:dyDescent="0.4">
      <c r="A670" s="6">
        <v>484.82</v>
      </c>
      <c r="B670" s="44">
        <v>216453.96115963999</v>
      </c>
      <c r="C670" s="44">
        <v>217165.20600586999</v>
      </c>
      <c r="D670" s="44">
        <v>372905.31290239998</v>
      </c>
    </row>
    <row r="671" spans="1:4" x14ac:dyDescent="0.4">
      <c r="A671" s="6">
        <v>484.81</v>
      </c>
      <c r="B671" s="44">
        <v>216243.45272105999</v>
      </c>
      <c r="C671" s="44">
        <v>216949.49602851999</v>
      </c>
      <c r="D671" s="44">
        <v>370741.87834765</v>
      </c>
    </row>
    <row r="672" spans="1:4" x14ac:dyDescent="0.4">
      <c r="A672" s="6">
        <v>484.8</v>
      </c>
      <c r="B672" s="44">
        <v>216000.91047920001</v>
      </c>
      <c r="C672" s="44">
        <v>216701.84114797</v>
      </c>
      <c r="D672" s="44">
        <v>368580.60581838002</v>
      </c>
    </row>
    <row r="673" spans="1:4" x14ac:dyDescent="0.4">
      <c r="A673" s="6">
        <v>484.79</v>
      </c>
      <c r="B673" s="44">
        <v>215499.75496816999</v>
      </c>
      <c r="C673" s="44">
        <v>216195.59825298999</v>
      </c>
      <c r="D673" s="44">
        <v>366424.12524036999</v>
      </c>
    </row>
    <row r="674" spans="1:4" x14ac:dyDescent="0.4">
      <c r="A674" s="6">
        <v>484.78</v>
      </c>
      <c r="B674" s="44">
        <v>215238.24718380001</v>
      </c>
      <c r="C674" s="44">
        <v>215928.96825765001</v>
      </c>
      <c r="D674" s="44">
        <v>364270.44385783997</v>
      </c>
    </row>
    <row r="675" spans="1:4" x14ac:dyDescent="0.4">
      <c r="A675" s="6">
        <v>484.77</v>
      </c>
      <c r="B675" s="44">
        <v>214978.94443696999</v>
      </c>
      <c r="C675" s="44">
        <v>215664.52853201999</v>
      </c>
      <c r="D675" s="44">
        <v>362119.38084568002</v>
      </c>
    </row>
    <row r="676" spans="1:4" x14ac:dyDescent="0.4">
      <c r="A676" s="6">
        <v>484.76</v>
      </c>
      <c r="B676" s="44">
        <v>214720.10216255</v>
      </c>
      <c r="C676" s="44">
        <v>215400.54491046999</v>
      </c>
      <c r="D676" s="44">
        <v>359970.89538100001</v>
      </c>
    </row>
    <row r="677" spans="1:4" x14ac:dyDescent="0.4">
      <c r="A677" s="6">
        <v>484.75</v>
      </c>
      <c r="B677" s="44">
        <v>214461.12977487</v>
      </c>
      <c r="C677" s="44">
        <v>215136.43119495001</v>
      </c>
      <c r="D677" s="44">
        <v>357825.02183826</v>
      </c>
    </row>
    <row r="678" spans="1:4" x14ac:dyDescent="0.4">
      <c r="A678" s="6">
        <v>484.74</v>
      </c>
      <c r="B678" s="44">
        <v>214201.86222809</v>
      </c>
      <c r="C678" s="44">
        <v>214872.02439665</v>
      </c>
      <c r="D678" s="44">
        <v>355681.69250844</v>
      </c>
    </row>
    <row r="679" spans="1:4" x14ac:dyDescent="0.4">
      <c r="A679" s="6">
        <v>484.73</v>
      </c>
      <c r="B679" s="44">
        <v>213942.30910688001</v>
      </c>
      <c r="C679" s="44">
        <v>214607.33849639</v>
      </c>
      <c r="D679" s="44">
        <v>353540.97719110001</v>
      </c>
    </row>
    <row r="680" spans="1:4" x14ac:dyDescent="0.4">
      <c r="A680" s="6">
        <v>484.72</v>
      </c>
      <c r="B680" s="44">
        <v>213682.51451481</v>
      </c>
      <c r="C680" s="44">
        <v>214342.41806493999</v>
      </c>
      <c r="D680" s="44">
        <v>351402.86999177001</v>
      </c>
    </row>
    <row r="681" spans="1:4" x14ac:dyDescent="0.4">
      <c r="A681" s="6">
        <v>484.71</v>
      </c>
      <c r="B681" s="44">
        <v>213422.41742493</v>
      </c>
      <c r="C681" s="44">
        <v>214077.20126162001</v>
      </c>
      <c r="D681" s="44">
        <v>349267.38350880001</v>
      </c>
    </row>
    <row r="682" spans="1:4" x14ac:dyDescent="0.4">
      <c r="A682" s="6">
        <v>484.7</v>
      </c>
      <c r="B682" s="44">
        <v>213161.97080820001</v>
      </c>
      <c r="C682" s="44">
        <v>213811.6440001</v>
      </c>
      <c r="D682" s="44">
        <v>347134.45540635998</v>
      </c>
    </row>
    <row r="683" spans="1:4" x14ac:dyDescent="0.4">
      <c r="A683" s="6">
        <v>484.69</v>
      </c>
      <c r="B683" s="44">
        <v>212901.18733818</v>
      </c>
      <c r="C683" s="44">
        <v>213545.76066105001</v>
      </c>
      <c r="D683" s="44">
        <v>345004.17960567999</v>
      </c>
    </row>
    <row r="684" spans="1:4" x14ac:dyDescent="0.4">
      <c r="A684" s="6">
        <v>484.68</v>
      </c>
      <c r="B684" s="44">
        <v>212639.88397242999</v>
      </c>
      <c r="C684" s="44">
        <v>213279.37356673999</v>
      </c>
      <c r="D684" s="44">
        <v>342876.50871830003</v>
      </c>
    </row>
    <row r="685" spans="1:4" x14ac:dyDescent="0.4">
      <c r="A685" s="6">
        <v>484.67</v>
      </c>
      <c r="B685" s="44">
        <v>212378.27835422</v>
      </c>
      <c r="C685" s="44">
        <v>213012.70090269999</v>
      </c>
      <c r="D685" s="44">
        <v>340751.46455585002</v>
      </c>
    </row>
    <row r="686" spans="1:4" x14ac:dyDescent="0.4">
      <c r="A686" s="6">
        <v>484.66</v>
      </c>
      <c r="B686" s="44">
        <v>212116.13510106999</v>
      </c>
      <c r="C686" s="44">
        <v>212745.51363758001</v>
      </c>
      <c r="D686" s="44">
        <v>338629.02949386998</v>
      </c>
    </row>
    <row r="687" spans="1:4" x14ac:dyDescent="0.4">
      <c r="A687" s="6">
        <v>484.65</v>
      </c>
      <c r="B687" s="44">
        <v>211853.34009151999</v>
      </c>
      <c r="C687" s="44">
        <v>212477.69974526999</v>
      </c>
      <c r="D687" s="44">
        <v>336509.21255219</v>
      </c>
    </row>
    <row r="688" spans="1:4" x14ac:dyDescent="0.4">
      <c r="A688" s="6">
        <v>484.64</v>
      </c>
      <c r="B688" s="44">
        <v>211589.68934561999</v>
      </c>
      <c r="C688" s="44">
        <v>212209.05747475999</v>
      </c>
      <c r="D688" s="44">
        <v>334392.01495121</v>
      </c>
    </row>
    <row r="689" spans="1:4" x14ac:dyDescent="0.4">
      <c r="A689" s="6">
        <v>484.63</v>
      </c>
      <c r="B689" s="44">
        <v>211325.00902480999</v>
      </c>
      <c r="C689" s="44">
        <v>211939.42582167001</v>
      </c>
      <c r="D689" s="44">
        <v>332277.47757598001</v>
      </c>
    </row>
    <row r="690" spans="1:4" x14ac:dyDescent="0.4">
      <c r="A690" s="6">
        <v>484.62</v>
      </c>
      <c r="B690" s="44">
        <v>211058.27770947001</v>
      </c>
      <c r="C690" s="44">
        <v>211667.79712765999</v>
      </c>
      <c r="D690" s="44">
        <v>330165.61958135001</v>
      </c>
    </row>
    <row r="691" spans="1:4" x14ac:dyDescent="0.4">
      <c r="A691" s="6">
        <v>484.61</v>
      </c>
      <c r="B691" s="44">
        <v>210786.34594018001</v>
      </c>
      <c r="C691" s="44">
        <v>211391.04277475001</v>
      </c>
      <c r="D691" s="44">
        <v>328056.45311085001</v>
      </c>
    </row>
    <row r="692" spans="1:4" x14ac:dyDescent="0.4">
      <c r="A692" s="6">
        <v>484.6</v>
      </c>
      <c r="B692" s="44">
        <v>210219.79659864999</v>
      </c>
      <c r="C692" s="44">
        <v>210819.77472426</v>
      </c>
      <c r="D692" s="44">
        <v>325949.91860509</v>
      </c>
    </row>
    <row r="693" spans="1:4" x14ac:dyDescent="0.4">
      <c r="A693" s="6">
        <v>484.59</v>
      </c>
      <c r="B693" s="44">
        <v>209900.90001911001</v>
      </c>
      <c r="C693" s="44">
        <v>210496.15307920999</v>
      </c>
      <c r="D693" s="44">
        <v>323849.41524266999</v>
      </c>
    </row>
    <row r="694" spans="1:4" x14ac:dyDescent="0.4">
      <c r="A694" s="6">
        <v>484.58</v>
      </c>
      <c r="B694" s="44">
        <v>209637.95722416</v>
      </c>
      <c r="C694" s="44">
        <v>210228.44308349999</v>
      </c>
      <c r="D694" s="44">
        <v>321751.69040523999</v>
      </c>
    </row>
    <row r="695" spans="1:4" x14ac:dyDescent="0.4">
      <c r="A695" s="6">
        <v>484.57</v>
      </c>
      <c r="B695" s="44">
        <v>209377.37102585001</v>
      </c>
      <c r="C695" s="44">
        <v>209963.08688491001</v>
      </c>
      <c r="D695" s="44">
        <v>319656.62466297997</v>
      </c>
    </row>
    <row r="696" spans="1:4" x14ac:dyDescent="0.4">
      <c r="A696" s="6">
        <v>484.56</v>
      </c>
      <c r="B696" s="44">
        <v>209117.27407096999</v>
      </c>
      <c r="C696" s="44">
        <v>209698.22091979001</v>
      </c>
      <c r="D696" s="44">
        <v>317564.15200359997</v>
      </c>
    </row>
    <row r="697" spans="1:4" x14ac:dyDescent="0.4">
      <c r="A697" s="6">
        <v>484.55</v>
      </c>
      <c r="B697" s="44">
        <v>208857.29257163999</v>
      </c>
      <c r="C697" s="44">
        <v>209433.47513389</v>
      </c>
      <c r="D697" s="44">
        <v>315474.31178439001</v>
      </c>
    </row>
    <row r="698" spans="1:4" x14ac:dyDescent="0.4">
      <c r="A698" s="6">
        <v>484.54</v>
      </c>
      <c r="B698" s="44">
        <v>208597.12542535999</v>
      </c>
      <c r="C698" s="44">
        <v>209168.54957117001</v>
      </c>
      <c r="D698" s="44">
        <v>313387.07787126</v>
      </c>
    </row>
    <row r="699" spans="1:4" x14ac:dyDescent="0.4">
      <c r="A699" s="6">
        <v>484.53</v>
      </c>
      <c r="B699" s="44">
        <v>208337.16102614001</v>
      </c>
      <c r="C699" s="44">
        <v>208903.83171311999</v>
      </c>
      <c r="D699" s="44">
        <v>311302.44037408999</v>
      </c>
    </row>
    <row r="700" spans="1:4" x14ac:dyDescent="0.4">
      <c r="A700" s="6">
        <v>484.52</v>
      </c>
      <c r="B700" s="44">
        <v>208076.92246117999</v>
      </c>
      <c r="C700" s="44">
        <v>208638.84961582001</v>
      </c>
      <c r="D700" s="44">
        <v>309220.39910684997</v>
      </c>
    </row>
    <row r="701" spans="1:4" x14ac:dyDescent="0.4">
      <c r="A701" s="6">
        <v>484.51</v>
      </c>
      <c r="B701" s="44">
        <v>207816.39314666999</v>
      </c>
      <c r="C701" s="44">
        <v>208373.58778398999</v>
      </c>
      <c r="D701" s="44">
        <v>307140.97182366002</v>
      </c>
    </row>
    <row r="702" spans="1:4" x14ac:dyDescent="0.4">
      <c r="A702" s="6">
        <v>484.5</v>
      </c>
      <c r="B702" s="44">
        <v>207555.64880846001</v>
      </c>
      <c r="C702" s="44">
        <v>208108.12534611</v>
      </c>
      <c r="D702" s="44">
        <v>305064.12543692999</v>
      </c>
    </row>
    <row r="703" spans="1:4" x14ac:dyDescent="0.4">
      <c r="A703" s="6">
        <v>484.49</v>
      </c>
      <c r="B703" s="44">
        <v>207294.72781012001</v>
      </c>
      <c r="C703" s="44">
        <v>207842.50172199</v>
      </c>
      <c r="D703" s="44">
        <v>302989.91112947999</v>
      </c>
    </row>
    <row r="704" spans="1:4" x14ac:dyDescent="0.4">
      <c r="A704" s="6">
        <v>484.48</v>
      </c>
      <c r="B704" s="44">
        <v>207033.4364876</v>
      </c>
      <c r="C704" s="44">
        <v>207576.52477362001</v>
      </c>
      <c r="D704" s="44">
        <v>300918.31800526998</v>
      </c>
    </row>
    <row r="705" spans="1:4" x14ac:dyDescent="0.4">
      <c r="A705" s="6">
        <v>484.47</v>
      </c>
      <c r="B705" s="44">
        <v>206771.96207516</v>
      </c>
      <c r="C705" s="44">
        <v>207310.38368085999</v>
      </c>
      <c r="D705" s="44">
        <v>298849.31255736999</v>
      </c>
    </row>
    <row r="706" spans="1:4" x14ac:dyDescent="0.4">
      <c r="A706" s="6">
        <v>484.46</v>
      </c>
      <c r="B706" s="44">
        <v>206510.03633430999</v>
      </c>
      <c r="C706" s="44">
        <v>207043.81333706999</v>
      </c>
      <c r="D706" s="44">
        <v>296782.90877469</v>
      </c>
    </row>
    <row r="707" spans="1:4" x14ac:dyDescent="0.4">
      <c r="A707" s="6">
        <v>484.45</v>
      </c>
      <c r="B707" s="44">
        <v>206247.76426296</v>
      </c>
      <c r="C707" s="44">
        <v>206776.92082028999</v>
      </c>
      <c r="D707" s="44">
        <v>294719.12529126997</v>
      </c>
    </row>
    <row r="708" spans="1:4" x14ac:dyDescent="0.4">
      <c r="A708" s="6">
        <v>484.44</v>
      </c>
      <c r="B708" s="44">
        <v>205985.20622411001</v>
      </c>
      <c r="C708" s="44">
        <v>206509.76583898001</v>
      </c>
      <c r="D708" s="44">
        <v>292657.92873301002</v>
      </c>
    </row>
    <row r="709" spans="1:4" x14ac:dyDescent="0.4">
      <c r="A709" s="6">
        <v>484.43</v>
      </c>
      <c r="B709" s="44">
        <v>205722.30373730001</v>
      </c>
      <c r="C709" s="44">
        <v>206242.28903392999</v>
      </c>
      <c r="D709" s="44">
        <v>290599.42968546</v>
      </c>
    </row>
    <row r="710" spans="1:4" x14ac:dyDescent="0.4">
      <c r="A710" s="6">
        <v>484.42</v>
      </c>
      <c r="B710" s="44">
        <v>205458.60890344999</v>
      </c>
      <c r="C710" s="44">
        <v>205974.04328086</v>
      </c>
      <c r="D710" s="44">
        <v>288543.54009997001</v>
      </c>
    </row>
    <row r="711" spans="1:4" x14ac:dyDescent="0.4">
      <c r="A711" s="6">
        <v>484.41</v>
      </c>
      <c r="B711" s="44">
        <v>205192.48130814999</v>
      </c>
      <c r="C711" s="44">
        <v>205703.39610581001</v>
      </c>
      <c r="D711" s="44">
        <v>286490.30408109003</v>
      </c>
    </row>
    <row r="712" spans="1:4" x14ac:dyDescent="0.4">
      <c r="A712" s="6">
        <v>484.4</v>
      </c>
      <c r="B712" s="44">
        <v>204876.89958622001</v>
      </c>
      <c r="C712" s="44">
        <v>205383.34566856001</v>
      </c>
      <c r="D712" s="44">
        <v>284439.77734764997</v>
      </c>
    </row>
    <row r="713" spans="1:4" x14ac:dyDescent="0.4">
      <c r="A713" s="6">
        <v>484.39</v>
      </c>
      <c r="B713" s="44">
        <v>204085.85206172001</v>
      </c>
      <c r="C713" s="44">
        <v>204587.79223309</v>
      </c>
      <c r="D713" s="44">
        <v>282397.19204360002</v>
      </c>
    </row>
    <row r="714" spans="1:4" x14ac:dyDescent="0.4">
      <c r="A714" s="6">
        <v>484.38</v>
      </c>
      <c r="B714" s="44">
        <v>203803.67157110001</v>
      </c>
      <c r="C714" s="44">
        <v>204300.99716499</v>
      </c>
      <c r="D714" s="44">
        <v>280357.71641469997</v>
      </c>
    </row>
    <row r="715" spans="1:4" x14ac:dyDescent="0.4">
      <c r="A715" s="6">
        <v>484.37</v>
      </c>
      <c r="B715" s="44">
        <v>203526.57449150001</v>
      </c>
      <c r="C715" s="44">
        <v>204019.22217095</v>
      </c>
      <c r="D715" s="44">
        <v>278321.10440567997</v>
      </c>
    </row>
    <row r="716" spans="1:4" x14ac:dyDescent="0.4">
      <c r="A716" s="6">
        <v>484.36</v>
      </c>
      <c r="B716" s="44">
        <v>203251.75548344999</v>
      </c>
      <c r="C716" s="44">
        <v>203739.68267097999</v>
      </c>
      <c r="D716" s="44">
        <v>276287.21983603999</v>
      </c>
    </row>
    <row r="717" spans="1:4" x14ac:dyDescent="0.4">
      <c r="A717" s="6">
        <v>484.35</v>
      </c>
      <c r="B717" s="44">
        <v>202978.31304506</v>
      </c>
      <c r="C717" s="44">
        <v>203461.49260386001</v>
      </c>
      <c r="D717" s="44">
        <v>274256.10523178999</v>
      </c>
    </row>
    <row r="718" spans="1:4" x14ac:dyDescent="0.4">
      <c r="A718" s="6">
        <v>484.34</v>
      </c>
      <c r="B718" s="44">
        <v>202705.75574368</v>
      </c>
      <c r="C718" s="44">
        <v>203184.16871341999</v>
      </c>
      <c r="D718" s="44">
        <v>272227.73302032001</v>
      </c>
    </row>
    <row r="719" spans="1:4" x14ac:dyDescent="0.4">
      <c r="A719" s="6">
        <v>484.33</v>
      </c>
      <c r="B719" s="44">
        <v>202433.72542355</v>
      </c>
      <c r="C719" s="44">
        <v>202907.36280962001</v>
      </c>
      <c r="D719" s="44">
        <v>270202.03890756</v>
      </c>
    </row>
    <row r="720" spans="1:4" x14ac:dyDescent="0.4">
      <c r="A720" s="6">
        <v>484.32</v>
      </c>
      <c r="B720" s="44">
        <v>202162.17064562</v>
      </c>
      <c r="C720" s="44">
        <v>202631.03009076</v>
      </c>
      <c r="D720" s="44">
        <v>268179.08902636002</v>
      </c>
    </row>
    <row r="721" spans="1:4" x14ac:dyDescent="0.4">
      <c r="A721" s="6">
        <v>484.31</v>
      </c>
      <c r="B721" s="44">
        <v>201890.99464342999</v>
      </c>
      <c r="C721" s="44">
        <v>202355.07882478001</v>
      </c>
      <c r="D721" s="44">
        <v>266158.84924844</v>
      </c>
    </row>
    <row r="722" spans="1:4" x14ac:dyDescent="0.4">
      <c r="A722" s="6">
        <v>484.3</v>
      </c>
      <c r="B722" s="44">
        <v>201620.10651683001</v>
      </c>
      <c r="C722" s="44">
        <v>202079.4215467</v>
      </c>
      <c r="D722" s="44">
        <v>264141.27930216998</v>
      </c>
    </row>
    <row r="723" spans="1:4" x14ac:dyDescent="0.4">
      <c r="A723" s="6">
        <v>484.29</v>
      </c>
      <c r="B723" s="44">
        <v>201349.42243906</v>
      </c>
      <c r="C723" s="44">
        <v>201803.97964059</v>
      </c>
      <c r="D723" s="44">
        <v>262126.42692899</v>
      </c>
    </row>
    <row r="724" spans="1:4" x14ac:dyDescent="0.4">
      <c r="A724" s="6">
        <v>484.28</v>
      </c>
      <c r="B724" s="44">
        <v>201078.90245789001</v>
      </c>
      <c r="C724" s="44">
        <v>201528.71443289</v>
      </c>
      <c r="D724" s="44">
        <v>260114.29027875001</v>
      </c>
    </row>
    <row r="725" spans="1:4" x14ac:dyDescent="0.4">
      <c r="A725" s="6">
        <v>484.27</v>
      </c>
      <c r="B725" s="44">
        <v>200808.51692366</v>
      </c>
      <c r="C725" s="44">
        <v>201253.59912527999</v>
      </c>
      <c r="D725" s="44">
        <v>258104.87518137001</v>
      </c>
    </row>
    <row r="726" spans="1:4" x14ac:dyDescent="0.4">
      <c r="A726" s="6">
        <v>484.26</v>
      </c>
      <c r="B726" s="44">
        <v>200538.23845030001</v>
      </c>
      <c r="C726" s="44">
        <v>200978.60617819001</v>
      </c>
      <c r="D726" s="44">
        <v>256098.17218898999</v>
      </c>
    </row>
    <row r="727" spans="1:4" x14ac:dyDescent="0.4">
      <c r="A727" s="6">
        <v>484.25</v>
      </c>
      <c r="B727" s="44">
        <v>200267.99212328999</v>
      </c>
      <c r="C727" s="44">
        <v>200703.66123075</v>
      </c>
      <c r="D727" s="44">
        <v>254094.15598566001</v>
      </c>
    </row>
    <row r="728" spans="1:4" x14ac:dyDescent="0.4">
      <c r="A728" s="6">
        <v>484.24</v>
      </c>
      <c r="B728" s="44">
        <v>199997.60175082</v>
      </c>
      <c r="C728" s="44">
        <v>200428.59276388001</v>
      </c>
      <c r="D728" s="44">
        <v>252092.85617729</v>
      </c>
    </row>
    <row r="729" spans="1:4" x14ac:dyDescent="0.4">
      <c r="A729" s="6">
        <v>484.23</v>
      </c>
      <c r="B729" s="44">
        <v>199726.75458075001</v>
      </c>
      <c r="C729" s="44">
        <v>200153.09279828001</v>
      </c>
      <c r="D729" s="44">
        <v>250094.2780316</v>
      </c>
    </row>
    <row r="730" spans="1:4" x14ac:dyDescent="0.4">
      <c r="A730" s="6">
        <v>484.22</v>
      </c>
      <c r="B730" s="44">
        <v>199454.80276431999</v>
      </c>
      <c r="C730" s="44">
        <v>199876.52249500999</v>
      </c>
      <c r="D730" s="44">
        <v>248098.36267840001</v>
      </c>
    </row>
    <row r="731" spans="1:4" x14ac:dyDescent="0.4">
      <c r="A731" s="6">
        <v>484.21</v>
      </c>
      <c r="B731" s="44">
        <v>199178.85965793999</v>
      </c>
      <c r="C731" s="44">
        <v>199596.01505267</v>
      </c>
      <c r="D731" s="44">
        <v>246105.25231131</v>
      </c>
    </row>
    <row r="732" spans="1:4" x14ac:dyDescent="0.4">
      <c r="A732" s="6">
        <v>484.2</v>
      </c>
      <c r="B732" s="44">
        <v>198365.68029523999</v>
      </c>
      <c r="C732" s="44">
        <v>198778.35724382001</v>
      </c>
      <c r="D732" s="44">
        <v>244114.82575793</v>
      </c>
    </row>
    <row r="733" spans="1:4" x14ac:dyDescent="0.4">
      <c r="A733" s="6">
        <v>484.19</v>
      </c>
      <c r="B733" s="44">
        <v>198015.09692098</v>
      </c>
      <c r="C733" s="44">
        <v>198423.27587409</v>
      </c>
      <c r="D733" s="44">
        <v>242133.02107864001</v>
      </c>
    </row>
    <row r="734" spans="1:4" x14ac:dyDescent="0.4">
      <c r="A734" s="6">
        <v>484.18</v>
      </c>
      <c r="B734" s="44">
        <v>197723.06612594001</v>
      </c>
      <c r="C734" s="44">
        <v>198126.65385917001</v>
      </c>
      <c r="D734" s="44">
        <v>240154.30307505999</v>
      </c>
    </row>
    <row r="735" spans="1:4" x14ac:dyDescent="0.4">
      <c r="A735" s="6">
        <v>484.17</v>
      </c>
      <c r="B735" s="44">
        <v>197436.66309627</v>
      </c>
      <c r="C735" s="44">
        <v>197835.60931222999</v>
      </c>
      <c r="D735" s="44">
        <v>238178.50845580001</v>
      </c>
    </row>
    <row r="736" spans="1:4" x14ac:dyDescent="0.4">
      <c r="A736" s="6">
        <v>484.16</v>
      </c>
      <c r="B736" s="44">
        <v>197152.43986481999</v>
      </c>
      <c r="C736" s="44">
        <v>197546.71923272</v>
      </c>
      <c r="D736" s="44">
        <v>236205.5961423</v>
      </c>
    </row>
    <row r="737" spans="1:4" x14ac:dyDescent="0.4">
      <c r="A737" s="6">
        <v>484.15</v>
      </c>
      <c r="B737" s="44">
        <v>196869.48172789</v>
      </c>
      <c r="C737" s="44">
        <v>197259.07893893999</v>
      </c>
      <c r="D737" s="44">
        <v>234235.51460554</v>
      </c>
    </row>
    <row r="738" spans="1:4" x14ac:dyDescent="0.4">
      <c r="A738" s="6">
        <v>484.14</v>
      </c>
      <c r="B738" s="44">
        <v>196587.49429507999</v>
      </c>
      <c r="C738" s="44">
        <v>196972.40125498999</v>
      </c>
      <c r="D738" s="44">
        <v>232268.23276489999</v>
      </c>
    </row>
    <row r="739" spans="1:4" x14ac:dyDescent="0.4">
      <c r="A739" s="6">
        <v>484.13</v>
      </c>
      <c r="B739" s="44">
        <v>196306.20175533</v>
      </c>
      <c r="C739" s="44">
        <v>196686.41770280999</v>
      </c>
      <c r="D739" s="44">
        <v>230303.75559987</v>
      </c>
    </row>
    <row r="740" spans="1:4" x14ac:dyDescent="0.4">
      <c r="A740" s="6">
        <v>484.12</v>
      </c>
      <c r="B740" s="44">
        <v>196025.57930072999</v>
      </c>
      <c r="C740" s="44">
        <v>196401.1081943</v>
      </c>
      <c r="D740" s="44">
        <v>228342.13047542999</v>
      </c>
    </row>
    <row r="741" spans="1:4" x14ac:dyDescent="0.4">
      <c r="A741" s="6">
        <v>484.11</v>
      </c>
      <c r="B741" s="44">
        <v>195745.57936887001</v>
      </c>
      <c r="C741" s="44">
        <v>196116.43045946001</v>
      </c>
      <c r="D741" s="44">
        <v>226383.32931378001</v>
      </c>
    </row>
    <row r="742" spans="1:4" x14ac:dyDescent="0.4">
      <c r="A742" s="6">
        <v>484.1</v>
      </c>
      <c r="B742" s="44">
        <v>195466.09552618</v>
      </c>
      <c r="C742" s="44">
        <v>195832.28051072999</v>
      </c>
      <c r="D742" s="44">
        <v>224427.26286958001</v>
      </c>
    </row>
    <row r="743" spans="1:4" x14ac:dyDescent="0.4">
      <c r="A743" s="6">
        <v>484.09</v>
      </c>
      <c r="B743" s="44">
        <v>195187.02230123</v>
      </c>
      <c r="C743" s="44">
        <v>195548.55634112001</v>
      </c>
      <c r="D743" s="44">
        <v>222474.02278587001</v>
      </c>
    </row>
    <row r="744" spans="1:4" x14ac:dyDescent="0.4">
      <c r="A744" s="6">
        <v>484.08</v>
      </c>
      <c r="B744" s="44">
        <v>194908.49481713001</v>
      </c>
      <c r="C744" s="44">
        <v>195265.39396347999</v>
      </c>
      <c r="D744" s="44">
        <v>220523.60156283001</v>
      </c>
    </row>
    <row r="745" spans="1:4" x14ac:dyDescent="0.4">
      <c r="A745" s="6">
        <v>484.07</v>
      </c>
      <c r="B745" s="44">
        <v>194630.4489738</v>
      </c>
      <c r="C745" s="44">
        <v>194982.73043021001</v>
      </c>
      <c r="D745" s="44">
        <v>218575.90032233001</v>
      </c>
    </row>
    <row r="746" spans="1:4" x14ac:dyDescent="0.4">
      <c r="A746" s="6">
        <v>484.06</v>
      </c>
      <c r="B746" s="44">
        <v>194352.61308603999</v>
      </c>
      <c r="C746" s="44">
        <v>194700.30331523</v>
      </c>
      <c r="D746" s="44">
        <v>216631.03732238</v>
      </c>
    </row>
    <row r="747" spans="1:4" x14ac:dyDescent="0.4">
      <c r="A747" s="6">
        <v>484.05</v>
      </c>
      <c r="B747" s="44">
        <v>194074.98307493</v>
      </c>
      <c r="C747" s="44">
        <v>194418.11053368999</v>
      </c>
      <c r="D747" s="44">
        <v>214688.94886146</v>
      </c>
    </row>
    <row r="748" spans="1:4" x14ac:dyDescent="0.4">
      <c r="A748" s="6">
        <v>484.04</v>
      </c>
      <c r="B748" s="44">
        <v>193797.34994106001</v>
      </c>
      <c r="C748" s="44">
        <v>194135.94924011</v>
      </c>
      <c r="D748" s="44">
        <v>212749.60761025001</v>
      </c>
    </row>
    <row r="749" spans="1:4" x14ac:dyDescent="0.4">
      <c r="A749" s="6">
        <v>484.03</v>
      </c>
      <c r="B749" s="44">
        <v>193519.03586490001</v>
      </c>
      <c r="C749" s="44">
        <v>193853.15596335</v>
      </c>
      <c r="D749" s="44">
        <v>210813.06923304999</v>
      </c>
    </row>
    <row r="750" spans="1:4" x14ac:dyDescent="0.4">
      <c r="A750" s="6">
        <v>484.02</v>
      </c>
      <c r="B750" s="44">
        <v>193238.86354815</v>
      </c>
      <c r="C750" s="44">
        <v>193568.56986706</v>
      </c>
      <c r="D750" s="44">
        <v>208879.31916376</v>
      </c>
    </row>
    <row r="751" spans="1:4" x14ac:dyDescent="0.4">
      <c r="A751" s="6">
        <v>484.01</v>
      </c>
      <c r="B751" s="44">
        <v>192953.02924028999</v>
      </c>
      <c r="C751" s="44">
        <v>193278.40665012001</v>
      </c>
      <c r="D751" s="44">
        <v>206948.39856762</v>
      </c>
    </row>
    <row r="752" spans="1:4" x14ac:dyDescent="0.4">
      <c r="A752" s="6">
        <v>484</v>
      </c>
      <c r="B752" s="44">
        <v>192137.16797253999</v>
      </c>
      <c r="C752" s="44">
        <v>192458.34570179999</v>
      </c>
      <c r="D752" s="44">
        <v>205020.44436542</v>
      </c>
    </row>
    <row r="753" spans="1:4" x14ac:dyDescent="0.4">
      <c r="A753" s="6">
        <v>483.99</v>
      </c>
      <c r="B753" s="44">
        <v>191573.4553539</v>
      </c>
      <c r="C753" s="44">
        <v>191890.52572886</v>
      </c>
      <c r="D753" s="44">
        <v>203102.96058943999</v>
      </c>
    </row>
    <row r="754" spans="1:4" x14ac:dyDescent="0.4">
      <c r="A754" s="6">
        <v>483.98</v>
      </c>
      <c r="B754" s="44">
        <v>191254.39789957</v>
      </c>
      <c r="C754" s="44">
        <v>191567.31563338</v>
      </c>
      <c r="D754" s="44">
        <v>201188.86802865</v>
      </c>
    </row>
    <row r="755" spans="1:4" x14ac:dyDescent="0.4">
      <c r="A755" s="6">
        <v>483.97</v>
      </c>
      <c r="B755" s="44">
        <v>190941.48642373001</v>
      </c>
      <c r="C755" s="44">
        <v>191250.24189022</v>
      </c>
      <c r="D755" s="44">
        <v>199277.89764134001</v>
      </c>
    </row>
    <row r="756" spans="1:4" x14ac:dyDescent="0.4">
      <c r="A756" s="6">
        <v>483.96</v>
      </c>
      <c r="B756" s="44">
        <v>190630.51904067001</v>
      </c>
      <c r="C756" s="44">
        <v>190935.11803231001</v>
      </c>
      <c r="D756" s="44">
        <v>197370.06730505</v>
      </c>
    </row>
    <row r="757" spans="1:4" x14ac:dyDescent="0.4">
      <c r="A757" s="6">
        <v>483.95</v>
      </c>
      <c r="B757" s="44">
        <v>190320.62265542001</v>
      </c>
      <c r="C757" s="44">
        <v>190621.07780678</v>
      </c>
      <c r="D757" s="44">
        <v>195465.32259691</v>
      </c>
    </row>
    <row r="758" spans="1:4" x14ac:dyDescent="0.4">
      <c r="A758" s="6">
        <v>483.94</v>
      </c>
      <c r="B758" s="44">
        <v>190011.75049022</v>
      </c>
      <c r="C758" s="44">
        <v>190308.07757456999</v>
      </c>
      <c r="D758" s="44">
        <v>193563.68643356999</v>
      </c>
    </row>
    <row r="759" spans="1:4" x14ac:dyDescent="0.4">
      <c r="A759" s="6">
        <v>483.93</v>
      </c>
      <c r="B759" s="44">
        <v>189703.5155145</v>
      </c>
      <c r="C759" s="44">
        <v>189995.7325516</v>
      </c>
      <c r="D759" s="44">
        <v>191665.13334736001</v>
      </c>
    </row>
    <row r="760" spans="1:4" x14ac:dyDescent="0.4">
      <c r="A760" s="6">
        <v>483.92</v>
      </c>
      <c r="B760" s="44">
        <v>189395.94668528001</v>
      </c>
      <c r="C760" s="44">
        <v>189684.07390232</v>
      </c>
      <c r="D760" s="44">
        <v>189769.65674717</v>
      </c>
    </row>
    <row r="761" spans="1:4" x14ac:dyDescent="0.4">
      <c r="A761" s="6">
        <v>483.91</v>
      </c>
      <c r="B761" s="44">
        <v>189089.27054977999</v>
      </c>
      <c r="C761" s="44">
        <v>189373.32868542001</v>
      </c>
      <c r="D761" s="44">
        <v>187877.27830707</v>
      </c>
    </row>
    <row r="762" spans="1:4" x14ac:dyDescent="0.4">
      <c r="A762" s="6">
        <v>483.9</v>
      </c>
      <c r="B762" s="44">
        <v>188783.12101910001</v>
      </c>
      <c r="C762" s="44">
        <v>189063.13273148</v>
      </c>
      <c r="D762" s="44">
        <v>185987.91947835</v>
      </c>
    </row>
    <row r="763" spans="1:4" x14ac:dyDescent="0.4">
      <c r="A763" s="6">
        <v>483.89</v>
      </c>
      <c r="B763" s="44">
        <v>188477.77534066999</v>
      </c>
      <c r="C763" s="44">
        <v>188753.76292676001</v>
      </c>
      <c r="D763" s="44">
        <v>184101.62976496</v>
      </c>
    </row>
    <row r="764" spans="1:4" x14ac:dyDescent="0.4">
      <c r="A764" s="6">
        <v>483.88</v>
      </c>
      <c r="B764" s="44">
        <v>188173.01433335</v>
      </c>
      <c r="C764" s="44">
        <v>188444.99985031001</v>
      </c>
      <c r="D764" s="44">
        <v>182218.39287672</v>
      </c>
    </row>
    <row r="765" spans="1:4" x14ac:dyDescent="0.4">
      <c r="A765" s="6">
        <v>483.87</v>
      </c>
      <c r="B765" s="44">
        <v>187868.99017835999</v>
      </c>
      <c r="C765" s="44">
        <v>188136.99869720999</v>
      </c>
      <c r="D765" s="44">
        <v>180338.21396170999</v>
      </c>
    </row>
    <row r="766" spans="1:4" x14ac:dyDescent="0.4">
      <c r="A766" s="6">
        <v>483.86</v>
      </c>
      <c r="B766" s="44">
        <v>187565.39255295001</v>
      </c>
      <c r="C766" s="44">
        <v>187829.45394671999</v>
      </c>
      <c r="D766" s="44">
        <v>178461.11727290999</v>
      </c>
    </row>
    <row r="767" spans="1:4" x14ac:dyDescent="0.4">
      <c r="A767" s="6">
        <v>483.85</v>
      </c>
      <c r="B767" s="44">
        <v>187262.15068121001</v>
      </c>
      <c r="C767" s="44">
        <v>187522.30263354001</v>
      </c>
      <c r="D767" s="44">
        <v>176587.00816311</v>
      </c>
    </row>
    <row r="768" spans="1:4" x14ac:dyDescent="0.4">
      <c r="A768" s="6">
        <v>483.84</v>
      </c>
      <c r="B768" s="44">
        <v>186959.02639322999</v>
      </c>
      <c r="C768" s="44">
        <v>187215.31448522999</v>
      </c>
      <c r="D768" s="44">
        <v>174715.94992414999</v>
      </c>
    </row>
    <row r="769" spans="1:4" x14ac:dyDescent="0.4">
      <c r="A769" s="6">
        <v>483.83</v>
      </c>
      <c r="B769" s="44">
        <v>186655.36359359999</v>
      </c>
      <c r="C769" s="44">
        <v>186907.84563543001</v>
      </c>
      <c r="D769" s="44">
        <v>172847.94079671</v>
      </c>
    </row>
    <row r="770" spans="1:4" x14ac:dyDescent="0.4">
      <c r="A770" s="6">
        <v>483.82</v>
      </c>
      <c r="B770" s="44">
        <v>186350.40540309</v>
      </c>
      <c r="C770" s="44">
        <v>186599.15546725001</v>
      </c>
      <c r="D770" s="44">
        <v>170982.95259085001</v>
      </c>
    </row>
    <row r="771" spans="1:4" x14ac:dyDescent="0.4">
      <c r="A771" s="6">
        <v>483.81</v>
      </c>
      <c r="B771" s="44">
        <v>186041.19340801999</v>
      </c>
      <c r="C771" s="44">
        <v>186286.30570220001</v>
      </c>
      <c r="D771" s="44">
        <v>169121.09049057</v>
      </c>
    </row>
    <row r="772" spans="1:4" x14ac:dyDescent="0.4">
      <c r="A772" s="6">
        <v>483.8</v>
      </c>
      <c r="B772" s="44">
        <v>185686.96353687</v>
      </c>
      <c r="C772" s="44">
        <v>185928.55257547999</v>
      </c>
      <c r="D772" s="44">
        <v>167262.33677160999</v>
      </c>
    </row>
    <row r="773" spans="1:4" x14ac:dyDescent="0.4">
      <c r="A773" s="6">
        <v>483.79</v>
      </c>
      <c r="B773" s="44">
        <v>184894.34475692001</v>
      </c>
      <c r="C773" s="44">
        <v>185132.49530811</v>
      </c>
      <c r="D773" s="44">
        <v>165411.92129316999</v>
      </c>
    </row>
    <row r="774" spans="1:4" x14ac:dyDescent="0.4">
      <c r="A774" s="6">
        <v>483.78</v>
      </c>
      <c r="B774" s="44">
        <v>184633.21793886001</v>
      </c>
      <c r="C774" s="44">
        <v>184867.92337840001</v>
      </c>
      <c r="D774" s="44">
        <v>163564.27252731001</v>
      </c>
    </row>
    <row r="775" spans="1:4" x14ac:dyDescent="0.4">
      <c r="A775" s="6">
        <v>483.77</v>
      </c>
      <c r="B775" s="44">
        <v>184374.22802531999</v>
      </c>
      <c r="C775" s="44">
        <v>184605.49512184999</v>
      </c>
      <c r="D775" s="44">
        <v>161719.26460409001</v>
      </c>
    </row>
    <row r="776" spans="1:4" x14ac:dyDescent="0.4">
      <c r="A776" s="6">
        <v>483.76</v>
      </c>
      <c r="B776" s="44">
        <v>184115.73578171001</v>
      </c>
      <c r="C776" s="44">
        <v>184343.57446459</v>
      </c>
      <c r="D776" s="44">
        <v>159876.83493543</v>
      </c>
    </row>
    <row r="777" spans="1:4" x14ac:dyDescent="0.4">
      <c r="A777" s="6">
        <v>483.75</v>
      </c>
      <c r="B777" s="44">
        <v>183857.22388018999</v>
      </c>
      <c r="C777" s="44">
        <v>184081.64739825999</v>
      </c>
      <c r="D777" s="44">
        <v>158037.00929434999</v>
      </c>
    </row>
    <row r="778" spans="1:4" x14ac:dyDescent="0.4">
      <c r="A778" s="6">
        <v>483.74</v>
      </c>
      <c r="B778" s="44">
        <v>183598.61025323</v>
      </c>
      <c r="C778" s="44">
        <v>183819.63126543001</v>
      </c>
      <c r="D778" s="44">
        <v>156199.72836926</v>
      </c>
    </row>
    <row r="779" spans="1:4" x14ac:dyDescent="0.4">
      <c r="A779" s="6">
        <v>483.73</v>
      </c>
      <c r="B779" s="44">
        <v>183339.85556832</v>
      </c>
      <c r="C779" s="44">
        <v>183557.48624922999</v>
      </c>
      <c r="D779" s="44">
        <v>154365.05633588001</v>
      </c>
    </row>
    <row r="780" spans="1:4" x14ac:dyDescent="0.4">
      <c r="A780" s="6">
        <v>483.72</v>
      </c>
      <c r="B780" s="44">
        <v>183080.80796278</v>
      </c>
      <c r="C780" s="44">
        <v>183295.06471887001</v>
      </c>
      <c r="D780" s="44">
        <v>152532.96537347001</v>
      </c>
    </row>
    <row r="781" spans="1:4" x14ac:dyDescent="0.4">
      <c r="A781" s="6">
        <v>483.71</v>
      </c>
      <c r="B781" s="44">
        <v>182821.70881811</v>
      </c>
      <c r="C781" s="44">
        <v>183032.60952062</v>
      </c>
      <c r="D781" s="44">
        <v>150703.43939151999</v>
      </c>
    </row>
    <row r="782" spans="1:4" x14ac:dyDescent="0.4">
      <c r="A782" s="6">
        <v>483.7</v>
      </c>
      <c r="B782" s="44">
        <v>182562.31954055</v>
      </c>
      <c r="C782" s="44">
        <v>182769.88301513001</v>
      </c>
      <c r="D782" s="44">
        <v>148876.5415201</v>
      </c>
    </row>
    <row r="783" spans="1:4" x14ac:dyDescent="0.4">
      <c r="A783" s="6">
        <v>483.69</v>
      </c>
      <c r="B783" s="44">
        <v>182302.85537636999</v>
      </c>
      <c r="C783" s="44">
        <v>182507.10140094001</v>
      </c>
      <c r="D783" s="44">
        <v>147052.27579797999</v>
      </c>
    </row>
    <row r="784" spans="1:4" x14ac:dyDescent="0.4">
      <c r="A784" s="6">
        <v>483.68</v>
      </c>
      <c r="B784" s="44">
        <v>182042.99019888</v>
      </c>
      <c r="C784" s="44">
        <v>182243.94308857</v>
      </c>
      <c r="D784" s="44">
        <v>145230.57542266001</v>
      </c>
    </row>
    <row r="785" spans="1:4" x14ac:dyDescent="0.4">
      <c r="A785" s="6">
        <v>483.67</v>
      </c>
      <c r="B785" s="44">
        <v>181783.02110176999</v>
      </c>
      <c r="C785" s="44">
        <v>181980.70739217001</v>
      </c>
      <c r="D785" s="44">
        <v>143411.48174670001</v>
      </c>
    </row>
    <row r="786" spans="1:4" x14ac:dyDescent="0.4">
      <c r="A786" s="6">
        <v>483.66</v>
      </c>
      <c r="B786" s="44">
        <v>181522.58644404</v>
      </c>
      <c r="C786" s="44">
        <v>181717.03618560001</v>
      </c>
      <c r="D786" s="44">
        <v>141595.00337165999</v>
      </c>
    </row>
    <row r="787" spans="1:4" x14ac:dyDescent="0.4">
      <c r="A787" s="6">
        <v>483.65</v>
      </c>
      <c r="B787" s="44">
        <v>181261.55882109</v>
      </c>
      <c r="C787" s="44">
        <v>181452.80851562001</v>
      </c>
      <c r="D787" s="44">
        <v>139781.14224561001</v>
      </c>
    </row>
    <row r="788" spans="1:4" x14ac:dyDescent="0.4">
      <c r="A788" s="6">
        <v>483.64</v>
      </c>
      <c r="B788" s="44">
        <v>180999.44713452001</v>
      </c>
      <c r="C788" s="44">
        <v>181187.54365234001</v>
      </c>
      <c r="D788" s="44">
        <v>137969.88366116001</v>
      </c>
    </row>
    <row r="789" spans="1:4" x14ac:dyDescent="0.4">
      <c r="A789" s="6">
        <v>483.63</v>
      </c>
      <c r="B789" s="44">
        <v>180735.63294444999</v>
      </c>
      <c r="C789" s="44">
        <v>180920.64359438</v>
      </c>
      <c r="D789" s="44">
        <v>136161.27007870001</v>
      </c>
    </row>
    <row r="790" spans="1:4" x14ac:dyDescent="0.4">
      <c r="A790" s="6">
        <v>483.62</v>
      </c>
      <c r="B790" s="44">
        <v>180468.97608222</v>
      </c>
      <c r="C790" s="44">
        <v>180650.98582274999</v>
      </c>
      <c r="D790" s="44">
        <v>134355.32941472999</v>
      </c>
    </row>
    <row r="791" spans="1:4" x14ac:dyDescent="0.4">
      <c r="A791" s="6">
        <v>483.61</v>
      </c>
      <c r="B791" s="44">
        <v>180196.29639977001</v>
      </c>
      <c r="C791" s="44">
        <v>180375.42486277001</v>
      </c>
      <c r="D791" s="44">
        <v>132552.07370554999</v>
      </c>
    </row>
    <row r="792" spans="1:4" x14ac:dyDescent="0.4">
      <c r="A792" s="6">
        <v>483.6</v>
      </c>
      <c r="B792" s="44">
        <v>178958.74918114001</v>
      </c>
      <c r="C792" s="44">
        <v>179135.16972927999</v>
      </c>
      <c r="D792" s="44">
        <v>130751.63024432</v>
      </c>
    </row>
    <row r="793" spans="1:4" x14ac:dyDescent="0.4">
      <c r="A793" s="6">
        <v>483.59</v>
      </c>
      <c r="B793" s="44">
        <v>178581.51849109001</v>
      </c>
      <c r="C793" s="44">
        <v>178755.38497089001</v>
      </c>
      <c r="D793" s="44">
        <v>128964.07894732</v>
      </c>
    </row>
    <row r="794" spans="1:4" x14ac:dyDescent="0.4">
      <c r="A794" s="6">
        <v>483.58</v>
      </c>
      <c r="B794" s="44">
        <v>178265.75621677001</v>
      </c>
      <c r="C794" s="44">
        <v>178437.03430271</v>
      </c>
      <c r="D794" s="44">
        <v>127179.88814741001</v>
      </c>
    </row>
    <row r="795" spans="1:4" x14ac:dyDescent="0.4">
      <c r="A795" s="6">
        <v>483.57</v>
      </c>
      <c r="B795" s="44">
        <v>177955.21415707999</v>
      </c>
      <c r="C795" s="44">
        <v>178123.8997563</v>
      </c>
      <c r="D795" s="44">
        <v>125398.76506632</v>
      </c>
    </row>
    <row r="796" spans="1:4" x14ac:dyDescent="0.4">
      <c r="A796" s="6">
        <v>483.56</v>
      </c>
      <c r="B796" s="44">
        <v>177646.38640531999</v>
      </c>
      <c r="C796" s="44">
        <v>177812.48389711001</v>
      </c>
      <c r="D796" s="44">
        <v>123620.74038997</v>
      </c>
    </row>
    <row r="797" spans="1:4" x14ac:dyDescent="0.4">
      <c r="A797" s="6">
        <v>483.55</v>
      </c>
      <c r="B797" s="44">
        <v>177338.48483497</v>
      </c>
      <c r="C797" s="44">
        <v>177502.00227304999</v>
      </c>
      <c r="D797" s="44">
        <v>121845.83828122</v>
      </c>
    </row>
    <row r="798" spans="1:4" x14ac:dyDescent="0.4">
      <c r="A798" s="6">
        <v>483.54</v>
      </c>
      <c r="B798" s="44">
        <v>177031.18413330999</v>
      </c>
      <c r="C798" s="44">
        <v>177192.12984481</v>
      </c>
      <c r="D798" s="44">
        <v>120073.98196747999</v>
      </c>
    </row>
    <row r="799" spans="1:4" x14ac:dyDescent="0.4">
      <c r="A799" s="6">
        <v>483.53</v>
      </c>
      <c r="B799" s="44">
        <v>176724.67907340001</v>
      </c>
      <c r="C799" s="44">
        <v>176883.06160061</v>
      </c>
      <c r="D799" s="44">
        <v>118305.23841807</v>
      </c>
    </row>
    <row r="800" spans="1:4" x14ac:dyDescent="0.4">
      <c r="A800" s="6">
        <v>483.52</v>
      </c>
      <c r="B800" s="44">
        <v>176418.64848993</v>
      </c>
      <c r="C800" s="44">
        <v>176574.47811564</v>
      </c>
      <c r="D800" s="44">
        <v>116539.51461877</v>
      </c>
    </row>
    <row r="801" spans="1:4" x14ac:dyDescent="0.4">
      <c r="A801" s="6">
        <v>483.51</v>
      </c>
      <c r="B801" s="44">
        <v>176113.22774243</v>
      </c>
      <c r="C801" s="44">
        <v>176266.51488035999</v>
      </c>
      <c r="D801" s="44">
        <v>114776.84754636</v>
      </c>
    </row>
    <row r="802" spans="1:4" x14ac:dyDescent="0.4">
      <c r="A802" s="6">
        <v>483.5</v>
      </c>
      <c r="B802" s="44">
        <v>175808.51801013999</v>
      </c>
      <c r="C802" s="44">
        <v>175959.27199971999</v>
      </c>
      <c r="D802" s="44">
        <v>113017.24002562001</v>
      </c>
    </row>
    <row r="803" spans="1:4" x14ac:dyDescent="0.4">
      <c r="A803" s="6">
        <v>483.49</v>
      </c>
      <c r="B803" s="44">
        <v>175504.22272095</v>
      </c>
      <c r="C803" s="44">
        <v>175652.45462515001</v>
      </c>
      <c r="D803" s="44">
        <v>111260.69328556</v>
      </c>
    </row>
    <row r="804" spans="1:4" x14ac:dyDescent="0.4">
      <c r="A804" s="6">
        <v>483.48</v>
      </c>
      <c r="B804" s="44">
        <v>175200.64167094999</v>
      </c>
      <c r="C804" s="44">
        <v>175346.36246388999</v>
      </c>
      <c r="D804" s="44">
        <v>109507.19797030999</v>
      </c>
    </row>
    <row r="805" spans="1:4" x14ac:dyDescent="0.4">
      <c r="A805" s="6">
        <v>483.47</v>
      </c>
      <c r="B805" s="44">
        <v>174897.62076685001</v>
      </c>
      <c r="C805" s="44">
        <v>175040.84168292</v>
      </c>
      <c r="D805" s="44">
        <v>107756.73311402</v>
      </c>
    </row>
    <row r="806" spans="1:4" x14ac:dyDescent="0.4">
      <c r="A806" s="6">
        <v>483.46</v>
      </c>
      <c r="B806" s="44">
        <v>174595.19968675001</v>
      </c>
      <c r="C806" s="44">
        <v>174735.93287978001</v>
      </c>
      <c r="D806" s="44">
        <v>106009.29063521</v>
      </c>
    </row>
    <row r="807" spans="1:4" x14ac:dyDescent="0.4">
      <c r="A807" s="6">
        <v>483.45</v>
      </c>
      <c r="B807" s="44">
        <v>174293.29044079001</v>
      </c>
      <c r="C807" s="44">
        <v>174431.54902042999</v>
      </c>
      <c r="D807" s="44">
        <v>104264.84586553001</v>
      </c>
    </row>
    <row r="808" spans="1:4" x14ac:dyDescent="0.4">
      <c r="A808" s="6">
        <v>483.44</v>
      </c>
      <c r="B808" s="44">
        <v>173991.95658391999</v>
      </c>
      <c r="C808" s="44">
        <v>174127.75374556001</v>
      </c>
      <c r="D808" s="44">
        <v>102523.44305081</v>
      </c>
    </row>
    <row r="809" spans="1:4" x14ac:dyDescent="0.4">
      <c r="A809" s="6">
        <v>483.43</v>
      </c>
      <c r="B809" s="44">
        <v>173690.97056096999</v>
      </c>
      <c r="C809" s="44">
        <v>173824.32202650001</v>
      </c>
      <c r="D809" s="44">
        <v>100785.03944422</v>
      </c>
    </row>
    <row r="810" spans="1:4" x14ac:dyDescent="0.4">
      <c r="A810" s="6">
        <v>483.42</v>
      </c>
      <c r="B810" s="44">
        <v>173390.19647023</v>
      </c>
      <c r="C810" s="44">
        <v>173521.12235041999</v>
      </c>
      <c r="D810" s="44">
        <v>99049.643659595997</v>
      </c>
    </row>
    <row r="811" spans="1:4" x14ac:dyDescent="0.4">
      <c r="A811" s="6">
        <v>483.41</v>
      </c>
      <c r="B811" s="44">
        <v>173088.36680562</v>
      </c>
      <c r="C811" s="44">
        <v>173216.89120312</v>
      </c>
      <c r="D811" s="44">
        <v>97317.277208396001</v>
      </c>
    </row>
    <row r="812" spans="1:4" x14ac:dyDescent="0.4">
      <c r="A812" s="6">
        <v>483.4</v>
      </c>
      <c r="B812" s="44">
        <v>172756.236451</v>
      </c>
      <c r="C812" s="44">
        <v>172882.40017626001</v>
      </c>
      <c r="D812" s="44">
        <v>95587.988295998002</v>
      </c>
    </row>
    <row r="813" spans="1:4" x14ac:dyDescent="0.4">
      <c r="A813" s="6">
        <v>483.39</v>
      </c>
      <c r="B813" s="44">
        <v>172155.01596826999</v>
      </c>
      <c r="C813" s="44">
        <v>172278.81224035</v>
      </c>
      <c r="D813" s="44">
        <v>93864.650928955001</v>
      </c>
    </row>
    <row r="814" spans="1:4" x14ac:dyDescent="0.4">
      <c r="A814" s="6">
        <v>483.38</v>
      </c>
      <c r="B814" s="44">
        <v>171824.04887309999</v>
      </c>
      <c r="C814" s="44">
        <v>171945.43514884001</v>
      </c>
      <c r="D814" s="44">
        <v>92144.769237779998</v>
      </c>
    </row>
    <row r="815" spans="1:4" x14ac:dyDescent="0.4">
      <c r="A815" s="6">
        <v>483.37</v>
      </c>
      <c r="B815" s="44">
        <v>171494.37035714</v>
      </c>
      <c r="C815" s="44">
        <v>171613.33255769999</v>
      </c>
      <c r="D815" s="44">
        <v>90428.166466933006</v>
      </c>
    </row>
    <row r="816" spans="1:4" x14ac:dyDescent="0.4">
      <c r="A816" s="6">
        <v>483.36</v>
      </c>
      <c r="B816" s="44">
        <v>171164.26233591</v>
      </c>
      <c r="C816" s="44">
        <v>171280.79405997001</v>
      </c>
      <c r="D816" s="44">
        <v>88714.874189681999</v>
      </c>
    </row>
    <row r="817" spans="1:4" x14ac:dyDescent="0.4">
      <c r="A817" s="6">
        <v>483.35</v>
      </c>
      <c r="B817" s="44">
        <v>170833.13750879999</v>
      </c>
      <c r="C817" s="44">
        <v>170947.23719678001</v>
      </c>
      <c r="D817" s="44">
        <v>87004.862053687</v>
      </c>
    </row>
    <row r="818" spans="1:4" x14ac:dyDescent="0.4">
      <c r="A818" s="6">
        <v>483.34</v>
      </c>
      <c r="B818" s="44">
        <v>170500.96768746999</v>
      </c>
      <c r="C818" s="44">
        <v>170612.63485785</v>
      </c>
      <c r="D818" s="44">
        <v>85298.209863197</v>
      </c>
    </row>
    <row r="819" spans="1:4" x14ac:dyDescent="0.4">
      <c r="A819" s="6">
        <v>483.33</v>
      </c>
      <c r="B819" s="44">
        <v>170167.77539056001</v>
      </c>
      <c r="C819" s="44">
        <v>170277.01113309999</v>
      </c>
      <c r="D819" s="44">
        <v>83594.855823695005</v>
      </c>
    </row>
    <row r="820" spans="1:4" x14ac:dyDescent="0.4">
      <c r="A820" s="6">
        <v>483.32</v>
      </c>
      <c r="B820" s="44">
        <v>169833.23677279</v>
      </c>
      <c r="C820" s="44">
        <v>169940.04426133001</v>
      </c>
      <c r="D820" s="44">
        <v>81894.858801320996</v>
      </c>
    </row>
    <row r="821" spans="1:4" x14ac:dyDescent="0.4">
      <c r="A821" s="6">
        <v>483.31</v>
      </c>
      <c r="B821" s="44">
        <v>169497.58421554</v>
      </c>
      <c r="C821" s="44">
        <v>169601.96640866</v>
      </c>
      <c r="D821" s="44">
        <v>80198.227592551993</v>
      </c>
    </row>
    <row r="822" spans="1:4" x14ac:dyDescent="0.4">
      <c r="A822" s="6">
        <v>483.3</v>
      </c>
      <c r="B822" s="44">
        <v>169160.89317885</v>
      </c>
      <c r="C822" s="44">
        <v>169262.85407032</v>
      </c>
      <c r="D822" s="44">
        <v>78504.924611612005</v>
      </c>
    </row>
    <row r="823" spans="1:4" x14ac:dyDescent="0.4">
      <c r="A823" s="6">
        <v>483.29</v>
      </c>
      <c r="B823" s="44">
        <v>168822.80349749001</v>
      </c>
      <c r="C823" s="44">
        <v>168922.34693115001</v>
      </c>
      <c r="D823" s="44">
        <v>76815.022970146994</v>
      </c>
    </row>
    <row r="824" spans="1:4" x14ac:dyDescent="0.4">
      <c r="A824" s="6">
        <v>483.28</v>
      </c>
      <c r="B824" s="44">
        <v>168483.64470911</v>
      </c>
      <c r="C824" s="44">
        <v>168580.77355208999</v>
      </c>
      <c r="D824" s="44">
        <v>75128.480697892999</v>
      </c>
    </row>
    <row r="825" spans="1:4" x14ac:dyDescent="0.4">
      <c r="A825" s="6">
        <v>483.27</v>
      </c>
      <c r="B825" s="44">
        <v>168143.24225091</v>
      </c>
      <c r="C825" s="44">
        <v>168237.96064953</v>
      </c>
      <c r="D825" s="44">
        <v>73445.354178416994</v>
      </c>
    </row>
    <row r="826" spans="1:4" x14ac:dyDescent="0.4">
      <c r="A826" s="6">
        <v>483.26</v>
      </c>
      <c r="B826" s="44">
        <v>167801.60809359999</v>
      </c>
      <c r="C826" s="44">
        <v>167893.92256678001</v>
      </c>
      <c r="D826" s="44">
        <v>71765.641741632004</v>
      </c>
    </row>
    <row r="827" spans="1:4" x14ac:dyDescent="0.4">
      <c r="A827" s="6">
        <v>483.25</v>
      </c>
      <c r="B827" s="44">
        <v>167458.70125583999</v>
      </c>
      <c r="C827" s="44">
        <v>167548.62087099001</v>
      </c>
      <c r="D827" s="44">
        <v>70089.345479123993</v>
      </c>
    </row>
    <row r="828" spans="1:4" x14ac:dyDescent="0.4">
      <c r="A828" s="6">
        <v>483.24</v>
      </c>
      <c r="B828" s="44">
        <v>167114.35863313999</v>
      </c>
      <c r="C828" s="44">
        <v>167201.89450058999</v>
      </c>
      <c r="D828" s="44">
        <v>68416.495953352001</v>
      </c>
    </row>
    <row r="829" spans="1:4" x14ac:dyDescent="0.4">
      <c r="A829" s="6">
        <v>483.23</v>
      </c>
      <c r="B829" s="44">
        <v>166768.27258851999</v>
      </c>
      <c r="C829" s="44">
        <v>166853.44042088001</v>
      </c>
      <c r="D829" s="44">
        <v>66747.096262687002</v>
      </c>
    </row>
    <row r="830" spans="1:4" x14ac:dyDescent="0.4">
      <c r="A830" s="6">
        <v>483.22</v>
      </c>
      <c r="B830" s="44">
        <v>166419.52305074999</v>
      </c>
      <c r="C830" s="44">
        <v>166502.34438604</v>
      </c>
      <c r="D830" s="44">
        <v>65081.177162646003</v>
      </c>
    </row>
    <row r="831" spans="1:4" x14ac:dyDescent="0.4">
      <c r="A831" s="6">
        <v>483.21</v>
      </c>
      <c r="B831" s="44">
        <v>166063.78949626</v>
      </c>
      <c r="C831" s="44">
        <v>166144.29641032999</v>
      </c>
      <c r="D831" s="44">
        <v>63418.785881354001</v>
      </c>
    </row>
    <row r="832" spans="1:4" x14ac:dyDescent="0.4">
      <c r="A832" s="6">
        <v>483.2</v>
      </c>
      <c r="B832" s="44">
        <v>164873.55845454999</v>
      </c>
      <c r="C832" s="44">
        <v>164951.85399276999</v>
      </c>
      <c r="D832" s="44">
        <v>61760.105640173999</v>
      </c>
    </row>
    <row r="833" spans="1:4" x14ac:dyDescent="0.4">
      <c r="A833" s="6">
        <v>483.19</v>
      </c>
      <c r="B833" s="44">
        <v>163500.71315749999</v>
      </c>
      <c r="C833" s="44">
        <v>163576.69194044001</v>
      </c>
      <c r="D833" s="44">
        <v>60122.506560196998</v>
      </c>
    </row>
    <row r="834" spans="1:4" x14ac:dyDescent="0.4">
      <c r="A834" s="6">
        <v>483.18</v>
      </c>
      <c r="B834" s="44">
        <v>163091.67309493999</v>
      </c>
      <c r="C834" s="44">
        <v>163165.17145011001</v>
      </c>
      <c r="D834" s="44">
        <v>58489.548849624</v>
      </c>
    </row>
    <row r="835" spans="1:4" x14ac:dyDescent="0.4">
      <c r="A835" s="6">
        <v>483.17</v>
      </c>
      <c r="B835" s="44">
        <v>162691.00339087</v>
      </c>
      <c r="C835" s="44">
        <v>162761.94195794</v>
      </c>
      <c r="D835" s="44">
        <v>56860.633534000001</v>
      </c>
    </row>
    <row r="836" spans="1:4" x14ac:dyDescent="0.4">
      <c r="A836" s="6">
        <v>483.16</v>
      </c>
      <c r="B836" s="44">
        <v>162293.07407512999</v>
      </c>
      <c r="C836" s="44">
        <v>162361.40881553001</v>
      </c>
      <c r="D836" s="44">
        <v>55235.717418760003</v>
      </c>
    </row>
    <row r="837" spans="1:4" x14ac:dyDescent="0.4">
      <c r="A837" s="6">
        <v>483.15</v>
      </c>
      <c r="B837" s="44">
        <v>161895.73873998001</v>
      </c>
      <c r="C837" s="44">
        <v>161961.44569749001</v>
      </c>
      <c r="D837" s="44">
        <v>53614.770258140001</v>
      </c>
    </row>
    <row r="838" spans="1:4" x14ac:dyDescent="0.4">
      <c r="A838" s="6">
        <v>483.14</v>
      </c>
      <c r="B838" s="44">
        <v>161498.16750194001</v>
      </c>
      <c r="C838" s="44">
        <v>161561.23244091001</v>
      </c>
      <c r="D838" s="44">
        <v>51997.779296435998</v>
      </c>
    </row>
    <row r="839" spans="1:4" x14ac:dyDescent="0.4">
      <c r="A839" s="6">
        <v>483.13</v>
      </c>
      <c r="B839" s="44">
        <v>161099.96461488999</v>
      </c>
      <c r="C839" s="44">
        <v>161160.37957478999</v>
      </c>
      <c r="D839" s="44">
        <v>50384.799140638999</v>
      </c>
    </row>
    <row r="840" spans="1:4" x14ac:dyDescent="0.4">
      <c r="A840" s="6">
        <v>483.12</v>
      </c>
      <c r="B840" s="44">
        <v>160701.05839443</v>
      </c>
      <c r="C840" s="44">
        <v>160758.82517915001</v>
      </c>
      <c r="D840" s="44">
        <v>48775.796271405998</v>
      </c>
    </row>
    <row r="841" spans="1:4" x14ac:dyDescent="0.4">
      <c r="A841" s="6">
        <v>483.11</v>
      </c>
      <c r="B841" s="44">
        <v>160301.44531010999</v>
      </c>
      <c r="C841" s="44">
        <v>160356.56992571999</v>
      </c>
      <c r="D841" s="44">
        <v>47170.825356510002</v>
      </c>
    </row>
    <row r="842" spans="1:4" x14ac:dyDescent="0.4">
      <c r="A842" s="6">
        <v>483.1</v>
      </c>
      <c r="B842" s="44">
        <v>159900.68126491999</v>
      </c>
      <c r="C842" s="44">
        <v>159953.17301284001</v>
      </c>
      <c r="D842" s="44">
        <v>45569.814380534997</v>
      </c>
    </row>
    <row r="843" spans="1:4" x14ac:dyDescent="0.4">
      <c r="A843" s="6">
        <v>483.09</v>
      </c>
      <c r="B843" s="44">
        <v>159498.95343068001</v>
      </c>
      <c r="C843" s="44">
        <v>159548.82250715999</v>
      </c>
      <c r="D843" s="44">
        <v>43972.826938787002</v>
      </c>
    </row>
    <row r="844" spans="1:4" x14ac:dyDescent="0.4">
      <c r="A844" s="6">
        <v>483.08</v>
      </c>
      <c r="B844" s="44">
        <v>159096.30734442</v>
      </c>
      <c r="C844" s="44">
        <v>159143.56712620999</v>
      </c>
      <c r="D844" s="44">
        <v>42379.873654094001</v>
      </c>
    </row>
    <row r="845" spans="1:4" x14ac:dyDescent="0.4">
      <c r="A845" s="6">
        <v>483.07</v>
      </c>
      <c r="B845" s="44">
        <v>158692.64806288001</v>
      </c>
      <c r="C845" s="44">
        <v>158737.31656368001</v>
      </c>
      <c r="D845" s="44">
        <v>40790.988701114002</v>
      </c>
    </row>
    <row r="846" spans="1:4" x14ac:dyDescent="0.4">
      <c r="A846" s="6">
        <v>483.06</v>
      </c>
      <c r="B846" s="44">
        <v>158287.72821912999</v>
      </c>
      <c r="C846" s="44">
        <v>158329.83158557999</v>
      </c>
      <c r="D846" s="44">
        <v>39206.139237048003</v>
      </c>
    </row>
    <row r="847" spans="1:4" x14ac:dyDescent="0.4">
      <c r="A847" s="6">
        <v>483.05</v>
      </c>
      <c r="B847" s="44">
        <v>157881.26614543999</v>
      </c>
      <c r="C847" s="44">
        <v>157920.83884872001</v>
      </c>
      <c r="D847" s="44">
        <v>37625.359249638001</v>
      </c>
    </row>
    <row r="848" spans="1:4" x14ac:dyDescent="0.4">
      <c r="A848" s="6">
        <v>483.04</v>
      </c>
      <c r="B848" s="44">
        <v>157472.86746871</v>
      </c>
      <c r="C848" s="44">
        <v>157509.95594635999</v>
      </c>
      <c r="D848" s="44">
        <v>36048.653842305001</v>
      </c>
    </row>
    <row r="849" spans="1:4" x14ac:dyDescent="0.4">
      <c r="A849" s="6">
        <v>483.03</v>
      </c>
      <c r="B849" s="44">
        <v>157061.48082306</v>
      </c>
      <c r="C849" s="44">
        <v>157096.14919615001</v>
      </c>
      <c r="D849" s="44">
        <v>34476.067833642002</v>
      </c>
    </row>
    <row r="850" spans="1:4" x14ac:dyDescent="0.4">
      <c r="A850" s="6">
        <v>483.02</v>
      </c>
      <c r="B850" s="44">
        <v>156643.13262257</v>
      </c>
      <c r="C850" s="44">
        <v>156675.47840018</v>
      </c>
      <c r="D850" s="44">
        <v>32907.660446153997</v>
      </c>
    </row>
    <row r="851" spans="1:4" x14ac:dyDescent="0.4">
      <c r="A851" s="6">
        <v>483.01</v>
      </c>
      <c r="B851" s="44">
        <v>156215.89019030001</v>
      </c>
      <c r="C851" s="44">
        <v>156246.07625958</v>
      </c>
      <c r="D851" s="44">
        <v>31343.481591022999</v>
      </c>
    </row>
    <row r="852" spans="1:4" x14ac:dyDescent="0.4">
      <c r="A852" s="6">
        <v>483</v>
      </c>
      <c r="B852" s="44">
        <v>155639.06933154</v>
      </c>
      <c r="C852" s="44">
        <v>155667.35630191999</v>
      </c>
      <c r="D852" s="44">
        <v>29783.877598461</v>
      </c>
    </row>
    <row r="853" spans="1:4" x14ac:dyDescent="0.4">
      <c r="A853" s="6">
        <v>482.99</v>
      </c>
      <c r="B853" s="44">
        <v>153357.26827043999</v>
      </c>
      <c r="C853" s="44">
        <v>153383.95528656</v>
      </c>
      <c r="D853" s="44">
        <v>28247.596069128998</v>
      </c>
    </row>
    <row r="854" spans="1:4" x14ac:dyDescent="0.4">
      <c r="A854" s="6">
        <v>482.98</v>
      </c>
      <c r="B854" s="44">
        <v>152865.0486256</v>
      </c>
      <c r="C854" s="44">
        <v>152890.14643781999</v>
      </c>
      <c r="D854" s="44">
        <v>26716.501689879002</v>
      </c>
    </row>
    <row r="855" spans="1:4" x14ac:dyDescent="0.4">
      <c r="A855" s="6">
        <v>482.97</v>
      </c>
      <c r="B855" s="44">
        <v>152374.66505591001</v>
      </c>
      <c r="C855" s="44">
        <v>152398.20288456001</v>
      </c>
      <c r="D855" s="44">
        <v>25190.297847628</v>
      </c>
    </row>
    <row r="856" spans="1:4" x14ac:dyDescent="0.4">
      <c r="A856" s="6">
        <v>482.96</v>
      </c>
      <c r="B856" s="44">
        <v>151884.12071461001</v>
      </c>
      <c r="C856" s="44">
        <v>151906.12217297999</v>
      </c>
      <c r="D856" s="44">
        <v>23669.001999831002</v>
      </c>
    </row>
    <row r="857" spans="1:4" x14ac:dyDescent="0.4">
      <c r="A857" s="6">
        <v>482.95</v>
      </c>
      <c r="B857" s="44">
        <v>151393.39098957999</v>
      </c>
      <c r="C857" s="44">
        <v>151413.87311133</v>
      </c>
      <c r="D857" s="44">
        <v>22152.636452335999</v>
      </c>
    </row>
    <row r="858" spans="1:4" x14ac:dyDescent="0.4">
      <c r="A858" s="6">
        <v>482.94</v>
      </c>
      <c r="B858" s="44">
        <v>150902.57750787999</v>
      </c>
      <c r="C858" s="44">
        <v>150921.55204372</v>
      </c>
      <c r="D858" s="44">
        <v>20641.160951375001</v>
      </c>
    </row>
    <row r="859" spans="1:4" x14ac:dyDescent="0.4">
      <c r="A859" s="6">
        <v>482.93</v>
      </c>
      <c r="B859" s="44">
        <v>150411.73067436001</v>
      </c>
      <c r="C859" s="44">
        <v>150429.20663303</v>
      </c>
      <c r="D859" s="44">
        <v>19134.599796393999</v>
      </c>
    </row>
    <row r="860" spans="1:4" x14ac:dyDescent="0.4">
      <c r="A860" s="6">
        <v>482.92</v>
      </c>
      <c r="B860" s="44">
        <v>149920.93094324</v>
      </c>
      <c r="C860" s="44">
        <v>149936.91551039999</v>
      </c>
      <c r="D860" s="44">
        <v>17632.941501099998</v>
      </c>
    </row>
    <row r="861" spans="1:4" x14ac:dyDescent="0.4">
      <c r="A861" s="6">
        <v>482.91</v>
      </c>
      <c r="B861" s="44">
        <v>149430.14112720999</v>
      </c>
      <c r="C861" s="44">
        <v>149444.64165276001</v>
      </c>
      <c r="D861" s="44">
        <v>16136.191610080999</v>
      </c>
    </row>
    <row r="862" spans="1:4" x14ac:dyDescent="0.4">
      <c r="A862" s="6">
        <v>482.9</v>
      </c>
      <c r="B862" s="44">
        <v>148939.30940221</v>
      </c>
      <c r="C862" s="44">
        <v>148952.33360514001</v>
      </c>
      <c r="D862" s="44">
        <v>14644.334904150001</v>
      </c>
    </row>
    <row r="863" spans="1:4" x14ac:dyDescent="0.4">
      <c r="A863" s="6">
        <v>482.89</v>
      </c>
      <c r="B863" s="44">
        <v>148448.54708131001</v>
      </c>
      <c r="C863" s="44">
        <v>148460.10240813001</v>
      </c>
      <c r="D863" s="44">
        <v>13157.405516683</v>
      </c>
    </row>
    <row r="864" spans="1:4" x14ac:dyDescent="0.4">
      <c r="A864" s="6">
        <v>482.88</v>
      </c>
      <c r="B864" s="44">
        <v>147957.77266240999</v>
      </c>
      <c r="C864" s="44">
        <v>147967.86779533001</v>
      </c>
      <c r="D864" s="44">
        <v>11675.396950016</v>
      </c>
    </row>
    <row r="865" spans="1:4" x14ac:dyDescent="0.4">
      <c r="A865" s="6">
        <v>482.87</v>
      </c>
      <c r="B865" s="44">
        <v>147466.9899816</v>
      </c>
      <c r="C865" s="44">
        <v>147475.63551588001</v>
      </c>
      <c r="D865" s="44">
        <v>10198.297931432</v>
      </c>
    </row>
    <row r="866" spans="1:4" x14ac:dyDescent="0.4">
      <c r="A866" s="6">
        <v>482.86</v>
      </c>
      <c r="B866" s="44">
        <v>146976.01396278999</v>
      </c>
      <c r="C866" s="44">
        <v>146983.22351056</v>
      </c>
      <c r="D866" s="44">
        <v>8726.0884105419991</v>
      </c>
    </row>
    <row r="867" spans="1:4" x14ac:dyDescent="0.4">
      <c r="A867" s="6">
        <v>482.85</v>
      </c>
      <c r="B867" s="44">
        <v>146484.77128439001</v>
      </c>
      <c r="C867" s="44">
        <v>146490.56352061001</v>
      </c>
      <c r="D867" s="44">
        <v>7258.8256497918001</v>
      </c>
    </row>
    <row r="868" spans="1:4" x14ac:dyDescent="0.4">
      <c r="A868" s="6">
        <v>482.84</v>
      </c>
      <c r="B868" s="44">
        <v>145992.50570382</v>
      </c>
      <c r="C868" s="44">
        <v>145996.90921665</v>
      </c>
      <c r="D868" s="44">
        <v>5796.4922307718998</v>
      </c>
    </row>
    <row r="869" spans="1:4" x14ac:dyDescent="0.4">
      <c r="A869" s="6">
        <v>482.83</v>
      </c>
      <c r="B869" s="44">
        <v>145497.98098441001</v>
      </c>
      <c r="C869" s="44">
        <v>145501.04430996999</v>
      </c>
      <c r="D869" s="44">
        <v>4339.1395934523998</v>
      </c>
    </row>
    <row r="870" spans="1:4" x14ac:dyDescent="0.4">
      <c r="A870" s="6">
        <v>482.82</v>
      </c>
      <c r="B870" s="44">
        <v>144996.91824224999</v>
      </c>
      <c r="C870" s="44">
        <v>144998.72846745999</v>
      </c>
      <c r="D870" s="44">
        <v>2886.8076654624001</v>
      </c>
    </row>
    <row r="871" spans="1:4" x14ac:dyDescent="0.4">
      <c r="A871" s="6">
        <v>482.81</v>
      </c>
      <c r="B871" s="44">
        <v>144474.08244622001</v>
      </c>
      <c r="C871" s="44">
        <v>144474.80612997999</v>
      </c>
      <c r="D871" s="44">
        <v>1439.6211010379</v>
      </c>
    </row>
    <row r="872" spans="1:4" x14ac:dyDescent="0.4">
      <c r="A872" s="6">
        <v>482.8</v>
      </c>
      <c r="B872" s="44">
        <v>33140.978661918998</v>
      </c>
      <c r="C872" s="44">
        <v>33140.978718785002</v>
      </c>
      <c r="D872" s="44">
        <v>0.40316735619689997</v>
      </c>
    </row>
    <row r="873" spans="1:4" x14ac:dyDescent="0.4">
      <c r="A873" s="6">
        <v>482.79</v>
      </c>
      <c r="B873" s="44">
        <v>0</v>
      </c>
      <c r="C873" s="44">
        <v>0</v>
      </c>
      <c r="D873" s="4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F7E0-D23C-4FBE-97B2-73A641EEE7B0}">
  <dimension ref="A1:J772"/>
  <sheetViews>
    <sheetView workbookViewId="0">
      <selection activeCell="L7" sqref="L7"/>
    </sheetView>
  </sheetViews>
  <sheetFormatPr defaultRowHeight="16.8" x14ac:dyDescent="0.4"/>
  <cols>
    <col min="1" max="1" width="12.09765625" bestFit="1" customWidth="1"/>
    <col min="2" max="2" width="10.09765625" bestFit="1" customWidth="1"/>
    <col min="3" max="3" width="11.8984375" bestFit="1" customWidth="1"/>
    <col min="4" max="4" width="19.8984375" bestFit="1" customWidth="1"/>
  </cols>
  <sheetData>
    <row r="1" spans="1:5" ht="27" x14ac:dyDescent="0.4">
      <c r="A1" s="27" t="s">
        <v>0</v>
      </c>
      <c r="B1" s="27" t="s">
        <v>1</v>
      </c>
      <c r="C1" s="28" t="s">
        <v>2</v>
      </c>
      <c r="D1" s="29" t="s">
        <v>3</v>
      </c>
    </row>
    <row r="2" spans="1:5" ht="27" x14ac:dyDescent="0.75">
      <c r="A2">
        <v>490.5</v>
      </c>
      <c r="B2" s="25">
        <v>1</v>
      </c>
      <c r="C2">
        <v>325588.17431892001</v>
      </c>
      <c r="D2">
        <v>1924831.9028940999</v>
      </c>
    </row>
    <row r="3" spans="1:5" ht="27" x14ac:dyDescent="0.75">
      <c r="A3">
        <v>490.49</v>
      </c>
      <c r="B3" s="25">
        <v>1</v>
      </c>
      <c r="C3">
        <v>325329.53681148001</v>
      </c>
      <c r="D3">
        <v>1921577.3328207</v>
      </c>
    </row>
    <row r="4" spans="1:5" ht="27" x14ac:dyDescent="0.75">
      <c r="A4">
        <v>490.48</v>
      </c>
      <c r="B4" s="25">
        <v>1</v>
      </c>
      <c r="C4">
        <v>325070.96122755</v>
      </c>
      <c r="D4">
        <v>1918325.2594951999</v>
      </c>
    </row>
    <row r="5" spans="1:5" ht="27" x14ac:dyDescent="0.75">
      <c r="A5">
        <v>490.47</v>
      </c>
      <c r="B5" s="25">
        <v>1</v>
      </c>
      <c r="C5">
        <v>324812.56339069002</v>
      </c>
      <c r="D5">
        <v>1915075.8372716999</v>
      </c>
    </row>
    <row r="6" spans="1:5" ht="27" x14ac:dyDescent="0.75">
      <c r="A6">
        <v>490.46</v>
      </c>
      <c r="B6" s="25">
        <v>1</v>
      </c>
      <c r="C6">
        <v>324554.23746429</v>
      </c>
      <c r="D6">
        <v>1911828.9223907001</v>
      </c>
    </row>
    <row r="7" spans="1:5" ht="27" x14ac:dyDescent="0.75">
      <c r="A7">
        <v>490.45</v>
      </c>
      <c r="B7" s="25">
        <v>1</v>
      </c>
      <c r="C7">
        <v>324296.19840634998</v>
      </c>
      <c r="D7">
        <v>1908584.6045796</v>
      </c>
    </row>
    <row r="8" spans="1:5" ht="27" x14ac:dyDescent="0.75">
      <c r="A8">
        <v>490.44</v>
      </c>
      <c r="B8" s="25">
        <v>1</v>
      </c>
      <c r="C8">
        <v>324038.37448732997</v>
      </c>
      <c r="D8">
        <v>1905342.9537074999</v>
      </c>
    </row>
    <row r="9" spans="1:5" ht="27" x14ac:dyDescent="0.75">
      <c r="A9">
        <v>490.43</v>
      </c>
      <c r="B9" s="25">
        <v>1</v>
      </c>
      <c r="C9">
        <v>323780.31346258998</v>
      </c>
      <c r="D9">
        <v>1902103.8861223999</v>
      </c>
    </row>
    <row r="10" spans="1:5" ht="27" x14ac:dyDescent="0.75">
      <c r="A10">
        <v>490.42</v>
      </c>
      <c r="B10" s="25">
        <v>1</v>
      </c>
      <c r="C10">
        <v>323520.96327169001</v>
      </c>
      <c r="D10">
        <v>1898867.3732508</v>
      </c>
    </row>
    <row r="11" spans="1:5" ht="27" x14ac:dyDescent="0.75">
      <c r="A11">
        <v>490.41</v>
      </c>
      <c r="B11" s="25">
        <v>1</v>
      </c>
      <c r="C11">
        <v>323254.7703268</v>
      </c>
      <c r="D11">
        <v>1895633.4937092999</v>
      </c>
    </row>
    <row r="12" spans="1:5" ht="27" x14ac:dyDescent="0.75">
      <c r="A12">
        <v>490.4</v>
      </c>
      <c r="B12" s="25">
        <v>1</v>
      </c>
      <c r="C12">
        <v>322850.90351689002</v>
      </c>
      <c r="D12">
        <v>1892402.5259835001</v>
      </c>
    </row>
    <row r="13" spans="1:5" ht="27" x14ac:dyDescent="0.75">
      <c r="A13">
        <v>490.39</v>
      </c>
      <c r="B13" s="25">
        <v>1</v>
      </c>
      <c r="C13">
        <v>321169.48549544002</v>
      </c>
      <c r="D13">
        <v>1889188.8624722001</v>
      </c>
    </row>
    <row r="14" spans="1:5" ht="27" x14ac:dyDescent="0.75">
      <c r="A14">
        <v>490.38</v>
      </c>
      <c r="B14" s="25">
        <v>1</v>
      </c>
      <c r="C14">
        <v>320922.74637299002</v>
      </c>
      <c r="D14">
        <v>1885978.3210372999</v>
      </c>
    </row>
    <row r="15" spans="1:5" ht="27" x14ac:dyDescent="0.75">
      <c r="A15">
        <v>490.37</v>
      </c>
      <c r="B15" s="25">
        <v>1</v>
      </c>
      <c r="C15">
        <v>320688.93035422999</v>
      </c>
      <c r="D15">
        <v>1882770.2680796001</v>
      </c>
    </row>
    <row r="16" spans="1:5" ht="27" x14ac:dyDescent="0.75">
      <c r="A16">
        <v>490.36</v>
      </c>
      <c r="B16" s="26">
        <v>1</v>
      </c>
      <c r="C16">
        <v>320459.38467626</v>
      </c>
      <c r="D16">
        <v>1879564.5511618999</v>
      </c>
      <c r="E16" s="30"/>
    </row>
    <row r="17" spans="1:5" ht="27" x14ac:dyDescent="0.75">
      <c r="A17">
        <v>490.35</v>
      </c>
      <c r="B17" s="25">
        <v>1</v>
      </c>
      <c r="C17">
        <v>320232.25391715998</v>
      </c>
      <c r="D17">
        <v>1876361.0360788</v>
      </c>
    </row>
    <row r="18" spans="1:5" ht="27" x14ac:dyDescent="0.75">
      <c r="A18">
        <v>490.34</v>
      </c>
      <c r="B18" s="25">
        <v>1</v>
      </c>
      <c r="C18">
        <v>320006.80870922998</v>
      </c>
      <c r="D18">
        <v>1873159.8403141999</v>
      </c>
    </row>
    <row r="19" spans="1:5" ht="27" x14ac:dyDescent="0.75">
      <c r="A19">
        <v>490.33</v>
      </c>
      <c r="B19" s="25">
        <v>1</v>
      </c>
      <c r="C19">
        <v>319782.64968487999</v>
      </c>
      <c r="D19">
        <v>1869960.8721248</v>
      </c>
    </row>
    <row r="20" spans="1:5" ht="27" x14ac:dyDescent="0.75">
      <c r="A20">
        <v>490.32</v>
      </c>
      <c r="B20" s="25">
        <v>1</v>
      </c>
      <c r="C20">
        <v>319559.53947885998</v>
      </c>
      <c r="D20">
        <v>1866764.1746503999</v>
      </c>
    </row>
    <row r="21" spans="1:5" ht="27" x14ac:dyDescent="0.75">
      <c r="A21">
        <v>490.31</v>
      </c>
      <c r="B21" s="25">
        <v>1</v>
      </c>
      <c r="C21">
        <v>319337.45160133002</v>
      </c>
      <c r="D21">
        <v>1863569.6882728001</v>
      </c>
    </row>
    <row r="22" spans="1:5" ht="27" x14ac:dyDescent="0.75">
      <c r="A22">
        <v>490.3</v>
      </c>
      <c r="B22" s="25">
        <v>1</v>
      </c>
      <c r="C22">
        <v>319116.11146962002</v>
      </c>
      <c r="D22">
        <v>1860377.4493782001</v>
      </c>
    </row>
    <row r="23" spans="1:5" ht="27" x14ac:dyDescent="0.75">
      <c r="A23">
        <v>490.29</v>
      </c>
      <c r="B23" s="25">
        <v>1</v>
      </c>
      <c r="C23">
        <v>318895.49862694001</v>
      </c>
      <c r="D23">
        <v>1857187.4190746001</v>
      </c>
      <c r="E23" s="24"/>
    </row>
    <row r="24" spans="1:5" ht="27" x14ac:dyDescent="0.75">
      <c r="A24">
        <v>490.28</v>
      </c>
      <c r="B24" s="25">
        <v>1</v>
      </c>
      <c r="C24">
        <v>318675.51763238001</v>
      </c>
      <c r="D24">
        <v>1853999.5281457</v>
      </c>
      <c r="E24" s="24"/>
    </row>
    <row r="25" spans="1:5" ht="27" x14ac:dyDescent="0.75">
      <c r="A25">
        <v>490.27</v>
      </c>
      <c r="B25" s="25">
        <v>1</v>
      </c>
      <c r="C25">
        <v>318456.17851871997</v>
      </c>
      <c r="D25">
        <v>1850813.8687481999</v>
      </c>
      <c r="E25" s="24"/>
    </row>
    <row r="26" spans="1:5" ht="27" x14ac:dyDescent="0.75">
      <c r="A26">
        <v>490.26</v>
      </c>
      <c r="B26" s="25">
        <v>1</v>
      </c>
      <c r="C26">
        <v>318237.20207662001</v>
      </c>
      <c r="D26">
        <v>1847630.4164267001</v>
      </c>
    </row>
    <row r="27" spans="1:5" ht="27" x14ac:dyDescent="0.75">
      <c r="A27">
        <v>490.25</v>
      </c>
      <c r="B27" s="25">
        <v>1</v>
      </c>
      <c r="C27">
        <v>318018.65045339998</v>
      </c>
      <c r="D27">
        <v>1844449.1267047001</v>
      </c>
    </row>
    <row r="28" spans="1:5" ht="27" x14ac:dyDescent="0.75">
      <c r="A28">
        <v>490.24</v>
      </c>
      <c r="B28" s="25">
        <v>1</v>
      </c>
      <c r="C28">
        <v>317800.07471130003</v>
      </c>
      <c r="D28">
        <v>1841270.1013650999</v>
      </c>
    </row>
    <row r="29" spans="1:5" ht="27" x14ac:dyDescent="0.75">
      <c r="A29">
        <v>490.23</v>
      </c>
      <c r="B29" s="25">
        <v>1</v>
      </c>
      <c r="C29">
        <v>317580.14673740999</v>
      </c>
      <c r="D29">
        <v>1838093.2536219</v>
      </c>
    </row>
    <row r="30" spans="1:5" ht="27" x14ac:dyDescent="0.75">
      <c r="A30">
        <v>490.22</v>
      </c>
      <c r="B30" s="25">
        <v>1</v>
      </c>
      <c r="C30">
        <v>317355.79962895002</v>
      </c>
      <c r="D30">
        <v>1834918.6568181999</v>
      </c>
    </row>
    <row r="31" spans="1:5" ht="27" x14ac:dyDescent="0.75">
      <c r="A31">
        <v>490.21</v>
      </c>
      <c r="B31" s="25">
        <v>1</v>
      </c>
      <c r="C31">
        <v>317117.27117671003</v>
      </c>
      <c r="D31">
        <v>1831746.3314545001</v>
      </c>
    </row>
    <row r="32" spans="1:5" ht="27" x14ac:dyDescent="0.75">
      <c r="A32">
        <v>490.2</v>
      </c>
      <c r="B32" s="25">
        <v>1</v>
      </c>
      <c r="C32">
        <v>315321.84388146998</v>
      </c>
      <c r="D32">
        <v>1828576.609132</v>
      </c>
    </row>
    <row r="33" spans="1:10" ht="27" x14ac:dyDescent="0.75">
      <c r="A33">
        <v>490.19</v>
      </c>
      <c r="B33" s="25">
        <v>1</v>
      </c>
      <c r="C33">
        <v>314985.29095638002</v>
      </c>
      <c r="D33">
        <v>1825425.3189813001</v>
      </c>
    </row>
    <row r="34" spans="1:10" ht="27" x14ac:dyDescent="0.75">
      <c r="A34">
        <v>490.18</v>
      </c>
      <c r="B34" s="25">
        <v>1</v>
      </c>
      <c r="C34">
        <v>314754.80334878003</v>
      </c>
      <c r="D34">
        <v>1822276.6650483999</v>
      </c>
    </row>
    <row r="35" spans="1:10" ht="27" x14ac:dyDescent="0.75">
      <c r="A35">
        <v>490.17</v>
      </c>
      <c r="B35" s="25">
        <v>1</v>
      </c>
      <c r="C35">
        <v>314531.71502732998</v>
      </c>
      <c r="D35">
        <v>1819130.2569062</v>
      </c>
    </row>
    <row r="36" spans="1:10" ht="27" x14ac:dyDescent="0.75">
      <c r="A36">
        <v>490.16</v>
      </c>
      <c r="B36" s="25">
        <v>1</v>
      </c>
      <c r="C36">
        <v>314312.10060566</v>
      </c>
      <c r="D36">
        <v>1815986.1206991</v>
      </c>
    </row>
    <row r="37" spans="1:10" ht="27" x14ac:dyDescent="0.75">
      <c r="A37">
        <v>490.15</v>
      </c>
      <c r="B37" s="25">
        <v>1</v>
      </c>
      <c r="C37">
        <v>314095.25944714999</v>
      </c>
      <c r="D37">
        <v>1812844.0720364</v>
      </c>
    </row>
    <row r="38" spans="1:10" ht="27" x14ac:dyDescent="0.75">
      <c r="A38">
        <v>490.14</v>
      </c>
      <c r="B38" s="25">
        <v>1</v>
      </c>
      <c r="C38">
        <v>313880.61339121999</v>
      </c>
      <c r="D38">
        <v>1809704.1751995999</v>
      </c>
      <c r="I38" s="21"/>
      <c r="J38" s="22"/>
    </row>
    <row r="39" spans="1:10" ht="27" x14ac:dyDescent="0.75">
      <c r="A39">
        <v>490.13</v>
      </c>
      <c r="B39" s="25">
        <v>1</v>
      </c>
      <c r="C39">
        <v>313668.01564877998</v>
      </c>
      <c r="D39">
        <v>1806566.4209612999</v>
      </c>
    </row>
    <row r="40" spans="1:10" ht="27" x14ac:dyDescent="0.75">
      <c r="A40">
        <v>490.12</v>
      </c>
      <c r="B40" s="25">
        <v>1</v>
      </c>
      <c r="C40">
        <v>313457.41778583999</v>
      </c>
      <c r="D40">
        <v>1803430.7613921</v>
      </c>
    </row>
    <row r="41" spans="1:10" ht="27" x14ac:dyDescent="0.75">
      <c r="A41">
        <v>490.11</v>
      </c>
      <c r="B41" s="25">
        <v>1</v>
      </c>
      <c r="C41">
        <v>313248.70322900999</v>
      </c>
      <c r="D41">
        <v>1800297.2455334</v>
      </c>
    </row>
    <row r="42" spans="1:10" ht="27" x14ac:dyDescent="0.75">
      <c r="A42">
        <v>490.1</v>
      </c>
      <c r="B42" s="25">
        <v>1</v>
      </c>
      <c r="C42">
        <v>313041.85312043002</v>
      </c>
      <c r="D42">
        <v>1797165.7765730999</v>
      </c>
    </row>
    <row r="43" spans="1:10" ht="27" x14ac:dyDescent="0.75">
      <c r="A43">
        <v>490.09</v>
      </c>
      <c r="B43" s="25">
        <v>1</v>
      </c>
      <c r="C43">
        <v>312836.80828554998</v>
      </c>
      <c r="D43">
        <v>1794036.4193345001</v>
      </c>
    </row>
    <row r="44" spans="1:10" ht="27" x14ac:dyDescent="0.75">
      <c r="A44">
        <v>490.08</v>
      </c>
      <c r="B44" s="25">
        <v>1</v>
      </c>
      <c r="C44">
        <v>312633.50058752001</v>
      </c>
      <c r="D44">
        <v>1790909.120043</v>
      </c>
    </row>
    <row r="45" spans="1:10" ht="27" x14ac:dyDescent="0.75">
      <c r="A45">
        <v>490.07</v>
      </c>
      <c r="B45" s="25">
        <v>1</v>
      </c>
      <c r="C45">
        <v>312431.91614936001</v>
      </c>
      <c r="D45">
        <v>1787783.8828942</v>
      </c>
    </row>
    <row r="46" spans="1:10" ht="27" x14ac:dyDescent="0.75">
      <c r="A46">
        <v>490.06</v>
      </c>
      <c r="B46" s="25">
        <v>1</v>
      </c>
      <c r="C46">
        <v>312232.01997990999</v>
      </c>
      <c r="D46">
        <v>1784660.6460545999</v>
      </c>
    </row>
    <row r="47" spans="1:10" ht="27" x14ac:dyDescent="0.75">
      <c r="A47">
        <v>490.05</v>
      </c>
      <c r="B47" s="25">
        <v>1</v>
      </c>
      <c r="C47">
        <v>312033.48620614002</v>
      </c>
      <c r="D47">
        <v>1781539.4187105999</v>
      </c>
    </row>
    <row r="48" spans="1:10" ht="27" x14ac:dyDescent="0.75">
      <c r="A48">
        <v>490.04</v>
      </c>
      <c r="B48" s="25">
        <v>1</v>
      </c>
      <c r="C48">
        <v>311835.94864279998</v>
      </c>
      <c r="D48">
        <v>1778420.1250922</v>
      </c>
    </row>
    <row r="49" spans="1:4" ht="27" x14ac:dyDescent="0.75">
      <c r="A49">
        <v>490.03</v>
      </c>
      <c r="B49" s="25">
        <v>1</v>
      </c>
      <c r="C49">
        <v>311638.60947078001</v>
      </c>
      <c r="D49">
        <v>1775302.8732425</v>
      </c>
    </row>
    <row r="50" spans="1:4" ht="27" x14ac:dyDescent="0.75">
      <c r="A50">
        <v>490.02</v>
      </c>
      <c r="B50" s="25">
        <v>1</v>
      </c>
      <c r="C50">
        <v>311439.00234002998</v>
      </c>
      <c r="D50">
        <v>1772187.5765013001</v>
      </c>
    </row>
    <row r="51" spans="1:4" ht="27" x14ac:dyDescent="0.75">
      <c r="A51">
        <v>490.01</v>
      </c>
      <c r="B51" s="25">
        <v>1</v>
      </c>
      <c r="C51">
        <v>311228.82997705002</v>
      </c>
      <c r="D51">
        <v>1769074.3531835</v>
      </c>
    </row>
    <row r="52" spans="1:4" ht="27" x14ac:dyDescent="0.75">
      <c r="A52">
        <v>490</v>
      </c>
      <c r="B52" s="25">
        <v>1</v>
      </c>
      <c r="C52">
        <v>310873.10328629997</v>
      </c>
      <c r="D52">
        <v>1765963.4900541999</v>
      </c>
    </row>
    <row r="53" spans="1:4" ht="27" x14ac:dyDescent="0.75">
      <c r="A53">
        <v>489.99</v>
      </c>
      <c r="B53" s="25">
        <v>1</v>
      </c>
      <c r="C53">
        <v>309723.08514615998</v>
      </c>
      <c r="D53">
        <v>1762865.1589162999</v>
      </c>
    </row>
    <row r="54" spans="1:4" ht="27" x14ac:dyDescent="0.75">
      <c r="A54">
        <v>489.98</v>
      </c>
      <c r="B54" s="25">
        <v>1</v>
      </c>
      <c r="C54">
        <v>309549.18200853001</v>
      </c>
      <c r="D54">
        <v>1759768.7362509</v>
      </c>
    </row>
    <row r="55" spans="1:4" ht="27" x14ac:dyDescent="0.75">
      <c r="A55">
        <v>489.97</v>
      </c>
      <c r="B55" s="25">
        <v>1</v>
      </c>
      <c r="C55">
        <v>309379.56946447003</v>
      </c>
      <c r="D55">
        <v>1756674.0791535999</v>
      </c>
    </row>
    <row r="56" spans="1:4" ht="27" x14ac:dyDescent="0.75">
      <c r="A56">
        <v>489.96</v>
      </c>
      <c r="B56" s="25">
        <v>1</v>
      </c>
      <c r="C56">
        <v>309211.16978160001</v>
      </c>
      <c r="D56">
        <v>1753581.1481606001</v>
      </c>
    </row>
    <row r="57" spans="1:4" ht="27" x14ac:dyDescent="0.75">
      <c r="A57">
        <v>489.95</v>
      </c>
      <c r="B57" s="25">
        <v>1</v>
      </c>
      <c r="C57">
        <v>309043.52449500997</v>
      </c>
      <c r="D57">
        <v>1750489.8990714001</v>
      </c>
    </row>
    <row r="58" spans="1:4" ht="27" x14ac:dyDescent="0.75">
      <c r="A58">
        <v>489.94</v>
      </c>
      <c r="B58" s="25">
        <v>1</v>
      </c>
      <c r="C58">
        <v>308876.43339088</v>
      </c>
      <c r="D58">
        <v>1747400.294549</v>
      </c>
    </row>
    <row r="59" spans="1:4" ht="27" x14ac:dyDescent="0.75">
      <c r="A59">
        <v>489.93</v>
      </c>
      <c r="B59" s="25">
        <v>1</v>
      </c>
      <c r="C59">
        <v>308709.80517185002</v>
      </c>
      <c r="D59">
        <v>1744312.3770924001</v>
      </c>
    </row>
    <row r="60" spans="1:4" ht="27" x14ac:dyDescent="0.75">
      <c r="A60">
        <v>489.92</v>
      </c>
      <c r="B60" s="25">
        <v>1</v>
      </c>
      <c r="C60">
        <v>308543.73717881</v>
      </c>
      <c r="D60">
        <v>1741226.0555606</v>
      </c>
    </row>
    <row r="61" spans="1:4" ht="27" x14ac:dyDescent="0.75">
      <c r="A61">
        <v>489.91</v>
      </c>
      <c r="B61" s="25">
        <v>1</v>
      </c>
      <c r="C61">
        <v>308378.16819031001</v>
      </c>
      <c r="D61">
        <v>1738141.5165156999</v>
      </c>
    </row>
    <row r="62" spans="1:4" ht="27" x14ac:dyDescent="0.75">
      <c r="A62">
        <v>489.9</v>
      </c>
      <c r="B62" s="25">
        <v>1</v>
      </c>
      <c r="C62">
        <v>308212.99207225</v>
      </c>
      <c r="D62">
        <v>1735058.5729155</v>
      </c>
    </row>
    <row r="63" spans="1:4" ht="27" x14ac:dyDescent="0.75">
      <c r="A63">
        <v>489.89</v>
      </c>
      <c r="B63" s="25">
        <v>1</v>
      </c>
      <c r="C63">
        <v>308048.30701076001</v>
      </c>
      <c r="D63">
        <v>1731977.2619970001</v>
      </c>
    </row>
    <row r="64" spans="1:4" ht="27" x14ac:dyDescent="0.75">
      <c r="A64">
        <v>489.88</v>
      </c>
      <c r="B64" s="25">
        <v>1</v>
      </c>
      <c r="C64">
        <v>307884.01495713001</v>
      </c>
      <c r="D64">
        <v>1728897.6614808999</v>
      </c>
    </row>
    <row r="65" spans="1:4" ht="27" x14ac:dyDescent="0.75">
      <c r="A65">
        <v>489.87</v>
      </c>
      <c r="B65" s="25">
        <v>1</v>
      </c>
      <c r="C65">
        <v>307720.13189096999</v>
      </c>
      <c r="D65">
        <v>1725819.6938243001</v>
      </c>
    </row>
    <row r="66" spans="1:4" ht="27" x14ac:dyDescent="0.75">
      <c r="A66">
        <v>489.86</v>
      </c>
      <c r="B66" s="25">
        <v>1</v>
      </c>
      <c r="C66">
        <v>307556.42993468</v>
      </c>
      <c r="D66">
        <v>1722743.3880805001</v>
      </c>
    </row>
    <row r="67" spans="1:4" ht="27" x14ac:dyDescent="0.75">
      <c r="A67">
        <v>489.85</v>
      </c>
      <c r="B67" s="25">
        <v>1</v>
      </c>
      <c r="C67">
        <v>307392.93448219</v>
      </c>
      <c r="D67">
        <v>1719668.7023854</v>
      </c>
    </row>
    <row r="68" spans="1:4" ht="27" x14ac:dyDescent="0.75">
      <c r="A68">
        <v>489.84</v>
      </c>
      <c r="B68" s="25">
        <v>1</v>
      </c>
      <c r="C68">
        <v>307229.23397305002</v>
      </c>
      <c r="D68">
        <v>1716595.6600502001</v>
      </c>
    </row>
    <row r="69" spans="1:4" ht="27" x14ac:dyDescent="0.75">
      <c r="A69">
        <v>489.83</v>
      </c>
      <c r="B69" s="25">
        <v>1</v>
      </c>
      <c r="C69">
        <v>307064.80832526</v>
      </c>
      <c r="D69">
        <v>1713524.2337388999</v>
      </c>
    </row>
    <row r="70" spans="1:4" ht="27" x14ac:dyDescent="0.75">
      <c r="A70">
        <v>489.82</v>
      </c>
      <c r="B70" s="25">
        <v>1</v>
      </c>
      <c r="C70">
        <v>306897.98371016001</v>
      </c>
      <c r="D70">
        <v>1710454.4363392999</v>
      </c>
    </row>
    <row r="71" spans="1:4" ht="27" x14ac:dyDescent="0.75">
      <c r="A71">
        <v>489.81</v>
      </c>
      <c r="B71" s="25">
        <v>1</v>
      </c>
      <c r="C71">
        <v>306724.20454712998</v>
      </c>
      <c r="D71">
        <v>1707386.3914463001</v>
      </c>
    </row>
    <row r="72" spans="1:4" ht="27" x14ac:dyDescent="0.75">
      <c r="A72">
        <v>489.8</v>
      </c>
      <c r="B72" s="25">
        <v>1</v>
      </c>
      <c r="C72">
        <v>306471.52273581002</v>
      </c>
      <c r="D72">
        <v>1704320.2680112</v>
      </c>
    </row>
    <row r="73" spans="1:4" ht="27" x14ac:dyDescent="0.75">
      <c r="A73">
        <v>489.79</v>
      </c>
      <c r="B73" s="25">
        <v>1</v>
      </c>
      <c r="C73">
        <v>305320.35851221997</v>
      </c>
      <c r="D73">
        <v>1701265.9872818999</v>
      </c>
    </row>
    <row r="74" spans="1:4" ht="27" x14ac:dyDescent="0.75">
      <c r="A74">
        <v>489.78</v>
      </c>
      <c r="B74" s="25">
        <v>1</v>
      </c>
      <c r="C74">
        <v>305156.85341689002</v>
      </c>
      <c r="D74">
        <v>1698213.6426939999</v>
      </c>
    </row>
    <row r="75" spans="1:4" ht="27" x14ac:dyDescent="0.75">
      <c r="A75">
        <v>489.77</v>
      </c>
      <c r="B75" s="25">
        <v>1</v>
      </c>
      <c r="C75">
        <v>304996.58932228002</v>
      </c>
      <c r="D75">
        <v>1695162.8519716</v>
      </c>
    </row>
    <row r="76" spans="1:4" ht="27" x14ac:dyDescent="0.75">
      <c r="A76">
        <v>489.76</v>
      </c>
      <c r="B76" s="25">
        <v>1</v>
      </c>
      <c r="C76">
        <v>304837.65297777997</v>
      </c>
      <c r="D76">
        <v>1692113.6615758</v>
      </c>
    </row>
    <row r="77" spans="1:4" ht="27" x14ac:dyDescent="0.75">
      <c r="A77">
        <v>489.75</v>
      </c>
      <c r="B77" s="25">
        <v>1</v>
      </c>
      <c r="C77">
        <v>304679.54193437001</v>
      </c>
      <c r="D77">
        <v>1689066.0691295001</v>
      </c>
    </row>
    <row r="78" spans="1:4" ht="27" x14ac:dyDescent="0.75">
      <c r="A78">
        <v>489.74</v>
      </c>
      <c r="B78" s="25">
        <v>1</v>
      </c>
      <c r="C78">
        <v>304522.16932415002</v>
      </c>
      <c r="D78">
        <v>1686020.0677445</v>
      </c>
    </row>
    <row r="79" spans="1:4" ht="27" x14ac:dyDescent="0.75">
      <c r="A79">
        <v>489.73</v>
      </c>
      <c r="B79" s="25">
        <v>1</v>
      </c>
      <c r="C79">
        <v>304365.68827534001</v>
      </c>
      <c r="D79">
        <v>1682975.6527668999</v>
      </c>
    </row>
    <row r="80" spans="1:4" ht="27" x14ac:dyDescent="0.75">
      <c r="A80">
        <v>489.72</v>
      </c>
      <c r="B80" s="25">
        <v>1</v>
      </c>
      <c r="C80">
        <v>304209.99183711997</v>
      </c>
      <c r="D80">
        <v>1679932.8392697</v>
      </c>
    </row>
    <row r="81" spans="1:5" ht="27" x14ac:dyDescent="0.75">
      <c r="A81">
        <v>489.71</v>
      </c>
      <c r="B81" s="26">
        <v>1</v>
      </c>
      <c r="C81">
        <v>304055.10530309001</v>
      </c>
      <c r="D81">
        <v>1676891.4600323001</v>
      </c>
      <c r="E81" s="23"/>
    </row>
    <row r="82" spans="1:5" ht="27" x14ac:dyDescent="0.75">
      <c r="A82">
        <v>489.7</v>
      </c>
      <c r="B82" s="26">
        <v>1</v>
      </c>
      <c r="C82">
        <v>303901.08838572999</v>
      </c>
      <c r="D82">
        <v>1673851.7406957999</v>
      </c>
    </row>
    <row r="83" spans="1:5" ht="27" x14ac:dyDescent="0.75">
      <c r="A83">
        <v>489.69</v>
      </c>
      <c r="B83" s="26">
        <v>1</v>
      </c>
      <c r="C83">
        <v>303747.80780519999</v>
      </c>
      <c r="D83">
        <v>1670813.4823932</v>
      </c>
    </row>
    <row r="84" spans="1:5" ht="27" x14ac:dyDescent="0.75">
      <c r="A84">
        <v>489.68</v>
      </c>
      <c r="B84" s="26">
        <v>1</v>
      </c>
      <c r="C84">
        <v>303595.38937186002</v>
      </c>
      <c r="D84">
        <v>1667776.8298903999</v>
      </c>
    </row>
    <row r="85" spans="1:5" ht="27" x14ac:dyDescent="0.75">
      <c r="A85">
        <v>489.67</v>
      </c>
      <c r="B85" s="26">
        <v>1</v>
      </c>
      <c r="C85">
        <v>303443.85399182001</v>
      </c>
      <c r="D85">
        <v>1664741.6725647999</v>
      </c>
    </row>
    <row r="86" spans="1:5" ht="27" x14ac:dyDescent="0.75">
      <c r="A86">
        <v>489.66</v>
      </c>
      <c r="B86" s="26">
        <v>1</v>
      </c>
      <c r="C86">
        <v>303293.11472786998</v>
      </c>
      <c r="D86">
        <v>1661708.0167959</v>
      </c>
    </row>
    <row r="87" spans="1:5" ht="27" x14ac:dyDescent="0.75">
      <c r="A87">
        <v>489.65</v>
      </c>
      <c r="B87" s="26">
        <v>1</v>
      </c>
      <c r="C87">
        <v>303142.78687538003</v>
      </c>
      <c r="D87">
        <v>1658675.7961466999</v>
      </c>
    </row>
    <row r="88" spans="1:5" ht="27" x14ac:dyDescent="0.75">
      <c r="A88">
        <v>489.64</v>
      </c>
      <c r="B88" s="26">
        <v>1</v>
      </c>
      <c r="C88">
        <v>302992.54288939998</v>
      </c>
      <c r="D88">
        <v>1655645.1614623</v>
      </c>
    </row>
    <row r="89" spans="1:5" ht="27" x14ac:dyDescent="0.75">
      <c r="A89">
        <v>489.63</v>
      </c>
      <c r="B89" s="26">
        <v>1</v>
      </c>
      <c r="C89">
        <v>302841.51787645998</v>
      </c>
      <c r="D89">
        <v>1652616.0060848999</v>
      </c>
    </row>
    <row r="90" spans="1:5" ht="27" x14ac:dyDescent="0.75">
      <c r="A90">
        <v>489.62</v>
      </c>
      <c r="B90" s="25">
        <v>1</v>
      </c>
      <c r="C90">
        <v>302687.78228300001</v>
      </c>
      <c r="D90">
        <v>1649588.4715396999</v>
      </c>
    </row>
    <row r="91" spans="1:5" ht="27" x14ac:dyDescent="0.75">
      <c r="A91">
        <v>489.61</v>
      </c>
      <c r="B91" s="25">
        <v>1</v>
      </c>
      <c r="C91">
        <v>302526.71820379002</v>
      </c>
      <c r="D91">
        <v>1646562.4785364</v>
      </c>
    </row>
    <row r="92" spans="1:5" ht="27" x14ac:dyDescent="0.75">
      <c r="A92">
        <v>489.6</v>
      </c>
      <c r="B92" s="25">
        <v>1</v>
      </c>
      <c r="C92">
        <v>301739.89109271998</v>
      </c>
      <c r="D92">
        <v>1643538.2164867001</v>
      </c>
    </row>
    <row r="93" spans="1:5" ht="27" x14ac:dyDescent="0.75">
      <c r="A93">
        <v>489.59</v>
      </c>
      <c r="B93" s="25">
        <v>1</v>
      </c>
      <c r="C93">
        <v>301550.28196717001</v>
      </c>
      <c r="D93">
        <v>1640521.8742390999</v>
      </c>
    </row>
    <row r="94" spans="1:5" ht="27" x14ac:dyDescent="0.75">
      <c r="A94">
        <v>489.58</v>
      </c>
      <c r="B94" s="25">
        <v>1</v>
      </c>
      <c r="C94">
        <v>301394.81108970998</v>
      </c>
      <c r="D94">
        <v>1637507.2197397</v>
      </c>
    </row>
    <row r="95" spans="1:5" ht="27" x14ac:dyDescent="0.75">
      <c r="A95">
        <v>489.57</v>
      </c>
      <c r="B95" s="25">
        <v>1</v>
      </c>
      <c r="C95">
        <v>301239.44832112</v>
      </c>
      <c r="D95">
        <v>1634494.0165122999</v>
      </c>
    </row>
    <row r="96" spans="1:5" ht="27" x14ac:dyDescent="0.75">
      <c r="A96">
        <v>489.56</v>
      </c>
      <c r="B96" s="25">
        <v>1</v>
      </c>
      <c r="C96">
        <v>301084.16214666999</v>
      </c>
      <c r="D96">
        <v>1631482.3951735001</v>
      </c>
    </row>
    <row r="97" spans="1:5" ht="27" x14ac:dyDescent="0.75">
      <c r="A97">
        <v>489.55</v>
      </c>
      <c r="B97" s="25">
        <v>1</v>
      </c>
      <c r="C97">
        <v>300929.40521413001</v>
      </c>
      <c r="D97">
        <v>1628472.3057532001</v>
      </c>
    </row>
    <row r="98" spans="1:5" ht="27" x14ac:dyDescent="0.75">
      <c r="A98" s="31">
        <v>489.54</v>
      </c>
      <c r="B98" s="32">
        <v>1</v>
      </c>
      <c r="C98" s="31">
        <v>300775.25974925002</v>
      </c>
      <c r="D98" s="31">
        <v>1625463.7590197001</v>
      </c>
      <c r="E98" s="33" t="s">
        <v>4</v>
      </c>
    </row>
    <row r="99" spans="1:5" ht="27" x14ac:dyDescent="0.75">
      <c r="A99">
        <v>489.53</v>
      </c>
      <c r="B99" s="25">
        <v>1</v>
      </c>
      <c r="C99">
        <v>300621.71354971</v>
      </c>
      <c r="D99">
        <v>1622456.7729032</v>
      </c>
    </row>
    <row r="100" spans="1:5" ht="27" x14ac:dyDescent="0.75">
      <c r="A100">
        <v>489.52</v>
      </c>
      <c r="B100" s="25">
        <v>1</v>
      </c>
      <c r="C100">
        <v>300468.72284037003</v>
      </c>
      <c r="D100">
        <v>1619451.3170382001</v>
      </c>
    </row>
    <row r="101" spans="1:5" ht="27" x14ac:dyDescent="0.75">
      <c r="A101">
        <v>489.51</v>
      </c>
      <c r="B101" s="25">
        <v>1</v>
      </c>
      <c r="C101">
        <v>300316.29618762003</v>
      </c>
      <c r="D101">
        <v>1616447.3000027</v>
      </c>
    </row>
    <row r="102" spans="1:5" ht="27" x14ac:dyDescent="0.75">
      <c r="A102">
        <v>489.5</v>
      </c>
      <c r="B102" s="25">
        <v>1</v>
      </c>
      <c r="C102">
        <v>300164.52862608002</v>
      </c>
      <c r="D102">
        <v>1613444.9319478001</v>
      </c>
    </row>
    <row r="103" spans="1:5" ht="27" x14ac:dyDescent="0.75">
      <c r="A103">
        <v>489.49</v>
      </c>
      <c r="B103" s="25">
        <v>1</v>
      </c>
      <c r="C103">
        <v>300013.27591263998</v>
      </c>
      <c r="D103">
        <v>1610444.0173448001</v>
      </c>
    </row>
    <row r="104" spans="1:5" ht="27" x14ac:dyDescent="0.75">
      <c r="A104">
        <v>489.48</v>
      </c>
      <c r="B104" s="25">
        <v>1</v>
      </c>
      <c r="C104">
        <v>299862.58622433001</v>
      </c>
      <c r="D104">
        <v>1607444.5930314001</v>
      </c>
    </row>
    <row r="105" spans="1:5" ht="27" x14ac:dyDescent="0.75">
      <c r="A105">
        <v>489.47</v>
      </c>
      <c r="B105" s="25">
        <v>1</v>
      </c>
      <c r="C105">
        <v>299712.50264576997</v>
      </c>
      <c r="D105">
        <v>1604446.7185589999</v>
      </c>
    </row>
    <row r="106" spans="1:5" ht="27" x14ac:dyDescent="0.75">
      <c r="A106">
        <v>489.46</v>
      </c>
      <c r="B106" s="25">
        <v>1</v>
      </c>
      <c r="C106">
        <v>299562.93609426997</v>
      </c>
      <c r="D106">
        <v>1601450.3446648</v>
      </c>
    </row>
    <row r="107" spans="1:5" ht="27" x14ac:dyDescent="0.75">
      <c r="A107">
        <v>489.45</v>
      </c>
      <c r="B107" s="25">
        <v>1</v>
      </c>
      <c r="C107">
        <v>299413.77408837999</v>
      </c>
      <c r="D107">
        <v>1598455.4724355999</v>
      </c>
      <c r="E107" s="34"/>
    </row>
    <row r="108" spans="1:5" ht="27" x14ac:dyDescent="0.75">
      <c r="A108">
        <v>489.44</v>
      </c>
      <c r="B108" s="25">
        <v>1</v>
      </c>
      <c r="C108">
        <v>299264.86806598998</v>
      </c>
      <c r="D108">
        <v>1595462.0162961001</v>
      </c>
    </row>
    <row r="109" spans="1:5" ht="27" x14ac:dyDescent="0.75">
      <c r="A109">
        <v>489.43</v>
      </c>
      <c r="B109" s="25">
        <v>1</v>
      </c>
      <c r="C109">
        <v>299115.74350962002</v>
      </c>
      <c r="D109">
        <v>1592470.1267521</v>
      </c>
    </row>
    <row r="110" spans="1:5" ht="27" x14ac:dyDescent="0.75">
      <c r="A110">
        <v>489.42</v>
      </c>
      <c r="B110" s="25">
        <v>1</v>
      </c>
      <c r="C110">
        <v>298964.85865004</v>
      </c>
      <c r="D110">
        <v>1589479.7778056001</v>
      </c>
    </row>
    <row r="111" spans="1:5" ht="27" x14ac:dyDescent="0.75">
      <c r="A111">
        <v>489.41</v>
      </c>
      <c r="B111" s="25">
        <v>1</v>
      </c>
      <c r="C111">
        <v>298806.56880160997</v>
      </c>
      <c r="D111">
        <v>1586490.9615755</v>
      </c>
    </row>
    <row r="112" spans="1:5" ht="27" x14ac:dyDescent="0.75">
      <c r="A112">
        <v>489.4</v>
      </c>
      <c r="B112" s="25">
        <v>1</v>
      </c>
      <c r="C112">
        <v>298551.84888221999</v>
      </c>
      <c r="D112">
        <v>1583503.9153768001</v>
      </c>
    </row>
    <row r="113" spans="1:4" ht="27" x14ac:dyDescent="0.75">
      <c r="A113">
        <v>489.39</v>
      </c>
      <c r="B113" s="25">
        <v>1</v>
      </c>
      <c r="C113">
        <v>296838.12705051003</v>
      </c>
      <c r="D113">
        <v>1580534.3602253001</v>
      </c>
    </row>
    <row r="114" spans="1:4" ht="27" x14ac:dyDescent="0.75">
      <c r="A114">
        <v>489.38</v>
      </c>
      <c r="B114" s="25">
        <v>1</v>
      </c>
      <c r="C114">
        <v>296660.45488626999</v>
      </c>
      <c r="D114">
        <v>1577566.834908</v>
      </c>
    </row>
    <row r="115" spans="1:4" ht="27" x14ac:dyDescent="0.75">
      <c r="A115">
        <v>489.37</v>
      </c>
      <c r="B115" s="25">
        <v>1</v>
      </c>
      <c r="C115">
        <v>296487.22539002</v>
      </c>
      <c r="D115">
        <v>1574601.0268989</v>
      </c>
    </row>
    <row r="116" spans="1:4" ht="27" x14ac:dyDescent="0.75">
      <c r="A116">
        <v>489.36</v>
      </c>
      <c r="B116" s="25">
        <v>1</v>
      </c>
      <c r="C116">
        <v>296316.63673655997</v>
      </c>
      <c r="D116">
        <v>1571636.9871561001</v>
      </c>
    </row>
    <row r="117" spans="1:4" ht="27" x14ac:dyDescent="0.75">
      <c r="A117">
        <v>489.35</v>
      </c>
      <c r="B117" s="26">
        <v>1</v>
      </c>
      <c r="C117">
        <v>296148.24972432002</v>
      </c>
      <c r="D117">
        <v>1568674.6777429001</v>
      </c>
    </row>
    <row r="118" spans="1:4" ht="27" x14ac:dyDescent="0.75">
      <c r="A118">
        <v>489.34</v>
      </c>
      <c r="B118" s="26">
        <v>1</v>
      </c>
      <c r="C118">
        <v>295981.95013476</v>
      </c>
      <c r="D118">
        <v>1565714.0163252</v>
      </c>
    </row>
    <row r="119" spans="1:4" ht="27" x14ac:dyDescent="0.75">
      <c r="A119">
        <v>489.33</v>
      </c>
      <c r="B119" s="26">
        <v>1</v>
      </c>
      <c r="C119">
        <v>295817.76531034999</v>
      </c>
      <c r="D119">
        <v>1562754.9976601</v>
      </c>
    </row>
    <row r="120" spans="1:4" ht="27" x14ac:dyDescent="0.75">
      <c r="A120">
        <v>489.32</v>
      </c>
      <c r="B120" s="26">
        <v>1</v>
      </c>
      <c r="C120">
        <v>295655.50279618002</v>
      </c>
      <c r="D120">
        <v>1559797.5867665999</v>
      </c>
    </row>
    <row r="121" spans="1:4" ht="27" x14ac:dyDescent="0.75">
      <c r="A121">
        <v>489.31</v>
      </c>
      <c r="B121" s="26">
        <v>1</v>
      </c>
      <c r="C121">
        <v>295495.20580661</v>
      </c>
      <c r="D121">
        <v>1556841.7987319999</v>
      </c>
    </row>
    <row r="122" spans="1:4" ht="27" x14ac:dyDescent="0.75">
      <c r="A122">
        <v>489.3</v>
      </c>
      <c r="B122" s="26">
        <v>1</v>
      </c>
      <c r="C122">
        <v>295336.95740979997</v>
      </c>
      <c r="D122">
        <v>1553887.6114457999</v>
      </c>
    </row>
    <row r="123" spans="1:4" ht="27" x14ac:dyDescent="0.75">
      <c r="A123">
        <v>489.29</v>
      </c>
      <c r="B123" s="26">
        <v>1</v>
      </c>
      <c r="C123">
        <v>295180.7245822</v>
      </c>
      <c r="D123">
        <v>1550934.9520858</v>
      </c>
    </row>
    <row r="124" spans="1:4" ht="27" x14ac:dyDescent="0.75">
      <c r="A124">
        <v>489.28</v>
      </c>
      <c r="B124" s="26">
        <v>1</v>
      </c>
      <c r="C124">
        <v>295026.38830911001</v>
      </c>
      <c r="D124">
        <v>1547983.8767252001</v>
      </c>
    </row>
    <row r="125" spans="1:4" ht="27" x14ac:dyDescent="0.75">
      <c r="A125">
        <v>489.27</v>
      </c>
      <c r="B125" s="26">
        <v>1</v>
      </c>
      <c r="C125">
        <v>294874.00895345001</v>
      </c>
      <c r="D125">
        <v>1545034.3582923999</v>
      </c>
    </row>
    <row r="126" spans="1:4" ht="27" x14ac:dyDescent="0.75">
      <c r="A126">
        <v>489.26</v>
      </c>
      <c r="B126" s="25">
        <v>1</v>
      </c>
      <c r="C126">
        <v>294723.85654548003</v>
      </c>
      <c r="D126">
        <v>1542086.3609643001</v>
      </c>
    </row>
    <row r="127" spans="1:4" ht="27" x14ac:dyDescent="0.75">
      <c r="A127">
        <v>489.25</v>
      </c>
      <c r="B127" s="25">
        <v>1</v>
      </c>
      <c r="C127">
        <v>294575.62108547002</v>
      </c>
      <c r="D127">
        <v>1539139.8888638001</v>
      </c>
    </row>
    <row r="128" spans="1:4" ht="27" x14ac:dyDescent="0.75">
      <c r="A128">
        <v>489.24</v>
      </c>
      <c r="B128" s="25">
        <v>1</v>
      </c>
      <c r="C128">
        <v>294429.47474265</v>
      </c>
      <c r="D128">
        <v>1536194.8351113</v>
      </c>
    </row>
    <row r="129" spans="1:4" ht="27" x14ac:dyDescent="0.75">
      <c r="A129">
        <v>489.23</v>
      </c>
      <c r="B129" s="25">
        <v>1</v>
      </c>
      <c r="C129">
        <v>294285.58589724998</v>
      </c>
      <c r="D129">
        <v>1533251.225472</v>
      </c>
    </row>
    <row r="130" spans="1:4" ht="27" x14ac:dyDescent="0.75">
      <c r="A130">
        <v>489.22</v>
      </c>
      <c r="B130" s="25">
        <v>1</v>
      </c>
      <c r="C130">
        <v>294144.15364711999</v>
      </c>
      <c r="D130">
        <v>1530308.9801397</v>
      </c>
    </row>
    <row r="131" spans="1:4" ht="27" x14ac:dyDescent="0.75">
      <c r="A131">
        <v>489.21</v>
      </c>
      <c r="B131" s="25">
        <v>1</v>
      </c>
      <c r="C131">
        <v>294005.70773940999</v>
      </c>
      <c r="D131">
        <v>1527368.2205111999</v>
      </c>
    </row>
    <row r="132" spans="1:4" ht="27" x14ac:dyDescent="0.75">
      <c r="A132">
        <v>489.2</v>
      </c>
      <c r="B132" s="25">
        <v>1</v>
      </c>
      <c r="C132">
        <v>293447.44491383998</v>
      </c>
      <c r="D132">
        <v>1524428.7714924</v>
      </c>
    </row>
    <row r="133" spans="1:4" ht="27" x14ac:dyDescent="0.75">
      <c r="A133">
        <v>489.19</v>
      </c>
      <c r="B133" s="25">
        <v>1</v>
      </c>
      <c r="C133">
        <v>293343.90033393999</v>
      </c>
      <c r="D133">
        <v>1521494.7669134</v>
      </c>
    </row>
    <row r="134" spans="1:4" ht="27" x14ac:dyDescent="0.75">
      <c r="A134">
        <v>489.18</v>
      </c>
      <c r="B134" s="25">
        <v>1</v>
      </c>
      <c r="C134">
        <v>293251.32336933003</v>
      </c>
      <c r="D134">
        <v>1518561.7284057001</v>
      </c>
    </row>
    <row r="135" spans="1:4" ht="27" x14ac:dyDescent="0.75">
      <c r="A135">
        <v>489.17</v>
      </c>
      <c r="B135" s="25">
        <v>1</v>
      </c>
      <c r="C135">
        <v>293160.71954250999</v>
      </c>
      <c r="D135">
        <v>1515629.6565953</v>
      </c>
    </row>
    <row r="136" spans="1:4" ht="27" x14ac:dyDescent="0.75">
      <c r="A136">
        <v>489.16</v>
      </c>
      <c r="B136" s="25">
        <v>1</v>
      </c>
      <c r="C136">
        <v>293071.14192561997</v>
      </c>
      <c r="D136">
        <v>1512698.4514311999</v>
      </c>
    </row>
    <row r="137" spans="1:4" ht="27" x14ac:dyDescent="0.75">
      <c r="A137">
        <v>489.15</v>
      </c>
      <c r="B137" s="25">
        <v>1</v>
      </c>
      <c r="C137">
        <v>292982.29930869001</v>
      </c>
      <c r="D137">
        <v>1509768.1303155001</v>
      </c>
    </row>
    <row r="138" spans="1:4" ht="27" x14ac:dyDescent="0.75">
      <c r="A138">
        <v>489.14</v>
      </c>
      <c r="B138" s="25">
        <v>1</v>
      </c>
      <c r="C138">
        <v>292894.00726848998</v>
      </c>
      <c r="D138">
        <v>1506838.6950445999</v>
      </c>
    </row>
    <row r="139" spans="1:4" ht="27" x14ac:dyDescent="0.75">
      <c r="A139">
        <v>489.13</v>
      </c>
      <c r="B139" s="25">
        <v>1</v>
      </c>
      <c r="C139">
        <v>292806.26614795998</v>
      </c>
      <c r="D139">
        <v>1503910.109441</v>
      </c>
    </row>
    <row r="140" spans="1:4" ht="27" x14ac:dyDescent="0.75">
      <c r="A140">
        <v>489.12</v>
      </c>
      <c r="B140" s="25">
        <v>1</v>
      </c>
      <c r="C140">
        <v>292719.10653711</v>
      </c>
      <c r="D140">
        <v>1500982.4454629</v>
      </c>
    </row>
    <row r="141" spans="1:4" ht="27" x14ac:dyDescent="0.75">
      <c r="A141">
        <v>489.11</v>
      </c>
      <c r="B141" s="25">
        <v>1</v>
      </c>
      <c r="C141">
        <v>292632.50123871001</v>
      </c>
      <c r="D141">
        <v>1498055.6269737</v>
      </c>
    </row>
    <row r="142" spans="1:4" ht="27" x14ac:dyDescent="0.75">
      <c r="A142">
        <v>489.1</v>
      </c>
      <c r="B142" s="25">
        <v>1</v>
      </c>
      <c r="C142">
        <v>292546.43048819999</v>
      </c>
      <c r="D142">
        <v>1495129.7332866001</v>
      </c>
    </row>
    <row r="143" spans="1:4" ht="27" x14ac:dyDescent="0.75">
      <c r="A143">
        <v>489.09</v>
      </c>
      <c r="B143" s="25">
        <v>1</v>
      </c>
      <c r="C143">
        <v>292460.80522782</v>
      </c>
      <c r="D143">
        <v>1492204.6968380001</v>
      </c>
    </row>
    <row r="144" spans="1:4" ht="27" x14ac:dyDescent="0.75">
      <c r="A144">
        <v>489.08</v>
      </c>
      <c r="B144" s="25">
        <v>1</v>
      </c>
      <c r="C144">
        <v>292375.64253936999</v>
      </c>
      <c r="D144">
        <v>1489280.5058130999</v>
      </c>
    </row>
    <row r="145" spans="1:4" ht="27" x14ac:dyDescent="0.75">
      <c r="A145">
        <v>489.07</v>
      </c>
      <c r="B145" s="25">
        <v>1</v>
      </c>
      <c r="C145">
        <v>292291.02279983001</v>
      </c>
      <c r="D145">
        <v>1486357.15604</v>
      </c>
    </row>
    <row r="146" spans="1:4" ht="27" x14ac:dyDescent="0.75">
      <c r="A146">
        <v>489.06</v>
      </c>
      <c r="B146" s="25">
        <v>1</v>
      </c>
      <c r="C146">
        <v>292206.87485341</v>
      </c>
      <c r="D146">
        <v>1483434.6079881</v>
      </c>
    </row>
    <row r="147" spans="1:4" ht="27" x14ac:dyDescent="0.75">
      <c r="A147">
        <v>489.05</v>
      </c>
      <c r="B147" s="25">
        <v>1</v>
      </c>
      <c r="C147">
        <v>292123.19478133001</v>
      </c>
      <c r="D147">
        <v>1480512.9900535999</v>
      </c>
    </row>
    <row r="148" spans="1:4" ht="27" x14ac:dyDescent="0.75">
      <c r="A148">
        <v>489.04</v>
      </c>
      <c r="B148" s="25">
        <v>1</v>
      </c>
      <c r="C148">
        <v>292039.94859637</v>
      </c>
      <c r="D148">
        <v>1477592.1420386999</v>
      </c>
    </row>
    <row r="149" spans="1:4" ht="27" x14ac:dyDescent="0.75">
      <c r="A149">
        <v>489.03</v>
      </c>
      <c r="B149" s="25">
        <v>1</v>
      </c>
      <c r="C149">
        <v>291957.11114445998</v>
      </c>
      <c r="D149">
        <v>1474672.1813453001</v>
      </c>
    </row>
    <row r="150" spans="1:4" ht="27" x14ac:dyDescent="0.75">
      <c r="A150">
        <v>489.02</v>
      </c>
      <c r="B150" s="25">
        <v>1</v>
      </c>
      <c r="C150">
        <v>291874.74683421</v>
      </c>
      <c r="D150">
        <v>1471753.0165593999</v>
      </c>
    </row>
    <row r="151" spans="1:4" ht="27" x14ac:dyDescent="0.75">
      <c r="A151">
        <v>489.01</v>
      </c>
      <c r="B151" s="25">
        <v>1</v>
      </c>
      <c r="C151">
        <v>291792.88645024999</v>
      </c>
      <c r="D151">
        <v>1468834.6627917001</v>
      </c>
    </row>
    <row r="152" spans="1:4" ht="27" x14ac:dyDescent="0.75">
      <c r="A152">
        <v>489</v>
      </c>
      <c r="B152" s="25">
        <v>1</v>
      </c>
      <c r="C152">
        <v>291711.39380187</v>
      </c>
      <c r="D152">
        <v>1465917.1830559999</v>
      </c>
    </row>
    <row r="153" spans="1:4" ht="27" x14ac:dyDescent="0.75">
      <c r="A153">
        <v>488.99</v>
      </c>
      <c r="B153" s="26">
        <v>1</v>
      </c>
      <c r="C153">
        <v>291629.97569634998</v>
      </c>
      <c r="D153">
        <v>1463000.4388212</v>
      </c>
    </row>
    <row r="154" spans="1:4" ht="27" x14ac:dyDescent="0.75">
      <c r="A154">
        <v>488.98</v>
      </c>
      <c r="B154" s="26">
        <v>1</v>
      </c>
      <c r="C154">
        <v>291549.89354212</v>
      </c>
      <c r="D154">
        <v>1460084.4867827999</v>
      </c>
    </row>
    <row r="155" spans="1:4" ht="27" x14ac:dyDescent="0.75">
      <c r="A155">
        <v>488.97</v>
      </c>
      <c r="B155" s="26">
        <v>1</v>
      </c>
      <c r="C155">
        <v>291470.25554320001</v>
      </c>
      <c r="D155">
        <v>1457169.3844267</v>
      </c>
    </row>
    <row r="156" spans="1:4" ht="27" x14ac:dyDescent="0.75">
      <c r="A156">
        <v>488.96</v>
      </c>
      <c r="B156" s="26">
        <v>1</v>
      </c>
      <c r="C156">
        <v>291390.88598791999</v>
      </c>
      <c r="D156">
        <v>1454255.0691730001</v>
      </c>
    </row>
    <row r="157" spans="1:4" ht="27" x14ac:dyDescent="0.75">
      <c r="A157">
        <v>488.95</v>
      </c>
      <c r="B157" s="26">
        <v>1</v>
      </c>
      <c r="C157">
        <v>291311.68709929998</v>
      </c>
      <c r="D157">
        <v>1451341.5620411001</v>
      </c>
    </row>
    <row r="158" spans="1:4" ht="27" x14ac:dyDescent="0.75">
      <c r="A158">
        <v>488.94</v>
      </c>
      <c r="B158" s="26">
        <v>1</v>
      </c>
      <c r="C158">
        <v>291232.68019669002</v>
      </c>
      <c r="D158">
        <v>1448428.8738585</v>
      </c>
    </row>
    <row r="159" spans="1:4" ht="27" x14ac:dyDescent="0.75">
      <c r="A159">
        <v>488.93</v>
      </c>
      <c r="B159" s="26">
        <v>1</v>
      </c>
      <c r="C159">
        <v>291153.86466753</v>
      </c>
      <c r="D159">
        <v>1445516.8740723</v>
      </c>
    </row>
    <row r="160" spans="1:4" ht="27" x14ac:dyDescent="0.75">
      <c r="A160">
        <v>488.92</v>
      </c>
      <c r="B160" s="26">
        <v>1</v>
      </c>
      <c r="C160">
        <v>291075.24987627001</v>
      </c>
      <c r="D160">
        <v>1442605.7158011999</v>
      </c>
    </row>
    <row r="161" spans="1:4" ht="27" x14ac:dyDescent="0.75">
      <c r="A161">
        <v>488.91</v>
      </c>
      <c r="B161" s="26">
        <v>1</v>
      </c>
      <c r="C161">
        <v>290996.79863943998</v>
      </c>
      <c r="D161">
        <v>1439695.2819463999</v>
      </c>
    </row>
    <row r="162" spans="1:4" ht="27" x14ac:dyDescent="0.75">
      <c r="A162">
        <v>488.9</v>
      </c>
      <c r="B162" s="25">
        <v>1</v>
      </c>
      <c r="C162">
        <v>290918.55314855999</v>
      </c>
      <c r="D162">
        <v>1436785.6733039999</v>
      </c>
    </row>
    <row r="163" spans="1:4" ht="27" x14ac:dyDescent="0.75">
      <c r="A163">
        <v>488.89</v>
      </c>
      <c r="B163" s="25">
        <v>1</v>
      </c>
      <c r="C163">
        <v>290840.48570155998</v>
      </c>
      <c r="D163">
        <v>1433876.8830075001</v>
      </c>
    </row>
    <row r="164" spans="1:4" ht="27" x14ac:dyDescent="0.75">
      <c r="A164">
        <v>488.88</v>
      </c>
      <c r="B164" s="25">
        <v>1</v>
      </c>
      <c r="C164">
        <v>290762.57673596003</v>
      </c>
      <c r="D164">
        <v>1430968.8174983</v>
      </c>
    </row>
    <row r="165" spans="1:4" ht="27" x14ac:dyDescent="0.75">
      <c r="A165">
        <v>488.87</v>
      </c>
      <c r="B165" s="25">
        <v>1</v>
      </c>
      <c r="C165">
        <v>290684.87634716003</v>
      </c>
      <c r="D165">
        <v>1428061.5598544001</v>
      </c>
    </row>
    <row r="166" spans="1:4" ht="27" x14ac:dyDescent="0.75">
      <c r="A166">
        <v>488.86</v>
      </c>
      <c r="B166" s="25">
        <v>1</v>
      </c>
      <c r="C166">
        <v>290607.31933999999</v>
      </c>
      <c r="D166">
        <v>1425155.0669104999</v>
      </c>
    </row>
    <row r="167" spans="1:4" ht="27" x14ac:dyDescent="0.75">
      <c r="A167">
        <v>488.85</v>
      </c>
      <c r="B167" s="25">
        <v>1</v>
      </c>
      <c r="C167">
        <v>290529.93706361001</v>
      </c>
      <c r="D167">
        <v>1422249.3957137</v>
      </c>
    </row>
    <row r="168" spans="1:4" ht="27" x14ac:dyDescent="0.75">
      <c r="A168">
        <v>488.84</v>
      </c>
      <c r="B168" s="25">
        <v>1</v>
      </c>
      <c r="C168">
        <v>290452.73885620001</v>
      </c>
      <c r="D168">
        <v>1419344.4679610999</v>
      </c>
    </row>
    <row r="169" spans="1:4" ht="27" x14ac:dyDescent="0.75">
      <c r="A169">
        <v>488.83</v>
      </c>
      <c r="B169" s="25">
        <v>1</v>
      </c>
      <c r="C169">
        <v>290375.70003921998</v>
      </c>
      <c r="D169">
        <v>1416440.2927267</v>
      </c>
    </row>
    <row r="170" spans="1:4" ht="27" x14ac:dyDescent="0.75">
      <c r="A170">
        <v>488.82</v>
      </c>
      <c r="B170" s="25">
        <v>1</v>
      </c>
      <c r="C170">
        <v>290298.82125684997</v>
      </c>
      <c r="D170">
        <v>1413536.9222839</v>
      </c>
    </row>
    <row r="171" spans="1:4" ht="27" x14ac:dyDescent="0.75">
      <c r="A171">
        <v>488.81</v>
      </c>
      <c r="B171" s="25">
        <v>1</v>
      </c>
      <c r="C171">
        <v>290222.06524005003</v>
      </c>
      <c r="D171">
        <v>1410634.2644525999</v>
      </c>
    </row>
    <row r="172" spans="1:4" ht="27" x14ac:dyDescent="0.75">
      <c r="A172">
        <v>488.8</v>
      </c>
      <c r="B172" s="25">
        <v>1</v>
      </c>
      <c r="C172">
        <v>290145.45393880998</v>
      </c>
      <c r="D172">
        <v>1407732.4119656</v>
      </c>
    </row>
    <row r="173" spans="1:4" ht="27" x14ac:dyDescent="0.75">
      <c r="A173">
        <v>488.79</v>
      </c>
      <c r="B173" s="25">
        <v>1</v>
      </c>
      <c r="C173">
        <v>290069.01590940001</v>
      </c>
      <c r="D173">
        <v>1404831.3032068999</v>
      </c>
    </row>
    <row r="174" spans="1:4" ht="27" x14ac:dyDescent="0.75">
      <c r="A174">
        <v>488.78</v>
      </c>
      <c r="B174" s="25">
        <v>1</v>
      </c>
      <c r="C174">
        <v>289992.86630174</v>
      </c>
      <c r="D174">
        <v>1401930.9575960001</v>
      </c>
    </row>
    <row r="175" spans="1:4" ht="27" x14ac:dyDescent="0.75">
      <c r="A175">
        <v>488.77</v>
      </c>
      <c r="B175" s="25">
        <v>1</v>
      </c>
      <c r="C175">
        <v>289916.86606615997</v>
      </c>
      <c r="D175">
        <v>1399031.4112871999</v>
      </c>
    </row>
    <row r="176" spans="1:4" ht="27" x14ac:dyDescent="0.75">
      <c r="A176">
        <v>488.76</v>
      </c>
      <c r="B176" s="25">
        <v>1</v>
      </c>
      <c r="C176">
        <v>289840.96597849001</v>
      </c>
      <c r="D176">
        <v>1396132.6544669</v>
      </c>
    </row>
    <row r="177" spans="1:4" ht="27" x14ac:dyDescent="0.75">
      <c r="A177">
        <v>488.75</v>
      </c>
      <c r="B177" s="25">
        <v>1</v>
      </c>
      <c r="C177">
        <v>289765.19390196999</v>
      </c>
      <c r="D177">
        <v>1393234.6316031001</v>
      </c>
    </row>
    <row r="178" spans="1:4" ht="27" x14ac:dyDescent="0.75">
      <c r="A178">
        <v>488.74</v>
      </c>
      <c r="B178" s="25">
        <v>1</v>
      </c>
      <c r="C178">
        <v>289689.54640971002</v>
      </c>
      <c r="D178">
        <v>1390337.3398593001</v>
      </c>
    </row>
    <row r="179" spans="1:4" ht="27" x14ac:dyDescent="0.75">
      <c r="A179">
        <v>488.73</v>
      </c>
      <c r="B179" s="25">
        <v>1</v>
      </c>
      <c r="C179">
        <v>289614.00595039001</v>
      </c>
      <c r="D179">
        <v>1387440.8647572</v>
      </c>
    </row>
    <row r="180" spans="1:4" ht="27" x14ac:dyDescent="0.75">
      <c r="A180">
        <v>488.72</v>
      </c>
      <c r="B180" s="25">
        <v>1</v>
      </c>
      <c r="C180">
        <v>289538.59275020001</v>
      </c>
      <c r="D180">
        <v>1384545.0927503</v>
      </c>
    </row>
    <row r="181" spans="1:4" ht="27" x14ac:dyDescent="0.75">
      <c r="A181">
        <v>488.71</v>
      </c>
      <c r="B181" s="25">
        <v>1</v>
      </c>
      <c r="C181">
        <v>289463.33263959998</v>
      </c>
      <c r="D181">
        <v>1381650.0718537001</v>
      </c>
    </row>
    <row r="182" spans="1:4" ht="27" x14ac:dyDescent="0.75">
      <c r="A182">
        <v>488.7</v>
      </c>
      <c r="B182" s="25">
        <v>1</v>
      </c>
      <c r="C182">
        <v>289388.16373181</v>
      </c>
      <c r="D182">
        <v>1378755.8348425</v>
      </c>
    </row>
    <row r="183" spans="1:4" ht="27" x14ac:dyDescent="0.75">
      <c r="A183">
        <v>488.69</v>
      </c>
      <c r="B183" s="25">
        <v>1</v>
      </c>
      <c r="C183">
        <v>289313.10567084001</v>
      </c>
      <c r="D183">
        <v>1375862.3110326999</v>
      </c>
    </row>
    <row r="184" spans="1:4" ht="27" x14ac:dyDescent="0.75">
      <c r="A184">
        <v>488.68</v>
      </c>
      <c r="B184" s="25">
        <v>1</v>
      </c>
      <c r="C184">
        <v>289238.15997565998</v>
      </c>
      <c r="D184">
        <v>1372969.6331738001</v>
      </c>
    </row>
    <row r="185" spans="1:4" ht="27" x14ac:dyDescent="0.75">
      <c r="A185">
        <v>488.67</v>
      </c>
      <c r="B185" s="25">
        <v>1</v>
      </c>
      <c r="C185">
        <v>289163.29959511</v>
      </c>
      <c r="D185">
        <v>1370077.6250882</v>
      </c>
    </row>
    <row r="186" spans="1:4" ht="27" x14ac:dyDescent="0.75">
      <c r="A186">
        <v>488.66</v>
      </c>
      <c r="B186" s="25">
        <v>1</v>
      </c>
      <c r="C186">
        <v>289088.54970740998</v>
      </c>
      <c r="D186">
        <v>1367186.3441057999</v>
      </c>
    </row>
    <row r="187" spans="1:4" ht="27" x14ac:dyDescent="0.75">
      <c r="A187">
        <v>488.65</v>
      </c>
      <c r="B187" s="25">
        <v>1</v>
      </c>
      <c r="C187">
        <v>289013.89596012997</v>
      </c>
      <c r="D187">
        <v>1364295.8432312999</v>
      </c>
    </row>
    <row r="188" spans="1:4" ht="27" x14ac:dyDescent="0.75">
      <c r="A188">
        <v>488.64</v>
      </c>
      <c r="B188" s="25">
        <v>1</v>
      </c>
      <c r="C188">
        <v>288939.37116718001</v>
      </c>
      <c r="D188">
        <v>1361406.0363445</v>
      </c>
    </row>
    <row r="189" spans="1:4" ht="27" x14ac:dyDescent="0.75">
      <c r="A189">
        <v>488.63</v>
      </c>
      <c r="B189" s="26">
        <v>1</v>
      </c>
      <c r="C189">
        <v>288864.96946686</v>
      </c>
      <c r="D189">
        <v>1358517.038647</v>
      </c>
    </row>
    <row r="190" spans="1:4" ht="27" x14ac:dyDescent="0.75">
      <c r="A190">
        <v>488.62</v>
      </c>
      <c r="B190" s="26">
        <v>1</v>
      </c>
      <c r="C190">
        <v>288790.65623378003</v>
      </c>
      <c r="D190">
        <v>1355628.7252791999</v>
      </c>
    </row>
    <row r="191" spans="1:4" ht="27" x14ac:dyDescent="0.75">
      <c r="A191">
        <v>488.61</v>
      </c>
      <c r="B191" s="26">
        <v>1</v>
      </c>
      <c r="C191">
        <v>288716.49204943998</v>
      </c>
      <c r="D191">
        <v>1352741.2664206999</v>
      </c>
    </row>
    <row r="192" spans="1:4" ht="27" x14ac:dyDescent="0.75">
      <c r="A192">
        <v>488.6</v>
      </c>
      <c r="B192" s="26">
        <v>1</v>
      </c>
      <c r="C192">
        <v>288642.42116949998</v>
      </c>
      <c r="D192">
        <v>1349854.4726447</v>
      </c>
    </row>
    <row r="193" spans="1:4" ht="27" x14ac:dyDescent="0.75">
      <c r="A193">
        <v>488.59</v>
      </c>
      <c r="B193" s="26">
        <v>1</v>
      </c>
      <c r="C193">
        <v>288568.41107267002</v>
      </c>
      <c r="D193">
        <v>1346968.4341843</v>
      </c>
    </row>
    <row r="194" spans="1:4" ht="27" x14ac:dyDescent="0.75">
      <c r="A194">
        <v>488.58</v>
      </c>
      <c r="B194" s="26">
        <v>1</v>
      </c>
      <c r="C194">
        <v>288494.53020499001</v>
      </c>
      <c r="D194">
        <v>1344083.1401392</v>
      </c>
    </row>
    <row r="195" spans="1:4" ht="27" x14ac:dyDescent="0.75">
      <c r="A195">
        <v>488.57</v>
      </c>
      <c r="B195" s="26">
        <v>1</v>
      </c>
      <c r="C195">
        <v>288420.71944384999</v>
      </c>
      <c r="D195">
        <v>1341198.5610088999</v>
      </c>
    </row>
    <row r="196" spans="1:4" ht="27" x14ac:dyDescent="0.75">
      <c r="A196">
        <v>488.56</v>
      </c>
      <c r="B196" s="26">
        <v>1</v>
      </c>
      <c r="C196">
        <v>288346.94793099002</v>
      </c>
      <c r="D196">
        <v>1338314.7585372</v>
      </c>
    </row>
    <row r="197" spans="1:4" ht="27" x14ac:dyDescent="0.75">
      <c r="A197">
        <v>488.55</v>
      </c>
      <c r="B197" s="26">
        <v>1</v>
      </c>
      <c r="C197">
        <v>288273.22328118997</v>
      </c>
      <c r="D197">
        <v>1335431.6181383999</v>
      </c>
    </row>
    <row r="198" spans="1:4" ht="27" x14ac:dyDescent="0.75">
      <c r="A198">
        <v>488.54</v>
      </c>
      <c r="B198" s="25">
        <v>1</v>
      </c>
      <c r="C198">
        <v>288199.48631076998</v>
      </c>
      <c r="D198">
        <v>1332549.2248696999</v>
      </c>
    </row>
    <row r="199" spans="1:4" ht="27" x14ac:dyDescent="0.75">
      <c r="A199">
        <v>488.53</v>
      </c>
      <c r="B199" s="25">
        <v>1</v>
      </c>
      <c r="C199">
        <v>288125.72253005998</v>
      </c>
      <c r="D199">
        <v>1329667.5174676001</v>
      </c>
    </row>
    <row r="200" spans="1:4" ht="27" x14ac:dyDescent="0.75">
      <c r="A200">
        <v>488.52</v>
      </c>
      <c r="B200" s="25">
        <v>1</v>
      </c>
      <c r="C200">
        <v>288051.94501232001</v>
      </c>
      <c r="D200">
        <v>1326786.6239291001</v>
      </c>
    </row>
    <row r="201" spans="1:4" ht="27" x14ac:dyDescent="0.75">
      <c r="A201">
        <v>488.51</v>
      </c>
      <c r="B201" s="25">
        <v>1</v>
      </c>
      <c r="C201">
        <v>287978.23913127999</v>
      </c>
      <c r="D201">
        <v>1323906.4862617999</v>
      </c>
    </row>
    <row r="202" spans="1:4" ht="27" x14ac:dyDescent="0.75">
      <c r="A202">
        <v>488.5</v>
      </c>
      <c r="B202" s="25">
        <v>1</v>
      </c>
      <c r="C202">
        <v>287904.55626253999</v>
      </c>
      <c r="D202">
        <v>1321027.0312113001</v>
      </c>
    </row>
    <row r="203" spans="1:4" ht="27" x14ac:dyDescent="0.75">
      <c r="A203">
        <v>488.49</v>
      </c>
      <c r="B203" s="25">
        <v>1</v>
      </c>
      <c r="C203">
        <v>287830.86405805999</v>
      </c>
      <c r="D203">
        <v>1318148.339866</v>
      </c>
    </row>
    <row r="204" spans="1:4" ht="27" x14ac:dyDescent="0.75">
      <c r="A204">
        <v>488.48</v>
      </c>
      <c r="B204" s="25">
        <v>1</v>
      </c>
      <c r="C204">
        <v>287757.17404858</v>
      </c>
      <c r="D204">
        <v>1315270.4238604</v>
      </c>
    </row>
    <row r="205" spans="1:4" ht="27" x14ac:dyDescent="0.75">
      <c r="A205">
        <v>488.47</v>
      </c>
      <c r="B205" s="25">
        <v>1</v>
      </c>
      <c r="C205">
        <v>287683.45844586001</v>
      </c>
      <c r="D205">
        <v>1312393.2419616999</v>
      </c>
    </row>
    <row r="206" spans="1:4" ht="27" x14ac:dyDescent="0.75">
      <c r="A206">
        <v>488.46</v>
      </c>
      <c r="B206" s="25">
        <v>1</v>
      </c>
      <c r="C206">
        <v>287609.71068690001</v>
      </c>
      <c r="D206">
        <v>1309516.8094639999</v>
      </c>
    </row>
    <row r="207" spans="1:4" ht="27" x14ac:dyDescent="0.75">
      <c r="A207">
        <v>488.45</v>
      </c>
      <c r="B207" s="25">
        <v>1</v>
      </c>
      <c r="C207">
        <v>287535.99554177001</v>
      </c>
      <c r="D207">
        <v>1306641.1109467</v>
      </c>
    </row>
    <row r="208" spans="1:4" ht="27" x14ac:dyDescent="0.75">
      <c r="A208">
        <v>488.44</v>
      </c>
      <c r="B208" s="25">
        <v>1</v>
      </c>
      <c r="C208">
        <v>287462.26540636999</v>
      </c>
      <c r="D208">
        <v>1303766.0916420999</v>
      </c>
    </row>
    <row r="209" spans="1:4" ht="27" x14ac:dyDescent="0.75">
      <c r="A209">
        <v>488.43</v>
      </c>
      <c r="B209" s="25">
        <v>1</v>
      </c>
      <c r="C209">
        <v>287388.57911331998</v>
      </c>
      <c r="D209">
        <v>1300891.8656055999</v>
      </c>
    </row>
    <row r="210" spans="1:4" ht="27" x14ac:dyDescent="0.75">
      <c r="A210">
        <v>488.42</v>
      </c>
      <c r="B210" s="25">
        <v>1</v>
      </c>
      <c r="C210">
        <v>287314.93462473003</v>
      </c>
      <c r="D210">
        <v>1298018.3973407999</v>
      </c>
    </row>
    <row r="211" spans="1:4" ht="27" x14ac:dyDescent="0.75">
      <c r="A211">
        <v>488.41</v>
      </c>
      <c r="B211" s="25">
        <v>1</v>
      </c>
      <c r="C211">
        <v>287241.32668643002</v>
      </c>
      <c r="D211">
        <v>1295145.6276491999</v>
      </c>
    </row>
    <row r="212" spans="1:4" ht="27" x14ac:dyDescent="0.75">
      <c r="A212">
        <v>488.4</v>
      </c>
      <c r="B212" s="25">
        <v>1</v>
      </c>
      <c r="C212">
        <v>287167.67560692999</v>
      </c>
      <c r="D212">
        <v>1292273.5687561</v>
      </c>
    </row>
    <row r="213" spans="1:4" ht="27" x14ac:dyDescent="0.75">
      <c r="A213">
        <v>488.39</v>
      </c>
      <c r="B213" s="25">
        <v>1</v>
      </c>
      <c r="C213">
        <v>287093.57679140999</v>
      </c>
      <c r="D213">
        <v>1289402.2576915</v>
      </c>
    </row>
    <row r="214" spans="1:4" ht="27" x14ac:dyDescent="0.75">
      <c r="A214">
        <v>488.38</v>
      </c>
      <c r="B214" s="25">
        <v>1</v>
      </c>
      <c r="C214">
        <v>287020.05793831003</v>
      </c>
      <c r="D214">
        <v>1286531.7077254001</v>
      </c>
    </row>
    <row r="215" spans="1:4" ht="27" x14ac:dyDescent="0.75">
      <c r="A215">
        <v>488.37</v>
      </c>
      <c r="B215" s="25">
        <v>1</v>
      </c>
      <c r="C215">
        <v>286946.62747896003</v>
      </c>
      <c r="D215">
        <v>1283661.8768048</v>
      </c>
    </row>
    <row r="216" spans="1:4" ht="27" x14ac:dyDescent="0.75">
      <c r="A216">
        <v>488.36</v>
      </c>
      <c r="B216" s="25">
        <v>1</v>
      </c>
      <c r="C216">
        <v>286873.17889565998</v>
      </c>
      <c r="D216">
        <v>1280792.7929992999</v>
      </c>
    </row>
    <row r="217" spans="1:4" ht="27" x14ac:dyDescent="0.75">
      <c r="A217">
        <v>488.35</v>
      </c>
      <c r="B217" s="25">
        <v>1</v>
      </c>
      <c r="C217">
        <v>286799.69033224997</v>
      </c>
      <c r="D217">
        <v>1277924.4814023999</v>
      </c>
    </row>
    <row r="218" spans="1:4" ht="27" x14ac:dyDescent="0.75">
      <c r="A218">
        <v>488.34</v>
      </c>
      <c r="B218" s="25">
        <v>1</v>
      </c>
      <c r="C218">
        <v>286726.19515600998</v>
      </c>
      <c r="D218">
        <v>1275056.8270582999</v>
      </c>
    </row>
    <row r="219" spans="1:4" ht="27" x14ac:dyDescent="0.75">
      <c r="A219">
        <v>488.33</v>
      </c>
      <c r="B219" s="25">
        <v>1</v>
      </c>
      <c r="C219">
        <v>286652.69483420998</v>
      </c>
      <c r="D219">
        <v>1272189.9929577</v>
      </c>
    </row>
    <row r="220" spans="1:4" ht="27" x14ac:dyDescent="0.75">
      <c r="A220">
        <v>488.32</v>
      </c>
      <c r="B220" s="25">
        <v>1</v>
      </c>
      <c r="C220">
        <v>286579.22636461002</v>
      </c>
      <c r="D220">
        <v>1269323.8844379999</v>
      </c>
    </row>
    <row r="221" spans="1:4" ht="27" x14ac:dyDescent="0.75">
      <c r="A221">
        <v>488.31</v>
      </c>
      <c r="B221" s="25">
        <v>1</v>
      </c>
      <c r="C221">
        <v>286505.73053673003</v>
      </c>
      <c r="D221">
        <v>1266458.5017736999</v>
      </c>
    </row>
    <row r="222" spans="1:4" ht="27" x14ac:dyDescent="0.75">
      <c r="A222">
        <v>488.3</v>
      </c>
      <c r="B222" s="25">
        <v>1</v>
      </c>
      <c r="C222">
        <v>286432.19649884</v>
      </c>
      <c r="D222">
        <v>1263593.7947883001</v>
      </c>
    </row>
    <row r="223" spans="1:4" ht="27" x14ac:dyDescent="0.75">
      <c r="A223">
        <v>488.29</v>
      </c>
      <c r="B223" s="25">
        <v>1</v>
      </c>
      <c r="C223">
        <v>286358.65906680998</v>
      </c>
      <c r="D223">
        <v>1260729.8334768999</v>
      </c>
    </row>
    <row r="224" spans="1:4" ht="27" x14ac:dyDescent="0.75">
      <c r="A224">
        <v>488.28</v>
      </c>
      <c r="B224" s="25">
        <v>1</v>
      </c>
      <c r="C224">
        <v>286285.10943089001</v>
      </c>
      <c r="D224">
        <v>1257866.6622627999</v>
      </c>
    </row>
    <row r="225" spans="1:4" ht="27" x14ac:dyDescent="0.75">
      <c r="A225">
        <v>488.27</v>
      </c>
      <c r="B225" s="26">
        <v>1</v>
      </c>
      <c r="C225">
        <v>286211.53946767002</v>
      </c>
      <c r="D225">
        <v>1255004.1894374001</v>
      </c>
    </row>
    <row r="226" spans="1:4" ht="27" x14ac:dyDescent="0.75">
      <c r="A226">
        <v>488.26</v>
      </c>
      <c r="B226" s="26">
        <v>1</v>
      </c>
      <c r="C226">
        <v>286137.91690328001</v>
      </c>
      <c r="D226">
        <v>1252142.4398658001</v>
      </c>
    </row>
    <row r="227" spans="1:4" ht="27" x14ac:dyDescent="0.75">
      <c r="A227">
        <v>488.25</v>
      </c>
      <c r="B227" s="26">
        <v>1</v>
      </c>
      <c r="C227">
        <v>286064.28357238998</v>
      </c>
      <c r="D227">
        <v>1249281.4928019999</v>
      </c>
    </row>
    <row r="228" spans="1:4" ht="27" x14ac:dyDescent="0.75">
      <c r="A228">
        <v>488.24</v>
      </c>
      <c r="B228" s="26">
        <v>1</v>
      </c>
      <c r="C228">
        <v>285990.62279610999</v>
      </c>
      <c r="D228">
        <v>1246421.226797</v>
      </c>
    </row>
    <row r="229" spans="1:4" ht="27" x14ac:dyDescent="0.75">
      <c r="A229">
        <v>488.23</v>
      </c>
      <c r="B229" s="26">
        <v>1</v>
      </c>
      <c r="C229">
        <v>285916.94988703</v>
      </c>
      <c r="D229">
        <v>1243561.7561631999</v>
      </c>
    </row>
    <row r="230" spans="1:4" ht="27" x14ac:dyDescent="0.75">
      <c r="A230">
        <v>488.22</v>
      </c>
      <c r="B230" s="26">
        <v>1</v>
      </c>
      <c r="C230">
        <v>285843.24276400998</v>
      </c>
      <c r="D230">
        <v>1240702.9354506</v>
      </c>
    </row>
    <row r="231" spans="1:4" ht="27" x14ac:dyDescent="0.75">
      <c r="A231">
        <v>488.21</v>
      </c>
      <c r="B231" s="26">
        <v>1</v>
      </c>
      <c r="C231">
        <v>285769.39851770003</v>
      </c>
      <c r="D231">
        <v>1237844.9247252999</v>
      </c>
    </row>
    <row r="232" spans="1:4" ht="27" x14ac:dyDescent="0.75">
      <c r="A232">
        <v>488.2</v>
      </c>
      <c r="B232" s="26">
        <v>1</v>
      </c>
      <c r="C232">
        <v>285695.12168083002</v>
      </c>
      <c r="D232">
        <v>1234987.6051075</v>
      </c>
    </row>
    <row r="233" spans="1:4" ht="27" x14ac:dyDescent="0.75">
      <c r="A233">
        <v>488.19</v>
      </c>
      <c r="B233" s="26">
        <v>1</v>
      </c>
      <c r="C233">
        <v>285620.51532036997</v>
      </c>
      <c r="D233">
        <v>1232130.9755797</v>
      </c>
    </row>
    <row r="234" spans="1:4" ht="27" x14ac:dyDescent="0.75">
      <c r="A234">
        <v>488.18</v>
      </c>
      <c r="B234" s="25">
        <v>1</v>
      </c>
      <c r="C234">
        <v>285545.98593811999</v>
      </c>
      <c r="D234">
        <v>1229275.2022774999</v>
      </c>
    </row>
    <row r="235" spans="1:4" ht="27" x14ac:dyDescent="0.75">
      <c r="A235">
        <v>488.17</v>
      </c>
      <c r="B235" s="25">
        <v>1</v>
      </c>
      <c r="C235">
        <v>285471.22160123999</v>
      </c>
      <c r="D235">
        <v>1226420.1259184999</v>
      </c>
    </row>
    <row r="236" spans="1:4" ht="27" x14ac:dyDescent="0.75">
      <c r="A236">
        <v>488.16</v>
      </c>
      <c r="B236" s="25">
        <v>1</v>
      </c>
      <c r="C236">
        <v>285396.33741178003</v>
      </c>
      <c r="D236">
        <v>1223565.8094589999</v>
      </c>
    </row>
    <row r="237" spans="1:4" ht="27" x14ac:dyDescent="0.75">
      <c r="A237">
        <v>488.15</v>
      </c>
      <c r="B237" s="25">
        <v>1</v>
      </c>
      <c r="C237">
        <v>285321.30360704003</v>
      </c>
      <c r="D237">
        <v>1220712.271714</v>
      </c>
    </row>
    <row r="238" spans="1:4" ht="27" x14ac:dyDescent="0.75">
      <c r="A238">
        <v>488.14</v>
      </c>
      <c r="B238" s="25">
        <v>1</v>
      </c>
      <c r="C238">
        <v>285246.06360085</v>
      </c>
      <c r="D238">
        <v>1217859.4908137999</v>
      </c>
    </row>
    <row r="239" spans="1:4" ht="27" x14ac:dyDescent="0.75">
      <c r="A239">
        <v>488.13</v>
      </c>
      <c r="B239" s="25">
        <v>1</v>
      </c>
      <c r="C239">
        <v>285170.67810988001</v>
      </c>
      <c r="D239">
        <v>1215007.4152285</v>
      </c>
    </row>
    <row r="240" spans="1:4" ht="27" x14ac:dyDescent="0.75">
      <c r="A240">
        <v>488.12</v>
      </c>
      <c r="B240" s="25">
        <v>1</v>
      </c>
      <c r="C240">
        <v>285095.12718348001</v>
      </c>
      <c r="D240">
        <v>1212156.1084125999</v>
      </c>
    </row>
    <row r="241" spans="1:4" ht="27" x14ac:dyDescent="0.75">
      <c r="A241">
        <v>488.11</v>
      </c>
      <c r="B241" s="25">
        <v>1</v>
      </c>
      <c r="C241">
        <v>285019.42912216001</v>
      </c>
      <c r="D241">
        <v>1209305.6026242999</v>
      </c>
    </row>
    <row r="242" spans="1:4" ht="27" x14ac:dyDescent="0.75">
      <c r="A242">
        <v>488.1</v>
      </c>
      <c r="B242" s="25">
        <v>1</v>
      </c>
      <c r="C242">
        <v>284943.58593494003</v>
      </c>
      <c r="D242">
        <v>1206455.7766028</v>
      </c>
    </row>
    <row r="243" spans="1:4" ht="27" x14ac:dyDescent="0.75">
      <c r="A243">
        <v>488.09</v>
      </c>
      <c r="B243" s="25">
        <v>1</v>
      </c>
      <c r="C243">
        <v>284867.56256564998</v>
      </c>
      <c r="D243">
        <v>1203606.7585447</v>
      </c>
    </row>
    <row r="244" spans="1:4" ht="27" x14ac:dyDescent="0.75">
      <c r="A244">
        <v>488.08</v>
      </c>
      <c r="B244" s="25">
        <v>1</v>
      </c>
      <c r="C244">
        <v>284791.35073667002</v>
      </c>
      <c r="D244">
        <v>1200758.448846</v>
      </c>
    </row>
    <row r="245" spans="1:4" ht="27" x14ac:dyDescent="0.75">
      <c r="A245">
        <v>488.07</v>
      </c>
      <c r="B245" s="25">
        <v>1</v>
      </c>
      <c r="C245">
        <v>284714.95540404</v>
      </c>
      <c r="D245">
        <v>1197910.9776409001</v>
      </c>
    </row>
    <row r="246" spans="1:4" ht="27" x14ac:dyDescent="0.75">
      <c r="A246">
        <v>488.06</v>
      </c>
      <c r="B246" s="25">
        <v>1</v>
      </c>
      <c r="C246">
        <v>284638.35864121001</v>
      </c>
      <c r="D246">
        <v>1195064.256667</v>
      </c>
    </row>
    <row r="247" spans="1:4" ht="27" x14ac:dyDescent="0.75">
      <c r="A247">
        <v>488.05</v>
      </c>
      <c r="B247" s="25">
        <v>1</v>
      </c>
      <c r="C247">
        <v>284561.50293566001</v>
      </c>
      <c r="D247">
        <v>1192218.2930639</v>
      </c>
    </row>
    <row r="248" spans="1:4" ht="27" x14ac:dyDescent="0.75">
      <c r="A248">
        <v>488.04</v>
      </c>
      <c r="B248" s="25">
        <v>1</v>
      </c>
      <c r="C248">
        <v>284484.4042323</v>
      </c>
      <c r="D248">
        <v>1189373.1169256</v>
      </c>
    </row>
    <row r="249" spans="1:4" ht="27" x14ac:dyDescent="0.75">
      <c r="A249">
        <v>488.03</v>
      </c>
      <c r="B249" s="25">
        <v>1</v>
      </c>
      <c r="C249">
        <v>284406.99369312997</v>
      </c>
      <c r="D249">
        <v>1186528.7602684</v>
      </c>
    </row>
    <row r="250" spans="1:4" ht="27" x14ac:dyDescent="0.75">
      <c r="A250">
        <v>488.02</v>
      </c>
      <c r="B250" s="25">
        <v>1</v>
      </c>
      <c r="C250">
        <v>284329.14208785997</v>
      </c>
      <c r="D250">
        <v>1183685.1329059999</v>
      </c>
    </row>
    <row r="251" spans="1:4" ht="27" x14ac:dyDescent="0.75">
      <c r="A251">
        <v>488.01</v>
      </c>
      <c r="B251" s="25">
        <v>1</v>
      </c>
      <c r="C251">
        <v>284250.51517619001</v>
      </c>
      <c r="D251">
        <v>1180842.294821</v>
      </c>
    </row>
    <row r="252" spans="1:4" ht="27" x14ac:dyDescent="0.75">
      <c r="A252">
        <v>488</v>
      </c>
      <c r="B252" s="25">
        <v>1</v>
      </c>
      <c r="C252">
        <v>284166.87304388999</v>
      </c>
      <c r="D252">
        <v>1178000.2126779</v>
      </c>
    </row>
    <row r="253" spans="1:4" ht="27" x14ac:dyDescent="0.75">
      <c r="A253">
        <v>487.99</v>
      </c>
      <c r="B253" s="25">
        <v>1</v>
      </c>
      <c r="C253">
        <v>284054.68012570002</v>
      </c>
      <c r="D253">
        <v>1175159.2721641001</v>
      </c>
    </row>
    <row r="254" spans="1:4" ht="27" x14ac:dyDescent="0.75">
      <c r="A254">
        <v>487.98</v>
      </c>
      <c r="B254" s="25">
        <v>1</v>
      </c>
      <c r="C254">
        <v>283974.51429755997</v>
      </c>
      <c r="D254">
        <v>1172319.1797686999</v>
      </c>
    </row>
    <row r="255" spans="1:4" ht="27" x14ac:dyDescent="0.75">
      <c r="A255">
        <v>487.97</v>
      </c>
      <c r="B255" s="25">
        <v>1</v>
      </c>
      <c r="C255">
        <v>283894.57149218</v>
      </c>
      <c r="D255">
        <v>1169479.8090294001</v>
      </c>
    </row>
    <row r="256" spans="1:4" ht="27" x14ac:dyDescent="0.75">
      <c r="A256">
        <v>487.96</v>
      </c>
      <c r="B256" s="25">
        <v>1</v>
      </c>
      <c r="C256">
        <v>283814.62714279001</v>
      </c>
      <c r="D256">
        <v>1166641.2531512999</v>
      </c>
    </row>
    <row r="257" spans="1:4" ht="27" x14ac:dyDescent="0.75">
      <c r="A257">
        <v>487.95</v>
      </c>
      <c r="B257" s="25">
        <v>1</v>
      </c>
      <c r="C257">
        <v>283734.64744922001</v>
      </c>
      <c r="D257">
        <v>1163803.4734427</v>
      </c>
    </row>
    <row r="258" spans="1:4" ht="27" x14ac:dyDescent="0.75">
      <c r="A258">
        <v>487.94</v>
      </c>
      <c r="B258" s="25">
        <v>1</v>
      </c>
      <c r="C258">
        <v>283654.60187453002</v>
      </c>
      <c r="D258">
        <v>1160966.5046478</v>
      </c>
    </row>
    <row r="259" spans="1:4" ht="27" x14ac:dyDescent="0.75">
      <c r="A259">
        <v>487.93</v>
      </c>
      <c r="B259" s="25">
        <v>1</v>
      </c>
      <c r="C259">
        <v>283574.52701316</v>
      </c>
      <c r="D259">
        <v>1158130.4347302001</v>
      </c>
    </row>
    <row r="260" spans="1:4" ht="27" x14ac:dyDescent="0.75">
      <c r="A260">
        <v>487.92</v>
      </c>
      <c r="B260" s="25">
        <v>1</v>
      </c>
      <c r="C260">
        <v>283494.43609172001</v>
      </c>
      <c r="D260">
        <v>1155295.1114673</v>
      </c>
    </row>
    <row r="261" spans="1:4" ht="27" x14ac:dyDescent="0.75">
      <c r="A261">
        <v>487.91</v>
      </c>
      <c r="B261" s="26">
        <v>1</v>
      </c>
      <c r="C261">
        <v>283414.34544935002</v>
      </c>
      <c r="D261">
        <v>1152460.5816635001</v>
      </c>
    </row>
    <row r="262" spans="1:4" ht="27" x14ac:dyDescent="0.75">
      <c r="A262">
        <v>487.9</v>
      </c>
      <c r="B262" s="26">
        <v>1</v>
      </c>
      <c r="C262">
        <v>283334.18304029998</v>
      </c>
      <c r="D262">
        <v>1149626.9079950999</v>
      </c>
    </row>
    <row r="263" spans="1:4" ht="27" x14ac:dyDescent="0.75">
      <c r="A263">
        <v>487.89</v>
      </c>
      <c r="B263" s="26">
        <v>1</v>
      </c>
      <c r="C263">
        <v>283254.03528894001</v>
      </c>
      <c r="D263">
        <v>1146794.0362833</v>
      </c>
    </row>
    <row r="264" spans="1:4" ht="27" x14ac:dyDescent="0.75">
      <c r="A264">
        <v>487.88</v>
      </c>
      <c r="B264" s="26">
        <v>1</v>
      </c>
      <c r="C264">
        <v>283173.84580159001</v>
      </c>
      <c r="D264">
        <v>1143961.9491158</v>
      </c>
    </row>
    <row r="265" spans="1:4" ht="27" x14ac:dyDescent="0.75">
      <c r="A265">
        <v>487.87</v>
      </c>
      <c r="B265" s="26">
        <v>1</v>
      </c>
      <c r="C265">
        <v>283093.57159221999</v>
      </c>
      <c r="D265">
        <v>1141130.6322280001</v>
      </c>
    </row>
    <row r="266" spans="1:4" ht="27" x14ac:dyDescent="0.75">
      <c r="A266">
        <v>487.86</v>
      </c>
      <c r="B266" s="26">
        <v>1</v>
      </c>
      <c r="C266">
        <v>283013.20280716999</v>
      </c>
      <c r="D266">
        <v>1138300.1160035001</v>
      </c>
    </row>
    <row r="267" spans="1:4" ht="27" x14ac:dyDescent="0.75">
      <c r="A267">
        <v>487.85</v>
      </c>
      <c r="B267" s="26">
        <v>1</v>
      </c>
      <c r="C267">
        <v>282932.67745358002</v>
      </c>
      <c r="D267">
        <v>1135470.3793102</v>
      </c>
    </row>
    <row r="268" spans="1:4" ht="27" x14ac:dyDescent="0.75">
      <c r="A268">
        <v>487.84</v>
      </c>
      <c r="B268" s="26">
        <v>1</v>
      </c>
      <c r="C268">
        <v>282851.99464938999</v>
      </c>
      <c r="D268">
        <v>1132641.507246</v>
      </c>
    </row>
    <row r="269" spans="1:4" ht="27" x14ac:dyDescent="0.75">
      <c r="A269">
        <v>487.83</v>
      </c>
      <c r="B269" s="26">
        <v>1</v>
      </c>
      <c r="C269">
        <v>282771.03951030999</v>
      </c>
      <c r="D269">
        <v>1129813.4074404</v>
      </c>
    </row>
    <row r="270" spans="1:4" ht="27" x14ac:dyDescent="0.75">
      <c r="A270">
        <v>487.82</v>
      </c>
      <c r="B270" s="25">
        <v>1</v>
      </c>
      <c r="C270">
        <v>282689.62293736002</v>
      </c>
      <c r="D270">
        <v>1126986.1940125001</v>
      </c>
    </row>
    <row r="271" spans="1:4" ht="27" x14ac:dyDescent="0.75">
      <c r="A271">
        <v>487.81</v>
      </c>
      <c r="B271" s="25">
        <v>1</v>
      </c>
      <c r="C271">
        <v>282607.34170932998</v>
      </c>
      <c r="D271">
        <v>1124159.8143986999</v>
      </c>
    </row>
    <row r="272" spans="1:4" ht="27" x14ac:dyDescent="0.75">
      <c r="A272">
        <v>487.8</v>
      </c>
      <c r="B272" s="25">
        <v>1</v>
      </c>
      <c r="C272">
        <v>282520.31457021</v>
      </c>
      <c r="D272">
        <v>1121334.1993809999</v>
      </c>
    </row>
    <row r="273" spans="1:4" ht="27" x14ac:dyDescent="0.75">
      <c r="A273">
        <v>487.79</v>
      </c>
      <c r="B273" s="25">
        <v>1</v>
      </c>
      <c r="C273">
        <v>282400.30131193</v>
      </c>
      <c r="D273">
        <v>1118509.816967</v>
      </c>
    </row>
    <row r="274" spans="1:4" ht="27" x14ac:dyDescent="0.75">
      <c r="A274">
        <v>487.78</v>
      </c>
      <c r="B274" s="25">
        <v>1</v>
      </c>
      <c r="C274">
        <v>282312.43422355998</v>
      </c>
      <c r="D274">
        <v>1115686.2229255</v>
      </c>
    </row>
    <row r="275" spans="1:4" ht="27" x14ac:dyDescent="0.75">
      <c r="A275">
        <v>487.77</v>
      </c>
      <c r="B275" s="25">
        <v>1</v>
      </c>
      <c r="C275">
        <v>282223.37139679998</v>
      </c>
      <c r="D275">
        <v>1112863.5476470001</v>
      </c>
    </row>
    <row r="276" spans="1:4" ht="27" x14ac:dyDescent="0.75">
      <c r="A276">
        <v>487.76</v>
      </c>
      <c r="B276" s="25">
        <v>1</v>
      </c>
      <c r="C276">
        <v>282133.34050082997</v>
      </c>
      <c r="D276">
        <v>1110041.7677565999</v>
      </c>
    </row>
    <row r="277" spans="1:4" ht="27" x14ac:dyDescent="0.75">
      <c r="A277">
        <v>487.75</v>
      </c>
      <c r="B277" s="25">
        <v>1</v>
      </c>
      <c r="C277">
        <v>282042.57772350998</v>
      </c>
      <c r="D277">
        <v>1107220.9348009001</v>
      </c>
    </row>
    <row r="278" spans="1:4" ht="27" x14ac:dyDescent="0.75">
      <c r="A278">
        <v>487.74</v>
      </c>
      <c r="B278" s="25">
        <v>1</v>
      </c>
      <c r="C278">
        <v>281951.14972117002</v>
      </c>
      <c r="D278">
        <v>1104401.0212795001</v>
      </c>
    </row>
    <row r="279" spans="1:4" ht="27" x14ac:dyDescent="0.75">
      <c r="A279">
        <v>487.73</v>
      </c>
      <c r="B279" s="25">
        <v>1</v>
      </c>
      <c r="C279">
        <v>281859.10135077999</v>
      </c>
      <c r="D279">
        <v>1101582.0139150999</v>
      </c>
    </row>
    <row r="280" spans="1:4" ht="27" x14ac:dyDescent="0.75">
      <c r="A280">
        <v>487.72</v>
      </c>
      <c r="B280" s="25">
        <v>1</v>
      </c>
      <c r="C280">
        <v>281766.55144019</v>
      </c>
      <c r="D280">
        <v>1098763.9447391001</v>
      </c>
    </row>
    <row r="281" spans="1:4" ht="27" x14ac:dyDescent="0.75">
      <c r="A281">
        <v>487.71</v>
      </c>
      <c r="B281" s="25">
        <v>1</v>
      </c>
      <c r="C281">
        <v>281673.45327373</v>
      </c>
      <c r="D281">
        <v>1095946.7679538</v>
      </c>
    </row>
    <row r="282" spans="1:4" ht="27" x14ac:dyDescent="0.75">
      <c r="A282">
        <v>487.7</v>
      </c>
      <c r="B282" s="25">
        <v>1</v>
      </c>
      <c r="C282">
        <v>281579.88056522002</v>
      </c>
      <c r="D282">
        <v>1093130.5326224</v>
      </c>
    </row>
    <row r="283" spans="1:4" ht="27" x14ac:dyDescent="0.75">
      <c r="A283">
        <v>487.69</v>
      </c>
      <c r="B283" s="25">
        <v>1</v>
      </c>
      <c r="C283">
        <v>281485.85159922001</v>
      </c>
      <c r="D283">
        <v>1090315.2170992</v>
      </c>
    </row>
    <row r="284" spans="1:4" ht="27" x14ac:dyDescent="0.75">
      <c r="A284">
        <v>487.68</v>
      </c>
      <c r="B284" s="25">
        <v>1</v>
      </c>
      <c r="C284">
        <v>281391.36635134002</v>
      </c>
      <c r="D284">
        <v>1087500.8644961</v>
      </c>
    </row>
    <row r="285" spans="1:4" ht="27" x14ac:dyDescent="0.75">
      <c r="A285">
        <v>487.67</v>
      </c>
      <c r="B285" s="25">
        <v>1</v>
      </c>
      <c r="C285">
        <v>281296.32054062001</v>
      </c>
      <c r="D285">
        <v>1084687.4314516</v>
      </c>
    </row>
    <row r="286" spans="1:4" ht="27" x14ac:dyDescent="0.75">
      <c r="A286">
        <v>487.66</v>
      </c>
      <c r="B286" s="25">
        <v>1</v>
      </c>
      <c r="C286">
        <v>281200.72972792003</v>
      </c>
      <c r="D286">
        <v>1081874.9718017001</v>
      </c>
    </row>
    <row r="287" spans="1:4" ht="27" x14ac:dyDescent="0.75">
      <c r="A287">
        <v>487.65</v>
      </c>
      <c r="B287" s="25">
        <v>1</v>
      </c>
      <c r="C287">
        <v>281104.51781933999</v>
      </c>
      <c r="D287">
        <v>1079063.4864381</v>
      </c>
    </row>
    <row r="288" spans="1:4" ht="27" x14ac:dyDescent="0.75">
      <c r="A288">
        <v>487.64</v>
      </c>
      <c r="B288" s="25">
        <v>1</v>
      </c>
      <c r="C288">
        <v>281007.58030819002</v>
      </c>
      <c r="D288">
        <v>1076252.9647556001</v>
      </c>
    </row>
    <row r="289" spans="1:4" ht="27" x14ac:dyDescent="0.75">
      <c r="A289">
        <v>487.63</v>
      </c>
      <c r="B289" s="25">
        <v>1</v>
      </c>
      <c r="C289">
        <v>280909.76975068997</v>
      </c>
      <c r="D289">
        <v>1073443.3936256999</v>
      </c>
    </row>
    <row r="290" spans="1:4" ht="27" x14ac:dyDescent="0.75">
      <c r="A290">
        <v>487.62</v>
      </c>
      <c r="B290" s="25">
        <v>1</v>
      </c>
      <c r="C290">
        <v>280810.71985378</v>
      </c>
      <c r="D290">
        <v>1070634.8405845</v>
      </c>
    </row>
    <row r="291" spans="1:4" ht="27" x14ac:dyDescent="0.75">
      <c r="A291">
        <v>487.61</v>
      </c>
      <c r="B291" s="25">
        <v>1</v>
      </c>
      <c r="C291">
        <v>280709.17996118002</v>
      </c>
      <c r="D291">
        <v>1067827.2860359</v>
      </c>
    </row>
    <row r="292" spans="1:4" ht="27" x14ac:dyDescent="0.75">
      <c r="A292">
        <v>487.6</v>
      </c>
      <c r="B292" s="25">
        <v>1</v>
      </c>
      <c r="C292">
        <v>279760.95917863998</v>
      </c>
      <c r="D292">
        <v>1065020.8161345001</v>
      </c>
    </row>
    <row r="293" spans="1:4" ht="27" x14ac:dyDescent="0.75">
      <c r="A293">
        <v>487.59</v>
      </c>
      <c r="B293" s="25">
        <v>1</v>
      </c>
      <c r="C293">
        <v>279614.16580546001</v>
      </c>
      <c r="D293">
        <v>1062223.9940948</v>
      </c>
    </row>
    <row r="294" spans="1:4" ht="27" x14ac:dyDescent="0.75">
      <c r="A294">
        <v>487.58</v>
      </c>
      <c r="B294" s="25">
        <v>1</v>
      </c>
      <c r="C294">
        <v>279485.83714120998</v>
      </c>
      <c r="D294">
        <v>1059428.4840901</v>
      </c>
    </row>
    <row r="295" spans="1:4" ht="27" x14ac:dyDescent="0.75">
      <c r="A295">
        <v>487.57</v>
      </c>
      <c r="B295" s="25">
        <v>1</v>
      </c>
      <c r="C295">
        <v>279356.48000340001</v>
      </c>
      <c r="D295">
        <v>1056634.2593322999</v>
      </c>
    </row>
    <row r="296" spans="1:4" ht="27" x14ac:dyDescent="0.75">
      <c r="A296">
        <v>487.56</v>
      </c>
      <c r="B296" s="25">
        <v>1</v>
      </c>
      <c r="C296">
        <v>279226.67102255998</v>
      </c>
      <c r="D296">
        <v>1053841.3136342999</v>
      </c>
    </row>
    <row r="297" spans="1:4" ht="27" x14ac:dyDescent="0.75">
      <c r="A297">
        <v>487.55</v>
      </c>
      <c r="B297" s="26">
        <v>1</v>
      </c>
      <c r="C297">
        <v>279096.46292442997</v>
      </c>
      <c r="D297">
        <v>1051049.7049368001</v>
      </c>
    </row>
    <row r="298" spans="1:4" ht="27" x14ac:dyDescent="0.75">
      <c r="A298">
        <v>487.54</v>
      </c>
      <c r="B298" s="26">
        <v>1</v>
      </c>
      <c r="C298">
        <v>278965.98531828</v>
      </c>
      <c r="D298">
        <v>1048259.4063134</v>
      </c>
    </row>
    <row r="299" spans="1:4" ht="27" x14ac:dyDescent="0.75">
      <c r="A299">
        <v>487.53</v>
      </c>
      <c r="B299" s="26">
        <v>1</v>
      </c>
      <c r="C299">
        <v>278835.39465849003</v>
      </c>
      <c r="D299">
        <v>1045470.3619771</v>
      </c>
    </row>
    <row r="300" spans="1:4" ht="27" x14ac:dyDescent="0.75">
      <c r="A300">
        <v>487.52</v>
      </c>
      <c r="B300" s="26">
        <v>1</v>
      </c>
      <c r="C300">
        <v>278704.81586996</v>
      </c>
      <c r="D300">
        <v>1042682.6765433</v>
      </c>
    </row>
    <row r="301" spans="1:4" ht="27" x14ac:dyDescent="0.75">
      <c r="A301">
        <v>487.51</v>
      </c>
      <c r="B301" s="26">
        <v>1</v>
      </c>
      <c r="C301">
        <v>278574.12994979002</v>
      </c>
      <c r="D301">
        <v>1039896.2914502</v>
      </c>
    </row>
    <row r="302" spans="1:4" ht="27" x14ac:dyDescent="0.75">
      <c r="A302">
        <v>487.5</v>
      </c>
      <c r="B302" s="26">
        <v>1</v>
      </c>
      <c r="C302">
        <v>278443.46472731</v>
      </c>
      <c r="D302">
        <v>1037111.2349613</v>
      </c>
    </row>
    <row r="303" spans="1:4" ht="27" x14ac:dyDescent="0.75">
      <c r="A303">
        <v>487.49</v>
      </c>
      <c r="B303" s="26">
        <v>1</v>
      </c>
      <c r="C303">
        <v>278312.84111414</v>
      </c>
      <c r="D303">
        <v>1034327.4699369</v>
      </c>
    </row>
    <row r="304" spans="1:4" ht="27" x14ac:dyDescent="0.75">
      <c r="A304">
        <v>487.48</v>
      </c>
      <c r="B304" s="26">
        <v>1</v>
      </c>
      <c r="C304">
        <v>278182.21197378001</v>
      </c>
      <c r="D304">
        <v>1031545.0528808</v>
      </c>
    </row>
    <row r="305" spans="1:4" ht="27" x14ac:dyDescent="0.75">
      <c r="A305">
        <v>487.47</v>
      </c>
      <c r="B305" s="26">
        <v>1</v>
      </c>
      <c r="C305">
        <v>278051.59269556002</v>
      </c>
      <c r="D305">
        <v>1028763.8942883</v>
      </c>
    </row>
    <row r="306" spans="1:4" ht="27" x14ac:dyDescent="0.75">
      <c r="A306">
        <v>487.46</v>
      </c>
      <c r="B306" s="25">
        <v>1</v>
      </c>
      <c r="C306">
        <v>277920.96010965999</v>
      </c>
      <c r="D306">
        <v>1025984.0551079001</v>
      </c>
    </row>
    <row r="307" spans="1:4" ht="27" x14ac:dyDescent="0.75">
      <c r="A307">
        <v>487.45</v>
      </c>
      <c r="B307" s="25">
        <v>1</v>
      </c>
      <c r="C307">
        <v>277790.35826549999</v>
      </c>
      <c r="D307">
        <v>1023205.5224699</v>
      </c>
    </row>
    <row r="308" spans="1:4" ht="27" x14ac:dyDescent="0.75">
      <c r="A308">
        <v>487.44</v>
      </c>
      <c r="B308" s="25">
        <v>1</v>
      </c>
      <c r="C308">
        <v>277659.72440097999</v>
      </c>
      <c r="D308">
        <v>1020428.2497206</v>
      </c>
    </row>
    <row r="309" spans="1:4" ht="27" x14ac:dyDescent="0.75">
      <c r="A309">
        <v>487.43</v>
      </c>
      <c r="B309" s="25">
        <v>1</v>
      </c>
      <c r="C309">
        <v>277529.22389894002</v>
      </c>
      <c r="D309">
        <v>1017652.3154521</v>
      </c>
    </row>
    <row r="310" spans="1:4" ht="27" x14ac:dyDescent="0.75">
      <c r="A310">
        <v>487.42</v>
      </c>
      <c r="B310" s="25">
        <v>1</v>
      </c>
      <c r="C310">
        <v>277398.57322383998</v>
      </c>
      <c r="D310">
        <v>1014877.6837299</v>
      </c>
    </row>
    <row r="311" spans="1:4" ht="27" x14ac:dyDescent="0.75">
      <c r="A311">
        <v>487.41</v>
      </c>
      <c r="B311" s="25">
        <v>1</v>
      </c>
      <c r="C311">
        <v>277267.51090091001</v>
      </c>
      <c r="D311">
        <v>1012104.4034564</v>
      </c>
    </row>
    <row r="312" spans="1:4" ht="27" x14ac:dyDescent="0.75">
      <c r="A312">
        <v>487.4</v>
      </c>
      <c r="B312" s="25">
        <v>1</v>
      </c>
      <c r="C312">
        <v>277106.85961848998</v>
      </c>
      <c r="D312">
        <v>1009332.4257886</v>
      </c>
    </row>
    <row r="313" spans="1:4" ht="27" x14ac:dyDescent="0.75">
      <c r="A313">
        <v>487.39</v>
      </c>
      <c r="B313" s="25">
        <v>1</v>
      </c>
      <c r="C313">
        <v>276104.89766015002</v>
      </c>
      <c r="D313">
        <v>1006570.4954169</v>
      </c>
    </row>
    <row r="314" spans="1:4" ht="27" x14ac:dyDescent="0.75">
      <c r="A314">
        <v>487.38</v>
      </c>
      <c r="B314" s="25">
        <v>1</v>
      </c>
      <c r="C314">
        <v>275958.7892158</v>
      </c>
      <c r="D314">
        <v>1003810.1596157</v>
      </c>
    </row>
    <row r="315" spans="1:4" ht="27" x14ac:dyDescent="0.75">
      <c r="A315">
        <v>487.37</v>
      </c>
      <c r="B315" s="25">
        <v>1</v>
      </c>
      <c r="C315">
        <v>275813.39049884002</v>
      </c>
      <c r="D315">
        <v>1001051.2688252</v>
      </c>
    </row>
    <row r="316" spans="1:4" ht="27" x14ac:dyDescent="0.75">
      <c r="A316">
        <v>487.36</v>
      </c>
      <c r="B316" s="25">
        <v>1</v>
      </c>
      <c r="C316">
        <v>275668.24539296998</v>
      </c>
      <c r="D316">
        <v>998293.85347271001</v>
      </c>
    </row>
    <row r="317" spans="1:4" ht="27" x14ac:dyDescent="0.75">
      <c r="A317">
        <v>487.35</v>
      </c>
      <c r="B317" s="25">
        <v>1</v>
      </c>
      <c r="C317">
        <v>275523.10973531997</v>
      </c>
      <c r="D317">
        <v>995537.93043843005</v>
      </c>
    </row>
    <row r="318" spans="1:4" ht="27" x14ac:dyDescent="0.75">
      <c r="A318">
        <v>487.34</v>
      </c>
      <c r="B318" s="25">
        <v>1</v>
      </c>
      <c r="C318">
        <v>275377.98206538998</v>
      </c>
      <c r="D318">
        <v>992783.46364254004</v>
      </c>
    </row>
    <row r="319" spans="1:4" ht="27" x14ac:dyDescent="0.75">
      <c r="A319">
        <v>487.33</v>
      </c>
      <c r="B319" s="25">
        <v>1</v>
      </c>
      <c r="C319">
        <v>275232.66297358001</v>
      </c>
      <c r="D319">
        <v>990030.41098395002</v>
      </c>
    </row>
    <row r="320" spans="1:4" ht="27" x14ac:dyDescent="0.75">
      <c r="A320">
        <v>487.32</v>
      </c>
      <c r="B320" s="25">
        <v>1</v>
      </c>
      <c r="C320">
        <v>275087.26310555002</v>
      </c>
      <c r="D320">
        <v>987278.81160298001</v>
      </c>
    </row>
    <row r="321" spans="1:4" ht="27" x14ac:dyDescent="0.75">
      <c r="A321">
        <v>487.31</v>
      </c>
      <c r="B321" s="25">
        <v>1</v>
      </c>
      <c r="C321">
        <v>274941.65044127998</v>
      </c>
      <c r="D321">
        <v>984528.64064141002</v>
      </c>
    </row>
    <row r="322" spans="1:4" ht="27" x14ac:dyDescent="0.75">
      <c r="A322">
        <v>487.3</v>
      </c>
      <c r="B322" s="25">
        <v>1</v>
      </c>
      <c r="C322">
        <v>274795.83012423001</v>
      </c>
      <c r="D322">
        <v>981779.95087432</v>
      </c>
    </row>
    <row r="323" spans="1:4" ht="27" x14ac:dyDescent="0.75">
      <c r="A323">
        <v>487.29</v>
      </c>
      <c r="B323" s="25">
        <v>1</v>
      </c>
      <c r="C323">
        <v>274649.71551731002</v>
      </c>
      <c r="D323">
        <v>979032.74858943</v>
      </c>
    </row>
    <row r="324" spans="1:4" ht="27" x14ac:dyDescent="0.75">
      <c r="A324">
        <v>487.28</v>
      </c>
      <c r="B324" s="25">
        <v>1</v>
      </c>
      <c r="C324">
        <v>274503.35404097999</v>
      </c>
      <c r="D324">
        <v>976287.01795622997</v>
      </c>
    </row>
    <row r="325" spans="1:4" ht="27" x14ac:dyDescent="0.75">
      <c r="A325">
        <v>487.27</v>
      </c>
      <c r="B325" s="25">
        <v>1</v>
      </c>
      <c r="C325">
        <v>274356.84620828001</v>
      </c>
      <c r="D325">
        <v>973542.66549922002</v>
      </c>
    </row>
    <row r="326" spans="1:4" ht="27" x14ac:dyDescent="0.75">
      <c r="A326">
        <v>487.26</v>
      </c>
      <c r="B326" s="25">
        <v>1</v>
      </c>
      <c r="C326">
        <v>274210.02044892998</v>
      </c>
      <c r="D326">
        <v>970799.84866789996</v>
      </c>
    </row>
    <row r="327" spans="1:4" ht="27" x14ac:dyDescent="0.75">
      <c r="A327">
        <v>487.25</v>
      </c>
      <c r="B327" s="25">
        <v>1</v>
      </c>
      <c r="C327">
        <v>274062.92883172003</v>
      </c>
      <c r="D327">
        <v>968058.46794052003</v>
      </c>
    </row>
    <row r="328" spans="1:4" ht="27" x14ac:dyDescent="0.75">
      <c r="A328">
        <v>487.24</v>
      </c>
      <c r="B328" s="25">
        <v>1</v>
      </c>
      <c r="C328">
        <v>273915.59687427001</v>
      </c>
      <c r="D328">
        <v>965318.56176370999</v>
      </c>
    </row>
    <row r="329" spans="1:4" ht="27" x14ac:dyDescent="0.75">
      <c r="A329">
        <v>487.23</v>
      </c>
      <c r="B329" s="25">
        <v>1</v>
      </c>
      <c r="C329">
        <v>273768.03313752002</v>
      </c>
      <c r="D329">
        <v>962580.14218574006</v>
      </c>
    </row>
    <row r="330" spans="1:4" ht="27" x14ac:dyDescent="0.75">
      <c r="A330">
        <v>487.22</v>
      </c>
      <c r="B330" s="25">
        <v>1</v>
      </c>
      <c r="C330">
        <v>273620.1396312</v>
      </c>
      <c r="D330">
        <v>959843.24844639003</v>
      </c>
    </row>
    <row r="331" spans="1:4" ht="27" x14ac:dyDescent="0.75">
      <c r="A331">
        <v>487.21</v>
      </c>
      <c r="B331" s="25">
        <v>1</v>
      </c>
      <c r="C331">
        <v>273470.45455467998</v>
      </c>
      <c r="D331">
        <v>957107.79212068999</v>
      </c>
    </row>
    <row r="332" spans="1:4" ht="27" x14ac:dyDescent="0.75">
      <c r="A332">
        <v>487.2</v>
      </c>
      <c r="B332" s="25">
        <v>1</v>
      </c>
      <c r="C332">
        <v>271970.17036898999</v>
      </c>
      <c r="D332">
        <v>954373.90773147997</v>
      </c>
    </row>
    <row r="333" spans="1:4" ht="27" x14ac:dyDescent="0.75">
      <c r="A333">
        <v>487.19</v>
      </c>
      <c r="B333" s="26">
        <v>1</v>
      </c>
      <c r="C333">
        <v>271692.98934715998</v>
      </c>
      <c r="D333">
        <v>951655.81414724002</v>
      </c>
    </row>
    <row r="334" spans="1:4" ht="27" x14ac:dyDescent="0.75">
      <c r="A334">
        <v>487.18</v>
      </c>
      <c r="B334" s="26">
        <v>1</v>
      </c>
      <c r="C334">
        <v>271486.87758122</v>
      </c>
      <c r="D334">
        <v>948939.93859206</v>
      </c>
    </row>
    <row r="335" spans="1:4" ht="27" x14ac:dyDescent="0.75">
      <c r="A335">
        <v>487.17</v>
      </c>
      <c r="B335" s="26">
        <v>1</v>
      </c>
      <c r="C335">
        <v>271283.64942207001</v>
      </c>
      <c r="D335">
        <v>946226.07491475996</v>
      </c>
    </row>
    <row r="336" spans="1:4" ht="27" x14ac:dyDescent="0.75">
      <c r="A336">
        <v>487.16</v>
      </c>
      <c r="B336" s="26">
        <v>1</v>
      </c>
      <c r="C336">
        <v>271081.87453931</v>
      </c>
      <c r="D336">
        <v>943514.21561052999</v>
      </c>
    </row>
    <row r="337" spans="1:4" ht="27" x14ac:dyDescent="0.75">
      <c r="A337">
        <v>487.15</v>
      </c>
      <c r="B337" s="26">
        <v>1</v>
      </c>
      <c r="C337">
        <v>270881.47164084</v>
      </c>
      <c r="D337">
        <v>940804.38090344996</v>
      </c>
    </row>
    <row r="338" spans="1:4" ht="27" x14ac:dyDescent="0.75">
      <c r="A338">
        <v>487.14</v>
      </c>
      <c r="B338" s="26">
        <v>1</v>
      </c>
      <c r="C338">
        <v>270682.16900668998</v>
      </c>
      <c r="D338">
        <v>938096.51455791004</v>
      </c>
    </row>
    <row r="339" spans="1:4" ht="27" x14ac:dyDescent="0.75">
      <c r="A339">
        <v>487.13</v>
      </c>
      <c r="B339" s="26">
        <v>1</v>
      </c>
      <c r="C339">
        <v>270484.25732868997</v>
      </c>
      <c r="D339">
        <v>935390.72050378995</v>
      </c>
    </row>
    <row r="340" spans="1:4" ht="27" x14ac:dyDescent="0.75">
      <c r="A340">
        <v>487.12</v>
      </c>
      <c r="B340" s="26">
        <v>1</v>
      </c>
      <c r="C340">
        <v>270287.59769775002</v>
      </c>
      <c r="D340">
        <v>932686.89157833997</v>
      </c>
    </row>
    <row r="341" spans="1:4" ht="27" x14ac:dyDescent="0.75">
      <c r="A341">
        <v>487.11</v>
      </c>
      <c r="B341" s="26">
        <v>1</v>
      </c>
      <c r="C341">
        <v>270091.92713213997</v>
      </c>
      <c r="D341">
        <v>929985.04019505996</v>
      </c>
    </row>
    <row r="342" spans="1:4" ht="27" x14ac:dyDescent="0.75">
      <c r="A342">
        <v>487.1</v>
      </c>
      <c r="B342" s="25">
        <v>1</v>
      </c>
      <c r="C342">
        <v>269897.46938865999</v>
      </c>
      <c r="D342">
        <v>927285.07149147999</v>
      </c>
    </row>
    <row r="343" spans="1:4" ht="27" x14ac:dyDescent="0.75">
      <c r="A343">
        <v>487.09</v>
      </c>
      <c r="B343" s="25">
        <v>1</v>
      </c>
      <c r="C343">
        <v>269704.08782736998</v>
      </c>
      <c r="D343">
        <v>924587.10879675997</v>
      </c>
    </row>
    <row r="344" spans="1:4" ht="27" x14ac:dyDescent="0.75">
      <c r="A344">
        <v>487.08</v>
      </c>
      <c r="B344" s="25">
        <v>1</v>
      </c>
      <c r="C344">
        <v>269511.66807210998</v>
      </c>
      <c r="D344">
        <v>921891.01762102998</v>
      </c>
    </row>
    <row r="345" spans="1:4" ht="27" x14ac:dyDescent="0.75">
      <c r="A345">
        <v>487.07</v>
      </c>
      <c r="B345" s="25">
        <v>1</v>
      </c>
      <c r="C345">
        <v>269320.36368047999</v>
      </c>
      <c r="D345">
        <v>919196.88616114995</v>
      </c>
    </row>
    <row r="346" spans="1:4" ht="27" x14ac:dyDescent="0.75">
      <c r="A346">
        <v>487.06</v>
      </c>
      <c r="B346" s="25">
        <v>1</v>
      </c>
      <c r="C346">
        <v>269130.12130224</v>
      </c>
      <c r="D346">
        <v>916504.65728222998</v>
      </c>
    </row>
    <row r="347" spans="1:4" ht="27" x14ac:dyDescent="0.75">
      <c r="A347">
        <v>487.05</v>
      </c>
      <c r="B347" s="25">
        <v>1</v>
      </c>
      <c r="C347">
        <v>268940.72566555999</v>
      </c>
      <c r="D347">
        <v>913814.34130714997</v>
      </c>
    </row>
    <row r="348" spans="1:4" ht="27" x14ac:dyDescent="0.75">
      <c r="A348">
        <v>487.04</v>
      </c>
      <c r="B348" s="25">
        <v>1</v>
      </c>
      <c r="C348">
        <v>268752.20744281</v>
      </c>
      <c r="D348">
        <v>911125.87046713999</v>
      </c>
    </row>
    <row r="349" spans="1:4" ht="27" x14ac:dyDescent="0.75">
      <c r="A349">
        <v>487.03</v>
      </c>
      <c r="B349" s="25">
        <v>1</v>
      </c>
      <c r="C349">
        <v>268564.66322280001</v>
      </c>
      <c r="D349">
        <v>908439.30039107997</v>
      </c>
    </row>
    <row r="350" spans="1:4" ht="27" x14ac:dyDescent="0.75">
      <c r="A350">
        <v>487.02</v>
      </c>
      <c r="B350" s="25">
        <v>1</v>
      </c>
      <c r="C350">
        <v>268377.83261465997</v>
      </c>
      <c r="D350">
        <v>905754.59546764998</v>
      </c>
    </row>
    <row r="351" spans="1:4" ht="27" x14ac:dyDescent="0.75">
      <c r="A351">
        <v>487.01</v>
      </c>
      <c r="B351" s="25">
        <v>1</v>
      </c>
      <c r="C351">
        <v>268190.54757345997</v>
      </c>
      <c r="D351">
        <v>903071.78236257995</v>
      </c>
    </row>
    <row r="352" spans="1:4" ht="27" x14ac:dyDescent="0.75">
      <c r="A352">
        <v>487</v>
      </c>
      <c r="B352" s="25">
        <v>1</v>
      </c>
      <c r="C352">
        <v>267959.67151671002</v>
      </c>
      <c r="D352">
        <v>900390.97667150002</v>
      </c>
    </row>
    <row r="353" spans="1:4" ht="27" x14ac:dyDescent="0.75">
      <c r="A353">
        <v>486.99</v>
      </c>
      <c r="B353" s="25">
        <v>1</v>
      </c>
      <c r="C353">
        <v>267141.52996504999</v>
      </c>
      <c r="D353">
        <v>897718.60361850006</v>
      </c>
    </row>
    <row r="354" spans="1:4" ht="27" x14ac:dyDescent="0.75">
      <c r="A354">
        <v>486.98</v>
      </c>
      <c r="B354" s="25">
        <v>1</v>
      </c>
      <c r="C354">
        <v>266968.54587426002</v>
      </c>
      <c r="D354">
        <v>895048.04594862997</v>
      </c>
    </row>
    <row r="355" spans="1:4" ht="27" x14ac:dyDescent="0.75">
      <c r="A355">
        <v>486.97</v>
      </c>
      <c r="B355" s="25">
        <v>1</v>
      </c>
      <c r="C355">
        <v>266796.09797927999</v>
      </c>
      <c r="D355">
        <v>892379.22847541003</v>
      </c>
    </row>
    <row r="356" spans="1:4" ht="27" x14ac:dyDescent="0.75">
      <c r="A356">
        <v>486.96</v>
      </c>
      <c r="B356" s="25">
        <v>1</v>
      </c>
      <c r="C356">
        <v>266623.91563980997</v>
      </c>
      <c r="D356">
        <v>889712.14752159</v>
      </c>
    </row>
    <row r="357" spans="1:4" ht="27" x14ac:dyDescent="0.75">
      <c r="A357">
        <v>486.95</v>
      </c>
      <c r="B357" s="25">
        <v>1</v>
      </c>
      <c r="C357">
        <v>266452.12722467002</v>
      </c>
      <c r="D357">
        <v>887046.77323272999</v>
      </c>
    </row>
    <row r="358" spans="1:4" ht="27" x14ac:dyDescent="0.75">
      <c r="A358">
        <v>486.94</v>
      </c>
      <c r="B358" s="25">
        <v>1</v>
      </c>
      <c r="C358">
        <v>266280.68099659</v>
      </c>
      <c r="D358">
        <v>884383.10755637998</v>
      </c>
    </row>
    <row r="359" spans="1:4" ht="27" x14ac:dyDescent="0.75">
      <c r="A359">
        <v>486.93</v>
      </c>
      <c r="B359" s="25">
        <v>1</v>
      </c>
      <c r="C359">
        <v>266109.50179747998</v>
      </c>
      <c r="D359">
        <v>881721.17363620002</v>
      </c>
    </row>
    <row r="360" spans="1:4" ht="27" x14ac:dyDescent="0.75">
      <c r="A360">
        <v>486.92</v>
      </c>
      <c r="B360" s="25">
        <v>1</v>
      </c>
      <c r="C360">
        <v>265938.68802191003</v>
      </c>
      <c r="D360">
        <v>879060.91797228996</v>
      </c>
    </row>
    <row r="361" spans="1:4" ht="27" x14ac:dyDescent="0.75">
      <c r="A361">
        <v>486.91</v>
      </c>
      <c r="B361" s="25">
        <v>1</v>
      </c>
      <c r="C361">
        <v>265768.13908225001</v>
      </c>
      <c r="D361">
        <v>876402.38435774005</v>
      </c>
    </row>
    <row r="362" spans="1:4" ht="27" x14ac:dyDescent="0.75">
      <c r="A362">
        <v>486.9</v>
      </c>
      <c r="B362" s="25">
        <v>1</v>
      </c>
      <c r="C362">
        <v>265597.97833431</v>
      </c>
      <c r="D362">
        <v>873745.59532465995</v>
      </c>
    </row>
    <row r="363" spans="1:4" ht="27" x14ac:dyDescent="0.75">
      <c r="A363">
        <v>486.89</v>
      </c>
      <c r="B363" s="25">
        <v>1</v>
      </c>
      <c r="C363">
        <v>265428.13313259999</v>
      </c>
      <c r="D363">
        <v>871090.49050938</v>
      </c>
    </row>
    <row r="364" spans="1:4" ht="27" x14ac:dyDescent="0.75">
      <c r="A364">
        <v>486.88</v>
      </c>
      <c r="B364" s="25">
        <v>1</v>
      </c>
      <c r="C364">
        <v>265258.52265507</v>
      </c>
      <c r="D364">
        <v>868437.10212091997</v>
      </c>
    </row>
    <row r="365" spans="1:4" ht="27" x14ac:dyDescent="0.75">
      <c r="A365">
        <v>486.87</v>
      </c>
      <c r="B365" s="25">
        <v>1</v>
      </c>
      <c r="C365">
        <v>265089.22095662</v>
      </c>
      <c r="D365">
        <v>865785.38850850996</v>
      </c>
    </row>
    <row r="366" spans="1:4" ht="27" x14ac:dyDescent="0.75">
      <c r="A366">
        <v>486.86</v>
      </c>
      <c r="B366" s="25">
        <v>1</v>
      </c>
      <c r="C366">
        <v>264920.00249073998</v>
      </c>
      <c r="D366">
        <v>863135.32918413996</v>
      </c>
    </row>
    <row r="367" spans="1:4" ht="27" x14ac:dyDescent="0.75">
      <c r="A367">
        <v>486.85</v>
      </c>
      <c r="B367" s="25">
        <v>1</v>
      </c>
      <c r="C367">
        <v>264750.87184911</v>
      </c>
      <c r="D367">
        <v>860487.01823151996</v>
      </c>
    </row>
    <row r="368" spans="1:4" ht="27" x14ac:dyDescent="0.75">
      <c r="A368">
        <v>486.84</v>
      </c>
      <c r="B368" s="25">
        <v>1</v>
      </c>
      <c r="C368">
        <v>264581.59786111</v>
      </c>
      <c r="D368">
        <v>857840.37834621</v>
      </c>
    </row>
    <row r="369" spans="1:4" ht="27" x14ac:dyDescent="0.75">
      <c r="A369">
        <v>486.83</v>
      </c>
      <c r="B369" s="26">
        <v>1</v>
      </c>
      <c r="C369">
        <v>264412.00989615999</v>
      </c>
      <c r="D369">
        <v>855195.45260601002</v>
      </c>
    </row>
    <row r="370" spans="1:4" ht="27" x14ac:dyDescent="0.75">
      <c r="A370">
        <v>486.82</v>
      </c>
      <c r="B370" s="26">
        <v>1</v>
      </c>
      <c r="C370">
        <v>264241.70353126002</v>
      </c>
      <c r="D370">
        <v>852552.23013765004</v>
      </c>
    </row>
    <row r="371" spans="1:4" ht="27" x14ac:dyDescent="0.75">
      <c r="A371">
        <v>486.81</v>
      </c>
      <c r="B371" s="26">
        <v>1</v>
      </c>
      <c r="C371">
        <v>264069.05354991002</v>
      </c>
      <c r="D371">
        <v>849910.73510215001</v>
      </c>
    </row>
    <row r="372" spans="1:4" ht="27" x14ac:dyDescent="0.75">
      <c r="A372">
        <v>486.8</v>
      </c>
      <c r="B372" s="26">
        <v>1</v>
      </c>
      <c r="C372">
        <v>263852.67314818001</v>
      </c>
      <c r="D372">
        <v>847271.05216029997</v>
      </c>
    </row>
    <row r="373" spans="1:4" ht="27" x14ac:dyDescent="0.75">
      <c r="A373">
        <v>486.79</v>
      </c>
      <c r="B373" s="26">
        <v>1</v>
      </c>
      <c r="C373">
        <v>262374.69386006001</v>
      </c>
      <c r="D373">
        <v>844646.05426415999</v>
      </c>
    </row>
    <row r="374" spans="1:4" ht="27" x14ac:dyDescent="0.75">
      <c r="A374">
        <v>486.78</v>
      </c>
      <c r="B374" s="26">
        <v>1</v>
      </c>
      <c r="C374">
        <v>262148.23567889998</v>
      </c>
      <c r="D374">
        <v>842023.42216307996</v>
      </c>
    </row>
    <row r="375" spans="1:4" ht="27" x14ac:dyDescent="0.75">
      <c r="A375">
        <v>486.77</v>
      </c>
      <c r="B375" s="26">
        <v>1</v>
      </c>
      <c r="C375">
        <v>261923.03962272001</v>
      </c>
      <c r="D375">
        <v>839403.05039799004</v>
      </c>
    </row>
    <row r="376" spans="1:4" ht="27" x14ac:dyDescent="0.75">
      <c r="A376">
        <v>486.76</v>
      </c>
      <c r="B376" s="26">
        <v>1</v>
      </c>
      <c r="C376">
        <v>261698.40773946</v>
      </c>
      <c r="D376">
        <v>836784.99192508997</v>
      </c>
    </row>
    <row r="377" spans="1:4" ht="27" x14ac:dyDescent="0.75">
      <c r="A377">
        <v>486.75</v>
      </c>
      <c r="B377" s="26">
        <v>1</v>
      </c>
      <c r="C377">
        <v>261474.39971706001</v>
      </c>
      <c r="D377">
        <v>834169.1049412</v>
      </c>
    </row>
    <row r="378" spans="1:4" ht="27" x14ac:dyDescent="0.75">
      <c r="A378">
        <v>486.74</v>
      </c>
      <c r="B378" s="25">
        <v>1</v>
      </c>
      <c r="C378">
        <v>261250.72651419</v>
      </c>
      <c r="D378">
        <v>831555.53507822996</v>
      </c>
    </row>
    <row r="379" spans="1:4" ht="27" x14ac:dyDescent="0.75">
      <c r="A379">
        <v>486.73</v>
      </c>
      <c r="B379" s="25">
        <v>1</v>
      </c>
      <c r="C379">
        <v>261027.75558205001</v>
      </c>
      <c r="D379">
        <v>828944.16471041995</v>
      </c>
    </row>
    <row r="380" spans="1:4" ht="27" x14ac:dyDescent="0.75">
      <c r="A380">
        <v>486.72</v>
      </c>
      <c r="B380" s="25">
        <v>1</v>
      </c>
      <c r="C380">
        <v>260805.33920235999</v>
      </c>
      <c r="D380">
        <v>826335.01553592004</v>
      </c>
    </row>
    <row r="381" spans="1:4" ht="27" x14ac:dyDescent="0.75">
      <c r="A381">
        <v>486.71</v>
      </c>
      <c r="B381" s="25">
        <v>1</v>
      </c>
      <c r="C381">
        <v>260583.38013619999</v>
      </c>
      <c r="D381">
        <v>823728.09494991996</v>
      </c>
    </row>
    <row r="382" spans="1:4" ht="27" x14ac:dyDescent="0.75">
      <c r="A382">
        <v>486.7</v>
      </c>
      <c r="B382" s="25">
        <v>1</v>
      </c>
      <c r="C382">
        <v>260361.94112855999</v>
      </c>
      <c r="D382">
        <v>821123.34717567998</v>
      </c>
    </row>
    <row r="383" spans="1:4" ht="27" x14ac:dyDescent="0.75">
      <c r="A383">
        <v>486.69</v>
      </c>
      <c r="B383" s="25">
        <v>1</v>
      </c>
      <c r="C383">
        <v>260141.15035700001</v>
      </c>
      <c r="D383">
        <v>818520.85954454006</v>
      </c>
    </row>
    <row r="384" spans="1:4" ht="27" x14ac:dyDescent="0.75">
      <c r="A384">
        <v>486.68</v>
      </c>
      <c r="B384" s="25">
        <v>1</v>
      </c>
      <c r="C384">
        <v>259920.89981381001</v>
      </c>
      <c r="D384">
        <v>815920.54359207</v>
      </c>
    </row>
    <row r="385" spans="1:4" ht="27" x14ac:dyDescent="0.75">
      <c r="A385">
        <v>486.67</v>
      </c>
      <c r="B385" s="25">
        <v>1</v>
      </c>
      <c r="C385">
        <v>259701.12133168001</v>
      </c>
      <c r="D385">
        <v>813322.45432850998</v>
      </c>
    </row>
    <row r="386" spans="1:4" ht="27" x14ac:dyDescent="0.75">
      <c r="A386">
        <v>486.66</v>
      </c>
      <c r="B386" s="25">
        <v>1</v>
      </c>
      <c r="C386">
        <v>259481.77877576</v>
      </c>
      <c r="D386">
        <v>810726.55816897994</v>
      </c>
    </row>
    <row r="387" spans="1:4" ht="27" x14ac:dyDescent="0.75">
      <c r="A387">
        <v>486.65</v>
      </c>
      <c r="B387" s="25">
        <v>1</v>
      </c>
      <c r="C387">
        <v>259262.72668729999</v>
      </c>
      <c r="D387">
        <v>808132.85400056001</v>
      </c>
    </row>
    <row r="388" spans="1:4" ht="27" x14ac:dyDescent="0.75">
      <c r="A388">
        <v>486.64</v>
      </c>
      <c r="B388" s="25">
        <v>1</v>
      </c>
      <c r="C388">
        <v>259043.86479145</v>
      </c>
      <c r="D388">
        <v>805541.36556397995</v>
      </c>
    </row>
    <row r="389" spans="1:4" ht="27" x14ac:dyDescent="0.75">
      <c r="A389">
        <v>486.63</v>
      </c>
      <c r="B389" s="25">
        <v>1</v>
      </c>
      <c r="C389">
        <v>258824.94176292</v>
      </c>
      <c r="D389">
        <v>802952.11316337006</v>
      </c>
    </row>
    <row r="390" spans="1:4" ht="27" x14ac:dyDescent="0.75">
      <c r="A390">
        <v>486.62</v>
      </c>
      <c r="B390" s="25">
        <v>1</v>
      </c>
      <c r="C390">
        <v>258605.14912511999</v>
      </c>
      <c r="D390">
        <v>800365.02058999997</v>
      </c>
    </row>
    <row r="391" spans="1:4" ht="27" x14ac:dyDescent="0.75">
      <c r="A391">
        <v>486.61</v>
      </c>
      <c r="B391" s="25">
        <v>1</v>
      </c>
      <c r="C391">
        <v>258383.14172444001</v>
      </c>
      <c r="D391">
        <v>797780.10869370005</v>
      </c>
    </row>
    <row r="392" spans="1:4" ht="27" x14ac:dyDescent="0.75">
      <c r="A392">
        <v>486.6</v>
      </c>
      <c r="B392" s="25">
        <v>1</v>
      </c>
      <c r="C392">
        <v>257143.57241111001</v>
      </c>
      <c r="D392">
        <v>795197.49619097996</v>
      </c>
    </row>
    <row r="393" spans="1:4" ht="27" x14ac:dyDescent="0.75">
      <c r="A393">
        <v>486.59</v>
      </c>
      <c r="B393" s="25">
        <v>1</v>
      </c>
      <c r="C393">
        <v>256890.80062493001</v>
      </c>
      <c r="D393">
        <v>792627.42075466004</v>
      </c>
    </row>
    <row r="394" spans="1:4" ht="27" x14ac:dyDescent="0.75">
      <c r="A394">
        <v>486.58</v>
      </c>
      <c r="B394" s="25">
        <v>1</v>
      </c>
      <c r="C394">
        <v>256668.16558398999</v>
      </c>
      <c r="D394">
        <v>790059.62117469998</v>
      </c>
    </row>
    <row r="395" spans="1:4" ht="27" x14ac:dyDescent="0.75">
      <c r="A395">
        <v>486.57</v>
      </c>
      <c r="B395" s="25">
        <v>1</v>
      </c>
      <c r="C395">
        <v>256446.88898610999</v>
      </c>
      <c r="D395">
        <v>787494.06257898</v>
      </c>
    </row>
    <row r="396" spans="1:4" ht="27" x14ac:dyDescent="0.75">
      <c r="A396">
        <v>486.56</v>
      </c>
      <c r="B396" s="25">
        <v>1</v>
      </c>
      <c r="C396">
        <v>256226.57670875001</v>
      </c>
      <c r="D396">
        <v>784930.69463289995</v>
      </c>
    </row>
    <row r="397" spans="1:4" ht="27" x14ac:dyDescent="0.75">
      <c r="A397">
        <v>486.55</v>
      </c>
      <c r="B397" s="25">
        <v>1</v>
      </c>
      <c r="C397">
        <v>256007.28574125</v>
      </c>
      <c r="D397">
        <v>782369.53307264997</v>
      </c>
    </row>
    <row r="398" spans="1:4" ht="27" x14ac:dyDescent="0.75">
      <c r="A398">
        <v>486.54</v>
      </c>
      <c r="B398" s="25">
        <v>1</v>
      </c>
      <c r="C398">
        <v>255789.11719547</v>
      </c>
      <c r="D398">
        <v>779810.5349498</v>
      </c>
    </row>
    <row r="399" spans="1:4" ht="27" x14ac:dyDescent="0.75">
      <c r="A399">
        <v>486.53</v>
      </c>
      <c r="B399" s="25">
        <v>1</v>
      </c>
      <c r="C399">
        <v>255572.05058807001</v>
      </c>
      <c r="D399">
        <v>777253.74847716</v>
      </c>
    </row>
    <row r="400" spans="1:4" ht="27" x14ac:dyDescent="0.75">
      <c r="A400">
        <v>486.52</v>
      </c>
      <c r="B400" s="25">
        <v>1</v>
      </c>
      <c r="C400">
        <v>255356.20106312001</v>
      </c>
      <c r="D400">
        <v>774699.10024470999</v>
      </c>
    </row>
    <row r="401" spans="1:4" ht="27" x14ac:dyDescent="0.75">
      <c r="A401">
        <v>486.51</v>
      </c>
      <c r="B401" s="25">
        <v>1</v>
      </c>
      <c r="C401">
        <v>255141.49917523999</v>
      </c>
      <c r="D401">
        <v>772146.61234240001</v>
      </c>
    </row>
    <row r="402" spans="1:4" ht="27" x14ac:dyDescent="0.75">
      <c r="A402">
        <v>486.5</v>
      </c>
      <c r="B402" s="25">
        <v>1</v>
      </c>
      <c r="C402">
        <v>254927.89931054</v>
      </c>
      <c r="D402">
        <v>769596.26982688997</v>
      </c>
    </row>
    <row r="403" spans="1:4" ht="27" x14ac:dyDescent="0.75">
      <c r="A403">
        <v>486.49</v>
      </c>
      <c r="B403" s="25">
        <v>1</v>
      </c>
      <c r="C403">
        <v>254715.33132142</v>
      </c>
      <c r="D403">
        <v>767048.05273550004</v>
      </c>
    </row>
    <row r="404" spans="1:4" ht="27" x14ac:dyDescent="0.75">
      <c r="A404">
        <v>486.48</v>
      </c>
      <c r="B404" s="25">
        <v>1</v>
      </c>
      <c r="C404">
        <v>254503.81648081</v>
      </c>
      <c r="D404">
        <v>764501.99466274003</v>
      </c>
    </row>
    <row r="405" spans="1:4" ht="27" x14ac:dyDescent="0.75">
      <c r="A405">
        <v>486.47</v>
      </c>
      <c r="B405" s="26">
        <v>1</v>
      </c>
      <c r="C405">
        <v>254293.36072175999</v>
      </c>
      <c r="D405">
        <v>761958.04983003996</v>
      </c>
    </row>
    <row r="406" spans="1:4" ht="27" x14ac:dyDescent="0.75">
      <c r="A406">
        <v>486.46</v>
      </c>
      <c r="B406" s="26">
        <v>1</v>
      </c>
      <c r="C406">
        <v>254083.89984524</v>
      </c>
      <c r="D406">
        <v>759416.22289911995</v>
      </c>
    </row>
    <row r="407" spans="1:4" ht="27" x14ac:dyDescent="0.75">
      <c r="A407">
        <v>486.45</v>
      </c>
      <c r="B407" s="26">
        <v>1</v>
      </c>
      <c r="C407">
        <v>253875.30607791999</v>
      </c>
      <c r="D407">
        <v>756876.40803824004</v>
      </c>
    </row>
    <row r="408" spans="1:4" ht="27" x14ac:dyDescent="0.75">
      <c r="A408">
        <v>486.44</v>
      </c>
      <c r="B408" s="26">
        <v>1</v>
      </c>
      <c r="C408">
        <v>253667.80679830999</v>
      </c>
      <c r="D408">
        <v>754338.72138596</v>
      </c>
    </row>
    <row r="409" spans="1:4" ht="27" x14ac:dyDescent="0.75">
      <c r="A409">
        <v>486.43</v>
      </c>
      <c r="B409" s="26">
        <v>1</v>
      </c>
      <c r="C409">
        <v>253461.40748361</v>
      </c>
      <c r="D409">
        <v>751803.10298261</v>
      </c>
    </row>
    <row r="410" spans="1:4" ht="27" x14ac:dyDescent="0.75">
      <c r="A410">
        <v>486.42</v>
      </c>
      <c r="B410" s="26">
        <v>1</v>
      </c>
      <c r="C410">
        <v>253256.28220568001</v>
      </c>
      <c r="D410">
        <v>749269.49309987004</v>
      </c>
    </row>
    <row r="411" spans="1:4" ht="27" x14ac:dyDescent="0.75">
      <c r="A411">
        <v>486.41</v>
      </c>
      <c r="B411" s="26">
        <v>1</v>
      </c>
      <c r="C411">
        <v>253051.51174176999</v>
      </c>
      <c r="D411">
        <v>746737.95237664005</v>
      </c>
    </row>
    <row r="412" spans="1:4" ht="27" x14ac:dyDescent="0.75">
      <c r="A412">
        <v>486.4</v>
      </c>
      <c r="B412" s="26">
        <v>1</v>
      </c>
      <c r="C412">
        <v>252827.09202107001</v>
      </c>
      <c r="D412">
        <v>744208.47818414995</v>
      </c>
    </row>
    <row r="413" spans="1:4" ht="27" x14ac:dyDescent="0.75">
      <c r="A413">
        <v>486.39</v>
      </c>
      <c r="B413" s="26">
        <v>1</v>
      </c>
      <c r="C413">
        <v>252530.35642316</v>
      </c>
      <c r="D413">
        <v>741682.01512288</v>
      </c>
    </row>
    <row r="414" spans="1:4" ht="27" x14ac:dyDescent="0.75">
      <c r="A414">
        <v>486.38</v>
      </c>
      <c r="B414" s="25">
        <v>1</v>
      </c>
      <c r="C414">
        <v>252333.61923851</v>
      </c>
      <c r="D414">
        <v>739157.69790210004</v>
      </c>
    </row>
    <row r="415" spans="1:4" ht="27" x14ac:dyDescent="0.75">
      <c r="A415">
        <v>486.37</v>
      </c>
      <c r="B415" s="25">
        <v>1</v>
      </c>
      <c r="C415">
        <v>252139.87856849999</v>
      </c>
      <c r="D415">
        <v>736635.34469409997</v>
      </c>
    </row>
    <row r="416" spans="1:4" ht="27" x14ac:dyDescent="0.75">
      <c r="A416">
        <v>486.36</v>
      </c>
      <c r="B416" s="25">
        <v>1</v>
      </c>
      <c r="C416">
        <v>251947.69559413</v>
      </c>
      <c r="D416">
        <v>734114.89858174999</v>
      </c>
    </row>
    <row r="417" spans="1:4" ht="27" x14ac:dyDescent="0.75">
      <c r="A417">
        <v>486.35</v>
      </c>
      <c r="B417" s="25">
        <v>1</v>
      </c>
      <c r="C417">
        <v>251757.33257041001</v>
      </c>
      <c r="D417">
        <v>731596.37028961</v>
      </c>
    </row>
    <row r="418" spans="1:4" ht="27" x14ac:dyDescent="0.75">
      <c r="A418">
        <v>486.34</v>
      </c>
      <c r="B418" s="25">
        <v>1</v>
      </c>
      <c r="C418">
        <v>251568.38102798001</v>
      </c>
      <c r="D418">
        <v>729079.72318744997</v>
      </c>
    </row>
    <row r="419" spans="1:4" ht="27" x14ac:dyDescent="0.75">
      <c r="A419">
        <v>486.33</v>
      </c>
      <c r="B419" s="25">
        <v>1</v>
      </c>
      <c r="C419">
        <v>251380.55882400001</v>
      </c>
      <c r="D419">
        <v>726564.98341257998</v>
      </c>
    </row>
    <row r="420" spans="1:4" ht="27" x14ac:dyDescent="0.75">
      <c r="A420">
        <v>486.32</v>
      </c>
      <c r="B420" s="25">
        <v>1</v>
      </c>
      <c r="C420">
        <v>251193.76176893999</v>
      </c>
      <c r="D420">
        <v>724052.16407542001</v>
      </c>
    </row>
    <row r="421" spans="1:4" ht="27" x14ac:dyDescent="0.75">
      <c r="A421">
        <v>486.31</v>
      </c>
      <c r="B421" s="25">
        <v>1</v>
      </c>
      <c r="C421">
        <v>251007.95847074999</v>
      </c>
      <c r="D421">
        <v>721541.13575302996</v>
      </c>
    </row>
    <row r="422" spans="1:4" ht="27" x14ac:dyDescent="0.75">
      <c r="A422">
        <v>486.3</v>
      </c>
      <c r="B422" s="25">
        <v>1</v>
      </c>
      <c r="C422">
        <v>250823.11440229</v>
      </c>
      <c r="D422">
        <v>719032.01745233999</v>
      </c>
    </row>
    <row r="423" spans="1:4" ht="27" x14ac:dyDescent="0.75">
      <c r="A423">
        <v>486.29</v>
      </c>
      <c r="B423" s="25">
        <v>1</v>
      </c>
      <c r="C423">
        <v>250639.20964591001</v>
      </c>
      <c r="D423">
        <v>716524.68904773996</v>
      </c>
    </row>
    <row r="424" spans="1:4" ht="27" x14ac:dyDescent="0.75">
      <c r="A424">
        <v>486.28</v>
      </c>
      <c r="B424" s="25">
        <v>1</v>
      </c>
      <c r="C424">
        <v>250456.15052083999</v>
      </c>
      <c r="D424">
        <v>714019.23184989998</v>
      </c>
    </row>
    <row r="425" spans="1:4" ht="27" x14ac:dyDescent="0.75">
      <c r="A425">
        <v>486.27</v>
      </c>
      <c r="B425" s="25">
        <v>1</v>
      </c>
      <c r="C425">
        <v>250273.938284</v>
      </c>
      <c r="D425">
        <v>711515.55094920995</v>
      </c>
    </row>
    <row r="426" spans="1:4" ht="27" x14ac:dyDescent="0.75">
      <c r="A426">
        <v>486.26</v>
      </c>
      <c r="B426" s="25">
        <v>1</v>
      </c>
      <c r="C426">
        <v>250092.5267171</v>
      </c>
      <c r="D426">
        <v>709013.72221975995</v>
      </c>
    </row>
    <row r="427" spans="1:4" ht="27" x14ac:dyDescent="0.75">
      <c r="A427">
        <v>486.25</v>
      </c>
      <c r="B427" s="25">
        <v>1</v>
      </c>
      <c r="C427">
        <v>249911.87483618999</v>
      </c>
      <c r="D427">
        <v>706513.69908466004</v>
      </c>
    </row>
    <row r="428" spans="1:4" ht="27" x14ac:dyDescent="0.75">
      <c r="A428">
        <v>486.24</v>
      </c>
      <c r="B428" s="25">
        <v>1</v>
      </c>
      <c r="C428">
        <v>249731.98725897999</v>
      </c>
      <c r="D428">
        <v>704015.45686071995</v>
      </c>
    </row>
    <row r="429" spans="1:4" ht="27" x14ac:dyDescent="0.75">
      <c r="A429">
        <v>486.23</v>
      </c>
      <c r="B429" s="25">
        <v>1</v>
      </c>
      <c r="C429">
        <v>249552.75311059001</v>
      </c>
      <c r="D429">
        <v>701519.08181640005</v>
      </c>
    </row>
    <row r="430" spans="1:4" ht="27" x14ac:dyDescent="0.75">
      <c r="A430">
        <v>486.22</v>
      </c>
      <c r="B430" s="25">
        <v>1</v>
      </c>
      <c r="C430">
        <v>249373.92572070999</v>
      </c>
      <c r="D430">
        <v>699024.47091863002</v>
      </c>
    </row>
    <row r="431" spans="1:4" ht="27" x14ac:dyDescent="0.75">
      <c r="A431">
        <v>486.21</v>
      </c>
      <c r="B431" s="25">
        <v>1</v>
      </c>
      <c r="C431">
        <v>249194.37352779999</v>
      </c>
      <c r="D431">
        <v>696531.65373668994</v>
      </c>
    </row>
    <row r="432" spans="1:4" ht="27" x14ac:dyDescent="0.75">
      <c r="A432">
        <v>486.2</v>
      </c>
      <c r="B432" s="25">
        <v>1</v>
      </c>
      <c r="C432">
        <v>248819.33457636999</v>
      </c>
      <c r="D432">
        <v>694040.59809820994</v>
      </c>
    </row>
    <row r="433" spans="1:4" ht="27" x14ac:dyDescent="0.75">
      <c r="A433">
        <v>486.19</v>
      </c>
      <c r="B433" s="25">
        <v>1</v>
      </c>
      <c r="C433">
        <v>248626.09527103</v>
      </c>
      <c r="D433">
        <v>691553.38387680997</v>
      </c>
    </row>
    <row r="434" spans="1:4" ht="27" x14ac:dyDescent="0.75">
      <c r="A434">
        <v>486.18</v>
      </c>
      <c r="B434" s="25">
        <v>1</v>
      </c>
      <c r="C434">
        <v>248451.48401623001</v>
      </c>
      <c r="D434">
        <v>689067.98781264003</v>
      </c>
    </row>
    <row r="435" spans="1:4" ht="27" x14ac:dyDescent="0.75">
      <c r="A435">
        <v>486.17</v>
      </c>
      <c r="B435" s="25">
        <v>1</v>
      </c>
      <c r="C435">
        <v>248278.22638817001</v>
      </c>
      <c r="D435">
        <v>686584.36995864997</v>
      </c>
    </row>
    <row r="436" spans="1:4" ht="27" x14ac:dyDescent="0.75">
      <c r="A436">
        <v>486.16</v>
      </c>
      <c r="B436" s="25">
        <v>1</v>
      </c>
      <c r="C436">
        <v>248105.20137641</v>
      </c>
      <c r="D436">
        <v>684102.43294888001</v>
      </c>
    </row>
    <row r="437" spans="1:4" ht="27" x14ac:dyDescent="0.75">
      <c r="A437">
        <v>486.15</v>
      </c>
      <c r="B437" s="25">
        <v>1</v>
      </c>
      <c r="C437">
        <v>247931.83463755</v>
      </c>
      <c r="D437">
        <v>681622.26330569002</v>
      </c>
    </row>
    <row r="438" spans="1:4" ht="27" x14ac:dyDescent="0.75">
      <c r="A438">
        <v>486.14</v>
      </c>
      <c r="B438" s="25">
        <v>1</v>
      </c>
      <c r="C438">
        <v>247757.93148070999</v>
      </c>
      <c r="D438">
        <v>679143.79528625996</v>
      </c>
    </row>
    <row r="439" spans="1:4" ht="27" x14ac:dyDescent="0.75">
      <c r="A439">
        <v>486.13</v>
      </c>
      <c r="B439" s="25">
        <v>1</v>
      </c>
      <c r="C439">
        <v>247583.51459634001</v>
      </c>
      <c r="D439">
        <v>676667.12680615997</v>
      </c>
    </row>
    <row r="440" spans="1:4" ht="27" x14ac:dyDescent="0.75">
      <c r="A440">
        <v>486.12</v>
      </c>
      <c r="B440" s="25">
        <v>1</v>
      </c>
      <c r="C440">
        <v>247408.42497399001</v>
      </c>
      <c r="D440">
        <v>674192.14268093999</v>
      </c>
    </row>
    <row r="441" spans="1:4" ht="27" x14ac:dyDescent="0.75">
      <c r="A441">
        <v>486.11</v>
      </c>
      <c r="B441" s="26">
        <v>1</v>
      </c>
      <c r="C441">
        <v>247232.65178320999</v>
      </c>
      <c r="D441">
        <v>671718.95050206</v>
      </c>
    </row>
    <row r="442" spans="1:4" ht="27" x14ac:dyDescent="0.75">
      <c r="A442">
        <v>486.1</v>
      </c>
      <c r="B442" s="26">
        <v>1</v>
      </c>
      <c r="C442">
        <v>247056.15062224001</v>
      </c>
      <c r="D442">
        <v>669247.52662452997</v>
      </c>
    </row>
    <row r="443" spans="1:4" ht="27" x14ac:dyDescent="0.75">
      <c r="A443">
        <v>486.09</v>
      </c>
      <c r="B443" s="26">
        <v>1</v>
      </c>
      <c r="C443">
        <v>246878.91468178001</v>
      </c>
      <c r="D443">
        <v>666777.84369165997</v>
      </c>
    </row>
    <row r="444" spans="1:4" ht="27" x14ac:dyDescent="0.75">
      <c r="A444">
        <v>486.08</v>
      </c>
      <c r="B444" s="26">
        <v>1</v>
      </c>
      <c r="C444">
        <v>246700.92683452999</v>
      </c>
      <c r="D444">
        <v>664309.98266500002</v>
      </c>
    </row>
    <row r="445" spans="1:4" ht="27" x14ac:dyDescent="0.75">
      <c r="A445">
        <v>486.07</v>
      </c>
      <c r="B445" s="26">
        <v>1</v>
      </c>
      <c r="C445">
        <v>246522.12280924001</v>
      </c>
      <c r="D445">
        <v>661843.89445887005</v>
      </c>
    </row>
    <row r="446" spans="1:4" ht="27" x14ac:dyDescent="0.75">
      <c r="A446">
        <v>486.06</v>
      </c>
      <c r="B446" s="26">
        <v>1</v>
      </c>
      <c r="C446">
        <v>246342.35237521</v>
      </c>
      <c r="D446">
        <v>659379.57581343001</v>
      </c>
    </row>
    <row r="447" spans="1:4" ht="27" x14ac:dyDescent="0.75">
      <c r="A447">
        <v>486.05</v>
      </c>
      <c r="B447" s="26">
        <v>1</v>
      </c>
      <c r="C447">
        <v>246161.56784429</v>
      </c>
      <c r="D447">
        <v>656917.11407151003</v>
      </c>
    </row>
    <row r="448" spans="1:4" ht="27" x14ac:dyDescent="0.75">
      <c r="A448">
        <v>486.04</v>
      </c>
      <c r="B448" s="26">
        <v>1</v>
      </c>
      <c r="C448">
        <v>245979.69279099</v>
      </c>
      <c r="D448">
        <v>654456.40571155003</v>
      </c>
    </row>
    <row r="449" spans="1:4" ht="27" x14ac:dyDescent="0.75">
      <c r="A449">
        <v>486.03</v>
      </c>
      <c r="B449" s="26">
        <v>1</v>
      </c>
      <c r="C449">
        <v>245796.37592724999</v>
      </c>
      <c r="D449">
        <v>651997.59137568995</v>
      </c>
    </row>
    <row r="450" spans="1:4" ht="27" x14ac:dyDescent="0.75">
      <c r="A450">
        <v>486.02</v>
      </c>
      <c r="B450" s="25">
        <v>1</v>
      </c>
      <c r="C450">
        <v>245611.53608918999</v>
      </c>
      <c r="D450">
        <v>649540.57578210998</v>
      </c>
    </row>
    <row r="451" spans="1:4" ht="27" x14ac:dyDescent="0.75">
      <c r="A451">
        <v>486.01</v>
      </c>
      <c r="B451" s="25">
        <v>1</v>
      </c>
      <c r="C451">
        <v>245423.12431121001</v>
      </c>
      <c r="D451">
        <v>647085.42898622004</v>
      </c>
    </row>
    <row r="452" spans="1:4" ht="27" x14ac:dyDescent="0.75">
      <c r="A452">
        <v>486</v>
      </c>
      <c r="B452" s="25">
        <v>1</v>
      </c>
      <c r="C452">
        <v>245184.93791402</v>
      </c>
      <c r="D452">
        <v>644632.24726217997</v>
      </c>
    </row>
    <row r="453" spans="1:4" ht="27" x14ac:dyDescent="0.75">
      <c r="A453">
        <v>485.99</v>
      </c>
      <c r="B453" s="25">
        <v>1</v>
      </c>
      <c r="C453">
        <v>244558.93018182</v>
      </c>
      <c r="D453">
        <v>642185.36183873005</v>
      </c>
    </row>
    <row r="454" spans="1:4" ht="27" x14ac:dyDescent="0.75">
      <c r="A454">
        <v>485.98</v>
      </c>
      <c r="B454" s="25">
        <v>1</v>
      </c>
      <c r="C454">
        <v>244344.87273999999</v>
      </c>
      <c r="D454">
        <v>639740.84069225006</v>
      </c>
    </row>
    <row r="455" spans="1:4" ht="27" x14ac:dyDescent="0.75">
      <c r="A455">
        <v>485.97</v>
      </c>
      <c r="B455" s="25">
        <v>1</v>
      </c>
      <c r="C455">
        <v>244131.79786615999</v>
      </c>
      <c r="D455">
        <v>637298.46797693998</v>
      </c>
    </row>
    <row r="456" spans="1:4" ht="27" x14ac:dyDescent="0.75">
      <c r="A456">
        <v>485.96</v>
      </c>
      <c r="B456" s="25">
        <v>1</v>
      </c>
      <c r="C456">
        <v>243918.73698894001</v>
      </c>
      <c r="D456">
        <v>634858.21247260005</v>
      </c>
    </row>
    <row r="457" spans="1:4" ht="27" x14ac:dyDescent="0.75">
      <c r="A457">
        <v>485.95</v>
      </c>
      <c r="B457" s="25">
        <v>1</v>
      </c>
      <c r="C457">
        <v>243705.17899573999</v>
      </c>
      <c r="D457">
        <v>632420.08159173001</v>
      </c>
    </row>
    <row r="458" spans="1:4" ht="27" x14ac:dyDescent="0.75">
      <c r="A458">
        <v>485.94</v>
      </c>
      <c r="B458" s="25">
        <v>1</v>
      </c>
      <c r="C458">
        <v>243491.12530916999</v>
      </c>
      <c r="D458">
        <v>629984.11643704004</v>
      </c>
    </row>
    <row r="459" spans="1:4" ht="27" x14ac:dyDescent="0.75">
      <c r="A459">
        <v>485.93</v>
      </c>
      <c r="B459" s="25">
        <v>1</v>
      </c>
      <c r="C459">
        <v>243276.40864581999</v>
      </c>
      <c r="D459">
        <v>627550.29107825004</v>
      </c>
    </row>
    <row r="460" spans="1:4" ht="27" x14ac:dyDescent="0.75">
      <c r="A460">
        <v>485.92</v>
      </c>
      <c r="B460" s="25">
        <v>1</v>
      </c>
      <c r="C460">
        <v>243061.11779672001</v>
      </c>
      <c r="D460">
        <v>625118.59944140003</v>
      </c>
    </row>
    <row r="461" spans="1:4" ht="27" x14ac:dyDescent="0.75">
      <c r="A461">
        <v>485.91</v>
      </c>
      <c r="B461" s="25">
        <v>1</v>
      </c>
      <c r="C461">
        <v>242845.17488054</v>
      </c>
      <c r="D461">
        <v>622689.04586270999</v>
      </c>
    </row>
    <row r="462" spans="1:4" ht="27" x14ac:dyDescent="0.75">
      <c r="A462">
        <v>485.9</v>
      </c>
      <c r="B462" s="25">
        <v>1</v>
      </c>
      <c r="C462">
        <v>242628.41422712</v>
      </c>
      <c r="D462">
        <v>620261.71814849996</v>
      </c>
    </row>
    <row r="463" spans="1:4" ht="27" x14ac:dyDescent="0.75">
      <c r="A463">
        <v>485.89</v>
      </c>
      <c r="B463" s="25">
        <v>1</v>
      </c>
      <c r="C463">
        <v>242410.91239390001</v>
      </c>
      <c r="D463">
        <v>617836.57865818997</v>
      </c>
    </row>
    <row r="464" spans="1:4" ht="27" x14ac:dyDescent="0.75">
      <c r="A464">
        <v>485.88</v>
      </c>
      <c r="B464" s="25">
        <v>1</v>
      </c>
      <c r="C464">
        <v>242192.59010038001</v>
      </c>
      <c r="D464">
        <v>615413.63317361998</v>
      </c>
    </row>
    <row r="465" spans="1:4" ht="27" x14ac:dyDescent="0.75">
      <c r="A465">
        <v>485.87</v>
      </c>
      <c r="B465" s="25">
        <v>1</v>
      </c>
      <c r="C465">
        <v>241973.40988086999</v>
      </c>
      <c r="D465">
        <v>612992.82838557998</v>
      </c>
    </row>
    <row r="466" spans="1:4" ht="27" x14ac:dyDescent="0.75">
      <c r="A466">
        <v>485.86</v>
      </c>
      <c r="B466" s="25">
        <v>1</v>
      </c>
      <c r="C466">
        <v>241753.36095254999</v>
      </c>
      <c r="D466">
        <v>610574.23994313995</v>
      </c>
    </row>
    <row r="467" spans="1:4" ht="27" x14ac:dyDescent="0.75">
      <c r="A467">
        <v>485.85</v>
      </c>
      <c r="B467" s="25">
        <v>1</v>
      </c>
      <c r="C467">
        <v>241532.40253846999</v>
      </c>
      <c r="D467">
        <v>608157.84332402004</v>
      </c>
    </row>
    <row r="468" spans="1:4" ht="27" x14ac:dyDescent="0.75">
      <c r="A468">
        <v>485.84</v>
      </c>
      <c r="B468" s="25">
        <v>1</v>
      </c>
      <c r="C468">
        <v>241310.23295944001</v>
      </c>
      <c r="D468">
        <v>605743.64491947996</v>
      </c>
    </row>
    <row r="469" spans="1:4" ht="27" x14ac:dyDescent="0.75">
      <c r="A469">
        <v>485.83</v>
      </c>
      <c r="B469" s="25">
        <v>1</v>
      </c>
      <c r="C469">
        <v>241086.6506733</v>
      </c>
      <c r="D469">
        <v>603331.63394873997</v>
      </c>
    </row>
    <row r="470" spans="1:4" ht="27" x14ac:dyDescent="0.75">
      <c r="A470">
        <v>485.82</v>
      </c>
      <c r="B470" s="25">
        <v>1</v>
      </c>
      <c r="C470">
        <v>240861.47899161</v>
      </c>
      <c r="D470">
        <v>600921.89997214999</v>
      </c>
    </row>
    <row r="471" spans="1:4" ht="27" x14ac:dyDescent="0.75">
      <c r="A471">
        <v>485.81</v>
      </c>
      <c r="B471" s="25">
        <v>1</v>
      </c>
      <c r="C471">
        <v>240633.91118664999</v>
      </c>
      <c r="D471">
        <v>598514.45365003997</v>
      </c>
    </row>
    <row r="472" spans="1:4" ht="27" x14ac:dyDescent="0.75">
      <c r="A472">
        <v>485.8</v>
      </c>
      <c r="B472" s="25">
        <v>1</v>
      </c>
      <c r="C472">
        <v>240376.42169635001</v>
      </c>
      <c r="D472">
        <v>596109.34431773995</v>
      </c>
    </row>
    <row r="473" spans="1:4" ht="27" x14ac:dyDescent="0.75">
      <c r="A473">
        <v>485.79</v>
      </c>
      <c r="B473" s="25">
        <v>1</v>
      </c>
      <c r="C473">
        <v>239915.96701046001</v>
      </c>
      <c r="D473">
        <v>593708.63922297</v>
      </c>
    </row>
    <row r="474" spans="1:4" ht="27" x14ac:dyDescent="0.75">
      <c r="A474">
        <v>485.78</v>
      </c>
      <c r="B474" s="25">
        <v>1</v>
      </c>
      <c r="C474">
        <v>239641.38513405001</v>
      </c>
      <c r="D474">
        <v>591310.86118288001</v>
      </c>
    </row>
    <row r="475" spans="1:4" ht="27" x14ac:dyDescent="0.75">
      <c r="A475">
        <v>485.77</v>
      </c>
      <c r="B475" s="25">
        <v>1</v>
      </c>
      <c r="C475">
        <v>239369.51849834999</v>
      </c>
      <c r="D475">
        <v>588915.83827855997</v>
      </c>
    </row>
    <row r="476" spans="1:4" ht="27" x14ac:dyDescent="0.75">
      <c r="A476">
        <v>485.76</v>
      </c>
      <c r="B476" s="25">
        <v>1</v>
      </c>
      <c r="C476">
        <v>239099.16827718</v>
      </c>
      <c r="D476">
        <v>586523.49831837998</v>
      </c>
    </row>
    <row r="477" spans="1:4" ht="27" x14ac:dyDescent="0.75">
      <c r="A477">
        <v>485.75</v>
      </c>
      <c r="B477" s="26">
        <v>1</v>
      </c>
      <c r="C477">
        <v>238829.92729148001</v>
      </c>
      <c r="D477">
        <v>584133.84536878997</v>
      </c>
    </row>
    <row r="478" spans="1:4" ht="27" x14ac:dyDescent="0.75">
      <c r="A478">
        <v>485.74</v>
      </c>
      <c r="B478" s="26">
        <v>1</v>
      </c>
      <c r="C478">
        <v>238561.67395594</v>
      </c>
      <c r="D478">
        <v>581746.90886284003</v>
      </c>
    </row>
    <row r="479" spans="1:4" ht="27" x14ac:dyDescent="0.75">
      <c r="A479">
        <v>485.73</v>
      </c>
      <c r="B479" s="26">
        <v>1</v>
      </c>
      <c r="C479">
        <v>238294.20091754</v>
      </c>
      <c r="D479">
        <v>579362.64141189004</v>
      </c>
    </row>
    <row r="480" spans="1:4" ht="27" x14ac:dyDescent="0.75">
      <c r="A480">
        <v>485.72</v>
      </c>
      <c r="B480" s="26">
        <v>1</v>
      </c>
      <c r="C480">
        <v>238027.56630015999</v>
      </c>
      <c r="D480">
        <v>576981.01853660995</v>
      </c>
    </row>
    <row r="481" spans="1:4" ht="27" x14ac:dyDescent="0.75">
      <c r="A481">
        <v>485.71</v>
      </c>
      <c r="B481" s="26">
        <v>1</v>
      </c>
      <c r="C481">
        <v>237761.58071574001</v>
      </c>
      <c r="D481">
        <v>574602.12255295995</v>
      </c>
    </row>
    <row r="482" spans="1:4" ht="27" x14ac:dyDescent="0.75">
      <c r="A482">
        <v>485.7</v>
      </c>
      <c r="B482" s="26">
        <v>1</v>
      </c>
      <c r="C482">
        <v>237496.41257638001</v>
      </c>
      <c r="D482">
        <v>572225.83531793999</v>
      </c>
    </row>
    <row r="483" spans="1:4" ht="27" x14ac:dyDescent="0.75">
      <c r="A483">
        <v>485.69</v>
      </c>
      <c r="B483" s="26">
        <v>1</v>
      </c>
      <c r="C483">
        <v>237231.9074617</v>
      </c>
      <c r="D483">
        <v>569852.21688477998</v>
      </c>
    </row>
    <row r="484" spans="1:4" ht="27" x14ac:dyDescent="0.75">
      <c r="A484">
        <v>485.68</v>
      </c>
      <c r="B484" s="26">
        <v>1</v>
      </c>
      <c r="C484">
        <v>236968.00744953001</v>
      </c>
      <c r="D484">
        <v>567481.26887631998</v>
      </c>
    </row>
    <row r="485" spans="1:4" ht="27" x14ac:dyDescent="0.75">
      <c r="A485">
        <v>485.67</v>
      </c>
      <c r="B485" s="26">
        <v>1</v>
      </c>
      <c r="C485">
        <v>236704.74054355</v>
      </c>
      <c r="D485">
        <v>565112.95472372998</v>
      </c>
    </row>
    <row r="486" spans="1:4" ht="27" x14ac:dyDescent="0.75">
      <c r="A486">
        <v>485.66</v>
      </c>
      <c r="B486" s="25">
        <v>1</v>
      </c>
      <c r="C486">
        <v>236442.14677259</v>
      </c>
      <c r="D486">
        <v>562747.24290903995</v>
      </c>
    </row>
    <row r="487" spans="1:4" ht="27" x14ac:dyDescent="0.75">
      <c r="A487">
        <v>485.65</v>
      </c>
      <c r="B487" s="25">
        <v>1</v>
      </c>
      <c r="C487">
        <v>236179.83532431</v>
      </c>
      <c r="D487">
        <v>560384.12602931005</v>
      </c>
    </row>
    <row r="488" spans="1:4" ht="27" x14ac:dyDescent="0.75">
      <c r="A488">
        <v>485.64</v>
      </c>
      <c r="B488" s="25">
        <v>1</v>
      </c>
      <c r="C488">
        <v>235917.71964001001</v>
      </c>
      <c r="D488">
        <v>558023.66807031003</v>
      </c>
    </row>
    <row r="489" spans="1:4" ht="27" x14ac:dyDescent="0.75">
      <c r="A489">
        <v>485.63</v>
      </c>
      <c r="B489" s="25">
        <v>1</v>
      </c>
      <c r="C489">
        <v>235655.38246575999</v>
      </c>
      <c r="D489">
        <v>555665.84166577004</v>
      </c>
    </row>
    <row r="490" spans="1:4" ht="27" x14ac:dyDescent="0.75">
      <c r="A490">
        <v>485.62</v>
      </c>
      <c r="B490" s="25">
        <v>1</v>
      </c>
      <c r="C490">
        <v>235392.05050931999</v>
      </c>
      <c r="D490">
        <v>553310.67915202002</v>
      </c>
    </row>
    <row r="491" spans="1:4" ht="27" x14ac:dyDescent="0.75">
      <c r="A491">
        <v>485.61</v>
      </c>
      <c r="B491" s="25">
        <v>1</v>
      </c>
      <c r="C491">
        <v>235125.90800406999</v>
      </c>
      <c r="D491">
        <v>550958.13400095003</v>
      </c>
    </row>
    <row r="492" spans="1:4" ht="27" x14ac:dyDescent="0.75">
      <c r="A492">
        <v>485.6</v>
      </c>
      <c r="B492" s="25">
        <v>1</v>
      </c>
      <c r="C492">
        <v>234743.02694717</v>
      </c>
      <c r="D492">
        <v>548608.26030213002</v>
      </c>
    </row>
    <row r="493" spans="1:4" ht="27" x14ac:dyDescent="0.75">
      <c r="A493">
        <v>485.59</v>
      </c>
      <c r="B493" s="25">
        <v>1</v>
      </c>
      <c r="C493">
        <v>234326.97296014</v>
      </c>
      <c r="D493">
        <v>546263.60196601995</v>
      </c>
    </row>
    <row r="494" spans="1:4" ht="27" x14ac:dyDescent="0.75">
      <c r="A494">
        <v>485.58</v>
      </c>
      <c r="B494" s="25">
        <v>1</v>
      </c>
      <c r="C494">
        <v>234076.99697447999</v>
      </c>
      <c r="D494">
        <v>543921.58001476002</v>
      </c>
    </row>
    <row r="495" spans="1:4" ht="27" x14ac:dyDescent="0.75">
      <c r="A495">
        <v>485.57</v>
      </c>
      <c r="B495" s="25">
        <v>1</v>
      </c>
      <c r="C495">
        <v>233828.93910394001</v>
      </c>
      <c r="D495">
        <v>541582.06636397995</v>
      </c>
    </row>
    <row r="496" spans="1:4" ht="27" x14ac:dyDescent="0.75">
      <c r="A496">
        <v>485.56</v>
      </c>
      <c r="B496" s="25">
        <v>1</v>
      </c>
      <c r="C496">
        <v>233581.19541904001</v>
      </c>
      <c r="D496">
        <v>539245.01924320997</v>
      </c>
    </row>
    <row r="497" spans="1:4" ht="27" x14ac:dyDescent="0.75">
      <c r="A497">
        <v>485.55</v>
      </c>
      <c r="B497" s="25">
        <v>1</v>
      </c>
      <c r="C497">
        <v>233333.45777044</v>
      </c>
      <c r="D497">
        <v>536910.40878339997</v>
      </c>
    </row>
    <row r="498" spans="1:4" ht="27" x14ac:dyDescent="0.75">
      <c r="A498">
        <v>485.54</v>
      </c>
      <c r="B498" s="25">
        <v>1</v>
      </c>
      <c r="C498">
        <v>233085.62996829001</v>
      </c>
      <c r="D498">
        <v>534578.30043045001</v>
      </c>
    </row>
    <row r="499" spans="1:4" ht="27" x14ac:dyDescent="0.75">
      <c r="A499">
        <v>485.53</v>
      </c>
      <c r="B499" s="25">
        <v>1</v>
      </c>
      <c r="C499">
        <v>232837.77615262999</v>
      </c>
      <c r="D499">
        <v>532248.65128015995</v>
      </c>
    </row>
    <row r="500" spans="1:4" ht="27" x14ac:dyDescent="0.75">
      <c r="A500">
        <v>485.52</v>
      </c>
      <c r="B500" s="25">
        <v>1</v>
      </c>
      <c r="C500">
        <v>232589.94316538001</v>
      </c>
      <c r="D500">
        <v>529921.50199370994</v>
      </c>
    </row>
    <row r="501" spans="1:4" ht="27" x14ac:dyDescent="0.75">
      <c r="A501">
        <v>485.51</v>
      </c>
      <c r="B501" s="25">
        <v>1</v>
      </c>
      <c r="C501">
        <v>232342.04349216999</v>
      </c>
      <c r="D501">
        <v>527596.81052447006</v>
      </c>
    </row>
    <row r="502" spans="1:4" ht="27" x14ac:dyDescent="0.75">
      <c r="A502">
        <v>485.5</v>
      </c>
      <c r="B502" s="25">
        <v>1</v>
      </c>
      <c r="C502">
        <v>232094.09594253</v>
      </c>
      <c r="D502">
        <v>525274.65430576995</v>
      </c>
    </row>
    <row r="503" spans="1:4" ht="27" x14ac:dyDescent="0.75">
      <c r="A503">
        <v>485.49</v>
      </c>
      <c r="B503" s="25">
        <v>1</v>
      </c>
      <c r="C503">
        <v>231845.98112466</v>
      </c>
      <c r="D503">
        <v>522954.96025450999</v>
      </c>
    </row>
    <row r="504" spans="1:4" ht="27" x14ac:dyDescent="0.75">
      <c r="A504">
        <v>485.48</v>
      </c>
      <c r="B504" s="25">
        <v>1</v>
      </c>
      <c r="C504">
        <v>231597.69369394</v>
      </c>
      <c r="D504">
        <v>520637.78312152001</v>
      </c>
    </row>
    <row r="505" spans="1:4" ht="27" x14ac:dyDescent="0.75">
      <c r="A505">
        <v>485.47</v>
      </c>
      <c r="B505" s="25">
        <v>1</v>
      </c>
      <c r="C505">
        <v>231349.24132129</v>
      </c>
      <c r="D505">
        <v>518323.07116748998</v>
      </c>
    </row>
    <row r="506" spans="1:4" ht="27" x14ac:dyDescent="0.75">
      <c r="A506">
        <v>485.46</v>
      </c>
      <c r="B506" s="25">
        <v>1</v>
      </c>
      <c r="C506">
        <v>231100.62984352</v>
      </c>
      <c r="D506">
        <v>516010.89440763998</v>
      </c>
    </row>
    <row r="507" spans="1:4" ht="27" x14ac:dyDescent="0.75">
      <c r="A507">
        <v>485.45</v>
      </c>
      <c r="B507" s="25">
        <v>1</v>
      </c>
      <c r="C507">
        <v>230851.89176453001</v>
      </c>
      <c r="D507">
        <v>513701.11024279997</v>
      </c>
    </row>
    <row r="508" spans="1:4" ht="27" x14ac:dyDescent="0.75">
      <c r="A508">
        <v>485.44</v>
      </c>
      <c r="B508" s="25">
        <v>1</v>
      </c>
      <c r="C508">
        <v>230602.83493094999</v>
      </c>
      <c r="D508">
        <v>511393.84960727999</v>
      </c>
    </row>
    <row r="509" spans="1:4" ht="27" x14ac:dyDescent="0.75">
      <c r="A509">
        <v>485.43</v>
      </c>
      <c r="B509" s="25">
        <v>1</v>
      </c>
      <c r="C509">
        <v>230353.60552863</v>
      </c>
      <c r="D509">
        <v>509089.07338109001</v>
      </c>
    </row>
    <row r="510" spans="1:4" ht="27" x14ac:dyDescent="0.75">
      <c r="A510">
        <v>485.42</v>
      </c>
      <c r="B510" s="25">
        <v>1</v>
      </c>
      <c r="C510">
        <v>230103.87316707999</v>
      </c>
      <c r="D510">
        <v>506786.78438218002</v>
      </c>
    </row>
    <row r="511" spans="1:4" ht="27" x14ac:dyDescent="0.75">
      <c r="A511">
        <v>485.41</v>
      </c>
      <c r="B511" s="25">
        <v>1</v>
      </c>
      <c r="C511">
        <v>229852.20902303999</v>
      </c>
      <c r="D511">
        <v>504486.99928752001</v>
      </c>
    </row>
    <row r="512" spans="1:4" ht="27" x14ac:dyDescent="0.75">
      <c r="A512">
        <v>485.4</v>
      </c>
      <c r="B512" s="25">
        <v>1</v>
      </c>
      <c r="C512">
        <v>229350.63865822999</v>
      </c>
      <c r="D512">
        <v>502189.70251736999</v>
      </c>
    </row>
    <row r="513" spans="1:4" ht="27" x14ac:dyDescent="0.75">
      <c r="A513">
        <v>485.39</v>
      </c>
      <c r="B513" s="26">
        <v>1</v>
      </c>
      <c r="C513">
        <v>229014.36321901999</v>
      </c>
      <c r="D513">
        <v>499898.34232579003</v>
      </c>
    </row>
    <row r="514" spans="1:4" ht="27" x14ac:dyDescent="0.75">
      <c r="A514">
        <v>485.38</v>
      </c>
      <c r="B514" s="26">
        <v>1</v>
      </c>
      <c r="C514">
        <v>228811.51231647001</v>
      </c>
      <c r="D514">
        <v>497609.18775972998</v>
      </c>
    </row>
    <row r="515" spans="1:4" ht="27" x14ac:dyDescent="0.75">
      <c r="A515">
        <v>485.37</v>
      </c>
      <c r="B515" s="26">
        <v>1</v>
      </c>
      <c r="C515">
        <v>228611.78698947001</v>
      </c>
      <c r="D515">
        <v>495322.06876214</v>
      </c>
    </row>
    <row r="516" spans="1:4" ht="27" x14ac:dyDescent="0.75">
      <c r="A516">
        <v>485.36</v>
      </c>
      <c r="B516" s="26">
        <v>1</v>
      </c>
      <c r="C516">
        <v>228412.95247185</v>
      </c>
      <c r="D516">
        <v>493036.94658381998</v>
      </c>
    </row>
    <row r="517" spans="1:4" ht="27" x14ac:dyDescent="0.75">
      <c r="A517">
        <v>485.35</v>
      </c>
      <c r="B517" s="26">
        <v>1</v>
      </c>
      <c r="C517">
        <v>228214.54655959</v>
      </c>
      <c r="D517">
        <v>490753.81267123</v>
      </c>
    </row>
    <row r="518" spans="1:4" ht="27" x14ac:dyDescent="0.75">
      <c r="A518">
        <v>485.34</v>
      </c>
      <c r="B518" s="26">
        <v>1</v>
      </c>
      <c r="C518">
        <v>228015.88212610999</v>
      </c>
      <c r="D518">
        <v>488472.67137672001</v>
      </c>
    </row>
    <row r="519" spans="1:4" ht="27" x14ac:dyDescent="0.75">
      <c r="A519">
        <v>485.33</v>
      </c>
      <c r="B519" s="26">
        <v>1</v>
      </c>
      <c r="C519">
        <v>227816.80629184001</v>
      </c>
      <c r="D519">
        <v>486193.50394970999</v>
      </c>
    </row>
    <row r="520" spans="1:4" ht="27" x14ac:dyDescent="0.75">
      <c r="A520">
        <v>485.32</v>
      </c>
      <c r="B520" s="26">
        <v>1</v>
      </c>
      <c r="C520">
        <v>227617.24406863999</v>
      </c>
      <c r="D520">
        <v>483916.35583706998</v>
      </c>
    </row>
    <row r="521" spans="1:4" ht="27" x14ac:dyDescent="0.75">
      <c r="A521">
        <v>485.31</v>
      </c>
      <c r="B521" s="26">
        <v>1</v>
      </c>
      <c r="C521">
        <v>227417.19304665001</v>
      </c>
      <c r="D521">
        <v>481641.20210285002</v>
      </c>
    </row>
    <row r="522" spans="1:4" ht="27" x14ac:dyDescent="0.75">
      <c r="A522">
        <v>485.3</v>
      </c>
      <c r="B522" s="25">
        <v>1</v>
      </c>
      <c r="C522">
        <v>227216.61728817</v>
      </c>
      <c r="D522">
        <v>479368.03249481</v>
      </c>
    </row>
    <row r="523" spans="1:4" ht="27" x14ac:dyDescent="0.75">
      <c r="A523">
        <v>485.29</v>
      </c>
      <c r="B523" s="25">
        <v>1</v>
      </c>
      <c r="C523">
        <v>227015.22529758001</v>
      </c>
      <c r="D523">
        <v>477096.88728049002</v>
      </c>
    </row>
    <row r="524" spans="1:4" ht="27" x14ac:dyDescent="0.75">
      <c r="A524">
        <v>485.28</v>
      </c>
      <c r="B524" s="25">
        <v>1</v>
      </c>
      <c r="C524">
        <v>226813.11176946</v>
      </c>
      <c r="D524">
        <v>474827.78744056</v>
      </c>
    </row>
    <row r="525" spans="1:4" ht="27" x14ac:dyDescent="0.75">
      <c r="A525">
        <v>485.27</v>
      </c>
      <c r="B525" s="25">
        <v>1</v>
      </c>
      <c r="C525">
        <v>226610.26652120001</v>
      </c>
      <c r="D525">
        <v>472560.67654238001</v>
      </c>
    </row>
    <row r="526" spans="1:4" ht="27" x14ac:dyDescent="0.75">
      <c r="A526">
        <v>485.26</v>
      </c>
      <c r="B526" s="25">
        <v>1</v>
      </c>
      <c r="C526">
        <v>226406.71524113</v>
      </c>
      <c r="D526">
        <v>470295.56102985999</v>
      </c>
    </row>
    <row r="527" spans="1:4" ht="27" x14ac:dyDescent="0.75">
      <c r="A527">
        <v>485.25</v>
      </c>
      <c r="B527" s="25">
        <v>1</v>
      </c>
      <c r="C527">
        <v>226202.39906766999</v>
      </c>
      <c r="D527">
        <v>468032.54760374001</v>
      </c>
    </row>
    <row r="528" spans="1:4" ht="27" x14ac:dyDescent="0.75">
      <c r="A528">
        <v>485.24</v>
      </c>
      <c r="B528" s="25">
        <v>1</v>
      </c>
      <c r="C528">
        <v>225997.10709646999</v>
      </c>
      <c r="D528">
        <v>465771.53774538997</v>
      </c>
    </row>
    <row r="529" spans="1:4" ht="27" x14ac:dyDescent="0.75">
      <c r="A529">
        <v>485.23</v>
      </c>
      <c r="B529" s="25">
        <v>1</v>
      </c>
      <c r="C529">
        <v>225790.77073518999</v>
      </c>
      <c r="D529">
        <v>463512.67333323002</v>
      </c>
    </row>
    <row r="530" spans="1:4" ht="27" x14ac:dyDescent="0.75">
      <c r="A530">
        <v>485.22</v>
      </c>
      <c r="B530" s="25">
        <v>1</v>
      </c>
      <c r="C530">
        <v>225582.92216469999</v>
      </c>
      <c r="D530">
        <v>461255.83638095</v>
      </c>
    </row>
    <row r="531" spans="1:4" ht="27" x14ac:dyDescent="0.75">
      <c r="A531">
        <v>485.21</v>
      </c>
      <c r="B531" s="25">
        <v>1</v>
      </c>
      <c r="C531">
        <v>225371.73517391001</v>
      </c>
      <c r="D531">
        <v>459001.06916880998</v>
      </c>
    </row>
    <row r="532" spans="1:4" ht="27" x14ac:dyDescent="0.75">
      <c r="A532">
        <v>485.2</v>
      </c>
      <c r="B532" s="25">
        <v>1</v>
      </c>
      <c r="C532">
        <v>224833.87420865</v>
      </c>
      <c r="D532">
        <v>456748.44411292003</v>
      </c>
    </row>
    <row r="533" spans="1:4" ht="27" x14ac:dyDescent="0.75">
      <c r="A533">
        <v>485.19</v>
      </c>
      <c r="B533" s="25">
        <v>1</v>
      </c>
      <c r="C533">
        <v>224582.82464671001</v>
      </c>
      <c r="D533">
        <v>454501.38017447002</v>
      </c>
    </row>
    <row r="534" spans="1:4" ht="27" x14ac:dyDescent="0.75">
      <c r="A534">
        <v>485.18</v>
      </c>
      <c r="B534" s="25">
        <v>1</v>
      </c>
      <c r="C534">
        <v>224366.38714810999</v>
      </c>
      <c r="D534">
        <v>452256.63055377</v>
      </c>
    </row>
    <row r="535" spans="1:4" ht="27" x14ac:dyDescent="0.75">
      <c r="A535">
        <v>485.17</v>
      </c>
      <c r="B535" s="25">
        <v>1</v>
      </c>
      <c r="C535">
        <v>224154.35958558999</v>
      </c>
      <c r="D535">
        <v>450014.03986637999</v>
      </c>
    </row>
    <row r="536" spans="1:4" ht="27" x14ac:dyDescent="0.75">
      <c r="A536">
        <v>485.16</v>
      </c>
      <c r="B536" s="25">
        <v>1</v>
      </c>
      <c r="C536">
        <v>223944.09890285999</v>
      </c>
      <c r="D536">
        <v>447773.56914598</v>
      </c>
    </row>
    <row r="537" spans="1:4" ht="27" x14ac:dyDescent="0.75">
      <c r="A537">
        <v>485.15</v>
      </c>
      <c r="B537" s="25">
        <v>1</v>
      </c>
      <c r="C537">
        <v>223735.15156835</v>
      </c>
      <c r="D537">
        <v>445535.19833430997</v>
      </c>
    </row>
    <row r="538" spans="1:4" ht="27" x14ac:dyDescent="0.75">
      <c r="A538">
        <v>485.14</v>
      </c>
      <c r="B538" s="25">
        <v>1</v>
      </c>
      <c r="C538">
        <v>223526.97003664001</v>
      </c>
      <c r="D538">
        <v>443298.90985429997</v>
      </c>
    </row>
    <row r="539" spans="1:4" ht="27" x14ac:dyDescent="0.75">
      <c r="A539">
        <v>485.13</v>
      </c>
      <c r="B539" s="25">
        <v>1</v>
      </c>
      <c r="C539">
        <v>223319.30960189001</v>
      </c>
      <c r="D539">
        <v>441064.66733452003</v>
      </c>
    </row>
    <row r="540" spans="1:4" ht="27" x14ac:dyDescent="0.75">
      <c r="A540">
        <v>485.12</v>
      </c>
      <c r="B540" s="25">
        <v>1</v>
      </c>
      <c r="C540">
        <v>223112.03223641001</v>
      </c>
      <c r="D540">
        <v>438832.48246699001</v>
      </c>
    </row>
    <row r="541" spans="1:4" ht="27" x14ac:dyDescent="0.75">
      <c r="A541">
        <v>485.11</v>
      </c>
      <c r="B541" s="25">
        <v>1</v>
      </c>
      <c r="C541">
        <v>222905.05461182</v>
      </c>
      <c r="D541">
        <v>436602.41774721001</v>
      </c>
    </row>
    <row r="542" spans="1:4" ht="27" x14ac:dyDescent="0.75">
      <c r="A542">
        <v>485.1</v>
      </c>
      <c r="B542" s="25">
        <v>1</v>
      </c>
      <c r="C542">
        <v>222698.39422784999</v>
      </c>
      <c r="D542">
        <v>434374.43155750999</v>
      </c>
    </row>
    <row r="543" spans="1:4" ht="27" x14ac:dyDescent="0.75">
      <c r="A543">
        <v>485.09</v>
      </c>
      <c r="B543" s="25">
        <v>1</v>
      </c>
      <c r="C543">
        <v>222492.01500928</v>
      </c>
      <c r="D543">
        <v>432148.48107411998</v>
      </c>
    </row>
    <row r="544" spans="1:4" ht="27" x14ac:dyDescent="0.75">
      <c r="A544">
        <v>485.08</v>
      </c>
      <c r="B544" s="25">
        <v>1</v>
      </c>
      <c r="C544">
        <v>222285.72445219001</v>
      </c>
      <c r="D544">
        <v>429924.62779896997</v>
      </c>
    </row>
    <row r="545" spans="1:4" ht="27" x14ac:dyDescent="0.75">
      <c r="A545">
        <v>485.07</v>
      </c>
      <c r="B545" s="25">
        <v>1</v>
      </c>
      <c r="C545">
        <v>222079.61974657999</v>
      </c>
      <c r="D545">
        <v>427702.81621675001</v>
      </c>
    </row>
    <row r="546" spans="1:4" ht="27" x14ac:dyDescent="0.75">
      <c r="A546">
        <v>485.06</v>
      </c>
      <c r="B546" s="25">
        <v>1</v>
      </c>
      <c r="C546">
        <v>221873.61677756</v>
      </c>
      <c r="D546">
        <v>425483.09000467003</v>
      </c>
    </row>
    <row r="547" spans="1:4" ht="27" x14ac:dyDescent="0.75">
      <c r="A547">
        <v>485.05</v>
      </c>
      <c r="B547" s="25">
        <v>1</v>
      </c>
      <c r="C547">
        <v>221667.65927159999</v>
      </c>
      <c r="D547">
        <v>423265.39893313003</v>
      </c>
    </row>
    <row r="548" spans="1:4" ht="27" x14ac:dyDescent="0.75">
      <c r="A548">
        <v>485.04</v>
      </c>
      <c r="B548" s="25">
        <v>1</v>
      </c>
      <c r="C548">
        <v>221461.69237907001</v>
      </c>
      <c r="D548">
        <v>421049.75704753998</v>
      </c>
    </row>
    <row r="549" spans="1:4" ht="27" x14ac:dyDescent="0.75">
      <c r="A549">
        <v>485.03</v>
      </c>
      <c r="B549" s="26">
        <v>1</v>
      </c>
      <c r="C549">
        <v>221255.55957595</v>
      </c>
      <c r="D549">
        <v>418836.15231521003</v>
      </c>
    </row>
    <row r="550" spans="1:4" ht="27" x14ac:dyDescent="0.75">
      <c r="A550">
        <v>485.02</v>
      </c>
      <c r="B550" s="26">
        <v>1</v>
      </c>
      <c r="C550">
        <v>221048.71946137</v>
      </c>
      <c r="D550">
        <v>416624.68671699998</v>
      </c>
    </row>
    <row r="551" spans="1:4" ht="27" x14ac:dyDescent="0.75">
      <c r="A551">
        <v>485.01</v>
      </c>
      <c r="B551" s="26">
        <v>1</v>
      </c>
      <c r="C551">
        <v>220839.51992306</v>
      </c>
      <c r="D551">
        <v>414415.26010676002</v>
      </c>
    </row>
    <row r="552" spans="1:4" ht="27" x14ac:dyDescent="0.75">
      <c r="A552">
        <v>485</v>
      </c>
      <c r="B552" s="26">
        <v>1</v>
      </c>
      <c r="C552">
        <v>220592.35509863001</v>
      </c>
      <c r="D552">
        <v>412208.02685457002</v>
      </c>
    </row>
    <row r="553" spans="1:4" ht="27" x14ac:dyDescent="0.75">
      <c r="A553">
        <v>484.99</v>
      </c>
      <c r="B553" s="26">
        <v>1</v>
      </c>
      <c r="C553">
        <v>220075.32952698</v>
      </c>
      <c r="D553">
        <v>410005.97727946</v>
      </c>
    </row>
    <row r="554" spans="1:4" ht="27" x14ac:dyDescent="0.75">
      <c r="A554">
        <v>484.98</v>
      </c>
      <c r="B554" s="26">
        <v>1</v>
      </c>
      <c r="C554">
        <v>219851.20417332</v>
      </c>
      <c r="D554">
        <v>407806.33159416</v>
      </c>
    </row>
    <row r="555" spans="1:4" ht="27" x14ac:dyDescent="0.75">
      <c r="A555">
        <v>484.97</v>
      </c>
      <c r="B555" s="26">
        <v>1</v>
      </c>
      <c r="C555">
        <v>219630.2533175</v>
      </c>
      <c r="D555">
        <v>405608.91232762998</v>
      </c>
    </row>
    <row r="556" spans="1:4" ht="27" x14ac:dyDescent="0.75">
      <c r="A556">
        <v>484.96</v>
      </c>
      <c r="B556" s="26">
        <v>1</v>
      </c>
      <c r="C556">
        <v>219411.42491788999</v>
      </c>
      <c r="D556">
        <v>403413.70691493002</v>
      </c>
    </row>
    <row r="557" spans="1:4" ht="27" x14ac:dyDescent="0.75">
      <c r="A557">
        <v>484.95</v>
      </c>
      <c r="B557" s="26">
        <v>1</v>
      </c>
      <c r="C557">
        <v>219194.02693957</v>
      </c>
      <c r="D557">
        <v>401220.69661011</v>
      </c>
    </row>
    <row r="558" spans="1:4" ht="27" x14ac:dyDescent="0.75">
      <c r="A558">
        <v>484.94</v>
      </c>
      <c r="B558" s="25">
        <v>1</v>
      </c>
      <c r="C558">
        <v>218977.69649238</v>
      </c>
      <c r="D558">
        <v>399029.85524966998</v>
      </c>
    </row>
    <row r="559" spans="1:4" ht="27" x14ac:dyDescent="0.75">
      <c r="A559">
        <v>484.93</v>
      </c>
      <c r="B559" s="25">
        <v>1</v>
      </c>
      <c r="C559">
        <v>218762.69441078001</v>
      </c>
      <c r="D559">
        <v>396841.17374305998</v>
      </c>
    </row>
    <row r="560" spans="1:4" ht="27" x14ac:dyDescent="0.75">
      <c r="A560">
        <v>484.92</v>
      </c>
      <c r="B560" s="25">
        <v>1</v>
      </c>
      <c r="C560">
        <v>218548.74086749001</v>
      </c>
      <c r="D560">
        <v>394654.67500802001</v>
      </c>
    </row>
    <row r="561" spans="1:4" ht="27" x14ac:dyDescent="0.75">
      <c r="A561">
        <v>484.91</v>
      </c>
      <c r="B561" s="25">
        <v>1</v>
      </c>
      <c r="C561">
        <v>218335.63539626999</v>
      </c>
      <c r="D561">
        <v>392470.27949274</v>
      </c>
    </row>
    <row r="562" spans="1:4" ht="27" x14ac:dyDescent="0.75">
      <c r="A562">
        <v>484.9</v>
      </c>
      <c r="B562" s="25">
        <v>1</v>
      </c>
      <c r="C562">
        <v>218123.70747446999</v>
      </c>
      <c r="D562">
        <v>390288.00182662997</v>
      </c>
    </row>
    <row r="563" spans="1:4" ht="27" x14ac:dyDescent="0.75">
      <c r="A563">
        <v>484.89</v>
      </c>
      <c r="B563" s="25">
        <v>1</v>
      </c>
      <c r="C563">
        <v>217912.70155845999</v>
      </c>
      <c r="D563">
        <v>388107.80293746002</v>
      </c>
    </row>
    <row r="564" spans="1:4" ht="27" x14ac:dyDescent="0.75">
      <c r="A564">
        <v>484.88</v>
      </c>
      <c r="B564" s="25">
        <v>1</v>
      </c>
      <c r="C564">
        <v>217702.57008474</v>
      </c>
      <c r="D564">
        <v>385929.73679378</v>
      </c>
    </row>
    <row r="565" spans="1:4" ht="27" x14ac:dyDescent="0.75">
      <c r="A565">
        <v>484.87</v>
      </c>
      <c r="B565" s="25">
        <v>1</v>
      </c>
      <c r="C565">
        <v>217493.24460809</v>
      </c>
      <c r="D565">
        <v>383753.78914816998</v>
      </c>
    </row>
    <row r="566" spans="1:4" ht="27" x14ac:dyDescent="0.75">
      <c r="A566">
        <v>484.86</v>
      </c>
      <c r="B566" s="25">
        <v>1</v>
      </c>
      <c r="C566">
        <v>217284.60440427999</v>
      </c>
      <c r="D566">
        <v>381579.89566317998</v>
      </c>
    </row>
    <row r="567" spans="1:4" ht="27" x14ac:dyDescent="0.75">
      <c r="A567">
        <v>484.85</v>
      </c>
      <c r="B567" s="25">
        <v>1</v>
      </c>
      <c r="C567">
        <v>217076.53488570999</v>
      </c>
      <c r="D567">
        <v>379408.12633109</v>
      </c>
    </row>
    <row r="568" spans="1:4" ht="27" x14ac:dyDescent="0.75">
      <c r="A568">
        <v>484.84</v>
      </c>
      <c r="B568" s="25">
        <v>1</v>
      </c>
      <c r="C568">
        <v>216869.08641978999</v>
      </c>
      <c r="D568">
        <v>377238.43371582002</v>
      </c>
    </row>
    <row r="569" spans="1:4" ht="27" x14ac:dyDescent="0.75">
      <c r="A569">
        <v>484.83</v>
      </c>
      <c r="B569" s="25">
        <v>1</v>
      </c>
      <c r="C569">
        <v>216661.77375846001</v>
      </c>
      <c r="D569">
        <v>375070.84091129998</v>
      </c>
    </row>
    <row r="570" spans="1:4" ht="27" x14ac:dyDescent="0.75">
      <c r="A570">
        <v>484.82</v>
      </c>
      <c r="B570" s="25">
        <v>1</v>
      </c>
      <c r="C570">
        <v>216453.96115962</v>
      </c>
      <c r="D570">
        <v>372905.31290224998</v>
      </c>
    </row>
    <row r="571" spans="1:4" ht="27" x14ac:dyDescent="0.75">
      <c r="A571">
        <v>484.81</v>
      </c>
      <c r="B571" s="25">
        <v>1</v>
      </c>
      <c r="C571">
        <v>216243.45272104</v>
      </c>
      <c r="D571">
        <v>370741.87834758998</v>
      </c>
    </row>
    <row r="572" spans="1:4" ht="27" x14ac:dyDescent="0.75">
      <c r="A572">
        <v>484.8</v>
      </c>
      <c r="B572" s="25">
        <v>1</v>
      </c>
      <c r="C572">
        <v>216000.91047912001</v>
      </c>
      <c r="D572">
        <v>368580.60581832001</v>
      </c>
    </row>
    <row r="573" spans="1:4" ht="27" x14ac:dyDescent="0.75">
      <c r="A573">
        <v>484.79</v>
      </c>
      <c r="B573" s="25">
        <v>1</v>
      </c>
      <c r="C573">
        <v>215499.75496814001</v>
      </c>
      <c r="D573">
        <v>366424.12524030998</v>
      </c>
    </row>
    <row r="574" spans="1:4" ht="27" x14ac:dyDescent="0.75">
      <c r="A574">
        <v>484.78</v>
      </c>
      <c r="B574" s="25">
        <v>1</v>
      </c>
      <c r="C574">
        <v>215238.24718377</v>
      </c>
      <c r="D574">
        <v>364270.44385778002</v>
      </c>
    </row>
    <row r="575" spans="1:4" ht="27" x14ac:dyDescent="0.75">
      <c r="A575">
        <v>484.77</v>
      </c>
      <c r="B575" s="25">
        <v>1</v>
      </c>
      <c r="C575">
        <v>214978.94443693999</v>
      </c>
      <c r="D575">
        <v>362119.38084549003</v>
      </c>
    </row>
    <row r="576" spans="1:4" ht="27" x14ac:dyDescent="0.75">
      <c r="A576">
        <v>484.76</v>
      </c>
      <c r="B576" s="25">
        <v>1</v>
      </c>
      <c r="C576">
        <v>214720.10216251999</v>
      </c>
      <c r="D576">
        <v>359970.89538056997</v>
      </c>
    </row>
    <row r="577" spans="1:4" ht="27" x14ac:dyDescent="0.75">
      <c r="A577">
        <v>484.75</v>
      </c>
      <c r="B577" s="25">
        <v>1</v>
      </c>
      <c r="C577">
        <v>214461.12977484</v>
      </c>
      <c r="D577">
        <v>357825.02183811</v>
      </c>
    </row>
    <row r="578" spans="1:4" ht="27" x14ac:dyDescent="0.75">
      <c r="A578">
        <v>484.74</v>
      </c>
      <c r="B578" s="25">
        <v>1</v>
      </c>
      <c r="C578">
        <v>214201.86222807001</v>
      </c>
      <c r="D578">
        <v>355681.69250841002</v>
      </c>
    </row>
    <row r="579" spans="1:4" ht="27" x14ac:dyDescent="0.75">
      <c r="A579">
        <v>484.73</v>
      </c>
      <c r="B579" s="25">
        <v>1</v>
      </c>
      <c r="C579">
        <v>213942.30910685999</v>
      </c>
      <c r="D579">
        <v>353540.97719091002</v>
      </c>
    </row>
    <row r="580" spans="1:4" ht="27" x14ac:dyDescent="0.75">
      <c r="A580">
        <v>484.72</v>
      </c>
      <c r="B580" s="25">
        <v>1</v>
      </c>
      <c r="C580">
        <v>213682.51451477999</v>
      </c>
      <c r="D580">
        <v>351402.86999171</v>
      </c>
    </row>
    <row r="581" spans="1:4" ht="27" x14ac:dyDescent="0.75">
      <c r="A581">
        <v>484.71</v>
      </c>
      <c r="B581" s="25">
        <v>1</v>
      </c>
      <c r="C581">
        <v>213422.41742489999</v>
      </c>
      <c r="D581">
        <v>349267.38350872998</v>
      </c>
    </row>
    <row r="582" spans="1:4" ht="27" x14ac:dyDescent="0.75">
      <c r="A582">
        <v>484.7</v>
      </c>
      <c r="B582" s="25">
        <v>1</v>
      </c>
      <c r="C582">
        <v>213161.97080817001</v>
      </c>
      <c r="D582">
        <v>347134.45540630003</v>
      </c>
    </row>
    <row r="583" spans="1:4" ht="27" x14ac:dyDescent="0.75">
      <c r="A583">
        <v>484.69</v>
      </c>
      <c r="B583" s="25">
        <v>1</v>
      </c>
      <c r="C583">
        <v>212901.18733814999</v>
      </c>
      <c r="D583">
        <v>345004.17960521003</v>
      </c>
    </row>
    <row r="584" spans="1:4" ht="27" x14ac:dyDescent="0.75">
      <c r="A584">
        <v>484.68</v>
      </c>
      <c r="B584" s="25">
        <v>1</v>
      </c>
      <c r="C584">
        <v>212639.88397240001</v>
      </c>
      <c r="D584">
        <v>342876.50871814002</v>
      </c>
    </row>
    <row r="585" spans="1:4" ht="27" x14ac:dyDescent="0.75">
      <c r="A585">
        <v>484.67</v>
      </c>
      <c r="B585" s="26">
        <v>1</v>
      </c>
      <c r="C585">
        <v>212378.27835419</v>
      </c>
      <c r="D585">
        <v>340751.46455477999</v>
      </c>
    </row>
    <row r="586" spans="1:4" ht="27" x14ac:dyDescent="0.75">
      <c r="A586">
        <v>484.66</v>
      </c>
      <c r="B586" s="26">
        <v>1</v>
      </c>
      <c r="C586">
        <v>212116.13510104999</v>
      </c>
      <c r="D586">
        <v>338629.02949371003</v>
      </c>
    </row>
    <row r="587" spans="1:4" ht="27" x14ac:dyDescent="0.75">
      <c r="A587">
        <v>484.65</v>
      </c>
      <c r="B587" s="26">
        <v>1</v>
      </c>
      <c r="C587">
        <v>211853.34009149001</v>
      </c>
      <c r="D587">
        <v>336509.21255175001</v>
      </c>
    </row>
    <row r="588" spans="1:4" ht="27" x14ac:dyDescent="0.75">
      <c r="A588">
        <v>484.64</v>
      </c>
      <c r="B588" s="26">
        <v>1</v>
      </c>
      <c r="C588">
        <v>211589.68934559001</v>
      </c>
      <c r="D588">
        <v>334392.01495114999</v>
      </c>
    </row>
    <row r="589" spans="1:4" ht="27" x14ac:dyDescent="0.75">
      <c r="A589">
        <v>484.63</v>
      </c>
      <c r="B589" s="26">
        <v>1</v>
      </c>
      <c r="C589">
        <v>211325.00902478999</v>
      </c>
      <c r="D589">
        <v>332277.47757589997</v>
      </c>
    </row>
    <row r="590" spans="1:4" ht="27" x14ac:dyDescent="0.75">
      <c r="A590">
        <v>484.62</v>
      </c>
      <c r="B590" s="26">
        <v>1</v>
      </c>
      <c r="C590">
        <v>211058.27770944999</v>
      </c>
      <c r="D590">
        <v>330165.61958129</v>
      </c>
    </row>
    <row r="591" spans="1:4" ht="27" x14ac:dyDescent="0.75">
      <c r="A591">
        <v>484.61</v>
      </c>
      <c r="B591" s="26">
        <v>1</v>
      </c>
      <c r="C591">
        <v>210786.34594015</v>
      </c>
      <c r="D591">
        <v>328056.45311079</v>
      </c>
    </row>
    <row r="592" spans="1:4" ht="27" x14ac:dyDescent="0.75">
      <c r="A592">
        <v>484.6</v>
      </c>
      <c r="B592" s="26">
        <v>1</v>
      </c>
      <c r="C592">
        <v>210219.79659842001</v>
      </c>
      <c r="D592">
        <v>325949.91860506003</v>
      </c>
    </row>
    <row r="593" spans="1:4" ht="27" x14ac:dyDescent="0.75">
      <c r="A593">
        <v>484.59</v>
      </c>
      <c r="B593" s="26">
        <v>1</v>
      </c>
      <c r="C593">
        <v>209900.90001909001</v>
      </c>
      <c r="D593">
        <v>323849.41524250002</v>
      </c>
    </row>
    <row r="594" spans="1:4" ht="27" x14ac:dyDescent="0.75">
      <c r="A594">
        <v>484.58</v>
      </c>
      <c r="B594" s="25">
        <v>1</v>
      </c>
      <c r="C594">
        <v>209637.95722412999</v>
      </c>
      <c r="D594">
        <v>321751.6904048</v>
      </c>
    </row>
    <row r="595" spans="1:4" ht="27" x14ac:dyDescent="0.75">
      <c r="A595">
        <v>484.57</v>
      </c>
      <c r="B595" s="25">
        <v>1</v>
      </c>
      <c r="C595">
        <v>209377.37102582</v>
      </c>
      <c r="D595">
        <v>319656.62466281001</v>
      </c>
    </row>
    <row r="596" spans="1:4" ht="27" x14ac:dyDescent="0.75">
      <c r="A596">
        <v>484.56</v>
      </c>
      <c r="B596" s="25">
        <v>1</v>
      </c>
      <c r="C596">
        <v>209117.27407094001</v>
      </c>
      <c r="D596">
        <v>317564.15200354002</v>
      </c>
    </row>
    <row r="597" spans="1:4" ht="27" x14ac:dyDescent="0.75">
      <c r="A597">
        <v>484.55</v>
      </c>
      <c r="B597" s="25">
        <v>1</v>
      </c>
      <c r="C597">
        <v>208857.29257161001</v>
      </c>
      <c r="D597">
        <v>315474.31178431999</v>
      </c>
    </row>
    <row r="598" spans="1:4" ht="27" x14ac:dyDescent="0.75">
      <c r="A598">
        <v>484.54</v>
      </c>
      <c r="B598" s="25">
        <v>1</v>
      </c>
      <c r="C598">
        <v>208597.12542534</v>
      </c>
      <c r="D598">
        <v>313387.07787118998</v>
      </c>
    </row>
    <row r="599" spans="1:4" ht="27" x14ac:dyDescent="0.75">
      <c r="A599">
        <v>484.53</v>
      </c>
      <c r="B599" s="25">
        <v>1</v>
      </c>
      <c r="C599">
        <v>208337.16102611</v>
      </c>
      <c r="D599">
        <v>311302.44037402002</v>
      </c>
    </row>
    <row r="600" spans="1:4" ht="27" x14ac:dyDescent="0.75">
      <c r="A600">
        <v>484.52</v>
      </c>
      <c r="B600" s="25">
        <v>1</v>
      </c>
      <c r="C600">
        <v>208076.92246115001</v>
      </c>
      <c r="D600">
        <v>309220.39910664002</v>
      </c>
    </row>
    <row r="601" spans="1:4" ht="27" x14ac:dyDescent="0.75">
      <c r="A601">
        <v>484.51</v>
      </c>
      <c r="B601" s="25">
        <v>1</v>
      </c>
      <c r="C601">
        <v>207816.39314664001</v>
      </c>
      <c r="D601">
        <v>307140.97182321001</v>
      </c>
    </row>
    <row r="602" spans="1:4" ht="27" x14ac:dyDescent="0.75">
      <c r="A602">
        <v>484.5</v>
      </c>
      <c r="B602" s="25">
        <v>1</v>
      </c>
      <c r="C602">
        <v>207555.64880843001</v>
      </c>
      <c r="D602">
        <v>305064.12543676002</v>
      </c>
    </row>
    <row r="603" spans="1:4" ht="27" x14ac:dyDescent="0.75">
      <c r="A603">
        <v>484.49</v>
      </c>
      <c r="B603" s="25">
        <v>1</v>
      </c>
      <c r="C603">
        <v>207294.72781009</v>
      </c>
      <c r="D603">
        <v>302989.91112945997</v>
      </c>
    </row>
    <row r="604" spans="1:4" ht="27" x14ac:dyDescent="0.75">
      <c r="A604">
        <v>484.48</v>
      </c>
      <c r="B604" s="25">
        <v>1</v>
      </c>
      <c r="C604">
        <v>207033.43648757</v>
      </c>
      <c r="D604">
        <v>300918.31800506002</v>
      </c>
    </row>
    <row r="605" spans="1:4" ht="27" x14ac:dyDescent="0.75">
      <c r="A605">
        <v>484.47</v>
      </c>
      <c r="B605" s="25">
        <v>1</v>
      </c>
      <c r="C605">
        <v>206771.96207513</v>
      </c>
      <c r="D605">
        <v>298849.31255730003</v>
      </c>
    </row>
    <row r="606" spans="1:4" ht="27" x14ac:dyDescent="0.75">
      <c r="A606">
        <v>484.46</v>
      </c>
      <c r="B606" s="25">
        <v>1</v>
      </c>
      <c r="C606">
        <v>206510.03633428999</v>
      </c>
      <c r="D606">
        <v>296782.90877461998</v>
      </c>
    </row>
    <row r="607" spans="1:4" ht="27" x14ac:dyDescent="0.75">
      <c r="A607">
        <v>484.45</v>
      </c>
      <c r="B607" s="25">
        <v>1</v>
      </c>
      <c r="C607">
        <v>206247.76426296</v>
      </c>
      <c r="D607">
        <v>294719.12529126997</v>
      </c>
    </row>
    <row r="608" spans="1:4" ht="27" x14ac:dyDescent="0.75">
      <c r="A608">
        <v>484.44</v>
      </c>
      <c r="B608" s="25">
        <v>1</v>
      </c>
      <c r="C608">
        <v>205985.20622411001</v>
      </c>
      <c r="D608">
        <v>292657.92873301002</v>
      </c>
    </row>
    <row r="609" spans="1:4" ht="27" x14ac:dyDescent="0.75">
      <c r="A609">
        <v>484.43</v>
      </c>
      <c r="B609" s="25">
        <v>1</v>
      </c>
      <c r="C609">
        <v>205722.30373730001</v>
      </c>
      <c r="D609">
        <v>290599.42968546</v>
      </c>
    </row>
    <row r="610" spans="1:4" ht="27" x14ac:dyDescent="0.75">
      <c r="A610">
        <v>484.42</v>
      </c>
      <c r="B610" s="25">
        <v>1</v>
      </c>
      <c r="C610">
        <v>205458.60890344999</v>
      </c>
      <c r="D610">
        <v>288543.54009997001</v>
      </c>
    </row>
    <row r="611" spans="1:4" ht="27" x14ac:dyDescent="0.75">
      <c r="A611">
        <v>484.41</v>
      </c>
      <c r="B611" s="25">
        <v>1</v>
      </c>
      <c r="C611">
        <v>205192.48130814999</v>
      </c>
      <c r="D611">
        <v>286490.30408109003</v>
      </c>
    </row>
    <row r="612" spans="1:4" ht="27" x14ac:dyDescent="0.75">
      <c r="A612">
        <v>484.4</v>
      </c>
      <c r="B612" s="25">
        <v>1</v>
      </c>
      <c r="C612">
        <v>204876.89958622001</v>
      </c>
      <c r="D612">
        <v>284439.77734764997</v>
      </c>
    </row>
    <row r="613" spans="1:4" ht="27" x14ac:dyDescent="0.75">
      <c r="A613">
        <v>484.39</v>
      </c>
      <c r="B613" s="25">
        <v>1</v>
      </c>
      <c r="C613">
        <v>204085.85206172001</v>
      </c>
      <c r="D613">
        <v>282397.19204360002</v>
      </c>
    </row>
    <row r="614" spans="1:4" ht="27" x14ac:dyDescent="0.75">
      <c r="A614">
        <v>484.38</v>
      </c>
      <c r="B614" s="25">
        <v>1</v>
      </c>
      <c r="C614">
        <v>203803.67157110001</v>
      </c>
      <c r="D614">
        <v>280357.71641469997</v>
      </c>
    </row>
    <row r="615" spans="1:4" ht="27" x14ac:dyDescent="0.75">
      <c r="A615">
        <v>484.37</v>
      </c>
      <c r="B615" s="25">
        <v>1</v>
      </c>
      <c r="C615">
        <v>203526.57449150001</v>
      </c>
      <c r="D615">
        <v>278321.10440567997</v>
      </c>
    </row>
    <row r="616" spans="1:4" ht="27" x14ac:dyDescent="0.75">
      <c r="A616">
        <v>484.36</v>
      </c>
      <c r="B616" s="25">
        <v>1</v>
      </c>
      <c r="C616">
        <v>203251.75548344999</v>
      </c>
      <c r="D616">
        <v>276287.21983603999</v>
      </c>
    </row>
    <row r="617" spans="1:4" ht="27" x14ac:dyDescent="0.75">
      <c r="A617">
        <v>484.35</v>
      </c>
      <c r="B617" s="25">
        <v>1</v>
      </c>
      <c r="C617">
        <v>202978.31304502999</v>
      </c>
      <c r="D617">
        <v>274256.10523172002</v>
      </c>
    </row>
    <row r="618" spans="1:4" ht="27" x14ac:dyDescent="0.75">
      <c r="A618">
        <v>484.34</v>
      </c>
      <c r="B618" s="25">
        <v>1</v>
      </c>
      <c r="C618">
        <v>202705.75574364999</v>
      </c>
      <c r="D618">
        <v>272227.73302023002</v>
      </c>
    </row>
    <row r="619" spans="1:4" ht="27" x14ac:dyDescent="0.75">
      <c r="A619">
        <v>484.33</v>
      </c>
      <c r="B619" s="25">
        <v>1</v>
      </c>
      <c r="C619">
        <v>202433.72542353001</v>
      </c>
      <c r="D619">
        <v>270202.03890748002</v>
      </c>
    </row>
    <row r="620" spans="1:4" ht="27" x14ac:dyDescent="0.75">
      <c r="A620">
        <v>484.32</v>
      </c>
      <c r="B620" s="25">
        <v>1</v>
      </c>
      <c r="C620">
        <v>202162.17064559</v>
      </c>
      <c r="D620">
        <v>268179.08902628999</v>
      </c>
    </row>
    <row r="621" spans="1:4" ht="27" x14ac:dyDescent="0.75">
      <c r="A621">
        <v>484.31</v>
      </c>
      <c r="B621" s="26">
        <v>1</v>
      </c>
      <c r="C621">
        <v>201890.99464341</v>
      </c>
      <c r="D621">
        <v>266158.84924826998</v>
      </c>
    </row>
    <row r="622" spans="1:4" ht="27" x14ac:dyDescent="0.75">
      <c r="A622">
        <v>484.3</v>
      </c>
      <c r="B622" s="26">
        <v>1</v>
      </c>
      <c r="C622">
        <v>201620.10651680999</v>
      </c>
      <c r="D622">
        <v>264141.27930167998</v>
      </c>
    </row>
    <row r="623" spans="1:4" ht="27" x14ac:dyDescent="0.75">
      <c r="A623">
        <v>484.29</v>
      </c>
      <c r="B623" s="26">
        <v>1</v>
      </c>
      <c r="C623">
        <v>201349.42243904</v>
      </c>
      <c r="D623">
        <v>262126.42692880999</v>
      </c>
    </row>
    <row r="624" spans="1:4" ht="27" x14ac:dyDescent="0.75">
      <c r="A624">
        <v>484.28</v>
      </c>
      <c r="B624" s="26">
        <v>1</v>
      </c>
      <c r="C624">
        <v>201078.90245786999</v>
      </c>
      <c r="D624">
        <v>260114.29027808001</v>
      </c>
    </row>
    <row r="625" spans="1:4" ht="27" x14ac:dyDescent="0.75">
      <c r="A625">
        <v>484.27</v>
      </c>
      <c r="B625" s="26">
        <v>1</v>
      </c>
      <c r="C625">
        <v>200808.51692363</v>
      </c>
      <c r="D625">
        <v>258104.87518130001</v>
      </c>
    </row>
    <row r="626" spans="1:4" ht="27" x14ac:dyDescent="0.75">
      <c r="A626">
        <v>484.26</v>
      </c>
      <c r="B626" s="26">
        <v>1</v>
      </c>
      <c r="C626">
        <v>200538.23845028001</v>
      </c>
      <c r="D626">
        <v>256098.17218892</v>
      </c>
    </row>
    <row r="627" spans="1:4" ht="27" x14ac:dyDescent="0.75">
      <c r="A627">
        <v>484.25</v>
      </c>
      <c r="B627" s="26">
        <v>1</v>
      </c>
      <c r="C627">
        <v>200267.99212325999</v>
      </c>
      <c r="D627">
        <v>254094.15598559001</v>
      </c>
    </row>
    <row r="628" spans="1:4" ht="27" x14ac:dyDescent="0.75">
      <c r="A628">
        <v>484.24</v>
      </c>
      <c r="B628" s="26">
        <v>1</v>
      </c>
      <c r="C628">
        <v>199997.60175080001</v>
      </c>
      <c r="D628">
        <v>252092.85617720999</v>
      </c>
    </row>
    <row r="629" spans="1:4" ht="27" x14ac:dyDescent="0.75">
      <c r="A629">
        <v>484.23</v>
      </c>
      <c r="B629" s="26">
        <v>1</v>
      </c>
      <c r="C629">
        <v>199726.75458072999</v>
      </c>
      <c r="D629">
        <v>250094.2780311</v>
      </c>
    </row>
    <row r="630" spans="1:4" ht="27" x14ac:dyDescent="0.75">
      <c r="A630">
        <v>484.22</v>
      </c>
      <c r="B630" s="25">
        <v>1</v>
      </c>
      <c r="C630">
        <v>199454.80276429001</v>
      </c>
      <c r="D630">
        <v>248098.36267822</v>
      </c>
    </row>
    <row r="631" spans="1:4" ht="27" x14ac:dyDescent="0.75">
      <c r="A631">
        <v>484.21</v>
      </c>
      <c r="B631" s="25">
        <v>1</v>
      </c>
      <c r="C631">
        <v>199178.85965791001</v>
      </c>
      <c r="D631">
        <v>246105.25231128</v>
      </c>
    </row>
    <row r="632" spans="1:4" ht="27" x14ac:dyDescent="0.75">
      <c r="A632">
        <v>484.2</v>
      </c>
      <c r="B632" s="25">
        <v>1</v>
      </c>
      <c r="C632">
        <v>198365.68029505</v>
      </c>
      <c r="D632">
        <v>244114.82575774999</v>
      </c>
    </row>
    <row r="633" spans="1:4" ht="27" x14ac:dyDescent="0.75">
      <c r="A633">
        <v>484.19</v>
      </c>
      <c r="B633" s="25">
        <v>1</v>
      </c>
      <c r="C633">
        <v>198015.09692094999</v>
      </c>
      <c r="D633">
        <v>242133.02107856999</v>
      </c>
    </row>
    <row r="634" spans="1:4" ht="27" x14ac:dyDescent="0.75">
      <c r="A634">
        <v>484.18</v>
      </c>
      <c r="B634" s="25">
        <v>1</v>
      </c>
      <c r="C634">
        <v>197723.06612591</v>
      </c>
      <c r="D634">
        <v>240154.30307498001</v>
      </c>
    </row>
    <row r="635" spans="1:4" ht="27" x14ac:dyDescent="0.75">
      <c r="A635">
        <v>484.17</v>
      </c>
      <c r="B635" s="25">
        <v>1</v>
      </c>
      <c r="C635">
        <v>197436.66309623999</v>
      </c>
      <c r="D635">
        <v>238178.50845572</v>
      </c>
    </row>
    <row r="636" spans="1:4" ht="27" x14ac:dyDescent="0.75">
      <c r="A636">
        <v>484.16</v>
      </c>
      <c r="B636" s="25">
        <v>1</v>
      </c>
      <c r="C636">
        <v>197152.43986479001</v>
      </c>
      <c r="D636">
        <v>236205.59614223</v>
      </c>
    </row>
    <row r="637" spans="1:4" ht="27" x14ac:dyDescent="0.75">
      <c r="A637">
        <v>484.15</v>
      </c>
      <c r="B637" s="25">
        <v>1</v>
      </c>
      <c r="C637">
        <v>196869.48172785999</v>
      </c>
      <c r="D637">
        <v>234235.51460532</v>
      </c>
    </row>
    <row r="638" spans="1:4" ht="27" x14ac:dyDescent="0.75">
      <c r="A638">
        <v>484.14</v>
      </c>
      <c r="B638" s="25">
        <v>1</v>
      </c>
      <c r="C638">
        <v>196587.49429505001</v>
      </c>
      <c r="D638">
        <v>232268.23276439999</v>
      </c>
    </row>
    <row r="639" spans="1:4" ht="27" x14ac:dyDescent="0.75">
      <c r="A639">
        <v>484.13</v>
      </c>
      <c r="B639" s="25">
        <v>1</v>
      </c>
      <c r="C639">
        <v>196306.20175531</v>
      </c>
      <c r="D639">
        <v>230303.7555997</v>
      </c>
    </row>
    <row r="640" spans="1:4" ht="27" x14ac:dyDescent="0.75">
      <c r="A640">
        <v>484.12</v>
      </c>
      <c r="B640" s="25">
        <v>1</v>
      </c>
      <c r="C640">
        <v>196025.57930071</v>
      </c>
      <c r="D640">
        <v>228342.13047490001</v>
      </c>
    </row>
    <row r="641" spans="1:4" ht="27" x14ac:dyDescent="0.75">
      <c r="A641">
        <v>484.11</v>
      </c>
      <c r="B641" s="25">
        <v>1</v>
      </c>
      <c r="C641">
        <v>195745.57936885001</v>
      </c>
      <c r="D641">
        <v>226383.32931356001</v>
      </c>
    </row>
    <row r="642" spans="1:4" ht="27" x14ac:dyDescent="0.75">
      <c r="A642">
        <v>484.1</v>
      </c>
      <c r="B642" s="25">
        <v>1</v>
      </c>
      <c r="C642">
        <v>195466.09552616</v>
      </c>
      <c r="D642">
        <v>224427.2628695</v>
      </c>
    </row>
    <row r="643" spans="1:4" ht="27" x14ac:dyDescent="0.75">
      <c r="A643">
        <v>484.09</v>
      </c>
      <c r="B643" s="25">
        <v>1</v>
      </c>
      <c r="C643">
        <v>195187.02230119999</v>
      </c>
      <c r="D643">
        <v>222474.02278577999</v>
      </c>
    </row>
    <row r="644" spans="1:4" ht="27" x14ac:dyDescent="0.75">
      <c r="A644">
        <v>484.08</v>
      </c>
      <c r="B644" s="25">
        <v>1</v>
      </c>
      <c r="C644">
        <v>194908.4948171</v>
      </c>
      <c r="D644">
        <v>220523.60156275</v>
      </c>
    </row>
    <row r="645" spans="1:4" ht="27" x14ac:dyDescent="0.75">
      <c r="A645">
        <v>484.07</v>
      </c>
      <c r="B645" s="25">
        <v>1</v>
      </c>
      <c r="C645">
        <v>194630.44897378</v>
      </c>
      <c r="D645">
        <v>218575.90032225</v>
      </c>
    </row>
    <row r="646" spans="1:4" ht="27" x14ac:dyDescent="0.75">
      <c r="A646">
        <v>484.06</v>
      </c>
      <c r="B646" s="25">
        <v>1</v>
      </c>
      <c r="C646">
        <v>194352.61308601001</v>
      </c>
      <c r="D646">
        <v>216631.03732221</v>
      </c>
    </row>
    <row r="647" spans="1:4" ht="27" x14ac:dyDescent="0.75">
      <c r="A647">
        <v>484.05</v>
      </c>
      <c r="B647" s="25">
        <v>1</v>
      </c>
      <c r="C647">
        <v>194074.9830749</v>
      </c>
      <c r="D647">
        <v>214688.94886092999</v>
      </c>
    </row>
    <row r="648" spans="1:4" ht="27" x14ac:dyDescent="0.75">
      <c r="A648">
        <v>484.04</v>
      </c>
      <c r="B648" s="25">
        <v>1</v>
      </c>
      <c r="C648">
        <v>193797.34994103</v>
      </c>
      <c r="D648">
        <v>212749.60761007</v>
      </c>
    </row>
    <row r="649" spans="1:4" ht="27" x14ac:dyDescent="0.75">
      <c r="A649">
        <v>484.03</v>
      </c>
      <c r="B649" s="25">
        <v>1</v>
      </c>
      <c r="C649">
        <v>193519.03586487001</v>
      </c>
      <c r="D649">
        <v>210813.06923269</v>
      </c>
    </row>
    <row r="650" spans="1:4" ht="27" x14ac:dyDescent="0.75">
      <c r="A650">
        <v>484.02</v>
      </c>
      <c r="B650" s="25">
        <v>1</v>
      </c>
      <c r="C650">
        <v>193238.86354811999</v>
      </c>
      <c r="D650">
        <v>208879.31916367999</v>
      </c>
    </row>
    <row r="651" spans="1:4" ht="27" x14ac:dyDescent="0.75">
      <c r="A651">
        <v>484.01</v>
      </c>
      <c r="B651" s="25">
        <v>1</v>
      </c>
      <c r="C651">
        <v>192953.02924025999</v>
      </c>
      <c r="D651">
        <v>206948.39856753999</v>
      </c>
    </row>
    <row r="652" spans="1:4" ht="27" x14ac:dyDescent="0.75">
      <c r="A652">
        <v>484</v>
      </c>
      <c r="B652" s="25">
        <v>1</v>
      </c>
      <c r="C652">
        <v>192137.16797094999</v>
      </c>
      <c r="D652">
        <v>205020.44436533999</v>
      </c>
    </row>
    <row r="653" spans="1:4" ht="27" x14ac:dyDescent="0.75">
      <c r="A653">
        <v>483.99</v>
      </c>
      <c r="B653" s="25">
        <v>1</v>
      </c>
      <c r="C653">
        <v>191573.45535387</v>
      </c>
      <c r="D653">
        <v>203102.96058936001</v>
      </c>
    </row>
    <row r="654" spans="1:4" ht="27" x14ac:dyDescent="0.75">
      <c r="A654">
        <v>483.98</v>
      </c>
      <c r="B654" s="25">
        <v>1</v>
      </c>
      <c r="C654">
        <v>191254.39789953001</v>
      </c>
      <c r="D654">
        <v>201188.86802811001</v>
      </c>
    </row>
    <row r="655" spans="1:4" ht="27" x14ac:dyDescent="0.75">
      <c r="A655">
        <v>483.97</v>
      </c>
      <c r="B655" s="25">
        <v>1</v>
      </c>
      <c r="C655">
        <v>190941.4864237</v>
      </c>
      <c r="D655">
        <v>199277.89764114999</v>
      </c>
    </row>
    <row r="656" spans="1:4" ht="27" x14ac:dyDescent="0.75">
      <c r="A656">
        <v>483.96</v>
      </c>
      <c r="B656" s="25">
        <v>1</v>
      </c>
      <c r="C656">
        <v>190630.51904064001</v>
      </c>
      <c r="D656">
        <v>197370.06730500999</v>
      </c>
    </row>
    <row r="657" spans="1:4" ht="27" x14ac:dyDescent="0.75">
      <c r="A657">
        <v>483.95</v>
      </c>
      <c r="B657" s="26">
        <v>1</v>
      </c>
      <c r="C657">
        <v>190320.62265539001</v>
      </c>
      <c r="D657">
        <v>195465.32259672001</v>
      </c>
    </row>
    <row r="658" spans="1:4" ht="27" x14ac:dyDescent="0.75">
      <c r="A658">
        <v>483.94</v>
      </c>
      <c r="B658" s="26">
        <v>1</v>
      </c>
      <c r="C658">
        <v>190011.75049019</v>
      </c>
      <c r="D658">
        <v>193563.68643348999</v>
      </c>
    </row>
    <row r="659" spans="1:4" ht="27" x14ac:dyDescent="0.75">
      <c r="A659">
        <v>483.93</v>
      </c>
      <c r="B659" s="26">
        <v>1</v>
      </c>
      <c r="C659">
        <v>189703.51551447</v>
      </c>
      <c r="D659">
        <v>191665.13334726999</v>
      </c>
    </row>
    <row r="660" spans="1:4" ht="27" x14ac:dyDescent="0.75">
      <c r="A660">
        <v>483.92</v>
      </c>
      <c r="B660" s="26">
        <v>1</v>
      </c>
      <c r="C660">
        <v>189395.94668525</v>
      </c>
      <c r="D660">
        <v>189769.65674708001</v>
      </c>
    </row>
    <row r="661" spans="1:4" ht="27" x14ac:dyDescent="0.75">
      <c r="A661">
        <v>483.91</v>
      </c>
      <c r="B661" s="26">
        <v>1</v>
      </c>
      <c r="C661">
        <v>189089.27054975001</v>
      </c>
      <c r="D661">
        <v>187877.27830698999</v>
      </c>
    </row>
    <row r="662" spans="1:4" ht="27" x14ac:dyDescent="0.75">
      <c r="A662">
        <v>483.9</v>
      </c>
      <c r="B662" s="26">
        <v>1</v>
      </c>
      <c r="C662">
        <v>188783.12101907001</v>
      </c>
      <c r="D662">
        <v>185987.9194781</v>
      </c>
    </row>
    <row r="663" spans="1:4" ht="27" x14ac:dyDescent="0.75">
      <c r="A663">
        <v>483.89</v>
      </c>
      <c r="B663" s="26">
        <v>1</v>
      </c>
      <c r="C663">
        <v>188477.77534063999</v>
      </c>
      <c r="D663">
        <v>184101.62976479999</v>
      </c>
    </row>
    <row r="664" spans="1:4" ht="27" x14ac:dyDescent="0.75">
      <c r="A664">
        <v>483.88</v>
      </c>
      <c r="B664" s="26">
        <v>1</v>
      </c>
      <c r="C664">
        <v>188173.01433332</v>
      </c>
      <c r="D664">
        <v>182218.39287652</v>
      </c>
    </row>
    <row r="665" spans="1:4" ht="27" x14ac:dyDescent="0.75">
      <c r="A665">
        <v>483.87</v>
      </c>
      <c r="B665" s="26">
        <v>1</v>
      </c>
      <c r="C665">
        <v>187868.99017832999</v>
      </c>
      <c r="D665">
        <v>180338.21396113999</v>
      </c>
    </row>
    <row r="666" spans="1:4" ht="27" x14ac:dyDescent="0.75">
      <c r="A666">
        <v>483.86</v>
      </c>
      <c r="B666" s="25">
        <v>1</v>
      </c>
      <c r="C666">
        <v>187565.39255292001</v>
      </c>
      <c r="D666">
        <v>178461.11727265999</v>
      </c>
    </row>
    <row r="667" spans="1:4" ht="27" x14ac:dyDescent="0.75">
      <c r="A667">
        <v>483.85</v>
      </c>
      <c r="B667" s="25">
        <v>1</v>
      </c>
      <c r="C667">
        <v>187262.15068118001</v>
      </c>
      <c r="D667">
        <v>176587.00816301999</v>
      </c>
    </row>
    <row r="668" spans="1:4" ht="27" x14ac:dyDescent="0.75">
      <c r="A668">
        <v>483.84</v>
      </c>
      <c r="B668" s="25">
        <v>1</v>
      </c>
      <c r="C668">
        <v>186959.02639320001</v>
      </c>
      <c r="D668">
        <v>174715.94992404999</v>
      </c>
    </row>
    <row r="669" spans="1:4" ht="27" x14ac:dyDescent="0.75">
      <c r="A669">
        <v>483.83</v>
      </c>
      <c r="B669" s="25">
        <v>1</v>
      </c>
      <c r="C669">
        <v>186655.36359356999</v>
      </c>
      <c r="D669">
        <v>172847.94079662001</v>
      </c>
    </row>
    <row r="670" spans="1:4" ht="27" x14ac:dyDescent="0.75">
      <c r="A670">
        <v>483.82</v>
      </c>
      <c r="B670" s="25">
        <v>1</v>
      </c>
      <c r="C670">
        <v>186350.40540305999</v>
      </c>
      <c r="D670">
        <v>170982.95259077</v>
      </c>
    </row>
    <row r="671" spans="1:4" ht="27" x14ac:dyDescent="0.75">
      <c r="A671">
        <v>483.81</v>
      </c>
      <c r="B671" s="25">
        <v>1</v>
      </c>
      <c r="C671">
        <v>186041.19340799001</v>
      </c>
      <c r="D671">
        <v>169121.09049035999</v>
      </c>
    </row>
    <row r="672" spans="1:4" ht="27" x14ac:dyDescent="0.75">
      <c r="A672">
        <v>483.8</v>
      </c>
      <c r="B672" s="25">
        <v>1</v>
      </c>
      <c r="C672">
        <v>185686.96353668999</v>
      </c>
      <c r="D672">
        <v>167262.33677105</v>
      </c>
    </row>
    <row r="673" spans="1:4" ht="27" x14ac:dyDescent="0.75">
      <c r="A673">
        <v>483.79</v>
      </c>
      <c r="B673" s="25">
        <v>1</v>
      </c>
      <c r="C673">
        <v>184894.34475689</v>
      </c>
      <c r="D673">
        <v>165411.92129294999</v>
      </c>
    </row>
    <row r="674" spans="1:4" ht="27" x14ac:dyDescent="0.75">
      <c r="A674">
        <v>483.78</v>
      </c>
      <c r="B674" s="25">
        <v>1</v>
      </c>
      <c r="C674">
        <v>184633.21793883</v>
      </c>
      <c r="D674">
        <v>163564.27252726999</v>
      </c>
    </row>
    <row r="675" spans="1:4" ht="27" x14ac:dyDescent="0.75">
      <c r="A675">
        <v>483.77</v>
      </c>
      <c r="B675" s="25">
        <v>1</v>
      </c>
      <c r="C675">
        <v>184374.22802529001</v>
      </c>
      <c r="D675">
        <v>161719.264604</v>
      </c>
    </row>
    <row r="676" spans="1:4" ht="27" x14ac:dyDescent="0.75">
      <c r="A676">
        <v>483.76</v>
      </c>
      <c r="B676" s="25">
        <v>1</v>
      </c>
      <c r="C676">
        <v>184115.73578168001</v>
      </c>
      <c r="D676">
        <v>159876.83493534001</v>
      </c>
    </row>
    <row r="677" spans="1:4" ht="27" x14ac:dyDescent="0.75">
      <c r="A677">
        <v>483.75</v>
      </c>
      <c r="B677" s="25">
        <v>1</v>
      </c>
      <c r="C677">
        <v>183857.22388015999</v>
      </c>
      <c r="D677">
        <v>158037.00929427001</v>
      </c>
    </row>
    <row r="678" spans="1:4" ht="27" x14ac:dyDescent="0.75">
      <c r="A678">
        <v>483.74</v>
      </c>
      <c r="B678" s="25">
        <v>1</v>
      </c>
      <c r="C678">
        <v>183598.61025319999</v>
      </c>
      <c r="D678">
        <v>156199.72836917001</v>
      </c>
    </row>
    <row r="679" spans="1:4" ht="27" x14ac:dyDescent="0.75">
      <c r="A679">
        <v>483.73</v>
      </c>
      <c r="B679" s="25">
        <v>1</v>
      </c>
      <c r="C679">
        <v>183339.85556828999</v>
      </c>
      <c r="D679">
        <v>154365.05633538001</v>
      </c>
    </row>
    <row r="680" spans="1:4" ht="27" x14ac:dyDescent="0.75">
      <c r="A680">
        <v>483.72</v>
      </c>
      <c r="B680" s="25">
        <v>1</v>
      </c>
      <c r="C680">
        <v>183080.80796276001</v>
      </c>
      <c r="D680">
        <v>152532.96537324999</v>
      </c>
    </row>
    <row r="681" spans="1:4" ht="27" x14ac:dyDescent="0.75">
      <c r="A681">
        <v>483.71</v>
      </c>
      <c r="B681" s="25">
        <v>1</v>
      </c>
      <c r="C681">
        <v>182821.70881807999</v>
      </c>
      <c r="D681">
        <v>150703.43939148</v>
      </c>
    </row>
    <row r="682" spans="1:4" ht="27" x14ac:dyDescent="0.75">
      <c r="A682">
        <v>483.7</v>
      </c>
      <c r="B682" s="25">
        <v>1</v>
      </c>
      <c r="C682">
        <v>182562.31954053001</v>
      </c>
      <c r="D682">
        <v>148876.54151986999</v>
      </c>
    </row>
    <row r="683" spans="1:4" ht="27" x14ac:dyDescent="0.75">
      <c r="A683">
        <v>483.69</v>
      </c>
      <c r="B683" s="25">
        <v>1</v>
      </c>
      <c r="C683">
        <v>182302.85537634001</v>
      </c>
      <c r="D683">
        <v>147052.27579789</v>
      </c>
    </row>
    <row r="684" spans="1:4" ht="27" x14ac:dyDescent="0.75">
      <c r="A684">
        <v>483.68</v>
      </c>
      <c r="B684" s="25">
        <v>1</v>
      </c>
      <c r="C684">
        <v>182042.99019886</v>
      </c>
      <c r="D684">
        <v>145230.57542256999</v>
      </c>
    </row>
    <row r="685" spans="1:4" ht="27" x14ac:dyDescent="0.75">
      <c r="A685">
        <v>483.67</v>
      </c>
      <c r="B685" s="25">
        <v>1</v>
      </c>
      <c r="C685">
        <v>181783.02110174001</v>
      </c>
      <c r="D685">
        <v>143411.48174659</v>
      </c>
    </row>
    <row r="686" spans="1:4" ht="27" x14ac:dyDescent="0.75">
      <c r="A686">
        <v>483.66</v>
      </c>
      <c r="B686" s="25">
        <v>1</v>
      </c>
      <c r="C686">
        <v>181522.58644402001</v>
      </c>
      <c r="D686">
        <v>141595.00337155999</v>
      </c>
    </row>
    <row r="687" spans="1:4" ht="27" x14ac:dyDescent="0.75">
      <c r="A687">
        <v>483.65</v>
      </c>
      <c r="B687" s="25">
        <v>1</v>
      </c>
      <c r="C687">
        <v>181261.55882106</v>
      </c>
      <c r="D687">
        <v>139781.14224531999</v>
      </c>
    </row>
    <row r="688" spans="1:4" ht="27" x14ac:dyDescent="0.75">
      <c r="A688">
        <v>483.64</v>
      </c>
      <c r="B688" s="25">
        <v>1</v>
      </c>
      <c r="C688">
        <v>180999.44713449001</v>
      </c>
      <c r="D688">
        <v>137969.88366111999</v>
      </c>
    </row>
    <row r="689" spans="1:4" ht="27" x14ac:dyDescent="0.75">
      <c r="A689">
        <v>483.63</v>
      </c>
      <c r="B689" s="25">
        <v>1</v>
      </c>
      <c r="C689">
        <v>180735.63294442001</v>
      </c>
      <c r="D689">
        <v>136161.27007845999</v>
      </c>
    </row>
    <row r="690" spans="1:4" ht="27" x14ac:dyDescent="0.75">
      <c r="A690">
        <v>483.62</v>
      </c>
      <c r="B690" s="25">
        <v>1</v>
      </c>
      <c r="C690">
        <v>180468.97608219</v>
      </c>
      <c r="D690">
        <v>134355.32941430999</v>
      </c>
    </row>
    <row r="691" spans="1:4" ht="27" x14ac:dyDescent="0.75">
      <c r="A691">
        <v>483.61</v>
      </c>
      <c r="B691" s="25">
        <v>1</v>
      </c>
      <c r="C691">
        <v>180196.29639974001</v>
      </c>
      <c r="D691">
        <v>132552.07370524999</v>
      </c>
    </row>
    <row r="692" spans="1:4" ht="27" x14ac:dyDescent="0.75">
      <c r="A692">
        <v>483.6</v>
      </c>
      <c r="B692" s="25">
        <v>1</v>
      </c>
      <c r="C692">
        <v>178958.74918083</v>
      </c>
      <c r="D692">
        <v>130751.63024421</v>
      </c>
    </row>
    <row r="693" spans="1:4" ht="27" x14ac:dyDescent="0.75">
      <c r="A693">
        <v>483.59</v>
      </c>
      <c r="B693" s="26">
        <v>1</v>
      </c>
      <c r="C693">
        <v>178581.51849106001</v>
      </c>
      <c r="D693">
        <v>128964.07894721</v>
      </c>
    </row>
    <row r="694" spans="1:4" ht="27" x14ac:dyDescent="0.75">
      <c r="A694">
        <v>483.58</v>
      </c>
      <c r="B694" s="26">
        <v>1</v>
      </c>
      <c r="C694">
        <v>178265.75621674</v>
      </c>
      <c r="D694">
        <v>127179.88814729999</v>
      </c>
    </row>
    <row r="695" spans="1:4" ht="27" x14ac:dyDescent="0.75">
      <c r="A695">
        <v>483.57</v>
      </c>
      <c r="B695" s="26">
        <v>1</v>
      </c>
      <c r="C695">
        <v>177955.21415705001</v>
      </c>
      <c r="D695">
        <v>125398.76506622</v>
      </c>
    </row>
    <row r="696" spans="1:4" ht="27" x14ac:dyDescent="0.75">
      <c r="A696">
        <v>483.56</v>
      </c>
      <c r="B696" s="26">
        <v>1</v>
      </c>
      <c r="C696">
        <v>177646.38640528999</v>
      </c>
      <c r="D696">
        <v>123620.74038972</v>
      </c>
    </row>
    <row r="697" spans="1:4" ht="27" x14ac:dyDescent="0.75">
      <c r="A697">
        <v>483.55</v>
      </c>
      <c r="B697" s="26">
        <v>1</v>
      </c>
      <c r="C697">
        <v>177338.48483494</v>
      </c>
      <c r="D697">
        <v>121845.83828087</v>
      </c>
    </row>
    <row r="698" spans="1:4" ht="27" x14ac:dyDescent="0.75">
      <c r="A698">
        <v>483.54</v>
      </c>
      <c r="B698" s="26">
        <v>1</v>
      </c>
      <c r="C698">
        <v>177031.18413328001</v>
      </c>
      <c r="D698">
        <v>120073.98196722</v>
      </c>
    </row>
    <row r="699" spans="1:4" ht="27" x14ac:dyDescent="0.75">
      <c r="A699">
        <v>483.53</v>
      </c>
      <c r="B699" s="26">
        <v>1</v>
      </c>
      <c r="C699">
        <v>176724.67907337</v>
      </c>
      <c r="D699">
        <v>118305.23841803</v>
      </c>
    </row>
    <row r="700" spans="1:4" ht="27" x14ac:dyDescent="0.75">
      <c r="A700">
        <v>483.52</v>
      </c>
      <c r="B700" s="26">
        <v>1</v>
      </c>
      <c r="C700">
        <v>176418.64848989999</v>
      </c>
      <c r="D700">
        <v>116539.51461866</v>
      </c>
    </row>
    <row r="701" spans="1:4" ht="27" x14ac:dyDescent="0.75">
      <c r="A701">
        <v>483.51</v>
      </c>
      <c r="B701" s="26">
        <v>1</v>
      </c>
      <c r="C701">
        <v>176113.22774239999</v>
      </c>
      <c r="D701">
        <v>114776.84754626</v>
      </c>
    </row>
    <row r="702" spans="1:4" ht="27" x14ac:dyDescent="0.75">
      <c r="A702">
        <v>483.5</v>
      </c>
      <c r="B702" s="25">
        <v>1</v>
      </c>
      <c r="C702">
        <v>175808.51801011001</v>
      </c>
      <c r="D702">
        <v>113017.24002550999</v>
      </c>
    </row>
    <row r="703" spans="1:4" ht="27" x14ac:dyDescent="0.75">
      <c r="A703">
        <v>483.49</v>
      </c>
      <c r="B703" s="25">
        <v>1</v>
      </c>
      <c r="C703">
        <v>175504.22272091999</v>
      </c>
      <c r="D703">
        <v>111260.69328545</v>
      </c>
    </row>
    <row r="704" spans="1:4" ht="27" x14ac:dyDescent="0.75">
      <c r="A704">
        <v>483.48</v>
      </c>
      <c r="B704" s="25">
        <v>1</v>
      </c>
      <c r="C704">
        <v>175200.64167091</v>
      </c>
      <c r="D704">
        <v>109507.19797003</v>
      </c>
    </row>
    <row r="705" spans="1:4" ht="27" x14ac:dyDescent="0.75">
      <c r="A705">
        <v>483.47</v>
      </c>
      <c r="B705" s="25">
        <v>1</v>
      </c>
      <c r="C705">
        <v>174897.62076681</v>
      </c>
      <c r="D705">
        <v>107756.73311375</v>
      </c>
    </row>
    <row r="706" spans="1:4" ht="27" x14ac:dyDescent="0.75">
      <c r="A706">
        <v>483.46</v>
      </c>
      <c r="B706" s="25">
        <v>1</v>
      </c>
      <c r="C706">
        <v>174595.19968672001</v>
      </c>
      <c r="D706">
        <v>106009.29063516999</v>
      </c>
    </row>
    <row r="707" spans="1:4" ht="27" x14ac:dyDescent="0.75">
      <c r="A707">
        <v>483.45</v>
      </c>
      <c r="B707" s="25">
        <v>1</v>
      </c>
      <c r="C707">
        <v>174293.29044076</v>
      </c>
      <c r="D707">
        <v>104264.84586525999</v>
      </c>
    </row>
    <row r="708" spans="1:4" ht="27" x14ac:dyDescent="0.75">
      <c r="A708">
        <v>483.44</v>
      </c>
      <c r="B708" s="25">
        <v>1</v>
      </c>
      <c r="C708">
        <v>173991.95658388999</v>
      </c>
      <c r="D708">
        <v>102523.44305069</v>
      </c>
    </row>
    <row r="709" spans="1:4" ht="27" x14ac:dyDescent="0.75">
      <c r="A709">
        <v>483.43</v>
      </c>
      <c r="B709" s="25">
        <v>1</v>
      </c>
      <c r="C709">
        <v>173690.97056094001</v>
      </c>
      <c r="D709">
        <v>100785.0394441</v>
      </c>
    </row>
    <row r="710" spans="1:4" ht="27" x14ac:dyDescent="0.75">
      <c r="A710">
        <v>483.42</v>
      </c>
      <c r="B710" s="25">
        <v>1</v>
      </c>
      <c r="C710">
        <v>173390.19647019001</v>
      </c>
      <c r="D710">
        <v>99049.643659460999</v>
      </c>
    </row>
    <row r="711" spans="1:4" ht="27" x14ac:dyDescent="0.75">
      <c r="A711">
        <v>483.41</v>
      </c>
      <c r="B711" s="25">
        <v>1</v>
      </c>
      <c r="C711">
        <v>173088.36680558999</v>
      </c>
      <c r="D711">
        <v>97317.277208277999</v>
      </c>
    </row>
    <row r="712" spans="1:4" ht="27" x14ac:dyDescent="0.75">
      <c r="A712">
        <v>483.4</v>
      </c>
      <c r="B712" s="25">
        <v>1</v>
      </c>
      <c r="C712">
        <v>172756.23645088001</v>
      </c>
      <c r="D712">
        <v>95587.988295642994</v>
      </c>
    </row>
    <row r="713" spans="1:4" ht="27" x14ac:dyDescent="0.75">
      <c r="A713">
        <v>483.39</v>
      </c>
      <c r="B713" s="25">
        <v>1</v>
      </c>
      <c r="C713">
        <v>172155.01596824001</v>
      </c>
      <c r="D713">
        <v>93864.650928903997</v>
      </c>
    </row>
    <row r="714" spans="1:4" ht="27" x14ac:dyDescent="0.75">
      <c r="A714">
        <v>483.38</v>
      </c>
      <c r="B714" s="25">
        <v>1</v>
      </c>
      <c r="C714">
        <v>171824.04887306999</v>
      </c>
      <c r="D714">
        <v>92144.769237494998</v>
      </c>
    </row>
    <row r="715" spans="1:4" ht="27" x14ac:dyDescent="0.75">
      <c r="A715">
        <v>483.37</v>
      </c>
      <c r="B715" s="25">
        <v>1</v>
      </c>
      <c r="C715">
        <v>171494.37035710999</v>
      </c>
      <c r="D715">
        <v>90428.166466789</v>
      </c>
    </row>
    <row r="716" spans="1:4" ht="27" x14ac:dyDescent="0.75">
      <c r="A716">
        <v>483.36</v>
      </c>
      <c r="B716" s="25">
        <v>1</v>
      </c>
      <c r="C716">
        <v>171164.26233587999</v>
      </c>
      <c r="D716">
        <v>88714.874189316994</v>
      </c>
    </row>
    <row r="717" spans="1:4" ht="27" x14ac:dyDescent="0.75">
      <c r="A717">
        <v>483.35</v>
      </c>
      <c r="B717" s="25">
        <v>1</v>
      </c>
      <c r="C717">
        <v>170833.13750879999</v>
      </c>
      <c r="D717">
        <v>87004.862053687</v>
      </c>
    </row>
    <row r="718" spans="1:4" ht="27" x14ac:dyDescent="0.75">
      <c r="A718">
        <v>483.34</v>
      </c>
      <c r="B718" s="25">
        <v>1</v>
      </c>
      <c r="C718">
        <v>170500.96768746999</v>
      </c>
      <c r="D718">
        <v>85298.209863197</v>
      </c>
    </row>
    <row r="719" spans="1:4" ht="27" x14ac:dyDescent="0.75">
      <c r="A719">
        <v>483.33</v>
      </c>
      <c r="B719" s="25">
        <v>1</v>
      </c>
      <c r="C719">
        <v>170167.77539056001</v>
      </c>
      <c r="D719">
        <v>83594.855823695005</v>
      </c>
    </row>
    <row r="720" spans="1:4" ht="27" x14ac:dyDescent="0.75">
      <c r="A720">
        <v>483.32</v>
      </c>
      <c r="B720" s="25">
        <v>1</v>
      </c>
      <c r="C720">
        <v>169833.23677279</v>
      </c>
      <c r="D720">
        <v>81894.858801320996</v>
      </c>
    </row>
    <row r="721" spans="1:4" ht="27" x14ac:dyDescent="0.75">
      <c r="A721">
        <v>483.31</v>
      </c>
      <c r="B721" s="25">
        <v>1</v>
      </c>
      <c r="C721">
        <v>169497.58421554</v>
      </c>
      <c r="D721">
        <v>80198.227592551993</v>
      </c>
    </row>
    <row r="722" spans="1:4" ht="27" x14ac:dyDescent="0.75">
      <c r="A722">
        <v>483.3</v>
      </c>
      <c r="B722" s="25">
        <v>1</v>
      </c>
      <c r="C722">
        <v>169160.89317885</v>
      </c>
      <c r="D722">
        <v>78504.924611612005</v>
      </c>
    </row>
    <row r="723" spans="1:4" ht="27" x14ac:dyDescent="0.75">
      <c r="A723">
        <v>483.29</v>
      </c>
      <c r="B723" s="25">
        <v>1</v>
      </c>
      <c r="C723">
        <v>168822.80349749001</v>
      </c>
      <c r="D723">
        <v>76815.022970146994</v>
      </c>
    </row>
    <row r="724" spans="1:4" ht="27" x14ac:dyDescent="0.75">
      <c r="A724">
        <v>483.28</v>
      </c>
      <c r="B724" s="25">
        <v>1</v>
      </c>
      <c r="C724">
        <v>168483.64470911</v>
      </c>
      <c r="D724">
        <v>75128.480697892999</v>
      </c>
    </row>
    <row r="725" spans="1:4" ht="27" x14ac:dyDescent="0.75">
      <c r="A725">
        <v>483.27</v>
      </c>
      <c r="B725" s="25">
        <v>1</v>
      </c>
      <c r="C725">
        <v>168143.24225091</v>
      </c>
      <c r="D725">
        <v>73445.354178416994</v>
      </c>
    </row>
    <row r="726" spans="1:4" ht="27" x14ac:dyDescent="0.75">
      <c r="A726">
        <v>483.26</v>
      </c>
      <c r="B726" s="25">
        <v>1</v>
      </c>
      <c r="C726">
        <v>167801.60809359999</v>
      </c>
      <c r="D726">
        <v>71765.641741632004</v>
      </c>
    </row>
    <row r="727" spans="1:4" ht="27" x14ac:dyDescent="0.75">
      <c r="A727">
        <v>483.25</v>
      </c>
      <c r="B727" s="25">
        <v>1</v>
      </c>
      <c r="C727">
        <v>167458.7012558</v>
      </c>
      <c r="D727">
        <v>70089.345479060998</v>
      </c>
    </row>
    <row r="728" spans="1:4" ht="27" x14ac:dyDescent="0.75">
      <c r="A728">
        <v>483.24</v>
      </c>
      <c r="B728" s="25">
        <v>1</v>
      </c>
      <c r="C728">
        <v>167114.3586331</v>
      </c>
      <c r="D728">
        <v>68416.495953001999</v>
      </c>
    </row>
    <row r="729" spans="1:4" ht="27" x14ac:dyDescent="0.75">
      <c r="A729">
        <v>483.23</v>
      </c>
      <c r="B729" s="26">
        <v>1</v>
      </c>
      <c r="C729">
        <v>166768.27258849001</v>
      </c>
      <c r="D729">
        <v>66747.096262539999</v>
      </c>
    </row>
    <row r="730" spans="1:4" ht="27" x14ac:dyDescent="0.75">
      <c r="A730">
        <v>483.22</v>
      </c>
      <c r="B730" s="26">
        <v>1</v>
      </c>
      <c r="C730">
        <v>166419.52305071999</v>
      </c>
      <c r="D730">
        <v>65081.177162467997</v>
      </c>
    </row>
    <row r="731" spans="1:4" ht="27" x14ac:dyDescent="0.75">
      <c r="A731">
        <v>483.21</v>
      </c>
      <c r="B731" s="26">
        <v>1</v>
      </c>
      <c r="C731">
        <v>166063.78949622999</v>
      </c>
      <c r="D731">
        <v>63418.785881194002</v>
      </c>
    </row>
    <row r="732" spans="1:4" ht="27" x14ac:dyDescent="0.75">
      <c r="A732">
        <v>483.2</v>
      </c>
      <c r="B732" s="26">
        <v>1</v>
      </c>
      <c r="C732">
        <v>164873.5584528</v>
      </c>
      <c r="D732">
        <v>61760.105640018999</v>
      </c>
    </row>
    <row r="733" spans="1:4" ht="27" x14ac:dyDescent="0.75">
      <c r="A733">
        <v>483.19</v>
      </c>
      <c r="B733" s="26">
        <v>1</v>
      </c>
      <c r="C733">
        <v>163500.71315744999</v>
      </c>
      <c r="D733">
        <v>60122.506559973001</v>
      </c>
    </row>
    <row r="734" spans="1:4" ht="27" x14ac:dyDescent="0.75">
      <c r="A734">
        <v>483.18</v>
      </c>
      <c r="B734" s="26">
        <v>1</v>
      </c>
      <c r="C734">
        <v>163091.6730949</v>
      </c>
      <c r="D734">
        <v>58489.54884956</v>
      </c>
    </row>
    <row r="735" spans="1:4" ht="27" x14ac:dyDescent="0.75">
      <c r="A735">
        <v>483.17</v>
      </c>
      <c r="B735" s="26">
        <v>1</v>
      </c>
      <c r="C735">
        <v>162691.00339083001</v>
      </c>
      <c r="D735">
        <v>56860.633533794004</v>
      </c>
    </row>
    <row r="736" spans="1:4" ht="27" x14ac:dyDescent="0.75">
      <c r="A736">
        <v>483.16</v>
      </c>
      <c r="B736" s="26">
        <v>1</v>
      </c>
      <c r="C736">
        <v>162293.07407509</v>
      </c>
      <c r="D736">
        <v>55235.717418694003</v>
      </c>
    </row>
    <row r="737" spans="1:4" ht="27" x14ac:dyDescent="0.75">
      <c r="A737">
        <v>483.15</v>
      </c>
      <c r="B737" s="26">
        <v>1</v>
      </c>
      <c r="C737">
        <v>161895.73873993999</v>
      </c>
      <c r="D737">
        <v>53614.770257969001</v>
      </c>
    </row>
    <row r="738" spans="1:4" ht="27" x14ac:dyDescent="0.75">
      <c r="A738">
        <v>483.14</v>
      </c>
      <c r="B738" s="25">
        <v>1</v>
      </c>
      <c r="C738">
        <v>161498.1675019</v>
      </c>
      <c r="D738">
        <v>51997.77929626</v>
      </c>
    </row>
    <row r="739" spans="1:4" ht="27" x14ac:dyDescent="0.75">
      <c r="A739">
        <v>483.13</v>
      </c>
      <c r="B739" s="25">
        <v>1</v>
      </c>
      <c r="C739">
        <v>161099.96461485</v>
      </c>
      <c r="D739">
        <v>50384.799140458999</v>
      </c>
    </row>
    <row r="740" spans="1:4" ht="27" x14ac:dyDescent="0.75">
      <c r="A740">
        <v>483.12</v>
      </c>
      <c r="B740" s="25">
        <v>1</v>
      </c>
      <c r="C740">
        <v>160701.05839439001</v>
      </c>
      <c r="D740">
        <v>48775.796271223</v>
      </c>
    </row>
    <row r="741" spans="1:4" ht="27" x14ac:dyDescent="0.75">
      <c r="A741">
        <v>483.11</v>
      </c>
      <c r="B741" s="25">
        <v>1</v>
      </c>
      <c r="C741">
        <v>160301.44531007</v>
      </c>
      <c r="D741">
        <v>47170.825356435998</v>
      </c>
    </row>
    <row r="742" spans="1:4" ht="27" x14ac:dyDescent="0.75">
      <c r="A742">
        <v>483.1</v>
      </c>
      <c r="B742" s="25">
        <v>1</v>
      </c>
      <c r="C742">
        <v>159900.68126488</v>
      </c>
      <c r="D742">
        <v>45569.814380393997</v>
      </c>
    </row>
    <row r="743" spans="1:4" ht="27" x14ac:dyDescent="0.75">
      <c r="A743">
        <v>483.09</v>
      </c>
      <c r="B743" s="25">
        <v>1</v>
      </c>
      <c r="C743">
        <v>159498.95343063999</v>
      </c>
      <c r="D743">
        <v>43972.826938708997</v>
      </c>
    </row>
    <row r="744" spans="1:4" ht="27" x14ac:dyDescent="0.75">
      <c r="A744">
        <v>483.08</v>
      </c>
      <c r="B744" s="25">
        <v>1</v>
      </c>
      <c r="C744">
        <v>159096.30734438001</v>
      </c>
      <c r="D744">
        <v>42379.873653973998</v>
      </c>
    </row>
    <row r="745" spans="1:4" ht="27" x14ac:dyDescent="0.75">
      <c r="A745">
        <v>483.07</v>
      </c>
      <c r="B745" s="25">
        <v>1</v>
      </c>
      <c r="C745">
        <v>158692.64806283999</v>
      </c>
      <c r="D745">
        <v>40790.988700916998</v>
      </c>
    </row>
    <row r="746" spans="1:4" ht="27" x14ac:dyDescent="0.75">
      <c r="A746">
        <v>483.06</v>
      </c>
      <c r="B746" s="25">
        <v>1</v>
      </c>
      <c r="C746">
        <v>158287.72821909</v>
      </c>
      <c r="D746">
        <v>39206.139236834002</v>
      </c>
    </row>
    <row r="747" spans="1:4" ht="27" x14ac:dyDescent="0.75">
      <c r="A747">
        <v>483.05</v>
      </c>
      <c r="B747" s="25">
        <v>1</v>
      </c>
      <c r="C747">
        <v>157881.2661454</v>
      </c>
      <c r="D747">
        <v>37625.359249396999</v>
      </c>
    </row>
    <row r="748" spans="1:4" ht="27" x14ac:dyDescent="0.75">
      <c r="A748">
        <v>483.04</v>
      </c>
      <c r="B748" s="25">
        <v>1</v>
      </c>
      <c r="C748">
        <v>157472.86746867001</v>
      </c>
      <c r="D748">
        <v>36048.653842106003</v>
      </c>
    </row>
    <row r="749" spans="1:4" ht="27" x14ac:dyDescent="0.75">
      <c r="A749">
        <v>483.03</v>
      </c>
      <c r="B749" s="25">
        <v>1</v>
      </c>
      <c r="C749">
        <v>157061.48082302001</v>
      </c>
      <c r="D749">
        <v>34476.067833446999</v>
      </c>
    </row>
    <row r="750" spans="1:4" ht="27" x14ac:dyDescent="0.75">
      <c r="A750">
        <v>483.02</v>
      </c>
      <c r="B750" s="25">
        <v>1</v>
      </c>
      <c r="C750">
        <v>156643.13262253001</v>
      </c>
      <c r="D750">
        <v>32907.660446046997</v>
      </c>
    </row>
    <row r="751" spans="1:4" ht="27" x14ac:dyDescent="0.75">
      <c r="A751">
        <v>483.01</v>
      </c>
      <c r="B751" s="25">
        <v>1</v>
      </c>
      <c r="C751">
        <v>156215.89019025999</v>
      </c>
      <c r="D751">
        <v>31343.481590881001</v>
      </c>
    </row>
    <row r="752" spans="1:4" ht="27" x14ac:dyDescent="0.75">
      <c r="A752">
        <v>483</v>
      </c>
      <c r="B752" s="25">
        <v>1</v>
      </c>
      <c r="C752">
        <v>155639.0693307</v>
      </c>
      <c r="D752">
        <v>29783.877598346</v>
      </c>
    </row>
    <row r="753" spans="1:4" ht="27" x14ac:dyDescent="0.75">
      <c r="A753">
        <v>482.99</v>
      </c>
      <c r="B753" s="25">
        <v>1</v>
      </c>
      <c r="C753">
        <v>153357.26827038999</v>
      </c>
      <c r="D753">
        <v>28247.596068953</v>
      </c>
    </row>
    <row r="754" spans="1:4" ht="27" x14ac:dyDescent="0.75">
      <c r="A754">
        <v>482.98</v>
      </c>
      <c r="B754" s="25">
        <v>1</v>
      </c>
      <c r="C754">
        <v>152865.04862556001</v>
      </c>
      <c r="D754">
        <v>26716.501689707999</v>
      </c>
    </row>
    <row r="755" spans="1:4" ht="27" x14ac:dyDescent="0.75">
      <c r="A755">
        <v>482.97</v>
      </c>
      <c r="B755" s="25">
        <v>1</v>
      </c>
      <c r="C755">
        <v>152374.66505586001</v>
      </c>
      <c r="D755">
        <v>25190.297847413</v>
      </c>
    </row>
    <row r="756" spans="1:4" ht="27" x14ac:dyDescent="0.75">
      <c r="A756">
        <v>482.96</v>
      </c>
      <c r="B756" s="25">
        <v>1</v>
      </c>
      <c r="C756">
        <v>151884.12071456999</v>
      </c>
      <c r="D756">
        <v>23669.001999656</v>
      </c>
    </row>
    <row r="757" spans="1:4" ht="27" x14ac:dyDescent="0.75">
      <c r="A757">
        <v>482.95</v>
      </c>
      <c r="B757" s="25">
        <v>1</v>
      </c>
      <c r="C757">
        <v>151393.39098952999</v>
      </c>
      <c r="D757">
        <v>22152.636452179999</v>
      </c>
    </row>
    <row r="758" spans="1:4" ht="27" x14ac:dyDescent="0.75">
      <c r="A758">
        <v>482.94</v>
      </c>
      <c r="B758" s="25">
        <v>1</v>
      </c>
      <c r="C758">
        <v>150902.57750782999</v>
      </c>
      <c r="D758">
        <v>20641.160951239999</v>
      </c>
    </row>
    <row r="759" spans="1:4" ht="27" x14ac:dyDescent="0.75">
      <c r="A759">
        <v>482.93</v>
      </c>
      <c r="B759" s="25">
        <v>1</v>
      </c>
      <c r="C759">
        <v>150411.73067431001</v>
      </c>
      <c r="D759">
        <v>19134.599796258</v>
      </c>
    </row>
    <row r="760" spans="1:4" ht="27" x14ac:dyDescent="0.75">
      <c r="A760">
        <v>482.92</v>
      </c>
      <c r="B760" s="25">
        <v>1</v>
      </c>
      <c r="C760">
        <v>149920.93094319</v>
      </c>
      <c r="D760">
        <v>17632.941500956</v>
      </c>
    </row>
    <row r="761" spans="1:4" ht="27" x14ac:dyDescent="0.75">
      <c r="A761">
        <v>482.91</v>
      </c>
      <c r="B761" s="25">
        <v>1</v>
      </c>
      <c r="C761">
        <v>149430.14112715999</v>
      </c>
      <c r="D761">
        <v>16136.191609942</v>
      </c>
    </row>
    <row r="762" spans="1:4" ht="27" x14ac:dyDescent="0.75">
      <c r="A762">
        <v>482.9</v>
      </c>
      <c r="B762" s="25">
        <v>1</v>
      </c>
      <c r="C762">
        <v>148939.30940216</v>
      </c>
      <c r="D762">
        <v>14644.334904006</v>
      </c>
    </row>
    <row r="763" spans="1:4" ht="27" x14ac:dyDescent="0.75">
      <c r="A763">
        <v>482.89</v>
      </c>
      <c r="B763" s="25">
        <v>1</v>
      </c>
      <c r="C763">
        <v>148448.54708126001</v>
      </c>
      <c r="D763">
        <v>13157.405516536001</v>
      </c>
    </row>
    <row r="764" spans="1:4" ht="27" x14ac:dyDescent="0.75">
      <c r="A764">
        <v>482.88</v>
      </c>
      <c r="B764" s="25">
        <v>1</v>
      </c>
      <c r="C764">
        <v>147957.77266235999</v>
      </c>
      <c r="D764">
        <v>11675.396949868</v>
      </c>
    </row>
    <row r="765" spans="1:4" ht="27" x14ac:dyDescent="0.75">
      <c r="A765">
        <v>482.87</v>
      </c>
      <c r="B765" s="26">
        <v>1</v>
      </c>
      <c r="C765">
        <v>147466.98998155</v>
      </c>
      <c r="D765">
        <v>10198.297931282999</v>
      </c>
    </row>
    <row r="766" spans="1:4" ht="27" x14ac:dyDescent="0.75">
      <c r="A766">
        <v>482.86</v>
      </c>
      <c r="B766" s="26">
        <v>1</v>
      </c>
      <c r="C766">
        <v>146976.01396275</v>
      </c>
      <c r="D766">
        <v>8726.0884104042998</v>
      </c>
    </row>
    <row r="767" spans="1:4" ht="27" x14ac:dyDescent="0.75">
      <c r="A767">
        <v>482.85</v>
      </c>
      <c r="B767" s="26">
        <v>1</v>
      </c>
      <c r="C767">
        <v>146484.77128434999</v>
      </c>
      <c r="D767">
        <v>7258.8256496430004</v>
      </c>
    </row>
    <row r="768" spans="1:4" ht="27" x14ac:dyDescent="0.75">
      <c r="A768">
        <v>482.84</v>
      </c>
      <c r="B768" s="26">
        <v>1</v>
      </c>
      <c r="C768">
        <v>145992.50570377</v>
      </c>
      <c r="D768">
        <v>5796.4922306333001</v>
      </c>
    </row>
    <row r="769" spans="1:4" ht="27" x14ac:dyDescent="0.75">
      <c r="A769">
        <v>482.83</v>
      </c>
      <c r="B769" s="26">
        <v>1</v>
      </c>
      <c r="C769">
        <v>145497.98098436001</v>
      </c>
      <c r="D769">
        <v>4339.1395932971</v>
      </c>
    </row>
    <row r="770" spans="1:4" ht="27" x14ac:dyDescent="0.75">
      <c r="A770">
        <v>482.82</v>
      </c>
      <c r="B770" s="26">
        <v>1</v>
      </c>
      <c r="C770">
        <v>144996.91824219999</v>
      </c>
      <c r="D770">
        <v>2886.8076653165999</v>
      </c>
    </row>
    <row r="771" spans="1:4" ht="27" x14ac:dyDescent="0.75">
      <c r="A771">
        <v>482.81</v>
      </c>
      <c r="B771" s="26">
        <v>1</v>
      </c>
      <c r="C771">
        <v>144474.08244617001</v>
      </c>
      <c r="D771">
        <v>1439.6211008901</v>
      </c>
    </row>
    <row r="772" spans="1:4" ht="27" x14ac:dyDescent="0.75">
      <c r="A772">
        <v>482.8</v>
      </c>
      <c r="B772" s="26">
        <v>1</v>
      </c>
      <c r="C772">
        <v>33140.978649363999</v>
      </c>
      <c r="D772">
        <v>0.40316732228766999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6E55-6241-4A02-8C45-6F5D2F70ADF3}">
  <dimension ref="A1:N17"/>
  <sheetViews>
    <sheetView workbookViewId="0">
      <selection activeCell="E40" sqref="E40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8.8984375" bestFit="1" customWidth="1"/>
    <col min="8" max="8" width="9.296875" bestFit="1" customWidth="1"/>
    <col min="10" max="11" width="9.296875" bestFit="1" customWidth="1"/>
  </cols>
  <sheetData>
    <row r="1" spans="1:14" x14ac:dyDescent="0.4">
      <c r="A1" t="s">
        <v>9</v>
      </c>
    </row>
    <row r="2" spans="1:14" x14ac:dyDescent="0.4">
      <c r="A2" t="s">
        <v>10</v>
      </c>
    </row>
    <row r="3" spans="1:14" ht="33.6" x14ac:dyDescent="0.4">
      <c r="A3" s="1" t="s">
        <v>11</v>
      </c>
      <c r="B3" t="s">
        <v>12</v>
      </c>
      <c r="E3" t="s">
        <v>13</v>
      </c>
    </row>
    <row r="4" spans="1:14" x14ac:dyDescent="0.4">
      <c r="A4" s="50" t="s">
        <v>14</v>
      </c>
      <c r="B4" s="51" t="s">
        <v>15</v>
      </c>
      <c r="C4" s="51"/>
      <c r="D4" s="51"/>
      <c r="E4" s="51" t="s">
        <v>16</v>
      </c>
      <c r="F4" s="51"/>
      <c r="G4" s="51"/>
      <c r="H4" s="51" t="s">
        <v>17</v>
      </c>
      <c r="I4" s="51"/>
      <c r="J4" s="51"/>
      <c r="K4" s="51" t="s">
        <v>18</v>
      </c>
      <c r="L4" s="51"/>
      <c r="M4" s="51"/>
    </row>
    <row r="5" spans="1:14" x14ac:dyDescent="0.4">
      <c r="A5" s="50"/>
      <c r="B5" s="4" t="s">
        <v>19</v>
      </c>
      <c r="C5" s="4" t="s">
        <v>20</v>
      </c>
      <c r="D5" s="4" t="s">
        <v>21</v>
      </c>
      <c r="E5" s="4" t="s">
        <v>19</v>
      </c>
      <c r="F5" s="4" t="s">
        <v>20</v>
      </c>
      <c r="G5" s="4" t="s">
        <v>21</v>
      </c>
      <c r="H5" s="4" t="s">
        <v>19</v>
      </c>
      <c r="I5" s="4" t="s">
        <v>20</v>
      </c>
      <c r="J5" s="4" t="s">
        <v>21</v>
      </c>
      <c r="K5" s="4" t="s">
        <v>19</v>
      </c>
      <c r="L5" s="4" t="s">
        <v>20</v>
      </c>
      <c r="M5" s="4" t="s">
        <v>21</v>
      </c>
    </row>
    <row r="6" spans="1:14" x14ac:dyDescent="0.4">
      <c r="A6" s="2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4">
      <c r="A7" s="2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4">
      <c r="A8" s="2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x14ac:dyDescent="0.4">
      <c r="A9" s="2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x14ac:dyDescent="0.4">
      <c r="A10" s="2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4">
      <c r="A11" s="5">
        <v>6</v>
      </c>
      <c r="B11" s="6">
        <v>1.5</v>
      </c>
      <c r="C11">
        <v>390</v>
      </c>
      <c r="D11" s="6">
        <v>6.5</v>
      </c>
      <c r="E11" s="6">
        <v>1.51</v>
      </c>
      <c r="F11">
        <f>G11*60</f>
        <v>391.8</v>
      </c>
      <c r="G11" s="6">
        <v>6.53</v>
      </c>
      <c r="H11">
        <v>1.54</v>
      </c>
      <c r="I11">
        <f>J11*60</f>
        <v>399</v>
      </c>
      <c r="J11">
        <v>6.65</v>
      </c>
      <c r="K11" s="6">
        <f t="shared" ref="K11:M17" si="0">AVERAGE(B11,E11,H11)</f>
        <v>1.5166666666666666</v>
      </c>
      <c r="L11" s="6">
        <f t="shared" si="0"/>
        <v>393.59999999999997</v>
      </c>
      <c r="M11" s="6">
        <f t="shared" si="0"/>
        <v>6.56</v>
      </c>
      <c r="N11" s="7" t="s">
        <v>22</v>
      </c>
    </row>
    <row r="12" spans="1:14" x14ac:dyDescent="0.4">
      <c r="A12" s="2">
        <v>7</v>
      </c>
      <c r="B12" s="6">
        <v>1.67</v>
      </c>
      <c r="C12">
        <v>433</v>
      </c>
      <c r="D12" s="6">
        <v>7.2166666666666668</v>
      </c>
      <c r="E12" s="6">
        <v>1.7</v>
      </c>
      <c r="F12">
        <f t="shared" ref="F12:F17" si="1">G12*60</f>
        <v>440.4</v>
      </c>
      <c r="G12" s="6">
        <v>7.34</v>
      </c>
      <c r="H12">
        <v>1.65</v>
      </c>
      <c r="I12">
        <f t="shared" ref="I12:I17" si="2">J12*60</f>
        <v>427.8</v>
      </c>
      <c r="J12">
        <v>7.13</v>
      </c>
      <c r="K12" s="6">
        <f t="shared" si="0"/>
        <v>1.6733333333333331</v>
      </c>
      <c r="L12" s="6">
        <f t="shared" si="0"/>
        <v>433.73333333333335</v>
      </c>
      <c r="M12" s="6">
        <f t="shared" si="0"/>
        <v>7.2288888888888891</v>
      </c>
    </row>
    <row r="13" spans="1:14" x14ac:dyDescent="0.4">
      <c r="A13" s="2">
        <v>8</v>
      </c>
      <c r="B13" s="6">
        <v>1.74</v>
      </c>
      <c r="C13">
        <v>450</v>
      </c>
      <c r="D13" s="6">
        <v>7.5</v>
      </c>
      <c r="E13" s="6">
        <v>1.79</v>
      </c>
      <c r="F13">
        <f t="shared" si="1"/>
        <v>463.8</v>
      </c>
      <c r="G13" s="6">
        <v>7.73</v>
      </c>
      <c r="H13">
        <v>1.79</v>
      </c>
      <c r="I13">
        <f t="shared" si="2"/>
        <v>464.40000000000003</v>
      </c>
      <c r="J13">
        <v>7.74</v>
      </c>
      <c r="K13" s="6">
        <f t="shared" si="0"/>
        <v>1.7733333333333334</v>
      </c>
      <c r="L13" s="6">
        <f t="shared" si="0"/>
        <v>459.40000000000003</v>
      </c>
      <c r="M13" s="6">
        <f t="shared" si="0"/>
        <v>7.6566666666666663</v>
      </c>
    </row>
    <row r="14" spans="1:14" x14ac:dyDescent="0.4">
      <c r="A14" s="2">
        <v>9</v>
      </c>
      <c r="B14" s="6">
        <v>1.75</v>
      </c>
      <c r="C14">
        <v>453</v>
      </c>
      <c r="D14" s="6">
        <v>7.55</v>
      </c>
      <c r="E14" s="6">
        <v>1.84</v>
      </c>
      <c r="F14">
        <f t="shared" si="1"/>
        <v>477</v>
      </c>
      <c r="G14" s="6">
        <v>7.95</v>
      </c>
      <c r="H14">
        <v>1.85</v>
      </c>
      <c r="I14">
        <f t="shared" si="2"/>
        <v>481.2</v>
      </c>
      <c r="J14">
        <v>8.02</v>
      </c>
      <c r="K14" s="6">
        <f t="shared" si="0"/>
        <v>1.8133333333333332</v>
      </c>
      <c r="L14" s="6">
        <f t="shared" si="0"/>
        <v>470.40000000000003</v>
      </c>
      <c r="M14" s="6">
        <f t="shared" si="0"/>
        <v>7.84</v>
      </c>
    </row>
    <row r="15" spans="1:14" x14ac:dyDescent="0.4">
      <c r="A15" s="2">
        <v>10</v>
      </c>
      <c r="B15" s="6">
        <v>1.76</v>
      </c>
      <c r="C15">
        <v>453</v>
      </c>
      <c r="D15" s="6">
        <v>7.64</v>
      </c>
      <c r="E15" s="6">
        <v>1.89</v>
      </c>
      <c r="F15">
        <f t="shared" si="1"/>
        <v>490.2</v>
      </c>
      <c r="G15" s="6">
        <v>8.17</v>
      </c>
      <c r="H15">
        <v>1.89</v>
      </c>
      <c r="I15">
        <f t="shared" si="2"/>
        <v>490.2</v>
      </c>
      <c r="J15">
        <v>8.17</v>
      </c>
      <c r="K15" s="6">
        <f t="shared" si="0"/>
        <v>1.8466666666666667</v>
      </c>
      <c r="L15" s="6">
        <f t="shared" si="0"/>
        <v>477.8</v>
      </c>
      <c r="M15" s="6">
        <f t="shared" si="0"/>
        <v>7.9933333333333323</v>
      </c>
    </row>
    <row r="16" spans="1:14" x14ac:dyDescent="0.4">
      <c r="A16" s="2">
        <v>11</v>
      </c>
      <c r="B16" s="6">
        <v>1.81</v>
      </c>
      <c r="C16">
        <v>470</v>
      </c>
      <c r="D16" s="6">
        <v>7.833333333333333</v>
      </c>
      <c r="E16" s="6">
        <v>1.91</v>
      </c>
      <c r="F16">
        <f t="shared" si="1"/>
        <v>496.2</v>
      </c>
      <c r="G16" s="6">
        <v>8.27</v>
      </c>
      <c r="H16">
        <v>1.93</v>
      </c>
      <c r="I16">
        <f t="shared" si="2"/>
        <v>499.8</v>
      </c>
      <c r="J16">
        <v>8.33</v>
      </c>
      <c r="K16" s="6">
        <f t="shared" si="0"/>
        <v>1.8833333333333331</v>
      </c>
      <c r="L16" s="6">
        <f t="shared" si="0"/>
        <v>488.66666666666669</v>
      </c>
      <c r="M16" s="6">
        <f t="shared" si="0"/>
        <v>8.1444444444444439</v>
      </c>
    </row>
    <row r="17" spans="1:13" x14ac:dyDescent="0.4">
      <c r="A17" s="2">
        <v>12</v>
      </c>
      <c r="B17" s="6">
        <v>1.88</v>
      </c>
      <c r="C17">
        <v>487</v>
      </c>
      <c r="D17" s="6">
        <v>8.1166666666666671</v>
      </c>
      <c r="E17" s="6">
        <v>1.95</v>
      </c>
      <c r="F17">
        <f t="shared" si="1"/>
        <v>506.4</v>
      </c>
      <c r="G17" s="6">
        <v>8.44</v>
      </c>
      <c r="H17">
        <v>1.96</v>
      </c>
      <c r="I17">
        <f t="shared" si="2"/>
        <v>508.20000000000005</v>
      </c>
      <c r="J17">
        <v>8.4700000000000006</v>
      </c>
      <c r="K17" s="6">
        <f t="shared" si="0"/>
        <v>1.93</v>
      </c>
      <c r="L17" s="6">
        <f t="shared" si="0"/>
        <v>500.5333333333333</v>
      </c>
      <c r="M17" s="6">
        <f t="shared" si="0"/>
        <v>8.3422222222222207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D7DB-8367-4118-9E3B-E9C4603276D6}">
  <dimension ref="A1:N16"/>
  <sheetViews>
    <sheetView workbookViewId="0">
      <selection activeCell="Q8" sqref="Q8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9.296875" bestFit="1" customWidth="1"/>
    <col min="10" max="10" width="8.8984375" bestFit="1" customWidth="1"/>
    <col min="11" max="11" width="9.296875" bestFit="1" customWidth="1"/>
    <col min="13" max="14" width="9.296875" bestFit="1" customWidth="1"/>
  </cols>
  <sheetData>
    <row r="1" spans="1:14" x14ac:dyDescent="0.4">
      <c r="A1" t="s">
        <v>9</v>
      </c>
    </row>
    <row r="2" spans="1:14" x14ac:dyDescent="0.4">
      <c r="A2" t="s">
        <v>10</v>
      </c>
    </row>
    <row r="3" spans="1:14" x14ac:dyDescent="0.4">
      <c r="A3" s="1" t="s">
        <v>23</v>
      </c>
      <c r="B3" t="s">
        <v>12</v>
      </c>
      <c r="H3" t="s">
        <v>24</v>
      </c>
    </row>
    <row r="4" spans="1:14" x14ac:dyDescent="0.4">
      <c r="A4" s="50" t="s">
        <v>14</v>
      </c>
      <c r="B4" s="51" t="s">
        <v>15</v>
      </c>
      <c r="C4" s="51"/>
      <c r="D4" s="51"/>
      <c r="E4" s="51" t="s">
        <v>16</v>
      </c>
      <c r="F4" s="51"/>
      <c r="G4" s="51"/>
      <c r="H4" s="51" t="s">
        <v>17</v>
      </c>
      <c r="I4" s="51"/>
      <c r="J4" s="51"/>
      <c r="K4" s="51" t="s">
        <v>18</v>
      </c>
      <c r="L4" s="51"/>
      <c r="M4" s="51"/>
    </row>
    <row r="5" spans="1:14" x14ac:dyDescent="0.4">
      <c r="A5" s="50"/>
      <c r="B5" s="4" t="s">
        <v>19</v>
      </c>
      <c r="C5" s="4" t="s">
        <v>20</v>
      </c>
      <c r="D5" s="4" t="s">
        <v>21</v>
      </c>
      <c r="E5" s="4" t="s">
        <v>19</v>
      </c>
      <c r="F5" s="4" t="s">
        <v>20</v>
      </c>
      <c r="G5" s="4" t="s">
        <v>21</v>
      </c>
      <c r="H5" s="4" t="s">
        <v>19</v>
      </c>
      <c r="I5" s="4" t="s">
        <v>20</v>
      </c>
      <c r="J5" s="4" t="s">
        <v>21</v>
      </c>
      <c r="K5" s="4" t="s">
        <v>19</v>
      </c>
      <c r="L5" s="4" t="s">
        <v>20</v>
      </c>
      <c r="M5" s="4" t="s">
        <v>21</v>
      </c>
    </row>
    <row r="6" spans="1:14" x14ac:dyDescent="0.4">
      <c r="A6" s="2">
        <v>1</v>
      </c>
      <c r="B6">
        <v>0</v>
      </c>
      <c r="C6">
        <f>D6*60</f>
        <v>0</v>
      </c>
      <c r="D6">
        <v>0</v>
      </c>
      <c r="E6">
        <v>0</v>
      </c>
      <c r="F6">
        <f>G6*60</f>
        <v>0</v>
      </c>
      <c r="G6">
        <v>0</v>
      </c>
      <c r="H6">
        <v>0</v>
      </c>
      <c r="I6">
        <f>J6*60</f>
        <v>0</v>
      </c>
      <c r="J6">
        <v>0</v>
      </c>
      <c r="K6">
        <v>0</v>
      </c>
      <c r="L6" s="6">
        <f>M6*60</f>
        <v>0</v>
      </c>
      <c r="M6">
        <v>0</v>
      </c>
    </row>
    <row r="7" spans="1:14" x14ac:dyDescent="0.4">
      <c r="A7" s="2">
        <v>2</v>
      </c>
      <c r="B7">
        <v>0.05</v>
      </c>
      <c r="C7">
        <f t="shared" ref="C7:C16" si="0">D7*60</f>
        <v>13.8</v>
      </c>
      <c r="D7">
        <v>0.23</v>
      </c>
      <c r="E7">
        <v>0.05</v>
      </c>
      <c r="F7">
        <f t="shared" ref="F7:F16" si="1">G7*60</f>
        <v>13.8</v>
      </c>
      <c r="G7">
        <v>0.23</v>
      </c>
      <c r="H7">
        <v>0.05</v>
      </c>
      <c r="I7">
        <f t="shared" ref="I7:I16" si="2">J7*60</f>
        <v>13.8</v>
      </c>
      <c r="J7">
        <v>0.23</v>
      </c>
      <c r="K7" s="6">
        <f>AVERAGE(B7,E7,H7)</f>
        <v>5.000000000000001E-2</v>
      </c>
      <c r="L7" s="6">
        <f t="shared" ref="L7:L16" si="3">M7*60</f>
        <v>13.8</v>
      </c>
      <c r="M7" s="6">
        <f>AVERAGE(D7,G7,J7)</f>
        <v>0.23</v>
      </c>
    </row>
    <row r="8" spans="1:14" x14ac:dyDescent="0.4">
      <c r="A8" s="2">
        <v>3</v>
      </c>
      <c r="B8">
        <v>0.27</v>
      </c>
      <c r="C8">
        <f t="shared" si="0"/>
        <v>70.199999999999989</v>
      </c>
      <c r="D8">
        <v>1.17</v>
      </c>
      <c r="E8">
        <v>0.28999999999999998</v>
      </c>
      <c r="F8">
        <f t="shared" si="1"/>
        <v>76.8</v>
      </c>
      <c r="G8">
        <v>1.28</v>
      </c>
      <c r="H8">
        <v>0.28999999999999998</v>
      </c>
      <c r="I8">
        <f t="shared" si="2"/>
        <v>74.400000000000006</v>
      </c>
      <c r="J8">
        <v>1.24</v>
      </c>
      <c r="K8" s="6">
        <f t="shared" ref="K8:K16" si="4">AVERAGE(B8,E8,H8)</f>
        <v>0.28333333333333338</v>
      </c>
      <c r="L8" s="6">
        <f t="shared" si="3"/>
        <v>73.800000000000011</v>
      </c>
      <c r="M8" s="6">
        <f t="shared" ref="M8:M16" si="5">AVERAGE(D8,G8,J8)</f>
        <v>1.2300000000000002</v>
      </c>
    </row>
    <row r="9" spans="1:14" x14ac:dyDescent="0.4">
      <c r="A9" s="2">
        <v>4</v>
      </c>
      <c r="B9">
        <v>0.56999999999999995</v>
      </c>
      <c r="C9">
        <f t="shared" si="0"/>
        <v>147.6</v>
      </c>
      <c r="D9">
        <v>2.46</v>
      </c>
      <c r="E9">
        <v>0.56999999999999995</v>
      </c>
      <c r="F9">
        <f t="shared" si="1"/>
        <v>148.80000000000001</v>
      </c>
      <c r="G9">
        <v>2.48</v>
      </c>
      <c r="H9">
        <v>0.56000000000000005</v>
      </c>
      <c r="I9">
        <f t="shared" si="2"/>
        <v>145.80000000000001</v>
      </c>
      <c r="J9">
        <v>2.4300000000000002</v>
      </c>
      <c r="K9" s="6">
        <f t="shared" si="4"/>
        <v>0.56666666666666665</v>
      </c>
      <c r="L9" s="6">
        <f t="shared" si="3"/>
        <v>147.4</v>
      </c>
      <c r="M9" s="6">
        <f t="shared" si="5"/>
        <v>2.4566666666666666</v>
      </c>
    </row>
    <row r="10" spans="1:14" x14ac:dyDescent="0.4">
      <c r="A10" s="2">
        <v>5</v>
      </c>
      <c r="B10">
        <v>0.77</v>
      </c>
      <c r="C10">
        <f t="shared" si="0"/>
        <v>199.8</v>
      </c>
      <c r="D10">
        <v>3.33</v>
      </c>
      <c r="E10">
        <v>0.82</v>
      </c>
      <c r="F10">
        <f t="shared" si="1"/>
        <v>214.2</v>
      </c>
      <c r="G10">
        <v>3.57</v>
      </c>
      <c r="H10">
        <v>0.77</v>
      </c>
      <c r="I10">
        <f t="shared" si="2"/>
        <v>199.8</v>
      </c>
      <c r="J10">
        <v>3.33</v>
      </c>
      <c r="K10" s="6">
        <f t="shared" si="4"/>
        <v>0.78666666666666663</v>
      </c>
      <c r="L10" s="6">
        <f t="shared" si="3"/>
        <v>204.60000000000002</v>
      </c>
      <c r="M10" s="6">
        <f t="shared" si="5"/>
        <v>3.41</v>
      </c>
    </row>
    <row r="11" spans="1:14" x14ac:dyDescent="0.4">
      <c r="A11" s="5">
        <v>6</v>
      </c>
      <c r="B11" s="6">
        <v>0.89</v>
      </c>
      <c r="C11">
        <f t="shared" si="0"/>
        <v>232.20000000000002</v>
      </c>
      <c r="D11" s="6">
        <v>3.87</v>
      </c>
      <c r="E11">
        <v>0.87</v>
      </c>
      <c r="F11">
        <f t="shared" si="1"/>
        <v>227.4</v>
      </c>
      <c r="G11" s="6">
        <v>3.79</v>
      </c>
      <c r="H11" s="6">
        <v>0.91</v>
      </c>
      <c r="I11">
        <f t="shared" si="2"/>
        <v>237</v>
      </c>
      <c r="J11" s="6">
        <v>3.95</v>
      </c>
      <c r="K11" s="6">
        <f t="shared" si="4"/>
        <v>0.89</v>
      </c>
      <c r="L11" s="6">
        <f t="shared" si="3"/>
        <v>232.2</v>
      </c>
      <c r="M11" s="6">
        <f t="shared" si="5"/>
        <v>3.8699999999999997</v>
      </c>
      <c r="N11" s="7" t="s">
        <v>22</v>
      </c>
    </row>
    <row r="12" spans="1:14" x14ac:dyDescent="0.4">
      <c r="A12" s="2">
        <v>7</v>
      </c>
      <c r="B12" s="6">
        <v>0.97</v>
      </c>
      <c r="C12">
        <f t="shared" si="0"/>
        <v>252.6</v>
      </c>
      <c r="D12" s="6">
        <v>4.21</v>
      </c>
      <c r="E12">
        <v>0.96</v>
      </c>
      <c r="F12">
        <f t="shared" si="1"/>
        <v>249.00000000000003</v>
      </c>
      <c r="G12" s="6">
        <v>4.1500000000000004</v>
      </c>
      <c r="H12" s="6">
        <v>1</v>
      </c>
      <c r="I12">
        <f t="shared" si="2"/>
        <v>261</v>
      </c>
      <c r="J12" s="6">
        <v>4.3499999999999996</v>
      </c>
      <c r="K12" s="6">
        <f t="shared" si="4"/>
        <v>0.97666666666666657</v>
      </c>
      <c r="L12" s="6">
        <f t="shared" si="3"/>
        <v>254.2</v>
      </c>
      <c r="M12" s="6">
        <f t="shared" si="5"/>
        <v>4.2366666666666664</v>
      </c>
    </row>
    <row r="13" spans="1:14" x14ac:dyDescent="0.4">
      <c r="A13" s="2">
        <v>8</v>
      </c>
      <c r="B13" s="6">
        <v>1.05</v>
      </c>
      <c r="C13">
        <f t="shared" si="0"/>
        <v>272.39999999999998</v>
      </c>
      <c r="D13" s="6">
        <v>4.54</v>
      </c>
      <c r="E13">
        <v>1.06</v>
      </c>
      <c r="F13">
        <f t="shared" si="1"/>
        <v>276.60000000000002</v>
      </c>
      <c r="G13" s="6">
        <v>4.6100000000000003</v>
      </c>
      <c r="H13" s="6">
        <v>1.07</v>
      </c>
      <c r="I13">
        <f t="shared" si="2"/>
        <v>278.39999999999998</v>
      </c>
      <c r="J13" s="6">
        <v>4.6399999999999997</v>
      </c>
      <c r="K13" s="6">
        <f t="shared" si="4"/>
        <v>1.0600000000000003</v>
      </c>
      <c r="L13" s="6">
        <f t="shared" si="3"/>
        <v>275.8</v>
      </c>
      <c r="M13" s="6">
        <f t="shared" si="5"/>
        <v>4.5966666666666667</v>
      </c>
    </row>
    <row r="14" spans="1:14" x14ac:dyDescent="0.4">
      <c r="A14" s="2">
        <v>9</v>
      </c>
      <c r="B14" s="6">
        <v>1.06</v>
      </c>
      <c r="C14">
        <f t="shared" si="0"/>
        <v>276.60000000000002</v>
      </c>
      <c r="D14" s="6">
        <v>4.6100000000000003</v>
      </c>
      <c r="E14">
        <v>1.07</v>
      </c>
      <c r="F14">
        <f t="shared" si="1"/>
        <v>279.60000000000002</v>
      </c>
      <c r="G14" s="6">
        <v>4.66</v>
      </c>
      <c r="H14" s="6">
        <v>1.0900000000000001</v>
      </c>
      <c r="I14">
        <f t="shared" si="2"/>
        <v>284.40000000000003</v>
      </c>
      <c r="J14" s="6">
        <v>4.74</v>
      </c>
      <c r="K14" s="6">
        <f t="shared" si="4"/>
        <v>1.0733333333333333</v>
      </c>
      <c r="L14" s="6">
        <f t="shared" si="3"/>
        <v>280.2</v>
      </c>
      <c r="M14" s="6">
        <f t="shared" si="5"/>
        <v>4.67</v>
      </c>
    </row>
    <row r="15" spans="1:14" x14ac:dyDescent="0.4">
      <c r="A15" s="2">
        <v>10</v>
      </c>
      <c r="B15" s="6">
        <v>1.05</v>
      </c>
      <c r="C15">
        <f t="shared" si="0"/>
        <v>273.59999999999997</v>
      </c>
      <c r="D15" s="6">
        <v>4.5599999999999996</v>
      </c>
      <c r="E15">
        <v>1.08</v>
      </c>
      <c r="F15">
        <f t="shared" si="1"/>
        <v>282</v>
      </c>
      <c r="G15" s="6">
        <v>4.7</v>
      </c>
      <c r="H15" s="6">
        <v>1.1200000000000001</v>
      </c>
      <c r="I15">
        <f t="shared" si="2"/>
        <v>291</v>
      </c>
      <c r="J15" s="6">
        <v>4.8499999999999996</v>
      </c>
      <c r="K15" s="6">
        <f t="shared" si="4"/>
        <v>1.0833333333333333</v>
      </c>
      <c r="L15" s="6">
        <f t="shared" si="3"/>
        <v>282.2</v>
      </c>
      <c r="M15" s="6">
        <f t="shared" si="5"/>
        <v>4.7033333333333331</v>
      </c>
    </row>
    <row r="16" spans="1:14" x14ac:dyDescent="0.4">
      <c r="A16" s="2">
        <v>11</v>
      </c>
      <c r="B16" s="6">
        <v>1.06</v>
      </c>
      <c r="C16">
        <f t="shared" si="0"/>
        <v>275.39999999999998</v>
      </c>
      <c r="D16" s="6">
        <v>4.59</v>
      </c>
      <c r="E16">
        <v>1.08</v>
      </c>
      <c r="F16">
        <f t="shared" si="1"/>
        <v>282</v>
      </c>
      <c r="G16" s="6">
        <v>4.7</v>
      </c>
      <c r="H16" s="6">
        <v>1.1200000000000001</v>
      </c>
      <c r="I16">
        <f t="shared" si="2"/>
        <v>291.60000000000002</v>
      </c>
      <c r="J16" s="6">
        <v>4.8600000000000003</v>
      </c>
      <c r="K16" s="6">
        <f t="shared" si="4"/>
        <v>1.0866666666666667</v>
      </c>
      <c r="L16" s="6">
        <f t="shared" si="3"/>
        <v>282.99999999999994</v>
      </c>
      <c r="M16" s="6">
        <f t="shared" si="5"/>
        <v>4.7166666666666659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E0E3-C48C-43CF-8E87-3E9BA6030C16}">
  <dimension ref="A1:J53"/>
  <sheetViews>
    <sheetView workbookViewId="0">
      <selection activeCell="K10" sqref="K10"/>
    </sheetView>
  </sheetViews>
  <sheetFormatPr defaultRowHeight="16.8" x14ac:dyDescent="0.4"/>
  <cols>
    <col min="4" max="4" width="14.3984375" customWidth="1"/>
    <col min="6" max="6" width="11.69921875" customWidth="1"/>
    <col min="7" max="7" width="13.5" customWidth="1"/>
    <col min="8" max="8" width="12.59765625" customWidth="1"/>
    <col min="9" max="9" width="20.19921875" customWidth="1"/>
    <col min="10" max="10" width="40.8984375" customWidth="1"/>
  </cols>
  <sheetData>
    <row r="1" spans="1:10" ht="46.8" x14ac:dyDescent="0.4">
      <c r="A1" s="13" t="s">
        <v>27</v>
      </c>
      <c r="B1" s="13" t="s">
        <v>28</v>
      </c>
      <c r="C1" s="13" t="s">
        <v>29</v>
      </c>
      <c r="D1" s="13" t="s">
        <v>30</v>
      </c>
      <c r="E1" s="13" t="s">
        <v>31</v>
      </c>
      <c r="F1" s="13" t="s">
        <v>32</v>
      </c>
      <c r="G1" s="13" t="s">
        <v>33</v>
      </c>
      <c r="H1" s="13" t="s">
        <v>34</v>
      </c>
      <c r="I1" s="13" t="s">
        <v>35</v>
      </c>
      <c r="J1" s="13" t="s">
        <v>36</v>
      </c>
    </row>
    <row r="2" spans="1:10" x14ac:dyDescent="0.4">
      <c r="A2" s="14">
        <v>1</v>
      </c>
      <c r="B2" s="14" t="s">
        <v>37</v>
      </c>
      <c r="C2" s="15">
        <v>10</v>
      </c>
      <c r="D2" s="14">
        <v>6</v>
      </c>
      <c r="E2" s="14" t="s">
        <v>38</v>
      </c>
      <c r="F2" s="15">
        <v>13</v>
      </c>
      <c r="G2" s="14"/>
      <c r="H2" s="14" t="s">
        <v>39</v>
      </c>
      <c r="I2" s="14" t="s">
        <v>40</v>
      </c>
      <c r="J2" s="14"/>
    </row>
    <row r="3" spans="1:10" x14ac:dyDescent="0.4">
      <c r="A3" s="14">
        <v>2</v>
      </c>
      <c r="B3" s="14" t="s">
        <v>37</v>
      </c>
      <c r="C3" s="15">
        <v>10</v>
      </c>
      <c r="D3" s="14">
        <v>6</v>
      </c>
      <c r="E3" s="14" t="s">
        <v>38</v>
      </c>
      <c r="F3" s="15">
        <v>13</v>
      </c>
      <c r="G3" s="14"/>
      <c r="H3" s="14" t="s">
        <v>41</v>
      </c>
      <c r="I3" s="14" t="s">
        <v>40</v>
      </c>
      <c r="J3" s="14"/>
    </row>
    <row r="4" spans="1:10" x14ac:dyDescent="0.4">
      <c r="A4" s="16"/>
      <c r="B4" s="16"/>
      <c r="C4" s="17"/>
      <c r="D4" s="16"/>
      <c r="E4" s="16"/>
      <c r="F4" s="18"/>
      <c r="G4" s="16"/>
      <c r="H4" s="16"/>
      <c r="I4" s="16"/>
      <c r="J4" s="16"/>
    </row>
    <row r="5" spans="1:10" x14ac:dyDescent="0.4">
      <c r="A5" s="16"/>
      <c r="B5" s="16"/>
      <c r="C5" s="17"/>
      <c r="D5" s="16"/>
      <c r="E5" s="16"/>
      <c r="F5" s="18"/>
      <c r="G5" s="16"/>
      <c r="H5" s="16"/>
      <c r="I5" s="16"/>
      <c r="J5" s="16"/>
    </row>
    <row r="6" spans="1:10" x14ac:dyDescent="0.4">
      <c r="A6" s="16"/>
      <c r="B6" s="16"/>
      <c r="C6" s="17"/>
      <c r="D6" s="16"/>
      <c r="E6" s="16"/>
      <c r="F6" s="18"/>
      <c r="G6" s="16"/>
      <c r="H6" s="16"/>
      <c r="I6" s="16"/>
      <c r="J6" s="16"/>
    </row>
    <row r="7" spans="1:10" x14ac:dyDescent="0.4">
      <c r="A7" s="16"/>
      <c r="B7" s="16"/>
      <c r="C7" s="17"/>
      <c r="D7" s="16"/>
      <c r="E7" s="16"/>
      <c r="F7" s="18"/>
      <c r="G7" s="16"/>
      <c r="H7" s="16"/>
      <c r="I7" s="16"/>
      <c r="J7" s="16"/>
    </row>
    <row r="8" spans="1:10" x14ac:dyDescent="0.4">
      <c r="A8" s="16"/>
      <c r="B8" s="16"/>
      <c r="C8" s="17"/>
      <c r="D8" s="16"/>
      <c r="E8" s="16"/>
      <c r="F8" s="18"/>
      <c r="G8" s="16"/>
      <c r="H8" s="16"/>
      <c r="I8" s="16"/>
      <c r="J8" s="16"/>
    </row>
    <row r="9" spans="1:10" x14ac:dyDescent="0.4">
      <c r="A9" s="16"/>
      <c r="B9" s="16"/>
      <c r="C9" s="17"/>
      <c r="D9" s="16"/>
      <c r="E9" s="16"/>
      <c r="F9" s="18"/>
      <c r="G9" s="16"/>
      <c r="H9" s="16"/>
      <c r="I9" s="16"/>
      <c r="J9" s="16"/>
    </row>
    <row r="10" spans="1:10" x14ac:dyDescent="0.4">
      <c r="A10" s="16"/>
      <c r="B10" s="16"/>
      <c r="C10" s="17"/>
      <c r="D10" s="16"/>
      <c r="E10" s="16"/>
      <c r="F10" s="18"/>
      <c r="G10" s="16"/>
      <c r="H10" s="16"/>
      <c r="I10" s="16"/>
      <c r="J10" s="16"/>
    </row>
    <row r="11" spans="1:10" x14ac:dyDescent="0.4">
      <c r="A11" s="16"/>
      <c r="B11" s="16"/>
      <c r="C11" s="17"/>
      <c r="D11" s="16"/>
      <c r="E11" s="16"/>
      <c r="F11" s="18"/>
      <c r="G11" s="16"/>
      <c r="H11" s="16"/>
      <c r="I11" s="16"/>
      <c r="J11" s="16"/>
    </row>
    <row r="12" spans="1:10" x14ac:dyDescent="0.4">
      <c r="A12" s="16"/>
      <c r="B12" s="16"/>
      <c r="C12" s="17"/>
      <c r="D12" s="16"/>
      <c r="E12" s="16"/>
      <c r="F12" s="18"/>
      <c r="G12" s="16"/>
      <c r="H12" s="16"/>
      <c r="I12" s="16"/>
      <c r="J12" s="16"/>
    </row>
    <row r="13" spans="1:10" x14ac:dyDescent="0.4">
      <c r="A13" s="16"/>
      <c r="B13" s="16"/>
      <c r="C13" s="17"/>
      <c r="D13" s="16"/>
      <c r="E13" s="16"/>
      <c r="F13" s="18"/>
      <c r="G13" s="16"/>
      <c r="H13" s="16"/>
      <c r="I13" s="16"/>
      <c r="J13" s="16"/>
    </row>
    <row r="14" spans="1:10" x14ac:dyDescent="0.4">
      <c r="A14" s="16"/>
      <c r="B14" s="16"/>
      <c r="C14" s="17"/>
      <c r="D14" s="16"/>
      <c r="E14" s="16"/>
      <c r="F14" s="18"/>
      <c r="G14" s="16"/>
      <c r="H14" s="16"/>
      <c r="I14" s="16"/>
      <c r="J14" s="16"/>
    </row>
    <row r="15" spans="1:10" x14ac:dyDescent="0.4">
      <c r="A15" s="16"/>
      <c r="B15" s="16"/>
      <c r="C15" s="17"/>
      <c r="D15" s="16"/>
      <c r="E15" s="16"/>
      <c r="F15" s="18"/>
      <c r="G15" s="16"/>
      <c r="H15" s="16"/>
      <c r="I15" s="16"/>
      <c r="J15" s="16"/>
    </row>
    <row r="16" spans="1:10" x14ac:dyDescent="0.4">
      <c r="A16" s="16"/>
      <c r="B16" s="16"/>
      <c r="C16" s="17"/>
      <c r="D16" s="16"/>
      <c r="E16" s="16"/>
      <c r="F16" s="18"/>
      <c r="G16" s="16"/>
      <c r="H16" s="16"/>
      <c r="I16" s="16"/>
      <c r="J16" s="16"/>
    </row>
    <row r="17" spans="1:10" x14ac:dyDescent="0.4">
      <c r="A17" s="16"/>
      <c r="B17" s="16"/>
      <c r="C17" s="17"/>
      <c r="D17" s="16"/>
      <c r="E17" s="16"/>
      <c r="F17" s="18"/>
      <c r="G17" s="16"/>
      <c r="H17" s="16"/>
      <c r="I17" s="16"/>
      <c r="J17" s="16"/>
    </row>
    <row r="18" spans="1:10" x14ac:dyDescent="0.4">
      <c r="A18" s="16"/>
      <c r="B18" s="16"/>
      <c r="C18" s="17"/>
      <c r="D18" s="16"/>
      <c r="E18" s="16"/>
      <c r="F18" s="18"/>
      <c r="G18" s="16"/>
      <c r="H18" s="16"/>
      <c r="I18" s="16"/>
      <c r="J18" s="16"/>
    </row>
    <row r="19" spans="1:10" x14ac:dyDescent="0.4">
      <c r="A19" s="16"/>
      <c r="B19" s="16"/>
      <c r="C19" s="17"/>
      <c r="D19" s="16"/>
      <c r="E19" s="16"/>
      <c r="F19" s="18"/>
      <c r="G19" s="16"/>
      <c r="H19" s="16"/>
      <c r="I19" s="16"/>
      <c r="J19" s="16"/>
    </row>
    <row r="20" spans="1:10" x14ac:dyDescent="0.4">
      <c r="A20" s="16"/>
      <c r="B20" s="16"/>
      <c r="C20" s="17"/>
      <c r="D20" s="16"/>
      <c r="E20" s="16"/>
      <c r="F20" s="18"/>
      <c r="G20" s="16"/>
      <c r="H20" s="16"/>
      <c r="I20" s="16"/>
      <c r="J20" s="16"/>
    </row>
    <row r="21" spans="1:10" x14ac:dyDescent="0.4">
      <c r="A21" s="16"/>
      <c r="B21" s="16"/>
      <c r="C21" s="17"/>
      <c r="D21" s="16"/>
      <c r="E21" s="16"/>
      <c r="F21" s="18"/>
      <c r="G21" s="16"/>
      <c r="H21" s="16"/>
      <c r="I21" s="16"/>
      <c r="J21" s="16"/>
    </row>
    <row r="22" spans="1:10" x14ac:dyDescent="0.4">
      <c r="A22" s="16"/>
      <c r="B22" s="16"/>
      <c r="C22" s="17"/>
      <c r="D22" s="16"/>
      <c r="E22" s="16"/>
      <c r="F22" s="18"/>
      <c r="G22" s="16"/>
      <c r="H22" s="16"/>
      <c r="I22" s="16"/>
      <c r="J22" s="16"/>
    </row>
    <row r="23" spans="1:10" x14ac:dyDescent="0.4">
      <c r="A23" s="16"/>
      <c r="B23" s="16"/>
      <c r="C23" s="17"/>
      <c r="D23" s="16"/>
      <c r="E23" s="16"/>
      <c r="F23" s="18"/>
      <c r="G23" s="16"/>
      <c r="H23" s="16"/>
      <c r="I23" s="16"/>
      <c r="J23" s="16"/>
    </row>
    <row r="24" spans="1:10" x14ac:dyDescent="0.4">
      <c r="A24" s="16"/>
      <c r="B24" s="16"/>
      <c r="C24" s="17"/>
      <c r="D24" s="16"/>
      <c r="E24" s="16"/>
      <c r="F24" s="18"/>
      <c r="G24" s="16"/>
      <c r="H24" s="16"/>
      <c r="I24" s="16"/>
      <c r="J24" s="16"/>
    </row>
    <row r="25" spans="1:10" x14ac:dyDescent="0.4">
      <c r="A25" s="16"/>
      <c r="B25" s="16"/>
      <c r="C25" s="17"/>
      <c r="D25" s="16"/>
      <c r="E25" s="16"/>
      <c r="F25" s="18"/>
      <c r="G25" s="16"/>
      <c r="H25" s="16"/>
      <c r="I25" s="16"/>
      <c r="J25" s="16"/>
    </row>
    <row r="26" spans="1:10" x14ac:dyDescent="0.4">
      <c r="A26" s="16"/>
      <c r="B26" s="16"/>
      <c r="C26" s="17"/>
      <c r="D26" s="16"/>
      <c r="E26" s="16"/>
      <c r="F26" s="18"/>
      <c r="G26" s="16"/>
      <c r="H26" s="16"/>
      <c r="I26" s="16"/>
      <c r="J26" s="16"/>
    </row>
    <row r="27" spans="1:10" x14ac:dyDescent="0.4">
      <c r="A27" s="16"/>
      <c r="B27" s="16"/>
      <c r="C27" s="17"/>
      <c r="D27" s="16"/>
      <c r="E27" s="16"/>
      <c r="F27" s="18"/>
      <c r="G27" s="16"/>
      <c r="H27" s="16"/>
      <c r="I27" s="16"/>
      <c r="J27" s="16"/>
    </row>
    <row r="28" spans="1:10" x14ac:dyDescent="0.4">
      <c r="A28" s="16"/>
      <c r="B28" s="16"/>
      <c r="C28" s="17"/>
      <c r="D28" s="16"/>
      <c r="E28" s="16"/>
      <c r="F28" s="18"/>
      <c r="G28" s="16"/>
      <c r="H28" s="16"/>
      <c r="I28" s="16"/>
      <c r="J28" s="16"/>
    </row>
    <row r="29" spans="1:10" x14ac:dyDescent="0.4">
      <c r="A29" s="16"/>
      <c r="B29" s="16"/>
      <c r="C29" s="17"/>
      <c r="D29" s="16"/>
      <c r="E29" s="16"/>
      <c r="F29" s="18"/>
      <c r="G29" s="16"/>
      <c r="H29" s="16"/>
      <c r="I29" s="16"/>
      <c r="J29" s="16"/>
    </row>
    <row r="30" spans="1:10" x14ac:dyDescent="0.4">
      <c r="A30" s="16"/>
      <c r="B30" s="16"/>
      <c r="C30" s="17"/>
      <c r="D30" s="16"/>
      <c r="E30" s="16"/>
      <c r="F30" s="18"/>
      <c r="G30" s="16"/>
      <c r="H30" s="16"/>
      <c r="I30" s="16"/>
      <c r="J30" s="16"/>
    </row>
    <row r="31" spans="1:10" x14ac:dyDescent="0.4">
      <c r="A31" s="16"/>
      <c r="B31" s="16"/>
      <c r="C31" s="17"/>
      <c r="D31" s="16"/>
      <c r="E31" s="16"/>
      <c r="F31" s="18"/>
      <c r="G31" s="16"/>
      <c r="H31" s="16"/>
      <c r="I31" s="16"/>
      <c r="J31" s="16"/>
    </row>
    <row r="32" spans="1:10" x14ac:dyDescent="0.4">
      <c r="A32" s="16"/>
      <c r="B32" s="16"/>
      <c r="C32" s="17"/>
      <c r="D32" s="16"/>
      <c r="E32" s="16"/>
      <c r="F32" s="18"/>
      <c r="G32" s="16"/>
      <c r="H32" s="16"/>
      <c r="I32" s="16"/>
      <c r="J32" s="16"/>
    </row>
    <row r="33" spans="1:10" x14ac:dyDescent="0.4">
      <c r="A33" s="16"/>
      <c r="B33" s="16"/>
      <c r="C33" s="17"/>
      <c r="D33" s="16"/>
      <c r="E33" s="16"/>
      <c r="F33" s="18"/>
      <c r="G33" s="16"/>
      <c r="H33" s="16"/>
      <c r="I33" s="16"/>
      <c r="J33" s="16"/>
    </row>
    <row r="34" spans="1:10" x14ac:dyDescent="0.4">
      <c r="A34" s="16"/>
      <c r="B34" s="16"/>
      <c r="C34" s="17"/>
      <c r="D34" s="16"/>
      <c r="E34" s="16"/>
      <c r="F34" s="18"/>
      <c r="G34" s="16"/>
      <c r="H34" s="16"/>
      <c r="I34" s="16"/>
      <c r="J34" s="16"/>
    </row>
    <row r="35" spans="1:10" x14ac:dyDescent="0.4">
      <c r="A35" s="16"/>
      <c r="B35" s="16"/>
      <c r="C35" s="17"/>
      <c r="D35" s="16"/>
      <c r="E35" s="16"/>
      <c r="F35" s="18"/>
      <c r="G35" s="16"/>
      <c r="H35" s="16"/>
      <c r="I35" s="16"/>
      <c r="J35" s="16"/>
    </row>
    <row r="36" spans="1:10" x14ac:dyDescent="0.4">
      <c r="A36" s="16"/>
      <c r="B36" s="16"/>
      <c r="C36" s="17"/>
      <c r="D36" s="16"/>
      <c r="E36" s="16"/>
      <c r="F36" s="18"/>
      <c r="G36" s="16"/>
      <c r="H36" s="16"/>
      <c r="I36" s="16"/>
      <c r="J36" s="16"/>
    </row>
    <row r="37" spans="1:10" x14ac:dyDescent="0.4">
      <c r="A37" s="16"/>
      <c r="B37" s="16"/>
      <c r="C37" s="17"/>
      <c r="D37" s="16"/>
      <c r="E37" s="16"/>
      <c r="F37" s="18"/>
      <c r="G37" s="16"/>
      <c r="H37" s="16"/>
      <c r="I37" s="16"/>
      <c r="J37" s="16"/>
    </row>
    <row r="38" spans="1:10" x14ac:dyDescent="0.4">
      <c r="A38" s="16"/>
      <c r="B38" s="16"/>
      <c r="C38" s="17"/>
      <c r="D38" s="16"/>
      <c r="E38" s="16"/>
      <c r="F38" s="18"/>
      <c r="G38" s="16"/>
      <c r="H38" s="16"/>
      <c r="I38" s="16"/>
      <c r="J38" s="16"/>
    </row>
    <row r="39" spans="1:10" x14ac:dyDescent="0.4">
      <c r="A39" s="16"/>
      <c r="B39" s="16"/>
      <c r="C39" s="17"/>
      <c r="D39" s="16"/>
      <c r="E39" s="16"/>
      <c r="F39" s="18"/>
      <c r="G39" s="16"/>
      <c r="H39" s="16"/>
      <c r="I39" s="16"/>
      <c r="J39" s="16"/>
    </row>
    <row r="40" spans="1:10" x14ac:dyDescent="0.4">
      <c r="A40" s="16"/>
      <c r="B40" s="16"/>
      <c r="C40" s="17"/>
      <c r="D40" s="16"/>
      <c r="E40" s="16"/>
      <c r="F40" s="18"/>
      <c r="G40" s="16"/>
      <c r="H40" s="16"/>
      <c r="I40" s="16"/>
      <c r="J40" s="16"/>
    </row>
    <row r="41" spans="1:10" x14ac:dyDescent="0.4">
      <c r="A41" s="16"/>
      <c r="B41" s="16"/>
      <c r="C41" s="17"/>
      <c r="D41" s="16"/>
      <c r="E41" s="16"/>
      <c r="F41" s="18"/>
      <c r="G41" s="16"/>
      <c r="H41" s="16"/>
      <c r="I41" s="16"/>
      <c r="J41" s="16"/>
    </row>
    <row r="42" spans="1:10" x14ac:dyDescent="0.4">
      <c r="A42" s="16"/>
      <c r="B42" s="16"/>
      <c r="C42" s="17"/>
      <c r="D42" s="16"/>
      <c r="E42" s="16"/>
      <c r="F42" s="18"/>
      <c r="G42" s="16"/>
      <c r="H42" s="16"/>
      <c r="I42" s="16"/>
      <c r="J42" s="16"/>
    </row>
    <row r="43" spans="1:10" x14ac:dyDescent="0.4">
      <c r="A43" s="16"/>
      <c r="B43" s="16"/>
      <c r="C43" s="17"/>
      <c r="D43" s="16"/>
      <c r="E43" s="16"/>
      <c r="F43" s="18"/>
      <c r="G43" s="16"/>
      <c r="H43" s="16"/>
      <c r="I43" s="16"/>
      <c r="J43" s="16"/>
    </row>
    <row r="44" spans="1:10" x14ac:dyDescent="0.4">
      <c r="A44" s="16"/>
      <c r="B44" s="16"/>
      <c r="C44" s="17"/>
      <c r="D44" s="16"/>
      <c r="E44" s="16"/>
      <c r="F44" s="18"/>
      <c r="G44" s="16"/>
      <c r="H44" s="16"/>
      <c r="I44" s="16"/>
      <c r="J44" s="16"/>
    </row>
    <row r="45" spans="1:10" x14ac:dyDescent="0.4">
      <c r="A45" s="16"/>
      <c r="B45" s="16"/>
      <c r="C45" s="17"/>
      <c r="D45" s="16"/>
      <c r="E45" s="16"/>
      <c r="F45" s="18"/>
      <c r="G45" s="16"/>
      <c r="H45" s="16"/>
      <c r="I45" s="16"/>
      <c r="J45" s="16"/>
    </row>
    <row r="46" spans="1:10" x14ac:dyDescent="0.4">
      <c r="A46" s="16"/>
      <c r="B46" s="16"/>
      <c r="C46" s="17"/>
      <c r="D46" s="16"/>
      <c r="E46" s="16"/>
      <c r="F46" s="18"/>
      <c r="G46" s="16"/>
      <c r="H46" s="16"/>
      <c r="I46" s="16"/>
      <c r="J46" s="16"/>
    </row>
    <row r="47" spans="1:10" x14ac:dyDescent="0.4">
      <c r="A47" s="16"/>
      <c r="B47" s="16"/>
      <c r="C47" s="17"/>
      <c r="D47" s="16"/>
      <c r="E47" s="16"/>
      <c r="F47" s="18"/>
      <c r="G47" s="16"/>
      <c r="H47" s="16"/>
      <c r="I47" s="16"/>
      <c r="J47" s="16"/>
    </row>
    <row r="48" spans="1:10" x14ac:dyDescent="0.4">
      <c r="A48" s="16"/>
      <c r="B48" s="16"/>
      <c r="C48" s="17"/>
      <c r="D48" s="16"/>
      <c r="E48" s="16"/>
      <c r="F48" s="18"/>
      <c r="G48" s="16"/>
      <c r="H48" s="16"/>
      <c r="I48" s="16"/>
      <c r="J48" s="16"/>
    </row>
    <row r="49" spans="1:10" x14ac:dyDescent="0.4">
      <c r="A49" s="16"/>
      <c r="B49" s="16"/>
      <c r="C49" s="17"/>
      <c r="D49" s="16"/>
      <c r="E49" s="16"/>
      <c r="F49" s="18"/>
      <c r="G49" s="16"/>
      <c r="H49" s="16"/>
      <c r="I49" s="16"/>
      <c r="J49" s="16"/>
    </row>
    <row r="50" spans="1:10" x14ac:dyDescent="0.4">
      <c r="A50" s="16"/>
      <c r="B50" s="16"/>
      <c r="C50" s="17"/>
      <c r="D50" s="16"/>
      <c r="E50" s="16"/>
      <c r="F50" s="18"/>
      <c r="G50" s="16"/>
      <c r="H50" s="16"/>
      <c r="I50" s="16"/>
      <c r="J50" s="16"/>
    </row>
    <row r="51" spans="1:10" x14ac:dyDescent="0.4">
      <c r="A51" s="16"/>
      <c r="B51" s="16"/>
      <c r="C51" s="17"/>
      <c r="D51" s="16"/>
      <c r="E51" s="16"/>
      <c r="F51" s="18"/>
      <c r="G51" s="16"/>
      <c r="H51" s="16"/>
      <c r="I51" s="16"/>
      <c r="J51" s="16"/>
    </row>
    <row r="52" spans="1:10" x14ac:dyDescent="0.4">
      <c r="A52" s="16"/>
      <c r="B52" s="16"/>
      <c r="C52" s="17"/>
      <c r="D52" s="16"/>
      <c r="E52" s="16"/>
      <c r="F52" s="18"/>
      <c r="G52" s="16"/>
      <c r="H52" s="16"/>
      <c r="I52" s="16"/>
      <c r="J52" s="16"/>
    </row>
    <row r="53" spans="1:10" x14ac:dyDescent="0.4">
      <c r="A53" s="16"/>
      <c r="B53" s="16"/>
      <c r="C53" s="17"/>
      <c r="D53" s="16"/>
      <c r="E53" s="16"/>
      <c r="F53" s="18"/>
      <c r="G53" s="16"/>
      <c r="H53" s="16"/>
      <c r="I53" s="16"/>
      <c r="J53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3953-2017-416B-A6E5-A231B3986F9A}">
  <dimension ref="A1:K1758"/>
  <sheetViews>
    <sheetView workbookViewId="0">
      <selection activeCell="K7" sqref="K7"/>
    </sheetView>
  </sheetViews>
  <sheetFormatPr defaultRowHeight="16.8" x14ac:dyDescent="0.4"/>
  <cols>
    <col min="1" max="1" width="12.8984375" bestFit="1" customWidth="1"/>
    <col min="2" max="2" width="12.8984375" customWidth="1"/>
    <col min="4" max="4" width="9" hidden="1" customWidth="1"/>
    <col min="5" max="5" width="13.09765625" bestFit="1" customWidth="1"/>
    <col min="6" max="6" width="10.69921875" bestFit="1" customWidth="1"/>
    <col min="10" max="10" width="0" hidden="1" customWidth="1"/>
  </cols>
  <sheetData>
    <row r="1" spans="1:11" x14ac:dyDescent="0.4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 spans="1:11" x14ac:dyDescent="0.4">
      <c r="A2" s="19">
        <v>45834.75</v>
      </c>
      <c r="B2" s="20">
        <f>MOD(A2,1)</f>
        <v>0.75</v>
      </c>
      <c r="C2">
        <v>0</v>
      </c>
      <c r="D2">
        <v>489.49502999999999</v>
      </c>
      <c r="E2">
        <f t="shared" ref="E2:E65" si="0">D2-0.155</f>
        <v>489.34003000000001</v>
      </c>
      <c r="F2">
        <v>489.54500000000002</v>
      </c>
      <c r="G2">
        <f>IF(E2 - F2 &lt; 0, 0, E2 - F2)</f>
        <v>0</v>
      </c>
      <c r="H2">
        <v>1.82</v>
      </c>
      <c r="I2">
        <f>1.82*30*(G2^1.5)</f>
        <v>0</v>
      </c>
      <c r="J2">
        <f>I2*60</f>
        <v>0</v>
      </c>
      <c r="K2">
        <f>(I2*86400)/24</f>
        <v>0</v>
      </c>
    </row>
    <row r="3" spans="1:11" x14ac:dyDescent="0.4">
      <c r="A3" s="19">
        <v>45834.791666666664</v>
      </c>
      <c r="B3" s="20">
        <f t="shared" ref="B3:B66" si="1">MOD(A3,1)</f>
        <v>0.79166666666424135</v>
      </c>
      <c r="C3">
        <v>0</v>
      </c>
      <c r="D3">
        <v>489.488</v>
      </c>
      <c r="E3">
        <f t="shared" si="0"/>
        <v>489.33300000000003</v>
      </c>
      <c r="F3">
        <v>489.54500000000002</v>
      </c>
      <c r="G3">
        <f t="shared" ref="G3:G66" si="2">IF(E3 - F3 &lt; 0, 0, E3 - F3)</f>
        <v>0</v>
      </c>
      <c r="H3">
        <v>1.82</v>
      </c>
      <c r="I3">
        <f t="shared" ref="I3:I66" si="3">1.82*30*(G3^1.5)</f>
        <v>0</v>
      </c>
      <c r="J3">
        <f t="shared" ref="J3:J66" si="4">I3*60</f>
        <v>0</v>
      </c>
      <c r="K3">
        <f t="shared" ref="K3:K66" si="5">(I3*86400)/24</f>
        <v>0</v>
      </c>
    </row>
    <row r="4" spans="1:11" x14ac:dyDescent="0.4">
      <c r="A4" s="19">
        <v>45834.833333333336</v>
      </c>
      <c r="B4" s="20">
        <f t="shared" si="1"/>
        <v>0.83333333333575865</v>
      </c>
      <c r="C4">
        <v>0</v>
      </c>
      <c r="D4">
        <v>489.48899999999998</v>
      </c>
      <c r="E4">
        <f t="shared" si="0"/>
        <v>489.334</v>
      </c>
      <c r="F4">
        <v>489.54500000000002</v>
      </c>
      <c r="G4">
        <f t="shared" si="2"/>
        <v>0</v>
      </c>
      <c r="H4">
        <v>1.82</v>
      </c>
      <c r="I4">
        <f t="shared" si="3"/>
        <v>0</v>
      </c>
      <c r="J4">
        <f t="shared" si="4"/>
        <v>0</v>
      </c>
      <c r="K4">
        <f t="shared" si="5"/>
        <v>0</v>
      </c>
    </row>
    <row r="5" spans="1:11" x14ac:dyDescent="0.4">
      <c r="A5" s="19">
        <v>45834.875</v>
      </c>
      <c r="B5" s="20">
        <f t="shared" si="1"/>
        <v>0.875</v>
      </c>
      <c r="C5">
        <v>0</v>
      </c>
      <c r="D5">
        <v>489.488</v>
      </c>
      <c r="E5">
        <f t="shared" si="0"/>
        <v>489.33300000000003</v>
      </c>
      <c r="F5">
        <v>489.54500000000002</v>
      </c>
      <c r="G5">
        <f t="shared" si="2"/>
        <v>0</v>
      </c>
      <c r="H5">
        <v>1.82</v>
      </c>
      <c r="I5">
        <f t="shared" si="3"/>
        <v>0</v>
      </c>
      <c r="J5">
        <f t="shared" si="4"/>
        <v>0</v>
      </c>
      <c r="K5">
        <f t="shared" si="5"/>
        <v>0</v>
      </c>
    </row>
    <row r="6" spans="1:11" x14ac:dyDescent="0.4">
      <c r="A6" s="19">
        <v>45834.916666666664</v>
      </c>
      <c r="B6" s="20">
        <f t="shared" si="1"/>
        <v>0.91666666666424135</v>
      </c>
      <c r="C6">
        <v>0</v>
      </c>
      <c r="D6">
        <v>489.48899999999998</v>
      </c>
      <c r="E6">
        <f t="shared" si="0"/>
        <v>489.334</v>
      </c>
      <c r="F6">
        <v>489.54500000000002</v>
      </c>
      <c r="G6">
        <f t="shared" si="2"/>
        <v>0</v>
      </c>
      <c r="H6">
        <v>1.82</v>
      </c>
      <c r="I6">
        <f t="shared" si="3"/>
        <v>0</v>
      </c>
      <c r="J6">
        <f t="shared" si="4"/>
        <v>0</v>
      </c>
      <c r="K6">
        <f t="shared" si="5"/>
        <v>0</v>
      </c>
    </row>
    <row r="7" spans="1:11" x14ac:dyDescent="0.4">
      <c r="A7" s="19">
        <v>45834.958333333336</v>
      </c>
      <c r="B7" s="20">
        <f t="shared" si="1"/>
        <v>0.95833333333575865</v>
      </c>
      <c r="C7">
        <v>0</v>
      </c>
      <c r="D7">
        <v>489.49502999999999</v>
      </c>
      <c r="E7">
        <f t="shared" si="0"/>
        <v>489.34003000000001</v>
      </c>
      <c r="F7">
        <v>489.54500000000002</v>
      </c>
      <c r="G7">
        <f t="shared" si="2"/>
        <v>0</v>
      </c>
      <c r="H7">
        <v>1.82</v>
      </c>
      <c r="I7">
        <f t="shared" si="3"/>
        <v>0</v>
      </c>
      <c r="J7">
        <f t="shared" si="4"/>
        <v>0</v>
      </c>
      <c r="K7">
        <f t="shared" si="5"/>
        <v>0</v>
      </c>
    </row>
    <row r="8" spans="1:11" x14ac:dyDescent="0.4">
      <c r="A8" s="19">
        <v>45835</v>
      </c>
      <c r="B8" s="20">
        <f t="shared" si="1"/>
        <v>0</v>
      </c>
      <c r="C8">
        <v>0</v>
      </c>
      <c r="D8">
        <v>489.488</v>
      </c>
      <c r="E8">
        <f t="shared" si="0"/>
        <v>489.33300000000003</v>
      </c>
      <c r="F8">
        <v>489.54500000000002</v>
      </c>
      <c r="G8">
        <f t="shared" si="2"/>
        <v>0</v>
      </c>
      <c r="H8">
        <v>1.82</v>
      </c>
      <c r="I8">
        <f t="shared" si="3"/>
        <v>0</v>
      </c>
      <c r="J8">
        <f t="shared" si="4"/>
        <v>0</v>
      </c>
      <c r="K8">
        <f t="shared" si="5"/>
        <v>0</v>
      </c>
    </row>
    <row r="9" spans="1:11" x14ac:dyDescent="0.4">
      <c r="A9" s="19">
        <v>45835.041666666664</v>
      </c>
      <c r="B9" s="20">
        <f t="shared" si="1"/>
        <v>4.1666666664241347E-2</v>
      </c>
      <c r="C9">
        <v>0</v>
      </c>
      <c r="D9">
        <v>489.488</v>
      </c>
      <c r="E9">
        <f t="shared" si="0"/>
        <v>489.33300000000003</v>
      </c>
      <c r="F9">
        <v>489.54500000000002</v>
      </c>
      <c r="G9">
        <f t="shared" si="2"/>
        <v>0</v>
      </c>
      <c r="H9">
        <v>1.82</v>
      </c>
      <c r="I9">
        <f t="shared" si="3"/>
        <v>0</v>
      </c>
      <c r="J9">
        <f t="shared" si="4"/>
        <v>0</v>
      </c>
      <c r="K9">
        <f t="shared" si="5"/>
        <v>0</v>
      </c>
    </row>
    <row r="10" spans="1:11" x14ac:dyDescent="0.4">
      <c r="A10" s="19">
        <v>45835.083333333336</v>
      </c>
      <c r="B10" s="20">
        <f t="shared" si="1"/>
        <v>8.3333333335758653E-2</v>
      </c>
      <c r="C10">
        <v>0</v>
      </c>
      <c r="D10">
        <v>489.48899999999998</v>
      </c>
      <c r="E10">
        <f t="shared" si="0"/>
        <v>489.334</v>
      </c>
      <c r="F10">
        <v>489.54500000000002</v>
      </c>
      <c r="G10">
        <f t="shared" si="2"/>
        <v>0</v>
      </c>
      <c r="H10">
        <v>1.82</v>
      </c>
      <c r="I10">
        <f t="shared" si="3"/>
        <v>0</v>
      </c>
      <c r="J10">
        <f t="shared" si="4"/>
        <v>0</v>
      </c>
      <c r="K10">
        <f t="shared" si="5"/>
        <v>0</v>
      </c>
    </row>
    <row r="11" spans="1:11" x14ac:dyDescent="0.4">
      <c r="A11" s="19">
        <v>45835.125</v>
      </c>
      <c r="B11" s="20">
        <f t="shared" si="1"/>
        <v>0.125</v>
      </c>
      <c r="C11">
        <v>0</v>
      </c>
      <c r="D11">
        <v>489.488</v>
      </c>
      <c r="E11">
        <f t="shared" si="0"/>
        <v>489.33300000000003</v>
      </c>
      <c r="F11">
        <v>489.54500000000002</v>
      </c>
      <c r="G11">
        <f t="shared" si="2"/>
        <v>0</v>
      </c>
      <c r="H11">
        <v>1.82</v>
      </c>
      <c r="I11">
        <f t="shared" si="3"/>
        <v>0</v>
      </c>
      <c r="J11">
        <f t="shared" si="4"/>
        <v>0</v>
      </c>
      <c r="K11">
        <f t="shared" si="5"/>
        <v>0</v>
      </c>
    </row>
    <row r="12" spans="1:11" x14ac:dyDescent="0.4">
      <c r="A12" s="19">
        <v>45835.166666666664</v>
      </c>
      <c r="B12" s="20">
        <f t="shared" si="1"/>
        <v>0.16666666666424135</v>
      </c>
      <c r="C12">
        <v>0</v>
      </c>
      <c r="D12">
        <v>489.488</v>
      </c>
      <c r="E12">
        <f t="shared" si="0"/>
        <v>489.33300000000003</v>
      </c>
      <c r="F12">
        <v>489.54500000000002</v>
      </c>
      <c r="G12">
        <f t="shared" si="2"/>
        <v>0</v>
      </c>
      <c r="H12">
        <v>1.82</v>
      </c>
      <c r="I12">
        <f t="shared" si="3"/>
        <v>0</v>
      </c>
      <c r="J12">
        <f t="shared" si="4"/>
        <v>0</v>
      </c>
      <c r="K12">
        <f t="shared" si="5"/>
        <v>0</v>
      </c>
    </row>
    <row r="13" spans="1:11" x14ac:dyDescent="0.4">
      <c r="A13" s="19">
        <v>45835.208333333336</v>
      </c>
      <c r="B13" s="20">
        <f t="shared" si="1"/>
        <v>0.20833333333575865</v>
      </c>
      <c r="C13">
        <v>0</v>
      </c>
      <c r="D13">
        <v>489.49502999999999</v>
      </c>
      <c r="E13">
        <f t="shared" si="0"/>
        <v>489.34003000000001</v>
      </c>
      <c r="F13">
        <v>489.54500000000002</v>
      </c>
      <c r="G13">
        <f t="shared" si="2"/>
        <v>0</v>
      </c>
      <c r="H13">
        <v>1.82</v>
      </c>
      <c r="I13">
        <f t="shared" si="3"/>
        <v>0</v>
      </c>
      <c r="J13">
        <f t="shared" si="4"/>
        <v>0</v>
      </c>
      <c r="K13">
        <f t="shared" si="5"/>
        <v>0</v>
      </c>
    </row>
    <row r="14" spans="1:11" x14ac:dyDescent="0.4">
      <c r="A14" s="19">
        <v>45835.25</v>
      </c>
      <c r="B14" s="20">
        <f t="shared" si="1"/>
        <v>0.25</v>
      </c>
      <c r="C14">
        <v>0</v>
      </c>
      <c r="D14">
        <v>489.48899999999998</v>
      </c>
      <c r="E14">
        <f t="shared" si="0"/>
        <v>489.334</v>
      </c>
      <c r="F14">
        <v>489.54500000000002</v>
      </c>
      <c r="G14">
        <f t="shared" si="2"/>
        <v>0</v>
      </c>
      <c r="H14">
        <v>1.82</v>
      </c>
      <c r="I14">
        <f t="shared" si="3"/>
        <v>0</v>
      </c>
      <c r="J14">
        <f t="shared" si="4"/>
        <v>0</v>
      </c>
      <c r="K14">
        <f t="shared" si="5"/>
        <v>0</v>
      </c>
    </row>
    <row r="15" spans="1:11" x14ac:dyDescent="0.4">
      <c r="A15" s="19">
        <v>45835.291666666664</v>
      </c>
      <c r="B15" s="20">
        <f t="shared" si="1"/>
        <v>0.29166666666424135</v>
      </c>
      <c r="C15">
        <v>0.2</v>
      </c>
      <c r="D15">
        <v>489.49502999999999</v>
      </c>
      <c r="E15">
        <f t="shared" si="0"/>
        <v>489.34003000000001</v>
      </c>
      <c r="F15">
        <v>489.54500000000002</v>
      </c>
      <c r="G15">
        <f t="shared" si="2"/>
        <v>0</v>
      </c>
      <c r="H15">
        <v>1.82</v>
      </c>
      <c r="I15">
        <f t="shared" si="3"/>
        <v>0</v>
      </c>
      <c r="J15">
        <f t="shared" si="4"/>
        <v>0</v>
      </c>
      <c r="K15">
        <f t="shared" si="5"/>
        <v>0</v>
      </c>
    </row>
    <row r="16" spans="1:11" x14ac:dyDescent="0.4">
      <c r="A16" s="19">
        <v>45835.333333333336</v>
      </c>
      <c r="B16" s="20">
        <f t="shared" si="1"/>
        <v>0.33333333333575865</v>
      </c>
      <c r="C16">
        <v>0</v>
      </c>
      <c r="D16">
        <v>489.49502999999999</v>
      </c>
      <c r="E16">
        <f t="shared" si="0"/>
        <v>489.34003000000001</v>
      </c>
      <c r="F16">
        <v>489.54500000000002</v>
      </c>
      <c r="G16">
        <f t="shared" si="2"/>
        <v>0</v>
      </c>
      <c r="H16">
        <v>1.82</v>
      </c>
      <c r="I16">
        <f t="shared" si="3"/>
        <v>0</v>
      </c>
      <c r="J16">
        <f t="shared" si="4"/>
        <v>0</v>
      </c>
      <c r="K16">
        <f t="shared" si="5"/>
        <v>0</v>
      </c>
    </row>
    <row r="17" spans="1:11" x14ac:dyDescent="0.4">
      <c r="A17" s="19">
        <v>45835.375</v>
      </c>
      <c r="B17" s="20">
        <f t="shared" si="1"/>
        <v>0.375</v>
      </c>
      <c r="C17">
        <v>0.4</v>
      </c>
      <c r="D17">
        <v>489.50803000000002</v>
      </c>
      <c r="E17">
        <f t="shared" si="0"/>
        <v>489.35303000000005</v>
      </c>
      <c r="F17">
        <v>489.54500000000002</v>
      </c>
      <c r="G17">
        <f t="shared" si="2"/>
        <v>0</v>
      </c>
      <c r="H17">
        <v>1.82</v>
      </c>
      <c r="I17">
        <f t="shared" si="3"/>
        <v>0</v>
      </c>
      <c r="J17">
        <f t="shared" si="4"/>
        <v>0</v>
      </c>
      <c r="K17">
        <f t="shared" si="5"/>
        <v>0</v>
      </c>
    </row>
    <row r="18" spans="1:11" x14ac:dyDescent="0.4">
      <c r="A18" s="19">
        <v>45835.416666666664</v>
      </c>
      <c r="B18" s="20">
        <f t="shared" si="1"/>
        <v>0.41666666666424135</v>
      </c>
      <c r="C18">
        <v>0.6</v>
      </c>
      <c r="D18">
        <v>489.50099999999998</v>
      </c>
      <c r="E18">
        <f t="shared" si="0"/>
        <v>489.346</v>
      </c>
      <c r="F18">
        <v>489.54500000000002</v>
      </c>
      <c r="G18">
        <f t="shared" si="2"/>
        <v>0</v>
      </c>
      <c r="H18">
        <v>1.82</v>
      </c>
      <c r="I18">
        <f t="shared" si="3"/>
        <v>0</v>
      </c>
      <c r="J18">
        <f t="shared" si="4"/>
        <v>0</v>
      </c>
      <c r="K18">
        <f t="shared" si="5"/>
        <v>0</v>
      </c>
    </row>
    <row r="19" spans="1:11" x14ac:dyDescent="0.4">
      <c r="A19" s="19">
        <v>45835.458333333336</v>
      </c>
      <c r="B19" s="20">
        <f t="shared" si="1"/>
        <v>0.45833333333575865</v>
      </c>
      <c r="C19">
        <v>0.8</v>
      </c>
      <c r="D19">
        <v>489.50400000000002</v>
      </c>
      <c r="E19">
        <f t="shared" si="0"/>
        <v>489.34900000000005</v>
      </c>
      <c r="F19">
        <v>489.54500000000002</v>
      </c>
      <c r="G19">
        <f t="shared" si="2"/>
        <v>0</v>
      </c>
      <c r="H19">
        <v>1.82</v>
      </c>
      <c r="I19">
        <f t="shared" si="3"/>
        <v>0</v>
      </c>
      <c r="J19">
        <f t="shared" si="4"/>
        <v>0</v>
      </c>
      <c r="K19">
        <f t="shared" si="5"/>
        <v>0</v>
      </c>
    </row>
    <row r="20" spans="1:11" x14ac:dyDescent="0.4">
      <c r="A20" s="19">
        <v>45835.5</v>
      </c>
      <c r="B20" s="20">
        <f t="shared" si="1"/>
        <v>0.5</v>
      </c>
      <c r="C20">
        <v>0.2</v>
      </c>
      <c r="D20">
        <v>489.50803000000002</v>
      </c>
      <c r="E20">
        <f t="shared" si="0"/>
        <v>489.35303000000005</v>
      </c>
      <c r="F20">
        <v>489.54500000000002</v>
      </c>
      <c r="G20">
        <f t="shared" si="2"/>
        <v>0</v>
      </c>
      <c r="H20">
        <v>1.82</v>
      </c>
      <c r="I20">
        <f t="shared" si="3"/>
        <v>0</v>
      </c>
      <c r="J20">
        <f t="shared" si="4"/>
        <v>0</v>
      </c>
      <c r="K20">
        <f t="shared" si="5"/>
        <v>0</v>
      </c>
    </row>
    <row r="21" spans="1:11" x14ac:dyDescent="0.4">
      <c r="A21" s="19">
        <v>45835.541666666664</v>
      </c>
      <c r="B21" s="20">
        <f t="shared" si="1"/>
        <v>0.54166666666424135</v>
      </c>
      <c r="C21">
        <v>0</v>
      </c>
      <c r="D21">
        <v>489.50803000000002</v>
      </c>
      <c r="E21">
        <f t="shared" si="0"/>
        <v>489.35303000000005</v>
      </c>
      <c r="F21">
        <v>489.54500000000002</v>
      </c>
      <c r="G21">
        <f t="shared" si="2"/>
        <v>0</v>
      </c>
      <c r="H21">
        <v>1.82</v>
      </c>
      <c r="I21">
        <f t="shared" si="3"/>
        <v>0</v>
      </c>
      <c r="J21">
        <f t="shared" si="4"/>
        <v>0</v>
      </c>
      <c r="K21">
        <f t="shared" si="5"/>
        <v>0</v>
      </c>
    </row>
    <row r="22" spans="1:11" x14ac:dyDescent="0.4">
      <c r="A22" s="19">
        <v>45835.583333333336</v>
      </c>
      <c r="B22" s="20">
        <f t="shared" si="1"/>
        <v>0.58333333333575865</v>
      </c>
      <c r="C22">
        <v>0</v>
      </c>
      <c r="D22">
        <v>489.50803000000002</v>
      </c>
      <c r="E22">
        <f t="shared" si="0"/>
        <v>489.35303000000005</v>
      </c>
      <c r="F22">
        <v>489.54500000000002</v>
      </c>
      <c r="G22">
        <f t="shared" si="2"/>
        <v>0</v>
      </c>
      <c r="H22">
        <v>1.82</v>
      </c>
      <c r="I22">
        <f t="shared" si="3"/>
        <v>0</v>
      </c>
      <c r="J22">
        <f t="shared" si="4"/>
        <v>0</v>
      </c>
      <c r="K22">
        <f t="shared" si="5"/>
        <v>0</v>
      </c>
    </row>
    <row r="23" spans="1:11" x14ac:dyDescent="0.4">
      <c r="A23" s="19">
        <v>45835.625</v>
      </c>
      <c r="B23" s="20">
        <f t="shared" si="1"/>
        <v>0.625</v>
      </c>
      <c r="C23">
        <v>0</v>
      </c>
      <c r="D23">
        <v>489.50803000000002</v>
      </c>
      <c r="E23">
        <f t="shared" si="0"/>
        <v>489.35303000000005</v>
      </c>
      <c r="F23">
        <v>489.54500000000002</v>
      </c>
      <c r="G23">
        <f t="shared" si="2"/>
        <v>0</v>
      </c>
      <c r="H23">
        <v>1.82</v>
      </c>
      <c r="I23">
        <f t="shared" si="3"/>
        <v>0</v>
      </c>
      <c r="J23">
        <f t="shared" si="4"/>
        <v>0</v>
      </c>
      <c r="K23">
        <f t="shared" si="5"/>
        <v>0</v>
      </c>
    </row>
    <row r="24" spans="1:11" x14ac:dyDescent="0.4">
      <c r="A24" s="19">
        <v>45835.666666666664</v>
      </c>
      <c r="B24" s="20">
        <f t="shared" si="1"/>
        <v>0.66666666666424135</v>
      </c>
      <c r="C24">
        <v>0</v>
      </c>
      <c r="D24">
        <v>489.51400000000001</v>
      </c>
      <c r="E24">
        <f t="shared" si="0"/>
        <v>489.35900000000004</v>
      </c>
      <c r="F24">
        <v>489.54500000000002</v>
      </c>
      <c r="G24">
        <f t="shared" si="2"/>
        <v>0</v>
      </c>
      <c r="H24">
        <v>1.82</v>
      </c>
      <c r="I24">
        <f t="shared" si="3"/>
        <v>0</v>
      </c>
      <c r="J24">
        <f t="shared" si="4"/>
        <v>0</v>
      </c>
      <c r="K24">
        <f t="shared" si="5"/>
        <v>0</v>
      </c>
    </row>
    <row r="25" spans="1:11" x14ac:dyDescent="0.4">
      <c r="A25" s="19">
        <v>45835.708333333336</v>
      </c>
      <c r="B25" s="20">
        <f t="shared" si="1"/>
        <v>0.70833333333575865</v>
      </c>
      <c r="C25">
        <v>0</v>
      </c>
      <c r="D25">
        <v>489.50803000000002</v>
      </c>
      <c r="E25">
        <f t="shared" si="0"/>
        <v>489.35303000000005</v>
      </c>
      <c r="F25">
        <v>489.54500000000002</v>
      </c>
      <c r="G25">
        <f t="shared" si="2"/>
        <v>0</v>
      </c>
      <c r="H25">
        <v>1.82</v>
      </c>
      <c r="I25">
        <f t="shared" si="3"/>
        <v>0</v>
      </c>
      <c r="J25">
        <f t="shared" si="4"/>
        <v>0</v>
      </c>
      <c r="K25">
        <f t="shared" si="5"/>
        <v>0</v>
      </c>
    </row>
    <row r="26" spans="1:11" x14ac:dyDescent="0.4">
      <c r="A26" s="19">
        <v>45835.75</v>
      </c>
      <c r="B26" s="20">
        <f t="shared" si="1"/>
        <v>0.75</v>
      </c>
      <c r="C26">
        <v>0</v>
      </c>
      <c r="D26">
        <v>489.51400000000001</v>
      </c>
      <c r="E26">
        <f t="shared" si="0"/>
        <v>489.35900000000004</v>
      </c>
      <c r="F26">
        <v>489.54500000000002</v>
      </c>
      <c r="G26">
        <f t="shared" si="2"/>
        <v>0</v>
      </c>
      <c r="H26">
        <v>1.82</v>
      </c>
      <c r="I26">
        <f t="shared" si="3"/>
        <v>0</v>
      </c>
      <c r="J26">
        <f t="shared" si="4"/>
        <v>0</v>
      </c>
      <c r="K26">
        <f t="shared" si="5"/>
        <v>0</v>
      </c>
    </row>
    <row r="27" spans="1:11" x14ac:dyDescent="0.4">
      <c r="A27" s="19">
        <v>45835.791666666664</v>
      </c>
      <c r="B27" s="20">
        <f t="shared" si="1"/>
        <v>0.79166666666424135</v>
      </c>
      <c r="C27">
        <v>0</v>
      </c>
      <c r="D27">
        <v>489.51400000000001</v>
      </c>
      <c r="E27">
        <f t="shared" si="0"/>
        <v>489.35900000000004</v>
      </c>
      <c r="F27">
        <v>489.54500000000002</v>
      </c>
      <c r="G27">
        <f t="shared" si="2"/>
        <v>0</v>
      </c>
      <c r="H27">
        <v>1.82</v>
      </c>
      <c r="I27">
        <f t="shared" si="3"/>
        <v>0</v>
      </c>
      <c r="J27">
        <f t="shared" si="4"/>
        <v>0</v>
      </c>
      <c r="K27">
        <f t="shared" si="5"/>
        <v>0</v>
      </c>
    </row>
    <row r="28" spans="1:11" x14ac:dyDescent="0.4">
      <c r="A28" s="19">
        <v>45835.833333333336</v>
      </c>
      <c r="B28" s="20">
        <f t="shared" si="1"/>
        <v>0.83333333333575865</v>
      </c>
      <c r="C28">
        <v>0</v>
      </c>
      <c r="D28">
        <v>489.51499999999999</v>
      </c>
      <c r="E28">
        <f t="shared" si="0"/>
        <v>489.36</v>
      </c>
      <c r="F28">
        <v>489.54500000000002</v>
      </c>
      <c r="G28">
        <f t="shared" si="2"/>
        <v>0</v>
      </c>
      <c r="H28">
        <v>1.82</v>
      </c>
      <c r="I28">
        <f t="shared" si="3"/>
        <v>0</v>
      </c>
      <c r="J28">
        <f t="shared" si="4"/>
        <v>0</v>
      </c>
      <c r="K28">
        <f t="shared" si="5"/>
        <v>0</v>
      </c>
    </row>
    <row r="29" spans="1:11" x14ac:dyDescent="0.4">
      <c r="A29" s="19">
        <v>45835.875</v>
      </c>
      <c r="B29" s="20">
        <f t="shared" si="1"/>
        <v>0.875</v>
      </c>
      <c r="C29">
        <v>0</v>
      </c>
      <c r="D29">
        <v>489.51499999999999</v>
      </c>
      <c r="E29">
        <f t="shared" si="0"/>
        <v>489.36</v>
      </c>
      <c r="F29">
        <v>489.54500000000002</v>
      </c>
      <c r="G29">
        <f t="shared" si="2"/>
        <v>0</v>
      </c>
      <c r="H29">
        <v>1.82</v>
      </c>
      <c r="I29">
        <f t="shared" si="3"/>
        <v>0</v>
      </c>
      <c r="J29">
        <f t="shared" si="4"/>
        <v>0</v>
      </c>
      <c r="K29">
        <f t="shared" si="5"/>
        <v>0</v>
      </c>
    </row>
    <row r="30" spans="1:11" x14ac:dyDescent="0.4">
      <c r="A30" s="19">
        <v>45835.916666666664</v>
      </c>
      <c r="B30" s="20">
        <f t="shared" si="1"/>
        <v>0.91666666666424135</v>
      </c>
      <c r="C30">
        <v>0</v>
      </c>
      <c r="D30">
        <v>489.51499999999999</v>
      </c>
      <c r="E30">
        <f t="shared" si="0"/>
        <v>489.36</v>
      </c>
      <c r="F30">
        <v>489.54500000000002</v>
      </c>
      <c r="G30">
        <f t="shared" si="2"/>
        <v>0</v>
      </c>
      <c r="H30">
        <v>1.82</v>
      </c>
      <c r="I30">
        <f t="shared" si="3"/>
        <v>0</v>
      </c>
      <c r="J30">
        <f t="shared" si="4"/>
        <v>0</v>
      </c>
      <c r="K30">
        <f t="shared" si="5"/>
        <v>0</v>
      </c>
    </row>
    <row r="31" spans="1:11" x14ac:dyDescent="0.4">
      <c r="A31" s="19">
        <v>45835.958333333336</v>
      </c>
      <c r="B31" s="20">
        <f t="shared" si="1"/>
        <v>0.95833333333575865</v>
      </c>
      <c r="C31">
        <v>0</v>
      </c>
      <c r="D31">
        <v>489.51499999999999</v>
      </c>
      <c r="E31">
        <f t="shared" si="0"/>
        <v>489.36</v>
      </c>
      <c r="F31">
        <v>489.54500000000002</v>
      </c>
      <c r="G31">
        <f t="shared" si="2"/>
        <v>0</v>
      </c>
      <c r="H31">
        <v>1.82</v>
      </c>
      <c r="I31">
        <f t="shared" si="3"/>
        <v>0</v>
      </c>
      <c r="J31">
        <f t="shared" si="4"/>
        <v>0</v>
      </c>
      <c r="K31">
        <f t="shared" si="5"/>
        <v>0</v>
      </c>
    </row>
    <row r="32" spans="1:11" x14ac:dyDescent="0.4">
      <c r="A32" s="19">
        <v>45836</v>
      </c>
      <c r="B32" s="20">
        <f t="shared" si="1"/>
        <v>0</v>
      </c>
      <c r="C32">
        <v>0</v>
      </c>
      <c r="D32">
        <v>489.51499999999999</v>
      </c>
      <c r="E32">
        <f t="shared" si="0"/>
        <v>489.36</v>
      </c>
      <c r="F32">
        <v>489.54500000000002</v>
      </c>
      <c r="G32">
        <f t="shared" si="2"/>
        <v>0</v>
      </c>
      <c r="H32">
        <v>1.82</v>
      </c>
      <c r="I32">
        <f t="shared" si="3"/>
        <v>0</v>
      </c>
      <c r="J32">
        <f t="shared" si="4"/>
        <v>0</v>
      </c>
      <c r="K32">
        <f t="shared" si="5"/>
        <v>0</v>
      </c>
    </row>
    <row r="33" spans="1:11" x14ac:dyDescent="0.4">
      <c r="A33" s="19">
        <v>45836.041666666664</v>
      </c>
      <c r="B33" s="20">
        <f t="shared" si="1"/>
        <v>4.1666666664241347E-2</v>
      </c>
      <c r="C33">
        <v>0</v>
      </c>
      <c r="D33">
        <v>489.51400000000001</v>
      </c>
      <c r="E33">
        <f t="shared" si="0"/>
        <v>489.35900000000004</v>
      </c>
      <c r="F33">
        <v>489.54500000000002</v>
      </c>
      <c r="G33">
        <f t="shared" si="2"/>
        <v>0</v>
      </c>
      <c r="H33">
        <v>1.82</v>
      </c>
      <c r="I33">
        <f t="shared" si="3"/>
        <v>0</v>
      </c>
      <c r="J33">
        <f t="shared" si="4"/>
        <v>0</v>
      </c>
      <c r="K33">
        <f t="shared" si="5"/>
        <v>0</v>
      </c>
    </row>
    <row r="34" spans="1:11" x14ac:dyDescent="0.4">
      <c r="A34" s="19">
        <v>45836.083333333336</v>
      </c>
      <c r="B34" s="20">
        <f t="shared" si="1"/>
        <v>8.3333333335758653E-2</v>
      </c>
      <c r="C34">
        <v>0</v>
      </c>
      <c r="D34">
        <v>489.51499999999999</v>
      </c>
      <c r="E34">
        <f t="shared" si="0"/>
        <v>489.36</v>
      </c>
      <c r="F34">
        <v>489.54500000000002</v>
      </c>
      <c r="G34">
        <f t="shared" si="2"/>
        <v>0</v>
      </c>
      <c r="H34">
        <v>1.82</v>
      </c>
      <c r="I34">
        <f t="shared" si="3"/>
        <v>0</v>
      </c>
      <c r="J34">
        <f t="shared" si="4"/>
        <v>0</v>
      </c>
      <c r="K34">
        <f t="shared" si="5"/>
        <v>0</v>
      </c>
    </row>
    <row r="35" spans="1:11" x14ac:dyDescent="0.4">
      <c r="A35" s="19">
        <v>45836.125</v>
      </c>
      <c r="B35" s="20">
        <f t="shared" si="1"/>
        <v>0.125</v>
      </c>
      <c r="C35">
        <v>0</v>
      </c>
      <c r="D35">
        <v>489.51499999999999</v>
      </c>
      <c r="E35">
        <f t="shared" si="0"/>
        <v>489.36</v>
      </c>
      <c r="F35">
        <v>489.54500000000002</v>
      </c>
      <c r="G35">
        <f t="shared" si="2"/>
        <v>0</v>
      </c>
      <c r="H35">
        <v>1.82</v>
      </c>
      <c r="I35">
        <f t="shared" si="3"/>
        <v>0</v>
      </c>
      <c r="J35">
        <f t="shared" si="4"/>
        <v>0</v>
      </c>
      <c r="K35">
        <f t="shared" si="5"/>
        <v>0</v>
      </c>
    </row>
    <row r="36" spans="1:11" x14ac:dyDescent="0.4">
      <c r="A36" s="19">
        <v>45836.166666666664</v>
      </c>
      <c r="B36" s="20">
        <f t="shared" si="1"/>
        <v>0.16666666666424135</v>
      </c>
      <c r="C36">
        <v>0</v>
      </c>
      <c r="D36">
        <v>489.51499999999999</v>
      </c>
      <c r="E36">
        <f t="shared" si="0"/>
        <v>489.36</v>
      </c>
      <c r="F36">
        <v>489.54500000000002</v>
      </c>
      <c r="G36">
        <f t="shared" si="2"/>
        <v>0</v>
      </c>
      <c r="H36">
        <v>1.82</v>
      </c>
      <c r="I36">
        <f t="shared" si="3"/>
        <v>0</v>
      </c>
      <c r="J36">
        <f t="shared" si="4"/>
        <v>0</v>
      </c>
      <c r="K36">
        <f t="shared" si="5"/>
        <v>0</v>
      </c>
    </row>
    <row r="37" spans="1:11" x14ac:dyDescent="0.4">
      <c r="A37" s="19">
        <v>45836.208333333336</v>
      </c>
      <c r="B37" s="20">
        <f t="shared" si="1"/>
        <v>0.20833333333575865</v>
      </c>
      <c r="C37">
        <v>0</v>
      </c>
      <c r="D37">
        <v>489.51499999999999</v>
      </c>
      <c r="E37">
        <f t="shared" si="0"/>
        <v>489.36</v>
      </c>
      <c r="F37">
        <v>489.54500000000002</v>
      </c>
      <c r="G37">
        <f t="shared" si="2"/>
        <v>0</v>
      </c>
      <c r="H37">
        <v>1.82</v>
      </c>
      <c r="I37">
        <f t="shared" si="3"/>
        <v>0</v>
      </c>
      <c r="J37">
        <f t="shared" si="4"/>
        <v>0</v>
      </c>
      <c r="K37">
        <f t="shared" si="5"/>
        <v>0</v>
      </c>
    </row>
    <row r="38" spans="1:11" x14ac:dyDescent="0.4">
      <c r="A38" s="19">
        <v>45836.25</v>
      </c>
      <c r="B38" s="20">
        <f t="shared" si="1"/>
        <v>0.25</v>
      </c>
      <c r="C38">
        <v>0</v>
      </c>
      <c r="D38">
        <v>489.51400000000001</v>
      </c>
      <c r="E38">
        <f t="shared" si="0"/>
        <v>489.35900000000004</v>
      </c>
      <c r="F38">
        <v>489.54500000000002</v>
      </c>
      <c r="G38">
        <f t="shared" si="2"/>
        <v>0</v>
      </c>
      <c r="H38">
        <v>1.82</v>
      </c>
      <c r="I38">
        <f t="shared" si="3"/>
        <v>0</v>
      </c>
      <c r="J38">
        <f t="shared" si="4"/>
        <v>0</v>
      </c>
      <c r="K38">
        <f t="shared" si="5"/>
        <v>0</v>
      </c>
    </row>
    <row r="39" spans="1:11" x14ac:dyDescent="0.4">
      <c r="A39" s="19">
        <v>45836.291666666664</v>
      </c>
      <c r="B39" s="20">
        <f t="shared" si="1"/>
        <v>0.29166666666424135</v>
      </c>
      <c r="C39">
        <v>0</v>
      </c>
      <c r="D39">
        <v>489.51400000000001</v>
      </c>
      <c r="E39">
        <f t="shared" si="0"/>
        <v>489.35900000000004</v>
      </c>
      <c r="F39">
        <v>489.54500000000002</v>
      </c>
      <c r="G39">
        <f t="shared" si="2"/>
        <v>0</v>
      </c>
      <c r="H39">
        <v>1.82</v>
      </c>
      <c r="I39">
        <f t="shared" si="3"/>
        <v>0</v>
      </c>
      <c r="J39">
        <f t="shared" si="4"/>
        <v>0</v>
      </c>
      <c r="K39">
        <f t="shared" si="5"/>
        <v>0</v>
      </c>
    </row>
    <row r="40" spans="1:11" x14ac:dyDescent="0.4">
      <c r="A40" s="19">
        <v>45836.333333333336</v>
      </c>
      <c r="B40" s="20">
        <f t="shared" si="1"/>
        <v>0.33333333333575865</v>
      </c>
      <c r="C40">
        <v>0</v>
      </c>
      <c r="D40">
        <v>489.51400000000001</v>
      </c>
      <c r="E40">
        <f t="shared" si="0"/>
        <v>489.35900000000004</v>
      </c>
      <c r="F40">
        <v>489.54500000000002</v>
      </c>
      <c r="G40">
        <f t="shared" si="2"/>
        <v>0</v>
      </c>
      <c r="H40">
        <v>1.82</v>
      </c>
      <c r="I40">
        <f t="shared" si="3"/>
        <v>0</v>
      </c>
      <c r="J40">
        <f t="shared" si="4"/>
        <v>0</v>
      </c>
      <c r="K40">
        <f t="shared" si="5"/>
        <v>0</v>
      </c>
    </row>
    <row r="41" spans="1:11" x14ac:dyDescent="0.4">
      <c r="A41" s="19">
        <v>45836.375</v>
      </c>
      <c r="B41" s="20">
        <f t="shared" si="1"/>
        <v>0.375</v>
      </c>
      <c r="C41">
        <v>0</v>
      </c>
      <c r="D41">
        <v>489.51400000000001</v>
      </c>
      <c r="E41">
        <f t="shared" si="0"/>
        <v>489.35900000000004</v>
      </c>
      <c r="F41">
        <v>489.54500000000002</v>
      </c>
      <c r="G41">
        <f t="shared" si="2"/>
        <v>0</v>
      </c>
      <c r="H41">
        <v>1.82</v>
      </c>
      <c r="I41">
        <f t="shared" si="3"/>
        <v>0</v>
      </c>
      <c r="J41">
        <f t="shared" si="4"/>
        <v>0</v>
      </c>
      <c r="K41">
        <f t="shared" si="5"/>
        <v>0</v>
      </c>
    </row>
    <row r="42" spans="1:11" x14ac:dyDescent="0.4">
      <c r="A42" s="19">
        <v>45836.416666666664</v>
      </c>
      <c r="B42" s="20">
        <f t="shared" si="1"/>
        <v>0.41666666666424135</v>
      </c>
      <c r="C42">
        <v>0</v>
      </c>
      <c r="D42">
        <v>489.51400000000001</v>
      </c>
      <c r="E42">
        <f t="shared" si="0"/>
        <v>489.35900000000004</v>
      </c>
      <c r="F42">
        <v>489.54500000000002</v>
      </c>
      <c r="G42">
        <f t="shared" si="2"/>
        <v>0</v>
      </c>
      <c r="H42">
        <v>1.82</v>
      </c>
      <c r="I42">
        <f t="shared" si="3"/>
        <v>0</v>
      </c>
      <c r="J42">
        <f t="shared" si="4"/>
        <v>0</v>
      </c>
      <c r="K42">
        <f t="shared" si="5"/>
        <v>0</v>
      </c>
    </row>
    <row r="43" spans="1:11" x14ac:dyDescent="0.4">
      <c r="A43" s="19">
        <v>45836.458333333336</v>
      </c>
      <c r="B43" s="20">
        <f t="shared" si="1"/>
        <v>0.45833333333575865</v>
      </c>
      <c r="C43">
        <v>0</v>
      </c>
      <c r="D43">
        <v>489.52001999999999</v>
      </c>
      <c r="E43">
        <f t="shared" si="0"/>
        <v>489.36502000000002</v>
      </c>
      <c r="F43">
        <v>489.54500000000002</v>
      </c>
      <c r="G43">
        <f t="shared" si="2"/>
        <v>0</v>
      </c>
      <c r="H43">
        <v>1.82</v>
      </c>
      <c r="I43">
        <f t="shared" si="3"/>
        <v>0</v>
      </c>
      <c r="J43">
        <f t="shared" si="4"/>
        <v>0</v>
      </c>
      <c r="K43">
        <f t="shared" si="5"/>
        <v>0</v>
      </c>
    </row>
    <row r="44" spans="1:11" x14ac:dyDescent="0.4">
      <c r="A44" s="19">
        <v>45836.5</v>
      </c>
      <c r="B44" s="20">
        <f t="shared" si="1"/>
        <v>0.5</v>
      </c>
      <c r="C44">
        <v>0</v>
      </c>
      <c r="D44">
        <v>489.51299999999998</v>
      </c>
      <c r="E44">
        <f t="shared" si="0"/>
        <v>489.358</v>
      </c>
      <c r="F44">
        <v>489.54500000000002</v>
      </c>
      <c r="G44">
        <f t="shared" si="2"/>
        <v>0</v>
      </c>
      <c r="H44">
        <v>1.82</v>
      </c>
      <c r="I44">
        <f t="shared" si="3"/>
        <v>0</v>
      </c>
      <c r="J44">
        <f t="shared" si="4"/>
        <v>0</v>
      </c>
      <c r="K44">
        <f t="shared" si="5"/>
        <v>0</v>
      </c>
    </row>
    <row r="45" spans="1:11" x14ac:dyDescent="0.4">
      <c r="A45" s="19">
        <v>45836.541666666664</v>
      </c>
      <c r="B45" s="20">
        <f t="shared" si="1"/>
        <v>0.54166666666424135</v>
      </c>
      <c r="C45">
        <v>0</v>
      </c>
      <c r="D45">
        <v>489.51400000000001</v>
      </c>
      <c r="E45">
        <f t="shared" si="0"/>
        <v>489.35900000000004</v>
      </c>
      <c r="F45">
        <v>489.54500000000002</v>
      </c>
      <c r="G45">
        <f t="shared" si="2"/>
        <v>0</v>
      </c>
      <c r="H45">
        <v>1.82</v>
      </c>
      <c r="I45">
        <f t="shared" si="3"/>
        <v>0</v>
      </c>
      <c r="J45">
        <f t="shared" si="4"/>
        <v>0</v>
      </c>
      <c r="K45">
        <f t="shared" si="5"/>
        <v>0</v>
      </c>
    </row>
    <row r="46" spans="1:11" x14ac:dyDescent="0.4">
      <c r="A46" s="19">
        <v>45836.583333333336</v>
      </c>
      <c r="B46" s="20">
        <f t="shared" si="1"/>
        <v>0.58333333333575865</v>
      </c>
      <c r="C46">
        <v>0</v>
      </c>
      <c r="D46">
        <v>489.52001999999999</v>
      </c>
      <c r="E46">
        <f t="shared" si="0"/>
        <v>489.36502000000002</v>
      </c>
      <c r="F46">
        <v>489.54500000000002</v>
      </c>
      <c r="G46">
        <f t="shared" si="2"/>
        <v>0</v>
      </c>
      <c r="H46">
        <v>1.82</v>
      </c>
      <c r="I46">
        <f t="shared" si="3"/>
        <v>0</v>
      </c>
      <c r="J46">
        <f t="shared" si="4"/>
        <v>0</v>
      </c>
      <c r="K46">
        <f t="shared" si="5"/>
        <v>0</v>
      </c>
    </row>
    <row r="47" spans="1:11" x14ac:dyDescent="0.4">
      <c r="A47" s="19">
        <v>45836.625</v>
      </c>
      <c r="B47" s="20">
        <f t="shared" si="1"/>
        <v>0.625</v>
      </c>
      <c r="C47">
        <v>0</v>
      </c>
      <c r="D47">
        <v>489.51400000000001</v>
      </c>
      <c r="E47">
        <f t="shared" si="0"/>
        <v>489.35900000000004</v>
      </c>
      <c r="F47">
        <v>489.54500000000002</v>
      </c>
      <c r="G47">
        <f t="shared" si="2"/>
        <v>0</v>
      </c>
      <c r="H47">
        <v>1.82</v>
      </c>
      <c r="I47">
        <f t="shared" si="3"/>
        <v>0</v>
      </c>
      <c r="J47">
        <f t="shared" si="4"/>
        <v>0</v>
      </c>
      <c r="K47">
        <f t="shared" si="5"/>
        <v>0</v>
      </c>
    </row>
    <row r="48" spans="1:11" x14ac:dyDescent="0.4">
      <c r="A48" s="19">
        <v>45836.666666666664</v>
      </c>
      <c r="B48" s="20">
        <f t="shared" si="1"/>
        <v>0.66666666666424135</v>
      </c>
      <c r="C48">
        <v>0</v>
      </c>
      <c r="D48">
        <v>489.52001999999999</v>
      </c>
      <c r="E48">
        <f t="shared" si="0"/>
        <v>489.36502000000002</v>
      </c>
      <c r="F48">
        <v>489.54500000000002</v>
      </c>
      <c r="G48">
        <f t="shared" si="2"/>
        <v>0</v>
      </c>
      <c r="H48">
        <v>1.82</v>
      </c>
      <c r="I48">
        <f t="shared" si="3"/>
        <v>0</v>
      </c>
      <c r="J48">
        <f t="shared" si="4"/>
        <v>0</v>
      </c>
      <c r="K48">
        <f t="shared" si="5"/>
        <v>0</v>
      </c>
    </row>
    <row r="49" spans="1:11" x14ac:dyDescent="0.4">
      <c r="A49" s="19">
        <v>45836.708333333336</v>
      </c>
      <c r="B49" s="20">
        <f t="shared" si="1"/>
        <v>0.70833333333575865</v>
      </c>
      <c r="C49">
        <v>0</v>
      </c>
      <c r="D49">
        <v>489.52001999999999</v>
      </c>
      <c r="E49">
        <f t="shared" si="0"/>
        <v>489.36502000000002</v>
      </c>
      <c r="F49">
        <v>489.54500000000002</v>
      </c>
      <c r="G49">
        <f t="shared" si="2"/>
        <v>0</v>
      </c>
      <c r="H49">
        <v>1.82</v>
      </c>
      <c r="I49">
        <f t="shared" si="3"/>
        <v>0</v>
      </c>
      <c r="J49">
        <f t="shared" si="4"/>
        <v>0</v>
      </c>
      <c r="K49">
        <f t="shared" si="5"/>
        <v>0</v>
      </c>
    </row>
    <row r="50" spans="1:11" x14ac:dyDescent="0.4">
      <c r="A50" s="19">
        <v>45836.75</v>
      </c>
      <c r="B50" s="20">
        <f t="shared" si="1"/>
        <v>0.75</v>
      </c>
      <c r="C50">
        <v>0</v>
      </c>
      <c r="D50">
        <v>489.52001999999999</v>
      </c>
      <c r="E50">
        <f t="shared" si="0"/>
        <v>489.36502000000002</v>
      </c>
      <c r="F50">
        <v>489.54500000000002</v>
      </c>
      <c r="G50">
        <f t="shared" si="2"/>
        <v>0</v>
      </c>
      <c r="H50">
        <v>1.82</v>
      </c>
      <c r="I50">
        <f t="shared" si="3"/>
        <v>0</v>
      </c>
      <c r="J50">
        <f t="shared" si="4"/>
        <v>0</v>
      </c>
      <c r="K50">
        <f t="shared" si="5"/>
        <v>0</v>
      </c>
    </row>
    <row r="51" spans="1:11" x14ac:dyDescent="0.4">
      <c r="A51" s="19">
        <v>45836.791666666664</v>
      </c>
      <c r="B51" s="20">
        <f t="shared" si="1"/>
        <v>0.79166666666424135</v>
      </c>
      <c r="C51">
        <v>0</v>
      </c>
      <c r="D51">
        <v>489.52001999999999</v>
      </c>
      <c r="E51">
        <f t="shared" si="0"/>
        <v>489.36502000000002</v>
      </c>
      <c r="F51">
        <v>489.54500000000002</v>
      </c>
      <c r="G51">
        <f t="shared" si="2"/>
        <v>0</v>
      </c>
      <c r="H51">
        <v>1.82</v>
      </c>
      <c r="I51">
        <f t="shared" si="3"/>
        <v>0</v>
      </c>
      <c r="J51">
        <f t="shared" si="4"/>
        <v>0</v>
      </c>
      <c r="K51">
        <f t="shared" si="5"/>
        <v>0</v>
      </c>
    </row>
    <row r="52" spans="1:11" x14ac:dyDescent="0.4">
      <c r="A52" s="19">
        <v>45836.833333333336</v>
      </c>
      <c r="B52" s="20">
        <f t="shared" si="1"/>
        <v>0.83333333333575865</v>
      </c>
      <c r="C52">
        <v>0</v>
      </c>
      <c r="D52">
        <v>489.52001999999999</v>
      </c>
      <c r="E52">
        <f t="shared" si="0"/>
        <v>489.36502000000002</v>
      </c>
      <c r="F52">
        <v>489.54500000000002</v>
      </c>
      <c r="G52">
        <f t="shared" si="2"/>
        <v>0</v>
      </c>
      <c r="H52">
        <v>1.82</v>
      </c>
      <c r="I52">
        <f t="shared" si="3"/>
        <v>0</v>
      </c>
      <c r="J52">
        <f t="shared" si="4"/>
        <v>0</v>
      </c>
      <c r="K52">
        <f t="shared" si="5"/>
        <v>0</v>
      </c>
    </row>
    <row r="53" spans="1:11" x14ac:dyDescent="0.4">
      <c r="A53" s="19">
        <v>45836.875</v>
      </c>
      <c r="B53" s="20">
        <f t="shared" si="1"/>
        <v>0.875</v>
      </c>
      <c r="C53">
        <v>0</v>
      </c>
      <c r="D53">
        <v>489.52001999999999</v>
      </c>
      <c r="E53">
        <f t="shared" si="0"/>
        <v>489.36502000000002</v>
      </c>
      <c r="F53">
        <v>489.54500000000002</v>
      </c>
      <c r="G53">
        <f t="shared" si="2"/>
        <v>0</v>
      </c>
      <c r="H53">
        <v>1.82</v>
      </c>
      <c r="I53">
        <f t="shared" si="3"/>
        <v>0</v>
      </c>
      <c r="J53">
        <f t="shared" si="4"/>
        <v>0</v>
      </c>
      <c r="K53">
        <f t="shared" si="5"/>
        <v>0</v>
      </c>
    </row>
    <row r="54" spans="1:11" x14ac:dyDescent="0.4">
      <c r="A54" s="19">
        <v>45836.916666666664</v>
      </c>
      <c r="B54" s="20">
        <f t="shared" si="1"/>
        <v>0.91666666666424135</v>
      </c>
      <c r="C54">
        <v>0</v>
      </c>
      <c r="D54">
        <v>489.52001999999999</v>
      </c>
      <c r="E54">
        <f t="shared" si="0"/>
        <v>489.36502000000002</v>
      </c>
      <c r="F54">
        <v>489.54500000000002</v>
      </c>
      <c r="G54">
        <f t="shared" si="2"/>
        <v>0</v>
      </c>
      <c r="H54">
        <v>1.82</v>
      </c>
      <c r="I54">
        <f t="shared" si="3"/>
        <v>0</v>
      </c>
      <c r="J54">
        <f t="shared" si="4"/>
        <v>0</v>
      </c>
      <c r="K54">
        <f t="shared" si="5"/>
        <v>0</v>
      </c>
    </row>
    <row r="55" spans="1:11" x14ac:dyDescent="0.4">
      <c r="A55" s="19">
        <v>45836.958333333336</v>
      </c>
      <c r="B55" s="20">
        <f t="shared" si="1"/>
        <v>0.95833333333575865</v>
      </c>
      <c r="C55">
        <v>0</v>
      </c>
      <c r="D55">
        <v>489.52001999999999</v>
      </c>
      <c r="E55">
        <f t="shared" si="0"/>
        <v>489.36502000000002</v>
      </c>
      <c r="F55">
        <v>489.54500000000002</v>
      </c>
      <c r="G55">
        <f t="shared" si="2"/>
        <v>0</v>
      </c>
      <c r="H55">
        <v>1.82</v>
      </c>
      <c r="I55">
        <f t="shared" si="3"/>
        <v>0</v>
      </c>
      <c r="J55">
        <f t="shared" si="4"/>
        <v>0</v>
      </c>
      <c r="K55">
        <f t="shared" si="5"/>
        <v>0</v>
      </c>
    </row>
    <row r="56" spans="1:11" x14ac:dyDescent="0.4">
      <c r="A56" s="19">
        <v>45837</v>
      </c>
      <c r="B56" s="20">
        <f t="shared" si="1"/>
        <v>0</v>
      </c>
      <c r="C56">
        <v>0</v>
      </c>
      <c r="D56">
        <v>489.52001999999999</v>
      </c>
      <c r="E56">
        <f t="shared" si="0"/>
        <v>489.36502000000002</v>
      </c>
      <c r="F56">
        <v>489.54500000000002</v>
      </c>
      <c r="G56">
        <f t="shared" si="2"/>
        <v>0</v>
      </c>
      <c r="H56">
        <v>1.82</v>
      </c>
      <c r="I56">
        <f t="shared" si="3"/>
        <v>0</v>
      </c>
      <c r="J56">
        <f t="shared" si="4"/>
        <v>0</v>
      </c>
      <c r="K56">
        <f t="shared" si="5"/>
        <v>0</v>
      </c>
    </row>
    <row r="57" spans="1:11" x14ac:dyDescent="0.4">
      <c r="A57" s="19">
        <v>45837.041666666664</v>
      </c>
      <c r="B57" s="20">
        <f t="shared" si="1"/>
        <v>4.1666666664241347E-2</v>
      </c>
      <c r="C57">
        <v>0</v>
      </c>
      <c r="D57">
        <v>489.52103</v>
      </c>
      <c r="E57">
        <f t="shared" si="0"/>
        <v>489.36603000000002</v>
      </c>
      <c r="F57">
        <v>489.54500000000002</v>
      </c>
      <c r="G57">
        <f t="shared" si="2"/>
        <v>0</v>
      </c>
      <c r="H57">
        <v>1.82</v>
      </c>
      <c r="I57">
        <f t="shared" si="3"/>
        <v>0</v>
      </c>
      <c r="J57">
        <f t="shared" si="4"/>
        <v>0</v>
      </c>
      <c r="K57">
        <f t="shared" si="5"/>
        <v>0</v>
      </c>
    </row>
    <row r="58" spans="1:11" x14ac:dyDescent="0.4">
      <c r="A58" s="19">
        <v>45837.083333333336</v>
      </c>
      <c r="B58" s="20">
        <f t="shared" si="1"/>
        <v>8.3333333335758653E-2</v>
      </c>
      <c r="C58">
        <v>0</v>
      </c>
      <c r="D58">
        <v>489.52103</v>
      </c>
      <c r="E58">
        <f t="shared" si="0"/>
        <v>489.36603000000002</v>
      </c>
      <c r="F58">
        <v>489.54500000000002</v>
      </c>
      <c r="G58">
        <f t="shared" si="2"/>
        <v>0</v>
      </c>
      <c r="H58">
        <v>1.82</v>
      </c>
      <c r="I58">
        <f t="shared" si="3"/>
        <v>0</v>
      </c>
      <c r="J58">
        <f t="shared" si="4"/>
        <v>0</v>
      </c>
      <c r="K58">
        <f t="shared" si="5"/>
        <v>0</v>
      </c>
    </row>
    <row r="59" spans="1:11" x14ac:dyDescent="0.4">
      <c r="A59" s="19">
        <v>45837.125</v>
      </c>
      <c r="B59" s="20">
        <f t="shared" si="1"/>
        <v>0.125</v>
      </c>
      <c r="C59">
        <v>0</v>
      </c>
      <c r="D59">
        <v>489.52001999999999</v>
      </c>
      <c r="E59">
        <f t="shared" si="0"/>
        <v>489.36502000000002</v>
      </c>
      <c r="F59">
        <v>489.54500000000002</v>
      </c>
      <c r="G59">
        <f t="shared" si="2"/>
        <v>0</v>
      </c>
      <c r="H59">
        <v>1.82</v>
      </c>
      <c r="I59">
        <f t="shared" si="3"/>
        <v>0</v>
      </c>
      <c r="J59">
        <f t="shared" si="4"/>
        <v>0</v>
      </c>
      <c r="K59">
        <f t="shared" si="5"/>
        <v>0</v>
      </c>
    </row>
    <row r="60" spans="1:11" x14ac:dyDescent="0.4">
      <c r="A60" s="19">
        <v>45837.166666666664</v>
      </c>
      <c r="B60" s="20">
        <f t="shared" si="1"/>
        <v>0.16666666666424135</v>
      </c>
      <c r="C60">
        <v>0</v>
      </c>
      <c r="D60">
        <v>489.52103</v>
      </c>
      <c r="E60">
        <f t="shared" si="0"/>
        <v>489.36603000000002</v>
      </c>
      <c r="F60">
        <v>489.54500000000002</v>
      </c>
      <c r="G60">
        <f t="shared" si="2"/>
        <v>0</v>
      </c>
      <c r="H60">
        <v>1.82</v>
      </c>
      <c r="I60">
        <f t="shared" si="3"/>
        <v>0</v>
      </c>
      <c r="J60">
        <f t="shared" si="4"/>
        <v>0</v>
      </c>
      <c r="K60">
        <f t="shared" si="5"/>
        <v>0</v>
      </c>
    </row>
    <row r="61" spans="1:11" x14ac:dyDescent="0.4">
      <c r="A61" s="19">
        <v>45837.208333333336</v>
      </c>
      <c r="B61" s="20">
        <f t="shared" si="1"/>
        <v>0.20833333333575865</v>
      </c>
      <c r="C61">
        <v>0</v>
      </c>
      <c r="D61">
        <v>489.52001999999999</v>
      </c>
      <c r="E61">
        <f t="shared" si="0"/>
        <v>489.36502000000002</v>
      </c>
      <c r="F61">
        <v>489.54500000000002</v>
      </c>
      <c r="G61">
        <f t="shared" si="2"/>
        <v>0</v>
      </c>
      <c r="H61">
        <v>1.82</v>
      </c>
      <c r="I61">
        <f t="shared" si="3"/>
        <v>0</v>
      </c>
      <c r="J61">
        <f t="shared" si="4"/>
        <v>0</v>
      </c>
      <c r="K61">
        <f t="shared" si="5"/>
        <v>0</v>
      </c>
    </row>
    <row r="62" spans="1:11" x14ac:dyDescent="0.4">
      <c r="A62" s="19">
        <v>45837.25</v>
      </c>
      <c r="B62" s="20">
        <f t="shared" si="1"/>
        <v>0.25</v>
      </c>
      <c r="C62">
        <v>0</v>
      </c>
      <c r="D62">
        <v>489.52103</v>
      </c>
      <c r="E62">
        <f t="shared" si="0"/>
        <v>489.36603000000002</v>
      </c>
      <c r="F62">
        <v>489.54500000000002</v>
      </c>
      <c r="G62">
        <f t="shared" si="2"/>
        <v>0</v>
      </c>
      <c r="H62">
        <v>1.82</v>
      </c>
      <c r="I62">
        <f t="shared" si="3"/>
        <v>0</v>
      </c>
      <c r="J62">
        <f t="shared" si="4"/>
        <v>0</v>
      </c>
      <c r="K62">
        <f t="shared" si="5"/>
        <v>0</v>
      </c>
    </row>
    <row r="63" spans="1:11" x14ac:dyDescent="0.4">
      <c r="A63" s="19">
        <v>45837.291666666664</v>
      </c>
      <c r="B63" s="20">
        <f t="shared" si="1"/>
        <v>0.29166666666424135</v>
      </c>
      <c r="C63">
        <v>0</v>
      </c>
      <c r="D63">
        <v>489.52103</v>
      </c>
      <c r="E63">
        <f t="shared" si="0"/>
        <v>489.36603000000002</v>
      </c>
      <c r="F63">
        <v>489.54500000000002</v>
      </c>
      <c r="G63">
        <f t="shared" si="2"/>
        <v>0</v>
      </c>
      <c r="H63">
        <v>1.82</v>
      </c>
      <c r="I63">
        <f t="shared" si="3"/>
        <v>0</v>
      </c>
      <c r="J63">
        <f t="shared" si="4"/>
        <v>0</v>
      </c>
      <c r="K63">
        <f t="shared" si="5"/>
        <v>0</v>
      </c>
    </row>
    <row r="64" spans="1:11" x14ac:dyDescent="0.4">
      <c r="A64" s="19">
        <v>45837.333333333336</v>
      </c>
      <c r="B64" s="20">
        <f t="shared" si="1"/>
        <v>0.33333333333575865</v>
      </c>
      <c r="C64">
        <v>0</v>
      </c>
      <c r="D64">
        <v>489.52001999999999</v>
      </c>
      <c r="E64">
        <f t="shared" si="0"/>
        <v>489.36502000000002</v>
      </c>
      <c r="F64">
        <v>489.54500000000002</v>
      </c>
      <c r="G64">
        <f t="shared" si="2"/>
        <v>0</v>
      </c>
      <c r="H64">
        <v>1.82</v>
      </c>
      <c r="I64">
        <f t="shared" si="3"/>
        <v>0</v>
      </c>
      <c r="J64">
        <f t="shared" si="4"/>
        <v>0</v>
      </c>
      <c r="K64">
        <f t="shared" si="5"/>
        <v>0</v>
      </c>
    </row>
    <row r="65" spans="1:11" x14ac:dyDescent="0.4">
      <c r="A65" s="19">
        <v>45837.375</v>
      </c>
      <c r="B65" s="20">
        <f t="shared" si="1"/>
        <v>0.375</v>
      </c>
      <c r="C65">
        <v>0</v>
      </c>
      <c r="D65">
        <v>489.52001999999999</v>
      </c>
      <c r="E65">
        <f t="shared" si="0"/>
        <v>489.36502000000002</v>
      </c>
      <c r="F65">
        <v>489.54500000000002</v>
      </c>
      <c r="G65">
        <f t="shared" si="2"/>
        <v>0</v>
      </c>
      <c r="H65">
        <v>1.82</v>
      </c>
      <c r="I65">
        <f t="shared" si="3"/>
        <v>0</v>
      </c>
      <c r="J65">
        <f t="shared" si="4"/>
        <v>0</v>
      </c>
      <c r="K65">
        <f t="shared" si="5"/>
        <v>0</v>
      </c>
    </row>
    <row r="66" spans="1:11" x14ac:dyDescent="0.4">
      <c r="A66" s="19">
        <v>45837.416666666664</v>
      </c>
      <c r="B66" s="20">
        <f t="shared" si="1"/>
        <v>0.41666666666424135</v>
      </c>
      <c r="C66">
        <v>0</v>
      </c>
      <c r="D66">
        <v>489.52001999999999</v>
      </c>
      <c r="E66">
        <f t="shared" ref="E66:E129" si="6">D66-0.155</f>
        <v>489.36502000000002</v>
      </c>
      <c r="F66">
        <v>489.54500000000002</v>
      </c>
      <c r="G66">
        <f t="shared" si="2"/>
        <v>0</v>
      </c>
      <c r="H66">
        <v>1.82</v>
      </c>
      <c r="I66">
        <f t="shared" si="3"/>
        <v>0</v>
      </c>
      <c r="J66">
        <f t="shared" si="4"/>
        <v>0</v>
      </c>
      <c r="K66">
        <f t="shared" si="5"/>
        <v>0</v>
      </c>
    </row>
    <row r="67" spans="1:11" x14ac:dyDescent="0.4">
      <c r="A67" s="19">
        <v>45837.458333333336</v>
      </c>
      <c r="B67" s="20">
        <f t="shared" ref="B67:B130" si="7">MOD(A67,1)</f>
        <v>0.45833333333575865</v>
      </c>
      <c r="C67">
        <v>0</v>
      </c>
      <c r="D67">
        <v>489.52600000000001</v>
      </c>
      <c r="E67">
        <f t="shared" si="6"/>
        <v>489.37100000000004</v>
      </c>
      <c r="F67">
        <v>489.54500000000002</v>
      </c>
      <c r="G67">
        <f t="shared" ref="G67:G130" si="8">IF(E67 - F67 &lt; 0, 0, E67 - F67)</f>
        <v>0</v>
      </c>
      <c r="H67">
        <v>1.82</v>
      </c>
      <c r="I67">
        <f t="shared" ref="I67:I130" si="9">1.82*30*(G67^1.5)</f>
        <v>0</v>
      </c>
      <c r="J67">
        <f t="shared" ref="J67:J130" si="10">I67*60</f>
        <v>0</v>
      </c>
      <c r="K67">
        <f t="shared" ref="K67:K130" si="11">(I67*86400)/24</f>
        <v>0</v>
      </c>
    </row>
    <row r="68" spans="1:11" x14ac:dyDescent="0.4">
      <c r="A68" s="19">
        <v>45837.5</v>
      </c>
      <c r="B68" s="20">
        <f t="shared" si="7"/>
        <v>0.5</v>
      </c>
      <c r="C68">
        <v>0</v>
      </c>
      <c r="D68">
        <v>489.52001999999999</v>
      </c>
      <c r="E68">
        <f t="shared" si="6"/>
        <v>489.36502000000002</v>
      </c>
      <c r="F68">
        <v>489.54500000000002</v>
      </c>
      <c r="G68">
        <f t="shared" si="8"/>
        <v>0</v>
      </c>
      <c r="H68">
        <v>1.82</v>
      </c>
      <c r="I68">
        <f t="shared" si="9"/>
        <v>0</v>
      </c>
      <c r="J68">
        <f t="shared" si="10"/>
        <v>0</v>
      </c>
      <c r="K68">
        <f t="shared" si="11"/>
        <v>0</v>
      </c>
    </row>
    <row r="69" spans="1:11" x14ac:dyDescent="0.4">
      <c r="A69" s="19">
        <v>45837.541666666664</v>
      </c>
      <c r="B69" s="20">
        <f t="shared" si="7"/>
        <v>0.54166666666424135</v>
      </c>
      <c r="C69">
        <v>0</v>
      </c>
      <c r="D69">
        <v>489.52001999999999</v>
      </c>
      <c r="E69">
        <f t="shared" si="6"/>
        <v>489.36502000000002</v>
      </c>
      <c r="F69">
        <v>489.54500000000002</v>
      </c>
      <c r="G69">
        <f t="shared" si="8"/>
        <v>0</v>
      </c>
      <c r="H69">
        <v>1.82</v>
      </c>
      <c r="I69">
        <f t="shared" si="9"/>
        <v>0</v>
      </c>
      <c r="J69">
        <f t="shared" si="10"/>
        <v>0</v>
      </c>
      <c r="K69">
        <f t="shared" si="11"/>
        <v>0</v>
      </c>
    </row>
    <row r="70" spans="1:11" x14ac:dyDescent="0.4">
      <c r="A70" s="19">
        <v>45837.583333333336</v>
      </c>
      <c r="B70" s="20">
        <f t="shared" si="7"/>
        <v>0.58333333333575865</v>
      </c>
      <c r="C70">
        <v>0</v>
      </c>
      <c r="D70">
        <v>489.52001999999999</v>
      </c>
      <c r="E70">
        <f t="shared" si="6"/>
        <v>489.36502000000002</v>
      </c>
      <c r="F70">
        <v>489.54500000000002</v>
      </c>
      <c r="G70">
        <f t="shared" si="8"/>
        <v>0</v>
      </c>
      <c r="H70">
        <v>1.82</v>
      </c>
      <c r="I70">
        <f t="shared" si="9"/>
        <v>0</v>
      </c>
      <c r="J70">
        <f t="shared" si="10"/>
        <v>0</v>
      </c>
      <c r="K70">
        <f t="shared" si="11"/>
        <v>0</v>
      </c>
    </row>
    <row r="71" spans="1:11" x14ac:dyDescent="0.4">
      <c r="A71" s="19">
        <v>45837.625</v>
      </c>
      <c r="B71" s="20">
        <f t="shared" si="7"/>
        <v>0.625</v>
      </c>
      <c r="C71">
        <v>0</v>
      </c>
      <c r="D71">
        <v>489.52001999999999</v>
      </c>
      <c r="E71">
        <f t="shared" si="6"/>
        <v>489.36502000000002</v>
      </c>
      <c r="F71">
        <v>489.54500000000002</v>
      </c>
      <c r="G71">
        <f t="shared" si="8"/>
        <v>0</v>
      </c>
      <c r="H71">
        <v>1.82</v>
      </c>
      <c r="I71">
        <f t="shared" si="9"/>
        <v>0</v>
      </c>
      <c r="J71">
        <f t="shared" si="10"/>
        <v>0</v>
      </c>
      <c r="K71">
        <f t="shared" si="11"/>
        <v>0</v>
      </c>
    </row>
    <row r="72" spans="1:11" x14ac:dyDescent="0.4">
      <c r="A72" s="19">
        <v>45837.666666666664</v>
      </c>
      <c r="B72" s="20">
        <f t="shared" si="7"/>
        <v>0.66666666666424135</v>
      </c>
      <c r="C72">
        <v>0</v>
      </c>
      <c r="D72">
        <v>489.52001999999999</v>
      </c>
      <c r="E72">
        <f t="shared" si="6"/>
        <v>489.36502000000002</v>
      </c>
      <c r="F72">
        <v>489.54500000000002</v>
      </c>
      <c r="G72">
        <f t="shared" si="8"/>
        <v>0</v>
      </c>
      <c r="H72">
        <v>1.82</v>
      </c>
      <c r="I72">
        <f t="shared" si="9"/>
        <v>0</v>
      </c>
      <c r="J72">
        <f t="shared" si="10"/>
        <v>0</v>
      </c>
      <c r="K72">
        <f t="shared" si="11"/>
        <v>0</v>
      </c>
    </row>
    <row r="73" spans="1:11" x14ac:dyDescent="0.4">
      <c r="A73" s="19">
        <v>45837.708333333336</v>
      </c>
      <c r="B73" s="20">
        <f t="shared" si="7"/>
        <v>0.70833333333575865</v>
      </c>
      <c r="C73">
        <v>0</v>
      </c>
      <c r="D73">
        <v>489.52001999999999</v>
      </c>
      <c r="E73">
        <f t="shared" si="6"/>
        <v>489.36502000000002</v>
      </c>
      <c r="F73">
        <v>489.54500000000002</v>
      </c>
      <c r="G73">
        <f t="shared" si="8"/>
        <v>0</v>
      </c>
      <c r="H73">
        <v>1.82</v>
      </c>
      <c r="I73">
        <f t="shared" si="9"/>
        <v>0</v>
      </c>
      <c r="J73">
        <f t="shared" si="10"/>
        <v>0</v>
      </c>
      <c r="K73">
        <f t="shared" si="11"/>
        <v>0</v>
      </c>
    </row>
    <row r="74" spans="1:11" x14ac:dyDescent="0.4">
      <c r="A74" s="19">
        <v>45837.75</v>
      </c>
      <c r="B74" s="20">
        <f t="shared" si="7"/>
        <v>0.75</v>
      </c>
      <c r="C74">
        <v>0</v>
      </c>
      <c r="D74">
        <v>489.52001999999999</v>
      </c>
      <c r="E74">
        <f t="shared" si="6"/>
        <v>489.36502000000002</v>
      </c>
      <c r="F74">
        <v>489.54500000000002</v>
      </c>
      <c r="G74">
        <f t="shared" si="8"/>
        <v>0</v>
      </c>
      <c r="H74">
        <v>1.82</v>
      </c>
      <c r="I74">
        <f t="shared" si="9"/>
        <v>0</v>
      </c>
      <c r="J74">
        <f t="shared" si="10"/>
        <v>0</v>
      </c>
      <c r="K74">
        <f t="shared" si="11"/>
        <v>0</v>
      </c>
    </row>
    <row r="75" spans="1:11" x14ac:dyDescent="0.4">
      <c r="A75" s="19">
        <v>45837.791666666664</v>
      </c>
      <c r="B75" s="20">
        <f t="shared" si="7"/>
        <v>0.79166666666424135</v>
      </c>
      <c r="C75">
        <v>0</v>
      </c>
      <c r="D75">
        <v>489.52001999999999</v>
      </c>
      <c r="E75">
        <f t="shared" si="6"/>
        <v>489.36502000000002</v>
      </c>
      <c r="F75">
        <v>489.54500000000002</v>
      </c>
      <c r="G75">
        <f t="shared" si="8"/>
        <v>0</v>
      </c>
      <c r="H75">
        <v>1.82</v>
      </c>
      <c r="I75">
        <f t="shared" si="9"/>
        <v>0</v>
      </c>
      <c r="J75">
        <f t="shared" si="10"/>
        <v>0</v>
      </c>
      <c r="K75">
        <f t="shared" si="11"/>
        <v>0</v>
      </c>
    </row>
    <row r="76" spans="1:11" x14ac:dyDescent="0.4">
      <c r="A76" s="19">
        <v>45837.833333333336</v>
      </c>
      <c r="B76" s="20">
        <f t="shared" si="7"/>
        <v>0.83333333333575865</v>
      </c>
      <c r="C76">
        <v>0</v>
      </c>
      <c r="D76">
        <v>489.52001999999999</v>
      </c>
      <c r="E76">
        <f t="shared" si="6"/>
        <v>489.36502000000002</v>
      </c>
      <c r="F76">
        <v>489.54500000000002</v>
      </c>
      <c r="G76">
        <f t="shared" si="8"/>
        <v>0</v>
      </c>
      <c r="H76">
        <v>1.82</v>
      </c>
      <c r="I76">
        <f t="shared" si="9"/>
        <v>0</v>
      </c>
      <c r="J76">
        <f t="shared" si="10"/>
        <v>0</v>
      </c>
      <c r="K76">
        <f t="shared" si="11"/>
        <v>0</v>
      </c>
    </row>
    <row r="77" spans="1:11" x14ac:dyDescent="0.4">
      <c r="A77" s="19">
        <v>45837.875</v>
      </c>
      <c r="B77" s="20">
        <f t="shared" si="7"/>
        <v>0.875</v>
      </c>
      <c r="C77">
        <v>0</v>
      </c>
      <c r="D77">
        <v>489.52699999999999</v>
      </c>
      <c r="E77">
        <f t="shared" si="6"/>
        <v>489.37200000000001</v>
      </c>
      <c r="F77">
        <v>489.54500000000002</v>
      </c>
      <c r="G77">
        <f t="shared" si="8"/>
        <v>0</v>
      </c>
      <c r="H77">
        <v>1.82</v>
      </c>
      <c r="I77">
        <f t="shared" si="9"/>
        <v>0</v>
      </c>
      <c r="J77">
        <f t="shared" si="10"/>
        <v>0</v>
      </c>
      <c r="K77">
        <f t="shared" si="11"/>
        <v>0</v>
      </c>
    </row>
    <row r="78" spans="1:11" x14ac:dyDescent="0.4">
      <c r="A78" s="19">
        <v>45837.916666666664</v>
      </c>
      <c r="B78" s="20">
        <f t="shared" si="7"/>
        <v>0.91666666666424135</v>
      </c>
      <c r="C78">
        <v>0</v>
      </c>
      <c r="D78">
        <v>489.52001999999999</v>
      </c>
      <c r="E78">
        <f t="shared" si="6"/>
        <v>489.36502000000002</v>
      </c>
      <c r="F78">
        <v>489.54500000000002</v>
      </c>
      <c r="G78">
        <f t="shared" si="8"/>
        <v>0</v>
      </c>
      <c r="H78">
        <v>1.82</v>
      </c>
      <c r="I78">
        <f t="shared" si="9"/>
        <v>0</v>
      </c>
      <c r="J78">
        <f t="shared" si="10"/>
        <v>0</v>
      </c>
      <c r="K78">
        <f t="shared" si="11"/>
        <v>0</v>
      </c>
    </row>
    <row r="79" spans="1:11" x14ac:dyDescent="0.4">
      <c r="A79" s="19">
        <v>45837.958333333336</v>
      </c>
      <c r="B79" s="20">
        <f t="shared" si="7"/>
        <v>0.95833333333575865</v>
      </c>
      <c r="C79">
        <v>0</v>
      </c>
      <c r="D79">
        <v>489.52001999999999</v>
      </c>
      <c r="E79">
        <f t="shared" si="6"/>
        <v>489.36502000000002</v>
      </c>
      <c r="F79">
        <v>489.54500000000002</v>
      </c>
      <c r="G79">
        <f t="shared" si="8"/>
        <v>0</v>
      </c>
      <c r="H79">
        <v>1.82</v>
      </c>
      <c r="I79">
        <f t="shared" si="9"/>
        <v>0</v>
      </c>
      <c r="J79">
        <f t="shared" si="10"/>
        <v>0</v>
      </c>
      <c r="K79">
        <f t="shared" si="11"/>
        <v>0</v>
      </c>
    </row>
    <row r="80" spans="1:11" x14ac:dyDescent="0.4">
      <c r="A80" s="19">
        <v>45838</v>
      </c>
      <c r="B80" s="20">
        <f t="shared" si="7"/>
        <v>0</v>
      </c>
      <c r="C80">
        <v>0</v>
      </c>
      <c r="D80">
        <v>489.52001999999999</v>
      </c>
      <c r="E80">
        <f t="shared" si="6"/>
        <v>489.36502000000002</v>
      </c>
      <c r="F80">
        <v>489.54500000000002</v>
      </c>
      <c r="G80">
        <f t="shared" si="8"/>
        <v>0</v>
      </c>
      <c r="H80">
        <v>1.82</v>
      </c>
      <c r="I80">
        <f t="shared" si="9"/>
        <v>0</v>
      </c>
      <c r="J80">
        <f t="shared" si="10"/>
        <v>0</v>
      </c>
      <c r="K80">
        <f t="shared" si="11"/>
        <v>0</v>
      </c>
    </row>
    <row r="81" spans="1:11" x14ac:dyDescent="0.4">
      <c r="A81" s="19">
        <v>45838.041666666664</v>
      </c>
      <c r="B81" s="20">
        <f t="shared" si="7"/>
        <v>4.1666666664241347E-2</v>
      </c>
      <c r="C81">
        <v>0</v>
      </c>
      <c r="D81">
        <v>489.52001999999999</v>
      </c>
      <c r="E81">
        <f t="shared" si="6"/>
        <v>489.36502000000002</v>
      </c>
      <c r="F81">
        <v>489.54500000000002</v>
      </c>
      <c r="G81">
        <f t="shared" si="8"/>
        <v>0</v>
      </c>
      <c r="H81">
        <v>1.82</v>
      </c>
      <c r="I81">
        <f t="shared" si="9"/>
        <v>0</v>
      </c>
      <c r="J81">
        <f t="shared" si="10"/>
        <v>0</v>
      </c>
      <c r="K81">
        <f t="shared" si="11"/>
        <v>0</v>
      </c>
    </row>
    <row r="82" spans="1:11" x14ac:dyDescent="0.4">
      <c r="A82" s="19">
        <v>45838.083333333336</v>
      </c>
      <c r="B82" s="20">
        <f t="shared" si="7"/>
        <v>8.3333333335758653E-2</v>
      </c>
      <c r="C82">
        <v>0</v>
      </c>
      <c r="D82">
        <v>489.52001999999999</v>
      </c>
      <c r="E82">
        <f t="shared" si="6"/>
        <v>489.36502000000002</v>
      </c>
      <c r="F82">
        <v>489.54500000000002</v>
      </c>
      <c r="G82">
        <f t="shared" si="8"/>
        <v>0</v>
      </c>
      <c r="H82">
        <v>1.82</v>
      </c>
      <c r="I82">
        <f t="shared" si="9"/>
        <v>0</v>
      </c>
      <c r="J82">
        <f t="shared" si="10"/>
        <v>0</v>
      </c>
      <c r="K82">
        <f t="shared" si="11"/>
        <v>0</v>
      </c>
    </row>
    <row r="83" spans="1:11" x14ac:dyDescent="0.4">
      <c r="A83" s="19">
        <v>45838.125</v>
      </c>
      <c r="B83" s="20">
        <f t="shared" si="7"/>
        <v>0.125</v>
      </c>
      <c r="C83">
        <v>0</v>
      </c>
      <c r="D83">
        <v>489.52001999999999</v>
      </c>
      <c r="E83">
        <f t="shared" si="6"/>
        <v>489.36502000000002</v>
      </c>
      <c r="F83">
        <v>489.54500000000002</v>
      </c>
      <c r="G83">
        <f t="shared" si="8"/>
        <v>0</v>
      </c>
      <c r="H83">
        <v>1.82</v>
      </c>
      <c r="I83">
        <f t="shared" si="9"/>
        <v>0</v>
      </c>
      <c r="J83">
        <f t="shared" si="10"/>
        <v>0</v>
      </c>
      <c r="K83">
        <f t="shared" si="11"/>
        <v>0</v>
      </c>
    </row>
    <row r="84" spans="1:11" x14ac:dyDescent="0.4">
      <c r="A84" s="19">
        <v>45838.166666666664</v>
      </c>
      <c r="B84" s="20">
        <f t="shared" si="7"/>
        <v>0.16666666666424135</v>
      </c>
      <c r="C84">
        <v>0</v>
      </c>
      <c r="D84">
        <v>489.52001999999999</v>
      </c>
      <c r="E84">
        <f t="shared" si="6"/>
        <v>489.36502000000002</v>
      </c>
      <c r="F84">
        <v>489.54500000000002</v>
      </c>
      <c r="G84">
        <f t="shared" si="8"/>
        <v>0</v>
      </c>
      <c r="H84">
        <v>1.82</v>
      </c>
      <c r="I84">
        <f t="shared" si="9"/>
        <v>0</v>
      </c>
      <c r="J84">
        <f t="shared" si="10"/>
        <v>0</v>
      </c>
      <c r="K84">
        <f t="shared" si="11"/>
        <v>0</v>
      </c>
    </row>
    <row r="85" spans="1:11" x14ac:dyDescent="0.4">
      <c r="A85" s="19">
        <v>45838.208333333336</v>
      </c>
      <c r="B85" s="20">
        <f t="shared" si="7"/>
        <v>0.20833333333575865</v>
      </c>
      <c r="C85">
        <v>0</v>
      </c>
      <c r="D85">
        <v>489.52001999999999</v>
      </c>
      <c r="E85">
        <f t="shared" si="6"/>
        <v>489.36502000000002</v>
      </c>
      <c r="F85">
        <v>489.54500000000002</v>
      </c>
      <c r="G85">
        <f t="shared" si="8"/>
        <v>0</v>
      </c>
      <c r="H85">
        <v>1.82</v>
      </c>
      <c r="I85">
        <f t="shared" si="9"/>
        <v>0</v>
      </c>
      <c r="J85">
        <f t="shared" si="10"/>
        <v>0</v>
      </c>
      <c r="K85">
        <f t="shared" si="11"/>
        <v>0</v>
      </c>
    </row>
    <row r="86" spans="1:11" x14ac:dyDescent="0.4">
      <c r="A86" s="19">
        <v>45838.25</v>
      </c>
      <c r="B86" s="20">
        <f t="shared" si="7"/>
        <v>0.25</v>
      </c>
      <c r="C86">
        <v>0</v>
      </c>
      <c r="D86">
        <v>489.52699999999999</v>
      </c>
      <c r="E86">
        <f t="shared" si="6"/>
        <v>489.37200000000001</v>
      </c>
      <c r="F86">
        <v>489.54500000000002</v>
      </c>
      <c r="G86">
        <f t="shared" si="8"/>
        <v>0</v>
      </c>
      <c r="H86">
        <v>1.82</v>
      </c>
      <c r="I86">
        <f t="shared" si="9"/>
        <v>0</v>
      </c>
      <c r="J86">
        <f t="shared" si="10"/>
        <v>0</v>
      </c>
      <c r="K86">
        <f t="shared" si="11"/>
        <v>0</v>
      </c>
    </row>
    <row r="87" spans="1:11" x14ac:dyDescent="0.4">
      <c r="A87" s="19">
        <v>45838.291666666664</v>
      </c>
      <c r="B87" s="20">
        <f t="shared" si="7"/>
        <v>0.29166666666424135</v>
      </c>
      <c r="C87">
        <v>0</v>
      </c>
      <c r="D87">
        <v>489.52699999999999</v>
      </c>
      <c r="E87">
        <f t="shared" si="6"/>
        <v>489.37200000000001</v>
      </c>
      <c r="F87">
        <v>489.54500000000002</v>
      </c>
      <c r="G87">
        <f t="shared" si="8"/>
        <v>0</v>
      </c>
      <c r="H87">
        <v>1.82</v>
      </c>
      <c r="I87">
        <f t="shared" si="9"/>
        <v>0</v>
      </c>
      <c r="J87">
        <f t="shared" si="10"/>
        <v>0</v>
      </c>
      <c r="K87">
        <f t="shared" si="11"/>
        <v>0</v>
      </c>
    </row>
    <row r="88" spans="1:11" x14ac:dyDescent="0.4">
      <c r="A88" s="19">
        <v>45838.333333333336</v>
      </c>
      <c r="B88" s="20">
        <f t="shared" si="7"/>
        <v>0.33333333333575865</v>
      </c>
      <c r="C88">
        <v>0</v>
      </c>
      <c r="D88">
        <v>489.52001999999999</v>
      </c>
      <c r="E88">
        <f t="shared" si="6"/>
        <v>489.36502000000002</v>
      </c>
      <c r="F88">
        <v>489.54500000000002</v>
      </c>
      <c r="G88">
        <f t="shared" si="8"/>
        <v>0</v>
      </c>
      <c r="H88">
        <v>1.82</v>
      </c>
      <c r="I88">
        <f t="shared" si="9"/>
        <v>0</v>
      </c>
      <c r="J88">
        <f t="shared" si="10"/>
        <v>0</v>
      </c>
      <c r="K88">
        <f t="shared" si="11"/>
        <v>0</v>
      </c>
    </row>
    <row r="89" spans="1:11" x14ac:dyDescent="0.4">
      <c r="A89" s="19">
        <v>45838.375</v>
      </c>
      <c r="B89" s="20">
        <f t="shared" si="7"/>
        <v>0.375</v>
      </c>
      <c r="C89">
        <v>0</v>
      </c>
      <c r="D89">
        <v>489.52600000000001</v>
      </c>
      <c r="E89">
        <f t="shared" si="6"/>
        <v>489.37100000000004</v>
      </c>
      <c r="F89">
        <v>489.54500000000002</v>
      </c>
      <c r="G89">
        <f t="shared" si="8"/>
        <v>0</v>
      </c>
      <c r="H89">
        <v>1.82</v>
      </c>
      <c r="I89">
        <f t="shared" si="9"/>
        <v>0</v>
      </c>
      <c r="J89">
        <f t="shared" si="10"/>
        <v>0</v>
      </c>
      <c r="K89">
        <f t="shared" si="11"/>
        <v>0</v>
      </c>
    </row>
    <row r="90" spans="1:11" x14ac:dyDescent="0.4">
      <c r="A90" s="19">
        <v>45838.416666666664</v>
      </c>
      <c r="B90" s="20">
        <f t="shared" si="7"/>
        <v>0.41666666666424135</v>
      </c>
      <c r="C90">
        <v>0</v>
      </c>
      <c r="D90">
        <v>489.52699999999999</v>
      </c>
      <c r="E90">
        <f t="shared" si="6"/>
        <v>489.37200000000001</v>
      </c>
      <c r="F90">
        <v>489.54500000000002</v>
      </c>
      <c r="G90">
        <f t="shared" si="8"/>
        <v>0</v>
      </c>
      <c r="H90">
        <v>1.82</v>
      </c>
      <c r="I90">
        <f t="shared" si="9"/>
        <v>0</v>
      </c>
      <c r="J90">
        <f t="shared" si="10"/>
        <v>0</v>
      </c>
      <c r="K90">
        <f t="shared" si="11"/>
        <v>0</v>
      </c>
    </row>
    <row r="91" spans="1:11" x14ac:dyDescent="0.4">
      <c r="A91" s="19">
        <v>45838.458333333336</v>
      </c>
      <c r="B91" s="20">
        <f t="shared" si="7"/>
        <v>0.45833333333575865</v>
      </c>
      <c r="C91">
        <v>0</v>
      </c>
      <c r="D91">
        <v>489.52600000000001</v>
      </c>
      <c r="E91">
        <f t="shared" si="6"/>
        <v>489.37100000000004</v>
      </c>
      <c r="F91">
        <v>489.54500000000002</v>
      </c>
      <c r="G91">
        <f t="shared" si="8"/>
        <v>0</v>
      </c>
      <c r="H91">
        <v>1.82</v>
      </c>
      <c r="I91">
        <f t="shared" si="9"/>
        <v>0</v>
      </c>
      <c r="J91">
        <f t="shared" si="10"/>
        <v>0</v>
      </c>
      <c r="K91">
        <f t="shared" si="11"/>
        <v>0</v>
      </c>
    </row>
    <row r="92" spans="1:11" x14ac:dyDescent="0.4">
      <c r="A92" s="19">
        <v>45838.5</v>
      </c>
      <c r="B92" s="20">
        <f t="shared" si="7"/>
        <v>0.5</v>
      </c>
      <c r="C92">
        <v>0</v>
      </c>
      <c r="D92">
        <v>489.52600000000001</v>
      </c>
      <c r="E92">
        <f t="shared" si="6"/>
        <v>489.37100000000004</v>
      </c>
      <c r="F92">
        <v>489.54500000000002</v>
      </c>
      <c r="G92">
        <f t="shared" si="8"/>
        <v>0</v>
      </c>
      <c r="H92">
        <v>1.82</v>
      </c>
      <c r="I92">
        <f t="shared" si="9"/>
        <v>0</v>
      </c>
      <c r="J92">
        <f t="shared" si="10"/>
        <v>0</v>
      </c>
      <c r="K92">
        <f t="shared" si="11"/>
        <v>0</v>
      </c>
    </row>
    <row r="93" spans="1:11" x14ac:dyDescent="0.4">
      <c r="A93" s="19">
        <v>45838.541666666664</v>
      </c>
      <c r="B93" s="20">
        <f t="shared" si="7"/>
        <v>0.54166666666424135</v>
      </c>
      <c r="C93">
        <v>0</v>
      </c>
      <c r="D93">
        <v>489.52600000000001</v>
      </c>
      <c r="E93">
        <f t="shared" si="6"/>
        <v>489.37100000000004</v>
      </c>
      <c r="F93">
        <v>489.54500000000002</v>
      </c>
      <c r="G93">
        <f t="shared" si="8"/>
        <v>0</v>
      </c>
      <c r="H93">
        <v>1.82</v>
      </c>
      <c r="I93">
        <f t="shared" si="9"/>
        <v>0</v>
      </c>
      <c r="J93">
        <f t="shared" si="10"/>
        <v>0</v>
      </c>
      <c r="K93">
        <f t="shared" si="11"/>
        <v>0</v>
      </c>
    </row>
    <row r="94" spans="1:11" x14ac:dyDescent="0.4">
      <c r="A94" s="19">
        <v>45838.583333333336</v>
      </c>
      <c r="B94" s="20">
        <f t="shared" si="7"/>
        <v>0.58333333333575865</v>
      </c>
      <c r="C94">
        <v>0</v>
      </c>
      <c r="D94">
        <v>489.52</v>
      </c>
      <c r="E94">
        <f t="shared" si="6"/>
        <v>489.36500000000001</v>
      </c>
      <c r="F94">
        <v>489.54500000000002</v>
      </c>
      <c r="G94">
        <f t="shared" si="8"/>
        <v>0</v>
      </c>
      <c r="H94">
        <v>1.82</v>
      </c>
      <c r="I94">
        <f t="shared" si="9"/>
        <v>0</v>
      </c>
      <c r="J94">
        <f t="shared" si="10"/>
        <v>0</v>
      </c>
      <c r="K94">
        <f t="shared" si="11"/>
        <v>0</v>
      </c>
    </row>
    <row r="95" spans="1:11" x14ac:dyDescent="0.4">
      <c r="A95" s="19">
        <v>45838.625</v>
      </c>
      <c r="B95" s="20">
        <f t="shared" si="7"/>
        <v>0.625</v>
      </c>
      <c r="C95">
        <v>0</v>
      </c>
      <c r="D95">
        <v>489.52699999999999</v>
      </c>
      <c r="E95">
        <f t="shared" si="6"/>
        <v>489.37200000000001</v>
      </c>
      <c r="F95">
        <v>489.54500000000002</v>
      </c>
      <c r="G95">
        <f t="shared" si="8"/>
        <v>0</v>
      </c>
      <c r="H95">
        <v>1.82</v>
      </c>
      <c r="I95">
        <f t="shared" si="9"/>
        <v>0</v>
      </c>
      <c r="J95">
        <f t="shared" si="10"/>
        <v>0</v>
      </c>
      <c r="K95">
        <f t="shared" si="11"/>
        <v>0</v>
      </c>
    </row>
    <row r="96" spans="1:11" x14ac:dyDescent="0.4">
      <c r="A96" s="19">
        <v>45838.666666666664</v>
      </c>
      <c r="B96" s="20">
        <f t="shared" si="7"/>
        <v>0.66666666666424135</v>
      </c>
      <c r="C96">
        <v>0</v>
      </c>
      <c r="D96">
        <v>489.52600000000001</v>
      </c>
      <c r="E96">
        <f t="shared" si="6"/>
        <v>489.37100000000004</v>
      </c>
      <c r="F96">
        <v>489.54500000000002</v>
      </c>
      <c r="G96">
        <f t="shared" si="8"/>
        <v>0</v>
      </c>
      <c r="H96">
        <v>1.82</v>
      </c>
      <c r="I96">
        <f t="shared" si="9"/>
        <v>0</v>
      </c>
      <c r="J96">
        <f t="shared" si="10"/>
        <v>0</v>
      </c>
      <c r="K96">
        <f t="shared" si="11"/>
        <v>0</v>
      </c>
    </row>
    <row r="97" spans="1:11" x14ac:dyDescent="0.4">
      <c r="A97" s="19">
        <v>45838.708333333336</v>
      </c>
      <c r="B97" s="20">
        <f t="shared" si="7"/>
        <v>0.70833333333575865</v>
      </c>
      <c r="C97">
        <v>0</v>
      </c>
      <c r="D97">
        <v>489.52600000000001</v>
      </c>
      <c r="E97">
        <f t="shared" si="6"/>
        <v>489.37100000000004</v>
      </c>
      <c r="F97">
        <v>489.54500000000002</v>
      </c>
      <c r="G97">
        <f t="shared" si="8"/>
        <v>0</v>
      </c>
      <c r="H97">
        <v>1.82</v>
      </c>
      <c r="I97">
        <f t="shared" si="9"/>
        <v>0</v>
      </c>
      <c r="J97">
        <f t="shared" si="10"/>
        <v>0</v>
      </c>
      <c r="K97">
        <f t="shared" si="11"/>
        <v>0</v>
      </c>
    </row>
    <row r="98" spans="1:11" x14ac:dyDescent="0.4">
      <c r="A98" s="19">
        <v>45838.75</v>
      </c>
      <c r="B98" s="20">
        <f t="shared" si="7"/>
        <v>0.75</v>
      </c>
      <c r="C98">
        <v>0</v>
      </c>
      <c r="D98">
        <v>489.52600000000001</v>
      </c>
      <c r="E98">
        <f t="shared" si="6"/>
        <v>489.37100000000004</v>
      </c>
      <c r="F98">
        <v>489.54500000000002</v>
      </c>
      <c r="G98">
        <f t="shared" si="8"/>
        <v>0</v>
      </c>
      <c r="H98">
        <v>1.82</v>
      </c>
      <c r="I98">
        <f t="shared" si="9"/>
        <v>0</v>
      </c>
      <c r="J98">
        <f t="shared" si="10"/>
        <v>0</v>
      </c>
      <c r="K98">
        <f t="shared" si="11"/>
        <v>0</v>
      </c>
    </row>
    <row r="99" spans="1:11" x14ac:dyDescent="0.4">
      <c r="A99" s="19">
        <v>45838.791666666664</v>
      </c>
      <c r="B99" s="20">
        <f t="shared" si="7"/>
        <v>0.79166666666424135</v>
      </c>
      <c r="C99">
        <v>0</v>
      </c>
      <c r="D99">
        <v>489.52699999999999</v>
      </c>
      <c r="E99">
        <f t="shared" si="6"/>
        <v>489.37200000000001</v>
      </c>
      <c r="F99">
        <v>489.54500000000002</v>
      </c>
      <c r="G99">
        <f t="shared" si="8"/>
        <v>0</v>
      </c>
      <c r="H99">
        <v>1.82</v>
      </c>
      <c r="I99">
        <f t="shared" si="9"/>
        <v>0</v>
      </c>
      <c r="J99">
        <f t="shared" si="10"/>
        <v>0</v>
      </c>
      <c r="K99">
        <f t="shared" si="11"/>
        <v>0</v>
      </c>
    </row>
    <row r="100" spans="1:11" x14ac:dyDescent="0.4">
      <c r="A100" s="19">
        <v>45838.833333333336</v>
      </c>
      <c r="B100" s="20">
        <f t="shared" si="7"/>
        <v>0.83333333333575865</v>
      </c>
      <c r="C100">
        <v>0</v>
      </c>
      <c r="D100">
        <v>489.52699999999999</v>
      </c>
      <c r="E100">
        <f t="shared" si="6"/>
        <v>489.37200000000001</v>
      </c>
      <c r="F100">
        <v>489.54500000000002</v>
      </c>
      <c r="G100">
        <f t="shared" si="8"/>
        <v>0</v>
      </c>
      <c r="H100">
        <v>1.82</v>
      </c>
      <c r="I100">
        <f t="shared" si="9"/>
        <v>0</v>
      </c>
      <c r="J100">
        <f t="shared" si="10"/>
        <v>0</v>
      </c>
      <c r="K100">
        <f t="shared" si="11"/>
        <v>0</v>
      </c>
    </row>
    <row r="101" spans="1:11" x14ac:dyDescent="0.4">
      <c r="A101" s="19">
        <v>45838.875</v>
      </c>
      <c r="B101" s="20">
        <f t="shared" si="7"/>
        <v>0.875</v>
      </c>
      <c r="C101">
        <v>0</v>
      </c>
      <c r="D101">
        <v>489.52699999999999</v>
      </c>
      <c r="E101">
        <f t="shared" si="6"/>
        <v>489.37200000000001</v>
      </c>
      <c r="F101">
        <v>489.54500000000002</v>
      </c>
      <c r="G101">
        <f t="shared" si="8"/>
        <v>0</v>
      </c>
      <c r="H101">
        <v>1.82</v>
      </c>
      <c r="I101">
        <f t="shared" si="9"/>
        <v>0</v>
      </c>
      <c r="J101">
        <f t="shared" si="10"/>
        <v>0</v>
      </c>
      <c r="K101">
        <f t="shared" si="11"/>
        <v>0</v>
      </c>
    </row>
    <row r="102" spans="1:11" x14ac:dyDescent="0.4">
      <c r="A102" s="19">
        <v>45838.916666666664</v>
      </c>
      <c r="B102" s="20">
        <f t="shared" si="7"/>
        <v>0.91666666666424135</v>
      </c>
      <c r="C102">
        <v>0</v>
      </c>
      <c r="D102">
        <v>489.52</v>
      </c>
      <c r="E102">
        <f t="shared" si="6"/>
        <v>489.36500000000001</v>
      </c>
      <c r="F102">
        <v>489.54500000000002</v>
      </c>
      <c r="G102">
        <f t="shared" si="8"/>
        <v>0</v>
      </c>
      <c r="H102">
        <v>1.82</v>
      </c>
      <c r="I102">
        <f t="shared" si="9"/>
        <v>0</v>
      </c>
      <c r="J102">
        <f t="shared" si="10"/>
        <v>0</v>
      </c>
      <c r="K102">
        <f t="shared" si="11"/>
        <v>0</v>
      </c>
    </row>
    <row r="103" spans="1:11" x14ac:dyDescent="0.4">
      <c r="A103" s="19">
        <v>45838.958333333336</v>
      </c>
      <c r="B103" s="20">
        <f t="shared" si="7"/>
        <v>0.95833333333575865</v>
      </c>
      <c r="C103">
        <v>0</v>
      </c>
      <c r="D103">
        <v>489.52699999999999</v>
      </c>
      <c r="E103">
        <f t="shared" si="6"/>
        <v>489.37200000000001</v>
      </c>
      <c r="F103">
        <v>489.54500000000002</v>
      </c>
      <c r="G103">
        <f t="shared" si="8"/>
        <v>0</v>
      </c>
      <c r="H103">
        <v>1.82</v>
      </c>
      <c r="I103">
        <f t="shared" si="9"/>
        <v>0</v>
      </c>
      <c r="J103">
        <f t="shared" si="10"/>
        <v>0</v>
      </c>
      <c r="K103">
        <f t="shared" si="11"/>
        <v>0</v>
      </c>
    </row>
    <row r="104" spans="1:11" x14ac:dyDescent="0.4">
      <c r="A104" s="19">
        <v>45839</v>
      </c>
      <c r="B104" s="20">
        <f t="shared" si="7"/>
        <v>0</v>
      </c>
      <c r="C104">
        <v>0</v>
      </c>
      <c r="D104">
        <v>489.52</v>
      </c>
      <c r="E104">
        <f t="shared" si="6"/>
        <v>489.36500000000001</v>
      </c>
      <c r="F104">
        <v>489.54500000000002</v>
      </c>
      <c r="G104">
        <f t="shared" si="8"/>
        <v>0</v>
      </c>
      <c r="H104">
        <v>1.82</v>
      </c>
      <c r="I104">
        <f t="shared" si="9"/>
        <v>0</v>
      </c>
      <c r="J104">
        <f t="shared" si="10"/>
        <v>0</v>
      </c>
      <c r="K104">
        <f t="shared" si="11"/>
        <v>0</v>
      </c>
    </row>
    <row r="105" spans="1:11" x14ac:dyDescent="0.4">
      <c r="A105" s="19">
        <v>45839.041666666664</v>
      </c>
      <c r="B105" s="20">
        <f t="shared" si="7"/>
        <v>4.1666666664241347E-2</v>
      </c>
      <c r="C105">
        <v>0</v>
      </c>
      <c r="D105">
        <v>489.52699999999999</v>
      </c>
      <c r="E105">
        <f t="shared" si="6"/>
        <v>489.37200000000001</v>
      </c>
      <c r="F105">
        <v>489.54500000000002</v>
      </c>
      <c r="G105">
        <f t="shared" si="8"/>
        <v>0</v>
      </c>
      <c r="H105">
        <v>1.82</v>
      </c>
      <c r="I105">
        <f t="shared" si="9"/>
        <v>0</v>
      </c>
      <c r="J105">
        <f t="shared" si="10"/>
        <v>0</v>
      </c>
      <c r="K105">
        <f t="shared" si="11"/>
        <v>0</v>
      </c>
    </row>
    <row r="106" spans="1:11" x14ac:dyDescent="0.4">
      <c r="A106" s="19">
        <v>45839.083333333336</v>
      </c>
      <c r="B106" s="20">
        <f t="shared" si="7"/>
        <v>8.3333333335758653E-2</v>
      </c>
      <c r="C106">
        <v>0</v>
      </c>
      <c r="D106">
        <v>489.52699999999999</v>
      </c>
      <c r="E106">
        <f t="shared" si="6"/>
        <v>489.37200000000001</v>
      </c>
      <c r="F106">
        <v>489.54500000000002</v>
      </c>
      <c r="G106">
        <f t="shared" si="8"/>
        <v>0</v>
      </c>
      <c r="H106">
        <v>1.82</v>
      </c>
      <c r="I106">
        <f t="shared" si="9"/>
        <v>0</v>
      </c>
      <c r="J106">
        <f t="shared" si="10"/>
        <v>0</v>
      </c>
      <c r="K106">
        <f t="shared" si="11"/>
        <v>0</v>
      </c>
    </row>
    <row r="107" spans="1:11" x14ac:dyDescent="0.4">
      <c r="A107" s="19">
        <v>45839.125</v>
      </c>
      <c r="B107" s="20">
        <f t="shared" si="7"/>
        <v>0.125</v>
      </c>
      <c r="C107">
        <v>0</v>
      </c>
      <c r="D107">
        <v>489.52699999999999</v>
      </c>
      <c r="E107">
        <f t="shared" si="6"/>
        <v>489.37200000000001</v>
      </c>
      <c r="F107">
        <v>489.54500000000002</v>
      </c>
      <c r="G107">
        <f t="shared" si="8"/>
        <v>0</v>
      </c>
      <c r="H107">
        <v>1.82</v>
      </c>
      <c r="I107">
        <f t="shared" si="9"/>
        <v>0</v>
      </c>
      <c r="J107">
        <f t="shared" si="10"/>
        <v>0</v>
      </c>
      <c r="K107">
        <f t="shared" si="11"/>
        <v>0</v>
      </c>
    </row>
    <row r="108" spans="1:11" x14ac:dyDescent="0.4">
      <c r="A108" s="19">
        <v>45839.166666666664</v>
      </c>
      <c r="B108" s="20">
        <f t="shared" si="7"/>
        <v>0.16666666666424135</v>
      </c>
      <c r="C108">
        <v>0</v>
      </c>
      <c r="D108">
        <v>489.52699999999999</v>
      </c>
      <c r="E108">
        <f t="shared" si="6"/>
        <v>489.37200000000001</v>
      </c>
      <c r="F108">
        <v>489.54500000000002</v>
      </c>
      <c r="G108">
        <f t="shared" si="8"/>
        <v>0</v>
      </c>
      <c r="H108">
        <v>1.82</v>
      </c>
      <c r="I108">
        <f t="shared" si="9"/>
        <v>0</v>
      </c>
      <c r="J108">
        <f t="shared" si="10"/>
        <v>0</v>
      </c>
      <c r="K108">
        <f t="shared" si="11"/>
        <v>0</v>
      </c>
    </row>
    <row r="109" spans="1:11" x14ac:dyDescent="0.4">
      <c r="A109" s="19">
        <v>45839.208333333336</v>
      </c>
      <c r="B109" s="20">
        <f t="shared" si="7"/>
        <v>0.20833333333575865</v>
      </c>
      <c r="C109">
        <v>0</v>
      </c>
      <c r="D109">
        <v>489.52699999999999</v>
      </c>
      <c r="E109">
        <f t="shared" si="6"/>
        <v>489.37200000000001</v>
      </c>
      <c r="F109">
        <v>489.54500000000002</v>
      </c>
      <c r="G109">
        <f t="shared" si="8"/>
        <v>0</v>
      </c>
      <c r="H109">
        <v>1.82</v>
      </c>
      <c r="I109">
        <f t="shared" si="9"/>
        <v>0</v>
      </c>
      <c r="J109">
        <f t="shared" si="10"/>
        <v>0</v>
      </c>
      <c r="K109">
        <f t="shared" si="11"/>
        <v>0</v>
      </c>
    </row>
    <row r="110" spans="1:11" x14ac:dyDescent="0.4">
      <c r="A110" s="19">
        <v>45839.25</v>
      </c>
      <c r="B110" s="20">
        <f t="shared" si="7"/>
        <v>0.25</v>
      </c>
      <c r="C110">
        <v>0</v>
      </c>
      <c r="D110">
        <v>489.52699999999999</v>
      </c>
      <c r="E110">
        <f t="shared" si="6"/>
        <v>489.37200000000001</v>
      </c>
      <c r="F110">
        <v>489.54500000000002</v>
      </c>
      <c r="G110">
        <f t="shared" si="8"/>
        <v>0</v>
      </c>
      <c r="H110">
        <v>1.82</v>
      </c>
      <c r="I110">
        <f t="shared" si="9"/>
        <v>0</v>
      </c>
      <c r="J110">
        <f t="shared" si="10"/>
        <v>0</v>
      </c>
      <c r="K110">
        <f t="shared" si="11"/>
        <v>0</v>
      </c>
    </row>
    <row r="111" spans="1:11" x14ac:dyDescent="0.4">
      <c r="A111" s="19">
        <v>45839.291666666664</v>
      </c>
      <c r="B111" s="20">
        <f t="shared" si="7"/>
        <v>0.29166666666424135</v>
      </c>
      <c r="C111">
        <v>0</v>
      </c>
      <c r="D111">
        <v>489.52699999999999</v>
      </c>
      <c r="E111">
        <f t="shared" si="6"/>
        <v>489.37200000000001</v>
      </c>
      <c r="F111">
        <v>489.54500000000002</v>
      </c>
      <c r="G111">
        <f t="shared" si="8"/>
        <v>0</v>
      </c>
      <c r="H111">
        <v>1.82</v>
      </c>
      <c r="I111">
        <f t="shared" si="9"/>
        <v>0</v>
      </c>
      <c r="J111">
        <f t="shared" si="10"/>
        <v>0</v>
      </c>
      <c r="K111">
        <f t="shared" si="11"/>
        <v>0</v>
      </c>
    </row>
    <row r="112" spans="1:11" x14ac:dyDescent="0.4">
      <c r="A112" s="19">
        <v>45839.333333333336</v>
      </c>
      <c r="B112" s="20">
        <f t="shared" si="7"/>
        <v>0.33333333333575865</v>
      </c>
      <c r="C112">
        <v>0</v>
      </c>
      <c r="D112">
        <v>489.52600000000001</v>
      </c>
      <c r="E112">
        <f t="shared" si="6"/>
        <v>489.37100000000004</v>
      </c>
      <c r="F112">
        <v>489.54500000000002</v>
      </c>
      <c r="G112">
        <f t="shared" si="8"/>
        <v>0</v>
      </c>
      <c r="H112">
        <v>1.82</v>
      </c>
      <c r="I112">
        <f t="shared" si="9"/>
        <v>0</v>
      </c>
      <c r="J112">
        <f t="shared" si="10"/>
        <v>0</v>
      </c>
      <c r="K112">
        <f t="shared" si="11"/>
        <v>0</v>
      </c>
    </row>
    <row r="113" spans="1:11" x14ac:dyDescent="0.4">
      <c r="A113" s="19">
        <v>45839.375</v>
      </c>
      <c r="B113" s="20">
        <f t="shared" si="7"/>
        <v>0.375</v>
      </c>
      <c r="C113">
        <v>0</v>
      </c>
      <c r="D113">
        <v>489.52600000000001</v>
      </c>
      <c r="E113">
        <f t="shared" si="6"/>
        <v>489.37100000000004</v>
      </c>
      <c r="F113">
        <v>489.54500000000002</v>
      </c>
      <c r="G113">
        <f t="shared" si="8"/>
        <v>0</v>
      </c>
      <c r="H113">
        <v>1.82</v>
      </c>
      <c r="I113">
        <f t="shared" si="9"/>
        <v>0</v>
      </c>
      <c r="J113">
        <f t="shared" si="10"/>
        <v>0</v>
      </c>
      <c r="K113">
        <f t="shared" si="11"/>
        <v>0</v>
      </c>
    </row>
    <row r="114" spans="1:11" x14ac:dyDescent="0.4">
      <c r="A114" s="19">
        <v>45839.416666666664</v>
      </c>
      <c r="B114" s="20">
        <f t="shared" si="7"/>
        <v>0.41666666666424135</v>
      </c>
      <c r="C114">
        <v>0</v>
      </c>
      <c r="D114">
        <v>489.52600000000001</v>
      </c>
      <c r="E114">
        <f t="shared" si="6"/>
        <v>489.37100000000004</v>
      </c>
      <c r="F114">
        <v>489.54500000000002</v>
      </c>
      <c r="G114">
        <f t="shared" si="8"/>
        <v>0</v>
      </c>
      <c r="H114">
        <v>1.82</v>
      </c>
      <c r="I114">
        <f t="shared" si="9"/>
        <v>0</v>
      </c>
      <c r="J114">
        <f t="shared" si="10"/>
        <v>0</v>
      </c>
      <c r="K114">
        <f t="shared" si="11"/>
        <v>0</v>
      </c>
    </row>
    <row r="115" spans="1:11" x14ac:dyDescent="0.4">
      <c r="A115" s="19">
        <v>45839.458333333336</v>
      </c>
      <c r="B115" s="20">
        <f t="shared" si="7"/>
        <v>0.45833333333575865</v>
      </c>
      <c r="C115">
        <v>0</v>
      </c>
      <c r="D115">
        <v>489.52600000000001</v>
      </c>
      <c r="E115">
        <f t="shared" si="6"/>
        <v>489.37100000000004</v>
      </c>
      <c r="F115">
        <v>489.54500000000002</v>
      </c>
      <c r="G115">
        <f t="shared" si="8"/>
        <v>0</v>
      </c>
      <c r="H115">
        <v>1.82</v>
      </c>
      <c r="I115">
        <f t="shared" si="9"/>
        <v>0</v>
      </c>
      <c r="J115">
        <f t="shared" si="10"/>
        <v>0</v>
      </c>
      <c r="K115">
        <f t="shared" si="11"/>
        <v>0</v>
      </c>
    </row>
    <row r="116" spans="1:11" x14ac:dyDescent="0.4">
      <c r="A116" s="19">
        <v>45839.5</v>
      </c>
      <c r="B116" s="20">
        <f t="shared" si="7"/>
        <v>0.5</v>
      </c>
      <c r="C116">
        <v>0</v>
      </c>
      <c r="D116">
        <v>489.52600000000001</v>
      </c>
      <c r="E116">
        <f t="shared" si="6"/>
        <v>489.37100000000004</v>
      </c>
      <c r="F116">
        <v>489.54500000000002</v>
      </c>
      <c r="G116">
        <f t="shared" si="8"/>
        <v>0</v>
      </c>
      <c r="H116">
        <v>1.82</v>
      </c>
      <c r="I116">
        <f t="shared" si="9"/>
        <v>0</v>
      </c>
      <c r="J116">
        <f t="shared" si="10"/>
        <v>0</v>
      </c>
      <c r="K116">
        <f t="shared" si="11"/>
        <v>0</v>
      </c>
    </row>
    <row r="117" spans="1:11" x14ac:dyDescent="0.4">
      <c r="A117" s="19">
        <v>45839.541666666664</v>
      </c>
      <c r="B117" s="20">
        <f t="shared" si="7"/>
        <v>0.54166666666424135</v>
      </c>
      <c r="C117">
        <v>0</v>
      </c>
      <c r="D117">
        <v>489.52600000000001</v>
      </c>
      <c r="E117">
        <f t="shared" si="6"/>
        <v>489.37100000000004</v>
      </c>
      <c r="F117">
        <v>489.54500000000002</v>
      </c>
      <c r="G117">
        <f t="shared" si="8"/>
        <v>0</v>
      </c>
      <c r="H117">
        <v>1.82</v>
      </c>
      <c r="I117">
        <f t="shared" si="9"/>
        <v>0</v>
      </c>
      <c r="J117">
        <f t="shared" si="10"/>
        <v>0</v>
      </c>
      <c r="K117">
        <f t="shared" si="11"/>
        <v>0</v>
      </c>
    </row>
    <row r="118" spans="1:11" x14ac:dyDescent="0.4">
      <c r="A118" s="19">
        <v>45839.583333333336</v>
      </c>
      <c r="B118" s="20">
        <f t="shared" si="7"/>
        <v>0.58333333333575865</v>
      </c>
      <c r="C118">
        <v>0</v>
      </c>
      <c r="D118">
        <v>489.52600000000001</v>
      </c>
      <c r="E118">
        <f t="shared" si="6"/>
        <v>489.37100000000004</v>
      </c>
      <c r="F118">
        <v>489.54500000000002</v>
      </c>
      <c r="G118">
        <f t="shared" si="8"/>
        <v>0</v>
      </c>
      <c r="H118">
        <v>1.82</v>
      </c>
      <c r="I118">
        <f t="shared" si="9"/>
        <v>0</v>
      </c>
      <c r="J118">
        <f t="shared" si="10"/>
        <v>0</v>
      </c>
      <c r="K118">
        <f t="shared" si="11"/>
        <v>0</v>
      </c>
    </row>
    <row r="119" spans="1:11" x14ac:dyDescent="0.4">
      <c r="A119" s="19">
        <v>45839.625</v>
      </c>
      <c r="B119" s="20">
        <f t="shared" si="7"/>
        <v>0.625</v>
      </c>
      <c r="C119">
        <v>0</v>
      </c>
      <c r="D119">
        <v>489.52600000000001</v>
      </c>
      <c r="E119">
        <f t="shared" si="6"/>
        <v>489.37100000000004</v>
      </c>
      <c r="F119">
        <v>489.54500000000002</v>
      </c>
      <c r="G119">
        <f t="shared" si="8"/>
        <v>0</v>
      </c>
      <c r="H119">
        <v>1.82</v>
      </c>
      <c r="I119">
        <f t="shared" si="9"/>
        <v>0</v>
      </c>
      <c r="J119">
        <f t="shared" si="10"/>
        <v>0</v>
      </c>
      <c r="K119">
        <f t="shared" si="11"/>
        <v>0</v>
      </c>
    </row>
    <row r="120" spans="1:11" x14ac:dyDescent="0.4">
      <c r="A120" s="19">
        <v>45839.666666666664</v>
      </c>
      <c r="B120" s="20">
        <f t="shared" si="7"/>
        <v>0.66666666666424135</v>
      </c>
      <c r="C120">
        <v>2.8</v>
      </c>
      <c r="D120">
        <v>489.52600000000001</v>
      </c>
      <c r="E120">
        <f t="shared" si="6"/>
        <v>489.37100000000004</v>
      </c>
      <c r="F120">
        <v>489.54500000000002</v>
      </c>
      <c r="G120">
        <f t="shared" si="8"/>
        <v>0</v>
      </c>
      <c r="H120">
        <v>1.82</v>
      </c>
      <c r="I120">
        <f t="shared" si="9"/>
        <v>0</v>
      </c>
      <c r="J120">
        <f t="shared" si="10"/>
        <v>0</v>
      </c>
      <c r="K120">
        <f t="shared" si="11"/>
        <v>0</v>
      </c>
    </row>
    <row r="121" spans="1:11" x14ac:dyDescent="0.4">
      <c r="A121" s="19">
        <v>45839.708333333336</v>
      </c>
      <c r="B121" s="20">
        <f t="shared" si="7"/>
        <v>0.70833333333575865</v>
      </c>
      <c r="C121">
        <v>0.8</v>
      </c>
      <c r="D121">
        <v>489.52699999999999</v>
      </c>
      <c r="E121">
        <f t="shared" si="6"/>
        <v>489.37200000000001</v>
      </c>
      <c r="F121">
        <v>489.54500000000002</v>
      </c>
      <c r="G121">
        <f t="shared" si="8"/>
        <v>0</v>
      </c>
      <c r="H121">
        <v>1.82</v>
      </c>
      <c r="I121">
        <f t="shared" si="9"/>
        <v>0</v>
      </c>
      <c r="J121">
        <f t="shared" si="10"/>
        <v>0</v>
      </c>
      <c r="K121">
        <f t="shared" si="11"/>
        <v>0</v>
      </c>
    </row>
    <row r="122" spans="1:11" x14ac:dyDescent="0.4">
      <c r="A122" s="19">
        <v>45839.75</v>
      </c>
      <c r="B122" s="20">
        <f t="shared" si="7"/>
        <v>0.75</v>
      </c>
      <c r="C122">
        <v>0</v>
      </c>
      <c r="D122">
        <v>489.52699999999999</v>
      </c>
      <c r="E122">
        <f t="shared" si="6"/>
        <v>489.37200000000001</v>
      </c>
      <c r="F122">
        <v>489.54500000000002</v>
      </c>
      <c r="G122">
        <f t="shared" si="8"/>
        <v>0</v>
      </c>
      <c r="H122">
        <v>1.82</v>
      </c>
      <c r="I122">
        <f t="shared" si="9"/>
        <v>0</v>
      </c>
      <c r="J122">
        <f t="shared" si="10"/>
        <v>0</v>
      </c>
      <c r="K122">
        <f t="shared" si="11"/>
        <v>0</v>
      </c>
    </row>
    <row r="123" spans="1:11" x14ac:dyDescent="0.4">
      <c r="A123" s="19">
        <v>45839.791666666664</v>
      </c>
      <c r="B123" s="20">
        <f t="shared" si="7"/>
        <v>0.79166666666424135</v>
      </c>
      <c r="C123">
        <v>0</v>
      </c>
      <c r="D123">
        <v>489.52699999999999</v>
      </c>
      <c r="E123">
        <f t="shared" si="6"/>
        <v>489.37200000000001</v>
      </c>
      <c r="F123">
        <v>489.54500000000002</v>
      </c>
      <c r="G123">
        <f t="shared" si="8"/>
        <v>0</v>
      </c>
      <c r="H123">
        <v>1.82</v>
      </c>
      <c r="I123">
        <f t="shared" si="9"/>
        <v>0</v>
      </c>
      <c r="J123">
        <f t="shared" si="10"/>
        <v>0</v>
      </c>
      <c r="K123">
        <f t="shared" si="11"/>
        <v>0</v>
      </c>
    </row>
    <row r="124" spans="1:11" x14ac:dyDescent="0.4">
      <c r="A124" s="19">
        <v>45839.833333333336</v>
      </c>
      <c r="B124" s="20">
        <f t="shared" si="7"/>
        <v>0.83333333333575865</v>
      </c>
      <c r="C124">
        <v>0</v>
      </c>
      <c r="D124">
        <v>489.53300000000002</v>
      </c>
      <c r="E124">
        <f t="shared" si="6"/>
        <v>489.37800000000004</v>
      </c>
      <c r="F124">
        <v>489.54500000000002</v>
      </c>
      <c r="G124">
        <f t="shared" si="8"/>
        <v>0</v>
      </c>
      <c r="H124">
        <v>1.82</v>
      </c>
      <c r="I124">
        <f t="shared" si="9"/>
        <v>0</v>
      </c>
      <c r="J124">
        <f t="shared" si="10"/>
        <v>0</v>
      </c>
      <c r="K124">
        <f t="shared" si="11"/>
        <v>0</v>
      </c>
    </row>
    <row r="125" spans="1:11" x14ac:dyDescent="0.4">
      <c r="A125" s="19">
        <v>45839.875</v>
      </c>
      <c r="B125" s="20">
        <f t="shared" si="7"/>
        <v>0.875</v>
      </c>
      <c r="C125">
        <v>0</v>
      </c>
      <c r="D125">
        <v>489.52699999999999</v>
      </c>
      <c r="E125">
        <f t="shared" si="6"/>
        <v>489.37200000000001</v>
      </c>
      <c r="F125">
        <v>489.54500000000002</v>
      </c>
      <c r="G125">
        <f t="shared" si="8"/>
        <v>0</v>
      </c>
      <c r="H125">
        <v>1.82</v>
      </c>
      <c r="I125">
        <f t="shared" si="9"/>
        <v>0</v>
      </c>
      <c r="J125">
        <f t="shared" si="10"/>
        <v>0</v>
      </c>
      <c r="K125">
        <f t="shared" si="11"/>
        <v>0</v>
      </c>
    </row>
    <row r="126" spans="1:11" x14ac:dyDescent="0.4">
      <c r="A126" s="19">
        <v>45839.916666666664</v>
      </c>
      <c r="B126" s="20">
        <f t="shared" si="7"/>
        <v>0.91666666666424135</v>
      </c>
      <c r="C126">
        <v>0</v>
      </c>
      <c r="D126">
        <v>489.52699999999999</v>
      </c>
      <c r="E126">
        <f t="shared" si="6"/>
        <v>489.37200000000001</v>
      </c>
      <c r="F126">
        <v>489.54500000000002</v>
      </c>
      <c r="G126">
        <f t="shared" si="8"/>
        <v>0</v>
      </c>
      <c r="H126">
        <v>1.82</v>
      </c>
      <c r="I126">
        <f t="shared" si="9"/>
        <v>0</v>
      </c>
      <c r="J126">
        <f t="shared" si="10"/>
        <v>0</v>
      </c>
      <c r="K126">
        <f t="shared" si="11"/>
        <v>0</v>
      </c>
    </row>
    <row r="127" spans="1:11" x14ac:dyDescent="0.4">
      <c r="A127" s="19">
        <v>45839.958333333336</v>
      </c>
      <c r="B127" s="20">
        <f t="shared" si="7"/>
        <v>0.95833333333575865</v>
      </c>
      <c r="C127">
        <v>0</v>
      </c>
      <c r="D127">
        <v>489.52699999999999</v>
      </c>
      <c r="E127">
        <f t="shared" si="6"/>
        <v>489.37200000000001</v>
      </c>
      <c r="F127">
        <v>489.54500000000002</v>
      </c>
      <c r="G127">
        <f t="shared" si="8"/>
        <v>0</v>
      </c>
      <c r="H127">
        <v>1.82</v>
      </c>
      <c r="I127">
        <f t="shared" si="9"/>
        <v>0</v>
      </c>
      <c r="J127">
        <f t="shared" si="10"/>
        <v>0</v>
      </c>
      <c r="K127">
        <f t="shared" si="11"/>
        <v>0</v>
      </c>
    </row>
    <row r="128" spans="1:11" x14ac:dyDescent="0.4">
      <c r="A128" s="19">
        <v>45840</v>
      </c>
      <c r="B128" s="20">
        <f t="shared" si="7"/>
        <v>0</v>
      </c>
      <c r="C128">
        <v>0</v>
      </c>
      <c r="D128">
        <v>489.52699999999999</v>
      </c>
      <c r="E128">
        <f t="shared" si="6"/>
        <v>489.37200000000001</v>
      </c>
      <c r="F128">
        <v>489.54500000000002</v>
      </c>
      <c r="G128">
        <f t="shared" si="8"/>
        <v>0</v>
      </c>
      <c r="H128">
        <v>1.82</v>
      </c>
      <c r="I128">
        <f t="shared" si="9"/>
        <v>0</v>
      </c>
      <c r="J128">
        <f t="shared" si="10"/>
        <v>0</v>
      </c>
      <c r="K128">
        <f t="shared" si="11"/>
        <v>0</v>
      </c>
    </row>
    <row r="129" spans="1:11" x14ac:dyDescent="0.4">
      <c r="A129" s="19">
        <v>45840.041666666664</v>
      </c>
      <c r="B129" s="20">
        <f t="shared" si="7"/>
        <v>4.1666666664241347E-2</v>
      </c>
      <c r="C129">
        <v>0</v>
      </c>
      <c r="D129">
        <v>489.53300000000002</v>
      </c>
      <c r="E129">
        <f t="shared" si="6"/>
        <v>489.37800000000004</v>
      </c>
      <c r="F129">
        <v>489.54500000000002</v>
      </c>
      <c r="G129">
        <f t="shared" si="8"/>
        <v>0</v>
      </c>
      <c r="H129">
        <v>1.82</v>
      </c>
      <c r="I129">
        <f t="shared" si="9"/>
        <v>0</v>
      </c>
      <c r="J129">
        <f t="shared" si="10"/>
        <v>0</v>
      </c>
      <c r="K129">
        <f t="shared" si="11"/>
        <v>0</v>
      </c>
    </row>
    <row r="130" spans="1:11" x14ac:dyDescent="0.4">
      <c r="A130" s="19">
        <v>45840.083333333336</v>
      </c>
      <c r="B130" s="20">
        <f t="shared" si="7"/>
        <v>8.3333333335758653E-2</v>
      </c>
      <c r="C130">
        <v>0</v>
      </c>
      <c r="D130">
        <v>489.52699999999999</v>
      </c>
      <c r="E130">
        <f t="shared" ref="E130:E193" si="12">D130-0.155</f>
        <v>489.37200000000001</v>
      </c>
      <c r="F130">
        <v>489.54500000000002</v>
      </c>
      <c r="G130">
        <f t="shared" si="8"/>
        <v>0</v>
      </c>
      <c r="H130">
        <v>1.82</v>
      </c>
      <c r="I130">
        <f t="shared" si="9"/>
        <v>0</v>
      </c>
      <c r="J130">
        <f t="shared" si="10"/>
        <v>0</v>
      </c>
      <c r="K130">
        <f t="shared" si="11"/>
        <v>0</v>
      </c>
    </row>
    <row r="131" spans="1:11" x14ac:dyDescent="0.4">
      <c r="A131" s="19">
        <v>45840.125</v>
      </c>
      <c r="B131" s="20">
        <f t="shared" ref="B131:B194" si="13">MOD(A131,1)</f>
        <v>0.125</v>
      </c>
      <c r="C131">
        <v>0</v>
      </c>
      <c r="D131">
        <v>489.53300000000002</v>
      </c>
      <c r="E131">
        <f t="shared" si="12"/>
        <v>489.37800000000004</v>
      </c>
      <c r="F131">
        <v>489.54500000000002</v>
      </c>
      <c r="G131">
        <f t="shared" ref="G131:G194" si="14">IF(E131 - F131 &lt; 0, 0, E131 - F131)</f>
        <v>0</v>
      </c>
      <c r="H131">
        <v>1.82</v>
      </c>
      <c r="I131">
        <f t="shared" ref="I131:I194" si="15">1.82*30*(G131^1.5)</f>
        <v>0</v>
      </c>
      <c r="J131">
        <f t="shared" ref="J131:J194" si="16">I131*60</f>
        <v>0</v>
      </c>
      <c r="K131">
        <f t="shared" ref="K131:K194" si="17">(I131*86400)/24</f>
        <v>0</v>
      </c>
    </row>
    <row r="132" spans="1:11" x14ac:dyDescent="0.4">
      <c r="A132" s="19">
        <v>45840.166666666664</v>
      </c>
      <c r="B132" s="20">
        <f t="shared" si="13"/>
        <v>0.16666666666424135</v>
      </c>
      <c r="C132">
        <v>0</v>
      </c>
      <c r="D132">
        <v>489.52699999999999</v>
      </c>
      <c r="E132">
        <f t="shared" si="12"/>
        <v>489.37200000000001</v>
      </c>
      <c r="F132">
        <v>489.54500000000002</v>
      </c>
      <c r="G132">
        <f t="shared" si="14"/>
        <v>0</v>
      </c>
      <c r="H132">
        <v>1.82</v>
      </c>
      <c r="I132">
        <f t="shared" si="15"/>
        <v>0</v>
      </c>
      <c r="J132">
        <f t="shared" si="16"/>
        <v>0</v>
      </c>
      <c r="K132">
        <f t="shared" si="17"/>
        <v>0</v>
      </c>
    </row>
    <row r="133" spans="1:11" x14ac:dyDescent="0.4">
      <c r="A133" s="19">
        <v>45840.208333333336</v>
      </c>
      <c r="B133" s="20">
        <f t="shared" si="13"/>
        <v>0.20833333333575865</v>
      </c>
      <c r="C133">
        <v>0</v>
      </c>
      <c r="D133">
        <v>489.52699999999999</v>
      </c>
      <c r="E133">
        <f t="shared" si="12"/>
        <v>489.37200000000001</v>
      </c>
      <c r="F133">
        <v>489.54500000000002</v>
      </c>
      <c r="G133">
        <f t="shared" si="14"/>
        <v>0</v>
      </c>
      <c r="H133">
        <v>1.82</v>
      </c>
      <c r="I133">
        <f t="shared" si="15"/>
        <v>0</v>
      </c>
      <c r="J133">
        <f t="shared" si="16"/>
        <v>0</v>
      </c>
      <c r="K133">
        <f t="shared" si="17"/>
        <v>0</v>
      </c>
    </row>
    <row r="134" spans="1:11" x14ac:dyDescent="0.4">
      <c r="A134" s="19">
        <v>45840.25</v>
      </c>
      <c r="B134" s="20">
        <f t="shared" si="13"/>
        <v>0.25</v>
      </c>
      <c r="C134">
        <v>0</v>
      </c>
      <c r="D134">
        <v>489.52699999999999</v>
      </c>
      <c r="E134">
        <f t="shared" si="12"/>
        <v>489.37200000000001</v>
      </c>
      <c r="F134">
        <v>489.54500000000002</v>
      </c>
      <c r="G134">
        <f t="shared" si="14"/>
        <v>0</v>
      </c>
      <c r="H134">
        <v>1.82</v>
      </c>
      <c r="I134">
        <f t="shared" si="15"/>
        <v>0</v>
      </c>
      <c r="J134">
        <f t="shared" si="16"/>
        <v>0</v>
      </c>
      <c r="K134">
        <f t="shared" si="17"/>
        <v>0</v>
      </c>
    </row>
    <row r="135" spans="1:11" x14ac:dyDescent="0.4">
      <c r="A135" s="19">
        <v>45840.291666666664</v>
      </c>
      <c r="B135" s="20">
        <f t="shared" si="13"/>
        <v>0.29166666666424135</v>
      </c>
      <c r="C135">
        <v>0</v>
      </c>
      <c r="D135">
        <v>489.53300000000002</v>
      </c>
      <c r="E135">
        <f t="shared" si="12"/>
        <v>489.37800000000004</v>
      </c>
      <c r="F135">
        <v>489.54500000000002</v>
      </c>
      <c r="G135">
        <f t="shared" si="14"/>
        <v>0</v>
      </c>
      <c r="H135">
        <v>1.82</v>
      </c>
      <c r="I135">
        <f t="shared" si="15"/>
        <v>0</v>
      </c>
      <c r="J135">
        <f t="shared" si="16"/>
        <v>0</v>
      </c>
      <c r="K135">
        <f t="shared" si="17"/>
        <v>0</v>
      </c>
    </row>
    <row r="136" spans="1:11" x14ac:dyDescent="0.4">
      <c r="A136" s="19">
        <v>45840.333333333336</v>
      </c>
      <c r="B136" s="20">
        <f t="shared" si="13"/>
        <v>0.33333333333575865</v>
      </c>
      <c r="C136">
        <v>0</v>
      </c>
      <c r="D136">
        <v>489.53300000000002</v>
      </c>
      <c r="E136">
        <f t="shared" si="12"/>
        <v>489.37800000000004</v>
      </c>
      <c r="F136">
        <v>489.54500000000002</v>
      </c>
      <c r="G136">
        <f t="shared" si="14"/>
        <v>0</v>
      </c>
      <c r="H136">
        <v>1.82</v>
      </c>
      <c r="I136">
        <f t="shared" si="15"/>
        <v>0</v>
      </c>
      <c r="J136">
        <f t="shared" si="16"/>
        <v>0</v>
      </c>
      <c r="K136">
        <f t="shared" si="17"/>
        <v>0</v>
      </c>
    </row>
    <row r="137" spans="1:11" x14ac:dyDescent="0.4">
      <c r="A137" s="19">
        <v>45840.375</v>
      </c>
      <c r="B137" s="20">
        <f t="shared" si="13"/>
        <v>0.375</v>
      </c>
      <c r="C137">
        <v>0</v>
      </c>
      <c r="D137">
        <v>489.53300000000002</v>
      </c>
      <c r="E137">
        <f t="shared" si="12"/>
        <v>489.37800000000004</v>
      </c>
      <c r="F137">
        <v>489.54500000000002</v>
      </c>
      <c r="G137">
        <f t="shared" si="14"/>
        <v>0</v>
      </c>
      <c r="H137">
        <v>1.82</v>
      </c>
      <c r="I137">
        <f t="shared" si="15"/>
        <v>0</v>
      </c>
      <c r="J137">
        <f t="shared" si="16"/>
        <v>0</v>
      </c>
      <c r="K137">
        <f t="shared" si="17"/>
        <v>0</v>
      </c>
    </row>
    <row r="138" spans="1:11" x14ac:dyDescent="0.4">
      <c r="A138" s="19">
        <v>45840.416666666664</v>
      </c>
      <c r="B138" s="20">
        <f t="shared" si="13"/>
        <v>0.41666666666424135</v>
      </c>
      <c r="C138">
        <v>0</v>
      </c>
      <c r="D138">
        <v>489.52600000000001</v>
      </c>
      <c r="E138">
        <f t="shared" si="12"/>
        <v>489.37100000000004</v>
      </c>
      <c r="F138">
        <v>489.54500000000002</v>
      </c>
      <c r="G138">
        <f t="shared" si="14"/>
        <v>0</v>
      </c>
      <c r="H138">
        <v>1.82</v>
      </c>
      <c r="I138">
        <f t="shared" si="15"/>
        <v>0</v>
      </c>
      <c r="J138">
        <f t="shared" si="16"/>
        <v>0</v>
      </c>
      <c r="K138">
        <f t="shared" si="17"/>
        <v>0</v>
      </c>
    </row>
    <row r="139" spans="1:11" x14ac:dyDescent="0.4">
      <c r="A139" s="19">
        <v>45840.458333333336</v>
      </c>
      <c r="B139" s="20">
        <f t="shared" si="13"/>
        <v>0.45833333333575865</v>
      </c>
      <c r="C139">
        <v>0</v>
      </c>
      <c r="D139">
        <v>489.53300000000002</v>
      </c>
      <c r="E139">
        <f t="shared" si="12"/>
        <v>489.37800000000004</v>
      </c>
      <c r="F139">
        <v>489.54500000000002</v>
      </c>
      <c r="G139">
        <f t="shared" si="14"/>
        <v>0</v>
      </c>
      <c r="H139">
        <v>1.82</v>
      </c>
      <c r="I139">
        <f t="shared" si="15"/>
        <v>0</v>
      </c>
      <c r="J139">
        <f t="shared" si="16"/>
        <v>0</v>
      </c>
      <c r="K139">
        <f t="shared" si="17"/>
        <v>0</v>
      </c>
    </row>
    <row r="140" spans="1:11" x14ac:dyDescent="0.4">
      <c r="A140" s="19">
        <v>45840.5</v>
      </c>
      <c r="B140" s="20">
        <f t="shared" si="13"/>
        <v>0.5</v>
      </c>
      <c r="C140">
        <v>0</v>
      </c>
      <c r="D140">
        <v>489.53300000000002</v>
      </c>
      <c r="E140">
        <f t="shared" si="12"/>
        <v>489.37800000000004</v>
      </c>
      <c r="F140">
        <v>489.54500000000002</v>
      </c>
      <c r="G140">
        <f t="shared" si="14"/>
        <v>0</v>
      </c>
      <c r="H140">
        <v>1.82</v>
      </c>
      <c r="I140">
        <f t="shared" si="15"/>
        <v>0</v>
      </c>
      <c r="J140">
        <f t="shared" si="16"/>
        <v>0</v>
      </c>
      <c r="K140">
        <f t="shared" si="17"/>
        <v>0</v>
      </c>
    </row>
    <row r="141" spans="1:11" x14ac:dyDescent="0.4">
      <c r="A141" s="19">
        <v>45840.541666666664</v>
      </c>
      <c r="B141" s="20">
        <f t="shared" si="13"/>
        <v>0.54166666666424135</v>
      </c>
      <c r="C141">
        <v>0</v>
      </c>
      <c r="D141">
        <v>489.53300000000002</v>
      </c>
      <c r="E141">
        <f t="shared" si="12"/>
        <v>489.37800000000004</v>
      </c>
      <c r="F141">
        <v>489.54500000000002</v>
      </c>
      <c r="G141">
        <f t="shared" si="14"/>
        <v>0</v>
      </c>
      <c r="H141">
        <v>1.82</v>
      </c>
      <c r="I141">
        <f t="shared" si="15"/>
        <v>0</v>
      </c>
      <c r="J141">
        <f t="shared" si="16"/>
        <v>0</v>
      </c>
      <c r="K141">
        <f t="shared" si="17"/>
        <v>0</v>
      </c>
    </row>
    <row r="142" spans="1:11" x14ac:dyDescent="0.4">
      <c r="A142" s="19">
        <v>45840.583333333336</v>
      </c>
      <c r="B142" s="20">
        <f t="shared" si="13"/>
        <v>0.58333333333575865</v>
      </c>
      <c r="C142">
        <v>0</v>
      </c>
      <c r="D142">
        <v>489.53300000000002</v>
      </c>
      <c r="E142">
        <f t="shared" si="12"/>
        <v>489.37800000000004</v>
      </c>
      <c r="F142">
        <v>489.54500000000002</v>
      </c>
      <c r="G142">
        <f t="shared" si="14"/>
        <v>0</v>
      </c>
      <c r="H142">
        <v>1.82</v>
      </c>
      <c r="I142">
        <f t="shared" si="15"/>
        <v>0</v>
      </c>
      <c r="J142">
        <f t="shared" si="16"/>
        <v>0</v>
      </c>
      <c r="K142">
        <f t="shared" si="17"/>
        <v>0</v>
      </c>
    </row>
    <row r="143" spans="1:11" x14ac:dyDescent="0.4">
      <c r="A143" s="19">
        <v>45840.625</v>
      </c>
      <c r="B143" s="20">
        <f t="shared" si="13"/>
        <v>0.625</v>
      </c>
      <c r="C143">
        <v>0</v>
      </c>
      <c r="D143">
        <v>489.52600000000001</v>
      </c>
      <c r="E143">
        <f t="shared" si="12"/>
        <v>489.37100000000004</v>
      </c>
      <c r="F143">
        <v>489.54500000000002</v>
      </c>
      <c r="G143">
        <f t="shared" si="14"/>
        <v>0</v>
      </c>
      <c r="H143">
        <v>1.82</v>
      </c>
      <c r="I143">
        <f t="shared" si="15"/>
        <v>0</v>
      </c>
      <c r="J143">
        <f t="shared" si="16"/>
        <v>0</v>
      </c>
      <c r="K143">
        <f t="shared" si="17"/>
        <v>0</v>
      </c>
    </row>
    <row r="144" spans="1:11" x14ac:dyDescent="0.4">
      <c r="A144" s="19">
        <v>45840.666666666664</v>
      </c>
      <c r="B144" s="20">
        <f t="shared" si="13"/>
        <v>0.66666666666424135</v>
      </c>
      <c r="C144">
        <v>0</v>
      </c>
      <c r="D144">
        <v>489.52699999999999</v>
      </c>
      <c r="E144">
        <f t="shared" si="12"/>
        <v>489.37200000000001</v>
      </c>
      <c r="F144">
        <v>489.54500000000002</v>
      </c>
      <c r="G144">
        <f t="shared" si="14"/>
        <v>0</v>
      </c>
      <c r="H144">
        <v>1.82</v>
      </c>
      <c r="I144">
        <f t="shared" si="15"/>
        <v>0</v>
      </c>
      <c r="J144">
        <f t="shared" si="16"/>
        <v>0</v>
      </c>
      <c r="K144">
        <f t="shared" si="17"/>
        <v>0</v>
      </c>
    </row>
    <row r="145" spans="1:11" x14ac:dyDescent="0.4">
      <c r="A145" s="19">
        <v>45840.708333333336</v>
      </c>
      <c r="B145" s="20">
        <f t="shared" si="13"/>
        <v>0.70833333333575865</v>
      </c>
      <c r="C145">
        <v>0</v>
      </c>
      <c r="D145">
        <v>489.53300000000002</v>
      </c>
      <c r="E145">
        <f t="shared" si="12"/>
        <v>489.37800000000004</v>
      </c>
      <c r="F145">
        <v>489.54500000000002</v>
      </c>
      <c r="G145">
        <f t="shared" si="14"/>
        <v>0</v>
      </c>
      <c r="H145">
        <v>1.82</v>
      </c>
      <c r="I145">
        <f t="shared" si="15"/>
        <v>0</v>
      </c>
      <c r="J145">
        <f t="shared" si="16"/>
        <v>0</v>
      </c>
      <c r="K145">
        <f t="shared" si="17"/>
        <v>0</v>
      </c>
    </row>
    <row r="146" spans="1:11" x14ac:dyDescent="0.4">
      <c r="A146" s="19">
        <v>45840.75</v>
      </c>
      <c r="B146" s="20">
        <f t="shared" si="13"/>
        <v>0.75</v>
      </c>
      <c r="C146">
        <v>0</v>
      </c>
      <c r="D146">
        <v>489.53300000000002</v>
      </c>
      <c r="E146">
        <f t="shared" si="12"/>
        <v>489.37800000000004</v>
      </c>
      <c r="F146">
        <v>489.54500000000002</v>
      </c>
      <c r="G146">
        <f t="shared" si="14"/>
        <v>0</v>
      </c>
      <c r="H146">
        <v>1.82</v>
      </c>
      <c r="I146">
        <f t="shared" si="15"/>
        <v>0</v>
      </c>
      <c r="J146">
        <f t="shared" si="16"/>
        <v>0</v>
      </c>
      <c r="K146">
        <f t="shared" si="17"/>
        <v>0</v>
      </c>
    </row>
    <row r="147" spans="1:11" x14ac:dyDescent="0.4">
      <c r="A147" s="19">
        <v>45840.791666666664</v>
      </c>
      <c r="B147" s="20">
        <f t="shared" si="13"/>
        <v>0.79166666666424135</v>
      </c>
      <c r="C147">
        <v>0</v>
      </c>
      <c r="D147">
        <v>489.53300000000002</v>
      </c>
      <c r="E147">
        <f t="shared" si="12"/>
        <v>489.37800000000004</v>
      </c>
      <c r="F147">
        <v>489.54500000000002</v>
      </c>
      <c r="G147">
        <f t="shared" si="14"/>
        <v>0</v>
      </c>
      <c r="H147">
        <v>1.82</v>
      </c>
      <c r="I147">
        <f t="shared" si="15"/>
        <v>0</v>
      </c>
      <c r="J147">
        <f t="shared" si="16"/>
        <v>0</v>
      </c>
      <c r="K147">
        <f t="shared" si="17"/>
        <v>0</v>
      </c>
    </row>
    <row r="148" spans="1:11" x14ac:dyDescent="0.4">
      <c r="A148" s="19">
        <v>45840.833333333336</v>
      </c>
      <c r="B148" s="20">
        <f t="shared" si="13"/>
        <v>0.83333333333575865</v>
      </c>
      <c r="C148">
        <v>0</v>
      </c>
      <c r="D148">
        <v>489.53300000000002</v>
      </c>
      <c r="E148">
        <f t="shared" si="12"/>
        <v>489.37800000000004</v>
      </c>
      <c r="F148">
        <v>489.54500000000002</v>
      </c>
      <c r="G148">
        <f t="shared" si="14"/>
        <v>0</v>
      </c>
      <c r="H148">
        <v>1.82</v>
      </c>
      <c r="I148">
        <f t="shared" si="15"/>
        <v>0</v>
      </c>
      <c r="J148">
        <f t="shared" si="16"/>
        <v>0</v>
      </c>
      <c r="K148">
        <f t="shared" si="17"/>
        <v>0</v>
      </c>
    </row>
    <row r="149" spans="1:11" x14ac:dyDescent="0.4">
      <c r="A149" s="19">
        <v>45840.875</v>
      </c>
      <c r="B149" s="20">
        <f t="shared" si="13"/>
        <v>0.875</v>
      </c>
      <c r="C149">
        <v>0</v>
      </c>
      <c r="D149">
        <v>489.53300000000002</v>
      </c>
      <c r="E149">
        <f t="shared" si="12"/>
        <v>489.37800000000004</v>
      </c>
      <c r="F149">
        <v>489.54500000000002</v>
      </c>
      <c r="G149">
        <f t="shared" si="14"/>
        <v>0</v>
      </c>
      <c r="H149">
        <v>1.82</v>
      </c>
      <c r="I149">
        <f t="shared" si="15"/>
        <v>0</v>
      </c>
      <c r="J149">
        <f t="shared" si="16"/>
        <v>0</v>
      </c>
      <c r="K149">
        <f t="shared" si="17"/>
        <v>0</v>
      </c>
    </row>
    <row r="150" spans="1:11" x14ac:dyDescent="0.4">
      <c r="A150" s="19">
        <v>45840.916666666664</v>
      </c>
      <c r="B150" s="20">
        <f t="shared" si="13"/>
        <v>0.91666666666424135</v>
      </c>
      <c r="C150">
        <v>0</v>
      </c>
      <c r="D150">
        <v>489.53300000000002</v>
      </c>
      <c r="E150">
        <f t="shared" si="12"/>
        <v>489.37800000000004</v>
      </c>
      <c r="F150">
        <v>489.54500000000002</v>
      </c>
      <c r="G150">
        <f t="shared" si="14"/>
        <v>0</v>
      </c>
      <c r="H150">
        <v>1.82</v>
      </c>
      <c r="I150">
        <f t="shared" si="15"/>
        <v>0</v>
      </c>
      <c r="J150">
        <f t="shared" si="16"/>
        <v>0</v>
      </c>
      <c r="K150">
        <f t="shared" si="17"/>
        <v>0</v>
      </c>
    </row>
    <row r="151" spans="1:11" x14ac:dyDescent="0.4">
      <c r="A151" s="19">
        <v>45840.958333333336</v>
      </c>
      <c r="B151" s="20">
        <f t="shared" si="13"/>
        <v>0.95833333333575865</v>
      </c>
      <c r="C151">
        <v>0</v>
      </c>
      <c r="D151">
        <v>489.52699999999999</v>
      </c>
      <c r="E151">
        <f t="shared" si="12"/>
        <v>489.37200000000001</v>
      </c>
      <c r="F151">
        <v>489.54500000000002</v>
      </c>
      <c r="G151">
        <f t="shared" si="14"/>
        <v>0</v>
      </c>
      <c r="H151">
        <v>1.82</v>
      </c>
      <c r="I151">
        <f t="shared" si="15"/>
        <v>0</v>
      </c>
      <c r="J151">
        <f t="shared" si="16"/>
        <v>0</v>
      </c>
      <c r="K151">
        <f t="shared" si="17"/>
        <v>0</v>
      </c>
    </row>
    <row r="152" spans="1:11" x14ac:dyDescent="0.4">
      <c r="A152" s="19">
        <v>45841</v>
      </c>
      <c r="B152" s="20">
        <f t="shared" si="13"/>
        <v>0</v>
      </c>
      <c r="C152">
        <v>0</v>
      </c>
      <c r="D152">
        <v>489.53300000000002</v>
      </c>
      <c r="E152">
        <f t="shared" si="12"/>
        <v>489.37800000000004</v>
      </c>
      <c r="F152">
        <v>489.54500000000002</v>
      </c>
      <c r="G152">
        <f t="shared" si="14"/>
        <v>0</v>
      </c>
      <c r="H152">
        <v>1.82</v>
      </c>
      <c r="I152">
        <f t="shared" si="15"/>
        <v>0</v>
      </c>
      <c r="J152">
        <f t="shared" si="16"/>
        <v>0</v>
      </c>
      <c r="K152">
        <f t="shared" si="17"/>
        <v>0</v>
      </c>
    </row>
    <row r="153" spans="1:11" x14ac:dyDescent="0.4">
      <c r="A153" s="19">
        <v>45841.041666666664</v>
      </c>
      <c r="B153" s="20">
        <f t="shared" si="13"/>
        <v>4.1666666664241347E-2</v>
      </c>
      <c r="C153">
        <v>0</v>
      </c>
      <c r="D153">
        <v>489.53300000000002</v>
      </c>
      <c r="E153">
        <f t="shared" si="12"/>
        <v>489.37800000000004</v>
      </c>
      <c r="F153">
        <v>489.54500000000002</v>
      </c>
      <c r="G153">
        <f t="shared" si="14"/>
        <v>0</v>
      </c>
      <c r="H153">
        <v>1.82</v>
      </c>
      <c r="I153">
        <f t="shared" si="15"/>
        <v>0</v>
      </c>
      <c r="J153">
        <f t="shared" si="16"/>
        <v>0</v>
      </c>
      <c r="K153">
        <f t="shared" si="17"/>
        <v>0</v>
      </c>
    </row>
    <row r="154" spans="1:11" x14ac:dyDescent="0.4">
      <c r="A154" s="19">
        <v>45841.083333333336</v>
      </c>
      <c r="B154" s="20">
        <f t="shared" si="13"/>
        <v>8.3333333335758653E-2</v>
      </c>
      <c r="C154">
        <v>0</v>
      </c>
      <c r="D154">
        <v>489.53300000000002</v>
      </c>
      <c r="E154">
        <f t="shared" si="12"/>
        <v>489.37800000000004</v>
      </c>
      <c r="F154">
        <v>489.54500000000002</v>
      </c>
      <c r="G154">
        <f t="shared" si="14"/>
        <v>0</v>
      </c>
      <c r="H154">
        <v>1.82</v>
      </c>
      <c r="I154">
        <f t="shared" si="15"/>
        <v>0</v>
      </c>
      <c r="J154">
        <f t="shared" si="16"/>
        <v>0</v>
      </c>
      <c r="K154">
        <f t="shared" si="17"/>
        <v>0</v>
      </c>
    </row>
    <row r="155" spans="1:11" x14ac:dyDescent="0.4">
      <c r="A155" s="19">
        <v>45841.125</v>
      </c>
      <c r="B155" s="20">
        <f t="shared" si="13"/>
        <v>0.125</v>
      </c>
      <c r="C155">
        <v>0</v>
      </c>
      <c r="D155">
        <v>489.53300000000002</v>
      </c>
      <c r="E155">
        <f t="shared" si="12"/>
        <v>489.37800000000004</v>
      </c>
      <c r="F155">
        <v>489.54500000000002</v>
      </c>
      <c r="G155">
        <f t="shared" si="14"/>
        <v>0</v>
      </c>
      <c r="H155">
        <v>1.82</v>
      </c>
      <c r="I155">
        <f t="shared" si="15"/>
        <v>0</v>
      </c>
      <c r="J155">
        <f t="shared" si="16"/>
        <v>0</v>
      </c>
      <c r="K155">
        <f t="shared" si="17"/>
        <v>0</v>
      </c>
    </row>
    <row r="156" spans="1:11" x14ac:dyDescent="0.4">
      <c r="A156" s="19">
        <v>45841.166666666664</v>
      </c>
      <c r="B156" s="20">
        <f t="shared" si="13"/>
        <v>0.16666666666424135</v>
      </c>
      <c r="C156">
        <v>0</v>
      </c>
      <c r="D156">
        <v>489.53300000000002</v>
      </c>
      <c r="E156">
        <f t="shared" si="12"/>
        <v>489.37800000000004</v>
      </c>
      <c r="F156">
        <v>489.54500000000002</v>
      </c>
      <c r="G156">
        <f t="shared" si="14"/>
        <v>0</v>
      </c>
      <c r="H156">
        <v>1.82</v>
      </c>
      <c r="I156">
        <f t="shared" si="15"/>
        <v>0</v>
      </c>
      <c r="J156">
        <f t="shared" si="16"/>
        <v>0</v>
      </c>
      <c r="K156">
        <f t="shared" si="17"/>
        <v>0</v>
      </c>
    </row>
    <row r="157" spans="1:11" x14ac:dyDescent="0.4">
      <c r="A157" s="19">
        <v>45841.208333333336</v>
      </c>
      <c r="B157" s="20">
        <f t="shared" si="13"/>
        <v>0.20833333333575865</v>
      </c>
      <c r="C157">
        <v>0</v>
      </c>
      <c r="D157">
        <v>489.53300000000002</v>
      </c>
      <c r="E157">
        <f t="shared" si="12"/>
        <v>489.37800000000004</v>
      </c>
      <c r="F157">
        <v>489.54500000000002</v>
      </c>
      <c r="G157">
        <f t="shared" si="14"/>
        <v>0</v>
      </c>
      <c r="H157">
        <v>1.82</v>
      </c>
      <c r="I157">
        <f t="shared" si="15"/>
        <v>0</v>
      </c>
      <c r="J157">
        <f t="shared" si="16"/>
        <v>0</v>
      </c>
      <c r="K157">
        <f t="shared" si="17"/>
        <v>0</v>
      </c>
    </row>
    <row r="158" spans="1:11" x14ac:dyDescent="0.4">
      <c r="A158" s="19">
        <v>45841.25</v>
      </c>
      <c r="B158" s="20">
        <f t="shared" si="13"/>
        <v>0.25</v>
      </c>
      <c r="C158">
        <v>0</v>
      </c>
      <c r="D158">
        <v>489.53300000000002</v>
      </c>
      <c r="E158">
        <f t="shared" si="12"/>
        <v>489.37800000000004</v>
      </c>
      <c r="F158">
        <v>489.54500000000002</v>
      </c>
      <c r="G158">
        <f t="shared" si="14"/>
        <v>0</v>
      </c>
      <c r="H158">
        <v>1.82</v>
      </c>
      <c r="I158">
        <f t="shared" si="15"/>
        <v>0</v>
      </c>
      <c r="J158">
        <f t="shared" si="16"/>
        <v>0</v>
      </c>
      <c r="K158">
        <f t="shared" si="17"/>
        <v>0</v>
      </c>
    </row>
    <row r="159" spans="1:11" x14ac:dyDescent="0.4">
      <c r="A159" s="19">
        <v>45841.291666666664</v>
      </c>
      <c r="B159" s="20">
        <f t="shared" si="13"/>
        <v>0.29166666666424135</v>
      </c>
      <c r="C159">
        <v>0</v>
      </c>
      <c r="D159">
        <v>489.53300000000002</v>
      </c>
      <c r="E159">
        <f t="shared" si="12"/>
        <v>489.37800000000004</v>
      </c>
      <c r="F159">
        <v>489.54500000000002</v>
      </c>
      <c r="G159">
        <f t="shared" si="14"/>
        <v>0</v>
      </c>
      <c r="H159">
        <v>1.82</v>
      </c>
      <c r="I159">
        <f t="shared" si="15"/>
        <v>0</v>
      </c>
      <c r="J159">
        <f t="shared" si="16"/>
        <v>0</v>
      </c>
      <c r="K159">
        <f t="shared" si="17"/>
        <v>0</v>
      </c>
    </row>
    <row r="160" spans="1:11" x14ac:dyDescent="0.4">
      <c r="A160" s="19">
        <v>45841.333333333336</v>
      </c>
      <c r="B160" s="20">
        <f t="shared" si="13"/>
        <v>0.33333333333575865</v>
      </c>
      <c r="C160">
        <v>0</v>
      </c>
      <c r="D160">
        <v>489.53300000000002</v>
      </c>
      <c r="E160">
        <f t="shared" si="12"/>
        <v>489.37800000000004</v>
      </c>
      <c r="F160">
        <v>489.54500000000002</v>
      </c>
      <c r="G160">
        <f t="shared" si="14"/>
        <v>0</v>
      </c>
      <c r="H160">
        <v>1.82</v>
      </c>
      <c r="I160">
        <f t="shared" si="15"/>
        <v>0</v>
      </c>
      <c r="J160">
        <f t="shared" si="16"/>
        <v>0</v>
      </c>
      <c r="K160">
        <f t="shared" si="17"/>
        <v>0</v>
      </c>
    </row>
    <row r="161" spans="1:11" x14ac:dyDescent="0.4">
      <c r="A161" s="19">
        <v>45841.375</v>
      </c>
      <c r="B161" s="20">
        <f t="shared" si="13"/>
        <v>0.375</v>
      </c>
      <c r="C161">
        <v>0</v>
      </c>
      <c r="D161">
        <v>489.53300000000002</v>
      </c>
      <c r="E161">
        <f t="shared" si="12"/>
        <v>489.37800000000004</v>
      </c>
      <c r="F161">
        <v>489.54500000000002</v>
      </c>
      <c r="G161">
        <f t="shared" si="14"/>
        <v>0</v>
      </c>
      <c r="H161">
        <v>1.82</v>
      </c>
      <c r="I161">
        <f t="shared" si="15"/>
        <v>0</v>
      </c>
      <c r="J161">
        <f t="shared" si="16"/>
        <v>0</v>
      </c>
      <c r="K161">
        <f t="shared" si="17"/>
        <v>0</v>
      </c>
    </row>
    <row r="162" spans="1:11" x14ac:dyDescent="0.4">
      <c r="A162" s="19">
        <v>45841.416666666664</v>
      </c>
      <c r="B162" s="20">
        <f t="shared" si="13"/>
        <v>0.41666666666424135</v>
      </c>
      <c r="C162">
        <v>0</v>
      </c>
      <c r="D162">
        <v>489.53300000000002</v>
      </c>
      <c r="E162">
        <f t="shared" si="12"/>
        <v>489.37800000000004</v>
      </c>
      <c r="F162">
        <v>489.54500000000002</v>
      </c>
      <c r="G162">
        <f t="shared" si="14"/>
        <v>0</v>
      </c>
      <c r="H162">
        <v>1.82</v>
      </c>
      <c r="I162">
        <f t="shared" si="15"/>
        <v>0</v>
      </c>
      <c r="J162">
        <f t="shared" si="16"/>
        <v>0</v>
      </c>
      <c r="K162">
        <f t="shared" si="17"/>
        <v>0</v>
      </c>
    </row>
    <row r="163" spans="1:11" x14ac:dyDescent="0.4">
      <c r="A163" s="19">
        <v>45841.458333333336</v>
      </c>
      <c r="B163" s="20">
        <f t="shared" si="13"/>
        <v>0.45833333333575865</v>
      </c>
      <c r="C163">
        <v>0</v>
      </c>
      <c r="D163">
        <v>489.53300000000002</v>
      </c>
      <c r="E163">
        <f t="shared" si="12"/>
        <v>489.37800000000004</v>
      </c>
      <c r="F163">
        <v>489.54500000000002</v>
      </c>
      <c r="G163">
        <f t="shared" si="14"/>
        <v>0</v>
      </c>
      <c r="H163">
        <v>1.82</v>
      </c>
      <c r="I163">
        <f t="shared" si="15"/>
        <v>0</v>
      </c>
      <c r="J163">
        <f t="shared" si="16"/>
        <v>0</v>
      </c>
      <c r="K163">
        <f t="shared" si="17"/>
        <v>0</v>
      </c>
    </row>
    <row r="164" spans="1:11" x14ac:dyDescent="0.4">
      <c r="A164" s="19">
        <v>45841.5</v>
      </c>
      <c r="B164" s="20">
        <f t="shared" si="13"/>
        <v>0.5</v>
      </c>
      <c r="C164">
        <v>0</v>
      </c>
      <c r="D164">
        <v>489.53300000000002</v>
      </c>
      <c r="E164">
        <f t="shared" si="12"/>
        <v>489.37800000000004</v>
      </c>
      <c r="F164">
        <v>489.54500000000002</v>
      </c>
      <c r="G164">
        <f t="shared" si="14"/>
        <v>0</v>
      </c>
      <c r="H164">
        <v>1.82</v>
      </c>
      <c r="I164">
        <f t="shared" si="15"/>
        <v>0</v>
      </c>
      <c r="J164">
        <f t="shared" si="16"/>
        <v>0</v>
      </c>
      <c r="K164">
        <f t="shared" si="17"/>
        <v>0</v>
      </c>
    </row>
    <row r="165" spans="1:11" x14ac:dyDescent="0.4">
      <c r="A165" s="19">
        <v>45841.541666666664</v>
      </c>
      <c r="B165" s="20">
        <f t="shared" si="13"/>
        <v>0.54166666666424135</v>
      </c>
      <c r="C165">
        <v>0</v>
      </c>
      <c r="D165">
        <v>489.53300000000002</v>
      </c>
      <c r="E165">
        <f t="shared" si="12"/>
        <v>489.37800000000004</v>
      </c>
      <c r="F165">
        <v>489.54500000000002</v>
      </c>
      <c r="G165">
        <f t="shared" si="14"/>
        <v>0</v>
      </c>
      <c r="H165">
        <v>1.82</v>
      </c>
      <c r="I165">
        <f t="shared" si="15"/>
        <v>0</v>
      </c>
      <c r="J165">
        <f t="shared" si="16"/>
        <v>0</v>
      </c>
      <c r="K165">
        <f t="shared" si="17"/>
        <v>0</v>
      </c>
    </row>
    <row r="166" spans="1:11" x14ac:dyDescent="0.4">
      <c r="A166" s="19">
        <v>45841.583333333336</v>
      </c>
      <c r="B166" s="20">
        <f t="shared" si="13"/>
        <v>0.58333333333575865</v>
      </c>
      <c r="C166">
        <v>0</v>
      </c>
      <c r="D166">
        <v>489.53300000000002</v>
      </c>
      <c r="E166">
        <f t="shared" si="12"/>
        <v>489.37800000000004</v>
      </c>
      <c r="F166">
        <v>489.54500000000002</v>
      </c>
      <c r="G166">
        <f t="shared" si="14"/>
        <v>0</v>
      </c>
      <c r="H166">
        <v>1.82</v>
      </c>
      <c r="I166">
        <f t="shared" si="15"/>
        <v>0</v>
      </c>
      <c r="J166">
        <f t="shared" si="16"/>
        <v>0</v>
      </c>
      <c r="K166">
        <f t="shared" si="17"/>
        <v>0</v>
      </c>
    </row>
    <row r="167" spans="1:11" x14ac:dyDescent="0.4">
      <c r="A167" s="19">
        <v>45841.625</v>
      </c>
      <c r="B167" s="20">
        <f t="shared" si="13"/>
        <v>0.625</v>
      </c>
      <c r="C167">
        <v>0</v>
      </c>
      <c r="D167">
        <v>489.53300000000002</v>
      </c>
      <c r="E167">
        <f t="shared" si="12"/>
        <v>489.37800000000004</v>
      </c>
      <c r="F167">
        <v>489.54500000000002</v>
      </c>
      <c r="G167">
        <f t="shared" si="14"/>
        <v>0</v>
      </c>
      <c r="H167">
        <v>1.82</v>
      </c>
      <c r="I167">
        <f t="shared" si="15"/>
        <v>0</v>
      </c>
      <c r="J167">
        <f t="shared" si="16"/>
        <v>0</v>
      </c>
      <c r="K167">
        <f t="shared" si="17"/>
        <v>0</v>
      </c>
    </row>
    <row r="168" spans="1:11" x14ac:dyDescent="0.4">
      <c r="A168" s="19">
        <v>45841.666666666664</v>
      </c>
      <c r="B168" s="20">
        <f t="shared" si="13"/>
        <v>0.66666666666424135</v>
      </c>
      <c r="C168">
        <v>0</v>
      </c>
      <c r="D168">
        <v>489.53300000000002</v>
      </c>
      <c r="E168">
        <f t="shared" si="12"/>
        <v>489.37800000000004</v>
      </c>
      <c r="F168">
        <v>489.54500000000002</v>
      </c>
      <c r="G168">
        <f t="shared" si="14"/>
        <v>0</v>
      </c>
      <c r="H168">
        <v>1.82</v>
      </c>
      <c r="I168">
        <f t="shared" si="15"/>
        <v>0</v>
      </c>
      <c r="J168">
        <f t="shared" si="16"/>
        <v>0</v>
      </c>
      <c r="K168">
        <f t="shared" si="17"/>
        <v>0</v>
      </c>
    </row>
    <row r="169" spans="1:11" x14ac:dyDescent="0.4">
      <c r="A169" s="19">
        <v>45841.708333333336</v>
      </c>
      <c r="B169" s="20">
        <f t="shared" si="13"/>
        <v>0.70833333333575865</v>
      </c>
      <c r="C169">
        <v>0</v>
      </c>
      <c r="D169">
        <v>489.53300000000002</v>
      </c>
      <c r="E169">
        <f t="shared" si="12"/>
        <v>489.37800000000004</v>
      </c>
      <c r="F169">
        <v>489.54500000000002</v>
      </c>
      <c r="G169">
        <f t="shared" si="14"/>
        <v>0</v>
      </c>
      <c r="H169">
        <v>1.82</v>
      </c>
      <c r="I169">
        <f t="shared" si="15"/>
        <v>0</v>
      </c>
      <c r="J169">
        <f t="shared" si="16"/>
        <v>0</v>
      </c>
      <c r="K169">
        <f t="shared" si="17"/>
        <v>0</v>
      </c>
    </row>
    <row r="170" spans="1:11" x14ac:dyDescent="0.4">
      <c r="A170" s="19">
        <v>45841.75</v>
      </c>
      <c r="B170" s="20">
        <f t="shared" si="13"/>
        <v>0.75</v>
      </c>
      <c r="C170">
        <v>0.2</v>
      </c>
      <c r="D170">
        <v>489.53300000000002</v>
      </c>
      <c r="E170">
        <f t="shared" si="12"/>
        <v>489.37800000000004</v>
      </c>
      <c r="F170">
        <v>489.54500000000002</v>
      </c>
      <c r="G170">
        <f t="shared" si="14"/>
        <v>0</v>
      </c>
      <c r="H170">
        <v>1.82</v>
      </c>
      <c r="I170">
        <f t="shared" si="15"/>
        <v>0</v>
      </c>
      <c r="J170">
        <f t="shared" si="16"/>
        <v>0</v>
      </c>
      <c r="K170">
        <f t="shared" si="17"/>
        <v>0</v>
      </c>
    </row>
    <row r="171" spans="1:11" x14ac:dyDescent="0.4">
      <c r="A171" s="19">
        <v>45841.791666666664</v>
      </c>
      <c r="B171" s="20">
        <f t="shared" si="13"/>
        <v>0.79166666666424135</v>
      </c>
      <c r="C171">
        <v>7.4</v>
      </c>
      <c r="D171">
        <v>489.56</v>
      </c>
      <c r="E171">
        <f t="shared" si="12"/>
        <v>489.40500000000003</v>
      </c>
      <c r="F171">
        <v>489.54500000000002</v>
      </c>
      <c r="G171">
        <f t="shared" si="14"/>
        <v>0</v>
      </c>
      <c r="H171">
        <v>1.82</v>
      </c>
      <c r="I171">
        <f t="shared" si="15"/>
        <v>0</v>
      </c>
      <c r="J171">
        <f t="shared" si="16"/>
        <v>0</v>
      </c>
      <c r="K171">
        <f t="shared" si="17"/>
        <v>0</v>
      </c>
    </row>
    <row r="172" spans="1:11" x14ac:dyDescent="0.4">
      <c r="A172" s="19">
        <v>45841.833333333336</v>
      </c>
      <c r="B172" s="20">
        <f t="shared" si="13"/>
        <v>0.83333333333575865</v>
      </c>
      <c r="C172">
        <v>1.8</v>
      </c>
      <c r="D172">
        <v>489.56099999999998</v>
      </c>
      <c r="E172">
        <f t="shared" si="12"/>
        <v>489.40600000000001</v>
      </c>
      <c r="F172">
        <v>489.54500000000002</v>
      </c>
      <c r="G172">
        <f t="shared" si="14"/>
        <v>0</v>
      </c>
      <c r="H172">
        <v>1.82</v>
      </c>
      <c r="I172">
        <f t="shared" si="15"/>
        <v>0</v>
      </c>
      <c r="J172">
        <f t="shared" si="16"/>
        <v>0</v>
      </c>
      <c r="K172">
        <f t="shared" si="17"/>
        <v>0</v>
      </c>
    </row>
    <row r="173" spans="1:11" x14ac:dyDescent="0.4">
      <c r="A173" s="19">
        <v>45841.875</v>
      </c>
      <c r="B173" s="20">
        <f t="shared" si="13"/>
        <v>0.875</v>
      </c>
      <c r="C173">
        <v>0.6</v>
      </c>
      <c r="D173">
        <v>489.56</v>
      </c>
      <c r="E173">
        <f t="shared" si="12"/>
        <v>489.40500000000003</v>
      </c>
      <c r="F173">
        <v>489.54500000000002</v>
      </c>
      <c r="G173">
        <f t="shared" si="14"/>
        <v>0</v>
      </c>
      <c r="H173">
        <v>1.82</v>
      </c>
      <c r="I173">
        <f t="shared" si="15"/>
        <v>0</v>
      </c>
      <c r="J173">
        <f t="shared" si="16"/>
        <v>0</v>
      </c>
      <c r="K173">
        <f t="shared" si="17"/>
        <v>0</v>
      </c>
    </row>
    <row r="174" spans="1:11" x14ac:dyDescent="0.4">
      <c r="A174" s="19">
        <v>45841.916666666664</v>
      </c>
      <c r="B174" s="20">
        <f t="shared" si="13"/>
        <v>0.91666666666424135</v>
      </c>
      <c r="C174">
        <v>1.2</v>
      </c>
      <c r="D174">
        <v>489.56</v>
      </c>
      <c r="E174">
        <f t="shared" si="12"/>
        <v>489.40500000000003</v>
      </c>
      <c r="F174">
        <v>489.54500000000002</v>
      </c>
      <c r="G174">
        <f t="shared" si="14"/>
        <v>0</v>
      </c>
      <c r="H174">
        <v>1.82</v>
      </c>
      <c r="I174">
        <f t="shared" si="15"/>
        <v>0</v>
      </c>
      <c r="J174">
        <f t="shared" si="16"/>
        <v>0</v>
      </c>
      <c r="K174">
        <f t="shared" si="17"/>
        <v>0</v>
      </c>
    </row>
    <row r="175" spans="1:11" x14ac:dyDescent="0.4">
      <c r="A175" s="19">
        <v>45841.958333333336</v>
      </c>
      <c r="B175" s="20">
        <f t="shared" si="13"/>
        <v>0.95833333333575865</v>
      </c>
      <c r="C175">
        <v>1</v>
      </c>
      <c r="D175">
        <v>489.56599999999997</v>
      </c>
      <c r="E175">
        <f t="shared" si="12"/>
        <v>489.411</v>
      </c>
      <c r="F175">
        <v>489.54500000000002</v>
      </c>
      <c r="G175">
        <f t="shared" si="14"/>
        <v>0</v>
      </c>
      <c r="H175">
        <v>1.82</v>
      </c>
      <c r="I175">
        <f t="shared" si="15"/>
        <v>0</v>
      </c>
      <c r="J175">
        <f t="shared" si="16"/>
        <v>0</v>
      </c>
      <c r="K175">
        <f t="shared" si="17"/>
        <v>0</v>
      </c>
    </row>
    <row r="176" spans="1:11" x14ac:dyDescent="0.4">
      <c r="A176" s="19">
        <v>45842</v>
      </c>
      <c r="B176" s="20">
        <f t="shared" si="13"/>
        <v>0</v>
      </c>
      <c r="C176">
        <v>0.2</v>
      </c>
      <c r="D176">
        <v>489.56599999999997</v>
      </c>
      <c r="E176">
        <f t="shared" si="12"/>
        <v>489.411</v>
      </c>
      <c r="F176">
        <v>489.54500000000002</v>
      </c>
      <c r="G176">
        <f t="shared" si="14"/>
        <v>0</v>
      </c>
      <c r="H176">
        <v>1.82</v>
      </c>
      <c r="I176">
        <f t="shared" si="15"/>
        <v>0</v>
      </c>
      <c r="J176">
        <f t="shared" si="16"/>
        <v>0</v>
      </c>
      <c r="K176">
        <f t="shared" si="17"/>
        <v>0</v>
      </c>
    </row>
    <row r="177" spans="1:11" x14ac:dyDescent="0.4">
      <c r="A177" s="19">
        <v>45842.041666666664</v>
      </c>
      <c r="B177" s="20">
        <f t="shared" si="13"/>
        <v>4.1666666664241347E-2</v>
      </c>
      <c r="C177">
        <v>0.2</v>
      </c>
      <c r="D177">
        <v>489.56599999999997</v>
      </c>
      <c r="E177">
        <f t="shared" si="12"/>
        <v>489.411</v>
      </c>
      <c r="F177">
        <v>489.54500000000002</v>
      </c>
      <c r="G177">
        <f t="shared" si="14"/>
        <v>0</v>
      </c>
      <c r="H177">
        <v>1.82</v>
      </c>
      <c r="I177">
        <f t="shared" si="15"/>
        <v>0</v>
      </c>
      <c r="J177">
        <f t="shared" si="16"/>
        <v>0</v>
      </c>
      <c r="K177">
        <f t="shared" si="17"/>
        <v>0</v>
      </c>
    </row>
    <row r="178" spans="1:11" x14ac:dyDescent="0.4">
      <c r="A178" s="19">
        <v>45842.083333333336</v>
      </c>
      <c r="B178" s="20">
        <f t="shared" si="13"/>
        <v>8.3333333335758653E-2</v>
      </c>
      <c r="C178">
        <v>0</v>
      </c>
      <c r="D178">
        <v>489.56599999999997</v>
      </c>
      <c r="E178">
        <f t="shared" si="12"/>
        <v>489.411</v>
      </c>
      <c r="F178">
        <v>489.54500000000002</v>
      </c>
      <c r="G178">
        <f t="shared" si="14"/>
        <v>0</v>
      </c>
      <c r="H178">
        <v>1.82</v>
      </c>
      <c r="I178">
        <f t="shared" si="15"/>
        <v>0</v>
      </c>
      <c r="J178">
        <f t="shared" si="16"/>
        <v>0</v>
      </c>
      <c r="K178">
        <f t="shared" si="17"/>
        <v>0</v>
      </c>
    </row>
    <row r="179" spans="1:11" x14ac:dyDescent="0.4">
      <c r="A179" s="19">
        <v>45842.125</v>
      </c>
      <c r="B179" s="20">
        <f t="shared" si="13"/>
        <v>0.125</v>
      </c>
      <c r="C179">
        <v>0</v>
      </c>
      <c r="D179">
        <v>489.56599999999997</v>
      </c>
      <c r="E179">
        <f t="shared" si="12"/>
        <v>489.411</v>
      </c>
      <c r="F179">
        <v>489.54500000000002</v>
      </c>
      <c r="G179">
        <f t="shared" si="14"/>
        <v>0</v>
      </c>
      <c r="H179">
        <v>1.82</v>
      </c>
      <c r="I179">
        <f t="shared" si="15"/>
        <v>0</v>
      </c>
      <c r="J179">
        <f t="shared" si="16"/>
        <v>0</v>
      </c>
      <c r="K179">
        <f t="shared" si="17"/>
        <v>0</v>
      </c>
    </row>
    <row r="180" spans="1:11" x14ac:dyDescent="0.4">
      <c r="A180" s="19">
        <v>45842.166666666664</v>
      </c>
      <c r="B180" s="20">
        <f t="shared" si="13"/>
        <v>0.16666666666424135</v>
      </c>
      <c r="C180">
        <v>0</v>
      </c>
      <c r="D180">
        <v>489.56599999999997</v>
      </c>
      <c r="E180">
        <f t="shared" si="12"/>
        <v>489.411</v>
      </c>
      <c r="F180">
        <v>489.54500000000002</v>
      </c>
      <c r="G180">
        <f t="shared" si="14"/>
        <v>0</v>
      </c>
      <c r="H180">
        <v>1.82</v>
      </c>
      <c r="I180">
        <f t="shared" si="15"/>
        <v>0</v>
      </c>
      <c r="J180">
        <f t="shared" si="16"/>
        <v>0</v>
      </c>
      <c r="K180">
        <f t="shared" si="17"/>
        <v>0</v>
      </c>
    </row>
    <row r="181" spans="1:11" x14ac:dyDescent="0.4">
      <c r="A181" s="19">
        <v>45842.208333333336</v>
      </c>
      <c r="B181" s="20">
        <f t="shared" si="13"/>
        <v>0.20833333333575865</v>
      </c>
      <c r="C181">
        <v>0</v>
      </c>
      <c r="D181">
        <v>489.56099999999998</v>
      </c>
      <c r="E181">
        <f t="shared" si="12"/>
        <v>489.40600000000001</v>
      </c>
      <c r="F181">
        <v>489.54500000000002</v>
      </c>
      <c r="G181">
        <f t="shared" si="14"/>
        <v>0</v>
      </c>
      <c r="H181">
        <v>1.82</v>
      </c>
      <c r="I181">
        <f t="shared" si="15"/>
        <v>0</v>
      </c>
      <c r="J181">
        <f t="shared" si="16"/>
        <v>0</v>
      </c>
      <c r="K181">
        <f t="shared" si="17"/>
        <v>0</v>
      </c>
    </row>
    <row r="182" spans="1:11" x14ac:dyDescent="0.4">
      <c r="A182" s="19">
        <v>45842.25</v>
      </c>
      <c r="B182" s="20">
        <f t="shared" si="13"/>
        <v>0.25</v>
      </c>
      <c r="C182">
        <v>0</v>
      </c>
      <c r="D182">
        <v>489.56599999999997</v>
      </c>
      <c r="E182">
        <f t="shared" si="12"/>
        <v>489.411</v>
      </c>
      <c r="F182">
        <v>489.54500000000002</v>
      </c>
      <c r="G182">
        <f t="shared" si="14"/>
        <v>0</v>
      </c>
      <c r="H182">
        <v>1.82</v>
      </c>
      <c r="I182">
        <f t="shared" si="15"/>
        <v>0</v>
      </c>
      <c r="J182">
        <f t="shared" si="16"/>
        <v>0</v>
      </c>
      <c r="K182">
        <f t="shared" si="17"/>
        <v>0</v>
      </c>
    </row>
    <row r="183" spans="1:11" x14ac:dyDescent="0.4">
      <c r="A183" s="19">
        <v>45842.291666666664</v>
      </c>
      <c r="B183" s="20">
        <f t="shared" si="13"/>
        <v>0.29166666666424135</v>
      </c>
      <c r="C183">
        <v>0</v>
      </c>
      <c r="D183">
        <v>489.56599999999997</v>
      </c>
      <c r="E183">
        <f t="shared" si="12"/>
        <v>489.411</v>
      </c>
      <c r="F183">
        <v>489.54500000000002</v>
      </c>
      <c r="G183">
        <f t="shared" si="14"/>
        <v>0</v>
      </c>
      <c r="H183">
        <v>1.82</v>
      </c>
      <c r="I183">
        <f t="shared" si="15"/>
        <v>0</v>
      </c>
      <c r="J183">
        <f t="shared" si="16"/>
        <v>0</v>
      </c>
      <c r="K183">
        <f t="shared" si="17"/>
        <v>0</v>
      </c>
    </row>
    <row r="184" spans="1:11" x14ac:dyDescent="0.4">
      <c r="A184" s="19">
        <v>45842.333333333336</v>
      </c>
      <c r="B184" s="20">
        <f t="shared" si="13"/>
        <v>0.33333333333575865</v>
      </c>
      <c r="C184">
        <v>0</v>
      </c>
      <c r="D184">
        <v>489.56</v>
      </c>
      <c r="E184">
        <f t="shared" si="12"/>
        <v>489.40500000000003</v>
      </c>
      <c r="F184">
        <v>489.54500000000002</v>
      </c>
      <c r="G184">
        <f t="shared" si="14"/>
        <v>0</v>
      </c>
      <c r="H184">
        <v>1.82</v>
      </c>
      <c r="I184">
        <f t="shared" si="15"/>
        <v>0</v>
      </c>
      <c r="J184">
        <f t="shared" si="16"/>
        <v>0</v>
      </c>
      <c r="K184">
        <f t="shared" si="17"/>
        <v>0</v>
      </c>
    </row>
    <row r="185" spans="1:11" x14ac:dyDescent="0.4">
      <c r="A185" s="19">
        <v>45842.375</v>
      </c>
      <c r="B185" s="20">
        <f t="shared" si="13"/>
        <v>0.375</v>
      </c>
      <c r="C185">
        <v>0</v>
      </c>
      <c r="D185">
        <v>489.56599999999997</v>
      </c>
      <c r="E185">
        <f t="shared" si="12"/>
        <v>489.411</v>
      </c>
      <c r="F185">
        <v>489.54500000000002</v>
      </c>
      <c r="G185">
        <f t="shared" si="14"/>
        <v>0</v>
      </c>
      <c r="H185">
        <v>1.82</v>
      </c>
      <c r="I185">
        <f t="shared" si="15"/>
        <v>0</v>
      </c>
      <c r="J185">
        <f t="shared" si="16"/>
        <v>0</v>
      </c>
      <c r="K185">
        <f t="shared" si="17"/>
        <v>0</v>
      </c>
    </row>
    <row r="186" spans="1:11" x14ac:dyDescent="0.4">
      <c r="A186" s="19">
        <v>45842.416666666664</v>
      </c>
      <c r="B186" s="20">
        <f t="shared" si="13"/>
        <v>0.41666666666424135</v>
      </c>
      <c r="C186">
        <v>0</v>
      </c>
      <c r="D186">
        <v>489.565</v>
      </c>
      <c r="E186">
        <f t="shared" si="12"/>
        <v>489.41</v>
      </c>
      <c r="F186">
        <v>489.54500000000002</v>
      </c>
      <c r="G186">
        <f t="shared" si="14"/>
        <v>0</v>
      </c>
      <c r="H186">
        <v>1.82</v>
      </c>
      <c r="I186">
        <f t="shared" si="15"/>
        <v>0</v>
      </c>
      <c r="J186">
        <f t="shared" si="16"/>
        <v>0</v>
      </c>
      <c r="K186">
        <f t="shared" si="17"/>
        <v>0</v>
      </c>
    </row>
    <row r="187" spans="1:11" x14ac:dyDescent="0.4">
      <c r="A187" s="19">
        <v>45842.458333333336</v>
      </c>
      <c r="B187" s="20">
        <f t="shared" si="13"/>
        <v>0.45833333333575865</v>
      </c>
      <c r="C187">
        <v>0</v>
      </c>
      <c r="D187">
        <v>489.565</v>
      </c>
      <c r="E187">
        <f t="shared" si="12"/>
        <v>489.41</v>
      </c>
      <c r="F187">
        <v>489.54500000000002</v>
      </c>
      <c r="G187">
        <f t="shared" si="14"/>
        <v>0</v>
      </c>
      <c r="H187">
        <v>1.82</v>
      </c>
      <c r="I187">
        <f t="shared" si="15"/>
        <v>0</v>
      </c>
      <c r="J187">
        <f t="shared" si="16"/>
        <v>0</v>
      </c>
      <c r="K187">
        <f t="shared" si="17"/>
        <v>0</v>
      </c>
    </row>
    <row r="188" spans="1:11" x14ac:dyDescent="0.4">
      <c r="A188" s="19">
        <v>45842.5</v>
      </c>
      <c r="B188" s="20">
        <f t="shared" si="13"/>
        <v>0.5</v>
      </c>
      <c r="C188">
        <v>0</v>
      </c>
      <c r="D188">
        <v>489.565</v>
      </c>
      <c r="E188">
        <f t="shared" si="12"/>
        <v>489.41</v>
      </c>
      <c r="F188">
        <v>489.54500000000002</v>
      </c>
      <c r="G188">
        <f t="shared" si="14"/>
        <v>0</v>
      </c>
      <c r="H188">
        <v>1.82</v>
      </c>
      <c r="I188">
        <f t="shared" si="15"/>
        <v>0</v>
      </c>
      <c r="J188">
        <f t="shared" si="16"/>
        <v>0</v>
      </c>
      <c r="K188">
        <f t="shared" si="17"/>
        <v>0</v>
      </c>
    </row>
    <row r="189" spans="1:11" x14ac:dyDescent="0.4">
      <c r="A189" s="19">
        <v>45842.541666666664</v>
      </c>
      <c r="B189" s="20">
        <f t="shared" si="13"/>
        <v>0.54166666666424135</v>
      </c>
      <c r="C189">
        <v>0</v>
      </c>
      <c r="D189">
        <v>489.565</v>
      </c>
      <c r="E189">
        <f t="shared" si="12"/>
        <v>489.41</v>
      </c>
      <c r="F189">
        <v>489.54500000000002</v>
      </c>
      <c r="G189">
        <f t="shared" si="14"/>
        <v>0</v>
      </c>
      <c r="H189">
        <v>1.82</v>
      </c>
      <c r="I189">
        <f t="shared" si="15"/>
        <v>0</v>
      </c>
      <c r="J189">
        <f t="shared" si="16"/>
        <v>0</v>
      </c>
      <c r="K189">
        <f t="shared" si="17"/>
        <v>0</v>
      </c>
    </row>
    <row r="190" spans="1:11" x14ac:dyDescent="0.4">
      <c r="A190" s="19">
        <v>45842.583333333336</v>
      </c>
      <c r="B190" s="20">
        <f t="shared" si="13"/>
        <v>0.58333333333575865</v>
      </c>
      <c r="C190">
        <v>0</v>
      </c>
      <c r="D190">
        <v>489.565</v>
      </c>
      <c r="E190">
        <f t="shared" si="12"/>
        <v>489.41</v>
      </c>
      <c r="F190">
        <v>489.54500000000002</v>
      </c>
      <c r="G190">
        <f t="shared" si="14"/>
        <v>0</v>
      </c>
      <c r="H190">
        <v>1.82</v>
      </c>
      <c r="I190">
        <f t="shared" si="15"/>
        <v>0</v>
      </c>
      <c r="J190">
        <f t="shared" si="16"/>
        <v>0</v>
      </c>
      <c r="K190">
        <f t="shared" si="17"/>
        <v>0</v>
      </c>
    </row>
    <row r="191" spans="1:11" x14ac:dyDescent="0.4">
      <c r="A191" s="19">
        <v>45842.625</v>
      </c>
      <c r="B191" s="20">
        <f t="shared" si="13"/>
        <v>0.625</v>
      </c>
      <c r="C191">
        <v>0</v>
      </c>
      <c r="D191">
        <v>489.565</v>
      </c>
      <c r="E191">
        <f t="shared" si="12"/>
        <v>489.41</v>
      </c>
      <c r="F191">
        <v>489.54500000000002</v>
      </c>
      <c r="G191">
        <f t="shared" si="14"/>
        <v>0</v>
      </c>
      <c r="H191">
        <v>1.82</v>
      </c>
      <c r="I191">
        <f t="shared" si="15"/>
        <v>0</v>
      </c>
      <c r="J191">
        <f t="shared" si="16"/>
        <v>0</v>
      </c>
      <c r="K191">
        <f t="shared" si="17"/>
        <v>0</v>
      </c>
    </row>
    <row r="192" spans="1:11" x14ac:dyDescent="0.4">
      <c r="A192" s="19">
        <v>45842.666666666664</v>
      </c>
      <c r="B192" s="20">
        <f t="shared" si="13"/>
        <v>0.66666666666424135</v>
      </c>
      <c r="C192">
        <v>0.4</v>
      </c>
      <c r="D192">
        <v>489.56599999999997</v>
      </c>
      <c r="E192">
        <f t="shared" si="12"/>
        <v>489.411</v>
      </c>
      <c r="F192">
        <v>489.54500000000002</v>
      </c>
      <c r="G192">
        <f t="shared" si="14"/>
        <v>0</v>
      </c>
      <c r="H192">
        <v>1.82</v>
      </c>
      <c r="I192">
        <f t="shared" si="15"/>
        <v>0</v>
      </c>
      <c r="J192">
        <f t="shared" si="16"/>
        <v>0</v>
      </c>
      <c r="K192">
        <f t="shared" si="17"/>
        <v>0</v>
      </c>
    </row>
    <row r="193" spans="1:11" x14ac:dyDescent="0.4">
      <c r="A193" s="19">
        <v>45842.708333333336</v>
      </c>
      <c r="B193" s="20">
        <f t="shared" si="13"/>
        <v>0.70833333333575865</v>
      </c>
      <c r="C193">
        <v>0</v>
      </c>
      <c r="D193">
        <v>489.565</v>
      </c>
      <c r="E193">
        <f t="shared" si="12"/>
        <v>489.41</v>
      </c>
      <c r="F193">
        <v>489.54500000000002</v>
      </c>
      <c r="G193">
        <f t="shared" si="14"/>
        <v>0</v>
      </c>
      <c r="H193">
        <v>1.82</v>
      </c>
      <c r="I193">
        <f t="shared" si="15"/>
        <v>0</v>
      </c>
      <c r="J193">
        <f t="shared" si="16"/>
        <v>0</v>
      </c>
      <c r="K193">
        <f t="shared" si="17"/>
        <v>0</v>
      </c>
    </row>
    <row r="194" spans="1:11" x14ac:dyDescent="0.4">
      <c r="A194" s="19">
        <v>45842.75</v>
      </c>
      <c r="B194" s="20">
        <f t="shared" si="13"/>
        <v>0.75</v>
      </c>
      <c r="C194">
        <v>0</v>
      </c>
      <c r="D194">
        <v>489.56599999999997</v>
      </c>
      <c r="E194">
        <f t="shared" ref="E194:E257" si="18">D194-0.155</f>
        <v>489.411</v>
      </c>
      <c r="F194">
        <v>489.54500000000002</v>
      </c>
      <c r="G194">
        <f t="shared" si="14"/>
        <v>0</v>
      </c>
      <c r="H194">
        <v>1.82</v>
      </c>
      <c r="I194">
        <f t="shared" si="15"/>
        <v>0</v>
      </c>
      <c r="J194">
        <f t="shared" si="16"/>
        <v>0</v>
      </c>
      <c r="K194">
        <f t="shared" si="17"/>
        <v>0</v>
      </c>
    </row>
    <row r="195" spans="1:11" x14ac:dyDescent="0.4">
      <c r="A195" s="19">
        <v>45842.791666666664</v>
      </c>
      <c r="B195" s="20">
        <f t="shared" ref="B195:B258" si="19">MOD(A195,1)</f>
        <v>0.79166666666424135</v>
      </c>
      <c r="C195">
        <v>0</v>
      </c>
      <c r="D195">
        <v>489.56599999999997</v>
      </c>
      <c r="E195">
        <f t="shared" si="18"/>
        <v>489.411</v>
      </c>
      <c r="F195">
        <v>489.54500000000002</v>
      </c>
      <c r="G195">
        <f t="shared" ref="G195:G258" si="20">IF(E195 - F195 &lt; 0, 0, E195 - F195)</f>
        <v>0</v>
      </c>
      <c r="H195">
        <v>1.82</v>
      </c>
      <c r="I195">
        <f t="shared" ref="I195:I258" si="21">1.82*30*(G195^1.5)</f>
        <v>0</v>
      </c>
      <c r="J195">
        <f t="shared" ref="J195:J258" si="22">I195*60</f>
        <v>0</v>
      </c>
      <c r="K195">
        <f t="shared" ref="K195:K258" si="23">(I195*86400)/24</f>
        <v>0</v>
      </c>
    </row>
    <row r="196" spans="1:11" x14ac:dyDescent="0.4">
      <c r="A196" s="19">
        <v>45842.833333333336</v>
      </c>
      <c r="B196" s="20">
        <f t="shared" si="19"/>
        <v>0.83333333333575865</v>
      </c>
      <c r="C196">
        <v>0</v>
      </c>
      <c r="D196">
        <v>489.56599999999997</v>
      </c>
      <c r="E196">
        <f t="shared" si="18"/>
        <v>489.411</v>
      </c>
      <c r="F196">
        <v>489.54500000000002</v>
      </c>
      <c r="G196">
        <f t="shared" si="20"/>
        <v>0</v>
      </c>
      <c r="H196">
        <v>1.82</v>
      </c>
      <c r="I196">
        <f t="shared" si="21"/>
        <v>0</v>
      </c>
      <c r="J196">
        <f t="shared" si="22"/>
        <v>0</v>
      </c>
      <c r="K196">
        <f t="shared" si="23"/>
        <v>0</v>
      </c>
    </row>
    <row r="197" spans="1:11" x14ac:dyDescent="0.4">
      <c r="A197" s="19">
        <v>45842.875</v>
      </c>
      <c r="B197" s="20">
        <f t="shared" si="19"/>
        <v>0.875</v>
      </c>
      <c r="C197">
        <v>0</v>
      </c>
      <c r="D197">
        <v>489.56599999999997</v>
      </c>
      <c r="E197">
        <f t="shared" si="18"/>
        <v>489.411</v>
      </c>
      <c r="F197">
        <v>489.54500000000002</v>
      </c>
      <c r="G197">
        <f t="shared" si="20"/>
        <v>0</v>
      </c>
      <c r="H197">
        <v>1.82</v>
      </c>
      <c r="I197">
        <f t="shared" si="21"/>
        <v>0</v>
      </c>
      <c r="J197">
        <f t="shared" si="22"/>
        <v>0</v>
      </c>
      <c r="K197">
        <f t="shared" si="23"/>
        <v>0</v>
      </c>
    </row>
    <row r="198" spans="1:11" x14ac:dyDescent="0.4">
      <c r="A198" s="19">
        <v>45842.916666666664</v>
      </c>
      <c r="B198" s="20">
        <f t="shared" si="19"/>
        <v>0.91666666666424135</v>
      </c>
      <c r="C198">
        <v>0</v>
      </c>
      <c r="D198">
        <v>489.56599999999997</v>
      </c>
      <c r="E198">
        <f t="shared" si="18"/>
        <v>489.411</v>
      </c>
      <c r="F198">
        <v>489.54500000000002</v>
      </c>
      <c r="G198">
        <f t="shared" si="20"/>
        <v>0</v>
      </c>
      <c r="H198">
        <v>1.82</v>
      </c>
      <c r="I198">
        <f t="shared" si="21"/>
        <v>0</v>
      </c>
      <c r="J198">
        <f t="shared" si="22"/>
        <v>0</v>
      </c>
      <c r="K198">
        <f t="shared" si="23"/>
        <v>0</v>
      </c>
    </row>
    <row r="199" spans="1:11" x14ac:dyDescent="0.4">
      <c r="A199" s="19">
        <v>45842.958333333336</v>
      </c>
      <c r="B199" s="20">
        <f t="shared" si="19"/>
        <v>0.95833333333575865</v>
      </c>
      <c r="C199">
        <v>0</v>
      </c>
      <c r="D199">
        <v>489.56</v>
      </c>
      <c r="E199">
        <f t="shared" si="18"/>
        <v>489.40500000000003</v>
      </c>
      <c r="F199">
        <v>489.54500000000002</v>
      </c>
      <c r="G199">
        <f t="shared" si="20"/>
        <v>0</v>
      </c>
      <c r="H199">
        <v>1.82</v>
      </c>
      <c r="I199">
        <f t="shared" si="21"/>
        <v>0</v>
      </c>
      <c r="J199">
        <f t="shared" si="22"/>
        <v>0</v>
      </c>
      <c r="K199">
        <f t="shared" si="23"/>
        <v>0</v>
      </c>
    </row>
    <row r="200" spans="1:11" x14ac:dyDescent="0.4">
      <c r="A200" s="19">
        <v>45843</v>
      </c>
      <c r="B200" s="20">
        <f t="shared" si="19"/>
        <v>0</v>
      </c>
      <c r="C200">
        <v>0</v>
      </c>
      <c r="D200">
        <v>489.56</v>
      </c>
      <c r="E200">
        <f t="shared" si="18"/>
        <v>489.40500000000003</v>
      </c>
      <c r="F200">
        <v>489.54500000000002</v>
      </c>
      <c r="G200">
        <f t="shared" si="20"/>
        <v>0</v>
      </c>
      <c r="H200">
        <v>1.82</v>
      </c>
      <c r="I200">
        <f t="shared" si="21"/>
        <v>0</v>
      </c>
      <c r="J200">
        <f t="shared" si="22"/>
        <v>0</v>
      </c>
      <c r="K200">
        <f t="shared" si="23"/>
        <v>0</v>
      </c>
    </row>
    <row r="201" spans="1:11" x14ac:dyDescent="0.4">
      <c r="A201" s="19">
        <v>45843.041666666664</v>
      </c>
      <c r="B201" s="20">
        <f t="shared" si="19"/>
        <v>4.1666666664241347E-2</v>
      </c>
      <c r="C201">
        <v>0</v>
      </c>
      <c r="D201">
        <v>489.56599999999997</v>
      </c>
      <c r="E201">
        <f t="shared" si="18"/>
        <v>489.411</v>
      </c>
      <c r="F201">
        <v>489.54500000000002</v>
      </c>
      <c r="G201">
        <f t="shared" si="20"/>
        <v>0</v>
      </c>
      <c r="H201">
        <v>1.82</v>
      </c>
      <c r="I201">
        <f t="shared" si="21"/>
        <v>0</v>
      </c>
      <c r="J201">
        <f t="shared" si="22"/>
        <v>0</v>
      </c>
      <c r="K201">
        <f t="shared" si="23"/>
        <v>0</v>
      </c>
    </row>
    <row r="202" spans="1:11" x14ac:dyDescent="0.4">
      <c r="A202" s="19">
        <v>45843.083333333336</v>
      </c>
      <c r="B202" s="20">
        <f t="shared" si="19"/>
        <v>8.3333333335758653E-2</v>
      </c>
      <c r="C202">
        <v>0</v>
      </c>
      <c r="D202">
        <v>489.56599999999997</v>
      </c>
      <c r="E202">
        <f t="shared" si="18"/>
        <v>489.411</v>
      </c>
      <c r="F202">
        <v>489.54500000000002</v>
      </c>
      <c r="G202">
        <f t="shared" si="20"/>
        <v>0</v>
      </c>
      <c r="H202">
        <v>1.82</v>
      </c>
      <c r="I202">
        <f t="shared" si="21"/>
        <v>0</v>
      </c>
      <c r="J202">
        <f t="shared" si="22"/>
        <v>0</v>
      </c>
      <c r="K202">
        <f t="shared" si="23"/>
        <v>0</v>
      </c>
    </row>
    <row r="203" spans="1:11" x14ac:dyDescent="0.4">
      <c r="A203" s="19">
        <v>45843.125</v>
      </c>
      <c r="B203" s="20">
        <f t="shared" si="19"/>
        <v>0.125</v>
      </c>
      <c r="C203">
        <v>0</v>
      </c>
      <c r="D203">
        <v>489.56599999999997</v>
      </c>
      <c r="E203">
        <f t="shared" si="18"/>
        <v>489.411</v>
      </c>
      <c r="F203">
        <v>489.54500000000002</v>
      </c>
      <c r="G203">
        <f t="shared" si="20"/>
        <v>0</v>
      </c>
      <c r="H203">
        <v>1.82</v>
      </c>
      <c r="I203">
        <f t="shared" si="21"/>
        <v>0</v>
      </c>
      <c r="J203">
        <f t="shared" si="22"/>
        <v>0</v>
      </c>
      <c r="K203">
        <f t="shared" si="23"/>
        <v>0</v>
      </c>
    </row>
    <row r="204" spans="1:11" x14ac:dyDescent="0.4">
      <c r="A204" s="19">
        <v>45843.166666666664</v>
      </c>
      <c r="B204" s="20">
        <f t="shared" si="19"/>
        <v>0.16666666666424135</v>
      </c>
      <c r="C204">
        <v>0</v>
      </c>
      <c r="D204">
        <v>489.56599999999997</v>
      </c>
      <c r="E204">
        <f t="shared" si="18"/>
        <v>489.411</v>
      </c>
      <c r="F204">
        <v>489.54500000000002</v>
      </c>
      <c r="G204">
        <f t="shared" si="20"/>
        <v>0</v>
      </c>
      <c r="H204">
        <v>1.82</v>
      </c>
      <c r="I204">
        <f t="shared" si="21"/>
        <v>0</v>
      </c>
      <c r="J204">
        <f t="shared" si="22"/>
        <v>0</v>
      </c>
      <c r="K204">
        <f t="shared" si="23"/>
        <v>0</v>
      </c>
    </row>
    <row r="205" spans="1:11" x14ac:dyDescent="0.4">
      <c r="A205" s="19">
        <v>45843.208333333336</v>
      </c>
      <c r="B205" s="20">
        <f t="shared" si="19"/>
        <v>0.20833333333575865</v>
      </c>
      <c r="C205">
        <v>0</v>
      </c>
      <c r="D205">
        <v>489.56599999999997</v>
      </c>
      <c r="E205">
        <f t="shared" si="18"/>
        <v>489.411</v>
      </c>
      <c r="F205">
        <v>489.54500000000002</v>
      </c>
      <c r="G205">
        <f t="shared" si="20"/>
        <v>0</v>
      </c>
      <c r="H205">
        <v>1.82</v>
      </c>
      <c r="I205">
        <f t="shared" si="21"/>
        <v>0</v>
      </c>
      <c r="J205">
        <f t="shared" si="22"/>
        <v>0</v>
      </c>
      <c r="K205">
        <f t="shared" si="23"/>
        <v>0</v>
      </c>
    </row>
    <row r="206" spans="1:11" x14ac:dyDescent="0.4">
      <c r="A206" s="19">
        <v>45843.25</v>
      </c>
      <c r="B206" s="20">
        <f t="shared" si="19"/>
        <v>0.25</v>
      </c>
      <c r="C206">
        <v>0</v>
      </c>
      <c r="D206">
        <v>489.56</v>
      </c>
      <c r="E206">
        <f t="shared" si="18"/>
        <v>489.40500000000003</v>
      </c>
      <c r="F206">
        <v>489.54500000000002</v>
      </c>
      <c r="G206">
        <f t="shared" si="20"/>
        <v>0</v>
      </c>
      <c r="H206">
        <v>1.82</v>
      </c>
      <c r="I206">
        <f t="shared" si="21"/>
        <v>0</v>
      </c>
      <c r="J206">
        <f t="shared" si="22"/>
        <v>0</v>
      </c>
      <c r="K206">
        <f t="shared" si="23"/>
        <v>0</v>
      </c>
    </row>
    <row r="207" spans="1:11" x14ac:dyDescent="0.4">
      <c r="A207" s="19">
        <v>45843.291666666664</v>
      </c>
      <c r="B207" s="20">
        <f t="shared" si="19"/>
        <v>0.29166666666424135</v>
      </c>
      <c r="C207">
        <v>0</v>
      </c>
      <c r="D207">
        <v>489.56</v>
      </c>
      <c r="E207">
        <f t="shared" si="18"/>
        <v>489.40500000000003</v>
      </c>
      <c r="F207">
        <v>489.54500000000002</v>
      </c>
      <c r="G207">
        <f t="shared" si="20"/>
        <v>0</v>
      </c>
      <c r="H207">
        <v>1.82</v>
      </c>
      <c r="I207">
        <f t="shared" si="21"/>
        <v>0</v>
      </c>
      <c r="J207">
        <f t="shared" si="22"/>
        <v>0</v>
      </c>
      <c r="K207">
        <f t="shared" si="23"/>
        <v>0</v>
      </c>
    </row>
    <row r="208" spans="1:11" x14ac:dyDescent="0.4">
      <c r="A208" s="19">
        <v>45843.333333333336</v>
      </c>
      <c r="B208" s="20">
        <f t="shared" si="19"/>
        <v>0.33333333333575865</v>
      </c>
      <c r="C208">
        <v>0</v>
      </c>
      <c r="D208">
        <v>489.565</v>
      </c>
      <c r="E208">
        <f t="shared" si="18"/>
        <v>489.41</v>
      </c>
      <c r="F208">
        <v>489.54500000000002</v>
      </c>
      <c r="G208">
        <f t="shared" si="20"/>
        <v>0</v>
      </c>
      <c r="H208">
        <v>1.82</v>
      </c>
      <c r="I208">
        <f t="shared" si="21"/>
        <v>0</v>
      </c>
      <c r="J208">
        <f t="shared" si="22"/>
        <v>0</v>
      </c>
      <c r="K208">
        <f t="shared" si="23"/>
        <v>0</v>
      </c>
    </row>
    <row r="209" spans="1:11" x14ac:dyDescent="0.4">
      <c r="A209" s="19">
        <v>45843.375</v>
      </c>
      <c r="B209" s="20">
        <f t="shared" si="19"/>
        <v>0.375</v>
      </c>
      <c r="C209">
        <v>0</v>
      </c>
      <c r="D209">
        <v>489.565</v>
      </c>
      <c r="E209">
        <f t="shared" si="18"/>
        <v>489.41</v>
      </c>
      <c r="F209">
        <v>489.54500000000002</v>
      </c>
      <c r="G209">
        <f t="shared" si="20"/>
        <v>0</v>
      </c>
      <c r="H209">
        <v>1.82</v>
      </c>
      <c r="I209">
        <f t="shared" si="21"/>
        <v>0</v>
      </c>
      <c r="J209">
        <f t="shared" si="22"/>
        <v>0</v>
      </c>
      <c r="K209">
        <f t="shared" si="23"/>
        <v>0</v>
      </c>
    </row>
    <row r="210" spans="1:11" x14ac:dyDescent="0.4">
      <c r="A210" s="19">
        <v>45843.416666666664</v>
      </c>
      <c r="B210" s="20">
        <f t="shared" si="19"/>
        <v>0.41666666666424135</v>
      </c>
      <c r="C210">
        <v>0</v>
      </c>
      <c r="D210">
        <v>489.55900000000003</v>
      </c>
      <c r="E210">
        <f t="shared" si="18"/>
        <v>489.40400000000005</v>
      </c>
      <c r="F210">
        <v>489.54500000000002</v>
      </c>
      <c r="G210">
        <f t="shared" si="20"/>
        <v>0</v>
      </c>
      <c r="H210">
        <v>1.82</v>
      </c>
      <c r="I210">
        <f t="shared" si="21"/>
        <v>0</v>
      </c>
      <c r="J210">
        <f t="shared" si="22"/>
        <v>0</v>
      </c>
      <c r="K210">
        <f t="shared" si="23"/>
        <v>0</v>
      </c>
    </row>
    <row r="211" spans="1:11" x14ac:dyDescent="0.4">
      <c r="A211" s="19">
        <v>45843.458333333336</v>
      </c>
      <c r="B211" s="20">
        <f t="shared" si="19"/>
        <v>0.45833333333575865</v>
      </c>
      <c r="C211">
        <v>0</v>
      </c>
      <c r="D211">
        <v>489.565</v>
      </c>
      <c r="E211">
        <f t="shared" si="18"/>
        <v>489.41</v>
      </c>
      <c r="F211">
        <v>489.54500000000002</v>
      </c>
      <c r="G211">
        <f t="shared" si="20"/>
        <v>0</v>
      </c>
      <c r="H211">
        <v>1.82</v>
      </c>
      <c r="I211">
        <f t="shared" si="21"/>
        <v>0</v>
      </c>
      <c r="J211">
        <f t="shared" si="22"/>
        <v>0</v>
      </c>
      <c r="K211">
        <f t="shared" si="23"/>
        <v>0</v>
      </c>
    </row>
    <row r="212" spans="1:11" x14ac:dyDescent="0.4">
      <c r="A212" s="19">
        <v>45843.5</v>
      </c>
      <c r="B212" s="20">
        <f t="shared" si="19"/>
        <v>0.5</v>
      </c>
      <c r="C212">
        <v>0</v>
      </c>
      <c r="D212">
        <v>489.565</v>
      </c>
      <c r="E212">
        <f t="shared" si="18"/>
        <v>489.41</v>
      </c>
      <c r="F212">
        <v>489.54500000000002</v>
      </c>
      <c r="G212">
        <f t="shared" si="20"/>
        <v>0</v>
      </c>
      <c r="H212">
        <v>1.82</v>
      </c>
      <c r="I212">
        <f t="shared" si="21"/>
        <v>0</v>
      </c>
      <c r="J212">
        <f t="shared" si="22"/>
        <v>0</v>
      </c>
      <c r="K212">
        <f t="shared" si="23"/>
        <v>0</v>
      </c>
    </row>
    <row r="213" spans="1:11" x14ac:dyDescent="0.4">
      <c r="A213" s="19">
        <v>45843.541666666664</v>
      </c>
      <c r="B213" s="20">
        <f t="shared" si="19"/>
        <v>0.54166666666424135</v>
      </c>
      <c r="C213">
        <v>0</v>
      </c>
      <c r="D213">
        <v>489.565</v>
      </c>
      <c r="E213">
        <f t="shared" si="18"/>
        <v>489.41</v>
      </c>
      <c r="F213">
        <v>489.54500000000002</v>
      </c>
      <c r="G213">
        <f t="shared" si="20"/>
        <v>0</v>
      </c>
      <c r="H213">
        <v>1.82</v>
      </c>
      <c r="I213">
        <f t="shared" si="21"/>
        <v>0</v>
      </c>
      <c r="J213">
        <f t="shared" si="22"/>
        <v>0</v>
      </c>
      <c r="K213">
        <f t="shared" si="23"/>
        <v>0</v>
      </c>
    </row>
    <row r="214" spans="1:11" x14ac:dyDescent="0.4">
      <c r="A214" s="19">
        <v>45843.583333333336</v>
      </c>
      <c r="B214" s="20">
        <f t="shared" si="19"/>
        <v>0.58333333333575865</v>
      </c>
      <c r="C214">
        <v>0</v>
      </c>
      <c r="D214">
        <v>489.565</v>
      </c>
      <c r="E214">
        <f t="shared" si="18"/>
        <v>489.41</v>
      </c>
      <c r="F214">
        <v>489.54500000000002</v>
      </c>
      <c r="G214">
        <f t="shared" si="20"/>
        <v>0</v>
      </c>
      <c r="H214">
        <v>1.82</v>
      </c>
      <c r="I214">
        <f t="shared" si="21"/>
        <v>0</v>
      </c>
      <c r="J214">
        <f t="shared" si="22"/>
        <v>0</v>
      </c>
      <c r="K214">
        <f t="shared" si="23"/>
        <v>0</v>
      </c>
    </row>
    <row r="215" spans="1:11" x14ac:dyDescent="0.4">
      <c r="A215" s="19">
        <v>45843.625</v>
      </c>
      <c r="B215" s="20">
        <f t="shared" si="19"/>
        <v>0.625</v>
      </c>
      <c r="C215">
        <v>0</v>
      </c>
      <c r="D215">
        <v>489.565</v>
      </c>
      <c r="E215">
        <f t="shared" si="18"/>
        <v>489.41</v>
      </c>
      <c r="F215">
        <v>489.54500000000002</v>
      </c>
      <c r="G215">
        <f t="shared" si="20"/>
        <v>0</v>
      </c>
      <c r="H215">
        <v>1.82</v>
      </c>
      <c r="I215">
        <f t="shared" si="21"/>
        <v>0</v>
      </c>
      <c r="J215">
        <f t="shared" si="22"/>
        <v>0</v>
      </c>
      <c r="K215">
        <f t="shared" si="23"/>
        <v>0</v>
      </c>
    </row>
    <row r="216" spans="1:11" x14ac:dyDescent="0.4">
      <c r="A216" s="19">
        <v>45843.666666666664</v>
      </c>
      <c r="B216" s="20">
        <f t="shared" si="19"/>
        <v>0.66666666666424135</v>
      </c>
      <c r="C216">
        <v>1.8</v>
      </c>
      <c r="D216">
        <v>489.572</v>
      </c>
      <c r="E216">
        <f t="shared" si="18"/>
        <v>489.41700000000003</v>
      </c>
      <c r="F216">
        <v>489.54500000000002</v>
      </c>
      <c r="G216">
        <f t="shared" si="20"/>
        <v>0</v>
      </c>
      <c r="H216">
        <v>1.82</v>
      </c>
      <c r="I216">
        <f t="shared" si="21"/>
        <v>0</v>
      </c>
      <c r="J216">
        <f t="shared" si="22"/>
        <v>0</v>
      </c>
      <c r="K216">
        <f t="shared" si="23"/>
        <v>0</v>
      </c>
    </row>
    <row r="217" spans="1:11" x14ac:dyDescent="0.4">
      <c r="A217" s="19">
        <v>45843.708333333336</v>
      </c>
      <c r="B217" s="20">
        <f t="shared" si="19"/>
        <v>0.70833333333575865</v>
      </c>
      <c r="C217">
        <v>0.2</v>
      </c>
      <c r="D217">
        <v>489.56599999999997</v>
      </c>
      <c r="E217">
        <f t="shared" si="18"/>
        <v>489.411</v>
      </c>
      <c r="F217">
        <v>489.54500000000002</v>
      </c>
      <c r="G217">
        <f t="shared" si="20"/>
        <v>0</v>
      </c>
      <c r="H217">
        <v>1.82</v>
      </c>
      <c r="I217">
        <f t="shared" si="21"/>
        <v>0</v>
      </c>
      <c r="J217">
        <f t="shared" si="22"/>
        <v>0</v>
      </c>
      <c r="K217">
        <f t="shared" si="23"/>
        <v>0</v>
      </c>
    </row>
    <row r="218" spans="1:11" x14ac:dyDescent="0.4">
      <c r="A218" s="19">
        <v>45843.75</v>
      </c>
      <c r="B218" s="20">
        <f t="shared" si="19"/>
        <v>0.75</v>
      </c>
      <c r="C218">
        <v>0</v>
      </c>
      <c r="D218">
        <v>489.572</v>
      </c>
      <c r="E218">
        <f t="shared" si="18"/>
        <v>489.41700000000003</v>
      </c>
      <c r="F218">
        <v>489.54500000000002</v>
      </c>
      <c r="G218">
        <f t="shared" si="20"/>
        <v>0</v>
      </c>
      <c r="H218">
        <v>1.82</v>
      </c>
      <c r="I218">
        <f t="shared" si="21"/>
        <v>0</v>
      </c>
      <c r="J218">
        <f t="shared" si="22"/>
        <v>0</v>
      </c>
      <c r="K218">
        <f t="shared" si="23"/>
        <v>0</v>
      </c>
    </row>
    <row r="219" spans="1:11" x14ac:dyDescent="0.4">
      <c r="A219" s="19">
        <v>45843.791666666664</v>
      </c>
      <c r="B219" s="20">
        <f t="shared" si="19"/>
        <v>0.79166666666424135</v>
      </c>
      <c r="C219">
        <v>1.4</v>
      </c>
      <c r="D219">
        <v>489.57299999999998</v>
      </c>
      <c r="E219">
        <f t="shared" si="18"/>
        <v>489.41800000000001</v>
      </c>
      <c r="F219">
        <v>489.54500000000002</v>
      </c>
      <c r="G219">
        <f t="shared" si="20"/>
        <v>0</v>
      </c>
      <c r="H219">
        <v>1.82</v>
      </c>
      <c r="I219">
        <f t="shared" si="21"/>
        <v>0</v>
      </c>
      <c r="J219">
        <f t="shared" si="22"/>
        <v>0</v>
      </c>
      <c r="K219">
        <f t="shared" si="23"/>
        <v>0</v>
      </c>
    </row>
    <row r="220" spans="1:11" x14ac:dyDescent="0.4">
      <c r="A220" s="19">
        <v>45843.833333333336</v>
      </c>
      <c r="B220" s="20">
        <f t="shared" si="19"/>
        <v>0.83333333333575865</v>
      </c>
      <c r="C220">
        <v>0</v>
      </c>
      <c r="D220">
        <v>489.57299999999998</v>
      </c>
      <c r="E220">
        <f t="shared" si="18"/>
        <v>489.41800000000001</v>
      </c>
      <c r="F220">
        <v>489.54500000000002</v>
      </c>
      <c r="G220">
        <f t="shared" si="20"/>
        <v>0</v>
      </c>
      <c r="H220">
        <v>1.82</v>
      </c>
      <c r="I220">
        <f t="shared" si="21"/>
        <v>0</v>
      </c>
      <c r="J220">
        <f t="shared" si="22"/>
        <v>0</v>
      </c>
      <c r="K220">
        <f t="shared" si="23"/>
        <v>0</v>
      </c>
    </row>
    <row r="221" spans="1:11" x14ac:dyDescent="0.4">
      <c r="A221" s="19">
        <v>45843.875</v>
      </c>
      <c r="B221" s="20">
        <f t="shared" si="19"/>
        <v>0.875</v>
      </c>
      <c r="C221">
        <v>0.4</v>
      </c>
      <c r="D221">
        <v>489.57299999999998</v>
      </c>
      <c r="E221">
        <f t="shared" si="18"/>
        <v>489.41800000000001</v>
      </c>
      <c r="F221">
        <v>489.54500000000002</v>
      </c>
      <c r="G221">
        <f t="shared" si="20"/>
        <v>0</v>
      </c>
      <c r="H221">
        <v>1.82</v>
      </c>
      <c r="I221">
        <f t="shared" si="21"/>
        <v>0</v>
      </c>
      <c r="J221">
        <f t="shared" si="22"/>
        <v>0</v>
      </c>
      <c r="K221">
        <f t="shared" si="23"/>
        <v>0</v>
      </c>
    </row>
    <row r="222" spans="1:11" x14ac:dyDescent="0.4">
      <c r="A222" s="19">
        <v>45843.916666666664</v>
      </c>
      <c r="B222" s="20">
        <f t="shared" si="19"/>
        <v>0.91666666666424135</v>
      </c>
      <c r="C222">
        <v>0</v>
      </c>
      <c r="D222">
        <v>489.57900000000001</v>
      </c>
      <c r="E222">
        <f t="shared" si="18"/>
        <v>489.42400000000004</v>
      </c>
      <c r="F222">
        <v>489.54500000000002</v>
      </c>
      <c r="G222">
        <f t="shared" si="20"/>
        <v>0</v>
      </c>
      <c r="H222">
        <v>1.82</v>
      </c>
      <c r="I222">
        <f t="shared" si="21"/>
        <v>0</v>
      </c>
      <c r="J222">
        <f t="shared" si="22"/>
        <v>0</v>
      </c>
      <c r="K222">
        <f t="shared" si="23"/>
        <v>0</v>
      </c>
    </row>
    <row r="223" spans="1:11" x14ac:dyDescent="0.4">
      <c r="A223" s="19">
        <v>45843.958333333336</v>
      </c>
      <c r="B223" s="20">
        <f t="shared" si="19"/>
        <v>0.95833333333575865</v>
      </c>
      <c r="C223">
        <v>1</v>
      </c>
      <c r="D223">
        <v>489.57299999999998</v>
      </c>
      <c r="E223">
        <f t="shared" si="18"/>
        <v>489.41800000000001</v>
      </c>
      <c r="F223">
        <v>489.54500000000002</v>
      </c>
      <c r="G223">
        <f t="shared" si="20"/>
        <v>0</v>
      </c>
      <c r="H223">
        <v>1.82</v>
      </c>
      <c r="I223">
        <f t="shared" si="21"/>
        <v>0</v>
      </c>
      <c r="J223">
        <f t="shared" si="22"/>
        <v>0</v>
      </c>
      <c r="K223">
        <f t="shared" si="23"/>
        <v>0</v>
      </c>
    </row>
    <row r="224" spans="1:11" x14ac:dyDescent="0.4">
      <c r="A224" s="19">
        <v>45844</v>
      </c>
      <c r="B224" s="20">
        <f t="shared" si="19"/>
        <v>0</v>
      </c>
      <c r="C224">
        <v>1.2</v>
      </c>
      <c r="D224">
        <v>489.57900000000001</v>
      </c>
      <c r="E224">
        <f t="shared" si="18"/>
        <v>489.42400000000004</v>
      </c>
      <c r="F224">
        <v>489.54500000000002</v>
      </c>
      <c r="G224">
        <f t="shared" si="20"/>
        <v>0</v>
      </c>
      <c r="H224">
        <v>1.82</v>
      </c>
      <c r="I224">
        <f t="shared" si="21"/>
        <v>0</v>
      </c>
      <c r="J224">
        <f t="shared" si="22"/>
        <v>0</v>
      </c>
      <c r="K224">
        <f t="shared" si="23"/>
        <v>0</v>
      </c>
    </row>
    <row r="225" spans="1:11" x14ac:dyDescent="0.4">
      <c r="A225" s="19">
        <v>45844.041666666664</v>
      </c>
      <c r="B225" s="20">
        <f t="shared" si="19"/>
        <v>4.1666666664241347E-2</v>
      </c>
      <c r="C225">
        <v>0.6</v>
      </c>
      <c r="D225">
        <v>489.57900000000001</v>
      </c>
      <c r="E225">
        <f t="shared" si="18"/>
        <v>489.42400000000004</v>
      </c>
      <c r="F225">
        <v>489.54500000000002</v>
      </c>
      <c r="G225">
        <f t="shared" si="20"/>
        <v>0</v>
      </c>
      <c r="H225">
        <v>1.82</v>
      </c>
      <c r="I225">
        <f t="shared" si="21"/>
        <v>0</v>
      </c>
      <c r="J225">
        <f t="shared" si="22"/>
        <v>0</v>
      </c>
      <c r="K225">
        <f t="shared" si="23"/>
        <v>0</v>
      </c>
    </row>
    <row r="226" spans="1:11" x14ac:dyDescent="0.4">
      <c r="A226" s="19">
        <v>45844.083333333336</v>
      </c>
      <c r="B226" s="20">
        <f t="shared" si="19"/>
        <v>8.3333333335758653E-2</v>
      </c>
      <c r="C226">
        <v>0.6</v>
      </c>
      <c r="D226">
        <v>489.58600000000001</v>
      </c>
      <c r="E226">
        <f t="shared" si="18"/>
        <v>489.43100000000004</v>
      </c>
      <c r="F226">
        <v>489.54500000000002</v>
      </c>
      <c r="G226">
        <f t="shared" si="20"/>
        <v>0</v>
      </c>
      <c r="H226">
        <v>1.82</v>
      </c>
      <c r="I226">
        <f t="shared" si="21"/>
        <v>0</v>
      </c>
      <c r="J226">
        <f t="shared" si="22"/>
        <v>0</v>
      </c>
      <c r="K226">
        <f t="shared" si="23"/>
        <v>0</v>
      </c>
    </row>
    <row r="227" spans="1:11" x14ac:dyDescent="0.4">
      <c r="A227" s="19">
        <v>45844.125</v>
      </c>
      <c r="B227" s="20">
        <f t="shared" si="19"/>
        <v>0.125</v>
      </c>
      <c r="C227">
        <v>0</v>
      </c>
      <c r="D227">
        <v>489.57900000000001</v>
      </c>
      <c r="E227">
        <f t="shared" si="18"/>
        <v>489.42400000000004</v>
      </c>
      <c r="F227">
        <v>489.54500000000002</v>
      </c>
      <c r="G227">
        <f t="shared" si="20"/>
        <v>0</v>
      </c>
      <c r="H227">
        <v>1.82</v>
      </c>
      <c r="I227">
        <f t="shared" si="21"/>
        <v>0</v>
      </c>
      <c r="J227">
        <f t="shared" si="22"/>
        <v>0</v>
      </c>
      <c r="K227">
        <f t="shared" si="23"/>
        <v>0</v>
      </c>
    </row>
    <row r="228" spans="1:11" x14ac:dyDescent="0.4">
      <c r="A228" s="19">
        <v>45844.166666666664</v>
      </c>
      <c r="B228" s="20">
        <f t="shared" si="19"/>
        <v>0.16666666666424135</v>
      </c>
      <c r="C228">
        <v>0</v>
      </c>
      <c r="D228">
        <v>489.57900000000001</v>
      </c>
      <c r="E228">
        <f t="shared" si="18"/>
        <v>489.42400000000004</v>
      </c>
      <c r="F228">
        <v>489.54500000000002</v>
      </c>
      <c r="G228">
        <f t="shared" si="20"/>
        <v>0</v>
      </c>
      <c r="H228">
        <v>1.82</v>
      </c>
      <c r="I228">
        <f t="shared" si="21"/>
        <v>0</v>
      </c>
      <c r="J228">
        <f t="shared" si="22"/>
        <v>0</v>
      </c>
      <c r="K228">
        <f t="shared" si="23"/>
        <v>0</v>
      </c>
    </row>
    <row r="229" spans="1:11" x14ac:dyDescent="0.4">
      <c r="A229" s="19">
        <v>45844.208333333336</v>
      </c>
      <c r="B229" s="20">
        <f t="shared" si="19"/>
        <v>0.20833333333575865</v>
      </c>
      <c r="C229">
        <v>0.2</v>
      </c>
      <c r="D229">
        <v>489.58600000000001</v>
      </c>
      <c r="E229">
        <f t="shared" si="18"/>
        <v>489.43100000000004</v>
      </c>
      <c r="F229">
        <v>489.54500000000002</v>
      </c>
      <c r="G229">
        <f t="shared" si="20"/>
        <v>0</v>
      </c>
      <c r="H229">
        <v>1.82</v>
      </c>
      <c r="I229">
        <f t="shared" si="21"/>
        <v>0</v>
      </c>
      <c r="J229">
        <f t="shared" si="22"/>
        <v>0</v>
      </c>
      <c r="K229">
        <f t="shared" si="23"/>
        <v>0</v>
      </c>
    </row>
    <row r="230" spans="1:11" x14ac:dyDescent="0.4">
      <c r="A230" s="19">
        <v>45844.25</v>
      </c>
      <c r="B230" s="20">
        <f t="shared" si="19"/>
        <v>0.25</v>
      </c>
      <c r="C230">
        <v>0</v>
      </c>
      <c r="D230">
        <v>489.57900000000001</v>
      </c>
      <c r="E230">
        <f t="shared" si="18"/>
        <v>489.42400000000004</v>
      </c>
      <c r="F230">
        <v>489.54500000000002</v>
      </c>
      <c r="G230">
        <f t="shared" si="20"/>
        <v>0</v>
      </c>
      <c r="H230">
        <v>1.82</v>
      </c>
      <c r="I230">
        <f t="shared" si="21"/>
        <v>0</v>
      </c>
      <c r="J230">
        <f t="shared" si="22"/>
        <v>0</v>
      </c>
      <c r="K230">
        <f t="shared" si="23"/>
        <v>0</v>
      </c>
    </row>
    <row r="231" spans="1:11" x14ac:dyDescent="0.4">
      <c r="A231" s="19">
        <v>45844.291666666664</v>
      </c>
      <c r="B231" s="20">
        <f t="shared" si="19"/>
        <v>0.29166666666424135</v>
      </c>
      <c r="C231">
        <v>0</v>
      </c>
      <c r="D231">
        <v>489.58600000000001</v>
      </c>
      <c r="E231">
        <f t="shared" si="18"/>
        <v>489.43100000000004</v>
      </c>
      <c r="F231">
        <v>489.54500000000002</v>
      </c>
      <c r="G231">
        <f t="shared" si="20"/>
        <v>0</v>
      </c>
      <c r="H231">
        <v>1.82</v>
      </c>
      <c r="I231">
        <f t="shared" si="21"/>
        <v>0</v>
      </c>
      <c r="J231">
        <f t="shared" si="22"/>
        <v>0</v>
      </c>
      <c r="K231">
        <f t="shared" si="23"/>
        <v>0</v>
      </c>
    </row>
    <row r="232" spans="1:11" x14ac:dyDescent="0.4">
      <c r="A232" s="19">
        <v>45844.333333333336</v>
      </c>
      <c r="B232" s="20">
        <f t="shared" si="19"/>
        <v>0.33333333333575865</v>
      </c>
      <c r="C232">
        <v>0</v>
      </c>
      <c r="D232">
        <v>489.58600000000001</v>
      </c>
      <c r="E232">
        <f t="shared" si="18"/>
        <v>489.43100000000004</v>
      </c>
      <c r="F232">
        <v>489.54500000000002</v>
      </c>
      <c r="G232">
        <f t="shared" si="20"/>
        <v>0</v>
      </c>
      <c r="H232">
        <v>1.82</v>
      </c>
      <c r="I232">
        <f t="shared" si="21"/>
        <v>0</v>
      </c>
      <c r="J232">
        <f t="shared" si="22"/>
        <v>0</v>
      </c>
      <c r="K232">
        <f t="shared" si="23"/>
        <v>0</v>
      </c>
    </row>
    <row r="233" spans="1:11" x14ac:dyDescent="0.4">
      <c r="A233" s="19">
        <v>45844.375</v>
      </c>
      <c r="B233" s="20">
        <f t="shared" si="19"/>
        <v>0.375</v>
      </c>
      <c r="C233">
        <v>0</v>
      </c>
      <c r="D233">
        <v>489.58600000000001</v>
      </c>
      <c r="E233">
        <f t="shared" si="18"/>
        <v>489.43100000000004</v>
      </c>
      <c r="F233">
        <v>489.54500000000002</v>
      </c>
      <c r="G233">
        <f t="shared" si="20"/>
        <v>0</v>
      </c>
      <c r="H233">
        <v>1.82</v>
      </c>
      <c r="I233">
        <f t="shared" si="21"/>
        <v>0</v>
      </c>
      <c r="J233">
        <f t="shared" si="22"/>
        <v>0</v>
      </c>
      <c r="K233">
        <f t="shared" si="23"/>
        <v>0</v>
      </c>
    </row>
    <row r="234" spans="1:11" x14ac:dyDescent="0.4">
      <c r="A234" s="19">
        <v>45844.416666666664</v>
      </c>
      <c r="B234" s="20">
        <f t="shared" si="19"/>
        <v>0.41666666666424135</v>
      </c>
      <c r="C234">
        <v>0</v>
      </c>
      <c r="D234">
        <v>489.58499999999998</v>
      </c>
      <c r="E234">
        <f t="shared" si="18"/>
        <v>489.43</v>
      </c>
      <c r="F234">
        <v>489.54500000000002</v>
      </c>
      <c r="G234">
        <f t="shared" si="20"/>
        <v>0</v>
      </c>
      <c r="H234">
        <v>1.82</v>
      </c>
      <c r="I234">
        <f t="shared" si="21"/>
        <v>0</v>
      </c>
      <c r="J234">
        <f t="shared" si="22"/>
        <v>0</v>
      </c>
      <c r="K234">
        <f t="shared" si="23"/>
        <v>0</v>
      </c>
    </row>
    <row r="235" spans="1:11" x14ac:dyDescent="0.4">
      <c r="A235" s="19">
        <v>45844.458333333336</v>
      </c>
      <c r="B235" s="20">
        <f t="shared" si="19"/>
        <v>0.45833333333575865</v>
      </c>
      <c r="C235">
        <v>0</v>
      </c>
      <c r="D235">
        <v>489.58499999999998</v>
      </c>
      <c r="E235">
        <f t="shared" si="18"/>
        <v>489.43</v>
      </c>
      <c r="F235">
        <v>489.54500000000002</v>
      </c>
      <c r="G235">
        <f t="shared" si="20"/>
        <v>0</v>
      </c>
      <c r="H235">
        <v>1.82</v>
      </c>
      <c r="I235">
        <f t="shared" si="21"/>
        <v>0</v>
      </c>
      <c r="J235">
        <f t="shared" si="22"/>
        <v>0</v>
      </c>
      <c r="K235">
        <f t="shared" si="23"/>
        <v>0</v>
      </c>
    </row>
    <row r="236" spans="1:11" x14ac:dyDescent="0.4">
      <c r="A236" s="19">
        <v>45844.5</v>
      </c>
      <c r="B236" s="20">
        <f t="shared" si="19"/>
        <v>0.5</v>
      </c>
      <c r="C236">
        <v>0</v>
      </c>
      <c r="D236">
        <v>489.58600000000001</v>
      </c>
      <c r="E236">
        <f t="shared" si="18"/>
        <v>489.43100000000004</v>
      </c>
      <c r="F236">
        <v>489.54500000000002</v>
      </c>
      <c r="G236">
        <f t="shared" si="20"/>
        <v>0</v>
      </c>
      <c r="H236">
        <v>1.82</v>
      </c>
      <c r="I236">
        <f t="shared" si="21"/>
        <v>0</v>
      </c>
      <c r="J236">
        <f t="shared" si="22"/>
        <v>0</v>
      </c>
      <c r="K236">
        <f t="shared" si="23"/>
        <v>0</v>
      </c>
    </row>
    <row r="237" spans="1:11" x14ac:dyDescent="0.4">
      <c r="A237" s="19">
        <v>45844.541666666664</v>
      </c>
      <c r="B237" s="20">
        <f t="shared" si="19"/>
        <v>0.54166666666424135</v>
      </c>
      <c r="C237">
        <v>0</v>
      </c>
      <c r="D237">
        <v>489.58600000000001</v>
      </c>
      <c r="E237">
        <f t="shared" si="18"/>
        <v>489.43100000000004</v>
      </c>
      <c r="F237">
        <v>489.54500000000002</v>
      </c>
      <c r="G237">
        <f t="shared" si="20"/>
        <v>0</v>
      </c>
      <c r="H237">
        <v>1.82</v>
      </c>
      <c r="I237">
        <f t="shared" si="21"/>
        <v>0</v>
      </c>
      <c r="J237">
        <f t="shared" si="22"/>
        <v>0</v>
      </c>
      <c r="K237">
        <f t="shared" si="23"/>
        <v>0</v>
      </c>
    </row>
    <row r="238" spans="1:11" x14ac:dyDescent="0.4">
      <c r="A238" s="19">
        <v>45844.583333333336</v>
      </c>
      <c r="B238" s="20">
        <f t="shared" si="19"/>
        <v>0.58333333333575865</v>
      </c>
      <c r="C238">
        <v>0</v>
      </c>
      <c r="D238">
        <v>489.58499999999998</v>
      </c>
      <c r="E238">
        <f t="shared" si="18"/>
        <v>489.43</v>
      </c>
      <c r="F238">
        <v>489.54500000000002</v>
      </c>
      <c r="G238">
        <f t="shared" si="20"/>
        <v>0</v>
      </c>
      <c r="H238">
        <v>1.82</v>
      </c>
      <c r="I238">
        <f t="shared" si="21"/>
        <v>0</v>
      </c>
      <c r="J238">
        <f t="shared" si="22"/>
        <v>0</v>
      </c>
      <c r="K238">
        <f t="shared" si="23"/>
        <v>0</v>
      </c>
    </row>
    <row r="239" spans="1:11" x14ac:dyDescent="0.4">
      <c r="A239" s="19">
        <v>45844.625</v>
      </c>
      <c r="B239" s="20">
        <f t="shared" si="19"/>
        <v>0.625</v>
      </c>
      <c r="C239">
        <v>0</v>
      </c>
      <c r="D239">
        <v>489.58499999999998</v>
      </c>
      <c r="E239">
        <f t="shared" si="18"/>
        <v>489.43</v>
      </c>
      <c r="F239">
        <v>489.54500000000002</v>
      </c>
      <c r="G239">
        <f t="shared" si="20"/>
        <v>0</v>
      </c>
      <c r="H239">
        <v>1.82</v>
      </c>
      <c r="I239">
        <f t="shared" si="21"/>
        <v>0</v>
      </c>
      <c r="J239">
        <f t="shared" si="22"/>
        <v>0</v>
      </c>
      <c r="K239">
        <f t="shared" si="23"/>
        <v>0</v>
      </c>
    </row>
    <row r="240" spans="1:11" x14ac:dyDescent="0.4">
      <c r="A240" s="19">
        <v>45844.666666666664</v>
      </c>
      <c r="B240" s="20">
        <f t="shared" si="19"/>
        <v>0.66666666666424135</v>
      </c>
      <c r="C240">
        <v>0</v>
      </c>
      <c r="D240">
        <v>489.58499999999998</v>
      </c>
      <c r="E240">
        <f t="shared" si="18"/>
        <v>489.43</v>
      </c>
      <c r="F240">
        <v>489.54500000000002</v>
      </c>
      <c r="G240">
        <f t="shared" si="20"/>
        <v>0</v>
      </c>
      <c r="H240">
        <v>1.82</v>
      </c>
      <c r="I240">
        <f t="shared" si="21"/>
        <v>0</v>
      </c>
      <c r="J240">
        <f t="shared" si="22"/>
        <v>0</v>
      </c>
      <c r="K240">
        <f t="shared" si="23"/>
        <v>0</v>
      </c>
    </row>
    <row r="241" spans="1:11" x14ac:dyDescent="0.4">
      <c r="A241" s="19">
        <v>45844.708333333336</v>
      </c>
      <c r="B241" s="20">
        <f t="shared" si="19"/>
        <v>0.70833333333575865</v>
      </c>
      <c r="C241">
        <v>0</v>
      </c>
      <c r="D241">
        <v>489.58499999999998</v>
      </c>
      <c r="E241">
        <f t="shared" si="18"/>
        <v>489.43</v>
      </c>
      <c r="F241">
        <v>489.54500000000002</v>
      </c>
      <c r="G241">
        <f t="shared" si="20"/>
        <v>0</v>
      </c>
      <c r="H241">
        <v>1.82</v>
      </c>
      <c r="I241">
        <f t="shared" si="21"/>
        <v>0</v>
      </c>
      <c r="J241">
        <f t="shared" si="22"/>
        <v>0</v>
      </c>
      <c r="K241">
        <f t="shared" si="23"/>
        <v>0</v>
      </c>
    </row>
    <row r="242" spans="1:11" x14ac:dyDescent="0.4">
      <c r="A242" s="19">
        <v>45844.75</v>
      </c>
      <c r="B242" s="20">
        <f t="shared" si="19"/>
        <v>0.75</v>
      </c>
      <c r="C242">
        <v>0</v>
      </c>
      <c r="D242">
        <v>489.58600000000001</v>
      </c>
      <c r="E242">
        <f t="shared" si="18"/>
        <v>489.43100000000004</v>
      </c>
      <c r="F242">
        <v>489.54500000000002</v>
      </c>
      <c r="G242">
        <f t="shared" si="20"/>
        <v>0</v>
      </c>
      <c r="H242">
        <v>1.82</v>
      </c>
      <c r="I242">
        <f t="shared" si="21"/>
        <v>0</v>
      </c>
      <c r="J242">
        <f t="shared" si="22"/>
        <v>0</v>
      </c>
      <c r="K242">
        <f t="shared" si="23"/>
        <v>0</v>
      </c>
    </row>
    <row r="243" spans="1:11" x14ac:dyDescent="0.4">
      <c r="A243" s="19">
        <v>45844.791666666664</v>
      </c>
      <c r="B243" s="20">
        <f t="shared" si="19"/>
        <v>0.79166666666424135</v>
      </c>
      <c r="C243">
        <v>0</v>
      </c>
      <c r="D243">
        <v>489.58499999999998</v>
      </c>
      <c r="E243">
        <f t="shared" si="18"/>
        <v>489.43</v>
      </c>
      <c r="F243">
        <v>489.54500000000002</v>
      </c>
      <c r="G243">
        <f t="shared" si="20"/>
        <v>0</v>
      </c>
      <c r="H243">
        <v>1.82</v>
      </c>
      <c r="I243">
        <f t="shared" si="21"/>
        <v>0</v>
      </c>
      <c r="J243">
        <f t="shared" si="22"/>
        <v>0</v>
      </c>
      <c r="K243">
        <f t="shared" si="23"/>
        <v>0</v>
      </c>
    </row>
    <row r="244" spans="1:11" x14ac:dyDescent="0.4">
      <c r="A244" s="19">
        <v>45844.833333333336</v>
      </c>
      <c r="B244" s="20">
        <f t="shared" si="19"/>
        <v>0.83333333333575865</v>
      </c>
      <c r="C244">
        <v>0</v>
      </c>
      <c r="D244">
        <v>489.58600000000001</v>
      </c>
      <c r="E244">
        <f t="shared" si="18"/>
        <v>489.43100000000004</v>
      </c>
      <c r="F244">
        <v>489.54500000000002</v>
      </c>
      <c r="G244">
        <f t="shared" si="20"/>
        <v>0</v>
      </c>
      <c r="H244">
        <v>1.82</v>
      </c>
      <c r="I244">
        <f t="shared" si="21"/>
        <v>0</v>
      </c>
      <c r="J244">
        <f t="shared" si="22"/>
        <v>0</v>
      </c>
      <c r="K244">
        <f t="shared" si="23"/>
        <v>0</v>
      </c>
    </row>
    <row r="245" spans="1:11" x14ac:dyDescent="0.4">
      <c r="A245" s="19">
        <v>45844.875</v>
      </c>
      <c r="B245" s="20">
        <f t="shared" si="19"/>
        <v>0.875</v>
      </c>
      <c r="C245">
        <v>0</v>
      </c>
      <c r="D245">
        <v>489.58600000000001</v>
      </c>
      <c r="E245">
        <f t="shared" si="18"/>
        <v>489.43100000000004</v>
      </c>
      <c r="F245">
        <v>489.54500000000002</v>
      </c>
      <c r="G245">
        <f t="shared" si="20"/>
        <v>0</v>
      </c>
      <c r="H245">
        <v>1.82</v>
      </c>
      <c r="I245">
        <f t="shared" si="21"/>
        <v>0</v>
      </c>
      <c r="J245">
        <f t="shared" si="22"/>
        <v>0</v>
      </c>
      <c r="K245">
        <f t="shared" si="23"/>
        <v>0</v>
      </c>
    </row>
    <row r="246" spans="1:11" x14ac:dyDescent="0.4">
      <c r="A246" s="19">
        <v>45844.916666666664</v>
      </c>
      <c r="B246" s="20">
        <f t="shared" si="19"/>
        <v>0.91666666666424135</v>
      </c>
      <c r="C246">
        <v>0</v>
      </c>
      <c r="D246">
        <v>489.58600000000001</v>
      </c>
      <c r="E246">
        <f t="shared" si="18"/>
        <v>489.43100000000004</v>
      </c>
      <c r="F246">
        <v>489.54500000000002</v>
      </c>
      <c r="G246">
        <f t="shared" si="20"/>
        <v>0</v>
      </c>
      <c r="H246">
        <v>1.82</v>
      </c>
      <c r="I246">
        <f t="shared" si="21"/>
        <v>0</v>
      </c>
      <c r="J246">
        <f t="shared" si="22"/>
        <v>0</v>
      </c>
      <c r="K246">
        <f t="shared" si="23"/>
        <v>0</v>
      </c>
    </row>
    <row r="247" spans="1:11" x14ac:dyDescent="0.4">
      <c r="A247" s="19">
        <v>45844.958333333336</v>
      </c>
      <c r="B247" s="20">
        <f t="shared" si="19"/>
        <v>0.95833333333575865</v>
      </c>
      <c r="C247">
        <v>0</v>
      </c>
      <c r="D247">
        <v>489.58600000000001</v>
      </c>
      <c r="E247">
        <f t="shared" si="18"/>
        <v>489.43100000000004</v>
      </c>
      <c r="F247">
        <v>489.54500000000002</v>
      </c>
      <c r="G247">
        <f t="shared" si="20"/>
        <v>0</v>
      </c>
      <c r="H247">
        <v>1.82</v>
      </c>
      <c r="I247">
        <f t="shared" si="21"/>
        <v>0</v>
      </c>
      <c r="J247">
        <f t="shared" si="22"/>
        <v>0</v>
      </c>
      <c r="K247">
        <f t="shared" si="23"/>
        <v>0</v>
      </c>
    </row>
    <row r="248" spans="1:11" x14ac:dyDescent="0.4">
      <c r="A248" s="19">
        <v>45845</v>
      </c>
      <c r="B248" s="20">
        <f t="shared" si="19"/>
        <v>0</v>
      </c>
      <c r="C248">
        <v>0</v>
      </c>
      <c r="D248">
        <v>489.58600000000001</v>
      </c>
      <c r="E248">
        <f t="shared" si="18"/>
        <v>489.43100000000004</v>
      </c>
      <c r="F248">
        <v>489.54500000000002</v>
      </c>
      <c r="G248">
        <f t="shared" si="20"/>
        <v>0</v>
      </c>
      <c r="H248">
        <v>1.82</v>
      </c>
      <c r="I248">
        <f t="shared" si="21"/>
        <v>0</v>
      </c>
      <c r="J248">
        <f t="shared" si="22"/>
        <v>0</v>
      </c>
      <c r="K248">
        <f t="shared" si="23"/>
        <v>0</v>
      </c>
    </row>
    <row r="249" spans="1:11" x14ac:dyDescent="0.4">
      <c r="A249" s="19">
        <v>45845.041666666664</v>
      </c>
      <c r="B249" s="20">
        <f t="shared" si="19"/>
        <v>4.1666666664241347E-2</v>
      </c>
      <c r="C249">
        <v>0</v>
      </c>
      <c r="D249">
        <v>489.58600000000001</v>
      </c>
      <c r="E249">
        <f t="shared" si="18"/>
        <v>489.43100000000004</v>
      </c>
      <c r="F249">
        <v>489.54500000000002</v>
      </c>
      <c r="G249">
        <f t="shared" si="20"/>
        <v>0</v>
      </c>
      <c r="H249">
        <v>1.82</v>
      </c>
      <c r="I249">
        <f t="shared" si="21"/>
        <v>0</v>
      </c>
      <c r="J249">
        <f t="shared" si="22"/>
        <v>0</v>
      </c>
      <c r="K249">
        <f t="shared" si="23"/>
        <v>0</v>
      </c>
    </row>
    <row r="250" spans="1:11" x14ac:dyDescent="0.4">
      <c r="A250" s="19">
        <v>45845.083333333336</v>
      </c>
      <c r="B250" s="20">
        <f t="shared" si="19"/>
        <v>8.3333333335758653E-2</v>
      </c>
      <c r="C250">
        <v>0</v>
      </c>
      <c r="D250">
        <v>489.58600000000001</v>
      </c>
      <c r="E250">
        <f t="shared" si="18"/>
        <v>489.43100000000004</v>
      </c>
      <c r="F250">
        <v>489.54500000000002</v>
      </c>
      <c r="G250">
        <f t="shared" si="20"/>
        <v>0</v>
      </c>
      <c r="H250">
        <v>1.82</v>
      </c>
      <c r="I250">
        <f t="shared" si="21"/>
        <v>0</v>
      </c>
      <c r="J250">
        <f t="shared" si="22"/>
        <v>0</v>
      </c>
      <c r="K250">
        <f t="shared" si="23"/>
        <v>0</v>
      </c>
    </row>
    <row r="251" spans="1:11" x14ac:dyDescent="0.4">
      <c r="A251" s="19">
        <v>45845.125</v>
      </c>
      <c r="B251" s="20">
        <f t="shared" si="19"/>
        <v>0.125</v>
      </c>
      <c r="C251">
        <v>0</v>
      </c>
      <c r="D251">
        <v>489.58600000000001</v>
      </c>
      <c r="E251">
        <f t="shared" si="18"/>
        <v>489.43100000000004</v>
      </c>
      <c r="F251">
        <v>489.54500000000002</v>
      </c>
      <c r="G251">
        <f t="shared" si="20"/>
        <v>0</v>
      </c>
      <c r="H251">
        <v>1.82</v>
      </c>
      <c r="I251">
        <f t="shared" si="21"/>
        <v>0</v>
      </c>
      <c r="J251">
        <f t="shared" si="22"/>
        <v>0</v>
      </c>
      <c r="K251">
        <f t="shared" si="23"/>
        <v>0</v>
      </c>
    </row>
    <row r="252" spans="1:11" x14ac:dyDescent="0.4">
      <c r="A252" s="19">
        <v>45845.166666666664</v>
      </c>
      <c r="B252" s="20">
        <f t="shared" si="19"/>
        <v>0.16666666666424135</v>
      </c>
      <c r="C252">
        <v>0</v>
      </c>
      <c r="D252">
        <v>489.58600000000001</v>
      </c>
      <c r="E252">
        <f t="shared" si="18"/>
        <v>489.43100000000004</v>
      </c>
      <c r="F252">
        <v>489.54500000000002</v>
      </c>
      <c r="G252">
        <f t="shared" si="20"/>
        <v>0</v>
      </c>
      <c r="H252">
        <v>1.82</v>
      </c>
      <c r="I252">
        <f t="shared" si="21"/>
        <v>0</v>
      </c>
      <c r="J252">
        <f t="shared" si="22"/>
        <v>0</v>
      </c>
      <c r="K252">
        <f t="shared" si="23"/>
        <v>0</v>
      </c>
    </row>
    <row r="253" spans="1:11" x14ac:dyDescent="0.4">
      <c r="A253" s="19">
        <v>45845.208333333336</v>
      </c>
      <c r="B253" s="20">
        <f t="shared" si="19"/>
        <v>0.20833333333575865</v>
      </c>
      <c r="C253">
        <v>0</v>
      </c>
      <c r="D253">
        <v>489.58600000000001</v>
      </c>
      <c r="E253">
        <f t="shared" si="18"/>
        <v>489.43100000000004</v>
      </c>
      <c r="F253">
        <v>489.54500000000002</v>
      </c>
      <c r="G253">
        <f t="shared" si="20"/>
        <v>0</v>
      </c>
      <c r="H253">
        <v>1.82</v>
      </c>
      <c r="I253">
        <f t="shared" si="21"/>
        <v>0</v>
      </c>
      <c r="J253">
        <f t="shared" si="22"/>
        <v>0</v>
      </c>
      <c r="K253">
        <f t="shared" si="23"/>
        <v>0</v>
      </c>
    </row>
    <row r="254" spans="1:11" x14ac:dyDescent="0.4">
      <c r="A254" s="19">
        <v>45845.25</v>
      </c>
      <c r="B254" s="20">
        <f t="shared" si="19"/>
        <v>0.25</v>
      </c>
      <c r="C254">
        <v>0</v>
      </c>
      <c r="D254">
        <v>489.58600000000001</v>
      </c>
      <c r="E254">
        <f t="shared" si="18"/>
        <v>489.43100000000004</v>
      </c>
      <c r="F254">
        <v>489.54500000000002</v>
      </c>
      <c r="G254">
        <f t="shared" si="20"/>
        <v>0</v>
      </c>
      <c r="H254">
        <v>1.82</v>
      </c>
      <c r="I254">
        <f t="shared" si="21"/>
        <v>0</v>
      </c>
      <c r="J254">
        <f t="shared" si="22"/>
        <v>0</v>
      </c>
      <c r="K254">
        <f t="shared" si="23"/>
        <v>0</v>
      </c>
    </row>
    <row r="255" spans="1:11" x14ac:dyDescent="0.4">
      <c r="A255" s="19">
        <v>45845.291666666664</v>
      </c>
      <c r="B255" s="20">
        <f t="shared" si="19"/>
        <v>0.29166666666424135</v>
      </c>
      <c r="C255">
        <v>0</v>
      </c>
      <c r="D255">
        <v>489.58600000000001</v>
      </c>
      <c r="E255">
        <f t="shared" si="18"/>
        <v>489.43100000000004</v>
      </c>
      <c r="F255">
        <v>489.54500000000002</v>
      </c>
      <c r="G255">
        <f t="shared" si="20"/>
        <v>0</v>
      </c>
      <c r="H255">
        <v>1.82</v>
      </c>
      <c r="I255">
        <f t="shared" si="21"/>
        <v>0</v>
      </c>
      <c r="J255">
        <f t="shared" si="22"/>
        <v>0</v>
      </c>
      <c r="K255">
        <f t="shared" si="23"/>
        <v>0</v>
      </c>
    </row>
    <row r="256" spans="1:11" x14ac:dyDescent="0.4">
      <c r="A256" s="19">
        <v>45845.333333333336</v>
      </c>
      <c r="B256" s="20">
        <f t="shared" si="19"/>
        <v>0.33333333333575865</v>
      </c>
      <c r="C256">
        <v>0</v>
      </c>
      <c r="D256">
        <v>489.58600000000001</v>
      </c>
      <c r="E256">
        <f t="shared" si="18"/>
        <v>489.43100000000004</v>
      </c>
      <c r="F256">
        <v>489.54500000000002</v>
      </c>
      <c r="G256">
        <f t="shared" si="20"/>
        <v>0</v>
      </c>
      <c r="H256">
        <v>1.82</v>
      </c>
      <c r="I256">
        <f t="shared" si="21"/>
        <v>0</v>
      </c>
      <c r="J256">
        <f t="shared" si="22"/>
        <v>0</v>
      </c>
      <c r="K256">
        <f t="shared" si="23"/>
        <v>0</v>
      </c>
    </row>
    <row r="257" spans="1:11" x14ac:dyDescent="0.4">
      <c r="A257" s="19">
        <v>45845.375</v>
      </c>
      <c r="B257" s="20">
        <f t="shared" si="19"/>
        <v>0.375</v>
      </c>
      <c r="C257">
        <v>0</v>
      </c>
      <c r="D257">
        <v>489.58499999999998</v>
      </c>
      <c r="E257">
        <f t="shared" si="18"/>
        <v>489.43</v>
      </c>
      <c r="F257">
        <v>489.54500000000002</v>
      </c>
      <c r="G257">
        <f t="shared" si="20"/>
        <v>0</v>
      </c>
      <c r="H257">
        <v>1.82</v>
      </c>
      <c r="I257">
        <f t="shared" si="21"/>
        <v>0</v>
      </c>
      <c r="J257">
        <f t="shared" si="22"/>
        <v>0</v>
      </c>
      <c r="K257">
        <f t="shared" si="23"/>
        <v>0</v>
      </c>
    </row>
    <row r="258" spans="1:11" x14ac:dyDescent="0.4">
      <c r="A258" s="19">
        <v>45845.416666666664</v>
      </c>
      <c r="B258" s="20">
        <f t="shared" si="19"/>
        <v>0.41666666666424135</v>
      </c>
      <c r="C258">
        <v>0</v>
      </c>
      <c r="D258">
        <v>489.58600000000001</v>
      </c>
      <c r="E258">
        <f t="shared" ref="E258:E321" si="24">D258-0.155</f>
        <v>489.43100000000004</v>
      </c>
      <c r="F258">
        <v>489.54500000000002</v>
      </c>
      <c r="G258">
        <f t="shared" si="20"/>
        <v>0</v>
      </c>
      <c r="H258">
        <v>1.82</v>
      </c>
      <c r="I258">
        <f t="shared" si="21"/>
        <v>0</v>
      </c>
      <c r="J258">
        <f t="shared" si="22"/>
        <v>0</v>
      </c>
      <c r="K258">
        <f t="shared" si="23"/>
        <v>0</v>
      </c>
    </row>
    <row r="259" spans="1:11" x14ac:dyDescent="0.4">
      <c r="A259" s="19">
        <v>45845.458333333336</v>
      </c>
      <c r="B259" s="20">
        <f t="shared" ref="B259:B322" si="25">MOD(A259,1)</f>
        <v>0.45833333333575865</v>
      </c>
      <c r="C259">
        <v>0</v>
      </c>
      <c r="D259">
        <v>489.58499999999998</v>
      </c>
      <c r="E259">
        <f t="shared" si="24"/>
        <v>489.43</v>
      </c>
      <c r="F259">
        <v>489.54500000000002</v>
      </c>
      <c r="G259">
        <f t="shared" ref="G259:G322" si="26">IF(E259 - F259 &lt; 0, 0, E259 - F259)</f>
        <v>0</v>
      </c>
      <c r="H259">
        <v>1.82</v>
      </c>
      <c r="I259">
        <f t="shared" ref="I259:I322" si="27">1.82*30*(G259^1.5)</f>
        <v>0</v>
      </c>
      <c r="J259">
        <f t="shared" ref="J259:J322" si="28">I259*60</f>
        <v>0</v>
      </c>
      <c r="K259">
        <f t="shared" ref="K259:K322" si="29">(I259*86400)/24</f>
        <v>0</v>
      </c>
    </row>
    <row r="260" spans="1:11" x14ac:dyDescent="0.4">
      <c r="A260" s="19">
        <v>45845.5</v>
      </c>
      <c r="B260" s="20">
        <f t="shared" si="25"/>
        <v>0.5</v>
      </c>
      <c r="C260">
        <v>0</v>
      </c>
      <c r="D260">
        <v>489.57900000000001</v>
      </c>
      <c r="E260">
        <f t="shared" si="24"/>
        <v>489.42400000000004</v>
      </c>
      <c r="F260">
        <v>489.54500000000002</v>
      </c>
      <c r="G260">
        <f t="shared" si="26"/>
        <v>0</v>
      </c>
      <c r="H260">
        <v>1.82</v>
      </c>
      <c r="I260">
        <f t="shared" si="27"/>
        <v>0</v>
      </c>
      <c r="J260">
        <f t="shared" si="28"/>
        <v>0</v>
      </c>
      <c r="K260">
        <f t="shared" si="29"/>
        <v>0</v>
      </c>
    </row>
    <row r="261" spans="1:11" x14ac:dyDescent="0.4">
      <c r="A261" s="19">
        <v>45845.541666666664</v>
      </c>
      <c r="B261" s="20">
        <f t="shared" si="25"/>
        <v>0.54166666666424135</v>
      </c>
      <c r="C261">
        <v>0</v>
      </c>
      <c r="D261">
        <v>489.58499999999998</v>
      </c>
      <c r="E261">
        <f t="shared" si="24"/>
        <v>489.43</v>
      </c>
      <c r="F261">
        <v>489.54500000000002</v>
      </c>
      <c r="G261">
        <f t="shared" si="26"/>
        <v>0</v>
      </c>
      <c r="H261">
        <v>1.82</v>
      </c>
      <c r="I261">
        <f t="shared" si="27"/>
        <v>0</v>
      </c>
      <c r="J261">
        <f t="shared" si="28"/>
        <v>0</v>
      </c>
      <c r="K261">
        <f t="shared" si="29"/>
        <v>0</v>
      </c>
    </row>
    <row r="262" spans="1:11" x14ac:dyDescent="0.4">
      <c r="A262" s="19">
        <v>45845.583333333336</v>
      </c>
      <c r="B262" s="20">
        <f t="shared" si="25"/>
        <v>0.58333333333575865</v>
      </c>
      <c r="C262">
        <v>0</v>
      </c>
      <c r="D262">
        <v>489.58499999999998</v>
      </c>
      <c r="E262">
        <f t="shared" si="24"/>
        <v>489.43</v>
      </c>
      <c r="F262">
        <v>489.54500000000002</v>
      </c>
      <c r="G262">
        <f t="shared" si="26"/>
        <v>0</v>
      </c>
      <c r="H262">
        <v>1.82</v>
      </c>
      <c r="I262">
        <f t="shared" si="27"/>
        <v>0</v>
      </c>
      <c r="J262">
        <f t="shared" si="28"/>
        <v>0</v>
      </c>
      <c r="K262">
        <f t="shared" si="29"/>
        <v>0</v>
      </c>
    </row>
    <row r="263" spans="1:11" x14ac:dyDescent="0.4">
      <c r="A263" s="19">
        <v>45845.625</v>
      </c>
      <c r="B263" s="20">
        <f t="shared" si="25"/>
        <v>0.625</v>
      </c>
      <c r="C263">
        <v>0</v>
      </c>
      <c r="D263">
        <v>489.58499999999998</v>
      </c>
      <c r="E263">
        <f t="shared" si="24"/>
        <v>489.43</v>
      </c>
      <c r="F263">
        <v>489.54500000000002</v>
      </c>
      <c r="G263">
        <f t="shared" si="26"/>
        <v>0</v>
      </c>
      <c r="H263">
        <v>1.82</v>
      </c>
      <c r="I263">
        <f t="shared" si="27"/>
        <v>0</v>
      </c>
      <c r="J263">
        <f t="shared" si="28"/>
        <v>0</v>
      </c>
      <c r="K263">
        <f t="shared" si="29"/>
        <v>0</v>
      </c>
    </row>
    <row r="264" spans="1:11" x14ac:dyDescent="0.4">
      <c r="A264" s="19">
        <v>45845.666666666664</v>
      </c>
      <c r="B264" s="20">
        <f t="shared" si="25"/>
        <v>0.66666666666424135</v>
      </c>
      <c r="C264">
        <v>0</v>
      </c>
      <c r="D264">
        <v>489.58499999999998</v>
      </c>
      <c r="E264">
        <f t="shared" si="24"/>
        <v>489.43</v>
      </c>
      <c r="F264">
        <v>489.54500000000002</v>
      </c>
      <c r="G264">
        <f t="shared" si="26"/>
        <v>0</v>
      </c>
      <c r="H264">
        <v>1.82</v>
      </c>
      <c r="I264">
        <f t="shared" si="27"/>
        <v>0</v>
      </c>
      <c r="J264">
        <f t="shared" si="28"/>
        <v>0</v>
      </c>
      <c r="K264">
        <f t="shared" si="29"/>
        <v>0</v>
      </c>
    </row>
    <row r="265" spans="1:11" x14ac:dyDescent="0.4">
      <c r="A265" s="19">
        <v>45845.708333333336</v>
      </c>
      <c r="B265" s="20">
        <f t="shared" si="25"/>
        <v>0.70833333333575865</v>
      </c>
      <c r="C265">
        <v>0</v>
      </c>
      <c r="D265">
        <v>489.58600000000001</v>
      </c>
      <c r="E265">
        <f t="shared" si="24"/>
        <v>489.43100000000004</v>
      </c>
      <c r="F265">
        <v>489.54500000000002</v>
      </c>
      <c r="G265">
        <f t="shared" si="26"/>
        <v>0</v>
      </c>
      <c r="H265">
        <v>1.82</v>
      </c>
      <c r="I265">
        <f t="shared" si="27"/>
        <v>0</v>
      </c>
      <c r="J265">
        <f t="shared" si="28"/>
        <v>0</v>
      </c>
      <c r="K265">
        <f t="shared" si="29"/>
        <v>0</v>
      </c>
    </row>
    <row r="266" spans="1:11" x14ac:dyDescent="0.4">
      <c r="A266" s="19">
        <v>45845.75</v>
      </c>
      <c r="B266" s="20">
        <f t="shared" si="25"/>
        <v>0.75</v>
      </c>
      <c r="C266">
        <v>0</v>
      </c>
      <c r="D266">
        <v>489.58600000000001</v>
      </c>
      <c r="E266">
        <f t="shared" si="24"/>
        <v>489.43100000000004</v>
      </c>
      <c r="F266">
        <v>489.54500000000002</v>
      </c>
      <c r="G266">
        <f t="shared" si="26"/>
        <v>0</v>
      </c>
      <c r="H266">
        <v>1.82</v>
      </c>
      <c r="I266">
        <f t="shared" si="27"/>
        <v>0</v>
      </c>
      <c r="J266">
        <f t="shared" si="28"/>
        <v>0</v>
      </c>
      <c r="K266">
        <f t="shared" si="29"/>
        <v>0</v>
      </c>
    </row>
    <row r="267" spans="1:11" x14ac:dyDescent="0.4">
      <c r="A267" s="19">
        <v>45845.791666666664</v>
      </c>
      <c r="B267" s="20">
        <f t="shared" si="25"/>
        <v>0.79166666666424135</v>
      </c>
      <c r="C267">
        <v>0</v>
      </c>
      <c r="D267">
        <v>489.57900000000001</v>
      </c>
      <c r="E267">
        <f t="shared" si="24"/>
        <v>489.42400000000004</v>
      </c>
      <c r="F267">
        <v>489.54500000000002</v>
      </c>
      <c r="G267">
        <f t="shared" si="26"/>
        <v>0</v>
      </c>
      <c r="H267">
        <v>1.82</v>
      </c>
      <c r="I267">
        <f t="shared" si="27"/>
        <v>0</v>
      </c>
      <c r="J267">
        <f t="shared" si="28"/>
        <v>0</v>
      </c>
      <c r="K267">
        <f t="shared" si="29"/>
        <v>0</v>
      </c>
    </row>
    <row r="268" spans="1:11" x14ac:dyDescent="0.4">
      <c r="A268" s="19">
        <v>45845.833333333336</v>
      </c>
      <c r="B268" s="20">
        <f t="shared" si="25"/>
        <v>0.83333333333575865</v>
      </c>
      <c r="C268">
        <v>0</v>
      </c>
      <c r="D268">
        <v>489.58600000000001</v>
      </c>
      <c r="E268">
        <f t="shared" si="24"/>
        <v>489.43100000000004</v>
      </c>
      <c r="F268">
        <v>489.54500000000002</v>
      </c>
      <c r="G268">
        <f t="shared" si="26"/>
        <v>0</v>
      </c>
      <c r="H268">
        <v>1.82</v>
      </c>
      <c r="I268">
        <f t="shared" si="27"/>
        <v>0</v>
      </c>
      <c r="J268">
        <f t="shared" si="28"/>
        <v>0</v>
      </c>
      <c r="K268">
        <f t="shared" si="29"/>
        <v>0</v>
      </c>
    </row>
    <row r="269" spans="1:11" x14ac:dyDescent="0.4">
      <c r="A269" s="19">
        <v>45845.875</v>
      </c>
      <c r="B269" s="20">
        <f t="shared" si="25"/>
        <v>0.875</v>
      </c>
      <c r="C269">
        <v>0</v>
      </c>
      <c r="D269">
        <v>489.58600000000001</v>
      </c>
      <c r="E269">
        <f t="shared" si="24"/>
        <v>489.43100000000004</v>
      </c>
      <c r="F269">
        <v>489.54500000000002</v>
      </c>
      <c r="G269">
        <f t="shared" si="26"/>
        <v>0</v>
      </c>
      <c r="H269">
        <v>1.82</v>
      </c>
      <c r="I269">
        <f t="shared" si="27"/>
        <v>0</v>
      </c>
      <c r="J269">
        <f t="shared" si="28"/>
        <v>0</v>
      </c>
      <c r="K269">
        <f t="shared" si="29"/>
        <v>0</v>
      </c>
    </row>
    <row r="270" spans="1:11" x14ac:dyDescent="0.4">
      <c r="A270" s="19">
        <v>45845.916666666664</v>
      </c>
      <c r="B270" s="20">
        <f t="shared" si="25"/>
        <v>0.91666666666424135</v>
      </c>
      <c r="C270">
        <v>0</v>
      </c>
      <c r="D270">
        <v>489.58600000000001</v>
      </c>
      <c r="E270">
        <f t="shared" si="24"/>
        <v>489.43100000000004</v>
      </c>
      <c r="F270">
        <v>489.54500000000002</v>
      </c>
      <c r="G270">
        <f t="shared" si="26"/>
        <v>0</v>
      </c>
      <c r="H270">
        <v>1.82</v>
      </c>
      <c r="I270">
        <f t="shared" si="27"/>
        <v>0</v>
      </c>
      <c r="J270">
        <f t="shared" si="28"/>
        <v>0</v>
      </c>
      <c r="K270">
        <f t="shared" si="29"/>
        <v>0</v>
      </c>
    </row>
    <row r="271" spans="1:11" x14ac:dyDescent="0.4">
      <c r="A271" s="19">
        <v>45845.958333333336</v>
      </c>
      <c r="B271" s="20">
        <f t="shared" si="25"/>
        <v>0.95833333333575865</v>
      </c>
      <c r="C271">
        <v>0</v>
      </c>
      <c r="D271">
        <v>489.58600000000001</v>
      </c>
      <c r="E271">
        <f t="shared" si="24"/>
        <v>489.43100000000004</v>
      </c>
      <c r="F271">
        <v>489.54500000000002</v>
      </c>
      <c r="G271">
        <f t="shared" si="26"/>
        <v>0</v>
      </c>
      <c r="H271">
        <v>1.82</v>
      </c>
      <c r="I271">
        <f t="shared" si="27"/>
        <v>0</v>
      </c>
      <c r="J271">
        <f t="shared" si="28"/>
        <v>0</v>
      </c>
      <c r="K271">
        <f t="shared" si="29"/>
        <v>0</v>
      </c>
    </row>
    <row r="272" spans="1:11" x14ac:dyDescent="0.4">
      <c r="A272" s="19">
        <v>45846</v>
      </c>
      <c r="B272" s="20">
        <f t="shared" si="25"/>
        <v>0</v>
      </c>
      <c r="C272">
        <v>0</v>
      </c>
      <c r="D272">
        <v>489.58600000000001</v>
      </c>
      <c r="E272">
        <f t="shared" si="24"/>
        <v>489.43100000000004</v>
      </c>
      <c r="F272">
        <v>489.54500000000002</v>
      </c>
      <c r="G272">
        <f t="shared" si="26"/>
        <v>0</v>
      </c>
      <c r="H272">
        <v>1.82</v>
      </c>
      <c r="I272">
        <f t="shared" si="27"/>
        <v>0</v>
      </c>
      <c r="J272">
        <f t="shared" si="28"/>
        <v>0</v>
      </c>
      <c r="K272">
        <f t="shared" si="29"/>
        <v>0</v>
      </c>
    </row>
    <row r="273" spans="1:11" x14ac:dyDescent="0.4">
      <c r="A273" s="19">
        <v>45846.041666666664</v>
      </c>
      <c r="B273" s="20">
        <f t="shared" si="25"/>
        <v>4.1666666664241347E-2</v>
      </c>
      <c r="C273">
        <v>0</v>
      </c>
      <c r="D273">
        <v>489.57900000000001</v>
      </c>
      <c r="E273">
        <f t="shared" si="24"/>
        <v>489.42400000000004</v>
      </c>
      <c r="F273">
        <v>489.54500000000002</v>
      </c>
      <c r="G273">
        <f t="shared" si="26"/>
        <v>0</v>
      </c>
      <c r="H273">
        <v>1.82</v>
      </c>
      <c r="I273">
        <f t="shared" si="27"/>
        <v>0</v>
      </c>
      <c r="J273">
        <f t="shared" si="28"/>
        <v>0</v>
      </c>
      <c r="K273">
        <f t="shared" si="29"/>
        <v>0</v>
      </c>
    </row>
    <row r="274" spans="1:11" x14ac:dyDescent="0.4">
      <c r="A274" s="19">
        <v>45846.083333333336</v>
      </c>
      <c r="B274" s="20">
        <f t="shared" si="25"/>
        <v>8.3333333335758653E-2</v>
      </c>
      <c r="C274">
        <v>0</v>
      </c>
      <c r="D274">
        <v>489.58499999999998</v>
      </c>
      <c r="E274">
        <f t="shared" si="24"/>
        <v>489.43</v>
      </c>
      <c r="F274">
        <v>489.54500000000002</v>
      </c>
      <c r="G274">
        <f t="shared" si="26"/>
        <v>0</v>
      </c>
      <c r="H274">
        <v>1.82</v>
      </c>
      <c r="I274">
        <f t="shared" si="27"/>
        <v>0</v>
      </c>
      <c r="J274">
        <f t="shared" si="28"/>
        <v>0</v>
      </c>
      <c r="K274">
        <f t="shared" si="29"/>
        <v>0</v>
      </c>
    </row>
    <row r="275" spans="1:11" x14ac:dyDescent="0.4">
      <c r="A275" s="19">
        <v>45846.125</v>
      </c>
      <c r="B275" s="20">
        <f t="shared" si="25"/>
        <v>0.125</v>
      </c>
      <c r="C275">
        <v>0</v>
      </c>
      <c r="D275">
        <v>489.58600000000001</v>
      </c>
      <c r="E275">
        <f t="shared" si="24"/>
        <v>489.43100000000004</v>
      </c>
      <c r="F275">
        <v>489.54500000000002</v>
      </c>
      <c r="G275">
        <f t="shared" si="26"/>
        <v>0</v>
      </c>
      <c r="H275">
        <v>1.82</v>
      </c>
      <c r="I275">
        <f t="shared" si="27"/>
        <v>0</v>
      </c>
      <c r="J275">
        <f t="shared" si="28"/>
        <v>0</v>
      </c>
      <c r="K275">
        <f t="shared" si="29"/>
        <v>0</v>
      </c>
    </row>
    <row r="276" spans="1:11" x14ac:dyDescent="0.4">
      <c r="A276" s="19">
        <v>45846.166666666664</v>
      </c>
      <c r="B276" s="20">
        <f t="shared" si="25"/>
        <v>0.16666666666424135</v>
      </c>
      <c r="C276">
        <v>0</v>
      </c>
      <c r="D276">
        <v>489.58600000000001</v>
      </c>
      <c r="E276">
        <f t="shared" si="24"/>
        <v>489.43100000000004</v>
      </c>
      <c r="F276">
        <v>489.54500000000002</v>
      </c>
      <c r="G276">
        <f t="shared" si="26"/>
        <v>0</v>
      </c>
      <c r="H276">
        <v>1.82</v>
      </c>
      <c r="I276">
        <f t="shared" si="27"/>
        <v>0</v>
      </c>
      <c r="J276">
        <f t="shared" si="28"/>
        <v>0</v>
      </c>
      <c r="K276">
        <f t="shared" si="29"/>
        <v>0</v>
      </c>
    </row>
    <row r="277" spans="1:11" x14ac:dyDescent="0.4">
      <c r="A277" s="19">
        <v>45846.208333333336</v>
      </c>
      <c r="B277" s="20">
        <f t="shared" si="25"/>
        <v>0.20833333333575865</v>
      </c>
      <c r="C277">
        <v>0</v>
      </c>
      <c r="D277">
        <v>489.58600000000001</v>
      </c>
      <c r="E277">
        <f t="shared" si="24"/>
        <v>489.43100000000004</v>
      </c>
      <c r="F277">
        <v>489.54500000000002</v>
      </c>
      <c r="G277">
        <f t="shared" si="26"/>
        <v>0</v>
      </c>
      <c r="H277">
        <v>1.82</v>
      </c>
      <c r="I277">
        <f t="shared" si="27"/>
        <v>0</v>
      </c>
      <c r="J277">
        <f t="shared" si="28"/>
        <v>0</v>
      </c>
      <c r="K277">
        <f t="shared" si="29"/>
        <v>0</v>
      </c>
    </row>
    <row r="278" spans="1:11" x14ac:dyDescent="0.4">
      <c r="A278" s="19">
        <v>45846.25</v>
      </c>
      <c r="B278" s="20">
        <f t="shared" si="25"/>
        <v>0.25</v>
      </c>
      <c r="C278">
        <v>0</v>
      </c>
      <c r="D278">
        <v>489.58600000000001</v>
      </c>
      <c r="E278">
        <f t="shared" si="24"/>
        <v>489.43100000000004</v>
      </c>
      <c r="F278">
        <v>489.54500000000002</v>
      </c>
      <c r="G278">
        <f t="shared" si="26"/>
        <v>0</v>
      </c>
      <c r="H278">
        <v>1.82</v>
      </c>
      <c r="I278">
        <f t="shared" si="27"/>
        <v>0</v>
      </c>
      <c r="J278">
        <f t="shared" si="28"/>
        <v>0</v>
      </c>
      <c r="K278">
        <f t="shared" si="29"/>
        <v>0</v>
      </c>
    </row>
    <row r="279" spans="1:11" x14ac:dyDescent="0.4">
      <c r="A279" s="19">
        <v>45846.291666666664</v>
      </c>
      <c r="B279" s="20">
        <f t="shared" si="25"/>
        <v>0.29166666666424135</v>
      </c>
      <c r="C279">
        <v>0</v>
      </c>
      <c r="D279">
        <v>489.58600000000001</v>
      </c>
      <c r="E279">
        <f t="shared" si="24"/>
        <v>489.43100000000004</v>
      </c>
      <c r="F279">
        <v>489.54500000000002</v>
      </c>
      <c r="G279">
        <f t="shared" si="26"/>
        <v>0</v>
      </c>
      <c r="H279">
        <v>1.82</v>
      </c>
      <c r="I279">
        <f t="shared" si="27"/>
        <v>0</v>
      </c>
      <c r="J279">
        <f t="shared" si="28"/>
        <v>0</v>
      </c>
      <c r="K279">
        <f t="shared" si="29"/>
        <v>0</v>
      </c>
    </row>
    <row r="280" spans="1:11" x14ac:dyDescent="0.4">
      <c r="A280" s="19">
        <v>45846.333333333336</v>
      </c>
      <c r="B280" s="20">
        <f t="shared" si="25"/>
        <v>0.33333333333575865</v>
      </c>
      <c r="C280">
        <v>0</v>
      </c>
      <c r="D280">
        <v>489.58600000000001</v>
      </c>
      <c r="E280">
        <f t="shared" si="24"/>
        <v>489.43100000000004</v>
      </c>
      <c r="F280">
        <v>489.54500000000002</v>
      </c>
      <c r="G280">
        <f t="shared" si="26"/>
        <v>0</v>
      </c>
      <c r="H280">
        <v>1.82</v>
      </c>
      <c r="I280">
        <f t="shared" si="27"/>
        <v>0</v>
      </c>
      <c r="J280">
        <f t="shared" si="28"/>
        <v>0</v>
      </c>
      <c r="K280">
        <f t="shared" si="29"/>
        <v>0</v>
      </c>
    </row>
    <row r="281" spans="1:11" x14ac:dyDescent="0.4">
      <c r="A281" s="19">
        <v>45846.375</v>
      </c>
      <c r="B281" s="20">
        <f t="shared" si="25"/>
        <v>0.375</v>
      </c>
      <c r="C281">
        <v>0</v>
      </c>
      <c r="D281">
        <v>489.58600000000001</v>
      </c>
      <c r="E281">
        <f t="shared" si="24"/>
        <v>489.43100000000004</v>
      </c>
      <c r="F281">
        <v>489.54500000000002</v>
      </c>
      <c r="G281">
        <f t="shared" si="26"/>
        <v>0</v>
      </c>
      <c r="H281">
        <v>1.82</v>
      </c>
      <c r="I281">
        <f t="shared" si="27"/>
        <v>0</v>
      </c>
      <c r="J281">
        <f t="shared" si="28"/>
        <v>0</v>
      </c>
      <c r="K281">
        <f t="shared" si="29"/>
        <v>0</v>
      </c>
    </row>
    <row r="282" spans="1:11" x14ac:dyDescent="0.4">
      <c r="A282" s="19">
        <v>45846.416666666664</v>
      </c>
      <c r="B282" s="20">
        <f t="shared" si="25"/>
        <v>0.41666666666424135</v>
      </c>
      <c r="C282">
        <v>0</v>
      </c>
      <c r="D282">
        <v>489.57900000000001</v>
      </c>
      <c r="E282">
        <f t="shared" si="24"/>
        <v>489.42400000000004</v>
      </c>
      <c r="F282">
        <v>489.54500000000002</v>
      </c>
      <c r="G282">
        <f t="shared" si="26"/>
        <v>0</v>
      </c>
      <c r="H282">
        <v>1.82</v>
      </c>
      <c r="I282">
        <f t="shared" si="27"/>
        <v>0</v>
      </c>
      <c r="J282">
        <f t="shared" si="28"/>
        <v>0</v>
      </c>
      <c r="K282">
        <f t="shared" si="29"/>
        <v>0</v>
      </c>
    </row>
    <row r="283" spans="1:11" x14ac:dyDescent="0.4">
      <c r="A283" s="19">
        <v>45846.458333333336</v>
      </c>
      <c r="B283" s="20">
        <f t="shared" si="25"/>
        <v>0.45833333333575865</v>
      </c>
      <c r="C283">
        <v>0</v>
      </c>
      <c r="D283">
        <v>489.58499999999998</v>
      </c>
      <c r="E283">
        <f t="shared" si="24"/>
        <v>489.43</v>
      </c>
      <c r="F283">
        <v>489.54500000000002</v>
      </c>
      <c r="G283">
        <f t="shared" si="26"/>
        <v>0</v>
      </c>
      <c r="H283">
        <v>1.82</v>
      </c>
      <c r="I283">
        <f t="shared" si="27"/>
        <v>0</v>
      </c>
      <c r="J283">
        <f t="shared" si="28"/>
        <v>0</v>
      </c>
      <c r="K283">
        <f t="shared" si="29"/>
        <v>0</v>
      </c>
    </row>
    <row r="284" spans="1:11" x14ac:dyDescent="0.4">
      <c r="A284" s="19">
        <v>45846.5</v>
      </c>
      <c r="B284" s="20">
        <f t="shared" si="25"/>
        <v>0.5</v>
      </c>
      <c r="C284">
        <v>0</v>
      </c>
      <c r="D284">
        <v>489.57900000000001</v>
      </c>
      <c r="E284">
        <f t="shared" si="24"/>
        <v>489.42400000000004</v>
      </c>
      <c r="F284">
        <v>489.54500000000002</v>
      </c>
      <c r="G284">
        <f t="shared" si="26"/>
        <v>0</v>
      </c>
      <c r="H284">
        <v>1.82</v>
      </c>
      <c r="I284">
        <f t="shared" si="27"/>
        <v>0</v>
      </c>
      <c r="J284">
        <f t="shared" si="28"/>
        <v>0</v>
      </c>
      <c r="K284">
        <f t="shared" si="29"/>
        <v>0</v>
      </c>
    </row>
    <row r="285" spans="1:11" x14ac:dyDescent="0.4">
      <c r="A285" s="19">
        <v>45846.541666666664</v>
      </c>
      <c r="B285" s="20">
        <f t="shared" si="25"/>
        <v>0.54166666666424135</v>
      </c>
      <c r="C285">
        <v>0</v>
      </c>
      <c r="D285">
        <v>489.58499999999998</v>
      </c>
      <c r="E285">
        <f t="shared" si="24"/>
        <v>489.43</v>
      </c>
      <c r="F285">
        <v>489.54500000000002</v>
      </c>
      <c r="G285">
        <f t="shared" si="26"/>
        <v>0</v>
      </c>
      <c r="H285">
        <v>1.82</v>
      </c>
      <c r="I285">
        <f t="shared" si="27"/>
        <v>0</v>
      </c>
      <c r="J285">
        <f t="shared" si="28"/>
        <v>0</v>
      </c>
      <c r="K285">
        <f t="shared" si="29"/>
        <v>0</v>
      </c>
    </row>
    <row r="286" spans="1:11" x14ac:dyDescent="0.4">
      <c r="A286" s="19">
        <v>45846.583333333336</v>
      </c>
      <c r="B286" s="20">
        <f t="shared" si="25"/>
        <v>0.58333333333575865</v>
      </c>
      <c r="C286">
        <v>0</v>
      </c>
      <c r="D286">
        <v>489.58499999999998</v>
      </c>
      <c r="E286">
        <f t="shared" si="24"/>
        <v>489.43</v>
      </c>
      <c r="F286">
        <v>489.54500000000002</v>
      </c>
      <c r="G286">
        <f t="shared" si="26"/>
        <v>0</v>
      </c>
      <c r="H286">
        <v>1.82</v>
      </c>
      <c r="I286">
        <f t="shared" si="27"/>
        <v>0</v>
      </c>
      <c r="J286">
        <f t="shared" si="28"/>
        <v>0</v>
      </c>
      <c r="K286">
        <f t="shared" si="29"/>
        <v>0</v>
      </c>
    </row>
    <row r="287" spans="1:11" x14ac:dyDescent="0.4">
      <c r="A287" s="19">
        <v>45846.625</v>
      </c>
      <c r="B287" s="20">
        <f t="shared" si="25"/>
        <v>0.625</v>
      </c>
      <c r="C287">
        <v>0</v>
      </c>
      <c r="D287">
        <v>489.58499999999998</v>
      </c>
      <c r="E287">
        <f t="shared" si="24"/>
        <v>489.43</v>
      </c>
      <c r="F287">
        <v>489.54500000000002</v>
      </c>
      <c r="G287">
        <f t="shared" si="26"/>
        <v>0</v>
      </c>
      <c r="H287">
        <v>1.82</v>
      </c>
      <c r="I287">
        <f t="shared" si="27"/>
        <v>0</v>
      </c>
      <c r="J287">
        <f t="shared" si="28"/>
        <v>0</v>
      </c>
      <c r="K287">
        <f t="shared" si="29"/>
        <v>0</v>
      </c>
    </row>
    <row r="288" spans="1:11" x14ac:dyDescent="0.4">
      <c r="A288" s="19">
        <v>45846.666666666664</v>
      </c>
      <c r="B288" s="20">
        <f t="shared" si="25"/>
        <v>0.66666666666424135</v>
      </c>
      <c r="C288">
        <v>0</v>
      </c>
      <c r="D288">
        <v>489.57900000000001</v>
      </c>
      <c r="E288">
        <f t="shared" si="24"/>
        <v>489.42400000000004</v>
      </c>
      <c r="F288">
        <v>489.54500000000002</v>
      </c>
      <c r="G288">
        <f t="shared" si="26"/>
        <v>0</v>
      </c>
      <c r="H288">
        <v>1.82</v>
      </c>
      <c r="I288">
        <f t="shared" si="27"/>
        <v>0</v>
      </c>
      <c r="J288">
        <f t="shared" si="28"/>
        <v>0</v>
      </c>
      <c r="K288">
        <f t="shared" si="29"/>
        <v>0</v>
      </c>
    </row>
    <row r="289" spans="1:11" x14ac:dyDescent="0.4">
      <c r="A289" s="19">
        <v>45846.708333333336</v>
      </c>
      <c r="B289" s="20">
        <f t="shared" si="25"/>
        <v>0.70833333333575865</v>
      </c>
      <c r="C289">
        <v>0</v>
      </c>
      <c r="D289">
        <v>489.57900000000001</v>
      </c>
      <c r="E289">
        <f t="shared" si="24"/>
        <v>489.42400000000004</v>
      </c>
      <c r="F289">
        <v>489.54500000000002</v>
      </c>
      <c r="G289">
        <f t="shared" si="26"/>
        <v>0</v>
      </c>
      <c r="H289">
        <v>1.82</v>
      </c>
      <c r="I289">
        <f t="shared" si="27"/>
        <v>0</v>
      </c>
      <c r="J289">
        <f t="shared" si="28"/>
        <v>0</v>
      </c>
      <c r="K289">
        <f t="shared" si="29"/>
        <v>0</v>
      </c>
    </row>
    <row r="290" spans="1:11" x14ac:dyDescent="0.4">
      <c r="A290" s="19">
        <v>45846.75</v>
      </c>
      <c r="B290" s="20">
        <f t="shared" si="25"/>
        <v>0.75</v>
      </c>
      <c r="C290">
        <v>0</v>
      </c>
      <c r="D290">
        <v>489.58499999999998</v>
      </c>
      <c r="E290">
        <f t="shared" si="24"/>
        <v>489.43</v>
      </c>
      <c r="F290">
        <v>489.54500000000002</v>
      </c>
      <c r="G290">
        <f t="shared" si="26"/>
        <v>0</v>
      </c>
      <c r="H290">
        <v>1.82</v>
      </c>
      <c r="I290">
        <f t="shared" si="27"/>
        <v>0</v>
      </c>
      <c r="J290">
        <f t="shared" si="28"/>
        <v>0</v>
      </c>
      <c r="K290">
        <f t="shared" si="29"/>
        <v>0</v>
      </c>
    </row>
    <row r="291" spans="1:11" x14ac:dyDescent="0.4">
      <c r="A291" s="19">
        <v>45846.791666666664</v>
      </c>
      <c r="B291" s="20">
        <f t="shared" si="25"/>
        <v>0.79166666666424135</v>
      </c>
      <c r="C291">
        <v>0</v>
      </c>
      <c r="D291">
        <v>489.57900000000001</v>
      </c>
      <c r="E291">
        <f t="shared" si="24"/>
        <v>489.42400000000004</v>
      </c>
      <c r="F291">
        <v>489.54500000000002</v>
      </c>
      <c r="G291">
        <f t="shared" si="26"/>
        <v>0</v>
      </c>
      <c r="H291">
        <v>1.82</v>
      </c>
      <c r="I291">
        <f t="shared" si="27"/>
        <v>0</v>
      </c>
      <c r="J291">
        <f t="shared" si="28"/>
        <v>0</v>
      </c>
      <c r="K291">
        <f t="shared" si="29"/>
        <v>0</v>
      </c>
    </row>
    <row r="292" spans="1:11" x14ac:dyDescent="0.4">
      <c r="A292" s="19">
        <v>45846.833333333336</v>
      </c>
      <c r="B292" s="20">
        <f t="shared" si="25"/>
        <v>0.83333333333575865</v>
      </c>
      <c r="C292">
        <v>0</v>
      </c>
      <c r="D292">
        <v>489.57900000000001</v>
      </c>
      <c r="E292">
        <f t="shared" si="24"/>
        <v>489.42400000000004</v>
      </c>
      <c r="F292">
        <v>489.54500000000002</v>
      </c>
      <c r="G292">
        <f t="shared" si="26"/>
        <v>0</v>
      </c>
      <c r="H292">
        <v>1.82</v>
      </c>
      <c r="I292">
        <f t="shared" si="27"/>
        <v>0</v>
      </c>
      <c r="J292">
        <f t="shared" si="28"/>
        <v>0</v>
      </c>
      <c r="K292">
        <f t="shared" si="29"/>
        <v>0</v>
      </c>
    </row>
    <row r="293" spans="1:11" x14ac:dyDescent="0.4">
      <c r="A293" s="19">
        <v>45846.875</v>
      </c>
      <c r="B293" s="20">
        <f t="shared" si="25"/>
        <v>0.875</v>
      </c>
      <c r="C293">
        <v>0</v>
      </c>
      <c r="D293">
        <v>489.58300000000003</v>
      </c>
      <c r="E293">
        <f t="shared" si="24"/>
        <v>489.42800000000005</v>
      </c>
      <c r="F293">
        <v>489.54500000000002</v>
      </c>
      <c r="G293">
        <f t="shared" si="26"/>
        <v>0</v>
      </c>
      <c r="H293">
        <v>1.82</v>
      </c>
      <c r="I293">
        <f t="shared" si="27"/>
        <v>0</v>
      </c>
      <c r="J293">
        <f t="shared" si="28"/>
        <v>0</v>
      </c>
      <c r="K293">
        <f t="shared" si="29"/>
        <v>0</v>
      </c>
    </row>
    <row r="294" spans="1:11" x14ac:dyDescent="0.4">
      <c r="A294" s="19">
        <v>45846.916666666664</v>
      </c>
      <c r="B294" s="20">
        <f t="shared" si="25"/>
        <v>0.91666666666424135</v>
      </c>
      <c r="C294">
        <v>0</v>
      </c>
      <c r="D294">
        <v>489.58600000000001</v>
      </c>
      <c r="E294">
        <f t="shared" si="24"/>
        <v>489.43100000000004</v>
      </c>
      <c r="F294">
        <v>489.54500000000002</v>
      </c>
      <c r="G294">
        <f t="shared" si="26"/>
        <v>0</v>
      </c>
      <c r="H294">
        <v>1.82</v>
      </c>
      <c r="I294">
        <f t="shared" si="27"/>
        <v>0</v>
      </c>
      <c r="J294">
        <f t="shared" si="28"/>
        <v>0</v>
      </c>
      <c r="K294">
        <f t="shared" si="29"/>
        <v>0</v>
      </c>
    </row>
    <row r="295" spans="1:11" x14ac:dyDescent="0.4">
      <c r="A295" s="19">
        <v>45846.958333333336</v>
      </c>
      <c r="B295" s="20">
        <f t="shared" si="25"/>
        <v>0.95833333333575865</v>
      </c>
      <c r="C295">
        <v>0</v>
      </c>
      <c r="D295">
        <v>489.58600000000001</v>
      </c>
      <c r="E295">
        <f t="shared" si="24"/>
        <v>489.43100000000004</v>
      </c>
      <c r="F295">
        <v>489.54500000000002</v>
      </c>
      <c r="G295">
        <f t="shared" si="26"/>
        <v>0</v>
      </c>
      <c r="H295">
        <v>1.82</v>
      </c>
      <c r="I295">
        <f t="shared" si="27"/>
        <v>0</v>
      </c>
      <c r="J295">
        <f t="shared" si="28"/>
        <v>0</v>
      </c>
      <c r="K295">
        <f t="shared" si="29"/>
        <v>0</v>
      </c>
    </row>
    <row r="296" spans="1:11" x14ac:dyDescent="0.4">
      <c r="A296" s="19">
        <v>45847</v>
      </c>
      <c r="B296" s="20">
        <f t="shared" si="25"/>
        <v>0</v>
      </c>
      <c r="C296">
        <v>0</v>
      </c>
      <c r="D296">
        <v>489.57900000000001</v>
      </c>
      <c r="E296">
        <f t="shared" si="24"/>
        <v>489.42400000000004</v>
      </c>
      <c r="F296">
        <v>489.54500000000002</v>
      </c>
      <c r="G296">
        <f t="shared" si="26"/>
        <v>0</v>
      </c>
      <c r="H296">
        <v>1.82</v>
      </c>
      <c r="I296">
        <f t="shared" si="27"/>
        <v>0</v>
      </c>
      <c r="J296">
        <f t="shared" si="28"/>
        <v>0</v>
      </c>
      <c r="K296">
        <f t="shared" si="29"/>
        <v>0</v>
      </c>
    </row>
    <row r="297" spans="1:11" x14ac:dyDescent="0.4">
      <c r="A297" s="19">
        <v>45847.041666666664</v>
      </c>
      <c r="B297" s="20">
        <f t="shared" si="25"/>
        <v>4.1666666664241347E-2</v>
      </c>
      <c r="C297">
        <v>0</v>
      </c>
      <c r="D297">
        <v>489.57900000000001</v>
      </c>
      <c r="E297">
        <f t="shared" si="24"/>
        <v>489.42400000000004</v>
      </c>
      <c r="F297">
        <v>489.54500000000002</v>
      </c>
      <c r="G297">
        <f t="shared" si="26"/>
        <v>0</v>
      </c>
      <c r="H297">
        <v>1.82</v>
      </c>
      <c r="I297">
        <f t="shared" si="27"/>
        <v>0</v>
      </c>
      <c r="J297">
        <f t="shared" si="28"/>
        <v>0</v>
      </c>
      <c r="K297">
        <f t="shared" si="29"/>
        <v>0</v>
      </c>
    </row>
    <row r="298" spans="1:11" x14ac:dyDescent="0.4">
      <c r="A298" s="19">
        <v>45847.083333333336</v>
      </c>
      <c r="B298" s="20">
        <f t="shared" si="25"/>
        <v>8.3333333335758653E-2</v>
      </c>
      <c r="C298">
        <v>0</v>
      </c>
      <c r="D298">
        <v>489.57900000000001</v>
      </c>
      <c r="E298">
        <f t="shared" si="24"/>
        <v>489.42400000000004</v>
      </c>
      <c r="F298">
        <v>489.54500000000002</v>
      </c>
      <c r="G298">
        <f t="shared" si="26"/>
        <v>0</v>
      </c>
      <c r="H298">
        <v>1.82</v>
      </c>
      <c r="I298">
        <f t="shared" si="27"/>
        <v>0</v>
      </c>
      <c r="J298">
        <f t="shared" si="28"/>
        <v>0</v>
      </c>
      <c r="K298">
        <f t="shared" si="29"/>
        <v>0</v>
      </c>
    </row>
    <row r="299" spans="1:11" x14ac:dyDescent="0.4">
      <c r="A299" s="19">
        <v>45847.125</v>
      </c>
      <c r="B299" s="20">
        <f t="shared" si="25"/>
        <v>0.125</v>
      </c>
      <c r="C299">
        <v>0</v>
      </c>
      <c r="D299">
        <v>489.57900000000001</v>
      </c>
      <c r="E299">
        <f t="shared" si="24"/>
        <v>489.42400000000004</v>
      </c>
      <c r="F299">
        <v>489.54500000000002</v>
      </c>
      <c r="G299">
        <f t="shared" si="26"/>
        <v>0</v>
      </c>
      <c r="H299">
        <v>1.82</v>
      </c>
      <c r="I299">
        <f t="shared" si="27"/>
        <v>0</v>
      </c>
      <c r="J299">
        <f t="shared" si="28"/>
        <v>0</v>
      </c>
      <c r="K299">
        <f t="shared" si="29"/>
        <v>0</v>
      </c>
    </row>
    <row r="300" spans="1:11" x14ac:dyDescent="0.4">
      <c r="A300" s="19">
        <v>45847.166666666664</v>
      </c>
      <c r="B300" s="20">
        <f t="shared" si="25"/>
        <v>0.16666666666424135</v>
      </c>
      <c r="C300">
        <v>0</v>
      </c>
      <c r="D300">
        <v>489.57900000000001</v>
      </c>
      <c r="E300">
        <f t="shared" si="24"/>
        <v>489.42400000000004</v>
      </c>
      <c r="F300">
        <v>489.54500000000002</v>
      </c>
      <c r="G300">
        <f t="shared" si="26"/>
        <v>0</v>
      </c>
      <c r="H300">
        <v>1.82</v>
      </c>
      <c r="I300">
        <f t="shared" si="27"/>
        <v>0</v>
      </c>
      <c r="J300">
        <f t="shared" si="28"/>
        <v>0</v>
      </c>
      <c r="K300">
        <f t="shared" si="29"/>
        <v>0</v>
      </c>
    </row>
    <row r="301" spans="1:11" x14ac:dyDescent="0.4">
      <c r="A301" s="19">
        <v>45847.208333333336</v>
      </c>
      <c r="B301" s="20">
        <f t="shared" si="25"/>
        <v>0.20833333333575865</v>
      </c>
      <c r="C301">
        <v>0</v>
      </c>
      <c r="D301">
        <v>489.57900000000001</v>
      </c>
      <c r="E301">
        <f t="shared" si="24"/>
        <v>489.42400000000004</v>
      </c>
      <c r="F301">
        <v>489.54500000000002</v>
      </c>
      <c r="G301">
        <f t="shared" si="26"/>
        <v>0</v>
      </c>
      <c r="H301">
        <v>1.82</v>
      </c>
      <c r="I301">
        <f t="shared" si="27"/>
        <v>0</v>
      </c>
      <c r="J301">
        <f t="shared" si="28"/>
        <v>0</v>
      </c>
      <c r="K301">
        <f t="shared" si="29"/>
        <v>0</v>
      </c>
    </row>
    <row r="302" spans="1:11" x14ac:dyDescent="0.4">
      <c r="A302" s="19">
        <v>45847.25</v>
      </c>
      <c r="B302" s="20">
        <f t="shared" si="25"/>
        <v>0.25</v>
      </c>
      <c r="C302">
        <v>0</v>
      </c>
      <c r="D302">
        <v>489.57900000000001</v>
      </c>
      <c r="E302">
        <f t="shared" si="24"/>
        <v>489.42400000000004</v>
      </c>
      <c r="F302">
        <v>489.54500000000002</v>
      </c>
      <c r="G302">
        <f t="shared" si="26"/>
        <v>0</v>
      </c>
      <c r="H302">
        <v>1.82</v>
      </c>
      <c r="I302">
        <f t="shared" si="27"/>
        <v>0</v>
      </c>
      <c r="J302">
        <f t="shared" si="28"/>
        <v>0</v>
      </c>
      <c r="K302">
        <f t="shared" si="29"/>
        <v>0</v>
      </c>
    </row>
    <row r="303" spans="1:11" x14ac:dyDescent="0.4">
      <c r="A303" s="19">
        <v>45847.291666666664</v>
      </c>
      <c r="B303" s="20">
        <f t="shared" si="25"/>
        <v>0.29166666666424135</v>
      </c>
      <c r="C303">
        <v>0</v>
      </c>
      <c r="D303">
        <v>489.57900000000001</v>
      </c>
      <c r="E303">
        <f t="shared" si="24"/>
        <v>489.42400000000004</v>
      </c>
      <c r="F303">
        <v>489.54500000000002</v>
      </c>
      <c r="G303">
        <f t="shared" si="26"/>
        <v>0</v>
      </c>
      <c r="H303">
        <v>1.82</v>
      </c>
      <c r="I303">
        <f t="shared" si="27"/>
        <v>0</v>
      </c>
      <c r="J303">
        <f t="shared" si="28"/>
        <v>0</v>
      </c>
      <c r="K303">
        <f t="shared" si="29"/>
        <v>0</v>
      </c>
    </row>
    <row r="304" spans="1:11" x14ac:dyDescent="0.4">
      <c r="A304" s="19">
        <v>45847.333333333336</v>
      </c>
      <c r="B304" s="20">
        <f t="shared" si="25"/>
        <v>0.33333333333575865</v>
      </c>
      <c r="C304">
        <v>0</v>
      </c>
      <c r="D304">
        <v>489.58499999999998</v>
      </c>
      <c r="E304">
        <f t="shared" si="24"/>
        <v>489.43</v>
      </c>
      <c r="F304">
        <v>489.54500000000002</v>
      </c>
      <c r="G304">
        <f t="shared" si="26"/>
        <v>0</v>
      </c>
      <c r="H304">
        <v>1.82</v>
      </c>
      <c r="I304">
        <f t="shared" si="27"/>
        <v>0</v>
      </c>
      <c r="J304">
        <f t="shared" si="28"/>
        <v>0</v>
      </c>
      <c r="K304">
        <f t="shared" si="29"/>
        <v>0</v>
      </c>
    </row>
    <row r="305" spans="1:11" x14ac:dyDescent="0.4">
      <c r="A305" s="19">
        <v>45847.375</v>
      </c>
      <c r="B305" s="20">
        <f t="shared" si="25"/>
        <v>0.375</v>
      </c>
      <c r="C305">
        <v>0</v>
      </c>
      <c r="D305">
        <v>489.58499999999998</v>
      </c>
      <c r="E305">
        <f t="shared" si="24"/>
        <v>489.43</v>
      </c>
      <c r="F305">
        <v>489.54500000000002</v>
      </c>
      <c r="G305">
        <f t="shared" si="26"/>
        <v>0</v>
      </c>
      <c r="H305">
        <v>1.82</v>
      </c>
      <c r="I305">
        <f t="shared" si="27"/>
        <v>0</v>
      </c>
      <c r="J305">
        <f t="shared" si="28"/>
        <v>0</v>
      </c>
      <c r="K305">
        <f t="shared" si="29"/>
        <v>0</v>
      </c>
    </row>
    <row r="306" spans="1:11" x14ac:dyDescent="0.4">
      <c r="A306" s="19">
        <v>45847.416666666664</v>
      </c>
      <c r="B306" s="20">
        <f t="shared" si="25"/>
        <v>0.41666666666424135</v>
      </c>
      <c r="C306">
        <v>0</v>
      </c>
      <c r="D306">
        <v>489.57900000000001</v>
      </c>
      <c r="E306">
        <f t="shared" si="24"/>
        <v>489.42400000000004</v>
      </c>
      <c r="F306">
        <v>489.54500000000002</v>
      </c>
      <c r="G306">
        <f t="shared" si="26"/>
        <v>0</v>
      </c>
      <c r="H306">
        <v>1.82</v>
      </c>
      <c r="I306">
        <f t="shared" si="27"/>
        <v>0</v>
      </c>
      <c r="J306">
        <f t="shared" si="28"/>
        <v>0</v>
      </c>
      <c r="K306">
        <f t="shared" si="29"/>
        <v>0</v>
      </c>
    </row>
    <row r="307" spans="1:11" x14ac:dyDescent="0.4">
      <c r="A307" s="19">
        <v>45847.458333333336</v>
      </c>
      <c r="B307" s="20">
        <f t="shared" si="25"/>
        <v>0.45833333333575865</v>
      </c>
      <c r="C307">
        <v>0</v>
      </c>
      <c r="D307">
        <v>489.57900000000001</v>
      </c>
      <c r="E307">
        <f t="shared" si="24"/>
        <v>489.42400000000004</v>
      </c>
      <c r="F307">
        <v>489.54500000000002</v>
      </c>
      <c r="G307">
        <f t="shared" si="26"/>
        <v>0</v>
      </c>
      <c r="H307">
        <v>1.82</v>
      </c>
      <c r="I307">
        <f t="shared" si="27"/>
        <v>0</v>
      </c>
      <c r="J307">
        <f t="shared" si="28"/>
        <v>0</v>
      </c>
      <c r="K307">
        <f t="shared" si="29"/>
        <v>0</v>
      </c>
    </row>
    <row r="308" spans="1:11" x14ac:dyDescent="0.4">
      <c r="A308" s="19">
        <v>45847.5</v>
      </c>
      <c r="B308" s="20">
        <f t="shared" si="25"/>
        <v>0.5</v>
      </c>
      <c r="C308">
        <v>0</v>
      </c>
      <c r="D308">
        <v>489.57900000000001</v>
      </c>
      <c r="E308">
        <f t="shared" si="24"/>
        <v>489.42400000000004</v>
      </c>
      <c r="F308">
        <v>489.54500000000002</v>
      </c>
      <c r="G308">
        <f t="shared" si="26"/>
        <v>0</v>
      </c>
      <c r="H308">
        <v>1.82</v>
      </c>
      <c r="I308">
        <f t="shared" si="27"/>
        <v>0</v>
      </c>
      <c r="J308">
        <f t="shared" si="28"/>
        <v>0</v>
      </c>
      <c r="K308">
        <f t="shared" si="29"/>
        <v>0</v>
      </c>
    </row>
    <row r="309" spans="1:11" x14ac:dyDescent="0.4">
      <c r="A309" s="19">
        <v>45847.541666666664</v>
      </c>
      <c r="B309" s="20">
        <f t="shared" si="25"/>
        <v>0.54166666666424135</v>
      </c>
      <c r="C309">
        <v>0</v>
      </c>
      <c r="D309">
        <v>489.57900000000001</v>
      </c>
      <c r="E309">
        <f t="shared" si="24"/>
        <v>489.42400000000004</v>
      </c>
      <c r="F309">
        <v>489.54500000000002</v>
      </c>
      <c r="G309">
        <f t="shared" si="26"/>
        <v>0</v>
      </c>
      <c r="H309">
        <v>1.82</v>
      </c>
      <c r="I309">
        <f t="shared" si="27"/>
        <v>0</v>
      </c>
      <c r="J309">
        <f t="shared" si="28"/>
        <v>0</v>
      </c>
      <c r="K309">
        <f t="shared" si="29"/>
        <v>0</v>
      </c>
    </row>
    <row r="310" spans="1:11" x14ac:dyDescent="0.4">
      <c r="A310" s="19">
        <v>45847.583333333336</v>
      </c>
      <c r="B310" s="20">
        <f t="shared" si="25"/>
        <v>0.58333333333575865</v>
      </c>
      <c r="C310">
        <v>0</v>
      </c>
      <c r="D310">
        <v>489.57900000000001</v>
      </c>
      <c r="E310">
        <f t="shared" si="24"/>
        <v>489.42400000000004</v>
      </c>
      <c r="F310">
        <v>489.54500000000002</v>
      </c>
      <c r="G310">
        <f t="shared" si="26"/>
        <v>0</v>
      </c>
      <c r="H310">
        <v>1.82</v>
      </c>
      <c r="I310">
        <f t="shared" si="27"/>
        <v>0</v>
      </c>
      <c r="J310">
        <f t="shared" si="28"/>
        <v>0</v>
      </c>
      <c r="K310">
        <f t="shared" si="29"/>
        <v>0</v>
      </c>
    </row>
    <row r="311" spans="1:11" x14ac:dyDescent="0.4">
      <c r="A311" s="19">
        <v>45847.625</v>
      </c>
      <c r="B311" s="20">
        <f t="shared" si="25"/>
        <v>0.625</v>
      </c>
      <c r="C311">
        <v>0</v>
      </c>
      <c r="D311">
        <v>489.572</v>
      </c>
      <c r="E311">
        <f t="shared" si="24"/>
        <v>489.41700000000003</v>
      </c>
      <c r="F311">
        <v>489.54500000000002</v>
      </c>
      <c r="G311">
        <f t="shared" si="26"/>
        <v>0</v>
      </c>
      <c r="H311">
        <v>1.82</v>
      </c>
      <c r="I311">
        <f t="shared" si="27"/>
        <v>0</v>
      </c>
      <c r="J311">
        <f t="shared" si="28"/>
        <v>0</v>
      </c>
      <c r="K311">
        <f t="shared" si="29"/>
        <v>0</v>
      </c>
    </row>
    <row r="312" spans="1:11" x14ac:dyDescent="0.4">
      <c r="A312" s="19">
        <v>45847.666666666664</v>
      </c>
      <c r="B312" s="20">
        <f t="shared" si="25"/>
        <v>0.66666666666424135</v>
      </c>
      <c r="C312">
        <v>0.6</v>
      </c>
      <c r="D312">
        <v>489.572</v>
      </c>
      <c r="E312">
        <f t="shared" si="24"/>
        <v>489.41700000000003</v>
      </c>
      <c r="F312">
        <v>489.54500000000002</v>
      </c>
      <c r="G312">
        <f t="shared" si="26"/>
        <v>0</v>
      </c>
      <c r="H312">
        <v>1.82</v>
      </c>
      <c r="I312">
        <f t="shared" si="27"/>
        <v>0</v>
      </c>
      <c r="J312">
        <f t="shared" si="28"/>
        <v>0</v>
      </c>
      <c r="K312">
        <f t="shared" si="29"/>
        <v>0</v>
      </c>
    </row>
    <row r="313" spans="1:11" x14ac:dyDescent="0.4">
      <c r="A313" s="19">
        <v>45847.708333333336</v>
      </c>
      <c r="B313" s="20">
        <f t="shared" si="25"/>
        <v>0.70833333333575865</v>
      </c>
      <c r="C313">
        <v>0</v>
      </c>
      <c r="D313">
        <v>489.572</v>
      </c>
      <c r="E313">
        <f t="shared" si="24"/>
        <v>489.41700000000003</v>
      </c>
      <c r="F313">
        <v>489.54500000000002</v>
      </c>
      <c r="G313">
        <f t="shared" si="26"/>
        <v>0</v>
      </c>
      <c r="H313">
        <v>1.82</v>
      </c>
      <c r="I313">
        <f t="shared" si="27"/>
        <v>0</v>
      </c>
      <c r="J313">
        <f t="shared" si="28"/>
        <v>0</v>
      </c>
      <c r="K313">
        <f t="shared" si="29"/>
        <v>0</v>
      </c>
    </row>
    <row r="314" spans="1:11" x14ac:dyDescent="0.4">
      <c r="A314" s="19">
        <v>45847.75</v>
      </c>
      <c r="B314" s="20">
        <f t="shared" si="25"/>
        <v>0.75</v>
      </c>
      <c r="C314">
        <v>0</v>
      </c>
      <c r="D314">
        <v>489.572</v>
      </c>
      <c r="E314">
        <f t="shared" si="24"/>
        <v>489.41700000000003</v>
      </c>
      <c r="F314">
        <v>489.54500000000002</v>
      </c>
      <c r="G314">
        <f t="shared" si="26"/>
        <v>0</v>
      </c>
      <c r="H314">
        <v>1.82</v>
      </c>
      <c r="I314">
        <f t="shared" si="27"/>
        <v>0</v>
      </c>
      <c r="J314">
        <f t="shared" si="28"/>
        <v>0</v>
      </c>
      <c r="K314">
        <f t="shared" si="29"/>
        <v>0</v>
      </c>
    </row>
    <row r="315" spans="1:11" x14ac:dyDescent="0.4">
      <c r="A315" s="19">
        <v>45847.791666666664</v>
      </c>
      <c r="B315" s="20">
        <f t="shared" si="25"/>
        <v>0.79166666666424135</v>
      </c>
      <c r="C315">
        <v>0</v>
      </c>
      <c r="D315">
        <v>489.572</v>
      </c>
      <c r="E315">
        <f t="shared" si="24"/>
        <v>489.41700000000003</v>
      </c>
      <c r="F315">
        <v>489.54500000000002</v>
      </c>
      <c r="G315">
        <f t="shared" si="26"/>
        <v>0</v>
      </c>
      <c r="H315">
        <v>1.82</v>
      </c>
      <c r="I315">
        <f t="shared" si="27"/>
        <v>0</v>
      </c>
      <c r="J315">
        <f t="shared" si="28"/>
        <v>0</v>
      </c>
      <c r="K315">
        <f t="shared" si="29"/>
        <v>0</v>
      </c>
    </row>
    <row r="316" spans="1:11" x14ac:dyDescent="0.4">
      <c r="A316" s="19">
        <v>45847.833333333336</v>
      </c>
      <c r="B316" s="20">
        <f t="shared" si="25"/>
        <v>0.83333333333575865</v>
      </c>
      <c r="C316">
        <v>0.2</v>
      </c>
      <c r="D316">
        <v>489.57299999999998</v>
      </c>
      <c r="E316">
        <f t="shared" si="24"/>
        <v>489.41800000000001</v>
      </c>
      <c r="F316">
        <v>489.54500000000002</v>
      </c>
      <c r="G316">
        <f t="shared" si="26"/>
        <v>0</v>
      </c>
      <c r="H316">
        <v>1.82</v>
      </c>
      <c r="I316">
        <f t="shared" si="27"/>
        <v>0</v>
      </c>
      <c r="J316">
        <f t="shared" si="28"/>
        <v>0</v>
      </c>
      <c r="K316">
        <f t="shared" si="29"/>
        <v>0</v>
      </c>
    </row>
    <row r="317" spans="1:11" x14ac:dyDescent="0.4">
      <c r="A317" s="19">
        <v>45847.875</v>
      </c>
      <c r="B317" s="20">
        <f t="shared" si="25"/>
        <v>0.875</v>
      </c>
      <c r="C317">
        <v>3.4</v>
      </c>
      <c r="D317">
        <v>489.57900000000001</v>
      </c>
      <c r="E317">
        <f t="shared" si="24"/>
        <v>489.42400000000004</v>
      </c>
      <c r="F317">
        <v>489.54500000000002</v>
      </c>
      <c r="G317">
        <f t="shared" si="26"/>
        <v>0</v>
      </c>
      <c r="H317">
        <v>1.82</v>
      </c>
      <c r="I317">
        <f t="shared" si="27"/>
        <v>0</v>
      </c>
      <c r="J317">
        <f t="shared" si="28"/>
        <v>0</v>
      </c>
      <c r="K317">
        <f t="shared" si="29"/>
        <v>0</v>
      </c>
    </row>
    <row r="318" spans="1:11" x14ac:dyDescent="0.4">
      <c r="A318" s="19">
        <v>45847.916666666664</v>
      </c>
      <c r="B318" s="20">
        <f t="shared" si="25"/>
        <v>0.91666666666424135</v>
      </c>
      <c r="C318">
        <v>0</v>
      </c>
      <c r="D318">
        <v>489.57900000000001</v>
      </c>
      <c r="E318">
        <f t="shared" si="24"/>
        <v>489.42400000000004</v>
      </c>
      <c r="F318">
        <v>489.54500000000002</v>
      </c>
      <c r="G318">
        <f t="shared" si="26"/>
        <v>0</v>
      </c>
      <c r="H318">
        <v>1.82</v>
      </c>
      <c r="I318">
        <f t="shared" si="27"/>
        <v>0</v>
      </c>
      <c r="J318">
        <f t="shared" si="28"/>
        <v>0</v>
      </c>
      <c r="K318">
        <f t="shared" si="29"/>
        <v>0</v>
      </c>
    </row>
    <row r="319" spans="1:11" x14ac:dyDescent="0.4">
      <c r="A319" s="19">
        <v>45847.958333333336</v>
      </c>
      <c r="B319" s="20">
        <f t="shared" si="25"/>
        <v>0.95833333333575865</v>
      </c>
      <c r="C319">
        <v>0</v>
      </c>
      <c r="D319">
        <v>489.57900000000001</v>
      </c>
      <c r="E319">
        <f t="shared" si="24"/>
        <v>489.42400000000004</v>
      </c>
      <c r="F319">
        <v>489.54500000000002</v>
      </c>
      <c r="G319">
        <f t="shared" si="26"/>
        <v>0</v>
      </c>
      <c r="H319">
        <v>1.82</v>
      </c>
      <c r="I319">
        <f t="shared" si="27"/>
        <v>0</v>
      </c>
      <c r="J319">
        <f t="shared" si="28"/>
        <v>0</v>
      </c>
      <c r="K319">
        <f t="shared" si="29"/>
        <v>0</v>
      </c>
    </row>
    <row r="320" spans="1:11" x14ac:dyDescent="0.4">
      <c r="A320" s="19">
        <v>45848</v>
      </c>
      <c r="B320" s="20">
        <f t="shared" si="25"/>
        <v>0</v>
      </c>
      <c r="C320">
        <v>0</v>
      </c>
      <c r="D320">
        <v>489.57299999999998</v>
      </c>
      <c r="E320">
        <f t="shared" si="24"/>
        <v>489.41800000000001</v>
      </c>
      <c r="F320">
        <v>489.54500000000002</v>
      </c>
      <c r="G320">
        <f t="shared" si="26"/>
        <v>0</v>
      </c>
      <c r="H320">
        <v>1.82</v>
      </c>
      <c r="I320">
        <f t="shared" si="27"/>
        <v>0</v>
      </c>
      <c r="J320">
        <f t="shared" si="28"/>
        <v>0</v>
      </c>
      <c r="K320">
        <f t="shared" si="29"/>
        <v>0</v>
      </c>
    </row>
    <row r="321" spans="1:11" x14ac:dyDescent="0.4">
      <c r="A321" s="19">
        <v>45848.041666666664</v>
      </c>
      <c r="B321" s="20">
        <f t="shared" si="25"/>
        <v>4.1666666664241347E-2</v>
      </c>
      <c r="C321">
        <v>0</v>
      </c>
      <c r="D321">
        <v>489.57299999999998</v>
      </c>
      <c r="E321">
        <f t="shared" si="24"/>
        <v>489.41800000000001</v>
      </c>
      <c r="F321">
        <v>489.54500000000002</v>
      </c>
      <c r="G321">
        <f t="shared" si="26"/>
        <v>0</v>
      </c>
      <c r="H321">
        <v>1.82</v>
      </c>
      <c r="I321">
        <f t="shared" si="27"/>
        <v>0</v>
      </c>
      <c r="J321">
        <f t="shared" si="28"/>
        <v>0</v>
      </c>
      <c r="K321">
        <f t="shared" si="29"/>
        <v>0</v>
      </c>
    </row>
    <row r="322" spans="1:11" x14ac:dyDescent="0.4">
      <c r="A322" s="19">
        <v>45848.083333333336</v>
      </c>
      <c r="B322" s="20">
        <f t="shared" si="25"/>
        <v>8.3333333335758653E-2</v>
      </c>
      <c r="C322">
        <v>0</v>
      </c>
      <c r="D322">
        <v>489.57299999999998</v>
      </c>
      <c r="E322">
        <f t="shared" ref="E322:E385" si="30">D322-0.155</f>
        <v>489.41800000000001</v>
      </c>
      <c r="F322">
        <v>489.54500000000002</v>
      </c>
      <c r="G322">
        <f t="shared" si="26"/>
        <v>0</v>
      </c>
      <c r="H322">
        <v>1.82</v>
      </c>
      <c r="I322">
        <f t="shared" si="27"/>
        <v>0</v>
      </c>
      <c r="J322">
        <f t="shared" si="28"/>
        <v>0</v>
      </c>
      <c r="K322">
        <f t="shared" si="29"/>
        <v>0</v>
      </c>
    </row>
    <row r="323" spans="1:11" x14ac:dyDescent="0.4">
      <c r="A323" s="19">
        <v>45848.125</v>
      </c>
      <c r="B323" s="20">
        <f t="shared" ref="B323:B386" si="31">MOD(A323,1)</f>
        <v>0.125</v>
      </c>
      <c r="C323">
        <v>0</v>
      </c>
      <c r="D323">
        <v>489.57299999999998</v>
      </c>
      <c r="E323">
        <f t="shared" si="30"/>
        <v>489.41800000000001</v>
      </c>
      <c r="F323">
        <v>489.54500000000002</v>
      </c>
      <c r="G323">
        <f t="shared" ref="G323:G386" si="32">IF(E323 - F323 &lt; 0, 0, E323 - F323)</f>
        <v>0</v>
      </c>
      <c r="H323">
        <v>1.82</v>
      </c>
      <c r="I323">
        <f t="shared" ref="I323:I386" si="33">1.82*30*(G323^1.5)</f>
        <v>0</v>
      </c>
      <c r="J323">
        <f t="shared" ref="J323:J386" si="34">I323*60</f>
        <v>0</v>
      </c>
      <c r="K323">
        <f t="shared" ref="K323:K386" si="35">(I323*86400)/24</f>
        <v>0</v>
      </c>
    </row>
    <row r="324" spans="1:11" x14ac:dyDescent="0.4">
      <c r="A324" s="19">
        <v>45848.166666666664</v>
      </c>
      <c r="B324" s="20">
        <f t="shared" si="31"/>
        <v>0.16666666666424135</v>
      </c>
      <c r="C324">
        <v>0</v>
      </c>
      <c r="D324">
        <v>489.57299999999998</v>
      </c>
      <c r="E324">
        <f t="shared" si="30"/>
        <v>489.41800000000001</v>
      </c>
      <c r="F324">
        <v>489.54500000000002</v>
      </c>
      <c r="G324">
        <f t="shared" si="32"/>
        <v>0</v>
      </c>
      <c r="H324">
        <v>1.82</v>
      </c>
      <c r="I324">
        <f t="shared" si="33"/>
        <v>0</v>
      </c>
      <c r="J324">
        <f t="shared" si="34"/>
        <v>0</v>
      </c>
      <c r="K324">
        <f t="shared" si="35"/>
        <v>0</v>
      </c>
    </row>
    <row r="325" spans="1:11" x14ac:dyDescent="0.4">
      <c r="A325" s="19">
        <v>45848.208333333336</v>
      </c>
      <c r="B325" s="20">
        <f t="shared" si="31"/>
        <v>0.20833333333575865</v>
      </c>
      <c r="C325">
        <v>0</v>
      </c>
      <c r="D325">
        <v>489.57299999999998</v>
      </c>
      <c r="E325">
        <f t="shared" si="30"/>
        <v>489.41800000000001</v>
      </c>
      <c r="F325">
        <v>489.54500000000002</v>
      </c>
      <c r="G325">
        <f t="shared" si="32"/>
        <v>0</v>
      </c>
      <c r="H325">
        <v>1.82</v>
      </c>
      <c r="I325">
        <f t="shared" si="33"/>
        <v>0</v>
      </c>
      <c r="J325">
        <f t="shared" si="34"/>
        <v>0</v>
      </c>
      <c r="K325">
        <f t="shared" si="35"/>
        <v>0</v>
      </c>
    </row>
    <row r="326" spans="1:11" x14ac:dyDescent="0.4">
      <c r="A326" s="19">
        <v>45848.25</v>
      </c>
      <c r="B326" s="20">
        <f t="shared" si="31"/>
        <v>0.25</v>
      </c>
      <c r="C326">
        <v>0</v>
      </c>
      <c r="D326">
        <v>489.57299999999998</v>
      </c>
      <c r="E326">
        <f t="shared" si="30"/>
        <v>489.41800000000001</v>
      </c>
      <c r="F326">
        <v>489.54500000000002</v>
      </c>
      <c r="G326">
        <f t="shared" si="32"/>
        <v>0</v>
      </c>
      <c r="H326">
        <v>1.82</v>
      </c>
      <c r="I326">
        <f t="shared" si="33"/>
        <v>0</v>
      </c>
      <c r="J326">
        <f t="shared" si="34"/>
        <v>0</v>
      </c>
      <c r="K326">
        <f t="shared" si="35"/>
        <v>0</v>
      </c>
    </row>
    <row r="327" spans="1:11" x14ac:dyDescent="0.4">
      <c r="A327" s="19">
        <v>45848.291666666664</v>
      </c>
      <c r="B327" s="20">
        <f t="shared" si="31"/>
        <v>0.29166666666424135</v>
      </c>
      <c r="C327">
        <v>0</v>
      </c>
      <c r="D327">
        <v>489.57299999999998</v>
      </c>
      <c r="E327">
        <f t="shared" si="30"/>
        <v>489.41800000000001</v>
      </c>
      <c r="F327">
        <v>489.54500000000002</v>
      </c>
      <c r="G327">
        <f t="shared" si="32"/>
        <v>0</v>
      </c>
      <c r="H327">
        <v>1.82</v>
      </c>
      <c r="I327">
        <f t="shared" si="33"/>
        <v>0</v>
      </c>
      <c r="J327">
        <f t="shared" si="34"/>
        <v>0</v>
      </c>
      <c r="K327">
        <f t="shared" si="35"/>
        <v>0</v>
      </c>
    </row>
    <row r="328" spans="1:11" x14ac:dyDescent="0.4">
      <c r="A328" s="19">
        <v>45848.333333333336</v>
      </c>
      <c r="B328" s="20">
        <f t="shared" si="31"/>
        <v>0.33333333333575865</v>
      </c>
      <c r="C328">
        <v>0</v>
      </c>
      <c r="D328">
        <v>489.56599999999997</v>
      </c>
      <c r="E328">
        <f t="shared" si="30"/>
        <v>489.411</v>
      </c>
      <c r="F328">
        <v>489.54500000000002</v>
      </c>
      <c r="G328">
        <f t="shared" si="32"/>
        <v>0</v>
      </c>
      <c r="H328">
        <v>1.82</v>
      </c>
      <c r="I328">
        <f t="shared" si="33"/>
        <v>0</v>
      </c>
      <c r="J328">
        <f t="shared" si="34"/>
        <v>0</v>
      </c>
      <c r="K328">
        <f t="shared" si="35"/>
        <v>0</v>
      </c>
    </row>
    <row r="329" spans="1:11" x14ac:dyDescent="0.4">
      <c r="A329" s="19">
        <v>45848.375</v>
      </c>
      <c r="B329" s="20">
        <f t="shared" si="31"/>
        <v>0.375</v>
      </c>
      <c r="C329">
        <v>0</v>
      </c>
      <c r="D329">
        <v>489.56599999999997</v>
      </c>
      <c r="E329">
        <f t="shared" si="30"/>
        <v>489.411</v>
      </c>
      <c r="F329">
        <v>489.54500000000002</v>
      </c>
      <c r="G329">
        <f t="shared" si="32"/>
        <v>0</v>
      </c>
      <c r="H329">
        <v>1.82</v>
      </c>
      <c r="I329">
        <f t="shared" si="33"/>
        <v>0</v>
      </c>
      <c r="J329">
        <f t="shared" si="34"/>
        <v>0</v>
      </c>
      <c r="K329">
        <f t="shared" si="35"/>
        <v>0</v>
      </c>
    </row>
    <row r="330" spans="1:11" x14ac:dyDescent="0.4">
      <c r="A330" s="19">
        <v>45848.416666666664</v>
      </c>
      <c r="B330" s="20">
        <f t="shared" si="31"/>
        <v>0.41666666666424135</v>
      </c>
      <c r="C330">
        <v>0</v>
      </c>
      <c r="D330">
        <v>489.565</v>
      </c>
      <c r="E330">
        <f t="shared" si="30"/>
        <v>489.41</v>
      </c>
      <c r="F330">
        <v>489.54500000000002</v>
      </c>
      <c r="G330">
        <f t="shared" si="32"/>
        <v>0</v>
      </c>
      <c r="H330">
        <v>1.82</v>
      </c>
      <c r="I330">
        <f t="shared" si="33"/>
        <v>0</v>
      </c>
      <c r="J330">
        <f t="shared" si="34"/>
        <v>0</v>
      </c>
      <c r="K330">
        <f t="shared" si="35"/>
        <v>0</v>
      </c>
    </row>
    <row r="331" spans="1:11" x14ac:dyDescent="0.4">
      <c r="A331" s="19">
        <v>45848.458333333336</v>
      </c>
      <c r="B331" s="20">
        <f t="shared" si="31"/>
        <v>0.45833333333575865</v>
      </c>
      <c r="C331">
        <v>0</v>
      </c>
      <c r="D331">
        <v>489.56599999999997</v>
      </c>
      <c r="E331">
        <f t="shared" si="30"/>
        <v>489.411</v>
      </c>
      <c r="F331">
        <v>489.54500000000002</v>
      </c>
      <c r="G331">
        <f t="shared" si="32"/>
        <v>0</v>
      </c>
      <c r="H331">
        <v>1.82</v>
      </c>
      <c r="I331">
        <f t="shared" si="33"/>
        <v>0</v>
      </c>
      <c r="J331">
        <f t="shared" si="34"/>
        <v>0</v>
      </c>
      <c r="K331">
        <f t="shared" si="35"/>
        <v>0</v>
      </c>
    </row>
    <row r="332" spans="1:11" x14ac:dyDescent="0.4">
      <c r="A332" s="19">
        <v>45848.5</v>
      </c>
      <c r="B332" s="20">
        <f t="shared" si="31"/>
        <v>0.5</v>
      </c>
      <c r="C332">
        <v>0</v>
      </c>
      <c r="D332">
        <v>489.565</v>
      </c>
      <c r="E332">
        <f t="shared" si="30"/>
        <v>489.41</v>
      </c>
      <c r="F332">
        <v>489.54500000000002</v>
      </c>
      <c r="G332">
        <f t="shared" si="32"/>
        <v>0</v>
      </c>
      <c r="H332">
        <v>1.82</v>
      </c>
      <c r="I332">
        <f t="shared" si="33"/>
        <v>0</v>
      </c>
      <c r="J332">
        <f t="shared" si="34"/>
        <v>0</v>
      </c>
      <c r="K332">
        <f t="shared" si="35"/>
        <v>0</v>
      </c>
    </row>
    <row r="333" spans="1:11" x14ac:dyDescent="0.4">
      <c r="A333" s="19">
        <v>45848.541666666664</v>
      </c>
      <c r="B333" s="20">
        <f t="shared" si="31"/>
        <v>0.54166666666424135</v>
      </c>
      <c r="C333">
        <v>0</v>
      </c>
      <c r="D333">
        <v>489.56</v>
      </c>
      <c r="E333">
        <f t="shared" si="30"/>
        <v>489.40500000000003</v>
      </c>
      <c r="F333">
        <v>489.54500000000002</v>
      </c>
      <c r="G333">
        <f t="shared" si="32"/>
        <v>0</v>
      </c>
      <c r="H333">
        <v>1.82</v>
      </c>
      <c r="I333">
        <f t="shared" si="33"/>
        <v>0</v>
      </c>
      <c r="J333">
        <f t="shared" si="34"/>
        <v>0</v>
      </c>
      <c r="K333">
        <f t="shared" si="35"/>
        <v>0</v>
      </c>
    </row>
    <row r="334" spans="1:11" x14ac:dyDescent="0.4">
      <c r="A334" s="19">
        <v>45848.583333333336</v>
      </c>
      <c r="B334" s="20">
        <f t="shared" si="31"/>
        <v>0.58333333333575865</v>
      </c>
      <c r="C334">
        <v>0</v>
      </c>
      <c r="D334">
        <v>489.56599999999997</v>
      </c>
      <c r="E334">
        <f t="shared" si="30"/>
        <v>489.411</v>
      </c>
      <c r="F334">
        <v>489.54500000000002</v>
      </c>
      <c r="G334">
        <f t="shared" si="32"/>
        <v>0</v>
      </c>
      <c r="H334">
        <v>1.82</v>
      </c>
      <c r="I334">
        <f t="shared" si="33"/>
        <v>0</v>
      </c>
      <c r="J334">
        <f t="shared" si="34"/>
        <v>0</v>
      </c>
      <c r="K334">
        <f t="shared" si="35"/>
        <v>0</v>
      </c>
    </row>
    <row r="335" spans="1:11" x14ac:dyDescent="0.4">
      <c r="A335" s="19">
        <v>45848.625</v>
      </c>
      <c r="B335" s="20">
        <f t="shared" si="31"/>
        <v>0.625</v>
      </c>
      <c r="C335">
        <v>0</v>
      </c>
      <c r="D335">
        <v>489.56</v>
      </c>
      <c r="E335">
        <f t="shared" si="30"/>
        <v>489.40500000000003</v>
      </c>
      <c r="F335">
        <v>489.54500000000002</v>
      </c>
      <c r="G335">
        <f t="shared" si="32"/>
        <v>0</v>
      </c>
      <c r="H335">
        <v>1.82</v>
      </c>
      <c r="I335">
        <f t="shared" si="33"/>
        <v>0</v>
      </c>
      <c r="J335">
        <f t="shared" si="34"/>
        <v>0</v>
      </c>
      <c r="K335">
        <f t="shared" si="35"/>
        <v>0</v>
      </c>
    </row>
    <row r="336" spans="1:11" x14ac:dyDescent="0.4">
      <c r="A336" s="19">
        <v>45848.666666666664</v>
      </c>
      <c r="B336" s="20">
        <f t="shared" si="31"/>
        <v>0.66666666666424135</v>
      </c>
      <c r="C336">
        <v>0</v>
      </c>
      <c r="D336">
        <v>489.56</v>
      </c>
      <c r="E336">
        <f t="shared" si="30"/>
        <v>489.40500000000003</v>
      </c>
      <c r="F336">
        <v>489.54500000000002</v>
      </c>
      <c r="G336">
        <f t="shared" si="32"/>
        <v>0</v>
      </c>
      <c r="H336">
        <v>1.82</v>
      </c>
      <c r="I336">
        <f t="shared" si="33"/>
        <v>0</v>
      </c>
      <c r="J336">
        <f t="shared" si="34"/>
        <v>0</v>
      </c>
      <c r="K336">
        <f t="shared" si="35"/>
        <v>0</v>
      </c>
    </row>
    <row r="337" spans="1:11" x14ac:dyDescent="0.4">
      <c r="A337" s="19">
        <v>45848.708333333336</v>
      </c>
      <c r="B337" s="20">
        <f t="shared" si="31"/>
        <v>0.70833333333575865</v>
      </c>
      <c r="C337">
        <v>0</v>
      </c>
      <c r="D337">
        <v>489.56</v>
      </c>
      <c r="E337">
        <f t="shared" si="30"/>
        <v>489.40500000000003</v>
      </c>
      <c r="F337">
        <v>489.54500000000002</v>
      </c>
      <c r="G337">
        <f t="shared" si="32"/>
        <v>0</v>
      </c>
      <c r="H337">
        <v>1.82</v>
      </c>
      <c r="I337">
        <f t="shared" si="33"/>
        <v>0</v>
      </c>
      <c r="J337">
        <f t="shared" si="34"/>
        <v>0</v>
      </c>
      <c r="K337">
        <f t="shared" si="35"/>
        <v>0</v>
      </c>
    </row>
    <row r="338" spans="1:11" x14ac:dyDescent="0.4">
      <c r="A338" s="19">
        <v>45848.75</v>
      </c>
      <c r="B338" s="20">
        <f t="shared" si="31"/>
        <v>0.75</v>
      </c>
      <c r="C338">
        <v>0</v>
      </c>
      <c r="D338">
        <v>489.56</v>
      </c>
      <c r="E338">
        <f t="shared" si="30"/>
        <v>489.40500000000003</v>
      </c>
      <c r="F338">
        <v>489.54500000000002</v>
      </c>
      <c r="G338">
        <f t="shared" si="32"/>
        <v>0</v>
      </c>
      <c r="H338">
        <v>1.82</v>
      </c>
      <c r="I338">
        <f t="shared" si="33"/>
        <v>0</v>
      </c>
      <c r="J338">
        <f t="shared" si="34"/>
        <v>0</v>
      </c>
      <c r="K338">
        <f t="shared" si="35"/>
        <v>0</v>
      </c>
    </row>
    <row r="339" spans="1:11" x14ac:dyDescent="0.4">
      <c r="A339" s="19">
        <v>45848.791666666664</v>
      </c>
      <c r="B339" s="20">
        <f t="shared" si="31"/>
        <v>0.79166666666424135</v>
      </c>
      <c r="C339">
        <v>0</v>
      </c>
      <c r="D339">
        <v>489.56</v>
      </c>
      <c r="E339">
        <f t="shared" si="30"/>
        <v>489.40500000000003</v>
      </c>
      <c r="F339">
        <v>489.54500000000002</v>
      </c>
      <c r="G339">
        <f t="shared" si="32"/>
        <v>0</v>
      </c>
      <c r="H339">
        <v>1.82</v>
      </c>
      <c r="I339">
        <f t="shared" si="33"/>
        <v>0</v>
      </c>
      <c r="J339">
        <f t="shared" si="34"/>
        <v>0</v>
      </c>
      <c r="K339">
        <f t="shared" si="35"/>
        <v>0</v>
      </c>
    </row>
    <row r="340" spans="1:11" x14ac:dyDescent="0.4">
      <c r="A340" s="19">
        <v>45848.833333333336</v>
      </c>
      <c r="B340" s="20">
        <f t="shared" si="31"/>
        <v>0.83333333333575865</v>
      </c>
      <c r="C340">
        <v>0</v>
      </c>
      <c r="D340">
        <v>489.56</v>
      </c>
      <c r="E340">
        <f t="shared" si="30"/>
        <v>489.40500000000003</v>
      </c>
      <c r="F340">
        <v>489.54500000000002</v>
      </c>
      <c r="G340">
        <f t="shared" si="32"/>
        <v>0</v>
      </c>
      <c r="H340">
        <v>1.82</v>
      </c>
      <c r="I340">
        <f t="shared" si="33"/>
        <v>0</v>
      </c>
      <c r="J340">
        <f t="shared" si="34"/>
        <v>0</v>
      </c>
      <c r="K340">
        <f t="shared" si="35"/>
        <v>0</v>
      </c>
    </row>
    <row r="341" spans="1:11" x14ac:dyDescent="0.4">
      <c r="A341" s="19">
        <v>45848.875</v>
      </c>
      <c r="B341" s="20">
        <f t="shared" si="31"/>
        <v>0.875</v>
      </c>
      <c r="C341">
        <v>0</v>
      </c>
      <c r="D341">
        <v>489.553</v>
      </c>
      <c r="E341">
        <f t="shared" si="30"/>
        <v>489.39800000000002</v>
      </c>
      <c r="F341">
        <v>489.54500000000002</v>
      </c>
      <c r="G341">
        <f t="shared" si="32"/>
        <v>0</v>
      </c>
      <c r="H341">
        <v>1.82</v>
      </c>
      <c r="I341">
        <f t="shared" si="33"/>
        <v>0</v>
      </c>
      <c r="J341">
        <f t="shared" si="34"/>
        <v>0</v>
      </c>
      <c r="K341">
        <f t="shared" si="35"/>
        <v>0</v>
      </c>
    </row>
    <row r="342" spans="1:11" x14ac:dyDescent="0.4">
      <c r="A342" s="19">
        <v>45848.916666666664</v>
      </c>
      <c r="B342" s="20">
        <f t="shared" si="31"/>
        <v>0.91666666666424135</v>
      </c>
      <c r="C342">
        <v>0</v>
      </c>
      <c r="D342">
        <v>489.553</v>
      </c>
      <c r="E342">
        <f t="shared" si="30"/>
        <v>489.39800000000002</v>
      </c>
      <c r="F342">
        <v>489.54500000000002</v>
      </c>
      <c r="G342">
        <f t="shared" si="32"/>
        <v>0</v>
      </c>
      <c r="H342">
        <v>1.82</v>
      </c>
      <c r="I342">
        <f t="shared" si="33"/>
        <v>0</v>
      </c>
      <c r="J342">
        <f t="shared" si="34"/>
        <v>0</v>
      </c>
      <c r="K342">
        <f t="shared" si="35"/>
        <v>0</v>
      </c>
    </row>
    <row r="343" spans="1:11" x14ac:dyDescent="0.4">
      <c r="A343" s="19">
        <v>45848.958333333336</v>
      </c>
      <c r="B343" s="20">
        <f t="shared" si="31"/>
        <v>0.95833333333575865</v>
      </c>
      <c r="C343">
        <v>0</v>
      </c>
      <c r="D343">
        <v>489.553</v>
      </c>
      <c r="E343">
        <f t="shared" si="30"/>
        <v>489.39800000000002</v>
      </c>
      <c r="F343">
        <v>489.54500000000002</v>
      </c>
      <c r="G343">
        <f t="shared" si="32"/>
        <v>0</v>
      </c>
      <c r="H343">
        <v>1.82</v>
      </c>
      <c r="I343">
        <f t="shared" si="33"/>
        <v>0</v>
      </c>
      <c r="J343">
        <f t="shared" si="34"/>
        <v>0</v>
      </c>
      <c r="K343">
        <f t="shared" si="35"/>
        <v>0</v>
      </c>
    </row>
    <row r="344" spans="1:11" x14ac:dyDescent="0.4">
      <c r="A344" s="19">
        <v>45849</v>
      </c>
      <c r="B344" s="20">
        <f t="shared" si="31"/>
        <v>0</v>
      </c>
      <c r="C344">
        <v>0.2</v>
      </c>
      <c r="D344">
        <v>489.56</v>
      </c>
      <c r="E344">
        <f t="shared" si="30"/>
        <v>489.40500000000003</v>
      </c>
      <c r="F344">
        <v>489.54500000000002</v>
      </c>
      <c r="G344">
        <f t="shared" si="32"/>
        <v>0</v>
      </c>
      <c r="H344">
        <v>1.82</v>
      </c>
      <c r="I344">
        <f t="shared" si="33"/>
        <v>0</v>
      </c>
      <c r="J344">
        <f t="shared" si="34"/>
        <v>0</v>
      </c>
      <c r="K344">
        <f t="shared" si="35"/>
        <v>0</v>
      </c>
    </row>
    <row r="345" spans="1:11" x14ac:dyDescent="0.4">
      <c r="A345" s="19">
        <v>45849.041666666664</v>
      </c>
      <c r="B345" s="20">
        <f t="shared" si="31"/>
        <v>4.1666666664241347E-2</v>
      </c>
      <c r="C345">
        <v>0</v>
      </c>
      <c r="D345">
        <v>489.553</v>
      </c>
      <c r="E345">
        <f t="shared" si="30"/>
        <v>489.39800000000002</v>
      </c>
      <c r="F345">
        <v>489.54500000000002</v>
      </c>
      <c r="G345">
        <f t="shared" si="32"/>
        <v>0</v>
      </c>
      <c r="H345">
        <v>1.82</v>
      </c>
      <c r="I345">
        <f t="shared" si="33"/>
        <v>0</v>
      </c>
      <c r="J345">
        <f t="shared" si="34"/>
        <v>0</v>
      </c>
      <c r="K345">
        <f t="shared" si="35"/>
        <v>0</v>
      </c>
    </row>
    <row r="346" spans="1:11" x14ac:dyDescent="0.4">
      <c r="A346" s="19">
        <v>45849.083333333336</v>
      </c>
      <c r="B346" s="20">
        <f t="shared" si="31"/>
        <v>8.3333333335758653E-2</v>
      </c>
      <c r="C346">
        <v>0</v>
      </c>
      <c r="D346">
        <v>489.553</v>
      </c>
      <c r="E346">
        <f t="shared" si="30"/>
        <v>489.39800000000002</v>
      </c>
      <c r="F346">
        <v>489.54500000000002</v>
      </c>
      <c r="G346">
        <f t="shared" si="32"/>
        <v>0</v>
      </c>
      <c r="H346">
        <v>1.82</v>
      </c>
      <c r="I346">
        <f t="shared" si="33"/>
        <v>0</v>
      </c>
      <c r="J346">
        <f t="shared" si="34"/>
        <v>0</v>
      </c>
      <c r="K346">
        <f t="shared" si="35"/>
        <v>0</v>
      </c>
    </row>
    <row r="347" spans="1:11" x14ac:dyDescent="0.4">
      <c r="A347" s="19">
        <v>45849.125</v>
      </c>
      <c r="B347" s="20">
        <f t="shared" si="31"/>
        <v>0.125</v>
      </c>
      <c r="C347">
        <v>0</v>
      </c>
      <c r="D347">
        <v>489.553</v>
      </c>
      <c r="E347">
        <f t="shared" si="30"/>
        <v>489.39800000000002</v>
      </c>
      <c r="F347">
        <v>489.54500000000002</v>
      </c>
      <c r="G347">
        <f t="shared" si="32"/>
        <v>0</v>
      </c>
      <c r="H347">
        <v>1.82</v>
      </c>
      <c r="I347">
        <f t="shared" si="33"/>
        <v>0</v>
      </c>
      <c r="J347">
        <f t="shared" si="34"/>
        <v>0</v>
      </c>
      <c r="K347">
        <f t="shared" si="35"/>
        <v>0</v>
      </c>
    </row>
    <row r="348" spans="1:11" x14ac:dyDescent="0.4">
      <c r="A348" s="19">
        <v>45849.166666666664</v>
      </c>
      <c r="B348" s="20">
        <f t="shared" si="31"/>
        <v>0.16666666666424135</v>
      </c>
      <c r="C348">
        <v>0</v>
      </c>
      <c r="D348">
        <v>489.54700000000003</v>
      </c>
      <c r="E348">
        <f t="shared" si="30"/>
        <v>489.39200000000005</v>
      </c>
      <c r="F348">
        <v>489.54500000000002</v>
      </c>
      <c r="G348">
        <f t="shared" si="32"/>
        <v>0</v>
      </c>
      <c r="H348">
        <v>1.82</v>
      </c>
      <c r="I348">
        <f t="shared" si="33"/>
        <v>0</v>
      </c>
      <c r="J348">
        <f t="shared" si="34"/>
        <v>0</v>
      </c>
      <c r="K348">
        <f t="shared" si="35"/>
        <v>0</v>
      </c>
    </row>
    <row r="349" spans="1:11" x14ac:dyDescent="0.4">
      <c r="A349" s="19">
        <v>45849.208333333336</v>
      </c>
      <c r="B349" s="20">
        <f t="shared" si="31"/>
        <v>0.20833333333575865</v>
      </c>
      <c r="C349">
        <v>0</v>
      </c>
      <c r="D349">
        <v>489.54700000000003</v>
      </c>
      <c r="E349">
        <f t="shared" si="30"/>
        <v>489.39200000000005</v>
      </c>
      <c r="F349">
        <v>489.54500000000002</v>
      </c>
      <c r="G349">
        <f t="shared" si="32"/>
        <v>0</v>
      </c>
      <c r="H349">
        <v>1.82</v>
      </c>
      <c r="I349">
        <f t="shared" si="33"/>
        <v>0</v>
      </c>
      <c r="J349">
        <f t="shared" si="34"/>
        <v>0</v>
      </c>
      <c r="K349">
        <f t="shared" si="35"/>
        <v>0</v>
      </c>
    </row>
    <row r="350" spans="1:11" x14ac:dyDescent="0.4">
      <c r="A350" s="19">
        <v>45849.25</v>
      </c>
      <c r="B350" s="20">
        <f t="shared" si="31"/>
        <v>0.25</v>
      </c>
      <c r="C350">
        <v>0</v>
      </c>
      <c r="D350">
        <v>489.553</v>
      </c>
      <c r="E350">
        <f t="shared" si="30"/>
        <v>489.39800000000002</v>
      </c>
      <c r="F350">
        <v>489.54500000000002</v>
      </c>
      <c r="G350">
        <f t="shared" si="32"/>
        <v>0</v>
      </c>
      <c r="H350">
        <v>1.82</v>
      </c>
      <c r="I350">
        <f t="shared" si="33"/>
        <v>0</v>
      </c>
      <c r="J350">
        <f t="shared" si="34"/>
        <v>0</v>
      </c>
      <c r="K350">
        <f t="shared" si="35"/>
        <v>0</v>
      </c>
    </row>
    <row r="351" spans="1:11" x14ac:dyDescent="0.4">
      <c r="A351" s="19">
        <v>45849.291666666664</v>
      </c>
      <c r="B351" s="20">
        <f t="shared" si="31"/>
        <v>0.29166666666424135</v>
      </c>
      <c r="C351">
        <v>0</v>
      </c>
      <c r="D351">
        <v>489.54599999999999</v>
      </c>
      <c r="E351">
        <f t="shared" si="30"/>
        <v>489.39100000000002</v>
      </c>
      <c r="F351">
        <v>489.54500000000002</v>
      </c>
      <c r="G351">
        <f t="shared" si="32"/>
        <v>0</v>
      </c>
      <c r="H351">
        <v>1.82</v>
      </c>
      <c r="I351">
        <f t="shared" si="33"/>
        <v>0</v>
      </c>
      <c r="J351">
        <f t="shared" si="34"/>
        <v>0</v>
      </c>
      <c r="K351">
        <f t="shared" si="35"/>
        <v>0</v>
      </c>
    </row>
    <row r="352" spans="1:11" x14ac:dyDescent="0.4">
      <c r="A352" s="19">
        <v>45849.333333333336</v>
      </c>
      <c r="B352" s="20">
        <f t="shared" si="31"/>
        <v>0.33333333333575865</v>
      </c>
      <c r="C352">
        <v>0</v>
      </c>
      <c r="D352">
        <v>489.553</v>
      </c>
      <c r="E352">
        <f t="shared" si="30"/>
        <v>489.39800000000002</v>
      </c>
      <c r="F352">
        <v>489.54500000000002</v>
      </c>
      <c r="G352">
        <f t="shared" si="32"/>
        <v>0</v>
      </c>
      <c r="H352">
        <v>1.82</v>
      </c>
      <c r="I352">
        <f t="shared" si="33"/>
        <v>0</v>
      </c>
      <c r="J352">
        <f t="shared" si="34"/>
        <v>0</v>
      </c>
      <c r="K352">
        <f t="shared" si="35"/>
        <v>0</v>
      </c>
    </row>
    <row r="353" spans="1:11" x14ac:dyDescent="0.4">
      <c r="A353" s="19">
        <v>45849.375</v>
      </c>
      <c r="B353" s="20">
        <f t="shared" si="31"/>
        <v>0.375</v>
      </c>
      <c r="C353">
        <v>0</v>
      </c>
      <c r="D353">
        <v>489.54599999999999</v>
      </c>
      <c r="E353">
        <f t="shared" si="30"/>
        <v>489.39100000000002</v>
      </c>
      <c r="F353">
        <v>489.54500000000002</v>
      </c>
      <c r="G353">
        <f t="shared" si="32"/>
        <v>0</v>
      </c>
      <c r="H353">
        <v>1.82</v>
      </c>
      <c r="I353">
        <f t="shared" si="33"/>
        <v>0</v>
      </c>
      <c r="J353">
        <f t="shared" si="34"/>
        <v>0</v>
      </c>
      <c r="K353">
        <f t="shared" si="35"/>
        <v>0</v>
      </c>
    </row>
    <row r="354" spans="1:11" x14ac:dyDescent="0.4">
      <c r="A354" s="19">
        <v>45849.416666666664</v>
      </c>
      <c r="B354" s="20">
        <f t="shared" si="31"/>
        <v>0.41666666666424135</v>
      </c>
      <c r="C354">
        <v>0</v>
      </c>
      <c r="D354">
        <v>489.54599999999999</v>
      </c>
      <c r="E354">
        <f t="shared" si="30"/>
        <v>489.39100000000002</v>
      </c>
      <c r="F354">
        <v>489.54500000000002</v>
      </c>
      <c r="G354">
        <f t="shared" si="32"/>
        <v>0</v>
      </c>
      <c r="H354">
        <v>1.82</v>
      </c>
      <c r="I354">
        <f t="shared" si="33"/>
        <v>0</v>
      </c>
      <c r="J354">
        <f t="shared" si="34"/>
        <v>0</v>
      </c>
      <c r="K354">
        <f t="shared" si="35"/>
        <v>0</v>
      </c>
    </row>
    <row r="355" spans="1:11" x14ac:dyDescent="0.4">
      <c r="A355" s="19">
        <v>45849.458333333336</v>
      </c>
      <c r="B355" s="20">
        <f t="shared" si="31"/>
        <v>0.45833333333575865</v>
      </c>
      <c r="C355">
        <v>0</v>
      </c>
      <c r="D355">
        <v>489.54599999999999</v>
      </c>
      <c r="E355">
        <f t="shared" si="30"/>
        <v>489.39100000000002</v>
      </c>
      <c r="F355">
        <v>489.54500000000002</v>
      </c>
      <c r="G355">
        <f t="shared" si="32"/>
        <v>0</v>
      </c>
      <c r="H355">
        <v>1.82</v>
      </c>
      <c r="I355">
        <f t="shared" si="33"/>
        <v>0</v>
      </c>
      <c r="J355">
        <f t="shared" si="34"/>
        <v>0</v>
      </c>
      <c r="K355">
        <f t="shared" si="35"/>
        <v>0</v>
      </c>
    </row>
    <row r="356" spans="1:11" x14ac:dyDescent="0.4">
      <c r="A356" s="19">
        <v>45849.5</v>
      </c>
      <c r="B356" s="20">
        <f t="shared" si="31"/>
        <v>0.5</v>
      </c>
      <c r="C356">
        <v>0</v>
      </c>
      <c r="D356">
        <v>489.54500000000002</v>
      </c>
      <c r="E356">
        <f t="shared" si="30"/>
        <v>489.39000000000004</v>
      </c>
      <c r="F356">
        <v>489.54500000000002</v>
      </c>
      <c r="G356">
        <f t="shared" si="32"/>
        <v>0</v>
      </c>
      <c r="H356">
        <v>1.82</v>
      </c>
      <c r="I356">
        <f t="shared" si="33"/>
        <v>0</v>
      </c>
      <c r="J356">
        <f t="shared" si="34"/>
        <v>0</v>
      </c>
      <c r="K356">
        <f t="shared" si="35"/>
        <v>0</v>
      </c>
    </row>
    <row r="357" spans="1:11" x14ac:dyDescent="0.4">
      <c r="A357" s="19">
        <v>45849.541666666664</v>
      </c>
      <c r="B357" s="20">
        <f t="shared" si="31"/>
        <v>0.54166666666424135</v>
      </c>
      <c r="C357">
        <v>0</v>
      </c>
      <c r="D357">
        <v>489.54599999999999</v>
      </c>
      <c r="E357">
        <f t="shared" si="30"/>
        <v>489.39100000000002</v>
      </c>
      <c r="F357">
        <v>489.54500000000002</v>
      </c>
      <c r="G357">
        <f t="shared" si="32"/>
        <v>0</v>
      </c>
      <c r="H357">
        <v>1.82</v>
      </c>
      <c r="I357">
        <f t="shared" si="33"/>
        <v>0</v>
      </c>
      <c r="J357">
        <f t="shared" si="34"/>
        <v>0</v>
      </c>
      <c r="K357">
        <f t="shared" si="35"/>
        <v>0</v>
      </c>
    </row>
    <row r="358" spans="1:11" x14ac:dyDescent="0.4">
      <c r="A358" s="19">
        <v>45849.583333333336</v>
      </c>
      <c r="B358" s="20">
        <f t="shared" si="31"/>
        <v>0.58333333333575865</v>
      </c>
      <c r="C358">
        <v>0</v>
      </c>
      <c r="D358">
        <v>489.53800000000001</v>
      </c>
      <c r="E358">
        <f t="shared" si="30"/>
        <v>489.38300000000004</v>
      </c>
      <c r="F358">
        <v>489.54500000000002</v>
      </c>
      <c r="G358">
        <f t="shared" si="32"/>
        <v>0</v>
      </c>
      <c r="H358">
        <v>1.82</v>
      </c>
      <c r="I358">
        <f t="shared" si="33"/>
        <v>0</v>
      </c>
      <c r="J358">
        <f t="shared" si="34"/>
        <v>0</v>
      </c>
      <c r="K358">
        <f t="shared" si="35"/>
        <v>0</v>
      </c>
    </row>
    <row r="359" spans="1:11" x14ac:dyDescent="0.4">
      <c r="A359" s="19">
        <v>45849.625</v>
      </c>
      <c r="B359" s="20">
        <f t="shared" si="31"/>
        <v>0.625</v>
      </c>
      <c r="C359">
        <v>0</v>
      </c>
      <c r="D359">
        <v>489.53899999999999</v>
      </c>
      <c r="E359">
        <f t="shared" si="30"/>
        <v>489.38400000000001</v>
      </c>
      <c r="F359">
        <v>489.54500000000002</v>
      </c>
      <c r="G359">
        <f t="shared" si="32"/>
        <v>0</v>
      </c>
      <c r="H359">
        <v>1.82</v>
      </c>
      <c r="I359">
        <f t="shared" si="33"/>
        <v>0</v>
      </c>
      <c r="J359">
        <f t="shared" si="34"/>
        <v>0</v>
      </c>
      <c r="K359">
        <f t="shared" si="35"/>
        <v>0</v>
      </c>
    </row>
    <row r="360" spans="1:11" x14ac:dyDescent="0.4">
      <c r="A360" s="19">
        <v>45849.666666666664</v>
      </c>
      <c r="B360" s="20">
        <f t="shared" si="31"/>
        <v>0.66666666666424135</v>
      </c>
      <c r="C360">
        <v>0</v>
      </c>
      <c r="D360">
        <v>489.53899999999999</v>
      </c>
      <c r="E360">
        <f t="shared" si="30"/>
        <v>489.38400000000001</v>
      </c>
      <c r="F360">
        <v>489.54500000000002</v>
      </c>
      <c r="G360">
        <f t="shared" si="32"/>
        <v>0</v>
      </c>
      <c r="H360">
        <v>1.82</v>
      </c>
      <c r="I360">
        <f t="shared" si="33"/>
        <v>0</v>
      </c>
      <c r="J360">
        <f t="shared" si="34"/>
        <v>0</v>
      </c>
      <c r="K360">
        <f t="shared" si="35"/>
        <v>0</v>
      </c>
    </row>
    <row r="361" spans="1:11" x14ac:dyDescent="0.4">
      <c r="A361" s="19">
        <v>45849.708333333336</v>
      </c>
      <c r="B361" s="20">
        <f t="shared" si="31"/>
        <v>0.70833333333575865</v>
      </c>
      <c r="C361">
        <v>0</v>
      </c>
      <c r="D361">
        <v>489.54599999999999</v>
      </c>
      <c r="E361">
        <f t="shared" si="30"/>
        <v>489.39100000000002</v>
      </c>
      <c r="F361">
        <v>489.54500000000002</v>
      </c>
      <c r="G361">
        <f t="shared" si="32"/>
        <v>0</v>
      </c>
      <c r="H361">
        <v>1.82</v>
      </c>
      <c r="I361">
        <f t="shared" si="33"/>
        <v>0</v>
      </c>
      <c r="J361">
        <f t="shared" si="34"/>
        <v>0</v>
      </c>
      <c r="K361">
        <f t="shared" si="35"/>
        <v>0</v>
      </c>
    </row>
    <row r="362" spans="1:11" x14ac:dyDescent="0.4">
      <c r="A362" s="19">
        <v>45849.75</v>
      </c>
      <c r="B362" s="20">
        <f t="shared" si="31"/>
        <v>0.75</v>
      </c>
      <c r="C362">
        <v>0.4</v>
      </c>
      <c r="D362">
        <v>489.53899999999999</v>
      </c>
      <c r="E362">
        <f t="shared" si="30"/>
        <v>489.38400000000001</v>
      </c>
      <c r="F362">
        <v>489.54500000000002</v>
      </c>
      <c r="G362">
        <f t="shared" si="32"/>
        <v>0</v>
      </c>
      <c r="H362">
        <v>1.82</v>
      </c>
      <c r="I362">
        <f t="shared" si="33"/>
        <v>0</v>
      </c>
      <c r="J362">
        <f t="shared" si="34"/>
        <v>0</v>
      </c>
      <c r="K362">
        <f t="shared" si="35"/>
        <v>0</v>
      </c>
    </row>
    <row r="363" spans="1:11" x14ac:dyDescent="0.4">
      <c r="A363" s="19">
        <v>45849.791666666664</v>
      </c>
      <c r="B363" s="20">
        <f t="shared" si="31"/>
        <v>0.79166666666424135</v>
      </c>
      <c r="C363">
        <v>1.6</v>
      </c>
      <c r="D363">
        <v>489.53899999999999</v>
      </c>
      <c r="E363">
        <f t="shared" si="30"/>
        <v>489.38400000000001</v>
      </c>
      <c r="F363">
        <v>489.54500000000002</v>
      </c>
      <c r="G363">
        <f t="shared" si="32"/>
        <v>0</v>
      </c>
      <c r="H363">
        <v>1.82</v>
      </c>
      <c r="I363">
        <f t="shared" si="33"/>
        <v>0</v>
      </c>
      <c r="J363">
        <f t="shared" si="34"/>
        <v>0</v>
      </c>
      <c r="K363">
        <f t="shared" si="35"/>
        <v>0</v>
      </c>
    </row>
    <row r="364" spans="1:11" x14ac:dyDescent="0.4">
      <c r="A364" s="19">
        <v>45849.833333333336</v>
      </c>
      <c r="B364" s="20">
        <f t="shared" si="31"/>
        <v>0.83333333333575865</v>
      </c>
      <c r="C364">
        <v>0.8</v>
      </c>
      <c r="D364">
        <v>489.53899999999999</v>
      </c>
      <c r="E364">
        <f t="shared" si="30"/>
        <v>489.38400000000001</v>
      </c>
      <c r="F364">
        <v>489.54500000000002</v>
      </c>
      <c r="G364">
        <f t="shared" si="32"/>
        <v>0</v>
      </c>
      <c r="H364">
        <v>1.82</v>
      </c>
      <c r="I364">
        <f t="shared" si="33"/>
        <v>0</v>
      </c>
      <c r="J364">
        <f t="shared" si="34"/>
        <v>0</v>
      </c>
      <c r="K364">
        <f t="shared" si="35"/>
        <v>0</v>
      </c>
    </row>
    <row r="365" spans="1:11" x14ac:dyDescent="0.4">
      <c r="A365" s="19">
        <v>45849.875</v>
      </c>
      <c r="B365" s="20">
        <f t="shared" si="31"/>
        <v>0.875</v>
      </c>
      <c r="C365">
        <v>0.2</v>
      </c>
      <c r="D365">
        <v>489.54700000000003</v>
      </c>
      <c r="E365">
        <f t="shared" si="30"/>
        <v>489.39200000000005</v>
      </c>
      <c r="F365">
        <v>489.54500000000002</v>
      </c>
      <c r="G365">
        <f t="shared" si="32"/>
        <v>0</v>
      </c>
      <c r="H365">
        <v>1.82</v>
      </c>
      <c r="I365">
        <f t="shared" si="33"/>
        <v>0</v>
      </c>
      <c r="J365">
        <f t="shared" si="34"/>
        <v>0</v>
      </c>
      <c r="K365">
        <f t="shared" si="35"/>
        <v>0</v>
      </c>
    </row>
    <row r="366" spans="1:11" x14ac:dyDescent="0.4">
      <c r="A366" s="19">
        <v>45849.916666666664</v>
      </c>
      <c r="B366" s="20">
        <f t="shared" si="31"/>
        <v>0.91666666666424135</v>
      </c>
      <c r="C366">
        <v>0</v>
      </c>
      <c r="D366">
        <v>489.54</v>
      </c>
      <c r="E366">
        <f t="shared" si="30"/>
        <v>489.38500000000005</v>
      </c>
      <c r="F366">
        <v>489.54500000000002</v>
      </c>
      <c r="G366">
        <f t="shared" si="32"/>
        <v>0</v>
      </c>
      <c r="H366">
        <v>1.82</v>
      </c>
      <c r="I366">
        <f t="shared" si="33"/>
        <v>0</v>
      </c>
      <c r="J366">
        <f t="shared" si="34"/>
        <v>0</v>
      </c>
      <c r="K366">
        <f t="shared" si="35"/>
        <v>0</v>
      </c>
    </row>
    <row r="367" spans="1:11" x14ac:dyDescent="0.4">
      <c r="A367" s="19">
        <v>45849.958333333336</v>
      </c>
      <c r="B367" s="20">
        <f t="shared" si="31"/>
        <v>0.95833333333575865</v>
      </c>
      <c r="C367">
        <v>0</v>
      </c>
      <c r="D367">
        <v>489.53899999999999</v>
      </c>
      <c r="E367">
        <f t="shared" si="30"/>
        <v>489.38400000000001</v>
      </c>
      <c r="F367">
        <v>489.54500000000002</v>
      </c>
      <c r="G367">
        <f t="shared" si="32"/>
        <v>0</v>
      </c>
      <c r="H367">
        <v>1.82</v>
      </c>
      <c r="I367">
        <f t="shared" si="33"/>
        <v>0</v>
      </c>
      <c r="J367">
        <f t="shared" si="34"/>
        <v>0</v>
      </c>
      <c r="K367">
        <f t="shared" si="35"/>
        <v>0</v>
      </c>
    </row>
    <row r="368" spans="1:11" x14ac:dyDescent="0.4">
      <c r="A368" s="19">
        <v>45850</v>
      </c>
      <c r="B368" s="20">
        <f t="shared" si="31"/>
        <v>0</v>
      </c>
      <c r="C368">
        <v>0</v>
      </c>
      <c r="D368">
        <v>489.54</v>
      </c>
      <c r="E368">
        <f t="shared" si="30"/>
        <v>489.38500000000005</v>
      </c>
      <c r="F368">
        <v>489.54500000000002</v>
      </c>
      <c r="G368">
        <f t="shared" si="32"/>
        <v>0</v>
      </c>
      <c r="H368">
        <v>1.82</v>
      </c>
      <c r="I368">
        <f t="shared" si="33"/>
        <v>0</v>
      </c>
      <c r="J368">
        <f t="shared" si="34"/>
        <v>0</v>
      </c>
      <c r="K368">
        <f t="shared" si="35"/>
        <v>0</v>
      </c>
    </row>
    <row r="369" spans="1:11" x14ac:dyDescent="0.4">
      <c r="A369" s="19">
        <v>45850.041666666664</v>
      </c>
      <c r="B369" s="20">
        <f t="shared" si="31"/>
        <v>4.1666666664241347E-2</v>
      </c>
      <c r="C369">
        <v>0</v>
      </c>
      <c r="D369">
        <v>489.53899999999999</v>
      </c>
      <c r="E369">
        <f t="shared" si="30"/>
        <v>489.38400000000001</v>
      </c>
      <c r="F369">
        <v>489.54500000000002</v>
      </c>
      <c r="G369">
        <f t="shared" si="32"/>
        <v>0</v>
      </c>
      <c r="H369">
        <v>1.82</v>
      </c>
      <c r="I369">
        <f t="shared" si="33"/>
        <v>0</v>
      </c>
      <c r="J369">
        <f t="shared" si="34"/>
        <v>0</v>
      </c>
      <c r="K369">
        <f t="shared" si="35"/>
        <v>0</v>
      </c>
    </row>
    <row r="370" spans="1:11" x14ac:dyDescent="0.4">
      <c r="A370" s="19">
        <v>45850.083333333336</v>
      </c>
      <c r="B370" s="20">
        <f t="shared" si="31"/>
        <v>8.3333333335758653E-2</v>
      </c>
      <c r="C370">
        <v>0</v>
      </c>
      <c r="D370">
        <v>489.54</v>
      </c>
      <c r="E370">
        <f t="shared" si="30"/>
        <v>489.38500000000005</v>
      </c>
      <c r="F370">
        <v>489.54500000000002</v>
      </c>
      <c r="G370">
        <f t="shared" si="32"/>
        <v>0</v>
      </c>
      <c r="H370">
        <v>1.82</v>
      </c>
      <c r="I370">
        <f t="shared" si="33"/>
        <v>0</v>
      </c>
      <c r="J370">
        <f t="shared" si="34"/>
        <v>0</v>
      </c>
      <c r="K370">
        <f t="shared" si="35"/>
        <v>0</v>
      </c>
    </row>
    <row r="371" spans="1:11" x14ac:dyDescent="0.4">
      <c r="A371" s="19">
        <v>45850.125</v>
      </c>
      <c r="B371" s="20">
        <f t="shared" si="31"/>
        <v>0.125</v>
      </c>
      <c r="C371">
        <v>0</v>
      </c>
      <c r="D371">
        <v>489.53300000000002</v>
      </c>
      <c r="E371">
        <f t="shared" si="30"/>
        <v>489.37800000000004</v>
      </c>
      <c r="F371">
        <v>489.54500000000002</v>
      </c>
      <c r="G371">
        <f t="shared" si="32"/>
        <v>0</v>
      </c>
      <c r="H371">
        <v>1.82</v>
      </c>
      <c r="I371">
        <f t="shared" si="33"/>
        <v>0</v>
      </c>
      <c r="J371">
        <f t="shared" si="34"/>
        <v>0</v>
      </c>
      <c r="K371">
        <f t="shared" si="35"/>
        <v>0</v>
      </c>
    </row>
    <row r="372" spans="1:11" x14ac:dyDescent="0.4">
      <c r="A372" s="19">
        <v>45850.166666666664</v>
      </c>
      <c r="B372" s="20">
        <f t="shared" si="31"/>
        <v>0.16666666666424135</v>
      </c>
      <c r="C372">
        <v>0</v>
      </c>
      <c r="D372">
        <v>489.53300000000002</v>
      </c>
      <c r="E372">
        <f t="shared" si="30"/>
        <v>489.37800000000004</v>
      </c>
      <c r="F372">
        <v>489.54500000000002</v>
      </c>
      <c r="G372">
        <f t="shared" si="32"/>
        <v>0</v>
      </c>
      <c r="H372">
        <v>1.82</v>
      </c>
      <c r="I372">
        <f t="shared" si="33"/>
        <v>0</v>
      </c>
      <c r="J372">
        <f t="shared" si="34"/>
        <v>0</v>
      </c>
      <c r="K372">
        <f t="shared" si="35"/>
        <v>0</v>
      </c>
    </row>
    <row r="373" spans="1:11" x14ac:dyDescent="0.4">
      <c r="A373" s="19">
        <v>45850.208333333336</v>
      </c>
      <c r="B373" s="20">
        <f t="shared" si="31"/>
        <v>0.20833333333575865</v>
      </c>
      <c r="C373">
        <v>0</v>
      </c>
      <c r="D373">
        <v>489.53300000000002</v>
      </c>
      <c r="E373">
        <f t="shared" si="30"/>
        <v>489.37800000000004</v>
      </c>
      <c r="F373">
        <v>489.54500000000002</v>
      </c>
      <c r="G373">
        <f t="shared" si="32"/>
        <v>0</v>
      </c>
      <c r="H373">
        <v>1.82</v>
      </c>
      <c r="I373">
        <f t="shared" si="33"/>
        <v>0</v>
      </c>
      <c r="J373">
        <f t="shared" si="34"/>
        <v>0</v>
      </c>
      <c r="K373">
        <f t="shared" si="35"/>
        <v>0</v>
      </c>
    </row>
    <row r="374" spans="1:11" x14ac:dyDescent="0.4">
      <c r="A374" s="19">
        <v>45850.25</v>
      </c>
      <c r="B374" s="20">
        <f t="shared" si="31"/>
        <v>0.25</v>
      </c>
      <c r="C374">
        <v>0</v>
      </c>
      <c r="D374">
        <v>489.53300000000002</v>
      </c>
      <c r="E374">
        <f t="shared" si="30"/>
        <v>489.37800000000004</v>
      </c>
      <c r="F374">
        <v>489.54500000000002</v>
      </c>
      <c r="G374">
        <f t="shared" si="32"/>
        <v>0</v>
      </c>
      <c r="H374">
        <v>1.82</v>
      </c>
      <c r="I374">
        <f t="shared" si="33"/>
        <v>0</v>
      </c>
      <c r="J374">
        <f t="shared" si="34"/>
        <v>0</v>
      </c>
      <c r="K374">
        <f t="shared" si="35"/>
        <v>0</v>
      </c>
    </row>
    <row r="375" spans="1:11" x14ac:dyDescent="0.4">
      <c r="A375" s="19">
        <v>45850.291666666664</v>
      </c>
      <c r="B375" s="20">
        <f t="shared" si="31"/>
        <v>0.29166666666424135</v>
      </c>
      <c r="C375">
        <v>2</v>
      </c>
      <c r="D375">
        <v>489.53899999999999</v>
      </c>
      <c r="E375">
        <f t="shared" si="30"/>
        <v>489.38400000000001</v>
      </c>
      <c r="F375">
        <v>489.54500000000002</v>
      </c>
      <c r="G375">
        <f t="shared" si="32"/>
        <v>0</v>
      </c>
      <c r="H375">
        <v>1.82</v>
      </c>
      <c r="I375">
        <f t="shared" si="33"/>
        <v>0</v>
      </c>
      <c r="J375">
        <f t="shared" si="34"/>
        <v>0</v>
      </c>
      <c r="K375">
        <f t="shared" si="35"/>
        <v>0</v>
      </c>
    </row>
    <row r="376" spans="1:11" x14ac:dyDescent="0.4">
      <c r="A376" s="19">
        <v>45850.333333333336</v>
      </c>
      <c r="B376" s="20">
        <f t="shared" si="31"/>
        <v>0.33333333333575865</v>
      </c>
      <c r="C376">
        <v>1</v>
      </c>
      <c r="D376">
        <v>489.553</v>
      </c>
      <c r="E376">
        <f t="shared" si="30"/>
        <v>489.39800000000002</v>
      </c>
      <c r="F376">
        <v>489.54500000000002</v>
      </c>
      <c r="G376">
        <f t="shared" si="32"/>
        <v>0</v>
      </c>
      <c r="H376">
        <v>1.82</v>
      </c>
      <c r="I376">
        <f t="shared" si="33"/>
        <v>0</v>
      </c>
      <c r="J376">
        <f t="shared" si="34"/>
        <v>0</v>
      </c>
      <c r="K376">
        <f t="shared" si="35"/>
        <v>0</v>
      </c>
    </row>
    <row r="377" spans="1:11" x14ac:dyDescent="0.4">
      <c r="A377" s="19">
        <v>45850.375</v>
      </c>
      <c r="B377" s="20">
        <f t="shared" si="31"/>
        <v>0.375</v>
      </c>
      <c r="C377">
        <v>0</v>
      </c>
      <c r="D377">
        <v>489.553</v>
      </c>
      <c r="E377">
        <f t="shared" si="30"/>
        <v>489.39800000000002</v>
      </c>
      <c r="F377">
        <v>489.54500000000002</v>
      </c>
      <c r="G377">
        <f t="shared" si="32"/>
        <v>0</v>
      </c>
      <c r="H377">
        <v>1.82</v>
      </c>
      <c r="I377">
        <f t="shared" si="33"/>
        <v>0</v>
      </c>
      <c r="J377">
        <f t="shared" si="34"/>
        <v>0</v>
      </c>
      <c r="K377">
        <f t="shared" si="35"/>
        <v>0</v>
      </c>
    </row>
    <row r="378" spans="1:11" x14ac:dyDescent="0.4">
      <c r="A378" s="19">
        <v>45850.416666666664</v>
      </c>
      <c r="B378" s="20">
        <f t="shared" si="31"/>
        <v>0.41666666666424135</v>
      </c>
      <c r="C378">
        <v>0</v>
      </c>
      <c r="D378">
        <v>489.56</v>
      </c>
      <c r="E378">
        <f t="shared" si="30"/>
        <v>489.40500000000003</v>
      </c>
      <c r="F378">
        <v>489.54500000000002</v>
      </c>
      <c r="G378">
        <f t="shared" si="32"/>
        <v>0</v>
      </c>
      <c r="H378">
        <v>1.82</v>
      </c>
      <c r="I378">
        <f t="shared" si="33"/>
        <v>0</v>
      </c>
      <c r="J378">
        <f t="shared" si="34"/>
        <v>0</v>
      </c>
      <c r="K378">
        <f t="shared" si="35"/>
        <v>0</v>
      </c>
    </row>
    <row r="379" spans="1:11" x14ac:dyDescent="0.4">
      <c r="A379" s="19">
        <v>45850.458333333336</v>
      </c>
      <c r="B379" s="20">
        <f t="shared" si="31"/>
        <v>0.45833333333575865</v>
      </c>
      <c r="C379">
        <v>0</v>
      </c>
      <c r="D379">
        <v>489.56</v>
      </c>
      <c r="E379">
        <f t="shared" si="30"/>
        <v>489.40500000000003</v>
      </c>
      <c r="F379">
        <v>489.54500000000002</v>
      </c>
      <c r="G379">
        <f t="shared" si="32"/>
        <v>0</v>
      </c>
      <c r="H379">
        <v>1.82</v>
      </c>
      <c r="I379">
        <f t="shared" si="33"/>
        <v>0</v>
      </c>
      <c r="J379">
        <f t="shared" si="34"/>
        <v>0</v>
      </c>
      <c r="K379">
        <f t="shared" si="35"/>
        <v>0</v>
      </c>
    </row>
    <row r="380" spans="1:11" x14ac:dyDescent="0.4">
      <c r="A380" s="19">
        <v>45850.5</v>
      </c>
      <c r="B380" s="20">
        <f t="shared" si="31"/>
        <v>0.5</v>
      </c>
      <c r="C380">
        <v>0.8</v>
      </c>
      <c r="D380">
        <v>489.56</v>
      </c>
      <c r="E380">
        <f t="shared" si="30"/>
        <v>489.40500000000003</v>
      </c>
      <c r="F380">
        <v>489.54500000000002</v>
      </c>
      <c r="G380">
        <f t="shared" si="32"/>
        <v>0</v>
      </c>
      <c r="H380">
        <v>1.82</v>
      </c>
      <c r="I380">
        <f t="shared" si="33"/>
        <v>0</v>
      </c>
      <c r="J380">
        <f t="shared" si="34"/>
        <v>0</v>
      </c>
      <c r="K380">
        <f t="shared" si="35"/>
        <v>0</v>
      </c>
    </row>
    <row r="381" spans="1:11" x14ac:dyDescent="0.4">
      <c r="A381" s="19">
        <v>45850.541666666664</v>
      </c>
      <c r="B381" s="20">
        <f t="shared" si="31"/>
        <v>0.54166666666424135</v>
      </c>
      <c r="C381">
        <v>0</v>
      </c>
      <c r="D381">
        <v>489.565</v>
      </c>
      <c r="E381">
        <f t="shared" si="30"/>
        <v>489.41</v>
      </c>
      <c r="F381">
        <v>489.54500000000002</v>
      </c>
      <c r="G381">
        <f t="shared" si="32"/>
        <v>0</v>
      </c>
      <c r="H381">
        <v>1.82</v>
      </c>
      <c r="I381">
        <f t="shared" si="33"/>
        <v>0</v>
      </c>
      <c r="J381">
        <f t="shared" si="34"/>
        <v>0</v>
      </c>
      <c r="K381">
        <f t="shared" si="35"/>
        <v>0</v>
      </c>
    </row>
    <row r="382" spans="1:11" x14ac:dyDescent="0.4">
      <c r="A382" s="19">
        <v>45850.583333333336</v>
      </c>
      <c r="B382" s="20">
        <f t="shared" si="31"/>
        <v>0.58333333333575865</v>
      </c>
      <c r="C382">
        <v>2.2000000000000002</v>
      </c>
      <c r="D382">
        <v>489.56599999999997</v>
      </c>
      <c r="E382">
        <f t="shared" si="30"/>
        <v>489.411</v>
      </c>
      <c r="F382">
        <v>489.54500000000002</v>
      </c>
      <c r="G382">
        <f t="shared" si="32"/>
        <v>0</v>
      </c>
      <c r="H382">
        <v>1.82</v>
      </c>
      <c r="I382">
        <f t="shared" si="33"/>
        <v>0</v>
      </c>
      <c r="J382">
        <f t="shared" si="34"/>
        <v>0</v>
      </c>
      <c r="K382">
        <f t="shared" si="35"/>
        <v>0</v>
      </c>
    </row>
    <row r="383" spans="1:11" x14ac:dyDescent="0.4">
      <c r="A383" s="19">
        <v>45850.625</v>
      </c>
      <c r="B383" s="20">
        <f t="shared" si="31"/>
        <v>0.625</v>
      </c>
      <c r="C383">
        <v>0.8</v>
      </c>
      <c r="D383">
        <v>489.57299999999998</v>
      </c>
      <c r="E383">
        <f t="shared" si="30"/>
        <v>489.41800000000001</v>
      </c>
      <c r="F383">
        <v>489.54500000000002</v>
      </c>
      <c r="G383">
        <f t="shared" si="32"/>
        <v>0</v>
      </c>
      <c r="H383">
        <v>1.82</v>
      </c>
      <c r="I383">
        <f t="shared" si="33"/>
        <v>0</v>
      </c>
      <c r="J383">
        <f t="shared" si="34"/>
        <v>0</v>
      </c>
      <c r="K383">
        <f t="shared" si="35"/>
        <v>0</v>
      </c>
    </row>
    <row r="384" spans="1:11" x14ac:dyDescent="0.4">
      <c r="A384" s="19">
        <v>45850.666666666664</v>
      </c>
      <c r="B384" s="20">
        <f t="shared" si="31"/>
        <v>0.66666666666424135</v>
      </c>
      <c r="C384">
        <v>0</v>
      </c>
      <c r="D384">
        <v>489.57900000000001</v>
      </c>
      <c r="E384">
        <f t="shared" si="30"/>
        <v>489.42400000000004</v>
      </c>
      <c r="F384">
        <v>489.54500000000002</v>
      </c>
      <c r="G384">
        <f t="shared" si="32"/>
        <v>0</v>
      </c>
      <c r="H384">
        <v>1.82</v>
      </c>
      <c r="I384">
        <f t="shared" si="33"/>
        <v>0</v>
      </c>
      <c r="J384">
        <f t="shared" si="34"/>
        <v>0</v>
      </c>
      <c r="K384">
        <f t="shared" si="35"/>
        <v>0</v>
      </c>
    </row>
    <row r="385" spans="1:11" x14ac:dyDescent="0.4">
      <c r="A385" s="19">
        <v>45850.708333333336</v>
      </c>
      <c r="B385" s="20">
        <f t="shared" si="31"/>
        <v>0.70833333333575865</v>
      </c>
      <c r="C385">
        <v>0</v>
      </c>
      <c r="D385">
        <v>489.57900000000001</v>
      </c>
      <c r="E385">
        <f t="shared" si="30"/>
        <v>489.42400000000004</v>
      </c>
      <c r="F385">
        <v>489.54500000000002</v>
      </c>
      <c r="G385">
        <f t="shared" si="32"/>
        <v>0</v>
      </c>
      <c r="H385">
        <v>1.82</v>
      </c>
      <c r="I385">
        <f t="shared" si="33"/>
        <v>0</v>
      </c>
      <c r="J385">
        <f t="shared" si="34"/>
        <v>0</v>
      </c>
      <c r="K385">
        <f t="shared" si="35"/>
        <v>0</v>
      </c>
    </row>
    <row r="386" spans="1:11" x14ac:dyDescent="0.4">
      <c r="A386" s="19">
        <v>45850.75</v>
      </c>
      <c r="B386" s="20">
        <f t="shared" si="31"/>
        <v>0.75</v>
      </c>
      <c r="C386">
        <v>0</v>
      </c>
      <c r="D386">
        <v>489.57900000000001</v>
      </c>
      <c r="E386">
        <f t="shared" ref="E386:E449" si="36">D386-0.155</f>
        <v>489.42400000000004</v>
      </c>
      <c r="F386">
        <v>489.54500000000002</v>
      </c>
      <c r="G386">
        <f t="shared" si="32"/>
        <v>0</v>
      </c>
      <c r="H386">
        <v>1.82</v>
      </c>
      <c r="I386">
        <f t="shared" si="33"/>
        <v>0</v>
      </c>
      <c r="J386">
        <f t="shared" si="34"/>
        <v>0</v>
      </c>
      <c r="K386">
        <f t="shared" si="35"/>
        <v>0</v>
      </c>
    </row>
    <row r="387" spans="1:11" x14ac:dyDescent="0.4">
      <c r="A387" s="19">
        <v>45850.791666666664</v>
      </c>
      <c r="B387" s="20">
        <f t="shared" ref="B387:B450" si="37">MOD(A387,1)</f>
        <v>0.79166666666424135</v>
      </c>
      <c r="C387">
        <v>0</v>
      </c>
      <c r="D387">
        <v>489.58600000000001</v>
      </c>
      <c r="E387">
        <f t="shared" si="36"/>
        <v>489.43100000000004</v>
      </c>
      <c r="F387">
        <v>489.54500000000002</v>
      </c>
      <c r="G387">
        <f t="shared" ref="G387:G450" si="38">IF(E387 - F387 &lt; 0, 0, E387 - F387)</f>
        <v>0</v>
      </c>
      <c r="H387">
        <v>1.82</v>
      </c>
      <c r="I387">
        <f t="shared" ref="I387:I450" si="39">1.82*30*(G387^1.5)</f>
        <v>0</v>
      </c>
      <c r="J387">
        <f t="shared" ref="J387:J450" si="40">I387*60</f>
        <v>0</v>
      </c>
      <c r="K387">
        <f t="shared" ref="K387:K450" si="41">(I387*86400)/24</f>
        <v>0</v>
      </c>
    </row>
    <row r="388" spans="1:11" x14ac:dyDescent="0.4">
      <c r="A388" s="19">
        <v>45850.833333333336</v>
      </c>
      <c r="B388" s="20">
        <f t="shared" si="37"/>
        <v>0.83333333333575865</v>
      </c>
      <c r="C388">
        <v>0</v>
      </c>
      <c r="D388">
        <v>489.58600000000001</v>
      </c>
      <c r="E388">
        <f t="shared" si="36"/>
        <v>489.43100000000004</v>
      </c>
      <c r="F388">
        <v>489.54500000000002</v>
      </c>
      <c r="G388">
        <f t="shared" si="38"/>
        <v>0</v>
      </c>
      <c r="H388">
        <v>1.82</v>
      </c>
      <c r="I388">
        <f t="shared" si="39"/>
        <v>0</v>
      </c>
      <c r="J388">
        <f t="shared" si="40"/>
        <v>0</v>
      </c>
      <c r="K388">
        <f t="shared" si="41"/>
        <v>0</v>
      </c>
    </row>
    <row r="389" spans="1:11" x14ac:dyDescent="0.4">
      <c r="A389" s="19">
        <v>45850.875</v>
      </c>
      <c r="B389" s="20">
        <f t="shared" si="37"/>
        <v>0.875</v>
      </c>
      <c r="C389">
        <v>0</v>
      </c>
      <c r="D389">
        <v>489.58600000000001</v>
      </c>
      <c r="E389">
        <f t="shared" si="36"/>
        <v>489.43100000000004</v>
      </c>
      <c r="F389">
        <v>489.54500000000002</v>
      </c>
      <c r="G389">
        <f t="shared" si="38"/>
        <v>0</v>
      </c>
      <c r="H389">
        <v>1.82</v>
      </c>
      <c r="I389">
        <f t="shared" si="39"/>
        <v>0</v>
      </c>
      <c r="J389">
        <f t="shared" si="40"/>
        <v>0</v>
      </c>
      <c r="K389">
        <f t="shared" si="41"/>
        <v>0</v>
      </c>
    </row>
    <row r="390" spans="1:11" x14ac:dyDescent="0.4">
      <c r="A390" s="19">
        <v>45850.916666666664</v>
      </c>
      <c r="B390" s="20">
        <f t="shared" si="37"/>
        <v>0.91666666666424135</v>
      </c>
      <c r="C390">
        <v>0</v>
      </c>
      <c r="D390">
        <v>489.58600000000001</v>
      </c>
      <c r="E390">
        <f t="shared" si="36"/>
        <v>489.43100000000004</v>
      </c>
      <c r="F390">
        <v>489.54500000000002</v>
      </c>
      <c r="G390">
        <f t="shared" si="38"/>
        <v>0</v>
      </c>
      <c r="H390">
        <v>1.82</v>
      </c>
      <c r="I390">
        <f t="shared" si="39"/>
        <v>0</v>
      </c>
      <c r="J390">
        <f t="shared" si="40"/>
        <v>0</v>
      </c>
      <c r="K390">
        <f t="shared" si="41"/>
        <v>0</v>
      </c>
    </row>
    <row r="391" spans="1:11" x14ac:dyDescent="0.4">
      <c r="A391" s="19">
        <v>45850.958333333336</v>
      </c>
      <c r="B391" s="20">
        <f t="shared" si="37"/>
        <v>0.95833333333575865</v>
      </c>
      <c r="C391">
        <v>1</v>
      </c>
      <c r="D391">
        <v>489.58600000000001</v>
      </c>
      <c r="E391">
        <f t="shared" si="36"/>
        <v>489.43100000000004</v>
      </c>
      <c r="F391">
        <v>489.54500000000002</v>
      </c>
      <c r="G391">
        <f t="shared" si="38"/>
        <v>0</v>
      </c>
      <c r="H391">
        <v>1.82</v>
      </c>
      <c r="I391">
        <f t="shared" si="39"/>
        <v>0</v>
      </c>
      <c r="J391">
        <f t="shared" si="40"/>
        <v>0</v>
      </c>
      <c r="K391">
        <f t="shared" si="41"/>
        <v>0</v>
      </c>
    </row>
    <row r="392" spans="1:11" x14ac:dyDescent="0.4">
      <c r="A392" s="19">
        <v>45851</v>
      </c>
      <c r="B392" s="20">
        <f t="shared" si="37"/>
        <v>0</v>
      </c>
      <c r="C392">
        <v>0.2</v>
      </c>
      <c r="D392">
        <v>489.59300000000002</v>
      </c>
      <c r="E392">
        <f t="shared" si="36"/>
        <v>489.43800000000005</v>
      </c>
      <c r="F392">
        <v>489.54500000000002</v>
      </c>
      <c r="G392">
        <f t="shared" si="38"/>
        <v>0</v>
      </c>
      <c r="H392">
        <v>1.82</v>
      </c>
      <c r="I392">
        <f t="shared" si="39"/>
        <v>0</v>
      </c>
      <c r="J392">
        <f t="shared" si="40"/>
        <v>0</v>
      </c>
      <c r="K392">
        <f t="shared" si="41"/>
        <v>0</v>
      </c>
    </row>
    <row r="393" spans="1:11" x14ac:dyDescent="0.4">
      <c r="A393" s="19">
        <v>45851.041666666664</v>
      </c>
      <c r="B393" s="20">
        <f t="shared" si="37"/>
        <v>4.1666666664241347E-2</v>
      </c>
      <c r="C393">
        <v>0.4</v>
      </c>
      <c r="D393">
        <v>489.59199999999998</v>
      </c>
      <c r="E393">
        <f t="shared" si="36"/>
        <v>489.43700000000001</v>
      </c>
      <c r="F393">
        <v>489.54500000000002</v>
      </c>
      <c r="G393">
        <f t="shared" si="38"/>
        <v>0</v>
      </c>
      <c r="H393">
        <v>1.82</v>
      </c>
      <c r="I393">
        <f t="shared" si="39"/>
        <v>0</v>
      </c>
      <c r="J393">
        <f t="shared" si="40"/>
        <v>0</v>
      </c>
      <c r="K393">
        <f t="shared" si="41"/>
        <v>0</v>
      </c>
    </row>
    <row r="394" spans="1:11" x14ac:dyDescent="0.4">
      <c r="A394" s="19">
        <v>45851.083333333336</v>
      </c>
      <c r="B394" s="20">
        <f t="shared" si="37"/>
        <v>8.3333333335758653E-2</v>
      </c>
      <c r="C394">
        <v>0.2</v>
      </c>
      <c r="D394">
        <v>489.59800000000001</v>
      </c>
      <c r="E394">
        <f t="shared" si="36"/>
        <v>489.44300000000004</v>
      </c>
      <c r="F394">
        <v>489.54500000000002</v>
      </c>
      <c r="G394">
        <f t="shared" si="38"/>
        <v>0</v>
      </c>
      <c r="H394">
        <v>1.82</v>
      </c>
      <c r="I394">
        <f t="shared" si="39"/>
        <v>0</v>
      </c>
      <c r="J394">
        <f t="shared" si="40"/>
        <v>0</v>
      </c>
      <c r="K394">
        <f t="shared" si="41"/>
        <v>0</v>
      </c>
    </row>
    <row r="395" spans="1:11" x14ac:dyDescent="0.4">
      <c r="A395" s="19">
        <v>45851.125</v>
      </c>
      <c r="B395" s="20">
        <f t="shared" si="37"/>
        <v>0.125</v>
      </c>
      <c r="C395">
        <v>0</v>
      </c>
      <c r="D395">
        <v>489.59800000000001</v>
      </c>
      <c r="E395">
        <f t="shared" si="36"/>
        <v>489.44300000000004</v>
      </c>
      <c r="F395">
        <v>489.54500000000002</v>
      </c>
      <c r="G395">
        <f t="shared" si="38"/>
        <v>0</v>
      </c>
      <c r="H395">
        <v>1.82</v>
      </c>
      <c r="I395">
        <f t="shared" si="39"/>
        <v>0</v>
      </c>
      <c r="J395">
        <f t="shared" si="40"/>
        <v>0</v>
      </c>
      <c r="K395">
        <f t="shared" si="41"/>
        <v>0</v>
      </c>
    </row>
    <row r="396" spans="1:11" x14ac:dyDescent="0.4">
      <c r="A396" s="19">
        <v>45851.166666666664</v>
      </c>
      <c r="B396" s="20">
        <f t="shared" si="37"/>
        <v>0.16666666666424135</v>
      </c>
      <c r="C396">
        <v>0</v>
      </c>
      <c r="D396">
        <v>489.59800000000001</v>
      </c>
      <c r="E396">
        <f t="shared" si="36"/>
        <v>489.44300000000004</v>
      </c>
      <c r="F396">
        <v>489.54500000000002</v>
      </c>
      <c r="G396">
        <f t="shared" si="38"/>
        <v>0</v>
      </c>
      <c r="H396">
        <v>1.82</v>
      </c>
      <c r="I396">
        <f t="shared" si="39"/>
        <v>0</v>
      </c>
      <c r="J396">
        <f t="shared" si="40"/>
        <v>0</v>
      </c>
      <c r="K396">
        <f t="shared" si="41"/>
        <v>0</v>
      </c>
    </row>
    <row r="397" spans="1:11" x14ac:dyDescent="0.4">
      <c r="A397" s="19">
        <v>45851.208333333336</v>
      </c>
      <c r="B397" s="20">
        <f t="shared" si="37"/>
        <v>0.20833333333575865</v>
      </c>
      <c r="C397">
        <v>0</v>
      </c>
      <c r="D397">
        <v>489.59800000000001</v>
      </c>
      <c r="E397">
        <f t="shared" si="36"/>
        <v>489.44300000000004</v>
      </c>
      <c r="F397">
        <v>489.54500000000002</v>
      </c>
      <c r="G397">
        <f t="shared" si="38"/>
        <v>0</v>
      </c>
      <c r="H397">
        <v>1.82</v>
      </c>
      <c r="I397">
        <f t="shared" si="39"/>
        <v>0</v>
      </c>
      <c r="J397">
        <f t="shared" si="40"/>
        <v>0</v>
      </c>
      <c r="K397">
        <f t="shared" si="41"/>
        <v>0</v>
      </c>
    </row>
    <row r="398" spans="1:11" x14ac:dyDescent="0.4">
      <c r="A398" s="19">
        <v>45851.25</v>
      </c>
      <c r="B398" s="20">
        <f t="shared" si="37"/>
        <v>0.25</v>
      </c>
      <c r="C398">
        <v>0</v>
      </c>
      <c r="D398">
        <v>489.59800000000001</v>
      </c>
      <c r="E398">
        <f t="shared" si="36"/>
        <v>489.44300000000004</v>
      </c>
      <c r="F398">
        <v>489.54500000000002</v>
      </c>
      <c r="G398">
        <f t="shared" si="38"/>
        <v>0</v>
      </c>
      <c r="H398">
        <v>1.82</v>
      </c>
      <c r="I398">
        <f t="shared" si="39"/>
        <v>0</v>
      </c>
      <c r="J398">
        <f t="shared" si="40"/>
        <v>0</v>
      </c>
      <c r="K398">
        <f t="shared" si="41"/>
        <v>0</v>
      </c>
    </row>
    <row r="399" spans="1:11" x14ac:dyDescent="0.4">
      <c r="A399" s="19">
        <v>45851.291666666664</v>
      </c>
      <c r="B399" s="20">
        <f t="shared" si="37"/>
        <v>0.29166666666424135</v>
      </c>
      <c r="C399">
        <v>0</v>
      </c>
      <c r="D399">
        <v>489.59800000000001</v>
      </c>
      <c r="E399">
        <f t="shared" si="36"/>
        <v>489.44300000000004</v>
      </c>
      <c r="F399">
        <v>489.54500000000002</v>
      </c>
      <c r="G399">
        <f t="shared" si="38"/>
        <v>0</v>
      </c>
      <c r="H399">
        <v>1.82</v>
      </c>
      <c r="I399">
        <f t="shared" si="39"/>
        <v>0</v>
      </c>
      <c r="J399">
        <f t="shared" si="40"/>
        <v>0</v>
      </c>
      <c r="K399">
        <f t="shared" si="41"/>
        <v>0</v>
      </c>
    </row>
    <row r="400" spans="1:11" x14ac:dyDescent="0.4">
      <c r="A400" s="19">
        <v>45851.333333333336</v>
      </c>
      <c r="B400" s="20">
        <f t="shared" si="37"/>
        <v>0.33333333333575865</v>
      </c>
      <c r="C400">
        <v>0</v>
      </c>
      <c r="D400">
        <v>489.59699999999998</v>
      </c>
      <c r="E400">
        <f t="shared" si="36"/>
        <v>489.44200000000001</v>
      </c>
      <c r="F400">
        <v>489.54500000000002</v>
      </c>
      <c r="G400">
        <f t="shared" si="38"/>
        <v>0</v>
      </c>
      <c r="H400">
        <v>1.82</v>
      </c>
      <c r="I400">
        <f t="shared" si="39"/>
        <v>0</v>
      </c>
      <c r="J400">
        <f t="shared" si="40"/>
        <v>0</v>
      </c>
      <c r="K400">
        <f t="shared" si="41"/>
        <v>0</v>
      </c>
    </row>
    <row r="401" spans="1:11" x14ac:dyDescent="0.4">
      <c r="A401" s="19">
        <v>45851.375</v>
      </c>
      <c r="B401" s="20">
        <f t="shared" si="37"/>
        <v>0.375</v>
      </c>
      <c r="C401">
        <v>0</v>
      </c>
      <c r="D401">
        <v>489.59699999999998</v>
      </c>
      <c r="E401">
        <f t="shared" si="36"/>
        <v>489.44200000000001</v>
      </c>
      <c r="F401">
        <v>489.54500000000002</v>
      </c>
      <c r="G401">
        <f t="shared" si="38"/>
        <v>0</v>
      </c>
      <c r="H401">
        <v>1.82</v>
      </c>
      <c r="I401">
        <f t="shared" si="39"/>
        <v>0</v>
      </c>
      <c r="J401">
        <f t="shared" si="40"/>
        <v>0</v>
      </c>
      <c r="K401">
        <f t="shared" si="41"/>
        <v>0</v>
      </c>
    </row>
    <row r="402" spans="1:11" x14ac:dyDescent="0.4">
      <c r="A402" s="19">
        <v>45851.416666666664</v>
      </c>
      <c r="B402" s="20">
        <f t="shared" si="37"/>
        <v>0.41666666666424135</v>
      </c>
      <c r="C402">
        <v>0</v>
      </c>
      <c r="D402">
        <v>489.59699999999998</v>
      </c>
      <c r="E402">
        <f t="shared" si="36"/>
        <v>489.44200000000001</v>
      </c>
      <c r="F402">
        <v>489.54500000000002</v>
      </c>
      <c r="G402">
        <f t="shared" si="38"/>
        <v>0</v>
      </c>
      <c r="H402">
        <v>1.82</v>
      </c>
      <c r="I402">
        <f t="shared" si="39"/>
        <v>0</v>
      </c>
      <c r="J402">
        <f t="shared" si="40"/>
        <v>0</v>
      </c>
      <c r="K402">
        <f t="shared" si="41"/>
        <v>0</v>
      </c>
    </row>
    <row r="403" spans="1:11" x14ac:dyDescent="0.4">
      <c r="A403" s="19">
        <v>45851.458333333336</v>
      </c>
      <c r="B403" s="20">
        <f t="shared" si="37"/>
        <v>0.45833333333575865</v>
      </c>
      <c r="C403">
        <v>0</v>
      </c>
      <c r="D403">
        <v>489.59699999999998</v>
      </c>
      <c r="E403">
        <f t="shared" si="36"/>
        <v>489.44200000000001</v>
      </c>
      <c r="F403">
        <v>489.54500000000002</v>
      </c>
      <c r="G403">
        <f t="shared" si="38"/>
        <v>0</v>
      </c>
      <c r="H403">
        <v>1.82</v>
      </c>
      <c r="I403">
        <f t="shared" si="39"/>
        <v>0</v>
      </c>
      <c r="J403">
        <f t="shared" si="40"/>
        <v>0</v>
      </c>
      <c r="K403">
        <f t="shared" si="41"/>
        <v>0</v>
      </c>
    </row>
    <row r="404" spans="1:11" x14ac:dyDescent="0.4">
      <c r="A404" s="19">
        <v>45851.5</v>
      </c>
      <c r="B404" s="20">
        <f t="shared" si="37"/>
        <v>0.5</v>
      </c>
      <c r="C404">
        <v>0</v>
      </c>
      <c r="D404">
        <v>489.59699999999998</v>
      </c>
      <c r="E404">
        <f t="shared" si="36"/>
        <v>489.44200000000001</v>
      </c>
      <c r="F404">
        <v>489.54500000000002</v>
      </c>
      <c r="G404">
        <f t="shared" si="38"/>
        <v>0</v>
      </c>
      <c r="H404">
        <v>1.82</v>
      </c>
      <c r="I404">
        <f t="shared" si="39"/>
        <v>0</v>
      </c>
      <c r="J404">
        <f t="shared" si="40"/>
        <v>0</v>
      </c>
      <c r="K404">
        <f t="shared" si="41"/>
        <v>0</v>
      </c>
    </row>
    <row r="405" spans="1:11" x14ac:dyDescent="0.4">
      <c r="A405" s="19">
        <v>45851.541666666664</v>
      </c>
      <c r="B405" s="20">
        <f t="shared" si="37"/>
        <v>0.54166666666424135</v>
      </c>
      <c r="C405">
        <v>0</v>
      </c>
      <c r="D405">
        <v>489.59699999999998</v>
      </c>
      <c r="E405">
        <f t="shared" si="36"/>
        <v>489.44200000000001</v>
      </c>
      <c r="F405">
        <v>489.54500000000002</v>
      </c>
      <c r="G405">
        <f t="shared" si="38"/>
        <v>0</v>
      </c>
      <c r="H405">
        <v>1.82</v>
      </c>
      <c r="I405">
        <f t="shared" si="39"/>
        <v>0</v>
      </c>
      <c r="J405">
        <f t="shared" si="40"/>
        <v>0</v>
      </c>
      <c r="K405">
        <f t="shared" si="41"/>
        <v>0</v>
      </c>
    </row>
    <row r="406" spans="1:11" x14ac:dyDescent="0.4">
      <c r="A406" s="19">
        <v>45851.583333333336</v>
      </c>
      <c r="B406" s="20">
        <f t="shared" si="37"/>
        <v>0.58333333333575865</v>
      </c>
      <c r="C406">
        <v>0</v>
      </c>
      <c r="D406">
        <v>489.59699999999998</v>
      </c>
      <c r="E406">
        <f t="shared" si="36"/>
        <v>489.44200000000001</v>
      </c>
      <c r="F406">
        <v>489.54500000000002</v>
      </c>
      <c r="G406">
        <f t="shared" si="38"/>
        <v>0</v>
      </c>
      <c r="H406">
        <v>1.82</v>
      </c>
      <c r="I406">
        <f t="shared" si="39"/>
        <v>0</v>
      </c>
      <c r="J406">
        <f t="shared" si="40"/>
        <v>0</v>
      </c>
      <c r="K406">
        <f t="shared" si="41"/>
        <v>0</v>
      </c>
    </row>
    <row r="407" spans="1:11" x14ac:dyDescent="0.4">
      <c r="A407" s="19">
        <v>45851.625</v>
      </c>
      <c r="B407" s="20">
        <f t="shared" si="37"/>
        <v>0.625</v>
      </c>
      <c r="C407">
        <v>0</v>
      </c>
      <c r="D407">
        <v>489.59699999999998</v>
      </c>
      <c r="E407">
        <f t="shared" si="36"/>
        <v>489.44200000000001</v>
      </c>
      <c r="F407">
        <v>489.54500000000002</v>
      </c>
      <c r="G407">
        <f t="shared" si="38"/>
        <v>0</v>
      </c>
      <c r="H407">
        <v>1.82</v>
      </c>
      <c r="I407">
        <f t="shared" si="39"/>
        <v>0</v>
      </c>
      <c r="J407">
        <f t="shared" si="40"/>
        <v>0</v>
      </c>
      <c r="K407">
        <f t="shared" si="41"/>
        <v>0</v>
      </c>
    </row>
    <row r="408" spans="1:11" x14ac:dyDescent="0.4">
      <c r="A408" s="19">
        <v>45851.666666666664</v>
      </c>
      <c r="B408" s="20">
        <f t="shared" si="37"/>
        <v>0.66666666666424135</v>
      </c>
      <c r="C408">
        <v>0</v>
      </c>
      <c r="D408">
        <v>489.59699999999998</v>
      </c>
      <c r="E408">
        <f t="shared" si="36"/>
        <v>489.44200000000001</v>
      </c>
      <c r="F408">
        <v>489.54500000000002</v>
      </c>
      <c r="G408">
        <f t="shared" si="38"/>
        <v>0</v>
      </c>
      <c r="H408">
        <v>1.82</v>
      </c>
      <c r="I408">
        <f t="shared" si="39"/>
        <v>0</v>
      </c>
      <c r="J408">
        <f t="shared" si="40"/>
        <v>0</v>
      </c>
      <c r="K408">
        <f t="shared" si="41"/>
        <v>0</v>
      </c>
    </row>
    <row r="409" spans="1:11" x14ac:dyDescent="0.4">
      <c r="A409" s="19">
        <v>45851.708333333336</v>
      </c>
      <c r="B409" s="20">
        <f t="shared" si="37"/>
        <v>0.70833333333575865</v>
      </c>
      <c r="C409">
        <v>0</v>
      </c>
      <c r="D409">
        <v>489.59699999999998</v>
      </c>
      <c r="E409">
        <f t="shared" si="36"/>
        <v>489.44200000000001</v>
      </c>
      <c r="F409">
        <v>489.54500000000002</v>
      </c>
      <c r="G409">
        <f t="shared" si="38"/>
        <v>0</v>
      </c>
      <c r="H409">
        <v>1.82</v>
      </c>
      <c r="I409">
        <f t="shared" si="39"/>
        <v>0</v>
      </c>
      <c r="J409">
        <f t="shared" si="40"/>
        <v>0</v>
      </c>
      <c r="K409">
        <f t="shared" si="41"/>
        <v>0</v>
      </c>
    </row>
    <row r="410" spans="1:11" x14ac:dyDescent="0.4">
      <c r="A410" s="19">
        <v>45851.75</v>
      </c>
      <c r="B410" s="20">
        <f t="shared" si="37"/>
        <v>0.75</v>
      </c>
      <c r="C410">
        <v>0</v>
      </c>
      <c r="D410">
        <v>489.59800000000001</v>
      </c>
      <c r="E410">
        <f t="shared" si="36"/>
        <v>489.44300000000004</v>
      </c>
      <c r="F410">
        <v>489.54500000000002</v>
      </c>
      <c r="G410">
        <f t="shared" si="38"/>
        <v>0</v>
      </c>
      <c r="H410">
        <v>1.82</v>
      </c>
      <c r="I410">
        <f t="shared" si="39"/>
        <v>0</v>
      </c>
      <c r="J410">
        <f t="shared" si="40"/>
        <v>0</v>
      </c>
      <c r="K410">
        <f t="shared" si="41"/>
        <v>0</v>
      </c>
    </row>
    <row r="411" spans="1:11" x14ac:dyDescent="0.4">
      <c r="A411" s="19">
        <v>45851.791666666664</v>
      </c>
      <c r="B411" s="20">
        <f t="shared" si="37"/>
        <v>0.79166666666424135</v>
      </c>
      <c r="C411">
        <v>0</v>
      </c>
      <c r="D411">
        <v>489.59699999999998</v>
      </c>
      <c r="E411">
        <f t="shared" si="36"/>
        <v>489.44200000000001</v>
      </c>
      <c r="F411">
        <v>489.54500000000002</v>
      </c>
      <c r="G411">
        <f t="shared" si="38"/>
        <v>0</v>
      </c>
      <c r="H411">
        <v>1.82</v>
      </c>
      <c r="I411">
        <f t="shared" si="39"/>
        <v>0</v>
      </c>
      <c r="J411">
        <f t="shared" si="40"/>
        <v>0</v>
      </c>
      <c r="K411">
        <f t="shared" si="41"/>
        <v>0</v>
      </c>
    </row>
    <row r="412" spans="1:11" x14ac:dyDescent="0.4">
      <c r="A412" s="19">
        <v>45851.833333333336</v>
      </c>
      <c r="B412" s="20">
        <f t="shared" si="37"/>
        <v>0.83333333333575865</v>
      </c>
      <c r="C412">
        <v>0</v>
      </c>
      <c r="D412">
        <v>489.59199999999998</v>
      </c>
      <c r="E412">
        <f t="shared" si="36"/>
        <v>489.43700000000001</v>
      </c>
      <c r="F412">
        <v>489.54500000000002</v>
      </c>
      <c r="G412">
        <f t="shared" si="38"/>
        <v>0</v>
      </c>
      <c r="H412">
        <v>1.82</v>
      </c>
      <c r="I412">
        <f t="shared" si="39"/>
        <v>0</v>
      </c>
      <c r="J412">
        <f t="shared" si="40"/>
        <v>0</v>
      </c>
      <c r="K412">
        <f t="shared" si="41"/>
        <v>0</v>
      </c>
    </row>
    <row r="413" spans="1:11" x14ac:dyDescent="0.4">
      <c r="A413" s="19">
        <v>45851.875</v>
      </c>
      <c r="B413" s="20">
        <f t="shared" si="37"/>
        <v>0.875</v>
      </c>
      <c r="C413">
        <v>0</v>
      </c>
      <c r="D413">
        <v>489.59800000000001</v>
      </c>
      <c r="E413">
        <f t="shared" si="36"/>
        <v>489.44300000000004</v>
      </c>
      <c r="F413">
        <v>489.54500000000002</v>
      </c>
      <c r="G413">
        <f t="shared" si="38"/>
        <v>0</v>
      </c>
      <c r="H413">
        <v>1.82</v>
      </c>
      <c r="I413">
        <f t="shared" si="39"/>
        <v>0</v>
      </c>
      <c r="J413">
        <f t="shared" si="40"/>
        <v>0</v>
      </c>
      <c r="K413">
        <f t="shared" si="41"/>
        <v>0</v>
      </c>
    </row>
    <row r="414" spans="1:11" x14ac:dyDescent="0.4">
      <c r="A414" s="19">
        <v>45851.916666666664</v>
      </c>
      <c r="B414" s="20">
        <f t="shared" si="37"/>
        <v>0.91666666666424135</v>
      </c>
      <c r="C414">
        <v>0</v>
      </c>
      <c r="D414">
        <v>489.59699999999998</v>
      </c>
      <c r="E414">
        <f t="shared" si="36"/>
        <v>489.44200000000001</v>
      </c>
      <c r="F414">
        <v>489.54500000000002</v>
      </c>
      <c r="G414">
        <f t="shared" si="38"/>
        <v>0</v>
      </c>
      <c r="H414">
        <v>1.82</v>
      </c>
      <c r="I414">
        <f t="shared" si="39"/>
        <v>0</v>
      </c>
      <c r="J414">
        <f t="shared" si="40"/>
        <v>0</v>
      </c>
      <c r="K414">
        <f t="shared" si="41"/>
        <v>0</v>
      </c>
    </row>
    <row r="415" spans="1:11" x14ac:dyDescent="0.4">
      <c r="A415" s="19">
        <v>45851.958333333336</v>
      </c>
      <c r="B415" s="20">
        <f t="shared" si="37"/>
        <v>0.95833333333575865</v>
      </c>
      <c r="C415">
        <v>0</v>
      </c>
      <c r="D415">
        <v>489.59199999999998</v>
      </c>
      <c r="E415">
        <f t="shared" si="36"/>
        <v>489.43700000000001</v>
      </c>
      <c r="F415">
        <v>489.54500000000002</v>
      </c>
      <c r="G415">
        <f t="shared" si="38"/>
        <v>0</v>
      </c>
      <c r="H415">
        <v>1.82</v>
      </c>
      <c r="I415">
        <f t="shared" si="39"/>
        <v>0</v>
      </c>
      <c r="J415">
        <f t="shared" si="40"/>
        <v>0</v>
      </c>
      <c r="K415">
        <f t="shared" si="41"/>
        <v>0</v>
      </c>
    </row>
    <row r="416" spans="1:11" x14ac:dyDescent="0.4">
      <c r="A416" s="19">
        <v>45852</v>
      </c>
      <c r="B416" s="20">
        <f t="shared" si="37"/>
        <v>0</v>
      </c>
      <c r="C416">
        <v>0</v>
      </c>
      <c r="D416">
        <v>489.59199999999998</v>
      </c>
      <c r="E416">
        <f t="shared" si="36"/>
        <v>489.43700000000001</v>
      </c>
      <c r="F416">
        <v>489.54500000000002</v>
      </c>
      <c r="G416">
        <f t="shared" si="38"/>
        <v>0</v>
      </c>
      <c r="H416">
        <v>1.82</v>
      </c>
      <c r="I416">
        <f t="shared" si="39"/>
        <v>0</v>
      </c>
      <c r="J416">
        <f t="shared" si="40"/>
        <v>0</v>
      </c>
      <c r="K416">
        <f t="shared" si="41"/>
        <v>0</v>
      </c>
    </row>
    <row r="417" spans="1:11" x14ac:dyDescent="0.4">
      <c r="A417" s="19">
        <v>45852.041666666664</v>
      </c>
      <c r="B417" s="20">
        <f t="shared" si="37"/>
        <v>4.1666666664241347E-2</v>
      </c>
      <c r="C417">
        <v>0</v>
      </c>
      <c r="D417">
        <v>489.59199999999998</v>
      </c>
      <c r="E417">
        <f t="shared" si="36"/>
        <v>489.43700000000001</v>
      </c>
      <c r="F417">
        <v>489.54500000000002</v>
      </c>
      <c r="G417">
        <f t="shared" si="38"/>
        <v>0</v>
      </c>
      <c r="H417">
        <v>1.82</v>
      </c>
      <c r="I417">
        <f t="shared" si="39"/>
        <v>0</v>
      </c>
      <c r="J417">
        <f t="shared" si="40"/>
        <v>0</v>
      </c>
      <c r="K417">
        <f t="shared" si="41"/>
        <v>0</v>
      </c>
    </row>
    <row r="418" spans="1:11" x14ac:dyDescent="0.4">
      <c r="A418" s="19">
        <v>45852.083333333336</v>
      </c>
      <c r="B418" s="20">
        <f t="shared" si="37"/>
        <v>8.3333333335758653E-2</v>
      </c>
      <c r="C418">
        <v>0</v>
      </c>
      <c r="D418">
        <v>489.59300000000002</v>
      </c>
      <c r="E418">
        <f t="shared" si="36"/>
        <v>489.43800000000005</v>
      </c>
      <c r="F418">
        <v>489.54500000000002</v>
      </c>
      <c r="G418">
        <f t="shared" si="38"/>
        <v>0</v>
      </c>
      <c r="H418">
        <v>1.82</v>
      </c>
      <c r="I418">
        <f t="shared" si="39"/>
        <v>0</v>
      </c>
      <c r="J418">
        <f t="shared" si="40"/>
        <v>0</v>
      </c>
      <c r="K418">
        <f t="shared" si="41"/>
        <v>0</v>
      </c>
    </row>
    <row r="419" spans="1:11" x14ac:dyDescent="0.4">
      <c r="A419" s="19">
        <v>45852.125</v>
      </c>
      <c r="B419" s="20">
        <f t="shared" si="37"/>
        <v>0.125</v>
      </c>
      <c r="C419">
        <v>0</v>
      </c>
      <c r="D419">
        <v>489.59199999999998</v>
      </c>
      <c r="E419">
        <f t="shared" si="36"/>
        <v>489.43700000000001</v>
      </c>
      <c r="F419">
        <v>489.54500000000002</v>
      </c>
      <c r="G419">
        <f t="shared" si="38"/>
        <v>0</v>
      </c>
      <c r="H419">
        <v>1.82</v>
      </c>
      <c r="I419">
        <f t="shared" si="39"/>
        <v>0</v>
      </c>
      <c r="J419">
        <f t="shared" si="40"/>
        <v>0</v>
      </c>
      <c r="K419">
        <f t="shared" si="41"/>
        <v>0</v>
      </c>
    </row>
    <row r="420" spans="1:11" x14ac:dyDescent="0.4">
      <c r="A420" s="19">
        <v>45852.166666666664</v>
      </c>
      <c r="B420" s="20">
        <f t="shared" si="37"/>
        <v>0.16666666666424135</v>
      </c>
      <c r="C420">
        <v>0</v>
      </c>
      <c r="D420">
        <v>489.59800000000001</v>
      </c>
      <c r="E420">
        <f t="shared" si="36"/>
        <v>489.44300000000004</v>
      </c>
      <c r="F420">
        <v>489.54500000000002</v>
      </c>
      <c r="G420">
        <f t="shared" si="38"/>
        <v>0</v>
      </c>
      <c r="H420">
        <v>1.82</v>
      </c>
      <c r="I420">
        <f t="shared" si="39"/>
        <v>0</v>
      </c>
      <c r="J420">
        <f t="shared" si="40"/>
        <v>0</v>
      </c>
      <c r="K420">
        <f t="shared" si="41"/>
        <v>0</v>
      </c>
    </row>
    <row r="421" spans="1:11" x14ac:dyDescent="0.4">
      <c r="A421" s="19">
        <v>45852.208333333336</v>
      </c>
      <c r="B421" s="20">
        <f t="shared" si="37"/>
        <v>0.20833333333575865</v>
      </c>
      <c r="C421">
        <v>0</v>
      </c>
      <c r="D421">
        <v>489.59300000000002</v>
      </c>
      <c r="E421">
        <f t="shared" si="36"/>
        <v>489.43800000000005</v>
      </c>
      <c r="F421">
        <v>489.54500000000002</v>
      </c>
      <c r="G421">
        <f t="shared" si="38"/>
        <v>0</v>
      </c>
      <c r="H421">
        <v>1.82</v>
      </c>
      <c r="I421">
        <f t="shared" si="39"/>
        <v>0</v>
      </c>
      <c r="J421">
        <f t="shared" si="40"/>
        <v>0</v>
      </c>
      <c r="K421">
        <f t="shared" si="41"/>
        <v>0</v>
      </c>
    </row>
    <row r="422" spans="1:11" x14ac:dyDescent="0.4">
      <c r="A422" s="19">
        <v>45852.25</v>
      </c>
      <c r="B422" s="20">
        <f t="shared" si="37"/>
        <v>0.25</v>
      </c>
      <c r="C422">
        <v>0</v>
      </c>
      <c r="D422">
        <v>489.59199999999998</v>
      </c>
      <c r="E422">
        <f t="shared" si="36"/>
        <v>489.43700000000001</v>
      </c>
      <c r="F422">
        <v>489.54500000000002</v>
      </c>
      <c r="G422">
        <f t="shared" si="38"/>
        <v>0</v>
      </c>
      <c r="H422">
        <v>1.82</v>
      </c>
      <c r="I422">
        <f t="shared" si="39"/>
        <v>0</v>
      </c>
      <c r="J422">
        <f t="shared" si="40"/>
        <v>0</v>
      </c>
      <c r="K422">
        <f t="shared" si="41"/>
        <v>0</v>
      </c>
    </row>
    <row r="423" spans="1:11" x14ac:dyDescent="0.4">
      <c r="A423" s="19">
        <v>45852.291666666664</v>
      </c>
      <c r="B423" s="20">
        <f t="shared" si="37"/>
        <v>0.29166666666424135</v>
      </c>
      <c r="C423">
        <v>0</v>
      </c>
      <c r="D423">
        <v>489.59199999999998</v>
      </c>
      <c r="E423">
        <f t="shared" si="36"/>
        <v>489.43700000000001</v>
      </c>
      <c r="F423">
        <v>489.54500000000002</v>
      </c>
      <c r="G423">
        <f t="shared" si="38"/>
        <v>0</v>
      </c>
      <c r="H423">
        <v>1.82</v>
      </c>
      <c r="I423">
        <f t="shared" si="39"/>
        <v>0</v>
      </c>
      <c r="J423">
        <f t="shared" si="40"/>
        <v>0</v>
      </c>
      <c r="K423">
        <f t="shared" si="41"/>
        <v>0</v>
      </c>
    </row>
    <row r="424" spans="1:11" x14ac:dyDescent="0.4">
      <c r="A424" s="19">
        <v>45852.333333333336</v>
      </c>
      <c r="B424" s="20">
        <f t="shared" si="37"/>
        <v>0.33333333333575865</v>
      </c>
      <c r="C424">
        <v>0</v>
      </c>
      <c r="D424">
        <v>489.59100000000001</v>
      </c>
      <c r="E424">
        <f t="shared" si="36"/>
        <v>489.43600000000004</v>
      </c>
      <c r="F424">
        <v>489.54500000000002</v>
      </c>
      <c r="G424">
        <f t="shared" si="38"/>
        <v>0</v>
      </c>
      <c r="H424">
        <v>1.82</v>
      </c>
      <c r="I424">
        <f t="shared" si="39"/>
        <v>0</v>
      </c>
      <c r="J424">
        <f t="shared" si="40"/>
        <v>0</v>
      </c>
      <c r="K424">
        <f t="shared" si="41"/>
        <v>0</v>
      </c>
    </row>
    <row r="425" spans="1:11" x14ac:dyDescent="0.4">
      <c r="A425" s="19">
        <v>45852.375</v>
      </c>
      <c r="B425" s="20">
        <f t="shared" si="37"/>
        <v>0.375</v>
      </c>
      <c r="C425">
        <v>0</v>
      </c>
      <c r="D425">
        <v>489.59100000000001</v>
      </c>
      <c r="E425">
        <f t="shared" si="36"/>
        <v>489.43600000000004</v>
      </c>
      <c r="F425">
        <v>489.54500000000002</v>
      </c>
      <c r="G425">
        <f t="shared" si="38"/>
        <v>0</v>
      </c>
      <c r="H425">
        <v>1.82</v>
      </c>
      <c r="I425">
        <f t="shared" si="39"/>
        <v>0</v>
      </c>
      <c r="J425">
        <f t="shared" si="40"/>
        <v>0</v>
      </c>
      <c r="K425">
        <f t="shared" si="41"/>
        <v>0</v>
      </c>
    </row>
    <row r="426" spans="1:11" x14ac:dyDescent="0.4">
      <c r="A426" s="19">
        <v>45852.416666666664</v>
      </c>
      <c r="B426" s="20">
        <f t="shared" si="37"/>
        <v>0.41666666666424135</v>
      </c>
      <c r="C426">
        <v>0</v>
      </c>
      <c r="D426">
        <v>489.59100000000001</v>
      </c>
      <c r="E426">
        <f t="shared" si="36"/>
        <v>489.43600000000004</v>
      </c>
      <c r="F426">
        <v>489.54500000000002</v>
      </c>
      <c r="G426">
        <f t="shared" si="38"/>
        <v>0</v>
      </c>
      <c r="H426">
        <v>1.82</v>
      </c>
      <c r="I426">
        <f t="shared" si="39"/>
        <v>0</v>
      </c>
      <c r="J426">
        <f t="shared" si="40"/>
        <v>0</v>
      </c>
      <c r="K426">
        <f t="shared" si="41"/>
        <v>0</v>
      </c>
    </row>
    <row r="427" spans="1:11" x14ac:dyDescent="0.4">
      <c r="A427" s="19">
        <v>45852.458333333336</v>
      </c>
      <c r="B427" s="20">
        <f t="shared" si="37"/>
        <v>0.45833333333575865</v>
      </c>
      <c r="C427">
        <v>0</v>
      </c>
      <c r="D427">
        <v>489.59100000000001</v>
      </c>
      <c r="E427">
        <f t="shared" si="36"/>
        <v>489.43600000000004</v>
      </c>
      <c r="F427">
        <v>489.54500000000002</v>
      </c>
      <c r="G427">
        <f t="shared" si="38"/>
        <v>0</v>
      </c>
      <c r="H427">
        <v>1.82</v>
      </c>
      <c r="I427">
        <f t="shared" si="39"/>
        <v>0</v>
      </c>
      <c r="J427">
        <f t="shared" si="40"/>
        <v>0</v>
      </c>
      <c r="K427">
        <f t="shared" si="41"/>
        <v>0</v>
      </c>
    </row>
    <row r="428" spans="1:11" x14ac:dyDescent="0.4">
      <c r="A428" s="19">
        <v>45852.5</v>
      </c>
      <c r="B428" s="20">
        <f t="shared" si="37"/>
        <v>0.5</v>
      </c>
      <c r="C428">
        <v>0</v>
      </c>
      <c r="D428">
        <v>489.59100000000001</v>
      </c>
      <c r="E428">
        <f t="shared" si="36"/>
        <v>489.43600000000004</v>
      </c>
      <c r="F428">
        <v>489.54500000000002</v>
      </c>
      <c r="G428">
        <f t="shared" si="38"/>
        <v>0</v>
      </c>
      <c r="H428">
        <v>1.82</v>
      </c>
      <c r="I428">
        <f t="shared" si="39"/>
        <v>0</v>
      </c>
      <c r="J428">
        <f t="shared" si="40"/>
        <v>0</v>
      </c>
      <c r="K428">
        <f t="shared" si="41"/>
        <v>0</v>
      </c>
    </row>
    <row r="429" spans="1:11" x14ac:dyDescent="0.4">
      <c r="A429" s="19">
        <v>45852.541666666664</v>
      </c>
      <c r="B429" s="20">
        <f t="shared" si="37"/>
        <v>0.54166666666424135</v>
      </c>
      <c r="C429">
        <v>0</v>
      </c>
      <c r="D429">
        <v>489.58499999999998</v>
      </c>
      <c r="E429">
        <f t="shared" si="36"/>
        <v>489.43</v>
      </c>
      <c r="F429">
        <v>489.54500000000002</v>
      </c>
      <c r="G429">
        <f t="shared" si="38"/>
        <v>0</v>
      </c>
      <c r="H429">
        <v>1.82</v>
      </c>
      <c r="I429">
        <f t="shared" si="39"/>
        <v>0</v>
      </c>
      <c r="J429">
        <f t="shared" si="40"/>
        <v>0</v>
      </c>
      <c r="K429">
        <f t="shared" si="41"/>
        <v>0</v>
      </c>
    </row>
    <row r="430" spans="1:11" x14ac:dyDescent="0.4">
      <c r="A430" s="19">
        <v>45852.583333333336</v>
      </c>
      <c r="B430" s="20">
        <f t="shared" si="37"/>
        <v>0.58333333333575865</v>
      </c>
      <c r="C430">
        <v>0</v>
      </c>
      <c r="D430">
        <v>489.59100000000001</v>
      </c>
      <c r="E430">
        <f t="shared" si="36"/>
        <v>489.43600000000004</v>
      </c>
      <c r="F430">
        <v>489.54500000000002</v>
      </c>
      <c r="G430">
        <f t="shared" si="38"/>
        <v>0</v>
      </c>
      <c r="H430">
        <v>1.82</v>
      </c>
      <c r="I430">
        <f t="shared" si="39"/>
        <v>0</v>
      </c>
      <c r="J430">
        <f t="shared" si="40"/>
        <v>0</v>
      </c>
      <c r="K430">
        <f t="shared" si="41"/>
        <v>0</v>
      </c>
    </row>
    <row r="431" spans="1:11" x14ac:dyDescent="0.4">
      <c r="A431" s="19">
        <v>45852.625</v>
      </c>
      <c r="B431" s="20">
        <f t="shared" si="37"/>
        <v>0.625</v>
      </c>
      <c r="C431">
        <v>0</v>
      </c>
      <c r="D431">
        <v>489.58499999999998</v>
      </c>
      <c r="E431">
        <f t="shared" si="36"/>
        <v>489.43</v>
      </c>
      <c r="F431">
        <v>489.54500000000002</v>
      </c>
      <c r="G431">
        <f t="shared" si="38"/>
        <v>0</v>
      </c>
      <c r="H431">
        <v>1.82</v>
      </c>
      <c r="I431">
        <f t="shared" si="39"/>
        <v>0</v>
      </c>
      <c r="J431">
        <f t="shared" si="40"/>
        <v>0</v>
      </c>
      <c r="K431">
        <f t="shared" si="41"/>
        <v>0</v>
      </c>
    </row>
    <row r="432" spans="1:11" x14ac:dyDescent="0.4">
      <c r="A432" s="19">
        <v>45852.666666666664</v>
      </c>
      <c r="B432" s="20">
        <f t="shared" si="37"/>
        <v>0.66666666666424135</v>
      </c>
      <c r="C432">
        <v>0</v>
      </c>
      <c r="D432">
        <v>489.58499999999998</v>
      </c>
      <c r="E432">
        <f t="shared" si="36"/>
        <v>489.43</v>
      </c>
      <c r="F432">
        <v>489.54500000000002</v>
      </c>
      <c r="G432">
        <f t="shared" si="38"/>
        <v>0</v>
      </c>
      <c r="H432">
        <v>1.82</v>
      </c>
      <c r="I432">
        <f t="shared" si="39"/>
        <v>0</v>
      </c>
      <c r="J432">
        <f t="shared" si="40"/>
        <v>0</v>
      </c>
      <c r="K432">
        <f t="shared" si="41"/>
        <v>0</v>
      </c>
    </row>
    <row r="433" spans="1:11" x14ac:dyDescent="0.4">
      <c r="A433" s="19">
        <v>45852.708333333336</v>
      </c>
      <c r="B433" s="20">
        <f t="shared" si="37"/>
        <v>0.70833333333575865</v>
      </c>
      <c r="C433">
        <v>0</v>
      </c>
      <c r="D433">
        <v>489.58499999999998</v>
      </c>
      <c r="E433">
        <f t="shared" si="36"/>
        <v>489.43</v>
      </c>
      <c r="F433">
        <v>489.54500000000002</v>
      </c>
      <c r="G433">
        <f t="shared" si="38"/>
        <v>0</v>
      </c>
      <c r="H433">
        <v>1.82</v>
      </c>
      <c r="I433">
        <f t="shared" si="39"/>
        <v>0</v>
      </c>
      <c r="J433">
        <f t="shared" si="40"/>
        <v>0</v>
      </c>
      <c r="K433">
        <f t="shared" si="41"/>
        <v>0</v>
      </c>
    </row>
    <row r="434" spans="1:11" x14ac:dyDescent="0.4">
      <c r="A434" s="19">
        <v>45852.75</v>
      </c>
      <c r="B434" s="20">
        <f t="shared" si="37"/>
        <v>0.75</v>
      </c>
      <c r="C434">
        <v>0</v>
      </c>
      <c r="D434">
        <v>489.59199999999998</v>
      </c>
      <c r="E434">
        <f t="shared" si="36"/>
        <v>489.43700000000001</v>
      </c>
      <c r="F434">
        <v>489.54500000000002</v>
      </c>
      <c r="G434">
        <f t="shared" si="38"/>
        <v>0</v>
      </c>
      <c r="H434">
        <v>1.82</v>
      </c>
      <c r="I434">
        <f t="shared" si="39"/>
        <v>0</v>
      </c>
      <c r="J434">
        <f t="shared" si="40"/>
        <v>0</v>
      </c>
      <c r="K434">
        <f t="shared" si="41"/>
        <v>0</v>
      </c>
    </row>
    <row r="435" spans="1:11" x14ac:dyDescent="0.4">
      <c r="A435" s="19">
        <v>45852.791666666664</v>
      </c>
      <c r="B435" s="20">
        <f t="shared" si="37"/>
        <v>0.79166666666424135</v>
      </c>
      <c r="C435">
        <v>0</v>
      </c>
      <c r="D435">
        <v>489.58600000000001</v>
      </c>
      <c r="E435">
        <f t="shared" si="36"/>
        <v>489.43100000000004</v>
      </c>
      <c r="F435">
        <v>489.54500000000002</v>
      </c>
      <c r="G435">
        <f t="shared" si="38"/>
        <v>0</v>
      </c>
      <c r="H435">
        <v>1.82</v>
      </c>
      <c r="I435">
        <f t="shared" si="39"/>
        <v>0</v>
      </c>
      <c r="J435">
        <f t="shared" si="40"/>
        <v>0</v>
      </c>
      <c r="K435">
        <f t="shared" si="41"/>
        <v>0</v>
      </c>
    </row>
    <row r="436" spans="1:11" x14ac:dyDescent="0.4">
      <c r="A436" s="19">
        <v>45852.833333333336</v>
      </c>
      <c r="B436" s="20">
        <f t="shared" si="37"/>
        <v>0.83333333333575865</v>
      </c>
      <c r="C436">
        <v>0</v>
      </c>
      <c r="D436">
        <v>489.58499999999998</v>
      </c>
      <c r="E436">
        <f t="shared" si="36"/>
        <v>489.43</v>
      </c>
      <c r="F436">
        <v>489.54500000000002</v>
      </c>
      <c r="G436">
        <f t="shared" si="38"/>
        <v>0</v>
      </c>
      <c r="H436">
        <v>1.82</v>
      </c>
      <c r="I436">
        <f t="shared" si="39"/>
        <v>0</v>
      </c>
      <c r="J436">
        <f t="shared" si="40"/>
        <v>0</v>
      </c>
      <c r="K436">
        <f t="shared" si="41"/>
        <v>0</v>
      </c>
    </row>
    <row r="437" spans="1:11" x14ac:dyDescent="0.4">
      <c r="A437" s="19">
        <v>45852.875</v>
      </c>
      <c r="B437" s="20">
        <f t="shared" si="37"/>
        <v>0.875</v>
      </c>
      <c r="C437">
        <v>0</v>
      </c>
      <c r="D437">
        <v>489.58600000000001</v>
      </c>
      <c r="E437">
        <f t="shared" si="36"/>
        <v>489.43100000000004</v>
      </c>
      <c r="F437">
        <v>489.54500000000002</v>
      </c>
      <c r="G437">
        <f t="shared" si="38"/>
        <v>0</v>
      </c>
      <c r="H437">
        <v>1.82</v>
      </c>
      <c r="I437">
        <f t="shared" si="39"/>
        <v>0</v>
      </c>
      <c r="J437">
        <f t="shared" si="40"/>
        <v>0</v>
      </c>
      <c r="K437">
        <f t="shared" si="41"/>
        <v>0</v>
      </c>
    </row>
    <row r="438" spans="1:11" x14ac:dyDescent="0.4">
      <c r="A438" s="19">
        <v>45852.916666666664</v>
      </c>
      <c r="B438" s="20">
        <f t="shared" si="37"/>
        <v>0.91666666666424135</v>
      </c>
      <c r="C438">
        <v>0</v>
      </c>
      <c r="D438">
        <v>489.58600000000001</v>
      </c>
      <c r="E438">
        <f t="shared" si="36"/>
        <v>489.43100000000004</v>
      </c>
      <c r="F438">
        <v>489.54500000000002</v>
      </c>
      <c r="G438">
        <f t="shared" si="38"/>
        <v>0</v>
      </c>
      <c r="H438">
        <v>1.82</v>
      </c>
      <c r="I438">
        <f t="shared" si="39"/>
        <v>0</v>
      </c>
      <c r="J438">
        <f t="shared" si="40"/>
        <v>0</v>
      </c>
      <c r="K438">
        <f t="shared" si="41"/>
        <v>0</v>
      </c>
    </row>
    <row r="439" spans="1:11" x14ac:dyDescent="0.4">
      <c r="A439" s="19">
        <v>45852.958333333336</v>
      </c>
      <c r="B439" s="20">
        <f t="shared" si="37"/>
        <v>0.95833333333575865</v>
      </c>
      <c r="C439">
        <v>0</v>
      </c>
      <c r="D439">
        <v>489.58600000000001</v>
      </c>
      <c r="E439">
        <f t="shared" si="36"/>
        <v>489.43100000000004</v>
      </c>
      <c r="F439">
        <v>489.54500000000002</v>
      </c>
      <c r="G439">
        <f t="shared" si="38"/>
        <v>0</v>
      </c>
      <c r="H439">
        <v>1.82</v>
      </c>
      <c r="I439">
        <f t="shared" si="39"/>
        <v>0</v>
      </c>
      <c r="J439">
        <f t="shared" si="40"/>
        <v>0</v>
      </c>
      <c r="K439">
        <f t="shared" si="41"/>
        <v>0</v>
      </c>
    </row>
    <row r="440" spans="1:11" x14ac:dyDescent="0.4">
      <c r="A440" s="19">
        <v>45853</v>
      </c>
      <c r="B440" s="20">
        <f t="shared" si="37"/>
        <v>0</v>
      </c>
      <c r="C440">
        <v>0</v>
      </c>
      <c r="D440">
        <v>489.58499999999998</v>
      </c>
      <c r="E440">
        <f t="shared" si="36"/>
        <v>489.43</v>
      </c>
      <c r="F440">
        <v>489.54500000000002</v>
      </c>
      <c r="G440">
        <f t="shared" si="38"/>
        <v>0</v>
      </c>
      <c r="H440">
        <v>1.82</v>
      </c>
      <c r="I440">
        <f t="shared" si="39"/>
        <v>0</v>
      </c>
      <c r="J440">
        <f t="shared" si="40"/>
        <v>0</v>
      </c>
      <c r="K440">
        <f t="shared" si="41"/>
        <v>0</v>
      </c>
    </row>
    <row r="441" spans="1:11" x14ac:dyDescent="0.4">
      <c r="A441" s="19">
        <v>45853.041666666664</v>
      </c>
      <c r="B441" s="20">
        <f t="shared" si="37"/>
        <v>4.1666666664241347E-2</v>
      </c>
      <c r="C441">
        <v>0</v>
      </c>
      <c r="D441">
        <v>489.58600000000001</v>
      </c>
      <c r="E441">
        <f t="shared" si="36"/>
        <v>489.43100000000004</v>
      </c>
      <c r="F441">
        <v>489.54500000000002</v>
      </c>
      <c r="G441">
        <f t="shared" si="38"/>
        <v>0</v>
      </c>
      <c r="H441">
        <v>1.82</v>
      </c>
      <c r="I441">
        <f t="shared" si="39"/>
        <v>0</v>
      </c>
      <c r="J441">
        <f t="shared" si="40"/>
        <v>0</v>
      </c>
      <c r="K441">
        <f t="shared" si="41"/>
        <v>0</v>
      </c>
    </row>
    <row r="442" spans="1:11" x14ac:dyDescent="0.4">
      <c r="A442" s="19">
        <v>45853.083333333336</v>
      </c>
      <c r="B442" s="20">
        <f t="shared" si="37"/>
        <v>8.3333333335758653E-2</v>
      </c>
      <c r="C442">
        <v>0</v>
      </c>
      <c r="D442">
        <v>489.58600000000001</v>
      </c>
      <c r="E442">
        <f t="shared" si="36"/>
        <v>489.43100000000004</v>
      </c>
      <c r="F442">
        <v>489.54500000000002</v>
      </c>
      <c r="G442">
        <f t="shared" si="38"/>
        <v>0</v>
      </c>
      <c r="H442">
        <v>1.82</v>
      </c>
      <c r="I442">
        <f t="shared" si="39"/>
        <v>0</v>
      </c>
      <c r="J442">
        <f t="shared" si="40"/>
        <v>0</v>
      </c>
      <c r="K442">
        <f t="shared" si="41"/>
        <v>0</v>
      </c>
    </row>
    <row r="443" spans="1:11" x14ac:dyDescent="0.4">
      <c r="A443" s="19">
        <v>45853.125</v>
      </c>
      <c r="B443" s="20">
        <f t="shared" si="37"/>
        <v>0.125</v>
      </c>
      <c r="C443">
        <v>0</v>
      </c>
      <c r="D443">
        <v>489.57900000000001</v>
      </c>
      <c r="E443">
        <f t="shared" si="36"/>
        <v>489.42400000000004</v>
      </c>
      <c r="F443">
        <v>489.54500000000002</v>
      </c>
      <c r="G443">
        <f t="shared" si="38"/>
        <v>0</v>
      </c>
      <c r="H443">
        <v>1.82</v>
      </c>
      <c r="I443">
        <f t="shared" si="39"/>
        <v>0</v>
      </c>
      <c r="J443">
        <f t="shared" si="40"/>
        <v>0</v>
      </c>
      <c r="K443">
        <f t="shared" si="41"/>
        <v>0</v>
      </c>
    </row>
    <row r="444" spans="1:11" x14ac:dyDescent="0.4">
      <c r="A444" s="19">
        <v>45853.166666666664</v>
      </c>
      <c r="B444" s="20">
        <f t="shared" si="37"/>
        <v>0.16666666666424135</v>
      </c>
      <c r="C444">
        <v>0</v>
      </c>
      <c r="D444">
        <v>489.58600000000001</v>
      </c>
      <c r="E444">
        <f t="shared" si="36"/>
        <v>489.43100000000004</v>
      </c>
      <c r="F444">
        <v>489.54500000000002</v>
      </c>
      <c r="G444">
        <f t="shared" si="38"/>
        <v>0</v>
      </c>
      <c r="H444">
        <v>1.82</v>
      </c>
      <c r="I444">
        <f t="shared" si="39"/>
        <v>0</v>
      </c>
      <c r="J444">
        <f t="shared" si="40"/>
        <v>0</v>
      </c>
      <c r="K444">
        <f t="shared" si="41"/>
        <v>0</v>
      </c>
    </row>
    <row r="445" spans="1:11" x14ac:dyDescent="0.4">
      <c r="A445" s="19">
        <v>45853.208333333336</v>
      </c>
      <c r="B445" s="20">
        <f t="shared" si="37"/>
        <v>0.20833333333575865</v>
      </c>
      <c r="C445">
        <v>0</v>
      </c>
      <c r="D445">
        <v>489.57900000000001</v>
      </c>
      <c r="E445">
        <f t="shared" si="36"/>
        <v>489.42400000000004</v>
      </c>
      <c r="F445">
        <v>489.54500000000002</v>
      </c>
      <c r="G445">
        <f t="shared" si="38"/>
        <v>0</v>
      </c>
      <c r="H445">
        <v>1.82</v>
      </c>
      <c r="I445">
        <f t="shared" si="39"/>
        <v>0</v>
      </c>
      <c r="J445">
        <f t="shared" si="40"/>
        <v>0</v>
      </c>
      <c r="K445">
        <f t="shared" si="41"/>
        <v>0</v>
      </c>
    </row>
    <row r="446" spans="1:11" x14ac:dyDescent="0.4">
      <c r="A446" s="19">
        <v>45853.25</v>
      </c>
      <c r="B446" s="20">
        <f t="shared" si="37"/>
        <v>0.25</v>
      </c>
      <c r="C446">
        <v>0</v>
      </c>
      <c r="D446">
        <v>489.58600000000001</v>
      </c>
      <c r="E446">
        <f t="shared" si="36"/>
        <v>489.43100000000004</v>
      </c>
      <c r="F446">
        <v>489.54500000000002</v>
      </c>
      <c r="G446">
        <f t="shared" si="38"/>
        <v>0</v>
      </c>
      <c r="H446">
        <v>1.82</v>
      </c>
      <c r="I446">
        <f t="shared" si="39"/>
        <v>0</v>
      </c>
      <c r="J446">
        <f t="shared" si="40"/>
        <v>0</v>
      </c>
      <c r="K446">
        <f t="shared" si="41"/>
        <v>0</v>
      </c>
    </row>
    <row r="447" spans="1:11" x14ac:dyDescent="0.4">
      <c r="A447" s="19">
        <v>45853.291666666664</v>
      </c>
      <c r="B447" s="20">
        <f t="shared" si="37"/>
        <v>0.29166666666424135</v>
      </c>
      <c r="C447">
        <v>0</v>
      </c>
      <c r="D447">
        <v>489.57900000000001</v>
      </c>
      <c r="E447">
        <f t="shared" si="36"/>
        <v>489.42400000000004</v>
      </c>
      <c r="F447">
        <v>489.54500000000002</v>
      </c>
      <c r="G447">
        <f t="shared" si="38"/>
        <v>0</v>
      </c>
      <c r="H447">
        <v>1.82</v>
      </c>
      <c r="I447">
        <f t="shared" si="39"/>
        <v>0</v>
      </c>
      <c r="J447">
        <f t="shared" si="40"/>
        <v>0</v>
      </c>
      <c r="K447">
        <f t="shared" si="41"/>
        <v>0</v>
      </c>
    </row>
    <row r="448" spans="1:11" x14ac:dyDescent="0.4">
      <c r="A448" s="19">
        <v>45853.333333333336</v>
      </c>
      <c r="B448" s="20">
        <f t="shared" si="37"/>
        <v>0.33333333333575865</v>
      </c>
      <c r="C448">
        <v>0</v>
      </c>
      <c r="D448">
        <v>489.57900000000001</v>
      </c>
      <c r="E448">
        <f t="shared" si="36"/>
        <v>489.42400000000004</v>
      </c>
      <c r="F448">
        <v>489.54500000000002</v>
      </c>
      <c r="G448">
        <f t="shared" si="38"/>
        <v>0</v>
      </c>
      <c r="H448">
        <v>1.82</v>
      </c>
      <c r="I448">
        <f t="shared" si="39"/>
        <v>0</v>
      </c>
      <c r="J448">
        <f t="shared" si="40"/>
        <v>0</v>
      </c>
      <c r="K448">
        <f t="shared" si="41"/>
        <v>0</v>
      </c>
    </row>
    <row r="449" spans="1:11" x14ac:dyDescent="0.4">
      <c r="A449" s="19">
        <v>45853.375</v>
      </c>
      <c r="B449" s="20">
        <f t="shared" si="37"/>
        <v>0.375</v>
      </c>
      <c r="C449">
        <v>0</v>
      </c>
      <c r="D449">
        <v>489.57900000000001</v>
      </c>
      <c r="E449">
        <f t="shared" si="36"/>
        <v>489.42400000000004</v>
      </c>
      <c r="F449">
        <v>489.54500000000002</v>
      </c>
      <c r="G449">
        <f t="shared" si="38"/>
        <v>0</v>
      </c>
      <c r="H449">
        <v>1.82</v>
      </c>
      <c r="I449">
        <f t="shared" si="39"/>
        <v>0</v>
      </c>
      <c r="J449">
        <f t="shared" si="40"/>
        <v>0</v>
      </c>
      <c r="K449">
        <f t="shared" si="41"/>
        <v>0</v>
      </c>
    </row>
    <row r="450" spans="1:11" x14ac:dyDescent="0.4">
      <c r="A450" s="19">
        <v>45853.416666666664</v>
      </c>
      <c r="B450" s="20">
        <f t="shared" si="37"/>
        <v>0.41666666666424135</v>
      </c>
      <c r="C450">
        <v>0</v>
      </c>
      <c r="D450">
        <v>489.57900000000001</v>
      </c>
      <c r="E450">
        <f t="shared" ref="E450:E513" si="42">D450-0.155</f>
        <v>489.42400000000004</v>
      </c>
      <c r="F450">
        <v>489.54500000000002</v>
      </c>
      <c r="G450">
        <f t="shared" si="38"/>
        <v>0</v>
      </c>
      <c r="H450">
        <v>1.82</v>
      </c>
      <c r="I450">
        <f t="shared" si="39"/>
        <v>0</v>
      </c>
      <c r="J450">
        <f t="shared" si="40"/>
        <v>0</v>
      </c>
      <c r="K450">
        <f t="shared" si="41"/>
        <v>0</v>
      </c>
    </row>
    <row r="451" spans="1:11" x14ac:dyDescent="0.4">
      <c r="A451" s="19">
        <v>45853.458333333336</v>
      </c>
      <c r="B451" s="20">
        <f t="shared" ref="B451:B514" si="43">MOD(A451,1)</f>
        <v>0.45833333333575865</v>
      </c>
      <c r="C451">
        <v>0</v>
      </c>
      <c r="D451">
        <v>489.57900000000001</v>
      </c>
      <c r="E451">
        <f t="shared" si="42"/>
        <v>489.42400000000004</v>
      </c>
      <c r="F451">
        <v>489.54500000000002</v>
      </c>
      <c r="G451">
        <f t="shared" ref="G451:G514" si="44">IF(E451 - F451 &lt; 0, 0, E451 - F451)</f>
        <v>0</v>
      </c>
      <c r="H451">
        <v>1.82</v>
      </c>
      <c r="I451">
        <f t="shared" ref="I451:I514" si="45">1.82*30*(G451^1.5)</f>
        <v>0</v>
      </c>
      <c r="J451">
        <f t="shared" ref="J451:J514" si="46">I451*60</f>
        <v>0</v>
      </c>
      <c r="K451">
        <f t="shared" ref="K451:K514" si="47">(I451*86400)/24</f>
        <v>0</v>
      </c>
    </row>
    <row r="452" spans="1:11" x14ac:dyDescent="0.4">
      <c r="A452" s="19">
        <v>45853.5</v>
      </c>
      <c r="B452" s="20">
        <f t="shared" si="43"/>
        <v>0.5</v>
      </c>
      <c r="C452">
        <v>0</v>
      </c>
      <c r="D452">
        <v>489.57900000000001</v>
      </c>
      <c r="E452">
        <f t="shared" si="42"/>
        <v>489.42400000000004</v>
      </c>
      <c r="F452">
        <v>489.54500000000002</v>
      </c>
      <c r="G452">
        <f t="shared" si="44"/>
        <v>0</v>
      </c>
      <c r="H452">
        <v>1.82</v>
      </c>
      <c r="I452">
        <f t="shared" si="45"/>
        <v>0</v>
      </c>
      <c r="J452">
        <f t="shared" si="46"/>
        <v>0</v>
      </c>
      <c r="K452">
        <f t="shared" si="47"/>
        <v>0</v>
      </c>
    </row>
    <row r="453" spans="1:11" x14ac:dyDescent="0.4">
      <c r="A453" s="19">
        <v>45853.541666666664</v>
      </c>
      <c r="B453" s="20">
        <f t="shared" si="43"/>
        <v>0.54166666666424135</v>
      </c>
      <c r="C453">
        <v>0</v>
      </c>
      <c r="D453">
        <v>489.57900000000001</v>
      </c>
      <c r="E453">
        <f t="shared" si="42"/>
        <v>489.42400000000004</v>
      </c>
      <c r="F453">
        <v>489.54500000000002</v>
      </c>
      <c r="G453">
        <f t="shared" si="44"/>
        <v>0</v>
      </c>
      <c r="H453">
        <v>1.82</v>
      </c>
      <c r="I453">
        <f t="shared" si="45"/>
        <v>0</v>
      </c>
      <c r="J453">
        <f t="shared" si="46"/>
        <v>0</v>
      </c>
      <c r="K453">
        <f t="shared" si="47"/>
        <v>0</v>
      </c>
    </row>
    <row r="454" spans="1:11" x14ac:dyDescent="0.4">
      <c r="A454" s="19">
        <v>45853.583333333336</v>
      </c>
      <c r="B454" s="20">
        <f t="shared" si="43"/>
        <v>0.58333333333575865</v>
      </c>
      <c r="C454">
        <v>0</v>
      </c>
      <c r="D454">
        <v>489.57900000000001</v>
      </c>
      <c r="E454">
        <f t="shared" si="42"/>
        <v>489.42400000000004</v>
      </c>
      <c r="F454">
        <v>489.54500000000002</v>
      </c>
      <c r="G454">
        <f t="shared" si="44"/>
        <v>0</v>
      </c>
      <c r="H454">
        <v>1.82</v>
      </c>
      <c r="I454">
        <f t="shared" si="45"/>
        <v>0</v>
      </c>
      <c r="J454">
        <f t="shared" si="46"/>
        <v>0</v>
      </c>
      <c r="K454">
        <f t="shared" si="47"/>
        <v>0</v>
      </c>
    </row>
    <row r="455" spans="1:11" x14ac:dyDescent="0.4">
      <c r="A455" s="19">
        <v>45853.625</v>
      </c>
      <c r="B455" s="20">
        <f t="shared" si="43"/>
        <v>0.625</v>
      </c>
      <c r="C455">
        <v>0</v>
      </c>
      <c r="D455">
        <v>489.57299999999998</v>
      </c>
      <c r="E455">
        <f t="shared" si="42"/>
        <v>489.41800000000001</v>
      </c>
      <c r="F455">
        <v>489.54500000000002</v>
      </c>
      <c r="G455">
        <f t="shared" si="44"/>
        <v>0</v>
      </c>
      <c r="H455">
        <v>1.82</v>
      </c>
      <c r="I455">
        <f t="shared" si="45"/>
        <v>0</v>
      </c>
      <c r="J455">
        <f t="shared" si="46"/>
        <v>0</v>
      </c>
      <c r="K455">
        <f t="shared" si="47"/>
        <v>0</v>
      </c>
    </row>
    <row r="456" spans="1:11" x14ac:dyDescent="0.4">
      <c r="A456" s="19">
        <v>45853.666666666664</v>
      </c>
      <c r="B456" s="20">
        <f t="shared" si="43"/>
        <v>0.66666666666424135</v>
      </c>
      <c r="C456">
        <v>0</v>
      </c>
      <c r="D456">
        <v>489.56599999999997</v>
      </c>
      <c r="E456">
        <f t="shared" si="42"/>
        <v>489.411</v>
      </c>
      <c r="F456">
        <v>489.54500000000002</v>
      </c>
      <c r="G456">
        <f t="shared" si="44"/>
        <v>0</v>
      </c>
      <c r="H456">
        <v>1.82</v>
      </c>
      <c r="I456">
        <f t="shared" si="45"/>
        <v>0</v>
      </c>
      <c r="J456">
        <f t="shared" si="46"/>
        <v>0</v>
      </c>
      <c r="K456">
        <f t="shared" si="47"/>
        <v>0</v>
      </c>
    </row>
    <row r="457" spans="1:11" x14ac:dyDescent="0.4">
      <c r="A457" s="19">
        <v>45853.708333333336</v>
      </c>
      <c r="B457" s="20">
        <f t="shared" si="43"/>
        <v>0.70833333333575865</v>
      </c>
      <c r="C457">
        <v>0.8</v>
      </c>
      <c r="D457">
        <v>489.57900000000001</v>
      </c>
      <c r="E457">
        <f t="shared" si="42"/>
        <v>489.42400000000004</v>
      </c>
      <c r="F457">
        <v>489.54500000000002</v>
      </c>
      <c r="G457">
        <f t="shared" si="44"/>
        <v>0</v>
      </c>
      <c r="H457">
        <v>1.82</v>
      </c>
      <c r="I457">
        <f t="shared" si="45"/>
        <v>0</v>
      </c>
      <c r="J457">
        <f t="shared" si="46"/>
        <v>0</v>
      </c>
      <c r="K457">
        <f t="shared" si="47"/>
        <v>0</v>
      </c>
    </row>
    <row r="458" spans="1:11" x14ac:dyDescent="0.4">
      <c r="A458" s="19">
        <v>45853.75</v>
      </c>
      <c r="B458" s="20">
        <f t="shared" si="43"/>
        <v>0.75</v>
      </c>
      <c r="C458">
        <v>0</v>
      </c>
      <c r="D458">
        <v>489.57299999999998</v>
      </c>
      <c r="E458">
        <f t="shared" si="42"/>
        <v>489.41800000000001</v>
      </c>
      <c r="F458">
        <v>489.54500000000002</v>
      </c>
      <c r="G458">
        <f t="shared" si="44"/>
        <v>0</v>
      </c>
      <c r="H458">
        <v>1.82</v>
      </c>
      <c r="I458">
        <f t="shared" si="45"/>
        <v>0</v>
      </c>
      <c r="J458">
        <f t="shared" si="46"/>
        <v>0</v>
      </c>
      <c r="K458">
        <f t="shared" si="47"/>
        <v>0</v>
      </c>
    </row>
    <row r="459" spans="1:11" x14ac:dyDescent="0.4">
      <c r="A459" s="19">
        <v>45853.791666666664</v>
      </c>
      <c r="B459" s="20">
        <f t="shared" si="43"/>
        <v>0.79166666666424135</v>
      </c>
      <c r="C459">
        <v>0.4</v>
      </c>
      <c r="D459">
        <v>489.57299999999998</v>
      </c>
      <c r="E459">
        <f t="shared" si="42"/>
        <v>489.41800000000001</v>
      </c>
      <c r="F459">
        <v>489.54500000000002</v>
      </c>
      <c r="G459">
        <f t="shared" si="44"/>
        <v>0</v>
      </c>
      <c r="H459">
        <v>1.82</v>
      </c>
      <c r="I459">
        <f t="shared" si="45"/>
        <v>0</v>
      </c>
      <c r="J459">
        <f t="shared" si="46"/>
        <v>0</v>
      </c>
      <c r="K459">
        <f t="shared" si="47"/>
        <v>0</v>
      </c>
    </row>
    <row r="460" spans="1:11" x14ac:dyDescent="0.4">
      <c r="A460" s="19">
        <v>45853.833333333336</v>
      </c>
      <c r="B460" s="20">
        <f t="shared" si="43"/>
        <v>0.83333333333575865</v>
      </c>
      <c r="C460">
        <v>0</v>
      </c>
      <c r="D460">
        <v>489.57299999999998</v>
      </c>
      <c r="E460">
        <f t="shared" si="42"/>
        <v>489.41800000000001</v>
      </c>
      <c r="F460">
        <v>489.54500000000002</v>
      </c>
      <c r="G460">
        <f t="shared" si="44"/>
        <v>0</v>
      </c>
      <c r="H460">
        <v>1.82</v>
      </c>
      <c r="I460">
        <f t="shared" si="45"/>
        <v>0</v>
      </c>
      <c r="J460">
        <f t="shared" si="46"/>
        <v>0</v>
      </c>
      <c r="K460">
        <f t="shared" si="47"/>
        <v>0</v>
      </c>
    </row>
    <row r="461" spans="1:11" x14ac:dyDescent="0.4">
      <c r="A461" s="19">
        <v>45853.875</v>
      </c>
      <c r="B461" s="20">
        <f t="shared" si="43"/>
        <v>0.875</v>
      </c>
      <c r="C461">
        <v>3.6</v>
      </c>
      <c r="D461">
        <v>489.57900000000001</v>
      </c>
      <c r="E461">
        <f t="shared" si="42"/>
        <v>489.42400000000004</v>
      </c>
      <c r="F461">
        <v>489.54500000000002</v>
      </c>
      <c r="G461">
        <f t="shared" si="44"/>
        <v>0</v>
      </c>
      <c r="H461">
        <v>1.82</v>
      </c>
      <c r="I461">
        <f t="shared" si="45"/>
        <v>0</v>
      </c>
      <c r="J461">
        <f t="shared" si="46"/>
        <v>0</v>
      </c>
      <c r="K461">
        <f t="shared" si="47"/>
        <v>0</v>
      </c>
    </row>
    <row r="462" spans="1:11" x14ac:dyDescent="0.4">
      <c r="A462" s="19">
        <v>45853.916666666664</v>
      </c>
      <c r="B462" s="20">
        <f t="shared" si="43"/>
        <v>0.91666666666424135</v>
      </c>
      <c r="C462">
        <v>4</v>
      </c>
      <c r="D462">
        <v>489.61700000000002</v>
      </c>
      <c r="E462">
        <f t="shared" si="42"/>
        <v>489.46200000000005</v>
      </c>
      <c r="F462">
        <v>489.54500000000002</v>
      </c>
      <c r="G462">
        <f t="shared" si="44"/>
        <v>0</v>
      </c>
      <c r="H462">
        <v>1.82</v>
      </c>
      <c r="I462">
        <f t="shared" si="45"/>
        <v>0</v>
      </c>
      <c r="J462">
        <f t="shared" si="46"/>
        <v>0</v>
      </c>
      <c r="K462">
        <f t="shared" si="47"/>
        <v>0</v>
      </c>
    </row>
    <row r="463" spans="1:11" x14ac:dyDescent="0.4">
      <c r="A463" s="19">
        <v>45853.958333333336</v>
      </c>
      <c r="B463" s="20">
        <f t="shared" si="43"/>
        <v>0.95833333333575865</v>
      </c>
      <c r="C463">
        <v>1.2</v>
      </c>
      <c r="D463">
        <v>489.68900000000002</v>
      </c>
      <c r="E463">
        <f t="shared" si="42"/>
        <v>489.53400000000005</v>
      </c>
      <c r="F463">
        <v>489.54500000000002</v>
      </c>
      <c r="G463">
        <f t="shared" si="44"/>
        <v>0</v>
      </c>
      <c r="H463">
        <v>1.82</v>
      </c>
      <c r="I463">
        <f t="shared" si="45"/>
        <v>0</v>
      </c>
      <c r="J463">
        <f t="shared" si="46"/>
        <v>0</v>
      </c>
      <c r="K463">
        <f t="shared" si="47"/>
        <v>0</v>
      </c>
    </row>
    <row r="464" spans="1:11" x14ac:dyDescent="0.4">
      <c r="A464" s="19">
        <v>45854</v>
      </c>
      <c r="B464" s="20">
        <f t="shared" si="43"/>
        <v>0</v>
      </c>
      <c r="C464">
        <v>1.6</v>
      </c>
      <c r="D464">
        <v>489.80399999999997</v>
      </c>
      <c r="E464">
        <f t="shared" si="42"/>
        <v>489.649</v>
      </c>
      <c r="F464">
        <v>489.54500000000002</v>
      </c>
      <c r="G464">
        <f t="shared" si="44"/>
        <v>0.10399999999998499</v>
      </c>
      <c r="H464">
        <v>1.82</v>
      </c>
      <c r="I464">
        <f t="shared" si="45"/>
        <v>1.8312289759171425</v>
      </c>
      <c r="J464">
        <f t="shared" si="46"/>
        <v>109.87373855502855</v>
      </c>
      <c r="K464">
        <f t="shared" si="47"/>
        <v>6592.4243133017126</v>
      </c>
    </row>
    <row r="465" spans="1:11" x14ac:dyDescent="0.4">
      <c r="A465" s="19">
        <v>45854.041666666664</v>
      </c>
      <c r="B465" s="20">
        <f t="shared" si="43"/>
        <v>4.1666666664241347E-2</v>
      </c>
      <c r="C465">
        <v>0.4</v>
      </c>
      <c r="D465">
        <v>489.84199999999998</v>
      </c>
      <c r="E465">
        <f t="shared" si="42"/>
        <v>489.68700000000001</v>
      </c>
      <c r="F465">
        <v>489.54500000000002</v>
      </c>
      <c r="G465">
        <f t="shared" si="44"/>
        <v>0.14199999999999591</v>
      </c>
      <c r="H465">
        <v>1.82</v>
      </c>
      <c r="I465">
        <f t="shared" si="45"/>
        <v>2.9216296230150851</v>
      </c>
      <c r="J465">
        <f t="shared" si="46"/>
        <v>175.2977773809051</v>
      </c>
      <c r="K465">
        <f t="shared" si="47"/>
        <v>10517.866642854306</v>
      </c>
    </row>
    <row r="466" spans="1:11" x14ac:dyDescent="0.4">
      <c r="A466" s="19">
        <v>45854.083333333336</v>
      </c>
      <c r="B466" s="20">
        <f t="shared" si="43"/>
        <v>8.3333333335758653E-2</v>
      </c>
      <c r="C466">
        <v>0.4</v>
      </c>
      <c r="D466">
        <v>489.86200000000002</v>
      </c>
      <c r="E466">
        <f t="shared" si="42"/>
        <v>489.70700000000005</v>
      </c>
      <c r="F466">
        <v>489.54500000000002</v>
      </c>
      <c r="G466">
        <f t="shared" si="44"/>
        <v>0.16200000000003456</v>
      </c>
      <c r="H466">
        <v>1.82</v>
      </c>
      <c r="I466">
        <f t="shared" si="45"/>
        <v>3.560124325425746</v>
      </c>
      <c r="J466">
        <f t="shared" si="46"/>
        <v>213.60745952554475</v>
      </c>
      <c r="K466">
        <f t="shared" si="47"/>
        <v>12816.447571532684</v>
      </c>
    </row>
    <row r="467" spans="1:11" x14ac:dyDescent="0.4">
      <c r="A467" s="19">
        <v>45854.125</v>
      </c>
      <c r="B467" s="20">
        <f t="shared" si="43"/>
        <v>0.125</v>
      </c>
      <c r="C467">
        <v>0</v>
      </c>
      <c r="D467">
        <v>489.86900000000003</v>
      </c>
      <c r="E467">
        <f t="shared" si="42"/>
        <v>489.71400000000006</v>
      </c>
      <c r="F467">
        <v>489.54500000000002</v>
      </c>
      <c r="G467">
        <f t="shared" si="44"/>
        <v>0.16900000000003956</v>
      </c>
      <c r="H467">
        <v>1.82</v>
      </c>
      <c r="I467">
        <f t="shared" si="45"/>
        <v>3.7933481145882335</v>
      </c>
      <c r="J467">
        <f t="shared" si="46"/>
        <v>227.60088687529401</v>
      </c>
      <c r="K467">
        <f t="shared" si="47"/>
        <v>13656.05321251764</v>
      </c>
    </row>
    <row r="468" spans="1:11" x14ac:dyDescent="0.4">
      <c r="A468" s="19">
        <v>45854.166666666664</v>
      </c>
      <c r="B468" s="20">
        <f t="shared" si="43"/>
        <v>0.16666666666424135</v>
      </c>
      <c r="C468">
        <v>0</v>
      </c>
      <c r="D468">
        <v>489.86900000000003</v>
      </c>
      <c r="E468">
        <f t="shared" si="42"/>
        <v>489.71400000000006</v>
      </c>
      <c r="F468">
        <v>489.54500000000002</v>
      </c>
      <c r="G468">
        <f t="shared" si="44"/>
        <v>0.16900000000003956</v>
      </c>
      <c r="H468">
        <v>1.82</v>
      </c>
      <c r="I468">
        <f t="shared" si="45"/>
        <v>3.7933481145882335</v>
      </c>
      <c r="J468">
        <f t="shared" si="46"/>
        <v>227.60088687529401</v>
      </c>
      <c r="K468">
        <f t="shared" si="47"/>
        <v>13656.05321251764</v>
      </c>
    </row>
    <row r="469" spans="1:11" x14ac:dyDescent="0.4">
      <c r="A469" s="19">
        <v>45854.208333333336</v>
      </c>
      <c r="B469" s="20">
        <f t="shared" si="43"/>
        <v>0.20833333333575865</v>
      </c>
      <c r="C469">
        <v>0</v>
      </c>
      <c r="D469">
        <v>489.86900000000003</v>
      </c>
      <c r="E469">
        <f t="shared" si="42"/>
        <v>489.71400000000006</v>
      </c>
      <c r="F469">
        <v>489.54500000000002</v>
      </c>
      <c r="G469">
        <f t="shared" si="44"/>
        <v>0.16900000000003956</v>
      </c>
      <c r="H469">
        <v>1.82</v>
      </c>
      <c r="I469">
        <f t="shared" si="45"/>
        <v>3.7933481145882335</v>
      </c>
      <c r="J469">
        <f t="shared" si="46"/>
        <v>227.60088687529401</v>
      </c>
      <c r="K469">
        <f t="shared" si="47"/>
        <v>13656.05321251764</v>
      </c>
    </row>
    <row r="470" spans="1:11" x14ac:dyDescent="0.4">
      <c r="A470" s="19">
        <v>45854.25</v>
      </c>
      <c r="B470" s="20">
        <f t="shared" si="43"/>
        <v>0.25</v>
      </c>
      <c r="C470">
        <v>0</v>
      </c>
      <c r="D470">
        <v>489.86900000000003</v>
      </c>
      <c r="E470">
        <f t="shared" si="42"/>
        <v>489.71400000000006</v>
      </c>
      <c r="F470">
        <v>489.54500000000002</v>
      </c>
      <c r="G470">
        <f t="shared" si="44"/>
        <v>0.16900000000003956</v>
      </c>
      <c r="H470">
        <v>1.82</v>
      </c>
      <c r="I470">
        <f t="shared" si="45"/>
        <v>3.7933481145882335</v>
      </c>
      <c r="J470">
        <f t="shared" si="46"/>
        <v>227.60088687529401</v>
      </c>
      <c r="K470">
        <f t="shared" si="47"/>
        <v>13656.05321251764</v>
      </c>
    </row>
    <row r="471" spans="1:11" x14ac:dyDescent="0.4">
      <c r="A471" s="19">
        <v>45854.291666666664</v>
      </c>
      <c r="B471" s="20">
        <f t="shared" si="43"/>
        <v>0.29166666666424135</v>
      </c>
      <c r="C471">
        <v>0</v>
      </c>
      <c r="D471">
        <v>489.86200000000002</v>
      </c>
      <c r="E471">
        <f t="shared" si="42"/>
        <v>489.70700000000005</v>
      </c>
      <c r="F471">
        <v>489.54500000000002</v>
      </c>
      <c r="G471">
        <f t="shared" si="44"/>
        <v>0.16200000000003456</v>
      </c>
      <c r="H471">
        <v>1.82</v>
      </c>
      <c r="I471">
        <f t="shared" si="45"/>
        <v>3.560124325425746</v>
      </c>
      <c r="J471">
        <f t="shared" si="46"/>
        <v>213.60745952554475</v>
      </c>
      <c r="K471">
        <f t="shared" si="47"/>
        <v>12816.447571532684</v>
      </c>
    </row>
    <row r="472" spans="1:11" x14ac:dyDescent="0.4">
      <c r="A472" s="19">
        <v>45854.333333333336</v>
      </c>
      <c r="B472" s="20">
        <f t="shared" si="43"/>
        <v>0.33333333333575865</v>
      </c>
      <c r="C472">
        <v>0</v>
      </c>
      <c r="D472">
        <v>489.85500000000002</v>
      </c>
      <c r="E472">
        <f t="shared" si="42"/>
        <v>489.70000000000005</v>
      </c>
      <c r="F472">
        <v>489.54500000000002</v>
      </c>
      <c r="G472">
        <f t="shared" si="44"/>
        <v>0.15500000000002956</v>
      </c>
      <c r="H472">
        <v>1.82</v>
      </c>
      <c r="I472">
        <f t="shared" si="45"/>
        <v>3.3318864318890511</v>
      </c>
      <c r="J472">
        <f t="shared" si="46"/>
        <v>199.91318591334306</v>
      </c>
      <c r="K472">
        <f t="shared" si="47"/>
        <v>11994.791154800585</v>
      </c>
    </row>
    <row r="473" spans="1:11" x14ac:dyDescent="0.4">
      <c r="A473" s="19">
        <v>45854.375</v>
      </c>
      <c r="B473" s="20">
        <f t="shared" si="43"/>
        <v>0.375</v>
      </c>
      <c r="C473">
        <v>0.6</v>
      </c>
      <c r="D473">
        <v>489.85500000000002</v>
      </c>
      <c r="E473">
        <f t="shared" si="42"/>
        <v>489.70000000000005</v>
      </c>
      <c r="F473">
        <v>489.54500000000002</v>
      </c>
      <c r="G473">
        <f t="shared" si="44"/>
        <v>0.15500000000002956</v>
      </c>
      <c r="H473">
        <v>1.82</v>
      </c>
      <c r="I473">
        <f t="shared" si="45"/>
        <v>3.3318864318890511</v>
      </c>
      <c r="J473">
        <f t="shared" si="46"/>
        <v>199.91318591334306</v>
      </c>
      <c r="K473">
        <f t="shared" si="47"/>
        <v>11994.791154800585</v>
      </c>
    </row>
    <row r="474" spans="1:11" x14ac:dyDescent="0.4">
      <c r="A474" s="19">
        <v>45854.416666666664</v>
      </c>
      <c r="B474" s="20">
        <f t="shared" si="43"/>
        <v>0.41666666666424135</v>
      </c>
      <c r="C474">
        <v>0.4</v>
      </c>
      <c r="D474">
        <v>489.85199999999998</v>
      </c>
      <c r="E474">
        <f t="shared" si="42"/>
        <v>489.697</v>
      </c>
      <c r="F474">
        <v>489.54500000000002</v>
      </c>
      <c r="G474">
        <f t="shared" si="44"/>
        <v>0.15199999999998681</v>
      </c>
      <c r="H474">
        <v>1.82</v>
      </c>
      <c r="I474">
        <f t="shared" si="45"/>
        <v>3.2356238250571212</v>
      </c>
      <c r="J474">
        <f t="shared" si="46"/>
        <v>194.13742950342728</v>
      </c>
      <c r="K474">
        <f t="shared" si="47"/>
        <v>11648.245770205636</v>
      </c>
    </row>
    <row r="475" spans="1:11" x14ac:dyDescent="0.4">
      <c r="A475" s="19">
        <v>45854.458333333336</v>
      </c>
      <c r="B475" s="20">
        <f t="shared" si="43"/>
        <v>0.45833333333575865</v>
      </c>
      <c r="C475">
        <v>0</v>
      </c>
      <c r="D475">
        <v>489.84800000000001</v>
      </c>
      <c r="E475">
        <f t="shared" si="42"/>
        <v>489.69300000000004</v>
      </c>
      <c r="F475">
        <v>489.54500000000002</v>
      </c>
      <c r="G475">
        <f t="shared" si="44"/>
        <v>0.14800000000002456</v>
      </c>
      <c r="H475">
        <v>1.82</v>
      </c>
      <c r="I475">
        <f t="shared" si="45"/>
        <v>3.1087458305118498</v>
      </c>
      <c r="J475">
        <f t="shared" si="46"/>
        <v>186.52474983071099</v>
      </c>
      <c r="K475">
        <f t="shared" si="47"/>
        <v>11191.48498984266</v>
      </c>
    </row>
    <row r="476" spans="1:11" x14ac:dyDescent="0.4">
      <c r="A476" s="19">
        <v>45854.5</v>
      </c>
      <c r="B476" s="20">
        <f t="shared" si="43"/>
        <v>0.5</v>
      </c>
      <c r="C476">
        <v>0</v>
      </c>
      <c r="D476">
        <v>489.84199999999998</v>
      </c>
      <c r="E476">
        <f t="shared" si="42"/>
        <v>489.68700000000001</v>
      </c>
      <c r="F476">
        <v>489.54500000000002</v>
      </c>
      <c r="G476">
        <f t="shared" si="44"/>
        <v>0.14199999999999591</v>
      </c>
      <c r="H476">
        <v>1.82</v>
      </c>
      <c r="I476">
        <f t="shared" si="45"/>
        <v>2.9216296230150851</v>
      </c>
      <c r="J476">
        <f t="shared" si="46"/>
        <v>175.2977773809051</v>
      </c>
      <c r="K476">
        <f t="shared" si="47"/>
        <v>10517.866642854306</v>
      </c>
    </row>
    <row r="477" spans="1:11" x14ac:dyDescent="0.4">
      <c r="A477" s="19">
        <v>45854.541666666664</v>
      </c>
      <c r="B477" s="20">
        <f t="shared" si="43"/>
        <v>0.54166666666424135</v>
      </c>
      <c r="C477">
        <v>0</v>
      </c>
      <c r="D477">
        <v>489.83499999999998</v>
      </c>
      <c r="E477">
        <f t="shared" si="42"/>
        <v>489.68</v>
      </c>
      <c r="F477">
        <v>489.54500000000002</v>
      </c>
      <c r="G477">
        <f t="shared" si="44"/>
        <v>0.13499999999999091</v>
      </c>
      <c r="H477">
        <v>1.82</v>
      </c>
      <c r="I477">
        <f t="shared" si="45"/>
        <v>2.7082783341079475</v>
      </c>
      <c r="J477">
        <f t="shared" si="46"/>
        <v>162.49670004647686</v>
      </c>
      <c r="K477">
        <f t="shared" si="47"/>
        <v>9749.8020027886105</v>
      </c>
    </row>
    <row r="478" spans="1:11" x14ac:dyDescent="0.4">
      <c r="A478" s="19">
        <v>45854.583333333336</v>
      </c>
      <c r="B478" s="20">
        <f t="shared" si="43"/>
        <v>0.58333333333575865</v>
      </c>
      <c r="C478">
        <v>0</v>
      </c>
      <c r="D478">
        <v>489.83499999999998</v>
      </c>
      <c r="E478">
        <f t="shared" si="42"/>
        <v>489.68</v>
      </c>
      <c r="F478">
        <v>489.54500000000002</v>
      </c>
      <c r="G478">
        <f t="shared" si="44"/>
        <v>0.13499999999999091</v>
      </c>
      <c r="H478">
        <v>1.82</v>
      </c>
      <c r="I478">
        <f t="shared" si="45"/>
        <v>2.7082783341079475</v>
      </c>
      <c r="J478">
        <f t="shared" si="46"/>
        <v>162.49670004647686</v>
      </c>
      <c r="K478">
        <f t="shared" si="47"/>
        <v>9749.8020027886105</v>
      </c>
    </row>
    <row r="479" spans="1:11" x14ac:dyDescent="0.4">
      <c r="A479" s="19">
        <v>45854.625</v>
      </c>
      <c r="B479" s="20">
        <f t="shared" si="43"/>
        <v>0.625</v>
      </c>
      <c r="C479">
        <v>0</v>
      </c>
      <c r="D479">
        <v>489.82900000000001</v>
      </c>
      <c r="E479">
        <f t="shared" si="42"/>
        <v>489.67400000000004</v>
      </c>
      <c r="F479">
        <v>489.54500000000002</v>
      </c>
      <c r="G479">
        <f t="shared" si="44"/>
        <v>0.1290000000000191</v>
      </c>
      <c r="H479">
        <v>1.82</v>
      </c>
      <c r="I479">
        <f t="shared" si="45"/>
        <v>2.5297476908266638</v>
      </c>
      <c r="J479">
        <f t="shared" si="46"/>
        <v>151.78486144959982</v>
      </c>
      <c r="K479">
        <f t="shared" si="47"/>
        <v>9107.0916869759894</v>
      </c>
    </row>
    <row r="480" spans="1:11" x14ac:dyDescent="0.4">
      <c r="A480" s="19">
        <v>45854.666666666664</v>
      </c>
      <c r="B480" s="20">
        <f t="shared" si="43"/>
        <v>0.66666666666424135</v>
      </c>
      <c r="C480">
        <v>0</v>
      </c>
      <c r="D480">
        <v>489.82900000000001</v>
      </c>
      <c r="E480">
        <f t="shared" si="42"/>
        <v>489.67400000000004</v>
      </c>
      <c r="F480">
        <v>489.54500000000002</v>
      </c>
      <c r="G480">
        <f t="shared" si="44"/>
        <v>0.1290000000000191</v>
      </c>
      <c r="H480">
        <v>1.82</v>
      </c>
      <c r="I480">
        <f t="shared" si="45"/>
        <v>2.5297476908266638</v>
      </c>
      <c r="J480">
        <f t="shared" si="46"/>
        <v>151.78486144959982</v>
      </c>
      <c r="K480">
        <f t="shared" si="47"/>
        <v>9107.0916869759894</v>
      </c>
    </row>
    <row r="481" spans="1:11" x14ac:dyDescent="0.4">
      <c r="A481" s="19">
        <v>45854.708333333336</v>
      </c>
      <c r="B481" s="20">
        <f t="shared" si="43"/>
        <v>0.70833333333575865</v>
      </c>
      <c r="C481">
        <v>0</v>
      </c>
      <c r="D481">
        <v>489.822</v>
      </c>
      <c r="E481">
        <f t="shared" si="42"/>
        <v>489.66700000000003</v>
      </c>
      <c r="F481">
        <v>489.54500000000002</v>
      </c>
      <c r="G481">
        <f t="shared" si="44"/>
        <v>0.1220000000000141</v>
      </c>
      <c r="H481">
        <v>1.82</v>
      </c>
      <c r="I481">
        <f t="shared" si="45"/>
        <v>2.3266571349646425</v>
      </c>
      <c r="J481">
        <f t="shared" si="46"/>
        <v>139.59942809787856</v>
      </c>
      <c r="K481">
        <f t="shared" si="47"/>
        <v>8375.9656858727121</v>
      </c>
    </row>
    <row r="482" spans="1:11" x14ac:dyDescent="0.4">
      <c r="A482" s="19">
        <v>45854.75</v>
      </c>
      <c r="B482" s="20">
        <f t="shared" si="43"/>
        <v>0.75</v>
      </c>
      <c r="C482">
        <v>0</v>
      </c>
      <c r="D482">
        <v>489.81599999999997</v>
      </c>
      <c r="E482">
        <f t="shared" si="42"/>
        <v>489.661</v>
      </c>
      <c r="F482">
        <v>489.54500000000002</v>
      </c>
      <c r="G482">
        <f t="shared" si="44"/>
        <v>0.11599999999998545</v>
      </c>
      <c r="H482">
        <v>1.82</v>
      </c>
      <c r="I482">
        <f t="shared" si="45"/>
        <v>2.1571464297442224</v>
      </c>
      <c r="J482">
        <f t="shared" si="46"/>
        <v>129.42878578465334</v>
      </c>
      <c r="K482">
        <f t="shared" si="47"/>
        <v>7765.7271470792002</v>
      </c>
    </row>
    <row r="483" spans="1:11" x14ac:dyDescent="0.4">
      <c r="A483" s="19">
        <v>45854.791666666664</v>
      </c>
      <c r="B483" s="20">
        <f t="shared" si="43"/>
        <v>0.79166666666424135</v>
      </c>
      <c r="C483">
        <v>0</v>
      </c>
      <c r="D483">
        <v>489.81</v>
      </c>
      <c r="E483">
        <f t="shared" si="42"/>
        <v>489.65500000000003</v>
      </c>
      <c r="F483">
        <v>489.54500000000002</v>
      </c>
      <c r="G483">
        <f t="shared" si="44"/>
        <v>0.11000000000001364</v>
      </c>
      <c r="H483">
        <v>1.82</v>
      </c>
      <c r="I483">
        <f t="shared" si="45"/>
        <v>1.9919648490878239</v>
      </c>
      <c r="J483">
        <f t="shared" si="46"/>
        <v>119.51789094526943</v>
      </c>
      <c r="K483">
        <f t="shared" si="47"/>
        <v>7171.0734567161662</v>
      </c>
    </row>
    <row r="484" spans="1:11" x14ac:dyDescent="0.4">
      <c r="A484" s="19">
        <v>45854.833333333336</v>
      </c>
      <c r="B484" s="20">
        <f t="shared" si="43"/>
        <v>0.83333333333575865</v>
      </c>
      <c r="C484">
        <v>0</v>
      </c>
      <c r="D484">
        <v>489.81</v>
      </c>
      <c r="E484">
        <f t="shared" si="42"/>
        <v>489.65500000000003</v>
      </c>
      <c r="F484">
        <v>489.54500000000002</v>
      </c>
      <c r="G484">
        <f t="shared" si="44"/>
        <v>0.11000000000001364</v>
      </c>
      <c r="H484">
        <v>1.82</v>
      </c>
      <c r="I484">
        <f t="shared" si="45"/>
        <v>1.9919648490878239</v>
      </c>
      <c r="J484">
        <f t="shared" si="46"/>
        <v>119.51789094526943</v>
      </c>
      <c r="K484">
        <f t="shared" si="47"/>
        <v>7171.0734567161662</v>
      </c>
    </row>
    <row r="485" spans="1:11" x14ac:dyDescent="0.4">
      <c r="A485" s="19">
        <v>45854.875</v>
      </c>
      <c r="B485" s="20">
        <f t="shared" si="43"/>
        <v>0.875</v>
      </c>
      <c r="C485">
        <v>0</v>
      </c>
      <c r="D485">
        <v>489.803</v>
      </c>
      <c r="E485">
        <f t="shared" si="42"/>
        <v>489.64800000000002</v>
      </c>
      <c r="F485">
        <v>489.54500000000002</v>
      </c>
      <c r="G485">
        <f t="shared" si="44"/>
        <v>0.10300000000000864</v>
      </c>
      <c r="H485">
        <v>1.82</v>
      </c>
      <c r="I485">
        <f t="shared" si="45"/>
        <v>1.8048806119300023</v>
      </c>
      <c r="J485">
        <f t="shared" si="46"/>
        <v>108.29283671580014</v>
      </c>
      <c r="K485">
        <f t="shared" si="47"/>
        <v>6497.570202948008</v>
      </c>
    </row>
    <row r="486" spans="1:11" x14ac:dyDescent="0.4">
      <c r="A486" s="19">
        <v>45854.916666666664</v>
      </c>
      <c r="B486" s="20">
        <f t="shared" si="43"/>
        <v>0.91666666666424135</v>
      </c>
      <c r="C486">
        <v>0</v>
      </c>
      <c r="D486">
        <v>489.798</v>
      </c>
      <c r="E486">
        <f t="shared" si="42"/>
        <v>489.64300000000003</v>
      </c>
      <c r="F486">
        <v>489.54500000000002</v>
      </c>
      <c r="G486">
        <f t="shared" si="44"/>
        <v>9.8000000000013188E-2</v>
      </c>
      <c r="H486">
        <v>1.82</v>
      </c>
      <c r="I486">
        <f t="shared" si="45"/>
        <v>1.6750653547611611</v>
      </c>
      <c r="J486">
        <f t="shared" si="46"/>
        <v>100.50392128566966</v>
      </c>
      <c r="K486">
        <f t="shared" si="47"/>
        <v>6030.2352771401793</v>
      </c>
    </row>
    <row r="487" spans="1:11" x14ac:dyDescent="0.4">
      <c r="A487" s="19">
        <v>45854.958333333336</v>
      </c>
      <c r="B487" s="20">
        <f t="shared" si="43"/>
        <v>0.95833333333575865</v>
      </c>
      <c r="C487">
        <v>0.4</v>
      </c>
      <c r="D487">
        <v>489.798</v>
      </c>
      <c r="E487">
        <f t="shared" si="42"/>
        <v>489.64300000000003</v>
      </c>
      <c r="F487">
        <v>489.54500000000002</v>
      </c>
      <c r="G487">
        <f t="shared" si="44"/>
        <v>9.8000000000013188E-2</v>
      </c>
      <c r="H487">
        <v>1.82</v>
      </c>
      <c r="I487">
        <f t="shared" si="45"/>
        <v>1.6750653547611611</v>
      </c>
      <c r="J487">
        <f t="shared" si="46"/>
        <v>100.50392128566966</v>
      </c>
      <c r="K487">
        <f t="shared" si="47"/>
        <v>6030.2352771401793</v>
      </c>
    </row>
    <row r="488" spans="1:11" x14ac:dyDescent="0.4">
      <c r="A488" s="19">
        <v>45855</v>
      </c>
      <c r="B488" s="20">
        <f t="shared" si="43"/>
        <v>0</v>
      </c>
      <c r="C488">
        <v>0</v>
      </c>
      <c r="D488">
        <v>489.79199999999997</v>
      </c>
      <c r="E488">
        <f t="shared" si="42"/>
        <v>489.637</v>
      </c>
      <c r="F488">
        <v>489.54500000000002</v>
      </c>
      <c r="G488">
        <f t="shared" si="44"/>
        <v>9.1999999999984539E-2</v>
      </c>
      <c r="H488">
        <v>1.82</v>
      </c>
      <c r="I488">
        <f t="shared" si="45"/>
        <v>1.5236119972220066</v>
      </c>
      <c r="J488">
        <f t="shared" si="46"/>
        <v>91.4167198333204</v>
      </c>
      <c r="K488">
        <f t="shared" si="47"/>
        <v>5485.0031899992237</v>
      </c>
    </row>
    <row r="489" spans="1:11" x14ac:dyDescent="0.4">
      <c r="A489" s="19">
        <v>45855.041666666664</v>
      </c>
      <c r="B489" s="20">
        <f t="shared" si="43"/>
        <v>4.1666666664241347E-2</v>
      </c>
      <c r="C489">
        <v>0</v>
      </c>
      <c r="D489">
        <v>489.79199999999997</v>
      </c>
      <c r="E489">
        <f t="shared" si="42"/>
        <v>489.637</v>
      </c>
      <c r="F489">
        <v>489.54500000000002</v>
      </c>
      <c r="G489">
        <f t="shared" si="44"/>
        <v>9.1999999999984539E-2</v>
      </c>
      <c r="H489">
        <v>1.82</v>
      </c>
      <c r="I489">
        <f t="shared" si="45"/>
        <v>1.5236119972220066</v>
      </c>
      <c r="J489">
        <f t="shared" si="46"/>
        <v>91.4167198333204</v>
      </c>
      <c r="K489">
        <f t="shared" si="47"/>
        <v>5485.0031899992237</v>
      </c>
    </row>
    <row r="490" spans="1:11" x14ac:dyDescent="0.4">
      <c r="A490" s="19">
        <v>45855.083333333336</v>
      </c>
      <c r="B490" s="20">
        <f t="shared" si="43"/>
        <v>8.3333333335758653E-2</v>
      </c>
      <c r="C490">
        <v>0</v>
      </c>
      <c r="D490">
        <v>489.78500000000003</v>
      </c>
      <c r="E490">
        <f t="shared" si="42"/>
        <v>489.63000000000005</v>
      </c>
      <c r="F490">
        <v>489.54500000000002</v>
      </c>
      <c r="G490">
        <f t="shared" si="44"/>
        <v>8.500000000003638E-2</v>
      </c>
      <c r="H490">
        <v>1.82</v>
      </c>
      <c r="I490">
        <f t="shared" si="45"/>
        <v>1.3530723871997206</v>
      </c>
      <c r="J490">
        <f t="shared" si="46"/>
        <v>81.184343231983235</v>
      </c>
      <c r="K490">
        <f t="shared" si="47"/>
        <v>4871.0605939189945</v>
      </c>
    </row>
    <row r="491" spans="1:11" x14ac:dyDescent="0.4">
      <c r="A491" s="19">
        <v>45855.125</v>
      </c>
      <c r="B491" s="20">
        <f t="shared" si="43"/>
        <v>0.125</v>
      </c>
      <c r="C491">
        <v>0</v>
      </c>
      <c r="D491">
        <v>489.77800000000002</v>
      </c>
      <c r="E491">
        <f t="shared" si="42"/>
        <v>489.62300000000005</v>
      </c>
      <c r="F491">
        <v>489.54500000000002</v>
      </c>
      <c r="G491">
        <f t="shared" si="44"/>
        <v>7.8000000000031378E-2</v>
      </c>
      <c r="H491">
        <v>1.82</v>
      </c>
      <c r="I491">
        <f t="shared" si="45"/>
        <v>1.1894181099687804</v>
      </c>
      <c r="J491">
        <f t="shared" si="46"/>
        <v>71.365086598126823</v>
      </c>
      <c r="K491">
        <f t="shared" si="47"/>
        <v>4281.9051958876089</v>
      </c>
    </row>
    <row r="492" spans="1:11" x14ac:dyDescent="0.4">
      <c r="A492" s="19">
        <v>45855.166666666664</v>
      </c>
      <c r="B492" s="20">
        <f t="shared" si="43"/>
        <v>0.16666666666424135</v>
      </c>
      <c r="C492">
        <v>0</v>
      </c>
      <c r="D492">
        <v>489.77199999999999</v>
      </c>
      <c r="E492">
        <f t="shared" si="42"/>
        <v>489.61700000000002</v>
      </c>
      <c r="F492">
        <v>489.54500000000002</v>
      </c>
      <c r="G492">
        <f t="shared" si="44"/>
        <v>7.2000000000002728E-2</v>
      </c>
      <c r="H492">
        <v>1.82</v>
      </c>
      <c r="I492">
        <f t="shared" si="45"/>
        <v>1.0548516519777207</v>
      </c>
      <c r="J492">
        <f t="shared" si="46"/>
        <v>63.29109911866324</v>
      </c>
      <c r="K492">
        <f t="shared" si="47"/>
        <v>3797.4659471197942</v>
      </c>
    </row>
    <row r="493" spans="1:11" x14ac:dyDescent="0.4">
      <c r="A493" s="19">
        <v>45855.208333333336</v>
      </c>
      <c r="B493" s="20">
        <f t="shared" si="43"/>
        <v>0.20833333333575865</v>
      </c>
      <c r="C493">
        <v>0</v>
      </c>
      <c r="D493">
        <v>489.77199999999999</v>
      </c>
      <c r="E493">
        <f t="shared" si="42"/>
        <v>489.61700000000002</v>
      </c>
      <c r="F493">
        <v>489.54500000000002</v>
      </c>
      <c r="G493">
        <f t="shared" si="44"/>
        <v>7.2000000000002728E-2</v>
      </c>
      <c r="H493">
        <v>1.82</v>
      </c>
      <c r="I493">
        <f t="shared" si="45"/>
        <v>1.0548516519777207</v>
      </c>
      <c r="J493">
        <f t="shared" si="46"/>
        <v>63.29109911866324</v>
      </c>
      <c r="K493">
        <f t="shared" si="47"/>
        <v>3797.4659471197942</v>
      </c>
    </row>
    <row r="494" spans="1:11" x14ac:dyDescent="0.4">
      <c r="A494" s="19">
        <v>45855.25</v>
      </c>
      <c r="B494" s="20">
        <f t="shared" si="43"/>
        <v>0.25</v>
      </c>
      <c r="C494">
        <v>0</v>
      </c>
      <c r="D494">
        <v>489.77199999999999</v>
      </c>
      <c r="E494">
        <f t="shared" si="42"/>
        <v>489.61700000000002</v>
      </c>
      <c r="F494">
        <v>489.54500000000002</v>
      </c>
      <c r="G494">
        <f t="shared" si="44"/>
        <v>7.2000000000002728E-2</v>
      </c>
      <c r="H494">
        <v>1.82</v>
      </c>
      <c r="I494">
        <f t="shared" si="45"/>
        <v>1.0548516519777207</v>
      </c>
      <c r="J494">
        <f t="shared" si="46"/>
        <v>63.29109911866324</v>
      </c>
      <c r="K494">
        <f t="shared" si="47"/>
        <v>3797.4659471197942</v>
      </c>
    </row>
    <row r="495" spans="1:11" x14ac:dyDescent="0.4">
      <c r="A495" s="19">
        <v>45855.291666666664</v>
      </c>
      <c r="B495" s="20">
        <f t="shared" si="43"/>
        <v>0.29166666666424135</v>
      </c>
      <c r="C495">
        <v>1</v>
      </c>
      <c r="D495">
        <v>489.76600000000002</v>
      </c>
      <c r="E495">
        <f t="shared" si="42"/>
        <v>489.61100000000005</v>
      </c>
      <c r="F495">
        <v>489.54500000000002</v>
      </c>
      <c r="G495">
        <f t="shared" si="44"/>
        <v>6.6000000000030923E-2</v>
      </c>
      <c r="H495">
        <v>1.82</v>
      </c>
      <c r="I495">
        <f t="shared" si="45"/>
        <v>0.92578160241020346</v>
      </c>
      <c r="J495">
        <f t="shared" si="46"/>
        <v>55.546896144612205</v>
      </c>
      <c r="K495">
        <f t="shared" si="47"/>
        <v>3332.8137686767327</v>
      </c>
    </row>
    <row r="496" spans="1:11" x14ac:dyDescent="0.4">
      <c r="A496" s="19">
        <v>45855.333333333336</v>
      </c>
      <c r="B496" s="20">
        <f t="shared" si="43"/>
        <v>0.33333333333575865</v>
      </c>
      <c r="C496">
        <v>0.2</v>
      </c>
      <c r="D496">
        <v>489.76600000000002</v>
      </c>
      <c r="E496">
        <f t="shared" si="42"/>
        <v>489.61100000000005</v>
      </c>
      <c r="F496">
        <v>489.54500000000002</v>
      </c>
      <c r="G496">
        <f t="shared" si="44"/>
        <v>6.6000000000030923E-2</v>
      </c>
      <c r="H496">
        <v>1.82</v>
      </c>
      <c r="I496">
        <f t="shared" si="45"/>
        <v>0.92578160241020346</v>
      </c>
      <c r="J496">
        <f t="shared" si="46"/>
        <v>55.546896144612205</v>
      </c>
      <c r="K496">
        <f t="shared" si="47"/>
        <v>3332.8137686767327</v>
      </c>
    </row>
    <row r="497" spans="1:11" x14ac:dyDescent="0.4">
      <c r="A497" s="19">
        <v>45855.375</v>
      </c>
      <c r="B497" s="20">
        <f t="shared" si="43"/>
        <v>0.375</v>
      </c>
      <c r="C497">
        <v>0.2</v>
      </c>
      <c r="D497">
        <v>489.76600000000002</v>
      </c>
      <c r="E497">
        <f t="shared" si="42"/>
        <v>489.61100000000005</v>
      </c>
      <c r="F497">
        <v>489.54500000000002</v>
      </c>
      <c r="G497">
        <f t="shared" si="44"/>
        <v>6.6000000000030923E-2</v>
      </c>
      <c r="H497">
        <v>1.82</v>
      </c>
      <c r="I497">
        <f t="shared" si="45"/>
        <v>0.92578160241020346</v>
      </c>
      <c r="J497">
        <f t="shared" si="46"/>
        <v>55.546896144612205</v>
      </c>
      <c r="K497">
        <f t="shared" si="47"/>
        <v>3332.8137686767327</v>
      </c>
    </row>
    <row r="498" spans="1:11" x14ac:dyDescent="0.4">
      <c r="A498" s="19">
        <v>45855.416666666664</v>
      </c>
      <c r="B498" s="20">
        <f t="shared" si="43"/>
        <v>0.41666666666424135</v>
      </c>
      <c r="C498">
        <v>0.2</v>
      </c>
      <c r="D498">
        <v>489.76600000000002</v>
      </c>
      <c r="E498">
        <f t="shared" si="42"/>
        <v>489.61100000000005</v>
      </c>
      <c r="F498">
        <v>489.54500000000002</v>
      </c>
      <c r="G498">
        <f t="shared" si="44"/>
        <v>6.6000000000030923E-2</v>
      </c>
      <c r="H498">
        <v>1.82</v>
      </c>
      <c r="I498">
        <f t="shared" si="45"/>
        <v>0.92578160241020346</v>
      </c>
      <c r="J498">
        <f t="shared" si="46"/>
        <v>55.546896144612205</v>
      </c>
      <c r="K498">
        <f t="shared" si="47"/>
        <v>3332.8137686767327</v>
      </c>
    </row>
    <row r="499" spans="1:11" x14ac:dyDescent="0.4">
      <c r="A499" s="19">
        <v>45855.458333333336</v>
      </c>
      <c r="B499" s="20">
        <f t="shared" si="43"/>
        <v>0.45833333333575865</v>
      </c>
      <c r="C499">
        <v>0</v>
      </c>
      <c r="D499">
        <v>489.75900000000001</v>
      </c>
      <c r="E499">
        <f t="shared" si="42"/>
        <v>489.60400000000004</v>
      </c>
      <c r="F499">
        <v>489.54500000000002</v>
      </c>
      <c r="G499">
        <f t="shared" si="44"/>
        <v>5.9000000000025921E-2</v>
      </c>
      <c r="H499">
        <v>1.82</v>
      </c>
      <c r="I499">
        <f t="shared" si="45"/>
        <v>0.78247534123498508</v>
      </c>
      <c r="J499">
        <f t="shared" si="46"/>
        <v>46.948520474099105</v>
      </c>
      <c r="K499">
        <f t="shared" si="47"/>
        <v>2816.9112284459461</v>
      </c>
    </row>
    <row r="500" spans="1:11" x14ac:dyDescent="0.4">
      <c r="A500" s="19">
        <v>45855.5</v>
      </c>
      <c r="B500" s="20">
        <f t="shared" si="43"/>
        <v>0.5</v>
      </c>
      <c r="C500">
        <v>0</v>
      </c>
      <c r="D500">
        <v>489.75200000000001</v>
      </c>
      <c r="E500">
        <f t="shared" si="42"/>
        <v>489.59700000000004</v>
      </c>
      <c r="F500">
        <v>489.54500000000002</v>
      </c>
      <c r="G500">
        <f t="shared" si="44"/>
        <v>5.2000000000020918E-2</v>
      </c>
      <c r="H500">
        <v>1.82</v>
      </c>
      <c r="I500">
        <f t="shared" si="45"/>
        <v>0.64743721338868554</v>
      </c>
      <c r="J500">
        <f t="shared" si="46"/>
        <v>38.846232803321129</v>
      </c>
      <c r="K500">
        <f t="shared" si="47"/>
        <v>2330.773968199268</v>
      </c>
    </row>
    <row r="501" spans="1:11" x14ac:dyDescent="0.4">
      <c r="A501" s="19">
        <v>45855.541666666664</v>
      </c>
      <c r="B501" s="20">
        <f t="shared" si="43"/>
        <v>0.54166666666424135</v>
      </c>
      <c r="C501">
        <v>0</v>
      </c>
      <c r="D501">
        <v>489.75200000000001</v>
      </c>
      <c r="E501">
        <f t="shared" si="42"/>
        <v>489.59700000000004</v>
      </c>
      <c r="F501">
        <v>489.54500000000002</v>
      </c>
      <c r="G501">
        <f t="shared" si="44"/>
        <v>5.2000000000020918E-2</v>
      </c>
      <c r="H501">
        <v>1.82</v>
      </c>
      <c r="I501">
        <f t="shared" si="45"/>
        <v>0.64743721338868554</v>
      </c>
      <c r="J501">
        <f t="shared" si="46"/>
        <v>38.846232803321129</v>
      </c>
      <c r="K501">
        <f t="shared" si="47"/>
        <v>2330.773968199268</v>
      </c>
    </row>
    <row r="502" spans="1:11" x14ac:dyDescent="0.4">
      <c r="A502" s="19">
        <v>45855.583333333336</v>
      </c>
      <c r="B502" s="20">
        <f t="shared" si="43"/>
        <v>0.58333333333575865</v>
      </c>
      <c r="C502">
        <v>0</v>
      </c>
      <c r="D502">
        <v>489.745</v>
      </c>
      <c r="E502">
        <f t="shared" si="42"/>
        <v>489.59000000000003</v>
      </c>
      <c r="F502">
        <v>489.54500000000002</v>
      </c>
      <c r="G502">
        <f t="shared" si="44"/>
        <v>4.5000000000015916E-2</v>
      </c>
      <c r="H502">
        <v>1.82</v>
      </c>
      <c r="I502">
        <f t="shared" si="45"/>
        <v>0.52120840841288063</v>
      </c>
      <c r="J502">
        <f t="shared" si="46"/>
        <v>31.272504504772836</v>
      </c>
      <c r="K502">
        <f t="shared" si="47"/>
        <v>1876.3502702863705</v>
      </c>
    </row>
    <row r="503" spans="1:11" x14ac:dyDescent="0.4">
      <c r="A503" s="19">
        <v>45855.625</v>
      </c>
      <c r="B503" s="20">
        <f t="shared" si="43"/>
        <v>0.625</v>
      </c>
      <c r="C503">
        <v>0</v>
      </c>
      <c r="D503">
        <v>489.745</v>
      </c>
      <c r="E503">
        <f t="shared" si="42"/>
        <v>489.59000000000003</v>
      </c>
      <c r="F503">
        <v>489.54500000000002</v>
      </c>
      <c r="G503">
        <f t="shared" si="44"/>
        <v>4.5000000000015916E-2</v>
      </c>
      <c r="H503">
        <v>1.82</v>
      </c>
      <c r="I503">
        <f t="shared" si="45"/>
        <v>0.52120840841288063</v>
      </c>
      <c r="J503">
        <f t="shared" si="46"/>
        <v>31.272504504772836</v>
      </c>
      <c r="K503">
        <f t="shared" si="47"/>
        <v>1876.3502702863705</v>
      </c>
    </row>
    <row r="504" spans="1:11" x14ac:dyDescent="0.4">
      <c r="A504" s="19">
        <v>45855.666666666664</v>
      </c>
      <c r="B504" s="20">
        <f t="shared" si="43"/>
        <v>0.66666666666424135</v>
      </c>
      <c r="C504">
        <v>0</v>
      </c>
      <c r="D504">
        <v>489.745</v>
      </c>
      <c r="E504">
        <f t="shared" si="42"/>
        <v>489.59000000000003</v>
      </c>
      <c r="F504">
        <v>489.54500000000002</v>
      </c>
      <c r="G504">
        <f t="shared" si="44"/>
        <v>4.5000000000015916E-2</v>
      </c>
      <c r="H504">
        <v>1.82</v>
      </c>
      <c r="I504">
        <f t="shared" si="45"/>
        <v>0.52120840841288063</v>
      </c>
      <c r="J504">
        <f t="shared" si="46"/>
        <v>31.272504504772836</v>
      </c>
      <c r="K504">
        <f t="shared" si="47"/>
        <v>1876.3502702863705</v>
      </c>
    </row>
    <row r="505" spans="1:11" x14ac:dyDescent="0.4">
      <c r="A505" s="19">
        <v>45855.708333333336</v>
      </c>
      <c r="B505" s="20">
        <f t="shared" si="43"/>
        <v>0.70833333333575865</v>
      </c>
      <c r="C505">
        <v>0</v>
      </c>
      <c r="D505">
        <v>489.73899999999998</v>
      </c>
      <c r="E505">
        <f t="shared" si="42"/>
        <v>489.584</v>
      </c>
      <c r="F505">
        <v>489.54500000000002</v>
      </c>
      <c r="G505">
        <f t="shared" si="44"/>
        <v>3.8999999999987267E-2</v>
      </c>
      <c r="H505">
        <v>1.82</v>
      </c>
      <c r="I505">
        <f t="shared" si="45"/>
        <v>0.42052280561204625</v>
      </c>
      <c r="J505">
        <f t="shared" si="46"/>
        <v>25.231368336722774</v>
      </c>
      <c r="K505">
        <f t="shared" si="47"/>
        <v>1513.8821002033665</v>
      </c>
    </row>
    <row r="506" spans="1:11" x14ac:dyDescent="0.4">
      <c r="A506" s="19">
        <v>45855.75</v>
      </c>
      <c r="B506" s="20">
        <f t="shared" si="43"/>
        <v>0.75</v>
      </c>
      <c r="C506">
        <v>0</v>
      </c>
      <c r="D506">
        <v>489.73899999999998</v>
      </c>
      <c r="E506">
        <f t="shared" si="42"/>
        <v>489.584</v>
      </c>
      <c r="F506">
        <v>489.54500000000002</v>
      </c>
      <c r="G506">
        <f t="shared" si="44"/>
        <v>3.8999999999987267E-2</v>
      </c>
      <c r="H506">
        <v>1.82</v>
      </c>
      <c r="I506">
        <f t="shared" si="45"/>
        <v>0.42052280561204625</v>
      </c>
      <c r="J506">
        <f t="shared" si="46"/>
        <v>25.231368336722774</v>
      </c>
      <c r="K506">
        <f t="shared" si="47"/>
        <v>1513.8821002033665</v>
      </c>
    </row>
    <row r="507" spans="1:11" x14ac:dyDescent="0.4">
      <c r="A507" s="19">
        <v>45855.791666666664</v>
      </c>
      <c r="B507" s="20">
        <f t="shared" si="43"/>
        <v>0.79166666666424135</v>
      </c>
      <c r="C507">
        <v>0</v>
      </c>
      <c r="D507">
        <v>489.733</v>
      </c>
      <c r="E507">
        <f t="shared" si="42"/>
        <v>489.57800000000003</v>
      </c>
      <c r="F507">
        <v>489.54500000000002</v>
      </c>
      <c r="G507">
        <f t="shared" si="44"/>
        <v>3.3000000000015461E-2</v>
      </c>
      <c r="H507">
        <v>1.82</v>
      </c>
      <c r="I507">
        <f t="shared" si="45"/>
        <v>0.32731322448100175</v>
      </c>
      <c r="J507">
        <f t="shared" si="46"/>
        <v>19.638793468860104</v>
      </c>
      <c r="K507">
        <f t="shared" si="47"/>
        <v>1178.3276081316064</v>
      </c>
    </row>
    <row r="508" spans="1:11" x14ac:dyDescent="0.4">
      <c r="A508" s="19">
        <v>45855.833333333336</v>
      </c>
      <c r="B508" s="20">
        <f t="shared" si="43"/>
        <v>0.83333333333575865</v>
      </c>
      <c r="C508">
        <v>0</v>
      </c>
      <c r="D508">
        <v>489.733</v>
      </c>
      <c r="E508">
        <f t="shared" si="42"/>
        <v>489.57800000000003</v>
      </c>
      <c r="F508">
        <v>489.54500000000002</v>
      </c>
      <c r="G508">
        <f t="shared" si="44"/>
        <v>3.3000000000015461E-2</v>
      </c>
      <c r="H508">
        <v>1.82</v>
      </c>
      <c r="I508">
        <f t="shared" si="45"/>
        <v>0.32731322448100175</v>
      </c>
      <c r="J508">
        <f t="shared" si="46"/>
        <v>19.638793468860104</v>
      </c>
      <c r="K508">
        <f t="shared" si="47"/>
        <v>1178.3276081316064</v>
      </c>
    </row>
    <row r="509" spans="1:11" x14ac:dyDescent="0.4">
      <c r="A509" s="19">
        <v>45855.875</v>
      </c>
      <c r="B509" s="20">
        <f t="shared" si="43"/>
        <v>0.875</v>
      </c>
      <c r="C509">
        <v>0</v>
      </c>
      <c r="D509">
        <v>489.726</v>
      </c>
      <c r="E509">
        <f t="shared" si="42"/>
        <v>489.57100000000003</v>
      </c>
      <c r="F509">
        <v>489.54500000000002</v>
      </c>
      <c r="G509">
        <f t="shared" si="44"/>
        <v>2.6000000000010459E-2</v>
      </c>
      <c r="H509">
        <v>1.82</v>
      </c>
      <c r="I509">
        <f t="shared" si="45"/>
        <v>0.22890362198983044</v>
      </c>
      <c r="J509">
        <f t="shared" si="46"/>
        <v>13.734217319389826</v>
      </c>
      <c r="K509">
        <f t="shared" si="47"/>
        <v>824.0530391633896</v>
      </c>
    </row>
    <row r="510" spans="1:11" x14ac:dyDescent="0.4">
      <c r="A510" s="19">
        <v>45855.916666666664</v>
      </c>
      <c r="B510" s="20">
        <f t="shared" si="43"/>
        <v>0.91666666666424135</v>
      </c>
      <c r="C510">
        <v>0</v>
      </c>
      <c r="D510">
        <v>489.726</v>
      </c>
      <c r="E510">
        <f t="shared" si="42"/>
        <v>489.57100000000003</v>
      </c>
      <c r="F510">
        <v>489.54500000000002</v>
      </c>
      <c r="G510">
        <f t="shared" si="44"/>
        <v>2.6000000000010459E-2</v>
      </c>
      <c r="H510">
        <v>1.82</v>
      </c>
      <c r="I510">
        <f t="shared" si="45"/>
        <v>0.22890362198983044</v>
      </c>
      <c r="J510">
        <f t="shared" si="46"/>
        <v>13.734217319389826</v>
      </c>
      <c r="K510">
        <f t="shared" si="47"/>
        <v>824.0530391633896</v>
      </c>
    </row>
    <row r="511" spans="1:11" x14ac:dyDescent="0.4">
      <c r="A511" s="19">
        <v>45855.958333333336</v>
      </c>
      <c r="B511" s="20">
        <f t="shared" si="43"/>
        <v>0.95833333333575865</v>
      </c>
      <c r="C511">
        <v>0</v>
      </c>
      <c r="D511">
        <v>489.72</v>
      </c>
      <c r="E511">
        <f t="shared" si="42"/>
        <v>489.56500000000005</v>
      </c>
      <c r="F511">
        <v>489.54500000000002</v>
      </c>
      <c r="G511">
        <f t="shared" si="44"/>
        <v>2.0000000000038654E-2</v>
      </c>
      <c r="H511">
        <v>1.82</v>
      </c>
      <c r="I511">
        <f t="shared" si="45"/>
        <v>0.15443212101158976</v>
      </c>
      <c r="J511">
        <f t="shared" si="46"/>
        <v>9.2659272606953849</v>
      </c>
      <c r="K511">
        <f t="shared" si="47"/>
        <v>555.95563564172312</v>
      </c>
    </row>
    <row r="512" spans="1:11" x14ac:dyDescent="0.4">
      <c r="A512" s="19">
        <v>45856</v>
      </c>
      <c r="B512" s="20">
        <f t="shared" si="43"/>
        <v>0</v>
      </c>
      <c r="C512">
        <v>0</v>
      </c>
      <c r="D512">
        <v>489.72</v>
      </c>
      <c r="E512">
        <f t="shared" si="42"/>
        <v>489.56500000000005</v>
      </c>
      <c r="F512">
        <v>489.54500000000002</v>
      </c>
      <c r="G512">
        <f t="shared" si="44"/>
        <v>2.0000000000038654E-2</v>
      </c>
      <c r="H512">
        <v>1.82</v>
      </c>
      <c r="I512">
        <f t="shared" si="45"/>
        <v>0.15443212101158976</v>
      </c>
      <c r="J512">
        <f t="shared" si="46"/>
        <v>9.2659272606953849</v>
      </c>
      <c r="K512">
        <f t="shared" si="47"/>
        <v>555.95563564172312</v>
      </c>
    </row>
    <row r="513" spans="1:11" x14ac:dyDescent="0.4">
      <c r="A513" s="19">
        <v>45856.041666666664</v>
      </c>
      <c r="B513" s="20">
        <f t="shared" si="43"/>
        <v>4.1666666664241347E-2</v>
      </c>
      <c r="C513">
        <v>0</v>
      </c>
      <c r="D513">
        <v>489.721</v>
      </c>
      <c r="E513">
        <f t="shared" si="42"/>
        <v>489.56600000000003</v>
      </c>
      <c r="F513">
        <v>489.54500000000002</v>
      </c>
      <c r="G513">
        <f t="shared" si="44"/>
        <v>2.1000000000015007E-2</v>
      </c>
      <c r="H513">
        <v>1.82</v>
      </c>
      <c r="I513">
        <f t="shared" si="45"/>
        <v>0.16615812577198635</v>
      </c>
      <c r="J513">
        <f t="shared" si="46"/>
        <v>9.969487546319181</v>
      </c>
      <c r="K513">
        <f t="shared" si="47"/>
        <v>598.16925277915084</v>
      </c>
    </row>
    <row r="514" spans="1:11" x14ac:dyDescent="0.4">
      <c r="A514" s="19">
        <v>45856.083333333336</v>
      </c>
      <c r="B514" s="20">
        <f t="shared" si="43"/>
        <v>8.3333333335758653E-2</v>
      </c>
      <c r="C514">
        <v>0</v>
      </c>
      <c r="D514">
        <v>489.72</v>
      </c>
      <c r="E514">
        <f t="shared" ref="E514:E577" si="48">D514-0.155</f>
        <v>489.56500000000005</v>
      </c>
      <c r="F514">
        <v>489.54500000000002</v>
      </c>
      <c r="G514">
        <f t="shared" si="44"/>
        <v>2.0000000000038654E-2</v>
      </c>
      <c r="H514">
        <v>1.82</v>
      </c>
      <c r="I514">
        <f t="shared" si="45"/>
        <v>0.15443212101158976</v>
      </c>
      <c r="J514">
        <f t="shared" si="46"/>
        <v>9.2659272606953849</v>
      </c>
      <c r="K514">
        <f t="shared" si="47"/>
        <v>555.95563564172312</v>
      </c>
    </row>
    <row r="515" spans="1:11" x14ac:dyDescent="0.4">
      <c r="A515" s="19">
        <v>45856.125</v>
      </c>
      <c r="B515" s="20">
        <f t="shared" ref="B515:B578" si="49">MOD(A515,1)</f>
        <v>0.125</v>
      </c>
      <c r="C515">
        <v>0</v>
      </c>
      <c r="D515">
        <v>489.714</v>
      </c>
      <c r="E515">
        <f t="shared" si="48"/>
        <v>489.55900000000003</v>
      </c>
      <c r="F515">
        <v>489.54500000000002</v>
      </c>
      <c r="G515">
        <f t="shared" ref="G515:G578" si="50">IF(E515 - F515 &lt; 0, 0, E515 - F515)</f>
        <v>1.4000000000010004E-2</v>
      </c>
      <c r="H515">
        <v>1.82</v>
      </c>
      <c r="I515">
        <f t="shared" ref="I515:I578" si="51">1.82*30*(G515^1.5)</f>
        <v>9.0445027724123869E-2</v>
      </c>
      <c r="J515">
        <f t="shared" ref="J515:J578" si="52">I515*60</f>
        <v>5.4267016634474325</v>
      </c>
      <c r="K515">
        <f t="shared" ref="K515:K578" si="53">(I515*86400)/24</f>
        <v>325.60209980684596</v>
      </c>
    </row>
    <row r="516" spans="1:11" x14ac:dyDescent="0.4">
      <c r="A516" s="19">
        <v>45856.166666666664</v>
      </c>
      <c r="B516" s="20">
        <f t="shared" si="49"/>
        <v>0.16666666666424135</v>
      </c>
      <c r="C516">
        <v>0</v>
      </c>
      <c r="D516">
        <v>489.714</v>
      </c>
      <c r="E516">
        <f t="shared" si="48"/>
        <v>489.55900000000003</v>
      </c>
      <c r="F516">
        <v>489.54500000000002</v>
      </c>
      <c r="G516">
        <f t="shared" si="50"/>
        <v>1.4000000000010004E-2</v>
      </c>
      <c r="H516">
        <v>1.82</v>
      </c>
      <c r="I516">
        <f t="shared" si="51"/>
        <v>9.0445027724123869E-2</v>
      </c>
      <c r="J516">
        <f t="shared" si="52"/>
        <v>5.4267016634474325</v>
      </c>
      <c r="K516">
        <f t="shared" si="53"/>
        <v>325.60209980684596</v>
      </c>
    </row>
    <row r="517" spans="1:11" x14ac:dyDescent="0.4">
      <c r="A517" s="19">
        <v>45856.208333333336</v>
      </c>
      <c r="B517" s="20">
        <f t="shared" si="49"/>
        <v>0.20833333333575865</v>
      </c>
      <c r="C517">
        <v>0</v>
      </c>
      <c r="D517">
        <v>489.70699999999999</v>
      </c>
      <c r="E517">
        <f t="shared" si="48"/>
        <v>489.55200000000002</v>
      </c>
      <c r="F517">
        <v>489.54500000000002</v>
      </c>
      <c r="G517">
        <f t="shared" si="50"/>
        <v>7.0000000000050022E-3</v>
      </c>
      <c r="H517">
        <v>1.82</v>
      </c>
      <c r="I517">
        <f t="shared" si="51"/>
        <v>3.1977146214166641E-2</v>
      </c>
      <c r="J517">
        <f t="shared" si="52"/>
        <v>1.9186287728499984</v>
      </c>
      <c r="K517">
        <f t="shared" si="53"/>
        <v>115.1177263709999</v>
      </c>
    </row>
    <row r="518" spans="1:11" x14ac:dyDescent="0.4">
      <c r="A518" s="19">
        <v>45856.25</v>
      </c>
      <c r="B518" s="20">
        <f t="shared" si="49"/>
        <v>0.25</v>
      </c>
      <c r="C518">
        <v>0</v>
      </c>
      <c r="D518">
        <v>489.70699999999999</v>
      </c>
      <c r="E518">
        <f t="shared" si="48"/>
        <v>489.55200000000002</v>
      </c>
      <c r="F518">
        <v>489.54500000000002</v>
      </c>
      <c r="G518">
        <f t="shared" si="50"/>
        <v>7.0000000000050022E-3</v>
      </c>
      <c r="H518">
        <v>1.82</v>
      </c>
      <c r="I518">
        <f t="shared" si="51"/>
        <v>3.1977146214166641E-2</v>
      </c>
      <c r="J518">
        <f t="shared" si="52"/>
        <v>1.9186287728499984</v>
      </c>
      <c r="K518">
        <f t="shared" si="53"/>
        <v>115.1177263709999</v>
      </c>
    </row>
    <row r="519" spans="1:11" x14ac:dyDescent="0.4">
      <c r="A519" s="19">
        <v>45856.291666666664</v>
      </c>
      <c r="B519" s="20">
        <f t="shared" si="49"/>
        <v>0.29166666666424135</v>
      </c>
      <c r="C519">
        <v>0</v>
      </c>
      <c r="D519">
        <v>489.70100000000002</v>
      </c>
      <c r="E519">
        <f t="shared" si="48"/>
        <v>489.54600000000005</v>
      </c>
      <c r="F519">
        <v>489.54500000000002</v>
      </c>
      <c r="G519">
        <f t="shared" si="50"/>
        <v>1.0000000000331966E-3</v>
      </c>
      <c r="H519">
        <v>1.82</v>
      </c>
      <c r="I519">
        <f t="shared" si="51"/>
        <v>1.7266036025379119E-3</v>
      </c>
      <c r="J519">
        <f t="shared" si="52"/>
        <v>0.10359621615227471</v>
      </c>
      <c r="K519">
        <f t="shared" si="53"/>
        <v>6.2157729691364834</v>
      </c>
    </row>
    <row r="520" spans="1:11" x14ac:dyDescent="0.4">
      <c r="A520" s="19">
        <v>45856.333333333336</v>
      </c>
      <c r="B520" s="20">
        <f t="shared" si="49"/>
        <v>0.33333333333575865</v>
      </c>
      <c r="C520">
        <v>0</v>
      </c>
      <c r="D520">
        <v>489.70100000000002</v>
      </c>
      <c r="E520">
        <f t="shared" si="48"/>
        <v>489.54600000000005</v>
      </c>
      <c r="F520">
        <v>489.54500000000002</v>
      </c>
      <c r="G520">
        <f t="shared" si="50"/>
        <v>1.0000000000331966E-3</v>
      </c>
      <c r="H520">
        <v>1.82</v>
      </c>
      <c r="I520">
        <f t="shared" si="51"/>
        <v>1.7266036025379119E-3</v>
      </c>
      <c r="J520">
        <f t="shared" si="52"/>
        <v>0.10359621615227471</v>
      </c>
      <c r="K520">
        <f t="shared" si="53"/>
        <v>6.2157729691364834</v>
      </c>
    </row>
    <row r="521" spans="1:11" x14ac:dyDescent="0.4">
      <c r="A521" s="19">
        <v>45856.375</v>
      </c>
      <c r="B521" s="20">
        <f t="shared" si="49"/>
        <v>0.375</v>
      </c>
      <c r="C521">
        <v>0</v>
      </c>
      <c r="D521">
        <v>489.70100000000002</v>
      </c>
      <c r="E521">
        <f t="shared" si="48"/>
        <v>489.54600000000005</v>
      </c>
      <c r="F521">
        <v>489.54500000000002</v>
      </c>
      <c r="G521">
        <f t="shared" si="50"/>
        <v>1.0000000000331966E-3</v>
      </c>
      <c r="H521">
        <v>1.82</v>
      </c>
      <c r="I521">
        <f t="shared" si="51"/>
        <v>1.7266036025379119E-3</v>
      </c>
      <c r="J521">
        <f t="shared" si="52"/>
        <v>0.10359621615227471</v>
      </c>
      <c r="K521">
        <f t="shared" si="53"/>
        <v>6.2157729691364834</v>
      </c>
    </row>
    <row r="522" spans="1:11" x14ac:dyDescent="0.4">
      <c r="A522" s="19">
        <v>45856.416666666664</v>
      </c>
      <c r="B522" s="20">
        <f t="shared" si="49"/>
        <v>0.41666666666424135</v>
      </c>
      <c r="C522">
        <v>0</v>
      </c>
      <c r="D522">
        <v>489.69400000000002</v>
      </c>
      <c r="E522">
        <f t="shared" si="48"/>
        <v>489.53900000000004</v>
      </c>
      <c r="F522">
        <v>489.54500000000002</v>
      </c>
      <c r="G522">
        <f t="shared" si="50"/>
        <v>0</v>
      </c>
      <c r="H522">
        <v>1.82</v>
      </c>
      <c r="I522">
        <f t="shared" si="51"/>
        <v>0</v>
      </c>
      <c r="J522">
        <f t="shared" si="52"/>
        <v>0</v>
      </c>
      <c r="K522">
        <f t="shared" si="53"/>
        <v>0</v>
      </c>
    </row>
    <row r="523" spans="1:11" x14ac:dyDescent="0.4">
      <c r="A523" s="19">
        <v>45856.458333333336</v>
      </c>
      <c r="B523" s="20">
        <f t="shared" si="49"/>
        <v>0.45833333333575865</v>
      </c>
      <c r="C523">
        <v>0</v>
      </c>
      <c r="D523">
        <v>489.69400000000002</v>
      </c>
      <c r="E523">
        <f t="shared" si="48"/>
        <v>489.53900000000004</v>
      </c>
      <c r="F523">
        <v>489.54500000000002</v>
      </c>
      <c r="G523">
        <f t="shared" si="50"/>
        <v>0</v>
      </c>
      <c r="H523">
        <v>1.82</v>
      </c>
      <c r="I523">
        <f t="shared" si="51"/>
        <v>0</v>
      </c>
      <c r="J523">
        <f t="shared" si="52"/>
        <v>0</v>
      </c>
      <c r="K523">
        <f t="shared" si="53"/>
        <v>0</v>
      </c>
    </row>
    <row r="524" spans="1:11" x14ac:dyDescent="0.4">
      <c r="A524" s="19">
        <v>45856.5</v>
      </c>
      <c r="B524" s="20">
        <f t="shared" si="49"/>
        <v>0.5</v>
      </c>
      <c r="C524">
        <v>0</v>
      </c>
      <c r="D524">
        <v>489.69400000000002</v>
      </c>
      <c r="E524">
        <f t="shared" si="48"/>
        <v>489.53900000000004</v>
      </c>
      <c r="F524">
        <v>489.54500000000002</v>
      </c>
      <c r="G524">
        <f t="shared" si="50"/>
        <v>0</v>
      </c>
      <c r="H524">
        <v>1.82</v>
      </c>
      <c r="I524">
        <f t="shared" si="51"/>
        <v>0</v>
      </c>
      <c r="J524">
        <f t="shared" si="52"/>
        <v>0</v>
      </c>
      <c r="K524">
        <f t="shared" si="53"/>
        <v>0</v>
      </c>
    </row>
    <row r="525" spans="1:11" x14ac:dyDescent="0.4">
      <c r="A525" s="19">
        <v>45856.541666666664</v>
      </c>
      <c r="B525" s="20">
        <f t="shared" si="49"/>
        <v>0.54166666666424135</v>
      </c>
      <c r="C525">
        <v>0</v>
      </c>
      <c r="D525">
        <v>489.68799999999999</v>
      </c>
      <c r="E525">
        <f t="shared" si="48"/>
        <v>489.53300000000002</v>
      </c>
      <c r="F525">
        <v>489.54500000000002</v>
      </c>
      <c r="G525">
        <f t="shared" si="50"/>
        <v>0</v>
      </c>
      <c r="H525">
        <v>1.82</v>
      </c>
      <c r="I525">
        <f t="shared" si="51"/>
        <v>0</v>
      </c>
      <c r="J525">
        <f t="shared" si="52"/>
        <v>0</v>
      </c>
      <c r="K525">
        <f t="shared" si="53"/>
        <v>0</v>
      </c>
    </row>
    <row r="526" spans="1:11" x14ac:dyDescent="0.4">
      <c r="A526" s="19">
        <v>45856.583333333336</v>
      </c>
      <c r="B526" s="20">
        <f t="shared" si="49"/>
        <v>0.58333333333575865</v>
      </c>
      <c r="C526">
        <v>0</v>
      </c>
      <c r="D526">
        <v>489.68799999999999</v>
      </c>
      <c r="E526">
        <f t="shared" si="48"/>
        <v>489.53300000000002</v>
      </c>
      <c r="F526">
        <v>489.54500000000002</v>
      </c>
      <c r="G526">
        <f t="shared" si="50"/>
        <v>0</v>
      </c>
      <c r="H526">
        <v>1.82</v>
      </c>
      <c r="I526">
        <f t="shared" si="51"/>
        <v>0</v>
      </c>
      <c r="J526">
        <f t="shared" si="52"/>
        <v>0</v>
      </c>
      <c r="K526">
        <f t="shared" si="53"/>
        <v>0</v>
      </c>
    </row>
    <row r="527" spans="1:11" x14ac:dyDescent="0.4">
      <c r="A527" s="19">
        <v>45856.625</v>
      </c>
      <c r="B527" s="20">
        <f t="shared" si="49"/>
        <v>0.625</v>
      </c>
      <c r="C527">
        <v>0</v>
      </c>
      <c r="D527">
        <v>489.68900000000002</v>
      </c>
      <c r="E527">
        <f t="shared" si="48"/>
        <v>489.53400000000005</v>
      </c>
      <c r="F527">
        <v>489.54500000000002</v>
      </c>
      <c r="G527">
        <f t="shared" si="50"/>
        <v>0</v>
      </c>
      <c r="H527">
        <v>1.82</v>
      </c>
      <c r="I527">
        <f t="shared" si="51"/>
        <v>0</v>
      </c>
      <c r="J527">
        <f t="shared" si="52"/>
        <v>0</v>
      </c>
      <c r="K527">
        <f t="shared" si="53"/>
        <v>0</v>
      </c>
    </row>
    <row r="528" spans="1:11" x14ac:dyDescent="0.4">
      <c r="A528" s="19">
        <v>45856.666666666664</v>
      </c>
      <c r="B528" s="20">
        <f t="shared" si="49"/>
        <v>0.66666666666424135</v>
      </c>
      <c r="C528">
        <v>0</v>
      </c>
      <c r="D528">
        <v>489.68200000000002</v>
      </c>
      <c r="E528">
        <f t="shared" si="48"/>
        <v>489.52700000000004</v>
      </c>
      <c r="F528">
        <v>489.54500000000002</v>
      </c>
      <c r="G528">
        <f t="shared" si="50"/>
        <v>0</v>
      </c>
      <c r="H528">
        <v>1.82</v>
      </c>
      <c r="I528">
        <f t="shared" si="51"/>
        <v>0</v>
      </c>
      <c r="J528">
        <f t="shared" si="52"/>
        <v>0</v>
      </c>
      <c r="K528">
        <f t="shared" si="53"/>
        <v>0</v>
      </c>
    </row>
    <row r="529" spans="1:11" x14ac:dyDescent="0.4">
      <c r="A529" s="19">
        <v>45856.708333333336</v>
      </c>
      <c r="B529" s="20">
        <f t="shared" si="49"/>
        <v>0.70833333333575865</v>
      </c>
      <c r="C529">
        <v>0</v>
      </c>
      <c r="D529">
        <v>489.68200000000002</v>
      </c>
      <c r="E529">
        <f t="shared" si="48"/>
        <v>489.52700000000004</v>
      </c>
      <c r="F529">
        <v>489.54500000000002</v>
      </c>
      <c r="G529">
        <f t="shared" si="50"/>
        <v>0</v>
      </c>
      <c r="H529">
        <v>1.82</v>
      </c>
      <c r="I529">
        <f t="shared" si="51"/>
        <v>0</v>
      </c>
      <c r="J529">
        <f t="shared" si="52"/>
        <v>0</v>
      </c>
      <c r="K529">
        <f t="shared" si="53"/>
        <v>0</v>
      </c>
    </row>
    <row r="530" spans="1:11" x14ac:dyDescent="0.4">
      <c r="A530" s="19">
        <v>45856.75</v>
      </c>
      <c r="B530" s="20">
        <f t="shared" si="49"/>
        <v>0.75</v>
      </c>
      <c r="C530">
        <v>0</v>
      </c>
      <c r="D530">
        <v>489.68200000000002</v>
      </c>
      <c r="E530">
        <f t="shared" si="48"/>
        <v>489.52700000000004</v>
      </c>
      <c r="F530">
        <v>489.54500000000002</v>
      </c>
      <c r="G530">
        <f t="shared" si="50"/>
        <v>0</v>
      </c>
      <c r="H530">
        <v>1.82</v>
      </c>
      <c r="I530">
        <f t="shared" si="51"/>
        <v>0</v>
      </c>
      <c r="J530">
        <f t="shared" si="52"/>
        <v>0</v>
      </c>
      <c r="K530">
        <f t="shared" si="53"/>
        <v>0</v>
      </c>
    </row>
    <row r="531" spans="1:11" x14ac:dyDescent="0.4">
      <c r="A531" s="19">
        <v>45856.791666666664</v>
      </c>
      <c r="B531" s="20">
        <f t="shared" si="49"/>
        <v>0.79166666666424135</v>
      </c>
      <c r="C531">
        <v>0</v>
      </c>
      <c r="D531">
        <v>489.67500000000001</v>
      </c>
      <c r="E531">
        <f t="shared" si="48"/>
        <v>489.52000000000004</v>
      </c>
      <c r="F531">
        <v>489.54500000000002</v>
      </c>
      <c r="G531">
        <f t="shared" si="50"/>
        <v>0</v>
      </c>
      <c r="H531">
        <v>1.82</v>
      </c>
      <c r="I531">
        <f t="shared" si="51"/>
        <v>0</v>
      </c>
      <c r="J531">
        <f t="shared" si="52"/>
        <v>0</v>
      </c>
      <c r="K531">
        <f t="shared" si="53"/>
        <v>0</v>
      </c>
    </row>
    <row r="532" spans="1:11" x14ac:dyDescent="0.4">
      <c r="A532" s="19">
        <v>45856.833333333336</v>
      </c>
      <c r="B532" s="20">
        <f t="shared" si="49"/>
        <v>0.83333333333575865</v>
      </c>
      <c r="C532">
        <v>0</v>
      </c>
      <c r="D532">
        <v>489.67500000000001</v>
      </c>
      <c r="E532">
        <f t="shared" si="48"/>
        <v>489.52000000000004</v>
      </c>
      <c r="F532">
        <v>489.54500000000002</v>
      </c>
      <c r="G532">
        <f t="shared" si="50"/>
        <v>0</v>
      </c>
      <c r="H532">
        <v>1.82</v>
      </c>
      <c r="I532">
        <f t="shared" si="51"/>
        <v>0</v>
      </c>
      <c r="J532">
        <f t="shared" si="52"/>
        <v>0</v>
      </c>
      <c r="K532">
        <f t="shared" si="53"/>
        <v>0</v>
      </c>
    </row>
    <row r="533" spans="1:11" x14ac:dyDescent="0.4">
      <c r="A533" s="19">
        <v>45856.875</v>
      </c>
      <c r="B533" s="20">
        <f t="shared" si="49"/>
        <v>0.875</v>
      </c>
      <c r="C533">
        <v>0</v>
      </c>
      <c r="D533">
        <v>489.66899999999998</v>
      </c>
      <c r="E533">
        <f t="shared" si="48"/>
        <v>489.51400000000001</v>
      </c>
      <c r="F533">
        <v>489.54500000000002</v>
      </c>
      <c r="G533">
        <f t="shared" si="50"/>
        <v>0</v>
      </c>
      <c r="H533">
        <v>1.82</v>
      </c>
      <c r="I533">
        <f t="shared" si="51"/>
        <v>0</v>
      </c>
      <c r="J533">
        <f t="shared" si="52"/>
        <v>0</v>
      </c>
      <c r="K533">
        <f t="shared" si="53"/>
        <v>0</v>
      </c>
    </row>
    <row r="534" spans="1:11" x14ac:dyDescent="0.4">
      <c r="A534" s="19">
        <v>45856.916666666664</v>
      </c>
      <c r="B534" s="20">
        <f t="shared" si="49"/>
        <v>0.91666666666424135</v>
      </c>
      <c r="C534">
        <v>0</v>
      </c>
      <c r="D534">
        <v>489.66899999999998</v>
      </c>
      <c r="E534">
        <f t="shared" si="48"/>
        <v>489.51400000000001</v>
      </c>
      <c r="F534">
        <v>489.54500000000002</v>
      </c>
      <c r="G534">
        <f t="shared" si="50"/>
        <v>0</v>
      </c>
      <c r="H534">
        <v>1.82</v>
      </c>
      <c r="I534">
        <f t="shared" si="51"/>
        <v>0</v>
      </c>
      <c r="J534">
        <f t="shared" si="52"/>
        <v>0</v>
      </c>
      <c r="K534">
        <f t="shared" si="53"/>
        <v>0</v>
      </c>
    </row>
    <row r="535" spans="1:11" x14ac:dyDescent="0.4">
      <c r="A535" s="19">
        <v>45856.958333333336</v>
      </c>
      <c r="B535" s="20">
        <f t="shared" si="49"/>
        <v>0.95833333333575865</v>
      </c>
      <c r="C535">
        <v>0</v>
      </c>
      <c r="D535">
        <v>489.66899999999998</v>
      </c>
      <c r="E535">
        <f t="shared" si="48"/>
        <v>489.51400000000001</v>
      </c>
      <c r="F535">
        <v>489.54500000000002</v>
      </c>
      <c r="G535">
        <f t="shared" si="50"/>
        <v>0</v>
      </c>
      <c r="H535">
        <v>1.82</v>
      </c>
      <c r="I535">
        <f t="shared" si="51"/>
        <v>0</v>
      </c>
      <c r="J535">
        <f t="shared" si="52"/>
        <v>0</v>
      </c>
      <c r="K535">
        <f t="shared" si="53"/>
        <v>0</v>
      </c>
    </row>
    <row r="536" spans="1:11" x14ac:dyDescent="0.4">
      <c r="A536" s="19">
        <v>45857</v>
      </c>
      <c r="B536" s="20">
        <f t="shared" si="49"/>
        <v>0</v>
      </c>
      <c r="C536">
        <v>0</v>
      </c>
      <c r="D536">
        <v>489.66899999999998</v>
      </c>
      <c r="E536">
        <f t="shared" si="48"/>
        <v>489.51400000000001</v>
      </c>
      <c r="F536">
        <v>489.54500000000002</v>
      </c>
      <c r="G536">
        <f t="shared" si="50"/>
        <v>0</v>
      </c>
      <c r="H536">
        <v>1.82</v>
      </c>
      <c r="I536">
        <f t="shared" si="51"/>
        <v>0</v>
      </c>
      <c r="J536">
        <f t="shared" si="52"/>
        <v>0</v>
      </c>
      <c r="K536">
        <f t="shared" si="53"/>
        <v>0</v>
      </c>
    </row>
    <row r="537" spans="1:11" x14ac:dyDescent="0.4">
      <c r="A537" s="19">
        <v>45857.041666666664</v>
      </c>
      <c r="B537" s="20">
        <f t="shared" si="49"/>
        <v>4.1666666664241347E-2</v>
      </c>
      <c r="C537">
        <v>0</v>
      </c>
      <c r="D537">
        <v>489.66899999999998</v>
      </c>
      <c r="E537">
        <f t="shared" si="48"/>
        <v>489.51400000000001</v>
      </c>
      <c r="F537">
        <v>489.54500000000002</v>
      </c>
      <c r="G537">
        <f t="shared" si="50"/>
        <v>0</v>
      </c>
      <c r="H537">
        <v>1.82</v>
      </c>
      <c r="I537">
        <f t="shared" si="51"/>
        <v>0</v>
      </c>
      <c r="J537">
        <f t="shared" si="52"/>
        <v>0</v>
      </c>
      <c r="K537">
        <f t="shared" si="53"/>
        <v>0</v>
      </c>
    </row>
    <row r="538" spans="1:11" x14ac:dyDescent="0.4">
      <c r="A538" s="19">
        <v>45857.083333333336</v>
      </c>
      <c r="B538" s="20">
        <f t="shared" si="49"/>
        <v>8.3333333335758653E-2</v>
      </c>
      <c r="C538">
        <v>0</v>
      </c>
      <c r="D538">
        <v>489.66300000000001</v>
      </c>
      <c r="E538">
        <f t="shared" si="48"/>
        <v>489.50800000000004</v>
      </c>
      <c r="F538">
        <v>489.54500000000002</v>
      </c>
      <c r="G538">
        <f t="shared" si="50"/>
        <v>0</v>
      </c>
      <c r="H538">
        <v>1.82</v>
      </c>
      <c r="I538">
        <f t="shared" si="51"/>
        <v>0</v>
      </c>
      <c r="J538">
        <f t="shared" si="52"/>
        <v>0</v>
      </c>
      <c r="K538">
        <f t="shared" si="53"/>
        <v>0</v>
      </c>
    </row>
    <row r="539" spans="1:11" x14ac:dyDescent="0.4">
      <c r="A539" s="19">
        <v>45857.125</v>
      </c>
      <c r="B539" s="20">
        <f t="shared" si="49"/>
        <v>0.125</v>
      </c>
      <c r="C539">
        <v>0</v>
      </c>
      <c r="D539">
        <v>489.66199999999998</v>
      </c>
      <c r="E539">
        <f t="shared" si="48"/>
        <v>489.50700000000001</v>
      </c>
      <c r="F539">
        <v>489.54500000000002</v>
      </c>
      <c r="G539">
        <f t="shared" si="50"/>
        <v>0</v>
      </c>
      <c r="H539">
        <v>1.82</v>
      </c>
      <c r="I539">
        <f t="shared" si="51"/>
        <v>0</v>
      </c>
      <c r="J539">
        <f t="shared" si="52"/>
        <v>0</v>
      </c>
      <c r="K539">
        <f t="shared" si="53"/>
        <v>0</v>
      </c>
    </row>
    <row r="540" spans="1:11" x14ac:dyDescent="0.4">
      <c r="A540" s="19">
        <v>45857.166666666664</v>
      </c>
      <c r="B540" s="20">
        <f t="shared" si="49"/>
        <v>0.16666666666424135</v>
      </c>
      <c r="C540">
        <v>0</v>
      </c>
      <c r="D540">
        <v>489.66300000000001</v>
      </c>
      <c r="E540">
        <f t="shared" si="48"/>
        <v>489.50800000000004</v>
      </c>
      <c r="F540">
        <v>489.54500000000002</v>
      </c>
      <c r="G540">
        <f t="shared" si="50"/>
        <v>0</v>
      </c>
      <c r="H540">
        <v>1.82</v>
      </c>
      <c r="I540">
        <f t="shared" si="51"/>
        <v>0</v>
      </c>
      <c r="J540">
        <f t="shared" si="52"/>
        <v>0</v>
      </c>
      <c r="K540">
        <f t="shared" si="53"/>
        <v>0</v>
      </c>
    </row>
    <row r="541" spans="1:11" x14ac:dyDescent="0.4">
      <c r="A541" s="19">
        <v>45857.208333333336</v>
      </c>
      <c r="B541" s="20">
        <f t="shared" si="49"/>
        <v>0.20833333333575865</v>
      </c>
      <c r="C541">
        <v>0</v>
      </c>
      <c r="D541">
        <v>489.66300000000001</v>
      </c>
      <c r="E541">
        <f t="shared" si="48"/>
        <v>489.50800000000004</v>
      </c>
      <c r="F541">
        <v>489.54500000000002</v>
      </c>
      <c r="G541">
        <f t="shared" si="50"/>
        <v>0</v>
      </c>
      <c r="H541">
        <v>1.82</v>
      </c>
      <c r="I541">
        <f t="shared" si="51"/>
        <v>0</v>
      </c>
      <c r="J541">
        <f t="shared" si="52"/>
        <v>0</v>
      </c>
      <c r="K541">
        <f t="shared" si="53"/>
        <v>0</v>
      </c>
    </row>
    <row r="542" spans="1:11" x14ac:dyDescent="0.4">
      <c r="A542" s="19">
        <v>45857.25</v>
      </c>
      <c r="B542" s="20">
        <f t="shared" si="49"/>
        <v>0.25</v>
      </c>
      <c r="C542">
        <v>0</v>
      </c>
      <c r="D542">
        <v>489.65699999999998</v>
      </c>
      <c r="E542">
        <f t="shared" si="48"/>
        <v>489.50200000000001</v>
      </c>
      <c r="F542">
        <v>489.54500000000002</v>
      </c>
      <c r="G542">
        <f t="shared" si="50"/>
        <v>0</v>
      </c>
      <c r="H542">
        <v>1.82</v>
      </c>
      <c r="I542">
        <f t="shared" si="51"/>
        <v>0</v>
      </c>
      <c r="J542">
        <f t="shared" si="52"/>
        <v>0</v>
      </c>
      <c r="K542">
        <f t="shared" si="53"/>
        <v>0</v>
      </c>
    </row>
    <row r="543" spans="1:11" x14ac:dyDescent="0.4">
      <c r="A543" s="19">
        <v>45857.291666666664</v>
      </c>
      <c r="B543" s="20">
        <f t="shared" si="49"/>
        <v>0.29166666666424135</v>
      </c>
      <c r="C543">
        <v>0</v>
      </c>
      <c r="D543">
        <v>489.65600000000001</v>
      </c>
      <c r="E543">
        <f t="shared" si="48"/>
        <v>489.50100000000003</v>
      </c>
      <c r="F543">
        <v>489.54500000000002</v>
      </c>
      <c r="G543">
        <f t="shared" si="50"/>
        <v>0</v>
      </c>
      <c r="H543">
        <v>1.82</v>
      </c>
      <c r="I543">
        <f t="shared" si="51"/>
        <v>0</v>
      </c>
      <c r="J543">
        <f t="shared" si="52"/>
        <v>0</v>
      </c>
      <c r="K543">
        <f t="shared" si="53"/>
        <v>0</v>
      </c>
    </row>
    <row r="544" spans="1:11" x14ac:dyDescent="0.4">
      <c r="A544" s="19">
        <v>45857.333333333336</v>
      </c>
      <c r="B544" s="20">
        <f t="shared" si="49"/>
        <v>0.33333333333575865</v>
      </c>
      <c r="C544">
        <v>0</v>
      </c>
      <c r="D544">
        <v>489.649</v>
      </c>
      <c r="E544">
        <f t="shared" si="48"/>
        <v>489.49400000000003</v>
      </c>
      <c r="F544">
        <v>489.54500000000002</v>
      </c>
      <c r="G544">
        <f t="shared" si="50"/>
        <v>0</v>
      </c>
      <c r="H544">
        <v>1.82</v>
      </c>
      <c r="I544">
        <f t="shared" si="51"/>
        <v>0</v>
      </c>
      <c r="J544">
        <f t="shared" si="52"/>
        <v>0</v>
      </c>
      <c r="K544">
        <f t="shared" si="53"/>
        <v>0</v>
      </c>
    </row>
    <row r="545" spans="1:11" x14ac:dyDescent="0.4">
      <c r="A545" s="19">
        <v>45857.375</v>
      </c>
      <c r="B545" s="20">
        <f t="shared" si="49"/>
        <v>0.375</v>
      </c>
      <c r="C545">
        <v>0</v>
      </c>
      <c r="D545">
        <v>489.64800000000002</v>
      </c>
      <c r="E545">
        <f t="shared" si="48"/>
        <v>489.49300000000005</v>
      </c>
      <c r="F545">
        <v>489.54500000000002</v>
      </c>
      <c r="G545">
        <f t="shared" si="50"/>
        <v>0</v>
      </c>
      <c r="H545">
        <v>1.82</v>
      </c>
      <c r="I545">
        <f t="shared" si="51"/>
        <v>0</v>
      </c>
      <c r="J545">
        <f t="shared" si="52"/>
        <v>0</v>
      </c>
      <c r="K545">
        <f t="shared" si="53"/>
        <v>0</v>
      </c>
    </row>
    <row r="546" spans="1:11" x14ac:dyDescent="0.4">
      <c r="A546" s="19">
        <v>45857.416666666664</v>
      </c>
      <c r="B546" s="20">
        <f t="shared" si="49"/>
        <v>0.41666666666424135</v>
      </c>
      <c r="C546">
        <v>0</v>
      </c>
      <c r="D546">
        <v>489.649</v>
      </c>
      <c r="E546">
        <f t="shared" si="48"/>
        <v>489.49400000000003</v>
      </c>
      <c r="F546">
        <v>489.54500000000002</v>
      </c>
      <c r="G546">
        <f t="shared" si="50"/>
        <v>0</v>
      </c>
      <c r="H546">
        <v>1.82</v>
      </c>
      <c r="I546">
        <f t="shared" si="51"/>
        <v>0</v>
      </c>
      <c r="J546">
        <f t="shared" si="52"/>
        <v>0</v>
      </c>
      <c r="K546">
        <f t="shared" si="53"/>
        <v>0</v>
      </c>
    </row>
    <row r="547" spans="1:11" x14ac:dyDescent="0.4">
      <c r="A547" s="19">
        <v>45857.458333333336</v>
      </c>
      <c r="B547" s="20">
        <f t="shared" si="49"/>
        <v>0.45833333333575865</v>
      </c>
      <c r="C547">
        <v>0</v>
      </c>
      <c r="D547">
        <v>489.64800000000002</v>
      </c>
      <c r="E547">
        <f t="shared" si="48"/>
        <v>489.49300000000005</v>
      </c>
      <c r="F547">
        <v>489.54500000000002</v>
      </c>
      <c r="G547">
        <f t="shared" si="50"/>
        <v>0</v>
      </c>
      <c r="H547">
        <v>1.82</v>
      </c>
      <c r="I547">
        <f t="shared" si="51"/>
        <v>0</v>
      </c>
      <c r="J547">
        <f t="shared" si="52"/>
        <v>0</v>
      </c>
      <c r="K547">
        <f t="shared" si="53"/>
        <v>0</v>
      </c>
    </row>
    <row r="548" spans="1:11" x14ac:dyDescent="0.4">
      <c r="A548" s="19">
        <v>45857.5</v>
      </c>
      <c r="B548" s="20">
        <f t="shared" si="49"/>
        <v>0.5</v>
      </c>
      <c r="C548">
        <v>0</v>
      </c>
      <c r="D548">
        <v>489.649</v>
      </c>
      <c r="E548">
        <f t="shared" si="48"/>
        <v>489.49400000000003</v>
      </c>
      <c r="F548">
        <v>489.54500000000002</v>
      </c>
      <c r="G548">
        <f t="shared" si="50"/>
        <v>0</v>
      </c>
      <c r="H548">
        <v>1.82</v>
      </c>
      <c r="I548">
        <f t="shared" si="51"/>
        <v>0</v>
      </c>
      <c r="J548">
        <f t="shared" si="52"/>
        <v>0</v>
      </c>
      <c r="K548">
        <f t="shared" si="53"/>
        <v>0</v>
      </c>
    </row>
    <row r="549" spans="1:11" x14ac:dyDescent="0.4">
      <c r="A549" s="19">
        <v>45857.541666666664</v>
      </c>
      <c r="B549" s="20">
        <f t="shared" si="49"/>
        <v>0.54166666666424135</v>
      </c>
      <c r="C549">
        <v>0</v>
      </c>
      <c r="D549">
        <v>489.649</v>
      </c>
      <c r="E549">
        <f t="shared" si="48"/>
        <v>489.49400000000003</v>
      </c>
      <c r="F549">
        <v>489.54500000000002</v>
      </c>
      <c r="G549">
        <f t="shared" si="50"/>
        <v>0</v>
      </c>
      <c r="H549">
        <v>1.82</v>
      </c>
      <c r="I549">
        <f t="shared" si="51"/>
        <v>0</v>
      </c>
      <c r="J549">
        <f t="shared" si="52"/>
        <v>0</v>
      </c>
      <c r="K549">
        <f t="shared" si="53"/>
        <v>0</v>
      </c>
    </row>
    <row r="550" spans="1:11" x14ac:dyDescent="0.4">
      <c r="A550" s="19">
        <v>45857.583333333336</v>
      </c>
      <c r="B550" s="20">
        <f t="shared" si="49"/>
        <v>0.58333333333575865</v>
      </c>
      <c r="C550">
        <v>0</v>
      </c>
      <c r="D550">
        <v>489.649</v>
      </c>
      <c r="E550">
        <f t="shared" si="48"/>
        <v>489.49400000000003</v>
      </c>
      <c r="F550">
        <v>489.54500000000002</v>
      </c>
      <c r="G550">
        <f t="shared" si="50"/>
        <v>0</v>
      </c>
      <c r="H550">
        <v>1.82</v>
      </c>
      <c r="I550">
        <f t="shared" si="51"/>
        <v>0</v>
      </c>
      <c r="J550">
        <f t="shared" si="52"/>
        <v>0</v>
      </c>
      <c r="K550">
        <f t="shared" si="53"/>
        <v>0</v>
      </c>
    </row>
    <row r="551" spans="1:11" x14ac:dyDescent="0.4">
      <c r="A551" s="19">
        <v>45857.625</v>
      </c>
      <c r="B551" s="20">
        <f t="shared" si="49"/>
        <v>0.625</v>
      </c>
      <c r="C551">
        <v>0</v>
      </c>
      <c r="D551">
        <v>489.649</v>
      </c>
      <c r="E551">
        <f t="shared" si="48"/>
        <v>489.49400000000003</v>
      </c>
      <c r="F551">
        <v>489.54500000000002</v>
      </c>
      <c r="G551">
        <f t="shared" si="50"/>
        <v>0</v>
      </c>
      <c r="H551">
        <v>1.82</v>
      </c>
      <c r="I551">
        <f t="shared" si="51"/>
        <v>0</v>
      </c>
      <c r="J551">
        <f t="shared" si="52"/>
        <v>0</v>
      </c>
      <c r="K551">
        <f t="shared" si="53"/>
        <v>0</v>
      </c>
    </row>
    <row r="552" spans="1:11" x14ac:dyDescent="0.4">
      <c r="A552" s="19">
        <v>45857.666666666664</v>
      </c>
      <c r="B552" s="20">
        <f t="shared" si="49"/>
        <v>0.66666666666424135</v>
      </c>
      <c r="C552">
        <v>0</v>
      </c>
      <c r="D552">
        <v>489.642</v>
      </c>
      <c r="E552">
        <f t="shared" si="48"/>
        <v>489.48700000000002</v>
      </c>
      <c r="F552">
        <v>489.54500000000002</v>
      </c>
      <c r="G552">
        <f t="shared" si="50"/>
        <v>0</v>
      </c>
      <c r="H552">
        <v>1.82</v>
      </c>
      <c r="I552">
        <f t="shared" si="51"/>
        <v>0</v>
      </c>
      <c r="J552">
        <f t="shared" si="52"/>
        <v>0</v>
      </c>
      <c r="K552">
        <f t="shared" si="53"/>
        <v>0</v>
      </c>
    </row>
    <row r="553" spans="1:11" x14ac:dyDescent="0.4">
      <c r="A553" s="19">
        <v>45857.708333333336</v>
      </c>
      <c r="B553" s="20">
        <f t="shared" si="49"/>
        <v>0.70833333333575865</v>
      </c>
      <c r="C553">
        <v>0</v>
      </c>
      <c r="D553">
        <v>489.64299999999997</v>
      </c>
      <c r="E553">
        <f t="shared" si="48"/>
        <v>489.488</v>
      </c>
      <c r="F553">
        <v>489.54500000000002</v>
      </c>
      <c r="G553">
        <f t="shared" si="50"/>
        <v>0</v>
      </c>
      <c r="H553">
        <v>1.82</v>
      </c>
      <c r="I553">
        <f t="shared" si="51"/>
        <v>0</v>
      </c>
      <c r="J553">
        <f t="shared" si="52"/>
        <v>0</v>
      </c>
      <c r="K553">
        <f t="shared" si="53"/>
        <v>0</v>
      </c>
    </row>
    <row r="554" spans="1:11" x14ac:dyDescent="0.4">
      <c r="A554" s="19">
        <v>45857.75</v>
      </c>
      <c r="B554" s="20">
        <f t="shared" si="49"/>
        <v>0.75</v>
      </c>
      <c r="C554">
        <v>0</v>
      </c>
      <c r="D554">
        <v>489.64299999999997</v>
      </c>
      <c r="E554">
        <f t="shared" si="48"/>
        <v>489.488</v>
      </c>
      <c r="F554">
        <v>489.54500000000002</v>
      </c>
      <c r="G554">
        <f t="shared" si="50"/>
        <v>0</v>
      </c>
      <c r="H554">
        <v>1.82</v>
      </c>
      <c r="I554">
        <f t="shared" si="51"/>
        <v>0</v>
      </c>
      <c r="J554">
        <f t="shared" si="52"/>
        <v>0</v>
      </c>
      <c r="K554">
        <f t="shared" si="53"/>
        <v>0</v>
      </c>
    </row>
    <row r="555" spans="1:11" x14ac:dyDescent="0.4">
      <c r="A555" s="19">
        <v>45857.791666666664</v>
      </c>
      <c r="B555" s="20">
        <f t="shared" si="49"/>
        <v>0.79166666666424135</v>
      </c>
      <c r="C555">
        <v>0</v>
      </c>
      <c r="D555">
        <v>489.63600000000002</v>
      </c>
      <c r="E555">
        <f t="shared" si="48"/>
        <v>489.48100000000005</v>
      </c>
      <c r="F555">
        <v>489.54500000000002</v>
      </c>
      <c r="G555">
        <f t="shared" si="50"/>
        <v>0</v>
      </c>
      <c r="H555">
        <v>1.82</v>
      </c>
      <c r="I555">
        <f t="shared" si="51"/>
        <v>0</v>
      </c>
      <c r="J555">
        <f t="shared" si="52"/>
        <v>0</v>
      </c>
      <c r="K555">
        <f t="shared" si="53"/>
        <v>0</v>
      </c>
    </row>
    <row r="556" spans="1:11" x14ac:dyDescent="0.4">
      <c r="A556" s="19">
        <v>45857.833333333336</v>
      </c>
      <c r="B556" s="20">
        <f t="shared" si="49"/>
        <v>0.83333333333575865</v>
      </c>
      <c r="C556">
        <v>0</v>
      </c>
      <c r="D556">
        <v>489.63600000000002</v>
      </c>
      <c r="E556">
        <f t="shared" si="48"/>
        <v>489.48100000000005</v>
      </c>
      <c r="F556">
        <v>489.54500000000002</v>
      </c>
      <c r="G556">
        <f t="shared" si="50"/>
        <v>0</v>
      </c>
      <c r="H556">
        <v>1.82</v>
      </c>
      <c r="I556">
        <f t="shared" si="51"/>
        <v>0</v>
      </c>
      <c r="J556">
        <f t="shared" si="52"/>
        <v>0</v>
      </c>
      <c r="K556">
        <f t="shared" si="53"/>
        <v>0</v>
      </c>
    </row>
    <row r="557" spans="1:11" x14ac:dyDescent="0.4">
      <c r="A557" s="19">
        <v>45857.875</v>
      </c>
      <c r="B557" s="20">
        <f t="shared" si="49"/>
        <v>0.875</v>
      </c>
      <c r="C557">
        <v>0</v>
      </c>
      <c r="D557">
        <v>489.62900000000002</v>
      </c>
      <c r="E557">
        <f t="shared" si="48"/>
        <v>489.47400000000005</v>
      </c>
      <c r="F557">
        <v>489.54500000000002</v>
      </c>
      <c r="G557">
        <f t="shared" si="50"/>
        <v>0</v>
      </c>
      <c r="H557">
        <v>1.82</v>
      </c>
      <c r="I557">
        <f t="shared" si="51"/>
        <v>0</v>
      </c>
      <c r="J557">
        <f t="shared" si="52"/>
        <v>0</v>
      </c>
      <c r="K557">
        <f t="shared" si="53"/>
        <v>0</v>
      </c>
    </row>
    <row r="558" spans="1:11" x14ac:dyDescent="0.4">
      <c r="A558" s="19">
        <v>45857.916666666664</v>
      </c>
      <c r="B558" s="20">
        <f t="shared" si="49"/>
        <v>0.91666666666424135</v>
      </c>
      <c r="C558">
        <v>0</v>
      </c>
      <c r="D558">
        <v>489.62900000000002</v>
      </c>
      <c r="E558">
        <f t="shared" si="48"/>
        <v>489.47400000000005</v>
      </c>
      <c r="F558">
        <v>489.54500000000002</v>
      </c>
      <c r="G558">
        <f t="shared" si="50"/>
        <v>0</v>
      </c>
      <c r="H558">
        <v>1.82</v>
      </c>
      <c r="I558">
        <f t="shared" si="51"/>
        <v>0</v>
      </c>
      <c r="J558">
        <f t="shared" si="52"/>
        <v>0</v>
      </c>
      <c r="K558">
        <f t="shared" si="53"/>
        <v>0</v>
      </c>
    </row>
    <row r="559" spans="1:11" x14ac:dyDescent="0.4">
      <c r="A559" s="19">
        <v>45857.958333333336</v>
      </c>
      <c r="B559" s="20">
        <f t="shared" si="49"/>
        <v>0.95833333333575865</v>
      </c>
      <c r="C559">
        <v>0</v>
      </c>
      <c r="D559">
        <v>489.62900000000002</v>
      </c>
      <c r="E559">
        <f t="shared" si="48"/>
        <v>489.47400000000005</v>
      </c>
      <c r="F559">
        <v>489.54500000000002</v>
      </c>
      <c r="G559">
        <f t="shared" si="50"/>
        <v>0</v>
      </c>
      <c r="H559">
        <v>1.82</v>
      </c>
      <c r="I559">
        <f t="shared" si="51"/>
        <v>0</v>
      </c>
      <c r="J559">
        <f t="shared" si="52"/>
        <v>0</v>
      </c>
      <c r="K559">
        <f t="shared" si="53"/>
        <v>0</v>
      </c>
    </row>
    <row r="560" spans="1:11" x14ac:dyDescent="0.4">
      <c r="A560" s="19">
        <v>45858</v>
      </c>
      <c r="B560" s="20">
        <f t="shared" si="49"/>
        <v>0</v>
      </c>
      <c r="C560">
        <v>0</v>
      </c>
      <c r="D560">
        <v>489.62900000000002</v>
      </c>
      <c r="E560">
        <f t="shared" si="48"/>
        <v>489.47400000000005</v>
      </c>
      <c r="F560">
        <v>489.54500000000002</v>
      </c>
      <c r="G560">
        <f t="shared" si="50"/>
        <v>0</v>
      </c>
      <c r="H560">
        <v>1.82</v>
      </c>
      <c r="I560">
        <f t="shared" si="51"/>
        <v>0</v>
      </c>
      <c r="J560">
        <f t="shared" si="52"/>
        <v>0</v>
      </c>
      <c r="K560">
        <f t="shared" si="53"/>
        <v>0</v>
      </c>
    </row>
    <row r="561" spans="1:11" x14ac:dyDescent="0.4">
      <c r="A561" s="19">
        <v>45858.041666666664</v>
      </c>
      <c r="B561" s="20">
        <f t="shared" si="49"/>
        <v>4.1666666664241347E-2</v>
      </c>
      <c r="C561">
        <v>0</v>
      </c>
      <c r="D561">
        <v>489.62900000000002</v>
      </c>
      <c r="E561">
        <f t="shared" si="48"/>
        <v>489.47400000000005</v>
      </c>
      <c r="F561">
        <v>489.54500000000002</v>
      </c>
      <c r="G561">
        <f t="shared" si="50"/>
        <v>0</v>
      </c>
      <c r="H561">
        <v>1.82</v>
      </c>
      <c r="I561">
        <f t="shared" si="51"/>
        <v>0</v>
      </c>
      <c r="J561">
        <f t="shared" si="52"/>
        <v>0</v>
      </c>
      <c r="K561">
        <f t="shared" si="53"/>
        <v>0</v>
      </c>
    </row>
    <row r="562" spans="1:11" x14ac:dyDescent="0.4">
      <c r="A562" s="19">
        <v>45858.083333333336</v>
      </c>
      <c r="B562" s="20">
        <f t="shared" si="49"/>
        <v>8.3333333335758653E-2</v>
      </c>
      <c r="C562">
        <v>0</v>
      </c>
      <c r="D562">
        <v>489.62400000000002</v>
      </c>
      <c r="E562">
        <f t="shared" si="48"/>
        <v>489.46900000000005</v>
      </c>
      <c r="F562">
        <v>489.54500000000002</v>
      </c>
      <c r="G562">
        <f t="shared" si="50"/>
        <v>0</v>
      </c>
      <c r="H562">
        <v>1.82</v>
      </c>
      <c r="I562">
        <f t="shared" si="51"/>
        <v>0</v>
      </c>
      <c r="J562">
        <f t="shared" si="52"/>
        <v>0</v>
      </c>
      <c r="K562">
        <f t="shared" si="53"/>
        <v>0</v>
      </c>
    </row>
    <row r="563" spans="1:11" x14ac:dyDescent="0.4">
      <c r="A563" s="19">
        <v>45858.125</v>
      </c>
      <c r="B563" s="20">
        <f t="shared" si="49"/>
        <v>0.125</v>
      </c>
      <c r="C563">
        <v>0</v>
      </c>
      <c r="D563">
        <v>489.62400000000002</v>
      </c>
      <c r="E563">
        <f t="shared" si="48"/>
        <v>489.46900000000005</v>
      </c>
      <c r="F563">
        <v>489.54500000000002</v>
      </c>
      <c r="G563">
        <f t="shared" si="50"/>
        <v>0</v>
      </c>
      <c r="H563">
        <v>1.82</v>
      </c>
      <c r="I563">
        <f t="shared" si="51"/>
        <v>0</v>
      </c>
      <c r="J563">
        <f t="shared" si="52"/>
        <v>0</v>
      </c>
      <c r="K563">
        <f t="shared" si="53"/>
        <v>0</v>
      </c>
    </row>
    <row r="564" spans="1:11" x14ac:dyDescent="0.4">
      <c r="A564" s="19">
        <v>45858.166666666664</v>
      </c>
      <c r="B564" s="20">
        <f t="shared" si="49"/>
        <v>0.16666666666424135</v>
      </c>
      <c r="C564">
        <v>0</v>
      </c>
      <c r="D564">
        <v>489.62400000000002</v>
      </c>
      <c r="E564">
        <f t="shared" si="48"/>
        <v>489.46900000000005</v>
      </c>
      <c r="F564">
        <v>489.54500000000002</v>
      </c>
      <c r="G564">
        <f t="shared" si="50"/>
        <v>0</v>
      </c>
      <c r="H564">
        <v>1.82</v>
      </c>
      <c r="I564">
        <f t="shared" si="51"/>
        <v>0</v>
      </c>
      <c r="J564">
        <f t="shared" si="52"/>
        <v>0</v>
      </c>
      <c r="K564">
        <f t="shared" si="53"/>
        <v>0</v>
      </c>
    </row>
    <row r="565" spans="1:11" x14ac:dyDescent="0.4">
      <c r="A565" s="19">
        <v>45858.208333333336</v>
      </c>
      <c r="B565" s="20">
        <f t="shared" si="49"/>
        <v>0.20833333333575865</v>
      </c>
      <c r="C565">
        <v>0</v>
      </c>
      <c r="D565">
        <v>489.62400000000002</v>
      </c>
      <c r="E565">
        <f t="shared" si="48"/>
        <v>489.46900000000005</v>
      </c>
      <c r="F565">
        <v>489.54500000000002</v>
      </c>
      <c r="G565">
        <f t="shared" si="50"/>
        <v>0</v>
      </c>
      <c r="H565">
        <v>1.82</v>
      </c>
      <c r="I565">
        <f t="shared" si="51"/>
        <v>0</v>
      </c>
      <c r="J565">
        <f t="shared" si="52"/>
        <v>0</v>
      </c>
      <c r="K565">
        <f t="shared" si="53"/>
        <v>0</v>
      </c>
    </row>
    <row r="566" spans="1:11" x14ac:dyDescent="0.4">
      <c r="A566" s="19">
        <v>45858.25</v>
      </c>
      <c r="B566" s="20">
        <f t="shared" si="49"/>
        <v>0.25</v>
      </c>
      <c r="C566">
        <v>0</v>
      </c>
      <c r="D566">
        <v>489.61700000000002</v>
      </c>
      <c r="E566">
        <f t="shared" si="48"/>
        <v>489.46200000000005</v>
      </c>
      <c r="F566">
        <v>489.54500000000002</v>
      </c>
      <c r="G566">
        <f t="shared" si="50"/>
        <v>0</v>
      </c>
      <c r="H566">
        <v>1.82</v>
      </c>
      <c r="I566">
        <f t="shared" si="51"/>
        <v>0</v>
      </c>
      <c r="J566">
        <f t="shared" si="52"/>
        <v>0</v>
      </c>
      <c r="K566">
        <f t="shared" si="53"/>
        <v>0</v>
      </c>
    </row>
    <row r="567" spans="1:11" x14ac:dyDescent="0.4">
      <c r="A567" s="19">
        <v>45858.291666666664</v>
      </c>
      <c r="B567" s="20">
        <f t="shared" si="49"/>
        <v>0.29166666666424135</v>
      </c>
      <c r="C567">
        <v>0</v>
      </c>
      <c r="D567">
        <v>489.61700000000002</v>
      </c>
      <c r="E567">
        <f t="shared" si="48"/>
        <v>489.46200000000005</v>
      </c>
      <c r="F567">
        <v>489.54500000000002</v>
      </c>
      <c r="G567">
        <f t="shared" si="50"/>
        <v>0</v>
      </c>
      <c r="H567">
        <v>1.82</v>
      </c>
      <c r="I567">
        <f t="shared" si="51"/>
        <v>0</v>
      </c>
      <c r="J567">
        <f t="shared" si="52"/>
        <v>0</v>
      </c>
      <c r="K567">
        <f t="shared" si="53"/>
        <v>0</v>
      </c>
    </row>
    <row r="568" spans="1:11" x14ac:dyDescent="0.4">
      <c r="A568" s="19">
        <v>45858.333333333336</v>
      </c>
      <c r="B568" s="20">
        <f t="shared" si="49"/>
        <v>0.33333333333575865</v>
      </c>
      <c r="C568">
        <v>2.2000000000000002</v>
      </c>
      <c r="D568">
        <v>489.61700000000002</v>
      </c>
      <c r="E568">
        <f t="shared" si="48"/>
        <v>489.46200000000005</v>
      </c>
      <c r="F568">
        <v>489.54500000000002</v>
      </c>
      <c r="G568">
        <f t="shared" si="50"/>
        <v>0</v>
      </c>
      <c r="H568">
        <v>1.82</v>
      </c>
      <c r="I568">
        <f t="shared" si="51"/>
        <v>0</v>
      </c>
      <c r="J568">
        <f t="shared" si="52"/>
        <v>0</v>
      </c>
      <c r="K568">
        <f t="shared" si="53"/>
        <v>0</v>
      </c>
    </row>
    <row r="569" spans="1:11" x14ac:dyDescent="0.4">
      <c r="A569" s="19">
        <v>45858.375</v>
      </c>
      <c r="B569" s="20">
        <f t="shared" si="49"/>
        <v>0.375</v>
      </c>
      <c r="C569">
        <v>8.6</v>
      </c>
      <c r="D569">
        <v>489.63</v>
      </c>
      <c r="E569">
        <f t="shared" si="48"/>
        <v>489.47500000000002</v>
      </c>
      <c r="F569">
        <v>489.54500000000002</v>
      </c>
      <c r="G569">
        <f t="shared" si="50"/>
        <v>0</v>
      </c>
      <c r="H569">
        <v>1.82</v>
      </c>
      <c r="I569">
        <f t="shared" si="51"/>
        <v>0</v>
      </c>
      <c r="J569">
        <f t="shared" si="52"/>
        <v>0</v>
      </c>
      <c r="K569">
        <f t="shared" si="53"/>
        <v>0</v>
      </c>
    </row>
    <row r="570" spans="1:11" x14ac:dyDescent="0.4">
      <c r="A570" s="19">
        <v>45858.416666666664</v>
      </c>
      <c r="B570" s="20">
        <f t="shared" si="49"/>
        <v>0.41666666666424135</v>
      </c>
      <c r="C570">
        <v>0</v>
      </c>
      <c r="D570">
        <v>489.63</v>
      </c>
      <c r="E570">
        <f t="shared" si="48"/>
        <v>489.47500000000002</v>
      </c>
      <c r="F570">
        <v>489.54500000000002</v>
      </c>
      <c r="G570">
        <f t="shared" si="50"/>
        <v>0</v>
      </c>
      <c r="H570">
        <v>1.82</v>
      </c>
      <c r="I570">
        <f t="shared" si="51"/>
        <v>0</v>
      </c>
      <c r="J570">
        <f t="shared" si="52"/>
        <v>0</v>
      </c>
      <c r="K570">
        <f t="shared" si="53"/>
        <v>0</v>
      </c>
    </row>
    <row r="571" spans="1:11" x14ac:dyDescent="0.4">
      <c r="A571" s="19">
        <v>45858.458333333336</v>
      </c>
      <c r="B571" s="20">
        <f t="shared" si="49"/>
        <v>0.45833333333575865</v>
      </c>
      <c r="C571">
        <v>0</v>
      </c>
      <c r="D571">
        <v>489.62900000000002</v>
      </c>
      <c r="E571">
        <f t="shared" si="48"/>
        <v>489.47400000000005</v>
      </c>
      <c r="F571">
        <v>489.54500000000002</v>
      </c>
      <c r="G571">
        <f t="shared" si="50"/>
        <v>0</v>
      </c>
      <c r="H571">
        <v>1.82</v>
      </c>
      <c r="I571">
        <f t="shared" si="51"/>
        <v>0</v>
      </c>
      <c r="J571">
        <f t="shared" si="52"/>
        <v>0</v>
      </c>
      <c r="K571">
        <f t="shared" si="53"/>
        <v>0</v>
      </c>
    </row>
    <row r="572" spans="1:11" x14ac:dyDescent="0.4">
      <c r="A572" s="19">
        <v>45858.5</v>
      </c>
      <c r="B572" s="20">
        <f t="shared" si="49"/>
        <v>0.5</v>
      </c>
      <c r="C572">
        <v>0</v>
      </c>
      <c r="D572">
        <v>489.63499999999999</v>
      </c>
      <c r="E572">
        <f t="shared" si="48"/>
        <v>489.48</v>
      </c>
      <c r="F572">
        <v>489.54500000000002</v>
      </c>
      <c r="G572">
        <f t="shared" si="50"/>
        <v>0</v>
      </c>
      <c r="H572">
        <v>1.82</v>
      </c>
      <c r="I572">
        <f t="shared" si="51"/>
        <v>0</v>
      </c>
      <c r="J572">
        <f t="shared" si="52"/>
        <v>0</v>
      </c>
      <c r="K572">
        <f t="shared" si="53"/>
        <v>0</v>
      </c>
    </row>
    <row r="573" spans="1:11" x14ac:dyDescent="0.4">
      <c r="A573" s="19">
        <v>45858.541666666664</v>
      </c>
      <c r="B573" s="20">
        <f t="shared" si="49"/>
        <v>0.54166666666424135</v>
      </c>
      <c r="C573">
        <v>0</v>
      </c>
      <c r="D573">
        <v>489.62900000000002</v>
      </c>
      <c r="E573">
        <f t="shared" si="48"/>
        <v>489.47400000000005</v>
      </c>
      <c r="F573">
        <v>489.54500000000002</v>
      </c>
      <c r="G573">
        <f t="shared" si="50"/>
        <v>0</v>
      </c>
      <c r="H573">
        <v>1.82</v>
      </c>
      <c r="I573">
        <f t="shared" si="51"/>
        <v>0</v>
      </c>
      <c r="J573">
        <f t="shared" si="52"/>
        <v>0</v>
      </c>
      <c r="K573">
        <f t="shared" si="53"/>
        <v>0</v>
      </c>
    </row>
    <row r="574" spans="1:11" x14ac:dyDescent="0.4">
      <c r="A574" s="19">
        <v>45858.583333333336</v>
      </c>
      <c r="B574" s="20">
        <f t="shared" si="49"/>
        <v>0.58333333333575865</v>
      </c>
      <c r="C574">
        <v>0</v>
      </c>
      <c r="D574">
        <v>489.63600000000002</v>
      </c>
      <c r="E574">
        <f t="shared" si="48"/>
        <v>489.48100000000005</v>
      </c>
      <c r="F574">
        <v>489.54500000000002</v>
      </c>
      <c r="G574">
        <f t="shared" si="50"/>
        <v>0</v>
      </c>
      <c r="H574">
        <v>1.82</v>
      </c>
      <c r="I574">
        <f t="shared" si="51"/>
        <v>0</v>
      </c>
      <c r="J574">
        <f t="shared" si="52"/>
        <v>0</v>
      </c>
      <c r="K574">
        <f t="shared" si="53"/>
        <v>0</v>
      </c>
    </row>
    <row r="575" spans="1:11" x14ac:dyDescent="0.4">
      <c r="A575" s="19">
        <v>45858.625</v>
      </c>
      <c r="B575" s="20">
        <f t="shared" si="49"/>
        <v>0.625</v>
      </c>
      <c r="C575">
        <v>0</v>
      </c>
      <c r="D575">
        <v>489.63600000000002</v>
      </c>
      <c r="E575">
        <f t="shared" si="48"/>
        <v>489.48100000000005</v>
      </c>
      <c r="F575">
        <v>489.54500000000002</v>
      </c>
      <c r="G575">
        <f t="shared" si="50"/>
        <v>0</v>
      </c>
      <c r="H575">
        <v>1.82</v>
      </c>
      <c r="I575">
        <f t="shared" si="51"/>
        <v>0</v>
      </c>
      <c r="J575">
        <f t="shared" si="52"/>
        <v>0</v>
      </c>
      <c r="K575">
        <f t="shared" si="53"/>
        <v>0</v>
      </c>
    </row>
    <row r="576" spans="1:11" x14ac:dyDescent="0.4">
      <c r="A576" s="19">
        <v>45858.666666666664</v>
      </c>
      <c r="B576" s="20">
        <f t="shared" si="49"/>
        <v>0.66666666666424135</v>
      </c>
      <c r="C576">
        <v>0</v>
      </c>
      <c r="D576">
        <v>489.63600000000002</v>
      </c>
      <c r="E576">
        <f t="shared" si="48"/>
        <v>489.48100000000005</v>
      </c>
      <c r="F576">
        <v>489.54500000000002</v>
      </c>
      <c r="G576">
        <f t="shared" si="50"/>
        <v>0</v>
      </c>
      <c r="H576">
        <v>1.82</v>
      </c>
      <c r="I576">
        <f t="shared" si="51"/>
        <v>0</v>
      </c>
      <c r="J576">
        <f t="shared" si="52"/>
        <v>0</v>
      </c>
      <c r="K576">
        <f t="shared" si="53"/>
        <v>0</v>
      </c>
    </row>
    <row r="577" spans="1:11" x14ac:dyDescent="0.4">
      <c r="A577" s="19">
        <v>45858.708333333336</v>
      </c>
      <c r="B577" s="20">
        <f t="shared" si="49"/>
        <v>0.70833333333575865</v>
      </c>
      <c r="C577">
        <v>0</v>
      </c>
      <c r="D577">
        <v>489.63600000000002</v>
      </c>
      <c r="E577">
        <f t="shared" si="48"/>
        <v>489.48100000000005</v>
      </c>
      <c r="F577">
        <v>489.54500000000002</v>
      </c>
      <c r="G577">
        <f t="shared" si="50"/>
        <v>0</v>
      </c>
      <c r="H577">
        <v>1.82</v>
      </c>
      <c r="I577">
        <f t="shared" si="51"/>
        <v>0</v>
      </c>
      <c r="J577">
        <f t="shared" si="52"/>
        <v>0</v>
      </c>
      <c r="K577">
        <f t="shared" si="53"/>
        <v>0</v>
      </c>
    </row>
    <row r="578" spans="1:11" x14ac:dyDescent="0.4">
      <c r="A578" s="19">
        <v>45858.75</v>
      </c>
      <c r="B578" s="20">
        <f t="shared" si="49"/>
        <v>0.75</v>
      </c>
      <c r="C578">
        <v>0</v>
      </c>
      <c r="D578">
        <v>489.62900000000002</v>
      </c>
      <c r="E578">
        <f t="shared" ref="E578:E641" si="54">D578-0.155</f>
        <v>489.47400000000005</v>
      </c>
      <c r="F578">
        <v>489.54500000000002</v>
      </c>
      <c r="G578">
        <f t="shared" si="50"/>
        <v>0</v>
      </c>
      <c r="H578">
        <v>1.82</v>
      </c>
      <c r="I578">
        <f t="shared" si="51"/>
        <v>0</v>
      </c>
      <c r="J578">
        <f t="shared" si="52"/>
        <v>0</v>
      </c>
      <c r="K578">
        <f t="shared" si="53"/>
        <v>0</v>
      </c>
    </row>
    <row r="579" spans="1:11" x14ac:dyDescent="0.4">
      <c r="A579" s="19">
        <v>45858.791666666664</v>
      </c>
      <c r="B579" s="20">
        <f t="shared" ref="B579:B642" si="55">MOD(A579,1)</f>
        <v>0.79166666666424135</v>
      </c>
      <c r="C579">
        <v>0</v>
      </c>
      <c r="D579">
        <v>489.62900000000002</v>
      </c>
      <c r="E579">
        <f t="shared" si="54"/>
        <v>489.47400000000005</v>
      </c>
      <c r="F579">
        <v>489.54500000000002</v>
      </c>
      <c r="G579">
        <f t="shared" ref="G579:G642" si="56">IF(E579 - F579 &lt; 0, 0, E579 - F579)</f>
        <v>0</v>
      </c>
      <c r="H579">
        <v>1.82</v>
      </c>
      <c r="I579">
        <f t="shared" ref="I579:I642" si="57">1.82*30*(G579^1.5)</f>
        <v>0</v>
      </c>
      <c r="J579">
        <f t="shared" ref="J579:J642" si="58">I579*60</f>
        <v>0</v>
      </c>
      <c r="K579">
        <f t="shared" ref="K579:K642" si="59">(I579*86400)/24</f>
        <v>0</v>
      </c>
    </row>
    <row r="580" spans="1:11" x14ac:dyDescent="0.4">
      <c r="A580" s="19">
        <v>45858.833333333336</v>
      </c>
      <c r="B580" s="20">
        <f t="shared" si="55"/>
        <v>0.83333333333575865</v>
      </c>
      <c r="C580">
        <v>0</v>
      </c>
      <c r="D580">
        <v>489.62900000000002</v>
      </c>
      <c r="E580">
        <f t="shared" si="54"/>
        <v>489.47400000000005</v>
      </c>
      <c r="F580">
        <v>489.54500000000002</v>
      </c>
      <c r="G580">
        <f t="shared" si="56"/>
        <v>0</v>
      </c>
      <c r="H580">
        <v>1.82</v>
      </c>
      <c r="I580">
        <f t="shared" si="57"/>
        <v>0</v>
      </c>
      <c r="J580">
        <f t="shared" si="58"/>
        <v>0</v>
      </c>
      <c r="K580">
        <f t="shared" si="59"/>
        <v>0</v>
      </c>
    </row>
    <row r="581" spans="1:11" x14ac:dyDescent="0.4">
      <c r="A581" s="19">
        <v>45858.875</v>
      </c>
      <c r="B581" s="20">
        <f t="shared" si="55"/>
        <v>0.875</v>
      </c>
      <c r="C581">
        <v>0</v>
      </c>
      <c r="D581">
        <v>489.62900000000002</v>
      </c>
      <c r="E581">
        <f t="shared" si="54"/>
        <v>489.47400000000005</v>
      </c>
      <c r="F581">
        <v>489.54500000000002</v>
      </c>
      <c r="G581">
        <f t="shared" si="56"/>
        <v>0</v>
      </c>
      <c r="H581">
        <v>1.82</v>
      </c>
      <c r="I581">
        <f t="shared" si="57"/>
        <v>0</v>
      </c>
      <c r="J581">
        <f t="shared" si="58"/>
        <v>0</v>
      </c>
      <c r="K581">
        <f t="shared" si="59"/>
        <v>0</v>
      </c>
    </row>
    <row r="582" spans="1:11" x14ac:dyDescent="0.4">
      <c r="A582" s="19">
        <v>45858.916666666664</v>
      </c>
      <c r="B582" s="20">
        <f t="shared" si="55"/>
        <v>0.91666666666424135</v>
      </c>
      <c r="C582">
        <v>0</v>
      </c>
      <c r="D582">
        <v>489.62400000000002</v>
      </c>
      <c r="E582">
        <f t="shared" si="54"/>
        <v>489.46900000000005</v>
      </c>
      <c r="F582">
        <v>489.54500000000002</v>
      </c>
      <c r="G582">
        <f t="shared" si="56"/>
        <v>0</v>
      </c>
      <c r="H582">
        <v>1.82</v>
      </c>
      <c r="I582">
        <f t="shared" si="57"/>
        <v>0</v>
      </c>
      <c r="J582">
        <f t="shared" si="58"/>
        <v>0</v>
      </c>
      <c r="K582">
        <f t="shared" si="59"/>
        <v>0</v>
      </c>
    </row>
    <row r="583" spans="1:11" x14ac:dyDescent="0.4">
      <c r="A583" s="19">
        <v>45858.958333333336</v>
      </c>
      <c r="B583" s="20">
        <f t="shared" si="55"/>
        <v>0.95833333333575865</v>
      </c>
      <c r="C583">
        <v>0</v>
      </c>
      <c r="D583">
        <v>489.62400000000002</v>
      </c>
      <c r="E583">
        <f t="shared" si="54"/>
        <v>489.46900000000005</v>
      </c>
      <c r="F583">
        <v>489.54500000000002</v>
      </c>
      <c r="G583">
        <f t="shared" si="56"/>
        <v>0</v>
      </c>
      <c r="H583">
        <v>1.82</v>
      </c>
      <c r="I583">
        <f t="shared" si="57"/>
        <v>0</v>
      </c>
      <c r="J583">
        <f t="shared" si="58"/>
        <v>0</v>
      </c>
      <c r="K583">
        <f t="shared" si="59"/>
        <v>0</v>
      </c>
    </row>
    <row r="584" spans="1:11" x14ac:dyDescent="0.4">
      <c r="A584" s="19">
        <v>45859</v>
      </c>
      <c r="B584" s="20">
        <f t="shared" si="55"/>
        <v>0</v>
      </c>
      <c r="C584">
        <v>0</v>
      </c>
      <c r="D584">
        <v>489.62400000000002</v>
      </c>
      <c r="E584">
        <f t="shared" si="54"/>
        <v>489.46900000000005</v>
      </c>
      <c r="F584">
        <v>489.54500000000002</v>
      </c>
      <c r="G584">
        <f t="shared" si="56"/>
        <v>0</v>
      </c>
      <c r="H584">
        <v>1.82</v>
      </c>
      <c r="I584">
        <f t="shared" si="57"/>
        <v>0</v>
      </c>
      <c r="J584">
        <f t="shared" si="58"/>
        <v>0</v>
      </c>
      <c r="K584">
        <f t="shared" si="59"/>
        <v>0</v>
      </c>
    </row>
    <row r="585" spans="1:11" x14ac:dyDescent="0.4">
      <c r="A585" s="19">
        <v>45859.041666666664</v>
      </c>
      <c r="B585" s="20">
        <f t="shared" si="55"/>
        <v>4.1666666664241347E-2</v>
      </c>
      <c r="C585">
        <v>0</v>
      </c>
      <c r="D585">
        <v>489.62400000000002</v>
      </c>
      <c r="E585">
        <f t="shared" si="54"/>
        <v>489.46900000000005</v>
      </c>
      <c r="F585">
        <v>489.54500000000002</v>
      </c>
      <c r="G585">
        <f t="shared" si="56"/>
        <v>0</v>
      </c>
      <c r="H585">
        <v>1.82</v>
      </c>
      <c r="I585">
        <f t="shared" si="57"/>
        <v>0</v>
      </c>
      <c r="J585">
        <f t="shared" si="58"/>
        <v>0</v>
      </c>
      <c r="K585">
        <f t="shared" si="59"/>
        <v>0</v>
      </c>
    </row>
    <row r="586" spans="1:11" x14ac:dyDescent="0.4">
      <c r="A586" s="19">
        <v>45859.083333333336</v>
      </c>
      <c r="B586" s="20">
        <f t="shared" si="55"/>
        <v>8.3333333335758653E-2</v>
      </c>
      <c r="C586">
        <v>0</v>
      </c>
      <c r="D586">
        <v>489.62400000000002</v>
      </c>
      <c r="E586">
        <f t="shared" si="54"/>
        <v>489.46900000000005</v>
      </c>
      <c r="F586">
        <v>489.54500000000002</v>
      </c>
      <c r="G586">
        <f t="shared" si="56"/>
        <v>0</v>
      </c>
      <c r="H586">
        <v>1.82</v>
      </c>
      <c r="I586">
        <f t="shared" si="57"/>
        <v>0</v>
      </c>
      <c r="J586">
        <f t="shared" si="58"/>
        <v>0</v>
      </c>
      <c r="K586">
        <f t="shared" si="59"/>
        <v>0</v>
      </c>
    </row>
    <row r="587" spans="1:11" x14ac:dyDescent="0.4">
      <c r="A587" s="19">
        <v>45859.125</v>
      </c>
      <c r="B587" s="20">
        <f t="shared" si="55"/>
        <v>0.125</v>
      </c>
      <c r="C587">
        <v>0</v>
      </c>
      <c r="D587">
        <v>489.61700000000002</v>
      </c>
      <c r="E587">
        <f t="shared" si="54"/>
        <v>489.46200000000005</v>
      </c>
      <c r="F587">
        <v>489.54500000000002</v>
      </c>
      <c r="G587">
        <f t="shared" si="56"/>
        <v>0</v>
      </c>
      <c r="H587">
        <v>1.82</v>
      </c>
      <c r="I587">
        <f t="shared" si="57"/>
        <v>0</v>
      </c>
      <c r="J587">
        <f t="shared" si="58"/>
        <v>0</v>
      </c>
      <c r="K587">
        <f t="shared" si="59"/>
        <v>0</v>
      </c>
    </row>
    <row r="588" spans="1:11" x14ac:dyDescent="0.4">
      <c r="A588" s="19">
        <v>45859.166666666664</v>
      </c>
      <c r="B588" s="20">
        <f t="shared" si="55"/>
        <v>0.16666666666424135</v>
      </c>
      <c r="C588">
        <v>0</v>
      </c>
      <c r="D588">
        <v>489.61700000000002</v>
      </c>
      <c r="E588">
        <f t="shared" si="54"/>
        <v>489.46200000000005</v>
      </c>
      <c r="F588">
        <v>489.54500000000002</v>
      </c>
      <c r="G588">
        <f t="shared" si="56"/>
        <v>0</v>
      </c>
      <c r="H588">
        <v>1.82</v>
      </c>
      <c r="I588">
        <f t="shared" si="57"/>
        <v>0</v>
      </c>
      <c r="J588">
        <f t="shared" si="58"/>
        <v>0</v>
      </c>
      <c r="K588">
        <f t="shared" si="59"/>
        <v>0</v>
      </c>
    </row>
    <row r="589" spans="1:11" x14ac:dyDescent="0.4">
      <c r="A589" s="19">
        <v>45859.208333333336</v>
      </c>
      <c r="B589" s="20">
        <f t="shared" si="55"/>
        <v>0.20833333333575865</v>
      </c>
      <c r="C589">
        <v>0</v>
      </c>
      <c r="D589">
        <v>489.61700000000002</v>
      </c>
      <c r="E589">
        <f t="shared" si="54"/>
        <v>489.46200000000005</v>
      </c>
      <c r="F589">
        <v>489.54500000000002</v>
      </c>
      <c r="G589">
        <f t="shared" si="56"/>
        <v>0</v>
      </c>
      <c r="H589">
        <v>1.82</v>
      </c>
      <c r="I589">
        <f t="shared" si="57"/>
        <v>0</v>
      </c>
      <c r="J589">
        <f t="shared" si="58"/>
        <v>0</v>
      </c>
      <c r="K589">
        <f t="shared" si="59"/>
        <v>0</v>
      </c>
    </row>
    <row r="590" spans="1:11" x14ac:dyDescent="0.4">
      <c r="A590" s="19">
        <v>45859.25</v>
      </c>
      <c r="B590" s="20">
        <f t="shared" si="55"/>
        <v>0.25</v>
      </c>
      <c r="C590">
        <v>0</v>
      </c>
      <c r="D590">
        <v>489.61700000000002</v>
      </c>
      <c r="E590">
        <f t="shared" si="54"/>
        <v>489.46200000000005</v>
      </c>
      <c r="F590">
        <v>489.54500000000002</v>
      </c>
      <c r="G590">
        <f t="shared" si="56"/>
        <v>0</v>
      </c>
      <c r="H590">
        <v>1.82</v>
      </c>
      <c r="I590">
        <f t="shared" si="57"/>
        <v>0</v>
      </c>
      <c r="J590">
        <f t="shared" si="58"/>
        <v>0</v>
      </c>
      <c r="K590">
        <f t="shared" si="59"/>
        <v>0</v>
      </c>
    </row>
    <row r="591" spans="1:11" x14ac:dyDescent="0.4">
      <c r="A591" s="19">
        <v>45859.291666666664</v>
      </c>
      <c r="B591" s="20">
        <f t="shared" si="55"/>
        <v>0.29166666666424135</v>
      </c>
      <c r="C591">
        <v>0</v>
      </c>
      <c r="D591">
        <v>489.61700000000002</v>
      </c>
      <c r="E591">
        <f t="shared" si="54"/>
        <v>489.46200000000005</v>
      </c>
      <c r="F591">
        <v>489.54500000000002</v>
      </c>
      <c r="G591">
        <f t="shared" si="56"/>
        <v>0</v>
      </c>
      <c r="H591">
        <v>1.82</v>
      </c>
      <c r="I591">
        <f t="shared" si="57"/>
        <v>0</v>
      </c>
      <c r="J591">
        <f t="shared" si="58"/>
        <v>0</v>
      </c>
      <c r="K591">
        <f t="shared" si="59"/>
        <v>0</v>
      </c>
    </row>
    <row r="592" spans="1:11" x14ac:dyDescent="0.4">
      <c r="A592" s="19">
        <v>45859.333333333336</v>
      </c>
      <c r="B592" s="20">
        <f t="shared" si="55"/>
        <v>0.33333333333575865</v>
      </c>
      <c r="C592">
        <v>0</v>
      </c>
      <c r="D592">
        <v>489.61700000000002</v>
      </c>
      <c r="E592">
        <f t="shared" si="54"/>
        <v>489.46200000000005</v>
      </c>
      <c r="F592">
        <v>489.54500000000002</v>
      </c>
      <c r="G592">
        <f t="shared" si="56"/>
        <v>0</v>
      </c>
      <c r="H592">
        <v>1.82</v>
      </c>
      <c r="I592">
        <f t="shared" si="57"/>
        <v>0</v>
      </c>
      <c r="J592">
        <f t="shared" si="58"/>
        <v>0</v>
      </c>
      <c r="K592">
        <f t="shared" si="59"/>
        <v>0</v>
      </c>
    </row>
    <row r="593" spans="1:11" x14ac:dyDescent="0.4">
      <c r="A593" s="19">
        <v>45859.375</v>
      </c>
      <c r="B593" s="20">
        <f t="shared" si="55"/>
        <v>0.375</v>
      </c>
      <c r="C593">
        <v>0</v>
      </c>
      <c r="D593">
        <v>489.61700000000002</v>
      </c>
      <c r="E593">
        <f t="shared" si="54"/>
        <v>489.46200000000005</v>
      </c>
      <c r="F593">
        <v>489.54500000000002</v>
      </c>
      <c r="G593">
        <f t="shared" si="56"/>
        <v>0</v>
      </c>
      <c r="H593">
        <v>1.82</v>
      </c>
      <c r="I593">
        <f t="shared" si="57"/>
        <v>0</v>
      </c>
      <c r="J593">
        <f t="shared" si="58"/>
        <v>0</v>
      </c>
      <c r="K593">
        <f t="shared" si="59"/>
        <v>0</v>
      </c>
    </row>
    <row r="594" spans="1:11" x14ac:dyDescent="0.4">
      <c r="A594" s="19">
        <v>45859.416666666664</v>
      </c>
      <c r="B594" s="20">
        <f t="shared" si="55"/>
        <v>0.41666666666424135</v>
      </c>
      <c r="C594">
        <v>0</v>
      </c>
      <c r="D594">
        <v>489.61099999999999</v>
      </c>
      <c r="E594">
        <f t="shared" si="54"/>
        <v>489.45600000000002</v>
      </c>
      <c r="F594">
        <v>489.54500000000002</v>
      </c>
      <c r="G594">
        <f t="shared" si="56"/>
        <v>0</v>
      </c>
      <c r="H594">
        <v>1.82</v>
      </c>
      <c r="I594">
        <f t="shared" si="57"/>
        <v>0</v>
      </c>
      <c r="J594">
        <f t="shared" si="58"/>
        <v>0</v>
      </c>
      <c r="K594">
        <f t="shared" si="59"/>
        <v>0</v>
      </c>
    </row>
    <row r="595" spans="1:11" x14ac:dyDescent="0.4">
      <c r="A595" s="19">
        <v>45859.458333333336</v>
      </c>
      <c r="B595" s="20">
        <f t="shared" si="55"/>
        <v>0.45833333333575865</v>
      </c>
      <c r="C595">
        <v>0</v>
      </c>
      <c r="D595">
        <v>489.61700000000002</v>
      </c>
      <c r="E595">
        <f t="shared" si="54"/>
        <v>489.46200000000005</v>
      </c>
      <c r="F595">
        <v>489.54500000000002</v>
      </c>
      <c r="G595">
        <f t="shared" si="56"/>
        <v>0</v>
      </c>
      <c r="H595">
        <v>1.82</v>
      </c>
      <c r="I595">
        <f t="shared" si="57"/>
        <v>0</v>
      </c>
      <c r="J595">
        <f t="shared" si="58"/>
        <v>0</v>
      </c>
      <c r="K595">
        <f t="shared" si="59"/>
        <v>0</v>
      </c>
    </row>
    <row r="596" spans="1:11" x14ac:dyDescent="0.4">
      <c r="A596" s="19">
        <v>45859.5</v>
      </c>
      <c r="B596" s="20">
        <f t="shared" si="55"/>
        <v>0.5</v>
      </c>
      <c r="C596">
        <v>0</v>
      </c>
      <c r="D596">
        <v>489.61599999999999</v>
      </c>
      <c r="E596">
        <f t="shared" si="54"/>
        <v>489.46100000000001</v>
      </c>
      <c r="F596">
        <v>489.54500000000002</v>
      </c>
      <c r="G596">
        <f t="shared" si="56"/>
        <v>0</v>
      </c>
      <c r="H596">
        <v>1.82</v>
      </c>
      <c r="I596">
        <f t="shared" si="57"/>
        <v>0</v>
      </c>
      <c r="J596">
        <f t="shared" si="58"/>
        <v>0</v>
      </c>
      <c r="K596">
        <f t="shared" si="59"/>
        <v>0</v>
      </c>
    </row>
    <row r="597" spans="1:11" x14ac:dyDescent="0.4">
      <c r="A597" s="19">
        <v>45859.541666666664</v>
      </c>
      <c r="B597" s="20">
        <f t="shared" si="55"/>
        <v>0.54166666666424135</v>
      </c>
      <c r="C597">
        <v>0</v>
      </c>
      <c r="D597">
        <v>489.61099999999999</v>
      </c>
      <c r="E597">
        <f t="shared" si="54"/>
        <v>489.45600000000002</v>
      </c>
      <c r="F597">
        <v>489.54500000000002</v>
      </c>
      <c r="G597">
        <f t="shared" si="56"/>
        <v>0</v>
      </c>
      <c r="H597">
        <v>1.82</v>
      </c>
      <c r="I597">
        <f t="shared" si="57"/>
        <v>0</v>
      </c>
      <c r="J597">
        <f t="shared" si="58"/>
        <v>0</v>
      </c>
      <c r="K597">
        <f t="shared" si="59"/>
        <v>0</v>
      </c>
    </row>
    <row r="598" spans="1:11" x14ac:dyDescent="0.4">
      <c r="A598" s="19">
        <v>45859.583333333336</v>
      </c>
      <c r="B598" s="20">
        <f t="shared" si="55"/>
        <v>0.58333333333575865</v>
      </c>
      <c r="C598">
        <v>0</v>
      </c>
      <c r="D598">
        <v>489.61099999999999</v>
      </c>
      <c r="E598">
        <f t="shared" si="54"/>
        <v>489.45600000000002</v>
      </c>
      <c r="F598">
        <v>489.54500000000002</v>
      </c>
      <c r="G598">
        <f t="shared" si="56"/>
        <v>0</v>
      </c>
      <c r="H598">
        <v>1.82</v>
      </c>
      <c r="I598">
        <f t="shared" si="57"/>
        <v>0</v>
      </c>
      <c r="J598">
        <f t="shared" si="58"/>
        <v>0</v>
      </c>
      <c r="K598">
        <f t="shared" si="59"/>
        <v>0</v>
      </c>
    </row>
    <row r="599" spans="1:11" x14ac:dyDescent="0.4">
      <c r="A599" s="19">
        <v>45859.625</v>
      </c>
      <c r="B599" s="20">
        <f t="shared" si="55"/>
        <v>0.625</v>
      </c>
      <c r="C599">
        <v>0</v>
      </c>
      <c r="D599">
        <v>489.61099999999999</v>
      </c>
      <c r="E599">
        <f t="shared" si="54"/>
        <v>489.45600000000002</v>
      </c>
      <c r="F599">
        <v>489.54500000000002</v>
      </c>
      <c r="G599">
        <f t="shared" si="56"/>
        <v>0</v>
      </c>
      <c r="H599">
        <v>1.82</v>
      </c>
      <c r="I599">
        <f t="shared" si="57"/>
        <v>0</v>
      </c>
      <c r="J599">
        <f t="shared" si="58"/>
        <v>0</v>
      </c>
      <c r="K599">
        <f t="shared" si="59"/>
        <v>0</v>
      </c>
    </row>
    <row r="600" spans="1:11" x14ac:dyDescent="0.4">
      <c r="A600" s="19">
        <v>45859.666666666664</v>
      </c>
      <c r="B600" s="20">
        <f t="shared" si="55"/>
        <v>0.66666666666424135</v>
      </c>
      <c r="C600">
        <v>0</v>
      </c>
      <c r="D600">
        <v>489.61099999999999</v>
      </c>
      <c r="E600">
        <f t="shared" si="54"/>
        <v>489.45600000000002</v>
      </c>
      <c r="F600">
        <v>489.54500000000002</v>
      </c>
      <c r="G600">
        <f t="shared" si="56"/>
        <v>0</v>
      </c>
      <c r="H600">
        <v>1.82</v>
      </c>
      <c r="I600">
        <f t="shared" si="57"/>
        <v>0</v>
      </c>
      <c r="J600">
        <f t="shared" si="58"/>
        <v>0</v>
      </c>
      <c r="K600">
        <f t="shared" si="59"/>
        <v>0</v>
      </c>
    </row>
    <row r="601" spans="1:11" x14ac:dyDescent="0.4">
      <c r="A601" s="19">
        <v>45859.708333333336</v>
      </c>
      <c r="B601" s="20">
        <f t="shared" si="55"/>
        <v>0.70833333333575865</v>
      </c>
      <c r="C601">
        <v>0</v>
      </c>
      <c r="D601">
        <v>489.61099999999999</v>
      </c>
      <c r="E601">
        <f t="shared" si="54"/>
        <v>489.45600000000002</v>
      </c>
      <c r="F601">
        <v>489.54500000000002</v>
      </c>
      <c r="G601">
        <f t="shared" si="56"/>
        <v>0</v>
      </c>
      <c r="H601">
        <v>1.82</v>
      </c>
      <c r="I601">
        <f t="shared" si="57"/>
        <v>0</v>
      </c>
      <c r="J601">
        <f t="shared" si="58"/>
        <v>0</v>
      </c>
      <c r="K601">
        <f t="shared" si="59"/>
        <v>0</v>
      </c>
    </row>
    <row r="602" spans="1:11" x14ac:dyDescent="0.4">
      <c r="A602" s="19">
        <v>45859.75</v>
      </c>
      <c r="B602" s="20">
        <f t="shared" si="55"/>
        <v>0.75</v>
      </c>
      <c r="C602">
        <v>0</v>
      </c>
      <c r="D602">
        <v>489.61099999999999</v>
      </c>
      <c r="E602">
        <f t="shared" si="54"/>
        <v>489.45600000000002</v>
      </c>
      <c r="F602">
        <v>489.54500000000002</v>
      </c>
      <c r="G602">
        <f t="shared" si="56"/>
        <v>0</v>
      </c>
      <c r="H602">
        <v>1.82</v>
      </c>
      <c r="I602">
        <f t="shared" si="57"/>
        <v>0</v>
      </c>
      <c r="J602">
        <f t="shared" si="58"/>
        <v>0</v>
      </c>
      <c r="K602">
        <f t="shared" si="59"/>
        <v>0</v>
      </c>
    </row>
    <row r="603" spans="1:11" x14ac:dyDescent="0.4">
      <c r="A603" s="19">
        <v>45859.791666666664</v>
      </c>
      <c r="B603" s="20">
        <f t="shared" si="55"/>
        <v>0.79166666666424135</v>
      </c>
      <c r="C603">
        <v>0</v>
      </c>
      <c r="D603">
        <v>489.61099999999999</v>
      </c>
      <c r="E603">
        <f t="shared" si="54"/>
        <v>489.45600000000002</v>
      </c>
      <c r="F603">
        <v>489.54500000000002</v>
      </c>
      <c r="G603">
        <f t="shared" si="56"/>
        <v>0</v>
      </c>
      <c r="H603">
        <v>1.82</v>
      </c>
      <c r="I603">
        <f t="shared" si="57"/>
        <v>0</v>
      </c>
      <c r="J603">
        <f t="shared" si="58"/>
        <v>0</v>
      </c>
      <c r="K603">
        <f t="shared" si="59"/>
        <v>0</v>
      </c>
    </row>
    <row r="604" spans="1:11" x14ac:dyDescent="0.4">
      <c r="A604" s="19">
        <v>45859.833333333336</v>
      </c>
      <c r="B604" s="20">
        <f t="shared" si="55"/>
        <v>0.83333333333575865</v>
      </c>
      <c r="C604">
        <v>0</v>
      </c>
      <c r="D604">
        <v>489.60399999999998</v>
      </c>
      <c r="E604">
        <f t="shared" si="54"/>
        <v>489.44900000000001</v>
      </c>
      <c r="F604">
        <v>489.54500000000002</v>
      </c>
      <c r="G604">
        <f t="shared" si="56"/>
        <v>0</v>
      </c>
      <c r="H604">
        <v>1.82</v>
      </c>
      <c r="I604">
        <f t="shared" si="57"/>
        <v>0</v>
      </c>
      <c r="J604">
        <f t="shared" si="58"/>
        <v>0</v>
      </c>
      <c r="K604">
        <f t="shared" si="59"/>
        <v>0</v>
      </c>
    </row>
    <row r="605" spans="1:11" x14ac:dyDescent="0.4">
      <c r="A605" s="19">
        <v>45859.875</v>
      </c>
      <c r="B605" s="20">
        <f t="shared" si="55"/>
        <v>0.875</v>
      </c>
      <c r="C605">
        <v>0</v>
      </c>
      <c r="D605">
        <v>489.60399999999998</v>
      </c>
      <c r="E605">
        <f t="shared" si="54"/>
        <v>489.44900000000001</v>
      </c>
      <c r="F605">
        <v>489.54500000000002</v>
      </c>
      <c r="G605">
        <f t="shared" si="56"/>
        <v>0</v>
      </c>
      <c r="H605">
        <v>1.82</v>
      </c>
      <c r="I605">
        <f t="shared" si="57"/>
        <v>0</v>
      </c>
      <c r="J605">
        <f t="shared" si="58"/>
        <v>0</v>
      </c>
      <c r="K605">
        <f t="shared" si="59"/>
        <v>0</v>
      </c>
    </row>
    <row r="606" spans="1:11" x14ac:dyDescent="0.4">
      <c r="A606" s="19">
        <v>45859.916666666664</v>
      </c>
      <c r="B606" s="20">
        <f t="shared" si="55"/>
        <v>0.91666666666424135</v>
      </c>
      <c r="C606">
        <v>0</v>
      </c>
      <c r="D606">
        <v>489.60399999999998</v>
      </c>
      <c r="E606">
        <f t="shared" si="54"/>
        <v>489.44900000000001</v>
      </c>
      <c r="F606">
        <v>489.54500000000002</v>
      </c>
      <c r="G606">
        <f t="shared" si="56"/>
        <v>0</v>
      </c>
      <c r="H606">
        <v>1.82</v>
      </c>
      <c r="I606">
        <f t="shared" si="57"/>
        <v>0</v>
      </c>
      <c r="J606">
        <f t="shared" si="58"/>
        <v>0</v>
      </c>
      <c r="K606">
        <f t="shared" si="59"/>
        <v>0</v>
      </c>
    </row>
    <row r="607" spans="1:11" x14ac:dyDescent="0.4">
      <c r="A607" s="19">
        <v>45859.958333333336</v>
      </c>
      <c r="B607" s="20">
        <f t="shared" si="55"/>
        <v>0.95833333333575865</v>
      </c>
      <c r="C607">
        <v>0</v>
      </c>
      <c r="D607">
        <v>489.60399999999998</v>
      </c>
      <c r="E607">
        <f t="shared" si="54"/>
        <v>489.44900000000001</v>
      </c>
      <c r="F607">
        <v>489.54500000000002</v>
      </c>
      <c r="G607">
        <f t="shared" si="56"/>
        <v>0</v>
      </c>
      <c r="H607">
        <v>1.82</v>
      </c>
      <c r="I607">
        <f t="shared" si="57"/>
        <v>0</v>
      </c>
      <c r="J607">
        <f t="shared" si="58"/>
        <v>0</v>
      </c>
      <c r="K607">
        <f t="shared" si="59"/>
        <v>0</v>
      </c>
    </row>
    <row r="608" spans="1:11" x14ac:dyDescent="0.4">
      <c r="A608" s="19">
        <v>45860</v>
      </c>
      <c r="B608" s="20">
        <f t="shared" si="55"/>
        <v>0</v>
      </c>
      <c r="C608">
        <v>0</v>
      </c>
      <c r="D608">
        <v>489.59800000000001</v>
      </c>
      <c r="E608">
        <f t="shared" si="54"/>
        <v>489.44300000000004</v>
      </c>
      <c r="F608">
        <v>489.54500000000002</v>
      </c>
      <c r="G608">
        <f t="shared" si="56"/>
        <v>0</v>
      </c>
      <c r="H608">
        <v>1.82</v>
      </c>
      <c r="I608">
        <f t="shared" si="57"/>
        <v>0</v>
      </c>
      <c r="J608">
        <f t="shared" si="58"/>
        <v>0</v>
      </c>
      <c r="K608">
        <f t="shared" si="59"/>
        <v>0</v>
      </c>
    </row>
    <row r="609" spans="1:11" x14ac:dyDescent="0.4">
      <c r="A609" s="19">
        <v>45860.041666666664</v>
      </c>
      <c r="B609" s="20">
        <f t="shared" si="55"/>
        <v>4.1666666664241347E-2</v>
      </c>
      <c r="C609">
        <v>0</v>
      </c>
      <c r="D609">
        <v>489.59699999999998</v>
      </c>
      <c r="E609">
        <f t="shared" si="54"/>
        <v>489.44200000000001</v>
      </c>
      <c r="F609">
        <v>489.54500000000002</v>
      </c>
      <c r="G609">
        <f t="shared" si="56"/>
        <v>0</v>
      </c>
      <c r="H609">
        <v>1.82</v>
      </c>
      <c r="I609">
        <f t="shared" si="57"/>
        <v>0</v>
      </c>
      <c r="J609">
        <f t="shared" si="58"/>
        <v>0</v>
      </c>
      <c r="K609">
        <f t="shared" si="59"/>
        <v>0</v>
      </c>
    </row>
    <row r="610" spans="1:11" x14ac:dyDescent="0.4">
      <c r="A610" s="19">
        <v>45860.083333333336</v>
      </c>
      <c r="B610" s="20">
        <f t="shared" si="55"/>
        <v>8.3333333335758653E-2</v>
      </c>
      <c r="C610">
        <v>0</v>
      </c>
      <c r="D610">
        <v>489.60399999999998</v>
      </c>
      <c r="E610">
        <f t="shared" si="54"/>
        <v>489.44900000000001</v>
      </c>
      <c r="F610">
        <v>489.54500000000002</v>
      </c>
      <c r="G610">
        <f t="shared" si="56"/>
        <v>0</v>
      </c>
      <c r="H610">
        <v>1.82</v>
      </c>
      <c r="I610">
        <f t="shared" si="57"/>
        <v>0</v>
      </c>
      <c r="J610">
        <f t="shared" si="58"/>
        <v>0</v>
      </c>
      <c r="K610">
        <f t="shared" si="59"/>
        <v>0</v>
      </c>
    </row>
    <row r="611" spans="1:11" x14ac:dyDescent="0.4">
      <c r="A611" s="19">
        <v>45860.125</v>
      </c>
      <c r="B611" s="20">
        <f t="shared" si="55"/>
        <v>0.125</v>
      </c>
      <c r="C611">
        <v>0</v>
      </c>
      <c r="D611">
        <v>489.59800000000001</v>
      </c>
      <c r="E611">
        <f t="shared" si="54"/>
        <v>489.44300000000004</v>
      </c>
      <c r="F611">
        <v>489.54500000000002</v>
      </c>
      <c r="G611">
        <f t="shared" si="56"/>
        <v>0</v>
      </c>
      <c r="H611">
        <v>1.82</v>
      </c>
      <c r="I611">
        <f t="shared" si="57"/>
        <v>0</v>
      </c>
      <c r="J611">
        <f t="shared" si="58"/>
        <v>0</v>
      </c>
      <c r="K611">
        <f t="shared" si="59"/>
        <v>0</v>
      </c>
    </row>
    <row r="612" spans="1:11" x14ac:dyDescent="0.4">
      <c r="A612" s="19">
        <v>45860.166666666664</v>
      </c>
      <c r="B612" s="20">
        <f t="shared" si="55"/>
        <v>0.16666666666424135</v>
      </c>
      <c r="C612">
        <v>0</v>
      </c>
      <c r="D612">
        <v>489.59800000000001</v>
      </c>
      <c r="E612">
        <f t="shared" si="54"/>
        <v>489.44300000000004</v>
      </c>
      <c r="F612">
        <v>489.54500000000002</v>
      </c>
      <c r="G612">
        <f t="shared" si="56"/>
        <v>0</v>
      </c>
      <c r="H612">
        <v>1.82</v>
      </c>
      <c r="I612">
        <f t="shared" si="57"/>
        <v>0</v>
      </c>
      <c r="J612">
        <f t="shared" si="58"/>
        <v>0</v>
      </c>
      <c r="K612">
        <f t="shared" si="59"/>
        <v>0</v>
      </c>
    </row>
    <row r="613" spans="1:11" x14ac:dyDescent="0.4">
      <c r="A613" s="19">
        <v>45860.208333333336</v>
      </c>
      <c r="B613" s="20">
        <f t="shared" si="55"/>
        <v>0.20833333333575865</v>
      </c>
      <c r="C613">
        <v>0</v>
      </c>
      <c r="D613">
        <v>489.59699999999998</v>
      </c>
      <c r="E613">
        <f t="shared" si="54"/>
        <v>489.44200000000001</v>
      </c>
      <c r="F613">
        <v>489.54500000000002</v>
      </c>
      <c r="G613">
        <f t="shared" si="56"/>
        <v>0</v>
      </c>
      <c r="H613">
        <v>1.82</v>
      </c>
      <c r="I613">
        <f t="shared" si="57"/>
        <v>0</v>
      </c>
      <c r="J613">
        <f t="shared" si="58"/>
        <v>0</v>
      </c>
      <c r="K613">
        <f t="shared" si="59"/>
        <v>0</v>
      </c>
    </row>
    <row r="614" spans="1:11" x14ac:dyDescent="0.4">
      <c r="A614" s="19">
        <v>45860.25</v>
      </c>
      <c r="B614" s="20">
        <f t="shared" si="55"/>
        <v>0.25</v>
      </c>
      <c r="C614">
        <v>0</v>
      </c>
      <c r="D614">
        <v>489.59199999999998</v>
      </c>
      <c r="E614">
        <f t="shared" si="54"/>
        <v>489.43700000000001</v>
      </c>
      <c r="F614">
        <v>489.54500000000002</v>
      </c>
      <c r="G614">
        <f t="shared" si="56"/>
        <v>0</v>
      </c>
      <c r="H614">
        <v>1.82</v>
      </c>
      <c r="I614">
        <f t="shared" si="57"/>
        <v>0</v>
      </c>
      <c r="J614">
        <f t="shared" si="58"/>
        <v>0</v>
      </c>
      <c r="K614">
        <f t="shared" si="59"/>
        <v>0</v>
      </c>
    </row>
    <row r="615" spans="1:11" x14ac:dyDescent="0.4">
      <c r="A615" s="19">
        <v>45860.291666666664</v>
      </c>
      <c r="B615" s="20">
        <f t="shared" si="55"/>
        <v>0.29166666666424135</v>
      </c>
      <c r="C615">
        <v>0</v>
      </c>
      <c r="D615">
        <v>489.59199999999998</v>
      </c>
      <c r="E615">
        <f t="shared" si="54"/>
        <v>489.43700000000001</v>
      </c>
      <c r="F615">
        <v>489.54500000000002</v>
      </c>
      <c r="G615">
        <f t="shared" si="56"/>
        <v>0</v>
      </c>
      <c r="H615">
        <v>1.82</v>
      </c>
      <c r="I615">
        <f t="shared" si="57"/>
        <v>0</v>
      </c>
      <c r="J615">
        <f t="shared" si="58"/>
        <v>0</v>
      </c>
      <c r="K615">
        <f t="shared" si="59"/>
        <v>0</v>
      </c>
    </row>
    <row r="616" spans="1:11" x14ac:dyDescent="0.4">
      <c r="A616" s="19">
        <v>45860.333333333336</v>
      </c>
      <c r="B616" s="20">
        <f t="shared" si="55"/>
        <v>0.33333333333575865</v>
      </c>
      <c r="C616">
        <v>0.2</v>
      </c>
      <c r="D616">
        <v>489.59199999999998</v>
      </c>
      <c r="E616">
        <f t="shared" si="54"/>
        <v>489.43700000000001</v>
      </c>
      <c r="F616">
        <v>489.54500000000002</v>
      </c>
      <c r="G616">
        <f t="shared" si="56"/>
        <v>0</v>
      </c>
      <c r="H616">
        <v>1.82</v>
      </c>
      <c r="I616">
        <f t="shared" si="57"/>
        <v>0</v>
      </c>
      <c r="J616">
        <f t="shared" si="58"/>
        <v>0</v>
      </c>
      <c r="K616">
        <f t="shared" si="59"/>
        <v>0</v>
      </c>
    </row>
    <row r="617" spans="1:11" x14ac:dyDescent="0.4">
      <c r="A617" s="19">
        <v>45860.375</v>
      </c>
      <c r="B617" s="20">
        <f t="shared" si="55"/>
        <v>0.375</v>
      </c>
      <c r="C617">
        <v>0.6</v>
      </c>
      <c r="D617">
        <v>489.59199999999998</v>
      </c>
      <c r="E617">
        <f t="shared" si="54"/>
        <v>489.43700000000001</v>
      </c>
      <c r="F617">
        <v>489.54500000000002</v>
      </c>
      <c r="G617">
        <f t="shared" si="56"/>
        <v>0</v>
      </c>
      <c r="H617">
        <v>1.82</v>
      </c>
      <c r="I617">
        <f t="shared" si="57"/>
        <v>0</v>
      </c>
      <c r="J617">
        <f t="shared" si="58"/>
        <v>0</v>
      </c>
      <c r="K617">
        <f t="shared" si="59"/>
        <v>0</v>
      </c>
    </row>
    <row r="618" spans="1:11" x14ac:dyDescent="0.4">
      <c r="A618" s="19">
        <v>45860.416666666664</v>
      </c>
      <c r="B618" s="20">
        <f t="shared" si="55"/>
        <v>0.41666666666424135</v>
      </c>
      <c r="C618">
        <v>0.2</v>
      </c>
      <c r="D618">
        <v>489.59699999999998</v>
      </c>
      <c r="E618">
        <f t="shared" si="54"/>
        <v>489.44200000000001</v>
      </c>
      <c r="F618">
        <v>489.54500000000002</v>
      </c>
      <c r="G618">
        <f t="shared" si="56"/>
        <v>0</v>
      </c>
      <c r="H618">
        <v>1.82</v>
      </c>
      <c r="I618">
        <f t="shared" si="57"/>
        <v>0</v>
      </c>
      <c r="J618">
        <f t="shared" si="58"/>
        <v>0</v>
      </c>
      <c r="K618">
        <f t="shared" si="59"/>
        <v>0</v>
      </c>
    </row>
    <row r="619" spans="1:11" x14ac:dyDescent="0.4">
      <c r="A619" s="19">
        <v>45860.458333333336</v>
      </c>
      <c r="B619" s="20">
        <f t="shared" si="55"/>
        <v>0.45833333333575865</v>
      </c>
      <c r="C619">
        <v>0</v>
      </c>
      <c r="D619">
        <v>489.59199999999998</v>
      </c>
      <c r="E619">
        <f t="shared" si="54"/>
        <v>489.43700000000001</v>
      </c>
      <c r="F619">
        <v>489.54500000000002</v>
      </c>
      <c r="G619">
        <f t="shared" si="56"/>
        <v>0</v>
      </c>
      <c r="H619">
        <v>1.82</v>
      </c>
      <c r="I619">
        <f t="shared" si="57"/>
        <v>0</v>
      </c>
      <c r="J619">
        <f t="shared" si="58"/>
        <v>0</v>
      </c>
      <c r="K619">
        <f t="shared" si="59"/>
        <v>0</v>
      </c>
    </row>
    <row r="620" spans="1:11" x14ac:dyDescent="0.4">
      <c r="A620" s="19">
        <v>45860.5</v>
      </c>
      <c r="B620" s="20">
        <f t="shared" si="55"/>
        <v>0.5</v>
      </c>
      <c r="C620">
        <v>0.8</v>
      </c>
      <c r="D620">
        <v>489.59199999999998</v>
      </c>
      <c r="E620">
        <f t="shared" si="54"/>
        <v>489.43700000000001</v>
      </c>
      <c r="F620">
        <v>489.54500000000002</v>
      </c>
      <c r="G620">
        <f t="shared" si="56"/>
        <v>0</v>
      </c>
      <c r="H620">
        <v>1.82</v>
      </c>
      <c r="I620">
        <f t="shared" si="57"/>
        <v>0</v>
      </c>
      <c r="J620">
        <f t="shared" si="58"/>
        <v>0</v>
      </c>
      <c r="K620">
        <f t="shared" si="59"/>
        <v>0</v>
      </c>
    </row>
    <row r="621" spans="1:11" x14ac:dyDescent="0.4">
      <c r="A621" s="19">
        <v>45860.541666666664</v>
      </c>
      <c r="B621" s="20">
        <f t="shared" si="55"/>
        <v>0.54166666666424135</v>
      </c>
      <c r="C621">
        <v>0.2</v>
      </c>
      <c r="D621">
        <v>489.59199999999998</v>
      </c>
      <c r="E621">
        <f t="shared" si="54"/>
        <v>489.43700000000001</v>
      </c>
      <c r="F621">
        <v>489.54500000000002</v>
      </c>
      <c r="G621">
        <f t="shared" si="56"/>
        <v>0</v>
      </c>
      <c r="H621">
        <v>1.82</v>
      </c>
      <c r="I621">
        <f t="shared" si="57"/>
        <v>0</v>
      </c>
      <c r="J621">
        <f t="shared" si="58"/>
        <v>0</v>
      </c>
      <c r="K621">
        <f t="shared" si="59"/>
        <v>0</v>
      </c>
    </row>
    <row r="622" spans="1:11" x14ac:dyDescent="0.4">
      <c r="A622" s="19">
        <v>45860.583333333336</v>
      </c>
      <c r="B622" s="20">
        <f t="shared" si="55"/>
        <v>0.58333333333575865</v>
      </c>
      <c r="C622">
        <v>0.8</v>
      </c>
      <c r="D622">
        <v>489.59800000000001</v>
      </c>
      <c r="E622">
        <f t="shared" si="54"/>
        <v>489.44300000000004</v>
      </c>
      <c r="F622">
        <v>489.54500000000002</v>
      </c>
      <c r="G622">
        <f t="shared" si="56"/>
        <v>0</v>
      </c>
      <c r="H622">
        <v>1.82</v>
      </c>
      <c r="I622">
        <f t="shared" si="57"/>
        <v>0</v>
      </c>
      <c r="J622">
        <f t="shared" si="58"/>
        <v>0</v>
      </c>
      <c r="K622">
        <f t="shared" si="59"/>
        <v>0</v>
      </c>
    </row>
    <row r="623" spans="1:11" x14ac:dyDescent="0.4">
      <c r="A623" s="19">
        <v>45860.625</v>
      </c>
      <c r="B623" s="20">
        <f t="shared" si="55"/>
        <v>0.625</v>
      </c>
      <c r="C623">
        <v>1.2</v>
      </c>
      <c r="D623">
        <v>489.59699999999998</v>
      </c>
      <c r="E623">
        <f t="shared" si="54"/>
        <v>489.44200000000001</v>
      </c>
      <c r="F623">
        <v>489.54500000000002</v>
      </c>
      <c r="G623">
        <f t="shared" si="56"/>
        <v>0</v>
      </c>
      <c r="H623">
        <v>1.82</v>
      </c>
      <c r="I623">
        <f t="shared" si="57"/>
        <v>0</v>
      </c>
      <c r="J623">
        <f t="shared" si="58"/>
        <v>0</v>
      </c>
      <c r="K623">
        <f t="shared" si="59"/>
        <v>0</v>
      </c>
    </row>
    <row r="624" spans="1:11" x14ac:dyDescent="0.4">
      <c r="A624" s="19">
        <v>45860.666666666664</v>
      </c>
      <c r="B624" s="20">
        <f t="shared" si="55"/>
        <v>0.66666666666424135</v>
      </c>
      <c r="C624">
        <v>1.4</v>
      </c>
      <c r="D624">
        <v>489.60500000000002</v>
      </c>
      <c r="E624">
        <f t="shared" si="54"/>
        <v>489.45000000000005</v>
      </c>
      <c r="F624">
        <v>489.54500000000002</v>
      </c>
      <c r="G624">
        <f t="shared" si="56"/>
        <v>0</v>
      </c>
      <c r="H624">
        <v>1.82</v>
      </c>
      <c r="I624">
        <f t="shared" si="57"/>
        <v>0</v>
      </c>
      <c r="J624">
        <f t="shared" si="58"/>
        <v>0</v>
      </c>
      <c r="K624">
        <f t="shared" si="59"/>
        <v>0</v>
      </c>
    </row>
    <row r="625" spans="1:11" x14ac:dyDescent="0.4">
      <c r="A625" s="19">
        <v>45860.708333333336</v>
      </c>
      <c r="B625" s="20">
        <f t="shared" si="55"/>
        <v>0.70833333333575865</v>
      </c>
      <c r="C625">
        <v>0.4</v>
      </c>
      <c r="D625">
        <v>489.59800000000001</v>
      </c>
      <c r="E625">
        <f t="shared" si="54"/>
        <v>489.44300000000004</v>
      </c>
      <c r="F625">
        <v>489.54500000000002</v>
      </c>
      <c r="G625">
        <f t="shared" si="56"/>
        <v>0</v>
      </c>
      <c r="H625">
        <v>1.82</v>
      </c>
      <c r="I625">
        <f t="shared" si="57"/>
        <v>0</v>
      </c>
      <c r="J625">
        <f t="shared" si="58"/>
        <v>0</v>
      </c>
      <c r="K625">
        <f t="shared" si="59"/>
        <v>0</v>
      </c>
    </row>
    <row r="626" spans="1:11" x14ac:dyDescent="0.4">
      <c r="A626" s="19">
        <v>45860.75</v>
      </c>
      <c r="B626" s="20">
        <f t="shared" si="55"/>
        <v>0.75</v>
      </c>
      <c r="C626">
        <v>0.2</v>
      </c>
      <c r="D626">
        <v>489.60199999999998</v>
      </c>
      <c r="E626">
        <f t="shared" si="54"/>
        <v>489.447</v>
      </c>
      <c r="F626">
        <v>489.54500000000002</v>
      </c>
      <c r="G626">
        <f t="shared" si="56"/>
        <v>0</v>
      </c>
      <c r="H626">
        <v>1.82</v>
      </c>
      <c r="I626">
        <f t="shared" si="57"/>
        <v>0</v>
      </c>
      <c r="J626">
        <f t="shared" si="58"/>
        <v>0</v>
      </c>
      <c r="K626">
        <f t="shared" si="59"/>
        <v>0</v>
      </c>
    </row>
    <row r="627" spans="1:11" x14ac:dyDescent="0.4">
      <c r="A627" s="19">
        <v>45860.791666666664</v>
      </c>
      <c r="B627" s="20">
        <f t="shared" si="55"/>
        <v>0.79166666666424135</v>
      </c>
      <c r="C627">
        <v>0</v>
      </c>
      <c r="D627">
        <v>489.60399999999998</v>
      </c>
      <c r="E627">
        <f t="shared" si="54"/>
        <v>489.44900000000001</v>
      </c>
      <c r="F627">
        <v>489.54500000000002</v>
      </c>
      <c r="G627">
        <f t="shared" si="56"/>
        <v>0</v>
      </c>
      <c r="H627">
        <v>1.82</v>
      </c>
      <c r="I627">
        <f t="shared" si="57"/>
        <v>0</v>
      </c>
      <c r="J627">
        <f t="shared" si="58"/>
        <v>0</v>
      </c>
      <c r="K627">
        <f t="shared" si="59"/>
        <v>0</v>
      </c>
    </row>
    <row r="628" spans="1:11" x14ac:dyDescent="0.4">
      <c r="A628" s="19">
        <v>45860.833333333336</v>
      </c>
      <c r="B628" s="20">
        <f t="shared" si="55"/>
        <v>0.83333333333575865</v>
      </c>
      <c r="C628">
        <v>0</v>
      </c>
      <c r="D628">
        <v>489.60500000000002</v>
      </c>
      <c r="E628">
        <f t="shared" si="54"/>
        <v>489.45000000000005</v>
      </c>
      <c r="F628">
        <v>489.54500000000002</v>
      </c>
      <c r="G628">
        <f t="shared" si="56"/>
        <v>0</v>
      </c>
      <c r="H628">
        <v>1.82</v>
      </c>
      <c r="I628">
        <f t="shared" si="57"/>
        <v>0</v>
      </c>
      <c r="J628">
        <f t="shared" si="58"/>
        <v>0</v>
      </c>
      <c r="K628">
        <f t="shared" si="59"/>
        <v>0</v>
      </c>
    </row>
    <row r="629" spans="1:11" x14ac:dyDescent="0.4">
      <c r="A629" s="19">
        <v>45860.875</v>
      </c>
      <c r="B629" s="20">
        <f t="shared" si="55"/>
        <v>0.875</v>
      </c>
      <c r="C629">
        <v>0.2</v>
      </c>
      <c r="D629">
        <v>489.60500000000002</v>
      </c>
      <c r="E629">
        <f t="shared" si="54"/>
        <v>489.45000000000005</v>
      </c>
      <c r="F629">
        <v>489.54500000000002</v>
      </c>
      <c r="G629">
        <f t="shared" si="56"/>
        <v>0</v>
      </c>
      <c r="H629">
        <v>1.82</v>
      </c>
      <c r="I629">
        <f t="shared" si="57"/>
        <v>0</v>
      </c>
      <c r="J629">
        <f t="shared" si="58"/>
        <v>0</v>
      </c>
      <c r="K629">
        <f t="shared" si="59"/>
        <v>0</v>
      </c>
    </row>
    <row r="630" spans="1:11" x14ac:dyDescent="0.4">
      <c r="A630" s="19">
        <v>45860.916666666664</v>
      </c>
      <c r="B630" s="20">
        <f t="shared" si="55"/>
        <v>0.91666666666424135</v>
      </c>
      <c r="C630">
        <v>0.2</v>
      </c>
      <c r="D630">
        <v>489.60500000000002</v>
      </c>
      <c r="E630">
        <f t="shared" si="54"/>
        <v>489.45000000000005</v>
      </c>
      <c r="F630">
        <v>489.54500000000002</v>
      </c>
      <c r="G630">
        <f t="shared" si="56"/>
        <v>0</v>
      </c>
      <c r="H630">
        <v>1.82</v>
      </c>
      <c r="I630">
        <f t="shared" si="57"/>
        <v>0</v>
      </c>
      <c r="J630">
        <f t="shared" si="58"/>
        <v>0</v>
      </c>
      <c r="K630">
        <f t="shared" si="59"/>
        <v>0</v>
      </c>
    </row>
    <row r="631" spans="1:11" x14ac:dyDescent="0.4">
      <c r="A631" s="19">
        <v>45860.958333333336</v>
      </c>
      <c r="B631" s="20">
        <f t="shared" si="55"/>
        <v>0.95833333333575865</v>
      </c>
      <c r="C631">
        <v>1</v>
      </c>
      <c r="D631">
        <v>489.61099999999999</v>
      </c>
      <c r="E631">
        <f t="shared" si="54"/>
        <v>489.45600000000002</v>
      </c>
      <c r="F631">
        <v>489.54500000000002</v>
      </c>
      <c r="G631">
        <f t="shared" si="56"/>
        <v>0</v>
      </c>
      <c r="H631">
        <v>1.82</v>
      </c>
      <c r="I631">
        <f t="shared" si="57"/>
        <v>0</v>
      </c>
      <c r="J631">
        <f t="shared" si="58"/>
        <v>0</v>
      </c>
      <c r="K631">
        <f t="shared" si="59"/>
        <v>0</v>
      </c>
    </row>
    <row r="632" spans="1:11" x14ac:dyDescent="0.4">
      <c r="A632" s="19">
        <v>45861</v>
      </c>
      <c r="B632" s="20">
        <f t="shared" si="55"/>
        <v>0</v>
      </c>
      <c r="C632">
        <v>0.4</v>
      </c>
      <c r="D632">
        <v>489.61099999999999</v>
      </c>
      <c r="E632">
        <f t="shared" si="54"/>
        <v>489.45600000000002</v>
      </c>
      <c r="F632">
        <v>489.54500000000002</v>
      </c>
      <c r="G632">
        <f t="shared" si="56"/>
        <v>0</v>
      </c>
      <c r="H632">
        <v>1.82</v>
      </c>
      <c r="I632">
        <f t="shared" si="57"/>
        <v>0</v>
      </c>
      <c r="J632">
        <f t="shared" si="58"/>
        <v>0</v>
      </c>
      <c r="K632">
        <f t="shared" si="59"/>
        <v>0</v>
      </c>
    </row>
    <row r="633" spans="1:11" x14ac:dyDescent="0.4">
      <c r="A633" s="19">
        <v>45861.041666666664</v>
      </c>
      <c r="B633" s="20">
        <f t="shared" si="55"/>
        <v>4.1666666664241347E-2</v>
      </c>
      <c r="C633">
        <v>0.4</v>
      </c>
      <c r="D633">
        <v>489.61099999999999</v>
      </c>
      <c r="E633">
        <f t="shared" si="54"/>
        <v>489.45600000000002</v>
      </c>
      <c r="F633">
        <v>489.54500000000002</v>
      </c>
      <c r="G633">
        <f t="shared" si="56"/>
        <v>0</v>
      </c>
      <c r="H633">
        <v>1.82</v>
      </c>
      <c r="I633">
        <f t="shared" si="57"/>
        <v>0</v>
      </c>
      <c r="J633">
        <f t="shared" si="58"/>
        <v>0</v>
      </c>
      <c r="K633">
        <f t="shared" si="59"/>
        <v>0</v>
      </c>
    </row>
    <row r="634" spans="1:11" x14ac:dyDescent="0.4">
      <c r="A634" s="19">
        <v>45861.083333333336</v>
      </c>
      <c r="B634" s="20">
        <f t="shared" si="55"/>
        <v>8.3333333335758653E-2</v>
      </c>
      <c r="C634">
        <v>3.8</v>
      </c>
      <c r="D634">
        <v>489.61700000000002</v>
      </c>
      <c r="E634">
        <f t="shared" si="54"/>
        <v>489.46200000000005</v>
      </c>
      <c r="F634">
        <v>489.54500000000002</v>
      </c>
      <c r="G634">
        <f t="shared" si="56"/>
        <v>0</v>
      </c>
      <c r="H634">
        <v>1.82</v>
      </c>
      <c r="I634">
        <f t="shared" si="57"/>
        <v>0</v>
      </c>
      <c r="J634">
        <f t="shared" si="58"/>
        <v>0</v>
      </c>
      <c r="K634">
        <f t="shared" si="59"/>
        <v>0</v>
      </c>
    </row>
    <row r="635" spans="1:11" x14ac:dyDescent="0.4">
      <c r="A635" s="19">
        <v>45861.125</v>
      </c>
      <c r="B635" s="20">
        <f t="shared" si="55"/>
        <v>0.125</v>
      </c>
      <c r="C635">
        <v>3.4</v>
      </c>
      <c r="D635">
        <v>489.63600000000002</v>
      </c>
      <c r="E635">
        <f t="shared" si="54"/>
        <v>489.48100000000005</v>
      </c>
      <c r="F635">
        <v>489.54500000000002</v>
      </c>
      <c r="G635">
        <f t="shared" si="56"/>
        <v>0</v>
      </c>
      <c r="H635">
        <v>1.82</v>
      </c>
      <c r="I635">
        <f t="shared" si="57"/>
        <v>0</v>
      </c>
      <c r="J635">
        <f t="shared" si="58"/>
        <v>0</v>
      </c>
      <c r="K635">
        <f t="shared" si="59"/>
        <v>0</v>
      </c>
    </row>
    <row r="636" spans="1:11" x14ac:dyDescent="0.4">
      <c r="A636" s="19">
        <v>45861.166666666664</v>
      </c>
      <c r="B636" s="20">
        <f t="shared" si="55"/>
        <v>0.16666666666424135</v>
      </c>
      <c r="C636">
        <v>1.8</v>
      </c>
      <c r="D636">
        <v>489.65699999999998</v>
      </c>
      <c r="E636">
        <f t="shared" si="54"/>
        <v>489.50200000000001</v>
      </c>
      <c r="F636">
        <v>489.54500000000002</v>
      </c>
      <c r="G636">
        <f t="shared" si="56"/>
        <v>0</v>
      </c>
      <c r="H636">
        <v>1.82</v>
      </c>
      <c r="I636">
        <f t="shared" si="57"/>
        <v>0</v>
      </c>
      <c r="J636">
        <f t="shared" si="58"/>
        <v>0</v>
      </c>
      <c r="K636">
        <f t="shared" si="59"/>
        <v>0</v>
      </c>
    </row>
    <row r="637" spans="1:11" x14ac:dyDescent="0.4">
      <c r="A637" s="19">
        <v>45861.208333333336</v>
      </c>
      <c r="B637" s="20">
        <f t="shared" si="55"/>
        <v>0.20833333333575865</v>
      </c>
      <c r="C637">
        <v>5.4</v>
      </c>
      <c r="D637">
        <v>489.68900000000002</v>
      </c>
      <c r="E637">
        <f t="shared" si="54"/>
        <v>489.53400000000005</v>
      </c>
      <c r="F637">
        <v>489.54500000000002</v>
      </c>
      <c r="G637">
        <f t="shared" si="56"/>
        <v>0</v>
      </c>
      <c r="H637">
        <v>1.82</v>
      </c>
      <c r="I637">
        <f t="shared" si="57"/>
        <v>0</v>
      </c>
      <c r="J637">
        <f t="shared" si="58"/>
        <v>0</v>
      </c>
      <c r="K637">
        <f t="shared" si="59"/>
        <v>0</v>
      </c>
    </row>
    <row r="638" spans="1:11" x14ac:dyDescent="0.4">
      <c r="A638" s="19">
        <v>45861.25</v>
      </c>
      <c r="B638" s="20">
        <f t="shared" si="55"/>
        <v>0.25</v>
      </c>
      <c r="C638">
        <v>4.2</v>
      </c>
      <c r="D638">
        <v>489.76600000000002</v>
      </c>
      <c r="E638">
        <f t="shared" si="54"/>
        <v>489.61100000000005</v>
      </c>
      <c r="F638">
        <v>489.54500000000002</v>
      </c>
      <c r="G638">
        <f t="shared" si="56"/>
        <v>6.6000000000030923E-2</v>
      </c>
      <c r="H638">
        <v>1.82</v>
      </c>
      <c r="I638">
        <f t="shared" si="57"/>
        <v>0.92578160241020346</v>
      </c>
      <c r="J638">
        <f t="shared" si="58"/>
        <v>55.546896144612205</v>
      </c>
      <c r="K638">
        <f t="shared" si="59"/>
        <v>3332.8137686767327</v>
      </c>
    </row>
    <row r="639" spans="1:11" x14ac:dyDescent="0.4">
      <c r="A639" s="19">
        <v>45861.291666666664</v>
      </c>
      <c r="B639" s="20">
        <f t="shared" si="55"/>
        <v>0.29166666666424135</v>
      </c>
      <c r="C639">
        <v>3.6</v>
      </c>
      <c r="D639">
        <v>489.84800000000001</v>
      </c>
      <c r="E639">
        <f t="shared" si="54"/>
        <v>489.69300000000004</v>
      </c>
      <c r="F639">
        <v>489.54500000000002</v>
      </c>
      <c r="G639">
        <f t="shared" si="56"/>
        <v>0.14800000000002456</v>
      </c>
      <c r="H639">
        <v>1.82</v>
      </c>
      <c r="I639">
        <f t="shared" si="57"/>
        <v>3.1087458305118498</v>
      </c>
      <c r="J639">
        <f t="shared" si="58"/>
        <v>186.52474983071099</v>
      </c>
      <c r="K639">
        <f t="shared" si="59"/>
        <v>11191.48498984266</v>
      </c>
    </row>
    <row r="640" spans="1:11" x14ac:dyDescent="0.4">
      <c r="A640" s="19">
        <v>45861.333333333336</v>
      </c>
      <c r="B640" s="20">
        <f t="shared" si="55"/>
        <v>0.33333333333575865</v>
      </c>
      <c r="C640">
        <v>5.6</v>
      </c>
      <c r="D640">
        <v>489.93900000000002</v>
      </c>
      <c r="E640">
        <f t="shared" si="54"/>
        <v>489.78400000000005</v>
      </c>
      <c r="F640">
        <v>489.54500000000002</v>
      </c>
      <c r="G640">
        <f t="shared" si="56"/>
        <v>0.23900000000003274</v>
      </c>
      <c r="H640">
        <v>1.82</v>
      </c>
      <c r="I640">
        <f t="shared" si="57"/>
        <v>6.379541899388756</v>
      </c>
      <c r="J640">
        <f t="shared" si="58"/>
        <v>382.77251396332537</v>
      </c>
      <c r="K640">
        <f t="shared" si="59"/>
        <v>22966.35083779952</v>
      </c>
    </row>
    <row r="641" spans="1:11" x14ac:dyDescent="0.4">
      <c r="A641" s="19">
        <v>45861.375</v>
      </c>
      <c r="B641" s="20">
        <f t="shared" si="55"/>
        <v>0.375</v>
      </c>
      <c r="C641">
        <v>3.2</v>
      </c>
      <c r="D641">
        <v>490.03800000000001</v>
      </c>
      <c r="E641">
        <f t="shared" si="54"/>
        <v>489.88300000000004</v>
      </c>
      <c r="F641">
        <v>489.54500000000002</v>
      </c>
      <c r="G641">
        <f t="shared" si="56"/>
        <v>0.33800000000002228</v>
      </c>
      <c r="H641">
        <v>1.82</v>
      </c>
      <c r="I641">
        <f t="shared" si="57"/>
        <v>10.72920870090347</v>
      </c>
      <c r="J641">
        <f t="shared" si="58"/>
        <v>643.75252205420816</v>
      </c>
      <c r="K641">
        <f t="shared" si="59"/>
        <v>38625.151323252496</v>
      </c>
    </row>
    <row r="642" spans="1:11" x14ac:dyDescent="0.4">
      <c r="A642" s="19">
        <v>45861.416666666664</v>
      </c>
      <c r="B642" s="20">
        <f t="shared" si="55"/>
        <v>0.41666666666424135</v>
      </c>
      <c r="C642">
        <v>1.4</v>
      </c>
      <c r="D642">
        <v>490.10399999999998</v>
      </c>
      <c r="E642">
        <f t="shared" ref="E642:E705" si="60">D642-0.155</f>
        <v>489.94900000000001</v>
      </c>
      <c r="F642">
        <v>489.54500000000002</v>
      </c>
      <c r="G642">
        <f t="shared" si="56"/>
        <v>0.40399999999999636</v>
      </c>
      <c r="H642">
        <v>1.82</v>
      </c>
      <c r="I642">
        <f t="shared" si="57"/>
        <v>14.020538372909748</v>
      </c>
      <c r="J642">
        <f t="shared" si="58"/>
        <v>841.23230237458483</v>
      </c>
      <c r="K642">
        <f t="shared" si="59"/>
        <v>50473.93814247509</v>
      </c>
    </row>
    <row r="643" spans="1:11" x14ac:dyDescent="0.4">
      <c r="A643" s="19">
        <v>45861.458333333336</v>
      </c>
      <c r="B643" s="20">
        <f t="shared" ref="B643:B706" si="61">MOD(A643,1)</f>
        <v>0.45833333333575865</v>
      </c>
      <c r="C643">
        <v>2.2000000000000002</v>
      </c>
      <c r="D643">
        <v>490.154</v>
      </c>
      <c r="E643">
        <f t="shared" si="60"/>
        <v>489.99900000000002</v>
      </c>
      <c r="F643">
        <v>489.54500000000002</v>
      </c>
      <c r="G643">
        <f t="shared" ref="G643:G706" si="62">IF(E643 - F643 &lt; 0, 0, E643 - F643)</f>
        <v>0.45400000000000773</v>
      </c>
      <c r="H643">
        <v>1.82</v>
      </c>
      <c r="I643">
        <f t="shared" ref="I643:I706" si="63">1.82*30*(G643^1.5)</f>
        <v>16.702305459135101</v>
      </c>
      <c r="J643">
        <f t="shared" ref="J643:J706" si="64">I643*60</f>
        <v>1002.1383275481061</v>
      </c>
      <c r="K643">
        <f t="shared" ref="K643:K706" si="65">(I643*86400)/24</f>
        <v>60128.299652886366</v>
      </c>
    </row>
    <row r="644" spans="1:11" x14ac:dyDescent="0.4">
      <c r="A644" s="19">
        <v>45861.5</v>
      </c>
      <c r="B644" s="20">
        <f t="shared" si="61"/>
        <v>0.5</v>
      </c>
      <c r="C644">
        <v>0.4</v>
      </c>
      <c r="D644">
        <v>490.173</v>
      </c>
      <c r="E644">
        <f t="shared" si="60"/>
        <v>490.01800000000003</v>
      </c>
      <c r="F644">
        <v>489.54500000000002</v>
      </c>
      <c r="G644">
        <f t="shared" si="62"/>
        <v>0.47300000000001319</v>
      </c>
      <c r="H644">
        <v>1.82</v>
      </c>
      <c r="I644">
        <f t="shared" si="63"/>
        <v>17.761692776527422</v>
      </c>
      <c r="J644">
        <f t="shared" si="64"/>
        <v>1065.7015665916454</v>
      </c>
      <c r="K644">
        <f t="shared" si="65"/>
        <v>63942.093995498719</v>
      </c>
    </row>
    <row r="645" spans="1:11" x14ac:dyDescent="0.4">
      <c r="A645" s="19">
        <v>45861.541666666664</v>
      </c>
      <c r="B645" s="20">
        <f t="shared" si="61"/>
        <v>0.54166666666424135</v>
      </c>
      <c r="C645">
        <v>0.8</v>
      </c>
      <c r="D645">
        <v>490.17700000000002</v>
      </c>
      <c r="E645">
        <f t="shared" si="60"/>
        <v>490.02200000000005</v>
      </c>
      <c r="F645">
        <v>489.54500000000002</v>
      </c>
      <c r="G645">
        <f t="shared" si="62"/>
        <v>0.47700000000003229</v>
      </c>
      <c r="H645">
        <v>1.82</v>
      </c>
      <c r="I645">
        <f t="shared" si="63"/>
        <v>17.987475328304019</v>
      </c>
      <c r="J645">
        <f t="shared" si="64"/>
        <v>1079.2485196982411</v>
      </c>
      <c r="K645">
        <f t="shared" si="65"/>
        <v>64754.911181894473</v>
      </c>
    </row>
    <row r="646" spans="1:11" x14ac:dyDescent="0.4">
      <c r="A646" s="19">
        <v>45861.583333333336</v>
      </c>
      <c r="B646" s="20">
        <f t="shared" si="61"/>
        <v>0.58333333333575865</v>
      </c>
      <c r="C646">
        <v>0.6</v>
      </c>
      <c r="D646">
        <v>490.17399999999998</v>
      </c>
      <c r="E646">
        <f t="shared" si="60"/>
        <v>490.01900000000001</v>
      </c>
      <c r="F646">
        <v>489.54500000000002</v>
      </c>
      <c r="G646">
        <f t="shared" si="62"/>
        <v>0.47399999999998954</v>
      </c>
      <c r="H646">
        <v>1.82</v>
      </c>
      <c r="I646">
        <f t="shared" si="63"/>
        <v>17.818049258317224</v>
      </c>
      <c r="J646">
        <f t="shared" si="64"/>
        <v>1069.0829554990335</v>
      </c>
      <c r="K646">
        <f t="shared" si="65"/>
        <v>64144.977329942012</v>
      </c>
    </row>
    <row r="647" spans="1:11" x14ac:dyDescent="0.4">
      <c r="A647" s="19">
        <v>45861.625</v>
      </c>
      <c r="B647" s="20">
        <f t="shared" si="61"/>
        <v>0.625</v>
      </c>
      <c r="C647">
        <v>0.8</v>
      </c>
      <c r="D647">
        <v>490.16</v>
      </c>
      <c r="E647">
        <f t="shared" si="60"/>
        <v>490.00500000000005</v>
      </c>
      <c r="F647">
        <v>489.54500000000002</v>
      </c>
      <c r="G647">
        <f t="shared" si="62"/>
        <v>0.46000000000003638</v>
      </c>
      <c r="H647">
        <v>1.82</v>
      </c>
      <c r="I647">
        <f t="shared" si="63"/>
        <v>17.034499985619448</v>
      </c>
      <c r="J647">
        <f t="shared" si="64"/>
        <v>1022.0699991371669</v>
      </c>
      <c r="K647">
        <f t="shared" si="65"/>
        <v>61324.199948230009</v>
      </c>
    </row>
    <row r="648" spans="1:11" x14ac:dyDescent="0.4">
      <c r="A648" s="19">
        <v>45861.666666666664</v>
      </c>
      <c r="B648" s="20">
        <f t="shared" si="61"/>
        <v>0.66666666666424135</v>
      </c>
      <c r="C648">
        <v>0.6</v>
      </c>
      <c r="D648">
        <v>490.14699999999999</v>
      </c>
      <c r="E648">
        <f t="shared" si="60"/>
        <v>489.99200000000002</v>
      </c>
      <c r="F648">
        <v>489.54500000000002</v>
      </c>
      <c r="G648">
        <f t="shared" si="62"/>
        <v>0.44700000000000273</v>
      </c>
      <c r="H648">
        <v>1.82</v>
      </c>
      <c r="I648">
        <f t="shared" si="63"/>
        <v>16.317511498469521</v>
      </c>
      <c r="J648">
        <f t="shared" si="64"/>
        <v>979.05068990817131</v>
      </c>
      <c r="K648">
        <f t="shared" si="65"/>
        <v>58743.041394490276</v>
      </c>
    </row>
    <row r="649" spans="1:11" x14ac:dyDescent="0.4">
      <c r="A649" s="19">
        <v>45861.708333333336</v>
      </c>
      <c r="B649" s="20">
        <f t="shared" si="61"/>
        <v>0.70833333333575865</v>
      </c>
      <c r="C649">
        <v>0.4</v>
      </c>
      <c r="D649">
        <v>490.14100000000002</v>
      </c>
      <c r="E649">
        <f t="shared" si="60"/>
        <v>489.98600000000005</v>
      </c>
      <c r="F649">
        <v>489.54500000000002</v>
      </c>
      <c r="G649">
        <f t="shared" si="62"/>
        <v>0.44100000000003092</v>
      </c>
      <c r="H649">
        <v>1.82</v>
      </c>
      <c r="I649">
        <f t="shared" si="63"/>
        <v>15.990075962309055</v>
      </c>
      <c r="J649">
        <f t="shared" si="64"/>
        <v>959.4045577385433</v>
      </c>
      <c r="K649">
        <f t="shared" si="65"/>
        <v>57564.273464312595</v>
      </c>
    </row>
    <row r="650" spans="1:11" x14ac:dyDescent="0.4">
      <c r="A650" s="19">
        <v>45861.75</v>
      </c>
      <c r="B650" s="20">
        <f t="shared" si="61"/>
        <v>0.75</v>
      </c>
      <c r="C650">
        <v>0.6</v>
      </c>
      <c r="D650">
        <v>490.12200000000001</v>
      </c>
      <c r="E650">
        <f t="shared" si="60"/>
        <v>489.96700000000004</v>
      </c>
      <c r="F650">
        <v>489.54500000000002</v>
      </c>
      <c r="G650">
        <f t="shared" si="62"/>
        <v>0.42200000000002547</v>
      </c>
      <c r="H650">
        <v>1.82</v>
      </c>
      <c r="I650">
        <f t="shared" si="63"/>
        <v>14.967915376555297</v>
      </c>
      <c r="J650">
        <f t="shared" si="64"/>
        <v>898.07492259331775</v>
      </c>
      <c r="K650">
        <f t="shared" si="65"/>
        <v>53884.495355599065</v>
      </c>
    </row>
    <row r="651" spans="1:11" x14ac:dyDescent="0.4">
      <c r="A651" s="19">
        <v>45861.791666666664</v>
      </c>
      <c r="B651" s="20">
        <f t="shared" si="61"/>
        <v>0.79166666666424135</v>
      </c>
      <c r="C651">
        <v>0</v>
      </c>
      <c r="D651">
        <v>490.10399999999998</v>
      </c>
      <c r="E651">
        <f t="shared" si="60"/>
        <v>489.94900000000001</v>
      </c>
      <c r="F651">
        <v>489.54500000000002</v>
      </c>
      <c r="G651">
        <f t="shared" si="62"/>
        <v>0.40399999999999636</v>
      </c>
      <c r="H651">
        <v>1.82</v>
      </c>
      <c r="I651">
        <f t="shared" si="63"/>
        <v>14.020538372909748</v>
      </c>
      <c r="J651">
        <f t="shared" si="64"/>
        <v>841.23230237458483</v>
      </c>
      <c r="K651">
        <f t="shared" si="65"/>
        <v>50473.93814247509</v>
      </c>
    </row>
    <row r="652" spans="1:11" x14ac:dyDescent="0.4">
      <c r="A652" s="19">
        <v>45861.833333333336</v>
      </c>
      <c r="B652" s="20">
        <f t="shared" si="61"/>
        <v>0.83333333333575865</v>
      </c>
      <c r="C652">
        <v>0</v>
      </c>
      <c r="D652">
        <v>490.084</v>
      </c>
      <c r="E652">
        <f t="shared" si="60"/>
        <v>489.92900000000003</v>
      </c>
      <c r="F652">
        <v>489.54500000000002</v>
      </c>
      <c r="G652">
        <f t="shared" si="62"/>
        <v>0.38400000000001455</v>
      </c>
      <c r="H652">
        <v>1.82</v>
      </c>
      <c r="I652">
        <f t="shared" si="63"/>
        <v>12.992402884788449</v>
      </c>
      <c r="J652">
        <f t="shared" si="64"/>
        <v>779.54417308730694</v>
      </c>
      <c r="K652">
        <f t="shared" si="65"/>
        <v>46772.650385238412</v>
      </c>
    </row>
    <row r="653" spans="1:11" x14ac:dyDescent="0.4">
      <c r="A653" s="19">
        <v>45861.875</v>
      </c>
      <c r="B653" s="20">
        <f t="shared" si="61"/>
        <v>0.875</v>
      </c>
      <c r="C653">
        <v>0.2</v>
      </c>
      <c r="D653">
        <v>490.07</v>
      </c>
      <c r="E653">
        <f t="shared" si="60"/>
        <v>489.91500000000002</v>
      </c>
      <c r="F653">
        <v>489.54500000000002</v>
      </c>
      <c r="G653">
        <f t="shared" si="62"/>
        <v>0.37000000000000455</v>
      </c>
      <c r="H653">
        <v>1.82</v>
      </c>
      <c r="I653">
        <f t="shared" si="63"/>
        <v>12.288396863708689</v>
      </c>
      <c r="J653">
        <f t="shared" si="64"/>
        <v>737.30381182252131</v>
      </c>
      <c r="K653">
        <f t="shared" si="65"/>
        <v>44238.228709351279</v>
      </c>
    </row>
    <row r="654" spans="1:11" x14ac:dyDescent="0.4">
      <c r="A654" s="19">
        <v>45861.916666666664</v>
      </c>
      <c r="B654" s="20">
        <f t="shared" si="61"/>
        <v>0.91666666666424135</v>
      </c>
      <c r="C654">
        <v>0</v>
      </c>
      <c r="D654">
        <v>490.05700000000002</v>
      </c>
      <c r="E654">
        <f t="shared" si="60"/>
        <v>489.90200000000004</v>
      </c>
      <c r="F654">
        <v>489.54500000000002</v>
      </c>
      <c r="G654">
        <f t="shared" si="62"/>
        <v>0.35700000000002774</v>
      </c>
      <c r="H654">
        <v>1.82</v>
      </c>
      <c r="I654">
        <f t="shared" si="63"/>
        <v>11.646487552902446</v>
      </c>
      <c r="J654">
        <f t="shared" si="64"/>
        <v>698.78925317414678</v>
      </c>
      <c r="K654">
        <f t="shared" si="65"/>
        <v>41927.355190448805</v>
      </c>
    </row>
    <row r="655" spans="1:11" x14ac:dyDescent="0.4">
      <c r="A655" s="19">
        <v>45861.958333333336</v>
      </c>
      <c r="B655" s="20">
        <f t="shared" si="61"/>
        <v>0.95833333333575865</v>
      </c>
      <c r="C655">
        <v>0</v>
      </c>
      <c r="D655">
        <v>490.03699999999998</v>
      </c>
      <c r="E655">
        <f t="shared" si="60"/>
        <v>489.88200000000001</v>
      </c>
      <c r="F655">
        <v>489.54500000000002</v>
      </c>
      <c r="G655">
        <f t="shared" si="62"/>
        <v>0.33699999999998909</v>
      </c>
      <c r="H655">
        <v>1.82</v>
      </c>
      <c r="I655">
        <f t="shared" si="63"/>
        <v>10.681629104844866</v>
      </c>
      <c r="J655">
        <f t="shared" si="64"/>
        <v>640.897746290692</v>
      </c>
      <c r="K655">
        <f t="shared" si="65"/>
        <v>38453.864777441522</v>
      </c>
    </row>
    <row r="656" spans="1:11" x14ac:dyDescent="0.4">
      <c r="A656" s="19">
        <v>45862</v>
      </c>
      <c r="B656" s="20">
        <f t="shared" si="61"/>
        <v>0</v>
      </c>
      <c r="C656">
        <v>0</v>
      </c>
      <c r="D656">
        <v>490.02499999999998</v>
      </c>
      <c r="E656">
        <f t="shared" si="60"/>
        <v>489.87</v>
      </c>
      <c r="F656">
        <v>489.54500000000002</v>
      </c>
      <c r="G656">
        <f t="shared" si="62"/>
        <v>0.32499999999998863</v>
      </c>
      <c r="H656">
        <v>1.82</v>
      </c>
      <c r="I656">
        <f t="shared" si="63"/>
        <v>10.11620645919157</v>
      </c>
      <c r="J656">
        <f t="shared" si="64"/>
        <v>606.97238755149419</v>
      </c>
      <c r="K656">
        <f t="shared" si="65"/>
        <v>36418.343253089653</v>
      </c>
    </row>
    <row r="657" spans="1:11" x14ac:dyDescent="0.4">
      <c r="A657" s="19">
        <v>45862.041666666664</v>
      </c>
      <c r="B657" s="20">
        <f t="shared" si="61"/>
        <v>4.1666666664241347E-2</v>
      </c>
      <c r="C657">
        <v>0.2</v>
      </c>
      <c r="D657">
        <v>490.012</v>
      </c>
      <c r="E657">
        <f t="shared" si="60"/>
        <v>489.85700000000003</v>
      </c>
      <c r="F657">
        <v>489.54500000000002</v>
      </c>
      <c r="G657">
        <f t="shared" si="62"/>
        <v>0.31200000000001182</v>
      </c>
      <c r="H657">
        <v>1.82</v>
      </c>
      <c r="I657">
        <f t="shared" si="63"/>
        <v>9.5153448797450491</v>
      </c>
      <c r="J657">
        <f t="shared" si="64"/>
        <v>570.92069278470296</v>
      </c>
      <c r="K657">
        <f t="shared" si="65"/>
        <v>34255.241567082172</v>
      </c>
    </row>
    <row r="658" spans="1:11" x14ac:dyDescent="0.4">
      <c r="A658" s="19">
        <v>45862.083333333336</v>
      </c>
      <c r="B658" s="20">
        <f t="shared" si="61"/>
        <v>8.3333333335758653E-2</v>
      </c>
      <c r="C658">
        <v>0.2</v>
      </c>
      <c r="D658">
        <v>490.005</v>
      </c>
      <c r="E658">
        <f t="shared" si="60"/>
        <v>489.85</v>
      </c>
      <c r="F658">
        <v>489.54500000000002</v>
      </c>
      <c r="G658">
        <f t="shared" si="62"/>
        <v>0.30500000000000682</v>
      </c>
      <c r="H658">
        <v>1.82</v>
      </c>
      <c r="I658">
        <f t="shared" si="63"/>
        <v>9.1969198509612813</v>
      </c>
      <c r="J658">
        <f t="shared" si="64"/>
        <v>551.81519105767688</v>
      </c>
      <c r="K658">
        <f t="shared" si="65"/>
        <v>33108.911463460616</v>
      </c>
    </row>
    <row r="659" spans="1:11" x14ac:dyDescent="0.4">
      <c r="A659" s="19">
        <v>45862.125</v>
      </c>
      <c r="B659" s="20">
        <f t="shared" si="61"/>
        <v>0.125</v>
      </c>
      <c r="C659">
        <v>0.6</v>
      </c>
      <c r="D659">
        <v>489.99299999999999</v>
      </c>
      <c r="E659">
        <f t="shared" si="60"/>
        <v>489.83800000000002</v>
      </c>
      <c r="F659">
        <v>489.54500000000002</v>
      </c>
      <c r="G659">
        <f t="shared" si="62"/>
        <v>0.29300000000000637</v>
      </c>
      <c r="H659">
        <v>1.82</v>
      </c>
      <c r="I659">
        <f t="shared" si="63"/>
        <v>8.6595250573068316</v>
      </c>
      <c r="J659">
        <f t="shared" si="64"/>
        <v>519.57150343840988</v>
      </c>
      <c r="K659">
        <f t="shared" si="65"/>
        <v>31174.290206304595</v>
      </c>
    </row>
    <row r="660" spans="1:11" x14ac:dyDescent="0.4">
      <c r="A660" s="19">
        <v>45862.166666666664</v>
      </c>
      <c r="B660" s="20">
        <f t="shared" si="61"/>
        <v>0.16666666666424135</v>
      </c>
      <c r="C660">
        <v>0</v>
      </c>
      <c r="D660">
        <v>489.97899999999998</v>
      </c>
      <c r="E660">
        <f t="shared" si="60"/>
        <v>489.82400000000001</v>
      </c>
      <c r="F660">
        <v>489.54500000000002</v>
      </c>
      <c r="G660">
        <f t="shared" si="62"/>
        <v>0.27899999999999636</v>
      </c>
      <c r="H660">
        <v>1.82</v>
      </c>
      <c r="I660">
        <f t="shared" si="63"/>
        <v>8.0463505194117335</v>
      </c>
      <c r="J660">
        <f t="shared" si="64"/>
        <v>482.78103116470402</v>
      </c>
      <c r="K660">
        <f t="shared" si="65"/>
        <v>28966.861869882239</v>
      </c>
    </row>
    <row r="661" spans="1:11" x14ac:dyDescent="0.4">
      <c r="A661" s="19">
        <v>45862.208333333336</v>
      </c>
      <c r="B661" s="20">
        <f t="shared" si="61"/>
        <v>0.20833333333575865</v>
      </c>
      <c r="C661">
        <v>0</v>
      </c>
      <c r="D661">
        <v>489.96600000000001</v>
      </c>
      <c r="E661">
        <f t="shared" si="60"/>
        <v>489.81100000000004</v>
      </c>
      <c r="F661">
        <v>489.54500000000002</v>
      </c>
      <c r="G661">
        <f t="shared" si="62"/>
        <v>0.26600000000001955</v>
      </c>
      <c r="H661">
        <v>1.82</v>
      </c>
      <c r="I661">
        <f t="shared" si="63"/>
        <v>7.4905739801014173</v>
      </c>
      <c r="J661">
        <f t="shared" si="64"/>
        <v>449.43443880608504</v>
      </c>
      <c r="K661">
        <f t="shared" si="65"/>
        <v>26966.066328365105</v>
      </c>
    </row>
    <row r="662" spans="1:11" x14ac:dyDescent="0.4">
      <c r="A662" s="19">
        <v>45862.25</v>
      </c>
      <c r="B662" s="20">
        <f t="shared" si="61"/>
        <v>0.25</v>
      </c>
      <c r="C662">
        <v>0.4</v>
      </c>
      <c r="D662">
        <v>489.959</v>
      </c>
      <c r="E662">
        <f t="shared" si="60"/>
        <v>489.80400000000003</v>
      </c>
      <c r="F662">
        <v>489.54500000000002</v>
      </c>
      <c r="G662">
        <f t="shared" si="62"/>
        <v>0.25900000000001455</v>
      </c>
      <c r="H662">
        <v>1.82</v>
      </c>
      <c r="I662">
        <f t="shared" si="63"/>
        <v>7.1968473122367076</v>
      </c>
      <c r="J662">
        <f t="shared" si="64"/>
        <v>431.81083873420243</v>
      </c>
      <c r="K662">
        <f t="shared" si="65"/>
        <v>25908.650324052145</v>
      </c>
    </row>
    <row r="663" spans="1:11" x14ac:dyDescent="0.4">
      <c r="A663" s="19">
        <v>45862.291666666664</v>
      </c>
      <c r="B663" s="20">
        <f t="shared" si="61"/>
        <v>0.29166666666424135</v>
      </c>
      <c r="C663">
        <v>0</v>
      </c>
      <c r="D663">
        <v>489.94499999999999</v>
      </c>
      <c r="E663">
        <f t="shared" si="60"/>
        <v>489.79</v>
      </c>
      <c r="F663">
        <v>489.54500000000002</v>
      </c>
      <c r="G663">
        <f t="shared" si="62"/>
        <v>0.24500000000000455</v>
      </c>
      <c r="H663">
        <v>1.82</v>
      </c>
      <c r="I663">
        <f t="shared" si="63"/>
        <v>6.6212771883528978</v>
      </c>
      <c r="J663">
        <f t="shared" si="64"/>
        <v>397.27663130117389</v>
      </c>
      <c r="K663">
        <f t="shared" si="65"/>
        <v>23836.597878070432</v>
      </c>
    </row>
    <row r="664" spans="1:11" x14ac:dyDescent="0.4">
      <c r="A664" s="19">
        <v>45862.333333333336</v>
      </c>
      <c r="B664" s="20">
        <f t="shared" si="61"/>
        <v>0.33333333333575865</v>
      </c>
      <c r="C664">
        <v>0</v>
      </c>
      <c r="D664">
        <v>489.93900000000002</v>
      </c>
      <c r="E664">
        <f t="shared" si="60"/>
        <v>489.78400000000005</v>
      </c>
      <c r="F664">
        <v>489.54500000000002</v>
      </c>
      <c r="G664">
        <f t="shared" si="62"/>
        <v>0.23900000000003274</v>
      </c>
      <c r="H664">
        <v>1.82</v>
      </c>
      <c r="I664">
        <f t="shared" si="63"/>
        <v>6.379541899388756</v>
      </c>
      <c r="J664">
        <f t="shared" si="64"/>
        <v>382.77251396332537</v>
      </c>
      <c r="K664">
        <f t="shared" si="65"/>
        <v>22966.35083779952</v>
      </c>
    </row>
    <row r="665" spans="1:11" x14ac:dyDescent="0.4">
      <c r="A665" s="19">
        <v>45862.375</v>
      </c>
      <c r="B665" s="20">
        <f t="shared" si="61"/>
        <v>0.375</v>
      </c>
      <c r="C665">
        <v>0</v>
      </c>
      <c r="D665">
        <v>489.93200000000002</v>
      </c>
      <c r="E665">
        <f t="shared" si="60"/>
        <v>489.77700000000004</v>
      </c>
      <c r="F665">
        <v>489.54500000000002</v>
      </c>
      <c r="G665">
        <f t="shared" si="62"/>
        <v>0.23200000000002774</v>
      </c>
      <c r="H665">
        <v>1.82</v>
      </c>
      <c r="I665">
        <f t="shared" si="63"/>
        <v>6.1013314739402045</v>
      </c>
      <c r="J665">
        <f t="shared" si="64"/>
        <v>366.07988843641226</v>
      </c>
      <c r="K665">
        <f t="shared" si="65"/>
        <v>21964.793306184733</v>
      </c>
    </row>
    <row r="666" spans="1:11" x14ac:dyDescent="0.4">
      <c r="A666" s="19">
        <v>45862.416666666664</v>
      </c>
      <c r="B666" s="20">
        <f t="shared" si="61"/>
        <v>0.41666666666424135</v>
      </c>
      <c r="C666">
        <v>0</v>
      </c>
      <c r="D666">
        <v>489.91899999999998</v>
      </c>
      <c r="E666">
        <f t="shared" si="60"/>
        <v>489.76400000000001</v>
      </c>
      <c r="F666">
        <v>489.54500000000002</v>
      </c>
      <c r="G666">
        <f t="shared" si="62"/>
        <v>0.21899999999999409</v>
      </c>
      <c r="H666">
        <v>1.82</v>
      </c>
      <c r="I666">
        <f t="shared" si="63"/>
        <v>5.5957565916002352</v>
      </c>
      <c r="J666">
        <f t="shared" si="64"/>
        <v>335.74539549601411</v>
      </c>
      <c r="K666">
        <f t="shared" si="65"/>
        <v>20144.723729760848</v>
      </c>
    </row>
    <row r="667" spans="1:11" x14ac:dyDescent="0.4">
      <c r="A667" s="19">
        <v>45862.458333333336</v>
      </c>
      <c r="B667" s="20">
        <f t="shared" si="61"/>
        <v>0.45833333333575865</v>
      </c>
      <c r="C667">
        <v>0</v>
      </c>
      <c r="D667">
        <v>489.91300000000001</v>
      </c>
      <c r="E667">
        <f t="shared" si="60"/>
        <v>489.75800000000004</v>
      </c>
      <c r="F667">
        <v>489.54500000000002</v>
      </c>
      <c r="G667">
        <f t="shared" si="62"/>
        <v>0.21300000000002228</v>
      </c>
      <c r="H667">
        <v>1.82</v>
      </c>
      <c r="I667">
        <f t="shared" si="63"/>
        <v>5.3673763453412722</v>
      </c>
      <c r="J667">
        <f t="shared" si="64"/>
        <v>322.04258072047634</v>
      </c>
      <c r="K667">
        <f t="shared" si="65"/>
        <v>19322.55484322858</v>
      </c>
    </row>
    <row r="668" spans="1:11" x14ac:dyDescent="0.4">
      <c r="A668" s="19">
        <v>45862.5</v>
      </c>
      <c r="B668" s="20">
        <f t="shared" si="61"/>
        <v>0.5</v>
      </c>
      <c r="C668">
        <v>0</v>
      </c>
      <c r="D668">
        <v>489.90699999999998</v>
      </c>
      <c r="E668">
        <f t="shared" si="60"/>
        <v>489.75200000000001</v>
      </c>
      <c r="F668">
        <v>489.54500000000002</v>
      </c>
      <c r="G668">
        <f t="shared" si="62"/>
        <v>0.20699999999999363</v>
      </c>
      <c r="H668">
        <v>1.82</v>
      </c>
      <c r="I668">
        <f t="shared" si="63"/>
        <v>5.1421904906253308</v>
      </c>
      <c r="J668">
        <f t="shared" si="64"/>
        <v>308.53142943751988</v>
      </c>
      <c r="K668">
        <f t="shared" si="65"/>
        <v>18511.885766251191</v>
      </c>
    </row>
    <row r="669" spans="1:11" x14ac:dyDescent="0.4">
      <c r="A669" s="19">
        <v>45862.541666666664</v>
      </c>
      <c r="B669" s="20">
        <f t="shared" si="61"/>
        <v>0.54166666666424135</v>
      </c>
      <c r="C669">
        <v>0</v>
      </c>
      <c r="D669">
        <v>489.9</v>
      </c>
      <c r="E669">
        <f t="shared" si="60"/>
        <v>489.745</v>
      </c>
      <c r="F669">
        <v>489.54500000000002</v>
      </c>
      <c r="G669">
        <f t="shared" si="62"/>
        <v>0.19999999999998863</v>
      </c>
      <c r="H669">
        <v>1.82</v>
      </c>
      <c r="I669">
        <f t="shared" si="63"/>
        <v>4.8835724628591253</v>
      </c>
      <c r="J669">
        <f t="shared" si="64"/>
        <v>293.01434777154753</v>
      </c>
      <c r="K669">
        <f t="shared" si="65"/>
        <v>17580.860866292849</v>
      </c>
    </row>
    <row r="670" spans="1:11" x14ac:dyDescent="0.4">
      <c r="A670" s="19">
        <v>45862.583333333336</v>
      </c>
      <c r="B670" s="20">
        <f t="shared" si="61"/>
        <v>0.58333333333575865</v>
      </c>
      <c r="C670">
        <v>0</v>
      </c>
      <c r="D670">
        <v>489.89400000000001</v>
      </c>
      <c r="E670">
        <f t="shared" si="60"/>
        <v>489.73900000000003</v>
      </c>
      <c r="F670">
        <v>489.54500000000002</v>
      </c>
      <c r="G670">
        <f t="shared" si="62"/>
        <v>0.19400000000001683</v>
      </c>
      <c r="H670">
        <v>1.82</v>
      </c>
      <c r="I670">
        <f t="shared" si="63"/>
        <v>4.665468242893275</v>
      </c>
      <c r="J670">
        <f t="shared" si="64"/>
        <v>279.92809457359652</v>
      </c>
      <c r="K670">
        <f t="shared" si="65"/>
        <v>16795.685674415789</v>
      </c>
    </row>
    <row r="671" spans="1:11" x14ac:dyDescent="0.4">
      <c r="A671" s="19">
        <v>45862.625</v>
      </c>
      <c r="B671" s="20">
        <f t="shared" si="61"/>
        <v>0.625</v>
      </c>
      <c r="C671">
        <v>1.8</v>
      </c>
      <c r="D671">
        <v>489.88799999999998</v>
      </c>
      <c r="E671">
        <f t="shared" si="60"/>
        <v>489.733</v>
      </c>
      <c r="F671">
        <v>489.54500000000002</v>
      </c>
      <c r="G671">
        <f t="shared" si="62"/>
        <v>0.18799999999998818</v>
      </c>
      <c r="H671">
        <v>1.82</v>
      </c>
      <c r="I671">
        <f t="shared" si="63"/>
        <v>4.4507112217617841</v>
      </c>
      <c r="J671">
        <f t="shared" si="64"/>
        <v>267.04267330570707</v>
      </c>
      <c r="K671">
        <f t="shared" si="65"/>
        <v>16022.560398342423</v>
      </c>
    </row>
    <row r="672" spans="1:11" x14ac:dyDescent="0.4">
      <c r="A672" s="19">
        <v>45862.666666666664</v>
      </c>
      <c r="B672" s="20">
        <f t="shared" si="61"/>
        <v>0.66666666666424135</v>
      </c>
      <c r="C672">
        <v>0.2</v>
      </c>
      <c r="D672">
        <v>489.88799999999998</v>
      </c>
      <c r="E672">
        <f t="shared" si="60"/>
        <v>489.733</v>
      </c>
      <c r="F672">
        <v>489.54500000000002</v>
      </c>
      <c r="G672">
        <f t="shared" si="62"/>
        <v>0.18799999999998818</v>
      </c>
      <c r="H672">
        <v>1.82</v>
      </c>
      <c r="I672">
        <f t="shared" si="63"/>
        <v>4.4507112217617841</v>
      </c>
      <c r="J672">
        <f t="shared" si="64"/>
        <v>267.04267330570707</v>
      </c>
      <c r="K672">
        <f t="shared" si="65"/>
        <v>16022.560398342423</v>
      </c>
    </row>
    <row r="673" spans="1:11" x14ac:dyDescent="0.4">
      <c r="A673" s="19">
        <v>45862.708333333336</v>
      </c>
      <c r="B673" s="20">
        <f t="shared" si="61"/>
        <v>0.70833333333575865</v>
      </c>
      <c r="C673">
        <v>0</v>
      </c>
      <c r="D673">
        <v>489.88099999999997</v>
      </c>
      <c r="E673">
        <f t="shared" si="60"/>
        <v>489.726</v>
      </c>
      <c r="F673">
        <v>489.54500000000002</v>
      </c>
      <c r="G673">
        <f t="shared" si="62"/>
        <v>0.18099999999998317</v>
      </c>
      <c r="H673">
        <v>1.82</v>
      </c>
      <c r="I673">
        <f t="shared" si="63"/>
        <v>4.2044627099731864</v>
      </c>
      <c r="J673">
        <f t="shared" si="64"/>
        <v>252.26776259839119</v>
      </c>
      <c r="K673">
        <f t="shared" si="65"/>
        <v>15136.065755903472</v>
      </c>
    </row>
    <row r="674" spans="1:11" x14ac:dyDescent="0.4">
      <c r="A674" s="19">
        <v>45862.75</v>
      </c>
      <c r="B674" s="20">
        <f t="shared" si="61"/>
        <v>0.75</v>
      </c>
      <c r="C674">
        <v>0</v>
      </c>
      <c r="D674">
        <v>489.875</v>
      </c>
      <c r="E674">
        <f t="shared" si="60"/>
        <v>489.72</v>
      </c>
      <c r="F674">
        <v>489.54500000000002</v>
      </c>
      <c r="G674">
        <f t="shared" si="62"/>
        <v>0.17500000000001137</v>
      </c>
      <c r="H674">
        <v>1.82</v>
      </c>
      <c r="I674">
        <f t="shared" si="63"/>
        <v>3.9971432767669373</v>
      </c>
      <c r="J674">
        <f t="shared" si="64"/>
        <v>239.82859660601625</v>
      </c>
      <c r="K674">
        <f t="shared" si="65"/>
        <v>14389.715796360973</v>
      </c>
    </row>
    <row r="675" spans="1:11" x14ac:dyDescent="0.4">
      <c r="A675" s="19">
        <v>45862.791666666664</v>
      </c>
      <c r="B675" s="20">
        <f t="shared" si="61"/>
        <v>0.79166666666424135</v>
      </c>
      <c r="C675">
        <v>0</v>
      </c>
      <c r="D675">
        <v>489.86900000000003</v>
      </c>
      <c r="E675">
        <f t="shared" si="60"/>
        <v>489.71400000000006</v>
      </c>
      <c r="F675">
        <v>489.54500000000002</v>
      </c>
      <c r="G675">
        <f t="shared" si="62"/>
        <v>0.16900000000003956</v>
      </c>
      <c r="H675">
        <v>1.82</v>
      </c>
      <c r="I675">
        <f t="shared" si="63"/>
        <v>3.7933481145882335</v>
      </c>
      <c r="J675">
        <f t="shared" si="64"/>
        <v>227.60088687529401</v>
      </c>
      <c r="K675">
        <f t="shared" si="65"/>
        <v>13656.05321251764</v>
      </c>
    </row>
    <row r="676" spans="1:11" x14ac:dyDescent="0.4">
      <c r="A676" s="19">
        <v>45862.833333333336</v>
      </c>
      <c r="B676" s="20">
        <f t="shared" si="61"/>
        <v>0.83333333333575865</v>
      </c>
      <c r="C676">
        <v>0</v>
      </c>
      <c r="D676">
        <v>489.86900000000003</v>
      </c>
      <c r="E676">
        <f t="shared" si="60"/>
        <v>489.71400000000006</v>
      </c>
      <c r="F676">
        <v>489.54500000000002</v>
      </c>
      <c r="G676">
        <f t="shared" si="62"/>
        <v>0.16900000000003956</v>
      </c>
      <c r="H676">
        <v>1.82</v>
      </c>
      <c r="I676">
        <f t="shared" si="63"/>
        <v>3.7933481145882335</v>
      </c>
      <c r="J676">
        <f t="shared" si="64"/>
        <v>227.60088687529401</v>
      </c>
      <c r="K676">
        <f t="shared" si="65"/>
        <v>13656.05321251764</v>
      </c>
    </row>
    <row r="677" spans="1:11" x14ac:dyDescent="0.4">
      <c r="A677" s="19">
        <v>45862.875</v>
      </c>
      <c r="B677" s="20">
        <f t="shared" si="61"/>
        <v>0.875</v>
      </c>
      <c r="C677">
        <v>0</v>
      </c>
      <c r="D677">
        <v>489.86200000000002</v>
      </c>
      <c r="E677">
        <f t="shared" si="60"/>
        <v>489.70700000000005</v>
      </c>
      <c r="F677">
        <v>489.54500000000002</v>
      </c>
      <c r="G677">
        <f t="shared" si="62"/>
        <v>0.16200000000003456</v>
      </c>
      <c r="H677">
        <v>1.82</v>
      </c>
      <c r="I677">
        <f t="shared" si="63"/>
        <v>3.560124325425746</v>
      </c>
      <c r="J677">
        <f t="shared" si="64"/>
        <v>213.60745952554475</v>
      </c>
      <c r="K677">
        <f t="shared" si="65"/>
        <v>12816.447571532684</v>
      </c>
    </row>
    <row r="678" spans="1:11" x14ac:dyDescent="0.4">
      <c r="A678" s="19">
        <v>45862.916666666664</v>
      </c>
      <c r="B678" s="20">
        <f t="shared" si="61"/>
        <v>0.91666666666424135</v>
      </c>
      <c r="C678">
        <v>0</v>
      </c>
      <c r="D678">
        <v>489.85500000000002</v>
      </c>
      <c r="E678">
        <f t="shared" si="60"/>
        <v>489.70000000000005</v>
      </c>
      <c r="F678">
        <v>489.54500000000002</v>
      </c>
      <c r="G678">
        <f t="shared" si="62"/>
        <v>0.15500000000002956</v>
      </c>
      <c r="H678">
        <v>1.82</v>
      </c>
      <c r="I678">
        <f t="shared" si="63"/>
        <v>3.3318864318890511</v>
      </c>
      <c r="J678">
        <f t="shared" si="64"/>
        <v>199.91318591334306</v>
      </c>
      <c r="K678">
        <f t="shared" si="65"/>
        <v>11994.791154800585</v>
      </c>
    </row>
    <row r="679" spans="1:11" x14ac:dyDescent="0.4">
      <c r="A679" s="19">
        <v>45862.958333333336</v>
      </c>
      <c r="B679" s="20">
        <f t="shared" si="61"/>
        <v>0.95833333333575865</v>
      </c>
      <c r="C679">
        <v>0</v>
      </c>
      <c r="D679">
        <v>489.84800000000001</v>
      </c>
      <c r="E679">
        <f t="shared" si="60"/>
        <v>489.69300000000004</v>
      </c>
      <c r="F679">
        <v>489.54500000000002</v>
      </c>
      <c r="G679">
        <f t="shared" si="62"/>
        <v>0.14800000000002456</v>
      </c>
      <c r="H679">
        <v>1.82</v>
      </c>
      <c r="I679">
        <f t="shared" si="63"/>
        <v>3.1087458305118498</v>
      </c>
      <c r="J679">
        <f t="shared" si="64"/>
        <v>186.52474983071099</v>
      </c>
      <c r="K679">
        <f t="shared" si="65"/>
        <v>11191.48498984266</v>
      </c>
    </row>
    <row r="680" spans="1:11" x14ac:dyDescent="0.4">
      <c r="A680" s="19">
        <v>45863</v>
      </c>
      <c r="B680" s="20">
        <f t="shared" si="61"/>
        <v>0</v>
      </c>
      <c r="C680">
        <v>0</v>
      </c>
      <c r="D680">
        <v>489.84800000000001</v>
      </c>
      <c r="E680">
        <f t="shared" si="60"/>
        <v>489.69300000000004</v>
      </c>
      <c r="F680">
        <v>489.54500000000002</v>
      </c>
      <c r="G680">
        <f t="shared" si="62"/>
        <v>0.14800000000002456</v>
      </c>
      <c r="H680">
        <v>1.82</v>
      </c>
      <c r="I680">
        <f t="shared" si="63"/>
        <v>3.1087458305118498</v>
      </c>
      <c r="J680">
        <f t="shared" si="64"/>
        <v>186.52474983071099</v>
      </c>
      <c r="K680">
        <f t="shared" si="65"/>
        <v>11191.48498984266</v>
      </c>
    </row>
    <row r="681" spans="1:11" x14ac:dyDescent="0.4">
      <c r="A681" s="19">
        <v>45863.041666666664</v>
      </c>
      <c r="B681" s="20">
        <f t="shared" si="61"/>
        <v>4.1666666664241347E-2</v>
      </c>
      <c r="C681">
        <v>0</v>
      </c>
      <c r="D681">
        <v>489.84800000000001</v>
      </c>
      <c r="E681">
        <f t="shared" si="60"/>
        <v>489.69300000000004</v>
      </c>
      <c r="F681">
        <v>489.54500000000002</v>
      </c>
      <c r="G681">
        <f t="shared" si="62"/>
        <v>0.14800000000002456</v>
      </c>
      <c r="H681">
        <v>1.82</v>
      </c>
      <c r="I681">
        <f t="shared" si="63"/>
        <v>3.1087458305118498</v>
      </c>
      <c r="J681">
        <f t="shared" si="64"/>
        <v>186.52474983071099</v>
      </c>
      <c r="K681">
        <f t="shared" si="65"/>
        <v>11191.48498984266</v>
      </c>
    </row>
    <row r="682" spans="1:11" x14ac:dyDescent="0.4">
      <c r="A682" s="19">
        <v>45863.083333333336</v>
      </c>
      <c r="B682" s="20">
        <f t="shared" si="61"/>
        <v>8.3333333335758653E-2</v>
      </c>
      <c r="C682">
        <v>0</v>
      </c>
      <c r="D682">
        <v>489.84199999999998</v>
      </c>
      <c r="E682">
        <f t="shared" si="60"/>
        <v>489.68700000000001</v>
      </c>
      <c r="F682">
        <v>489.54500000000002</v>
      </c>
      <c r="G682">
        <f t="shared" si="62"/>
        <v>0.14199999999999591</v>
      </c>
      <c r="H682">
        <v>1.82</v>
      </c>
      <c r="I682">
        <f t="shared" si="63"/>
        <v>2.9216296230150851</v>
      </c>
      <c r="J682">
        <f t="shared" si="64"/>
        <v>175.2977773809051</v>
      </c>
      <c r="K682">
        <f t="shared" si="65"/>
        <v>10517.866642854306</v>
      </c>
    </row>
    <row r="683" spans="1:11" x14ac:dyDescent="0.4">
      <c r="A683" s="19">
        <v>45863.125</v>
      </c>
      <c r="B683" s="20">
        <f t="shared" si="61"/>
        <v>0.125</v>
      </c>
      <c r="C683">
        <v>0.6</v>
      </c>
      <c r="D683">
        <v>489.83499999999998</v>
      </c>
      <c r="E683">
        <f t="shared" si="60"/>
        <v>489.68</v>
      </c>
      <c r="F683">
        <v>489.54500000000002</v>
      </c>
      <c r="G683">
        <f t="shared" si="62"/>
        <v>0.13499999999999091</v>
      </c>
      <c r="H683">
        <v>1.82</v>
      </c>
      <c r="I683">
        <f t="shared" si="63"/>
        <v>2.7082783341079475</v>
      </c>
      <c r="J683">
        <f t="shared" si="64"/>
        <v>162.49670004647686</v>
      </c>
      <c r="K683">
        <f t="shared" si="65"/>
        <v>9749.8020027886105</v>
      </c>
    </row>
    <row r="684" spans="1:11" x14ac:dyDescent="0.4">
      <c r="A684" s="19">
        <v>45863.166666666664</v>
      </c>
      <c r="B684" s="20">
        <f t="shared" si="61"/>
        <v>0.16666666666424135</v>
      </c>
      <c r="C684">
        <v>0.6</v>
      </c>
      <c r="D684">
        <v>489.83499999999998</v>
      </c>
      <c r="E684">
        <f t="shared" si="60"/>
        <v>489.68</v>
      </c>
      <c r="F684">
        <v>489.54500000000002</v>
      </c>
      <c r="G684">
        <f t="shared" si="62"/>
        <v>0.13499999999999091</v>
      </c>
      <c r="H684">
        <v>1.82</v>
      </c>
      <c r="I684">
        <f t="shared" si="63"/>
        <v>2.7082783341079475</v>
      </c>
      <c r="J684">
        <f t="shared" si="64"/>
        <v>162.49670004647686</v>
      </c>
      <c r="K684">
        <f t="shared" si="65"/>
        <v>9749.8020027886105</v>
      </c>
    </row>
    <row r="685" spans="1:11" x14ac:dyDescent="0.4">
      <c r="A685" s="19">
        <v>45863.208333333336</v>
      </c>
      <c r="B685" s="20">
        <f t="shared" si="61"/>
        <v>0.20833333333575865</v>
      </c>
      <c r="C685">
        <v>0.6</v>
      </c>
      <c r="D685">
        <v>489.83499999999998</v>
      </c>
      <c r="E685">
        <f t="shared" si="60"/>
        <v>489.68</v>
      </c>
      <c r="F685">
        <v>489.54500000000002</v>
      </c>
      <c r="G685">
        <f t="shared" si="62"/>
        <v>0.13499999999999091</v>
      </c>
      <c r="H685">
        <v>1.82</v>
      </c>
      <c r="I685">
        <f t="shared" si="63"/>
        <v>2.7082783341079475</v>
      </c>
      <c r="J685">
        <f t="shared" si="64"/>
        <v>162.49670004647686</v>
      </c>
      <c r="K685">
        <f t="shared" si="65"/>
        <v>9749.8020027886105</v>
      </c>
    </row>
    <row r="686" spans="1:11" x14ac:dyDescent="0.4">
      <c r="A686" s="19">
        <v>45863.25</v>
      </c>
      <c r="B686" s="20">
        <f t="shared" si="61"/>
        <v>0.25</v>
      </c>
      <c r="C686">
        <v>0.2</v>
      </c>
      <c r="D686">
        <v>489.83</v>
      </c>
      <c r="E686">
        <f t="shared" si="60"/>
        <v>489.67500000000001</v>
      </c>
      <c r="F686">
        <v>489.54500000000002</v>
      </c>
      <c r="G686">
        <f t="shared" si="62"/>
        <v>0.12999999999999545</v>
      </c>
      <c r="H686">
        <v>1.82</v>
      </c>
      <c r="I686">
        <f t="shared" si="63"/>
        <v>2.5592202953242045</v>
      </c>
      <c r="J686">
        <f t="shared" si="64"/>
        <v>153.55321771945228</v>
      </c>
      <c r="K686">
        <f t="shared" si="65"/>
        <v>9213.1930631671366</v>
      </c>
    </row>
    <row r="687" spans="1:11" x14ac:dyDescent="0.4">
      <c r="A687" s="19">
        <v>45863.291666666664</v>
      </c>
      <c r="B687" s="20">
        <f t="shared" si="61"/>
        <v>0.29166666666424135</v>
      </c>
      <c r="C687">
        <v>0</v>
      </c>
      <c r="D687">
        <v>489.82900000000001</v>
      </c>
      <c r="E687">
        <f t="shared" si="60"/>
        <v>489.67400000000004</v>
      </c>
      <c r="F687">
        <v>489.54500000000002</v>
      </c>
      <c r="G687">
        <f t="shared" si="62"/>
        <v>0.1290000000000191</v>
      </c>
      <c r="H687">
        <v>1.82</v>
      </c>
      <c r="I687">
        <f t="shared" si="63"/>
        <v>2.5297476908266638</v>
      </c>
      <c r="J687">
        <f t="shared" si="64"/>
        <v>151.78486144959982</v>
      </c>
      <c r="K687">
        <f t="shared" si="65"/>
        <v>9107.0916869759894</v>
      </c>
    </row>
    <row r="688" spans="1:11" x14ac:dyDescent="0.4">
      <c r="A688" s="19">
        <v>45863.333333333336</v>
      </c>
      <c r="B688" s="20">
        <f t="shared" si="61"/>
        <v>0.33333333333575865</v>
      </c>
      <c r="C688">
        <v>0</v>
      </c>
      <c r="D688">
        <v>489.82900000000001</v>
      </c>
      <c r="E688">
        <f t="shared" si="60"/>
        <v>489.67400000000004</v>
      </c>
      <c r="F688">
        <v>489.54500000000002</v>
      </c>
      <c r="G688">
        <f t="shared" si="62"/>
        <v>0.1290000000000191</v>
      </c>
      <c r="H688">
        <v>1.82</v>
      </c>
      <c r="I688">
        <f t="shared" si="63"/>
        <v>2.5297476908266638</v>
      </c>
      <c r="J688">
        <f t="shared" si="64"/>
        <v>151.78486144959982</v>
      </c>
      <c r="K688">
        <f t="shared" si="65"/>
        <v>9107.0916869759894</v>
      </c>
    </row>
    <row r="689" spans="1:11" x14ac:dyDescent="0.4">
      <c r="A689" s="19">
        <v>45863.375</v>
      </c>
      <c r="B689" s="20">
        <f t="shared" si="61"/>
        <v>0.375</v>
      </c>
      <c r="C689">
        <v>0</v>
      </c>
      <c r="D689">
        <v>489.822</v>
      </c>
      <c r="E689">
        <f t="shared" si="60"/>
        <v>489.66700000000003</v>
      </c>
      <c r="F689">
        <v>489.54500000000002</v>
      </c>
      <c r="G689">
        <f t="shared" si="62"/>
        <v>0.1220000000000141</v>
      </c>
      <c r="H689">
        <v>1.82</v>
      </c>
      <c r="I689">
        <f t="shared" si="63"/>
        <v>2.3266571349646425</v>
      </c>
      <c r="J689">
        <f t="shared" si="64"/>
        <v>139.59942809787856</v>
      </c>
      <c r="K689">
        <f t="shared" si="65"/>
        <v>8375.9656858727121</v>
      </c>
    </row>
    <row r="690" spans="1:11" x14ac:dyDescent="0.4">
      <c r="A690" s="19">
        <v>45863.416666666664</v>
      </c>
      <c r="B690" s="20">
        <f t="shared" si="61"/>
        <v>0.41666666666424135</v>
      </c>
      <c r="C690">
        <v>0</v>
      </c>
      <c r="D690">
        <v>489.822</v>
      </c>
      <c r="E690">
        <f t="shared" si="60"/>
        <v>489.66700000000003</v>
      </c>
      <c r="F690">
        <v>489.54500000000002</v>
      </c>
      <c r="G690">
        <f t="shared" si="62"/>
        <v>0.1220000000000141</v>
      </c>
      <c r="H690">
        <v>1.82</v>
      </c>
      <c r="I690">
        <f t="shared" si="63"/>
        <v>2.3266571349646425</v>
      </c>
      <c r="J690">
        <f t="shared" si="64"/>
        <v>139.59942809787856</v>
      </c>
      <c r="K690">
        <f t="shared" si="65"/>
        <v>8375.9656858727121</v>
      </c>
    </row>
    <row r="691" spans="1:11" x14ac:dyDescent="0.4">
      <c r="A691" s="19">
        <v>45863.458333333336</v>
      </c>
      <c r="B691" s="20">
        <f t="shared" si="61"/>
        <v>0.45833333333575865</v>
      </c>
      <c r="C691">
        <v>0</v>
      </c>
      <c r="D691">
        <v>489.81599999999997</v>
      </c>
      <c r="E691">
        <f t="shared" si="60"/>
        <v>489.661</v>
      </c>
      <c r="F691">
        <v>489.54500000000002</v>
      </c>
      <c r="G691">
        <f t="shared" si="62"/>
        <v>0.11599999999998545</v>
      </c>
      <c r="H691">
        <v>1.82</v>
      </c>
      <c r="I691">
        <f t="shared" si="63"/>
        <v>2.1571464297442224</v>
      </c>
      <c r="J691">
        <f t="shared" si="64"/>
        <v>129.42878578465334</v>
      </c>
      <c r="K691">
        <f t="shared" si="65"/>
        <v>7765.7271470792002</v>
      </c>
    </row>
    <row r="692" spans="1:11" x14ac:dyDescent="0.4">
      <c r="A692" s="19">
        <v>45863.5</v>
      </c>
      <c r="B692" s="20">
        <f t="shared" si="61"/>
        <v>0.5</v>
      </c>
      <c r="C692">
        <v>0</v>
      </c>
      <c r="D692">
        <v>489.81599999999997</v>
      </c>
      <c r="E692">
        <f t="shared" si="60"/>
        <v>489.661</v>
      </c>
      <c r="F692">
        <v>489.54500000000002</v>
      </c>
      <c r="G692">
        <f t="shared" si="62"/>
        <v>0.11599999999998545</v>
      </c>
      <c r="H692">
        <v>1.82</v>
      </c>
      <c r="I692">
        <f t="shared" si="63"/>
        <v>2.1571464297442224</v>
      </c>
      <c r="J692">
        <f t="shared" si="64"/>
        <v>129.42878578465334</v>
      </c>
      <c r="K692">
        <f t="shared" si="65"/>
        <v>7765.7271470792002</v>
      </c>
    </row>
    <row r="693" spans="1:11" x14ac:dyDescent="0.4">
      <c r="A693" s="19">
        <v>45863.541666666664</v>
      </c>
      <c r="B693" s="20">
        <f t="shared" si="61"/>
        <v>0.54166666666424135</v>
      </c>
      <c r="C693">
        <v>0</v>
      </c>
      <c r="D693">
        <v>489.81599999999997</v>
      </c>
      <c r="E693">
        <f t="shared" si="60"/>
        <v>489.661</v>
      </c>
      <c r="F693">
        <v>489.54500000000002</v>
      </c>
      <c r="G693">
        <f t="shared" si="62"/>
        <v>0.11599999999998545</v>
      </c>
      <c r="H693">
        <v>1.82</v>
      </c>
      <c r="I693">
        <f t="shared" si="63"/>
        <v>2.1571464297442224</v>
      </c>
      <c r="J693">
        <f t="shared" si="64"/>
        <v>129.42878578465334</v>
      </c>
      <c r="K693">
        <f t="shared" si="65"/>
        <v>7765.7271470792002</v>
      </c>
    </row>
    <row r="694" spans="1:11" x14ac:dyDescent="0.4">
      <c r="A694" s="19">
        <v>45863.583333333336</v>
      </c>
      <c r="B694" s="20">
        <f t="shared" si="61"/>
        <v>0.58333333333575865</v>
      </c>
      <c r="C694">
        <v>0</v>
      </c>
      <c r="D694">
        <v>489.80900000000003</v>
      </c>
      <c r="E694">
        <f t="shared" si="60"/>
        <v>489.65400000000005</v>
      </c>
      <c r="F694">
        <v>489.54500000000002</v>
      </c>
      <c r="G694">
        <f t="shared" si="62"/>
        <v>0.10900000000003729</v>
      </c>
      <c r="H694">
        <v>1.82</v>
      </c>
      <c r="I694">
        <f t="shared" si="63"/>
        <v>1.9648635203606282</v>
      </c>
      <c r="J694">
        <f t="shared" si="64"/>
        <v>117.8918112216377</v>
      </c>
      <c r="K694">
        <f t="shared" si="65"/>
        <v>7073.5086732982609</v>
      </c>
    </row>
    <row r="695" spans="1:11" x14ac:dyDescent="0.4">
      <c r="A695" s="19">
        <v>45863.625</v>
      </c>
      <c r="B695" s="20">
        <f t="shared" si="61"/>
        <v>0.625</v>
      </c>
      <c r="C695">
        <v>0</v>
      </c>
      <c r="D695">
        <v>489.803</v>
      </c>
      <c r="E695">
        <f t="shared" si="60"/>
        <v>489.64800000000002</v>
      </c>
      <c r="F695">
        <v>489.54500000000002</v>
      </c>
      <c r="G695">
        <f t="shared" si="62"/>
        <v>0.10300000000000864</v>
      </c>
      <c r="H695">
        <v>1.82</v>
      </c>
      <c r="I695">
        <f t="shared" si="63"/>
        <v>1.8048806119300023</v>
      </c>
      <c r="J695">
        <f t="shared" si="64"/>
        <v>108.29283671580014</v>
      </c>
      <c r="K695">
        <f t="shared" si="65"/>
        <v>6497.570202948008</v>
      </c>
    </row>
    <row r="696" spans="1:11" x14ac:dyDescent="0.4">
      <c r="A696" s="19">
        <v>45863.666666666664</v>
      </c>
      <c r="B696" s="20">
        <f t="shared" si="61"/>
        <v>0.66666666666424135</v>
      </c>
      <c r="C696">
        <v>0</v>
      </c>
      <c r="D696">
        <v>489.803</v>
      </c>
      <c r="E696">
        <f t="shared" si="60"/>
        <v>489.64800000000002</v>
      </c>
      <c r="F696">
        <v>489.54500000000002</v>
      </c>
      <c r="G696">
        <f t="shared" si="62"/>
        <v>0.10300000000000864</v>
      </c>
      <c r="H696">
        <v>1.82</v>
      </c>
      <c r="I696">
        <f t="shared" si="63"/>
        <v>1.8048806119300023</v>
      </c>
      <c r="J696">
        <f t="shared" si="64"/>
        <v>108.29283671580014</v>
      </c>
      <c r="K696">
        <f t="shared" si="65"/>
        <v>6497.570202948008</v>
      </c>
    </row>
    <row r="697" spans="1:11" x14ac:dyDescent="0.4">
      <c r="A697" s="19">
        <v>45863.708333333336</v>
      </c>
      <c r="B697" s="20">
        <f t="shared" si="61"/>
        <v>0.70833333333575865</v>
      </c>
      <c r="C697">
        <v>0</v>
      </c>
      <c r="D697">
        <v>489.798</v>
      </c>
      <c r="E697">
        <f t="shared" si="60"/>
        <v>489.64300000000003</v>
      </c>
      <c r="F697">
        <v>489.54500000000002</v>
      </c>
      <c r="G697">
        <f t="shared" si="62"/>
        <v>9.8000000000013188E-2</v>
      </c>
      <c r="H697">
        <v>1.82</v>
      </c>
      <c r="I697">
        <f t="shared" si="63"/>
        <v>1.6750653547611611</v>
      </c>
      <c r="J697">
        <f t="shared" si="64"/>
        <v>100.50392128566966</v>
      </c>
      <c r="K697">
        <f t="shared" si="65"/>
        <v>6030.2352771401793</v>
      </c>
    </row>
    <row r="698" spans="1:11" x14ac:dyDescent="0.4">
      <c r="A698" s="19">
        <v>45863.75</v>
      </c>
      <c r="B698" s="20">
        <f t="shared" si="61"/>
        <v>0.75</v>
      </c>
      <c r="C698">
        <v>0</v>
      </c>
      <c r="D698">
        <v>489.803</v>
      </c>
      <c r="E698">
        <f t="shared" si="60"/>
        <v>489.64800000000002</v>
      </c>
      <c r="F698">
        <v>489.54500000000002</v>
      </c>
      <c r="G698">
        <f t="shared" si="62"/>
        <v>0.10300000000000864</v>
      </c>
      <c r="H698">
        <v>1.82</v>
      </c>
      <c r="I698">
        <f t="shared" si="63"/>
        <v>1.8048806119300023</v>
      </c>
      <c r="J698">
        <f t="shared" si="64"/>
        <v>108.29283671580014</v>
      </c>
      <c r="K698">
        <f t="shared" si="65"/>
        <v>6497.570202948008</v>
      </c>
    </row>
    <row r="699" spans="1:11" x14ac:dyDescent="0.4">
      <c r="A699" s="19">
        <v>45863.791666666664</v>
      </c>
      <c r="B699" s="20">
        <f t="shared" si="61"/>
        <v>0.79166666666424135</v>
      </c>
      <c r="C699">
        <v>0</v>
      </c>
      <c r="D699">
        <v>489.798</v>
      </c>
      <c r="E699">
        <f t="shared" si="60"/>
        <v>489.64300000000003</v>
      </c>
      <c r="F699">
        <v>489.54500000000002</v>
      </c>
      <c r="G699">
        <f t="shared" si="62"/>
        <v>9.8000000000013188E-2</v>
      </c>
      <c r="H699">
        <v>1.82</v>
      </c>
      <c r="I699">
        <f t="shared" si="63"/>
        <v>1.6750653547611611</v>
      </c>
      <c r="J699">
        <f t="shared" si="64"/>
        <v>100.50392128566966</v>
      </c>
      <c r="K699">
        <f t="shared" si="65"/>
        <v>6030.2352771401793</v>
      </c>
    </row>
    <row r="700" spans="1:11" x14ac:dyDescent="0.4">
      <c r="A700" s="19">
        <v>45863.833333333336</v>
      </c>
      <c r="B700" s="20">
        <f t="shared" si="61"/>
        <v>0.83333333333575865</v>
      </c>
      <c r="C700">
        <v>0.6</v>
      </c>
      <c r="D700">
        <v>489.798</v>
      </c>
      <c r="E700">
        <f t="shared" si="60"/>
        <v>489.64300000000003</v>
      </c>
      <c r="F700">
        <v>489.54500000000002</v>
      </c>
      <c r="G700">
        <f t="shared" si="62"/>
        <v>9.8000000000013188E-2</v>
      </c>
      <c r="H700">
        <v>1.82</v>
      </c>
      <c r="I700">
        <f t="shared" si="63"/>
        <v>1.6750653547611611</v>
      </c>
      <c r="J700">
        <f t="shared" si="64"/>
        <v>100.50392128566966</v>
      </c>
      <c r="K700">
        <f t="shared" si="65"/>
        <v>6030.2352771401793</v>
      </c>
    </row>
    <row r="701" spans="1:11" x14ac:dyDescent="0.4">
      <c r="A701" s="19">
        <v>45863.875</v>
      </c>
      <c r="B701" s="20">
        <f t="shared" si="61"/>
        <v>0.875</v>
      </c>
      <c r="C701">
        <v>0.2</v>
      </c>
      <c r="D701">
        <v>489.791</v>
      </c>
      <c r="E701">
        <f t="shared" si="60"/>
        <v>489.63600000000002</v>
      </c>
      <c r="F701">
        <v>489.54500000000002</v>
      </c>
      <c r="G701">
        <f t="shared" si="62"/>
        <v>9.1000000000008185E-2</v>
      </c>
      <c r="H701">
        <v>1.82</v>
      </c>
      <c r="I701">
        <f t="shared" si="63"/>
        <v>1.4988381241350268</v>
      </c>
      <c r="J701">
        <f t="shared" si="64"/>
        <v>89.930287448101609</v>
      </c>
      <c r="K701">
        <f t="shared" si="65"/>
        <v>5395.8172468860967</v>
      </c>
    </row>
    <row r="702" spans="1:11" x14ac:dyDescent="0.4">
      <c r="A702" s="19">
        <v>45863.916666666664</v>
      </c>
      <c r="B702" s="20">
        <f t="shared" si="61"/>
        <v>0.91666666666424135</v>
      </c>
      <c r="C702">
        <v>0.8</v>
      </c>
      <c r="D702">
        <v>489.798</v>
      </c>
      <c r="E702">
        <f t="shared" si="60"/>
        <v>489.64300000000003</v>
      </c>
      <c r="F702">
        <v>489.54500000000002</v>
      </c>
      <c r="G702">
        <f t="shared" si="62"/>
        <v>9.8000000000013188E-2</v>
      </c>
      <c r="H702">
        <v>1.82</v>
      </c>
      <c r="I702">
        <f t="shared" si="63"/>
        <v>1.6750653547611611</v>
      </c>
      <c r="J702">
        <f t="shared" si="64"/>
        <v>100.50392128566966</v>
      </c>
      <c r="K702">
        <f t="shared" si="65"/>
        <v>6030.2352771401793</v>
      </c>
    </row>
    <row r="703" spans="1:11" x14ac:dyDescent="0.4">
      <c r="A703" s="19">
        <v>45863.958333333336</v>
      </c>
      <c r="B703" s="20">
        <f t="shared" si="61"/>
        <v>0.95833333333575865</v>
      </c>
      <c r="C703">
        <v>0.6</v>
      </c>
      <c r="D703">
        <v>489.79199999999997</v>
      </c>
      <c r="E703">
        <f t="shared" si="60"/>
        <v>489.637</v>
      </c>
      <c r="F703">
        <v>489.54500000000002</v>
      </c>
      <c r="G703">
        <f t="shared" si="62"/>
        <v>9.1999999999984539E-2</v>
      </c>
      <c r="H703">
        <v>1.82</v>
      </c>
      <c r="I703">
        <f t="shared" si="63"/>
        <v>1.5236119972220066</v>
      </c>
      <c r="J703">
        <f t="shared" si="64"/>
        <v>91.4167198333204</v>
      </c>
      <c r="K703">
        <f t="shared" si="65"/>
        <v>5485.0031899992237</v>
      </c>
    </row>
    <row r="704" spans="1:11" x14ac:dyDescent="0.4">
      <c r="A704" s="19">
        <v>45864</v>
      </c>
      <c r="B704" s="20">
        <f t="shared" si="61"/>
        <v>0</v>
      </c>
      <c r="C704">
        <v>0</v>
      </c>
      <c r="D704">
        <v>489.79199999999997</v>
      </c>
      <c r="E704">
        <f t="shared" si="60"/>
        <v>489.637</v>
      </c>
      <c r="F704">
        <v>489.54500000000002</v>
      </c>
      <c r="G704">
        <f t="shared" si="62"/>
        <v>9.1999999999984539E-2</v>
      </c>
      <c r="H704">
        <v>1.82</v>
      </c>
      <c r="I704">
        <f t="shared" si="63"/>
        <v>1.5236119972220066</v>
      </c>
      <c r="J704">
        <f t="shared" si="64"/>
        <v>91.4167198333204</v>
      </c>
      <c r="K704">
        <f t="shared" si="65"/>
        <v>5485.0031899992237</v>
      </c>
    </row>
    <row r="705" spans="1:11" x14ac:dyDescent="0.4">
      <c r="A705" s="19">
        <v>45864.041666666664</v>
      </c>
      <c r="B705" s="20">
        <f t="shared" si="61"/>
        <v>4.1666666664241347E-2</v>
      </c>
      <c r="C705">
        <v>0.2</v>
      </c>
      <c r="D705">
        <v>489.79199999999997</v>
      </c>
      <c r="E705">
        <f t="shared" si="60"/>
        <v>489.637</v>
      </c>
      <c r="F705">
        <v>489.54500000000002</v>
      </c>
      <c r="G705">
        <f t="shared" si="62"/>
        <v>9.1999999999984539E-2</v>
      </c>
      <c r="H705">
        <v>1.82</v>
      </c>
      <c r="I705">
        <f t="shared" si="63"/>
        <v>1.5236119972220066</v>
      </c>
      <c r="J705">
        <f t="shared" si="64"/>
        <v>91.4167198333204</v>
      </c>
      <c r="K705">
        <f t="shared" si="65"/>
        <v>5485.0031899992237</v>
      </c>
    </row>
    <row r="706" spans="1:11" x14ac:dyDescent="0.4">
      <c r="A706" s="19">
        <v>45864.083333333336</v>
      </c>
      <c r="B706" s="20">
        <f t="shared" si="61"/>
        <v>8.3333333335758653E-2</v>
      </c>
      <c r="C706">
        <v>0</v>
      </c>
      <c r="D706">
        <v>489.78500000000003</v>
      </c>
      <c r="E706">
        <f t="shared" ref="E706:E769" si="66">D706-0.155</f>
        <v>489.63000000000005</v>
      </c>
      <c r="F706">
        <v>489.54500000000002</v>
      </c>
      <c r="G706">
        <f t="shared" si="62"/>
        <v>8.500000000003638E-2</v>
      </c>
      <c r="H706">
        <v>1.82</v>
      </c>
      <c r="I706">
        <f t="shared" si="63"/>
        <v>1.3530723871997206</v>
      </c>
      <c r="J706">
        <f t="shared" si="64"/>
        <v>81.184343231983235</v>
      </c>
      <c r="K706">
        <f t="shared" si="65"/>
        <v>4871.0605939189945</v>
      </c>
    </row>
    <row r="707" spans="1:11" x14ac:dyDescent="0.4">
      <c r="A707" s="19">
        <v>45864.125</v>
      </c>
      <c r="B707" s="20">
        <f t="shared" ref="B707:B770" si="67">MOD(A707,1)</f>
        <v>0.125</v>
      </c>
      <c r="C707">
        <v>0</v>
      </c>
      <c r="D707">
        <v>489.79199999999997</v>
      </c>
      <c r="E707">
        <f t="shared" si="66"/>
        <v>489.637</v>
      </c>
      <c r="F707">
        <v>489.54500000000002</v>
      </c>
      <c r="G707">
        <f t="shared" ref="G707:G770" si="68">IF(E707 - F707 &lt; 0, 0, E707 - F707)</f>
        <v>9.1999999999984539E-2</v>
      </c>
      <c r="H707">
        <v>1.82</v>
      </c>
      <c r="I707">
        <f t="shared" ref="I707:I770" si="69">1.82*30*(G707^1.5)</f>
        <v>1.5236119972220066</v>
      </c>
      <c r="J707">
        <f t="shared" ref="J707:J770" si="70">I707*60</f>
        <v>91.4167198333204</v>
      </c>
      <c r="K707">
        <f t="shared" ref="K707:K770" si="71">(I707*86400)/24</f>
        <v>5485.0031899992237</v>
      </c>
    </row>
    <row r="708" spans="1:11" x14ac:dyDescent="0.4">
      <c r="A708" s="19">
        <v>45864.166666666664</v>
      </c>
      <c r="B708" s="20">
        <f t="shared" si="67"/>
        <v>0.16666666666424135</v>
      </c>
      <c r="C708">
        <v>0</v>
      </c>
      <c r="D708">
        <v>489.78500000000003</v>
      </c>
      <c r="E708">
        <f t="shared" si="66"/>
        <v>489.63000000000005</v>
      </c>
      <c r="F708">
        <v>489.54500000000002</v>
      </c>
      <c r="G708">
        <f t="shared" si="68"/>
        <v>8.500000000003638E-2</v>
      </c>
      <c r="H708">
        <v>1.82</v>
      </c>
      <c r="I708">
        <f t="shared" si="69"/>
        <v>1.3530723871997206</v>
      </c>
      <c r="J708">
        <f t="shared" si="70"/>
        <v>81.184343231983235</v>
      </c>
      <c r="K708">
        <f t="shared" si="71"/>
        <v>4871.0605939189945</v>
      </c>
    </row>
    <row r="709" spans="1:11" x14ac:dyDescent="0.4">
      <c r="A709" s="19">
        <v>45864.208333333336</v>
      </c>
      <c r="B709" s="20">
        <f t="shared" si="67"/>
        <v>0.20833333333575865</v>
      </c>
      <c r="C709">
        <v>0</v>
      </c>
      <c r="D709">
        <v>489.78500000000003</v>
      </c>
      <c r="E709">
        <f t="shared" si="66"/>
        <v>489.63000000000005</v>
      </c>
      <c r="F709">
        <v>489.54500000000002</v>
      </c>
      <c r="G709">
        <f t="shared" si="68"/>
        <v>8.500000000003638E-2</v>
      </c>
      <c r="H709">
        <v>1.82</v>
      </c>
      <c r="I709">
        <f t="shared" si="69"/>
        <v>1.3530723871997206</v>
      </c>
      <c r="J709">
        <f t="shared" si="70"/>
        <v>81.184343231983235</v>
      </c>
      <c r="K709">
        <f t="shared" si="71"/>
        <v>4871.0605939189945</v>
      </c>
    </row>
    <row r="710" spans="1:11" x14ac:dyDescent="0.4">
      <c r="A710" s="19">
        <v>45864.25</v>
      </c>
      <c r="B710" s="20">
        <f t="shared" si="67"/>
        <v>0.25</v>
      </c>
      <c r="C710">
        <v>0</v>
      </c>
      <c r="D710">
        <v>489.78500000000003</v>
      </c>
      <c r="E710">
        <f t="shared" si="66"/>
        <v>489.63000000000005</v>
      </c>
      <c r="F710">
        <v>489.54500000000002</v>
      </c>
      <c r="G710">
        <f t="shared" si="68"/>
        <v>8.500000000003638E-2</v>
      </c>
      <c r="H710">
        <v>1.82</v>
      </c>
      <c r="I710">
        <f t="shared" si="69"/>
        <v>1.3530723871997206</v>
      </c>
      <c r="J710">
        <f t="shared" si="70"/>
        <v>81.184343231983235</v>
      </c>
      <c r="K710">
        <f t="shared" si="71"/>
        <v>4871.0605939189945</v>
      </c>
    </row>
    <row r="711" spans="1:11" x14ac:dyDescent="0.4">
      <c r="A711" s="19">
        <v>45864.291666666664</v>
      </c>
      <c r="B711" s="20">
        <f t="shared" si="67"/>
        <v>0.29166666666424135</v>
      </c>
      <c r="C711">
        <v>0</v>
      </c>
      <c r="D711">
        <v>489.78500000000003</v>
      </c>
      <c r="E711">
        <f t="shared" si="66"/>
        <v>489.63000000000005</v>
      </c>
      <c r="F711">
        <v>489.54500000000002</v>
      </c>
      <c r="G711">
        <f t="shared" si="68"/>
        <v>8.500000000003638E-2</v>
      </c>
      <c r="H711">
        <v>1.82</v>
      </c>
      <c r="I711">
        <f t="shared" si="69"/>
        <v>1.3530723871997206</v>
      </c>
      <c r="J711">
        <f t="shared" si="70"/>
        <v>81.184343231983235</v>
      </c>
      <c r="K711">
        <f t="shared" si="71"/>
        <v>4871.0605939189945</v>
      </c>
    </row>
    <row r="712" spans="1:11" x14ac:dyDescent="0.4">
      <c r="A712" s="19">
        <v>45864.333333333336</v>
      </c>
      <c r="B712" s="20">
        <f t="shared" si="67"/>
        <v>0.33333333333575865</v>
      </c>
      <c r="C712">
        <v>0</v>
      </c>
      <c r="D712">
        <v>489.78500000000003</v>
      </c>
      <c r="E712">
        <f t="shared" si="66"/>
        <v>489.63000000000005</v>
      </c>
      <c r="F712">
        <v>489.54500000000002</v>
      </c>
      <c r="G712">
        <f t="shared" si="68"/>
        <v>8.500000000003638E-2</v>
      </c>
      <c r="H712">
        <v>1.82</v>
      </c>
      <c r="I712">
        <f t="shared" si="69"/>
        <v>1.3530723871997206</v>
      </c>
      <c r="J712">
        <f t="shared" si="70"/>
        <v>81.184343231983235</v>
      </c>
      <c r="K712">
        <f t="shared" si="71"/>
        <v>4871.0605939189945</v>
      </c>
    </row>
    <row r="713" spans="1:11" x14ac:dyDescent="0.4">
      <c r="A713" s="19">
        <v>45864.375</v>
      </c>
      <c r="B713" s="20">
        <f t="shared" si="67"/>
        <v>0.375</v>
      </c>
      <c r="C713">
        <v>0</v>
      </c>
      <c r="D713">
        <v>489.77800000000002</v>
      </c>
      <c r="E713">
        <f t="shared" si="66"/>
        <v>489.62300000000005</v>
      </c>
      <c r="F713">
        <v>489.54500000000002</v>
      </c>
      <c r="G713">
        <f t="shared" si="68"/>
        <v>7.8000000000031378E-2</v>
      </c>
      <c r="H713">
        <v>1.82</v>
      </c>
      <c r="I713">
        <f t="shared" si="69"/>
        <v>1.1894181099687804</v>
      </c>
      <c r="J713">
        <f t="shared" si="70"/>
        <v>71.365086598126823</v>
      </c>
      <c r="K713">
        <f t="shared" si="71"/>
        <v>4281.9051958876089</v>
      </c>
    </row>
    <row r="714" spans="1:11" x14ac:dyDescent="0.4">
      <c r="A714" s="19">
        <v>45864.416666666664</v>
      </c>
      <c r="B714" s="20">
        <f t="shared" si="67"/>
        <v>0.41666666666424135</v>
      </c>
      <c r="C714">
        <v>0</v>
      </c>
      <c r="D714">
        <v>489.77800000000002</v>
      </c>
      <c r="E714">
        <f t="shared" si="66"/>
        <v>489.62300000000005</v>
      </c>
      <c r="F714">
        <v>489.54500000000002</v>
      </c>
      <c r="G714">
        <f t="shared" si="68"/>
        <v>7.8000000000031378E-2</v>
      </c>
      <c r="H714">
        <v>1.82</v>
      </c>
      <c r="I714">
        <f t="shared" si="69"/>
        <v>1.1894181099687804</v>
      </c>
      <c r="J714">
        <f t="shared" si="70"/>
        <v>71.365086598126823</v>
      </c>
      <c r="K714">
        <f t="shared" si="71"/>
        <v>4281.9051958876089</v>
      </c>
    </row>
    <row r="715" spans="1:11" x14ac:dyDescent="0.4">
      <c r="A715" s="19">
        <v>45864.458333333336</v>
      </c>
      <c r="B715" s="20">
        <f t="shared" si="67"/>
        <v>0.45833333333575865</v>
      </c>
      <c r="C715">
        <v>0</v>
      </c>
      <c r="D715">
        <v>489.77100000000002</v>
      </c>
      <c r="E715">
        <f t="shared" si="66"/>
        <v>489.61600000000004</v>
      </c>
      <c r="F715">
        <v>489.54500000000002</v>
      </c>
      <c r="G715">
        <f t="shared" si="68"/>
        <v>7.1000000000026375E-2</v>
      </c>
      <c r="H715">
        <v>1.82</v>
      </c>
      <c r="I715">
        <f t="shared" si="69"/>
        <v>1.0329520592753516</v>
      </c>
      <c r="J715">
        <f t="shared" si="70"/>
        <v>61.977123556521093</v>
      </c>
      <c r="K715">
        <f t="shared" si="71"/>
        <v>3718.6274133912661</v>
      </c>
    </row>
    <row r="716" spans="1:11" x14ac:dyDescent="0.4">
      <c r="A716" s="19">
        <v>45864.5</v>
      </c>
      <c r="B716" s="20">
        <f t="shared" si="67"/>
        <v>0.5</v>
      </c>
      <c r="C716">
        <v>0</v>
      </c>
      <c r="D716">
        <v>489.77100000000002</v>
      </c>
      <c r="E716">
        <f t="shared" si="66"/>
        <v>489.61600000000004</v>
      </c>
      <c r="F716">
        <v>489.54500000000002</v>
      </c>
      <c r="G716">
        <f t="shared" si="68"/>
        <v>7.1000000000026375E-2</v>
      </c>
      <c r="H716">
        <v>1.82</v>
      </c>
      <c r="I716">
        <f t="shared" si="69"/>
        <v>1.0329520592753516</v>
      </c>
      <c r="J716">
        <f t="shared" si="70"/>
        <v>61.977123556521093</v>
      </c>
      <c r="K716">
        <f t="shared" si="71"/>
        <v>3718.6274133912661</v>
      </c>
    </row>
    <row r="717" spans="1:11" x14ac:dyDescent="0.4">
      <c r="A717" s="19">
        <v>45864.541666666664</v>
      </c>
      <c r="B717" s="20">
        <f t="shared" si="67"/>
        <v>0.54166666666424135</v>
      </c>
      <c r="C717">
        <v>0</v>
      </c>
      <c r="D717">
        <v>489.77100000000002</v>
      </c>
      <c r="E717">
        <f t="shared" si="66"/>
        <v>489.61600000000004</v>
      </c>
      <c r="F717">
        <v>489.54500000000002</v>
      </c>
      <c r="G717">
        <f t="shared" si="68"/>
        <v>7.1000000000026375E-2</v>
      </c>
      <c r="H717">
        <v>1.82</v>
      </c>
      <c r="I717">
        <f t="shared" si="69"/>
        <v>1.0329520592753516</v>
      </c>
      <c r="J717">
        <f t="shared" si="70"/>
        <v>61.977123556521093</v>
      </c>
      <c r="K717">
        <f t="shared" si="71"/>
        <v>3718.6274133912661</v>
      </c>
    </row>
    <row r="718" spans="1:11" x14ac:dyDescent="0.4">
      <c r="A718" s="19">
        <v>45864.583333333336</v>
      </c>
      <c r="B718" s="20">
        <f t="shared" si="67"/>
        <v>0.58333333333575865</v>
      </c>
      <c r="C718">
        <v>0</v>
      </c>
      <c r="D718">
        <v>489.76499999999999</v>
      </c>
      <c r="E718">
        <f t="shared" si="66"/>
        <v>489.61</v>
      </c>
      <c r="F718">
        <v>489.54500000000002</v>
      </c>
      <c r="G718">
        <f t="shared" si="68"/>
        <v>6.4999999999997726E-2</v>
      </c>
      <c r="H718">
        <v>1.82</v>
      </c>
      <c r="I718">
        <f t="shared" si="69"/>
        <v>0.90482101268699189</v>
      </c>
      <c r="J718">
        <f t="shared" si="70"/>
        <v>54.289260761219516</v>
      </c>
      <c r="K718">
        <f t="shared" si="71"/>
        <v>3257.3556456731708</v>
      </c>
    </row>
    <row r="719" spans="1:11" x14ac:dyDescent="0.4">
      <c r="A719" s="19">
        <v>45864.625</v>
      </c>
      <c r="B719" s="20">
        <f t="shared" si="67"/>
        <v>0.625</v>
      </c>
      <c r="C719">
        <v>0</v>
      </c>
      <c r="D719">
        <v>489.76499999999999</v>
      </c>
      <c r="E719">
        <f t="shared" si="66"/>
        <v>489.61</v>
      </c>
      <c r="F719">
        <v>489.54500000000002</v>
      </c>
      <c r="G719">
        <f t="shared" si="68"/>
        <v>6.4999999999997726E-2</v>
      </c>
      <c r="H719">
        <v>1.82</v>
      </c>
      <c r="I719">
        <f t="shared" si="69"/>
        <v>0.90482101268699189</v>
      </c>
      <c r="J719">
        <f t="shared" si="70"/>
        <v>54.289260761219516</v>
      </c>
      <c r="K719">
        <f t="shared" si="71"/>
        <v>3257.3556456731708</v>
      </c>
    </row>
    <row r="720" spans="1:11" x14ac:dyDescent="0.4">
      <c r="A720" s="19">
        <v>45864.666666666664</v>
      </c>
      <c r="B720" s="20">
        <f t="shared" si="67"/>
        <v>0.66666666666424135</v>
      </c>
      <c r="C720">
        <v>0</v>
      </c>
      <c r="D720">
        <v>489.76499999999999</v>
      </c>
      <c r="E720">
        <f t="shared" si="66"/>
        <v>489.61</v>
      </c>
      <c r="F720">
        <v>489.54500000000002</v>
      </c>
      <c r="G720">
        <f t="shared" si="68"/>
        <v>6.4999999999997726E-2</v>
      </c>
      <c r="H720">
        <v>1.82</v>
      </c>
      <c r="I720">
        <f t="shared" si="69"/>
        <v>0.90482101268699189</v>
      </c>
      <c r="J720">
        <f t="shared" si="70"/>
        <v>54.289260761219516</v>
      </c>
      <c r="K720">
        <f t="shared" si="71"/>
        <v>3257.3556456731708</v>
      </c>
    </row>
    <row r="721" spans="1:11" x14ac:dyDescent="0.4">
      <c r="A721" s="19">
        <v>45864.708333333336</v>
      </c>
      <c r="B721" s="20">
        <f t="shared" si="67"/>
        <v>0.70833333333575865</v>
      </c>
      <c r="C721">
        <v>0</v>
      </c>
      <c r="D721">
        <v>489.76499999999999</v>
      </c>
      <c r="E721">
        <f t="shared" si="66"/>
        <v>489.61</v>
      </c>
      <c r="F721">
        <v>489.54500000000002</v>
      </c>
      <c r="G721">
        <f t="shared" si="68"/>
        <v>6.4999999999997726E-2</v>
      </c>
      <c r="H721">
        <v>1.82</v>
      </c>
      <c r="I721">
        <f t="shared" si="69"/>
        <v>0.90482101268699189</v>
      </c>
      <c r="J721">
        <f t="shared" si="70"/>
        <v>54.289260761219516</v>
      </c>
      <c r="K721">
        <f t="shared" si="71"/>
        <v>3257.3556456731708</v>
      </c>
    </row>
    <row r="722" spans="1:11" x14ac:dyDescent="0.4">
      <c r="A722" s="19">
        <v>45864.75</v>
      </c>
      <c r="B722" s="20">
        <f t="shared" si="67"/>
        <v>0.75</v>
      </c>
      <c r="C722">
        <v>0</v>
      </c>
      <c r="D722">
        <v>489.75799999999998</v>
      </c>
      <c r="E722">
        <f t="shared" si="66"/>
        <v>489.60300000000001</v>
      </c>
      <c r="F722">
        <v>489.54500000000002</v>
      </c>
      <c r="G722">
        <f t="shared" si="68"/>
        <v>5.7999999999992724E-2</v>
      </c>
      <c r="H722">
        <v>1.82</v>
      </c>
      <c r="I722">
        <f t="shared" si="69"/>
        <v>0.76266643424224556</v>
      </c>
      <c r="J722">
        <f t="shared" si="70"/>
        <v>45.759986054534735</v>
      </c>
      <c r="K722">
        <f t="shared" si="71"/>
        <v>2745.5991632720838</v>
      </c>
    </row>
    <row r="723" spans="1:11" x14ac:dyDescent="0.4">
      <c r="A723" s="19">
        <v>45864.791666666664</v>
      </c>
      <c r="B723" s="20">
        <f t="shared" si="67"/>
        <v>0.79166666666424135</v>
      </c>
      <c r="C723">
        <v>0</v>
      </c>
      <c r="D723">
        <v>489.75900000000001</v>
      </c>
      <c r="E723">
        <f t="shared" si="66"/>
        <v>489.60400000000004</v>
      </c>
      <c r="F723">
        <v>489.54500000000002</v>
      </c>
      <c r="G723">
        <f t="shared" si="68"/>
        <v>5.9000000000025921E-2</v>
      </c>
      <c r="H723">
        <v>1.82</v>
      </c>
      <c r="I723">
        <f t="shared" si="69"/>
        <v>0.78247534123498508</v>
      </c>
      <c r="J723">
        <f t="shared" si="70"/>
        <v>46.948520474099105</v>
      </c>
      <c r="K723">
        <f t="shared" si="71"/>
        <v>2816.9112284459461</v>
      </c>
    </row>
    <row r="724" spans="1:11" x14ac:dyDescent="0.4">
      <c r="A724" s="19">
        <v>45864.833333333336</v>
      </c>
      <c r="B724" s="20">
        <f t="shared" si="67"/>
        <v>0.83333333333575865</v>
      </c>
      <c r="C724">
        <v>0</v>
      </c>
      <c r="D724">
        <v>489.75799999999998</v>
      </c>
      <c r="E724">
        <f t="shared" si="66"/>
        <v>489.60300000000001</v>
      </c>
      <c r="F724">
        <v>489.54500000000002</v>
      </c>
      <c r="G724">
        <f t="shared" si="68"/>
        <v>5.7999999999992724E-2</v>
      </c>
      <c r="H724">
        <v>1.82</v>
      </c>
      <c r="I724">
        <f t="shared" si="69"/>
        <v>0.76266643424224556</v>
      </c>
      <c r="J724">
        <f t="shared" si="70"/>
        <v>45.759986054534735</v>
      </c>
      <c r="K724">
        <f t="shared" si="71"/>
        <v>2745.5991632720838</v>
      </c>
    </row>
    <row r="725" spans="1:11" x14ac:dyDescent="0.4">
      <c r="A725" s="19">
        <v>45864.875</v>
      </c>
      <c r="B725" s="20">
        <f t="shared" si="67"/>
        <v>0.875</v>
      </c>
      <c r="C725">
        <v>0</v>
      </c>
      <c r="D725">
        <v>489.75799999999998</v>
      </c>
      <c r="E725">
        <f t="shared" si="66"/>
        <v>489.60300000000001</v>
      </c>
      <c r="F725">
        <v>489.54500000000002</v>
      </c>
      <c r="G725">
        <f t="shared" si="68"/>
        <v>5.7999999999992724E-2</v>
      </c>
      <c r="H725">
        <v>1.82</v>
      </c>
      <c r="I725">
        <f t="shared" si="69"/>
        <v>0.76266643424224556</v>
      </c>
      <c r="J725">
        <f t="shared" si="70"/>
        <v>45.759986054534735</v>
      </c>
      <c r="K725">
        <f t="shared" si="71"/>
        <v>2745.5991632720838</v>
      </c>
    </row>
    <row r="726" spans="1:11" x14ac:dyDescent="0.4">
      <c r="A726" s="19">
        <v>45864.916666666664</v>
      </c>
      <c r="B726" s="20">
        <f t="shared" si="67"/>
        <v>0.91666666666424135</v>
      </c>
      <c r="C726">
        <v>0</v>
      </c>
      <c r="D726">
        <v>489.75799999999998</v>
      </c>
      <c r="E726">
        <f t="shared" si="66"/>
        <v>489.60300000000001</v>
      </c>
      <c r="F726">
        <v>489.54500000000002</v>
      </c>
      <c r="G726">
        <f t="shared" si="68"/>
        <v>5.7999999999992724E-2</v>
      </c>
      <c r="H726">
        <v>1.82</v>
      </c>
      <c r="I726">
        <f t="shared" si="69"/>
        <v>0.76266643424224556</v>
      </c>
      <c r="J726">
        <f t="shared" si="70"/>
        <v>45.759986054534735</v>
      </c>
      <c r="K726">
        <f t="shared" si="71"/>
        <v>2745.5991632720838</v>
      </c>
    </row>
    <row r="727" spans="1:11" x14ac:dyDescent="0.4">
      <c r="A727" s="19">
        <v>45864.958333333336</v>
      </c>
      <c r="B727" s="20">
        <f t="shared" si="67"/>
        <v>0.95833333333575865</v>
      </c>
      <c r="C727">
        <v>0</v>
      </c>
      <c r="D727">
        <v>489.75799999999998</v>
      </c>
      <c r="E727">
        <f t="shared" si="66"/>
        <v>489.60300000000001</v>
      </c>
      <c r="F727">
        <v>489.54500000000002</v>
      </c>
      <c r="G727">
        <f t="shared" si="68"/>
        <v>5.7999999999992724E-2</v>
      </c>
      <c r="H727">
        <v>1.82</v>
      </c>
      <c r="I727">
        <f t="shared" si="69"/>
        <v>0.76266643424224556</v>
      </c>
      <c r="J727">
        <f t="shared" si="70"/>
        <v>45.759986054534735</v>
      </c>
      <c r="K727">
        <f t="shared" si="71"/>
        <v>2745.5991632720838</v>
      </c>
    </row>
    <row r="728" spans="1:11" x14ac:dyDescent="0.4">
      <c r="A728" s="19">
        <v>45865</v>
      </c>
      <c r="B728" s="20">
        <f t="shared" si="67"/>
        <v>0</v>
      </c>
      <c r="C728">
        <v>0</v>
      </c>
      <c r="D728">
        <v>489.75299999999999</v>
      </c>
      <c r="E728">
        <f t="shared" si="66"/>
        <v>489.59800000000001</v>
      </c>
      <c r="F728">
        <v>489.54500000000002</v>
      </c>
      <c r="G728">
        <f t="shared" si="68"/>
        <v>5.2999999999997272E-2</v>
      </c>
      <c r="H728">
        <v>1.82</v>
      </c>
      <c r="I728">
        <f t="shared" si="69"/>
        <v>0.66620278993706628</v>
      </c>
      <c r="J728">
        <f t="shared" si="70"/>
        <v>39.972167396223973</v>
      </c>
      <c r="K728">
        <f t="shared" si="71"/>
        <v>2398.3300437734383</v>
      </c>
    </row>
    <row r="729" spans="1:11" x14ac:dyDescent="0.4">
      <c r="A729" s="19">
        <v>45865.041666666664</v>
      </c>
      <c r="B729" s="20">
        <f t="shared" si="67"/>
        <v>4.1666666664241347E-2</v>
      </c>
      <c r="C729">
        <v>0</v>
      </c>
      <c r="D729">
        <v>489.75200000000001</v>
      </c>
      <c r="E729">
        <f t="shared" si="66"/>
        <v>489.59700000000004</v>
      </c>
      <c r="F729">
        <v>489.54500000000002</v>
      </c>
      <c r="G729">
        <f t="shared" si="68"/>
        <v>5.2000000000020918E-2</v>
      </c>
      <c r="H729">
        <v>1.82</v>
      </c>
      <c r="I729">
        <f t="shared" si="69"/>
        <v>0.64743721338868554</v>
      </c>
      <c r="J729">
        <f t="shared" si="70"/>
        <v>38.846232803321129</v>
      </c>
      <c r="K729">
        <f t="shared" si="71"/>
        <v>2330.773968199268</v>
      </c>
    </row>
    <row r="730" spans="1:11" x14ac:dyDescent="0.4">
      <c r="A730" s="19">
        <v>45865.083333333336</v>
      </c>
      <c r="B730" s="20">
        <f t="shared" si="67"/>
        <v>8.3333333335758653E-2</v>
      </c>
      <c r="C730">
        <v>0</v>
      </c>
      <c r="D730">
        <v>489.745</v>
      </c>
      <c r="E730">
        <f t="shared" si="66"/>
        <v>489.59000000000003</v>
      </c>
      <c r="F730">
        <v>489.54500000000002</v>
      </c>
      <c r="G730">
        <f t="shared" si="68"/>
        <v>4.5000000000015916E-2</v>
      </c>
      <c r="H730">
        <v>1.82</v>
      </c>
      <c r="I730">
        <f t="shared" si="69"/>
        <v>0.52120840841288063</v>
      </c>
      <c r="J730">
        <f t="shared" si="70"/>
        <v>31.272504504772836</v>
      </c>
      <c r="K730">
        <f t="shared" si="71"/>
        <v>1876.3502702863705</v>
      </c>
    </row>
    <row r="731" spans="1:11" x14ac:dyDescent="0.4">
      <c r="A731" s="19">
        <v>45865.125</v>
      </c>
      <c r="B731" s="20">
        <f t="shared" si="67"/>
        <v>0.125</v>
      </c>
      <c r="C731">
        <v>0</v>
      </c>
      <c r="D731">
        <v>489.745</v>
      </c>
      <c r="E731">
        <f t="shared" si="66"/>
        <v>489.59000000000003</v>
      </c>
      <c r="F731">
        <v>489.54500000000002</v>
      </c>
      <c r="G731">
        <f t="shared" si="68"/>
        <v>4.5000000000015916E-2</v>
      </c>
      <c r="H731">
        <v>1.82</v>
      </c>
      <c r="I731">
        <f t="shared" si="69"/>
        <v>0.52120840841288063</v>
      </c>
      <c r="J731">
        <f t="shared" si="70"/>
        <v>31.272504504772836</v>
      </c>
      <c r="K731">
        <f t="shared" si="71"/>
        <v>1876.3502702863705</v>
      </c>
    </row>
    <row r="732" spans="1:11" x14ac:dyDescent="0.4">
      <c r="A732" s="19">
        <v>45865.166666666664</v>
      </c>
      <c r="B732" s="20">
        <f t="shared" si="67"/>
        <v>0.16666666666424135</v>
      </c>
      <c r="C732">
        <v>0</v>
      </c>
      <c r="D732">
        <v>489.745</v>
      </c>
      <c r="E732">
        <f t="shared" si="66"/>
        <v>489.59000000000003</v>
      </c>
      <c r="F732">
        <v>489.54500000000002</v>
      </c>
      <c r="G732">
        <f t="shared" si="68"/>
        <v>4.5000000000015916E-2</v>
      </c>
      <c r="H732">
        <v>1.82</v>
      </c>
      <c r="I732">
        <f t="shared" si="69"/>
        <v>0.52120840841288063</v>
      </c>
      <c r="J732">
        <f t="shared" si="70"/>
        <v>31.272504504772836</v>
      </c>
      <c r="K732">
        <f t="shared" si="71"/>
        <v>1876.3502702863705</v>
      </c>
    </row>
    <row r="733" spans="1:11" x14ac:dyDescent="0.4">
      <c r="A733" s="19">
        <v>45865.208333333336</v>
      </c>
      <c r="B733" s="20">
        <f t="shared" si="67"/>
        <v>0.20833333333575865</v>
      </c>
      <c r="C733">
        <v>0</v>
      </c>
      <c r="D733">
        <v>489.745</v>
      </c>
      <c r="E733">
        <f t="shared" si="66"/>
        <v>489.59000000000003</v>
      </c>
      <c r="F733">
        <v>489.54500000000002</v>
      </c>
      <c r="G733">
        <f t="shared" si="68"/>
        <v>4.5000000000015916E-2</v>
      </c>
      <c r="H733">
        <v>1.82</v>
      </c>
      <c r="I733">
        <f t="shared" si="69"/>
        <v>0.52120840841288063</v>
      </c>
      <c r="J733">
        <f t="shared" si="70"/>
        <v>31.272504504772836</v>
      </c>
      <c r="K733">
        <f t="shared" si="71"/>
        <v>1876.3502702863705</v>
      </c>
    </row>
    <row r="734" spans="1:11" x14ac:dyDescent="0.4">
      <c r="A734" s="19">
        <v>45865.25</v>
      </c>
      <c r="B734" s="20">
        <f t="shared" si="67"/>
        <v>0.25</v>
      </c>
      <c r="C734">
        <v>0</v>
      </c>
      <c r="D734">
        <v>489.745</v>
      </c>
      <c r="E734">
        <f t="shared" si="66"/>
        <v>489.59000000000003</v>
      </c>
      <c r="F734">
        <v>489.54500000000002</v>
      </c>
      <c r="G734">
        <f t="shared" si="68"/>
        <v>4.5000000000015916E-2</v>
      </c>
      <c r="H734">
        <v>1.82</v>
      </c>
      <c r="I734">
        <f t="shared" si="69"/>
        <v>0.52120840841288063</v>
      </c>
      <c r="J734">
        <f t="shared" si="70"/>
        <v>31.272504504772836</v>
      </c>
      <c r="K734">
        <f t="shared" si="71"/>
        <v>1876.3502702863705</v>
      </c>
    </row>
    <row r="735" spans="1:11" x14ac:dyDescent="0.4">
      <c r="A735" s="19">
        <v>45865.291666666664</v>
      </c>
      <c r="B735" s="20">
        <f t="shared" si="67"/>
        <v>0.29166666666424135</v>
      </c>
      <c r="C735">
        <v>0</v>
      </c>
      <c r="D735">
        <v>489.745</v>
      </c>
      <c r="E735">
        <f t="shared" si="66"/>
        <v>489.59000000000003</v>
      </c>
      <c r="F735">
        <v>489.54500000000002</v>
      </c>
      <c r="G735">
        <f t="shared" si="68"/>
        <v>4.5000000000015916E-2</v>
      </c>
      <c r="H735">
        <v>1.82</v>
      </c>
      <c r="I735">
        <f t="shared" si="69"/>
        <v>0.52120840841288063</v>
      </c>
      <c r="J735">
        <f t="shared" si="70"/>
        <v>31.272504504772836</v>
      </c>
      <c r="K735">
        <f t="shared" si="71"/>
        <v>1876.3502702863705</v>
      </c>
    </row>
    <row r="736" spans="1:11" x14ac:dyDescent="0.4">
      <c r="A736" s="19">
        <v>45865.333333333336</v>
      </c>
      <c r="B736" s="20">
        <f t="shared" si="67"/>
        <v>0.33333333333575865</v>
      </c>
      <c r="C736">
        <v>0</v>
      </c>
      <c r="D736">
        <v>489.745</v>
      </c>
      <c r="E736">
        <f t="shared" si="66"/>
        <v>489.59000000000003</v>
      </c>
      <c r="F736">
        <v>489.54500000000002</v>
      </c>
      <c r="G736">
        <f t="shared" si="68"/>
        <v>4.5000000000015916E-2</v>
      </c>
      <c r="H736">
        <v>1.82</v>
      </c>
      <c r="I736">
        <f t="shared" si="69"/>
        <v>0.52120840841288063</v>
      </c>
      <c r="J736">
        <f t="shared" si="70"/>
        <v>31.272504504772836</v>
      </c>
      <c r="K736">
        <f t="shared" si="71"/>
        <v>1876.3502702863705</v>
      </c>
    </row>
    <row r="737" spans="1:11" x14ac:dyDescent="0.4">
      <c r="A737" s="19">
        <v>45865.375</v>
      </c>
      <c r="B737" s="20">
        <f t="shared" si="67"/>
        <v>0.375</v>
      </c>
      <c r="C737">
        <v>0</v>
      </c>
      <c r="D737">
        <v>489.73899999999998</v>
      </c>
      <c r="E737">
        <f t="shared" si="66"/>
        <v>489.584</v>
      </c>
      <c r="F737">
        <v>489.54500000000002</v>
      </c>
      <c r="G737">
        <f t="shared" si="68"/>
        <v>3.8999999999987267E-2</v>
      </c>
      <c r="H737">
        <v>1.82</v>
      </c>
      <c r="I737">
        <f t="shared" si="69"/>
        <v>0.42052280561204625</v>
      </c>
      <c r="J737">
        <f t="shared" si="70"/>
        <v>25.231368336722774</v>
      </c>
      <c r="K737">
        <f t="shared" si="71"/>
        <v>1513.8821002033665</v>
      </c>
    </row>
    <row r="738" spans="1:11" x14ac:dyDescent="0.4">
      <c r="A738" s="19">
        <v>45865.416666666664</v>
      </c>
      <c r="B738" s="20">
        <f t="shared" si="67"/>
        <v>0.41666666666424135</v>
      </c>
      <c r="C738">
        <v>0</v>
      </c>
      <c r="D738">
        <v>489.73899999999998</v>
      </c>
      <c r="E738">
        <f t="shared" si="66"/>
        <v>489.584</v>
      </c>
      <c r="F738">
        <v>489.54500000000002</v>
      </c>
      <c r="G738">
        <f t="shared" si="68"/>
        <v>3.8999999999987267E-2</v>
      </c>
      <c r="H738">
        <v>1.82</v>
      </c>
      <c r="I738">
        <f t="shared" si="69"/>
        <v>0.42052280561204625</v>
      </c>
      <c r="J738">
        <f t="shared" si="70"/>
        <v>25.231368336722774</v>
      </c>
      <c r="K738">
        <f t="shared" si="71"/>
        <v>1513.8821002033665</v>
      </c>
    </row>
    <row r="739" spans="1:11" x14ac:dyDescent="0.4">
      <c r="A739" s="19">
        <v>45865.458333333336</v>
      </c>
      <c r="B739" s="20">
        <f t="shared" si="67"/>
        <v>0.45833333333575865</v>
      </c>
      <c r="C739">
        <v>0</v>
      </c>
      <c r="D739">
        <v>489.738</v>
      </c>
      <c r="E739">
        <f t="shared" si="66"/>
        <v>489.58300000000003</v>
      </c>
      <c r="F739">
        <v>489.54500000000002</v>
      </c>
      <c r="G739">
        <f t="shared" si="68"/>
        <v>3.8000000000010914E-2</v>
      </c>
      <c r="H739">
        <v>1.82</v>
      </c>
      <c r="I739">
        <f t="shared" si="69"/>
        <v>0.40445297813236675</v>
      </c>
      <c r="J739">
        <f t="shared" si="70"/>
        <v>24.267178687942003</v>
      </c>
      <c r="K739">
        <f t="shared" si="71"/>
        <v>1456.0307212765204</v>
      </c>
    </row>
    <row r="740" spans="1:11" x14ac:dyDescent="0.4">
      <c r="A740" s="19">
        <v>45865.5</v>
      </c>
      <c r="B740" s="20">
        <f t="shared" si="67"/>
        <v>0.5</v>
      </c>
      <c r="C740">
        <v>0</v>
      </c>
      <c r="D740">
        <v>489.73899999999998</v>
      </c>
      <c r="E740">
        <f t="shared" si="66"/>
        <v>489.584</v>
      </c>
      <c r="F740">
        <v>489.54500000000002</v>
      </c>
      <c r="G740">
        <f t="shared" si="68"/>
        <v>3.8999999999987267E-2</v>
      </c>
      <c r="H740">
        <v>1.82</v>
      </c>
      <c r="I740">
        <f t="shared" si="69"/>
        <v>0.42052280561204625</v>
      </c>
      <c r="J740">
        <f t="shared" si="70"/>
        <v>25.231368336722774</v>
      </c>
      <c r="K740">
        <f t="shared" si="71"/>
        <v>1513.8821002033665</v>
      </c>
    </row>
    <row r="741" spans="1:11" x14ac:dyDescent="0.4">
      <c r="A741" s="19">
        <v>45865.541666666664</v>
      </c>
      <c r="B741" s="20">
        <f t="shared" si="67"/>
        <v>0.54166666666424135</v>
      </c>
      <c r="C741">
        <v>0</v>
      </c>
      <c r="D741">
        <v>489.73200000000003</v>
      </c>
      <c r="E741">
        <f t="shared" si="66"/>
        <v>489.57700000000006</v>
      </c>
      <c r="F741">
        <v>489.54500000000002</v>
      </c>
      <c r="G741">
        <f t="shared" si="68"/>
        <v>3.2000000000039108E-2</v>
      </c>
      <c r="H741">
        <v>1.82</v>
      </c>
      <c r="I741">
        <f t="shared" si="69"/>
        <v>0.31254863762358359</v>
      </c>
      <c r="J741">
        <f t="shared" si="70"/>
        <v>18.752918257415015</v>
      </c>
      <c r="K741">
        <f t="shared" si="71"/>
        <v>1125.175095444901</v>
      </c>
    </row>
    <row r="742" spans="1:11" x14ac:dyDescent="0.4">
      <c r="A742" s="19">
        <v>45865.583333333336</v>
      </c>
      <c r="B742" s="20">
        <f t="shared" si="67"/>
        <v>0.58333333333575865</v>
      </c>
      <c r="C742">
        <v>0</v>
      </c>
      <c r="D742">
        <v>489.73200000000003</v>
      </c>
      <c r="E742">
        <f t="shared" si="66"/>
        <v>489.57700000000006</v>
      </c>
      <c r="F742">
        <v>489.54500000000002</v>
      </c>
      <c r="G742">
        <f t="shared" si="68"/>
        <v>3.2000000000039108E-2</v>
      </c>
      <c r="H742">
        <v>1.82</v>
      </c>
      <c r="I742">
        <f t="shared" si="69"/>
        <v>0.31254863762358359</v>
      </c>
      <c r="J742">
        <f t="shared" si="70"/>
        <v>18.752918257415015</v>
      </c>
      <c r="K742">
        <f t="shared" si="71"/>
        <v>1125.175095444901</v>
      </c>
    </row>
    <row r="743" spans="1:11" x14ac:dyDescent="0.4">
      <c r="A743" s="19">
        <v>45865.625</v>
      </c>
      <c r="B743" s="20">
        <f t="shared" si="67"/>
        <v>0.625</v>
      </c>
      <c r="C743">
        <v>8.8000000000000007</v>
      </c>
      <c r="D743">
        <v>489.73899999999998</v>
      </c>
      <c r="E743">
        <f t="shared" si="66"/>
        <v>489.584</v>
      </c>
      <c r="F743">
        <v>489.54500000000002</v>
      </c>
      <c r="G743">
        <f t="shared" si="68"/>
        <v>3.8999999999987267E-2</v>
      </c>
      <c r="H743">
        <v>1.82</v>
      </c>
      <c r="I743">
        <f t="shared" si="69"/>
        <v>0.42052280561204625</v>
      </c>
      <c r="J743">
        <f t="shared" si="70"/>
        <v>25.231368336722774</v>
      </c>
      <c r="K743">
        <f t="shared" si="71"/>
        <v>1513.8821002033665</v>
      </c>
    </row>
    <row r="744" spans="1:11" x14ac:dyDescent="0.4">
      <c r="A744" s="19">
        <v>45865.666666666664</v>
      </c>
      <c r="B744" s="20">
        <f t="shared" si="67"/>
        <v>0.66666666666424135</v>
      </c>
      <c r="C744">
        <v>12</v>
      </c>
      <c r="D744">
        <v>489.77800000000002</v>
      </c>
      <c r="E744">
        <f t="shared" si="66"/>
        <v>489.62300000000005</v>
      </c>
      <c r="F744">
        <v>489.54500000000002</v>
      </c>
      <c r="G744">
        <f t="shared" si="68"/>
        <v>7.8000000000031378E-2</v>
      </c>
      <c r="H744">
        <v>1.82</v>
      </c>
      <c r="I744">
        <f t="shared" si="69"/>
        <v>1.1894181099687804</v>
      </c>
      <c r="J744">
        <f t="shared" si="70"/>
        <v>71.365086598126823</v>
      </c>
      <c r="K744">
        <f t="shared" si="71"/>
        <v>4281.9051958876089</v>
      </c>
    </row>
    <row r="745" spans="1:11" x14ac:dyDescent="0.4">
      <c r="A745" s="19">
        <v>45865.708333333336</v>
      </c>
      <c r="B745" s="20">
        <f t="shared" si="67"/>
        <v>0.70833333333575865</v>
      </c>
      <c r="C745">
        <v>0.8</v>
      </c>
      <c r="D745">
        <v>489.85500000000002</v>
      </c>
      <c r="E745">
        <f t="shared" si="66"/>
        <v>489.70000000000005</v>
      </c>
      <c r="F745">
        <v>489.54500000000002</v>
      </c>
      <c r="G745">
        <f t="shared" si="68"/>
        <v>0.15500000000002956</v>
      </c>
      <c r="H745">
        <v>1.82</v>
      </c>
      <c r="I745">
        <f t="shared" si="69"/>
        <v>3.3318864318890511</v>
      </c>
      <c r="J745">
        <f t="shared" si="70"/>
        <v>199.91318591334306</v>
      </c>
      <c r="K745">
        <f t="shared" si="71"/>
        <v>11994.791154800585</v>
      </c>
    </row>
    <row r="746" spans="1:11" x14ac:dyDescent="0.4">
      <c r="A746" s="19">
        <v>45865.75</v>
      </c>
      <c r="B746" s="20">
        <f t="shared" si="67"/>
        <v>0.75</v>
      </c>
      <c r="C746">
        <v>0</v>
      </c>
      <c r="D746">
        <v>489.9</v>
      </c>
      <c r="E746">
        <f t="shared" si="66"/>
        <v>489.745</v>
      </c>
      <c r="F746">
        <v>489.54500000000002</v>
      </c>
      <c r="G746">
        <f t="shared" si="68"/>
        <v>0.19999999999998863</v>
      </c>
      <c r="H746">
        <v>1.82</v>
      </c>
      <c r="I746">
        <f t="shared" si="69"/>
        <v>4.8835724628591253</v>
      </c>
      <c r="J746">
        <f t="shared" si="70"/>
        <v>293.01434777154753</v>
      </c>
      <c r="K746">
        <f t="shared" si="71"/>
        <v>17580.860866292849</v>
      </c>
    </row>
    <row r="747" spans="1:11" x14ac:dyDescent="0.4">
      <c r="A747" s="19">
        <v>45865.791666666664</v>
      </c>
      <c r="B747" s="20">
        <f t="shared" si="67"/>
        <v>0.79166666666424135</v>
      </c>
      <c r="C747">
        <v>0</v>
      </c>
      <c r="D747">
        <v>489.91399999999999</v>
      </c>
      <c r="E747">
        <f t="shared" si="66"/>
        <v>489.75900000000001</v>
      </c>
      <c r="F747">
        <v>489.54500000000002</v>
      </c>
      <c r="G747">
        <f t="shared" si="68"/>
        <v>0.21399999999999864</v>
      </c>
      <c r="H747">
        <v>1.82</v>
      </c>
      <c r="I747">
        <f t="shared" si="69"/>
        <v>5.4052191000032046</v>
      </c>
      <c r="J747">
        <f t="shared" si="70"/>
        <v>324.31314600019226</v>
      </c>
      <c r="K747">
        <f t="shared" si="71"/>
        <v>19458.788760011535</v>
      </c>
    </row>
    <row r="748" spans="1:11" x14ac:dyDescent="0.4">
      <c r="A748" s="19">
        <v>45865.833333333336</v>
      </c>
      <c r="B748" s="20">
        <f t="shared" si="67"/>
        <v>0.83333333333575865</v>
      </c>
      <c r="C748">
        <v>0</v>
      </c>
      <c r="D748">
        <v>489.93200000000002</v>
      </c>
      <c r="E748">
        <f t="shared" si="66"/>
        <v>489.77700000000004</v>
      </c>
      <c r="F748">
        <v>489.54500000000002</v>
      </c>
      <c r="G748">
        <f t="shared" si="68"/>
        <v>0.23200000000002774</v>
      </c>
      <c r="H748">
        <v>1.82</v>
      </c>
      <c r="I748">
        <f t="shared" si="69"/>
        <v>6.1013314739402045</v>
      </c>
      <c r="J748">
        <f t="shared" si="70"/>
        <v>366.07988843641226</v>
      </c>
      <c r="K748">
        <f t="shared" si="71"/>
        <v>21964.793306184733</v>
      </c>
    </row>
    <row r="749" spans="1:11" x14ac:dyDescent="0.4">
      <c r="A749" s="19">
        <v>45865.875</v>
      </c>
      <c r="B749" s="20">
        <f t="shared" si="67"/>
        <v>0.875</v>
      </c>
      <c r="C749">
        <v>0</v>
      </c>
      <c r="D749">
        <v>489.93299999999999</v>
      </c>
      <c r="E749">
        <f t="shared" si="66"/>
        <v>489.77800000000002</v>
      </c>
      <c r="F749">
        <v>489.54500000000002</v>
      </c>
      <c r="G749">
        <f t="shared" si="68"/>
        <v>0.23300000000000409</v>
      </c>
      <c r="H749">
        <v>1.82</v>
      </c>
      <c r="I749">
        <f t="shared" si="69"/>
        <v>6.1408222161956445</v>
      </c>
      <c r="J749">
        <f t="shared" si="70"/>
        <v>368.44933297173867</v>
      </c>
      <c r="K749">
        <f t="shared" si="71"/>
        <v>22106.95997830432</v>
      </c>
    </row>
    <row r="750" spans="1:11" x14ac:dyDescent="0.4">
      <c r="A750" s="19">
        <v>45865.916666666664</v>
      </c>
      <c r="B750" s="20">
        <f t="shared" si="67"/>
        <v>0.91666666666424135</v>
      </c>
      <c r="C750">
        <v>0.4</v>
      </c>
      <c r="D750">
        <v>489.93299999999999</v>
      </c>
      <c r="E750">
        <f t="shared" si="66"/>
        <v>489.77800000000002</v>
      </c>
      <c r="F750">
        <v>489.54500000000002</v>
      </c>
      <c r="G750">
        <f t="shared" si="68"/>
        <v>0.23300000000000409</v>
      </c>
      <c r="H750">
        <v>1.82</v>
      </c>
      <c r="I750">
        <f t="shared" si="69"/>
        <v>6.1408222161956445</v>
      </c>
      <c r="J750">
        <f t="shared" si="70"/>
        <v>368.44933297173867</v>
      </c>
      <c r="K750">
        <f t="shared" si="71"/>
        <v>22106.95997830432</v>
      </c>
    </row>
    <row r="751" spans="1:11" x14ac:dyDescent="0.4">
      <c r="A751" s="19">
        <v>45865.958333333336</v>
      </c>
      <c r="B751" s="20">
        <f t="shared" si="67"/>
        <v>0.95833333333575865</v>
      </c>
      <c r="C751">
        <v>0</v>
      </c>
      <c r="D751">
        <v>489.93900000000002</v>
      </c>
      <c r="E751">
        <f t="shared" si="66"/>
        <v>489.78400000000005</v>
      </c>
      <c r="F751">
        <v>489.54500000000002</v>
      </c>
      <c r="G751">
        <f t="shared" si="68"/>
        <v>0.23900000000003274</v>
      </c>
      <c r="H751">
        <v>1.82</v>
      </c>
      <c r="I751">
        <f t="shared" si="69"/>
        <v>6.379541899388756</v>
      </c>
      <c r="J751">
        <f t="shared" si="70"/>
        <v>382.77251396332537</v>
      </c>
      <c r="K751">
        <f t="shared" si="71"/>
        <v>22966.35083779952</v>
      </c>
    </row>
    <row r="752" spans="1:11" x14ac:dyDescent="0.4">
      <c r="A752" s="19">
        <v>45866</v>
      </c>
      <c r="B752" s="20">
        <f t="shared" si="67"/>
        <v>0</v>
      </c>
      <c r="C752">
        <v>0</v>
      </c>
      <c r="D752">
        <v>489.93200000000002</v>
      </c>
      <c r="E752">
        <f t="shared" si="66"/>
        <v>489.77700000000004</v>
      </c>
      <c r="F752">
        <v>489.54500000000002</v>
      </c>
      <c r="G752">
        <f t="shared" si="68"/>
        <v>0.23200000000002774</v>
      </c>
      <c r="H752">
        <v>1.82</v>
      </c>
      <c r="I752">
        <f t="shared" si="69"/>
        <v>6.1013314739402045</v>
      </c>
      <c r="J752">
        <f t="shared" si="70"/>
        <v>366.07988843641226</v>
      </c>
      <c r="K752">
        <f t="shared" si="71"/>
        <v>21964.793306184733</v>
      </c>
    </row>
    <row r="753" spans="1:11" x14ac:dyDescent="0.4">
      <c r="A753" s="19">
        <v>45866.041666666664</v>
      </c>
      <c r="B753" s="20">
        <f t="shared" si="67"/>
        <v>4.1666666664241347E-2</v>
      </c>
      <c r="C753">
        <v>2.6</v>
      </c>
      <c r="D753">
        <v>489.93200000000002</v>
      </c>
      <c r="E753">
        <f t="shared" si="66"/>
        <v>489.77700000000004</v>
      </c>
      <c r="F753">
        <v>489.54500000000002</v>
      </c>
      <c r="G753">
        <f t="shared" si="68"/>
        <v>0.23200000000002774</v>
      </c>
      <c r="H753">
        <v>1.82</v>
      </c>
      <c r="I753">
        <f t="shared" si="69"/>
        <v>6.1013314739402045</v>
      </c>
      <c r="J753">
        <f t="shared" si="70"/>
        <v>366.07988843641226</v>
      </c>
      <c r="K753">
        <f t="shared" si="71"/>
        <v>21964.793306184733</v>
      </c>
    </row>
    <row r="754" spans="1:11" x14ac:dyDescent="0.4">
      <c r="A754" s="19">
        <v>45866.083333333336</v>
      </c>
      <c r="B754" s="20">
        <f t="shared" si="67"/>
        <v>8.3333333335758653E-2</v>
      </c>
      <c r="C754">
        <v>0.2</v>
      </c>
      <c r="D754">
        <v>489.93299999999999</v>
      </c>
      <c r="E754">
        <f t="shared" si="66"/>
        <v>489.77800000000002</v>
      </c>
      <c r="F754">
        <v>489.54500000000002</v>
      </c>
      <c r="G754">
        <f t="shared" si="68"/>
        <v>0.23300000000000409</v>
      </c>
      <c r="H754">
        <v>1.82</v>
      </c>
      <c r="I754">
        <f t="shared" si="69"/>
        <v>6.1408222161956445</v>
      </c>
      <c r="J754">
        <f t="shared" si="70"/>
        <v>368.44933297173867</v>
      </c>
      <c r="K754">
        <f t="shared" si="71"/>
        <v>22106.95997830432</v>
      </c>
    </row>
    <row r="755" spans="1:11" x14ac:dyDescent="0.4">
      <c r="A755" s="19">
        <v>45866.125</v>
      </c>
      <c r="B755" s="20">
        <f t="shared" si="67"/>
        <v>0.125</v>
      </c>
      <c r="C755">
        <v>0.6</v>
      </c>
      <c r="D755">
        <v>489.93200000000002</v>
      </c>
      <c r="E755">
        <f t="shared" si="66"/>
        <v>489.77700000000004</v>
      </c>
      <c r="F755">
        <v>489.54500000000002</v>
      </c>
      <c r="G755">
        <f t="shared" si="68"/>
        <v>0.23200000000002774</v>
      </c>
      <c r="H755">
        <v>1.82</v>
      </c>
      <c r="I755">
        <f t="shared" si="69"/>
        <v>6.1013314739402045</v>
      </c>
      <c r="J755">
        <f t="shared" si="70"/>
        <v>366.07988843641226</v>
      </c>
      <c r="K755">
        <f t="shared" si="71"/>
        <v>21964.793306184733</v>
      </c>
    </row>
    <row r="756" spans="1:11" x14ac:dyDescent="0.4">
      <c r="A756" s="19">
        <v>45866.166666666664</v>
      </c>
      <c r="B756" s="20">
        <f t="shared" si="67"/>
        <v>0.16666666666424135</v>
      </c>
      <c r="C756">
        <v>0.2</v>
      </c>
      <c r="D756">
        <v>489.92599999999999</v>
      </c>
      <c r="E756">
        <f t="shared" si="66"/>
        <v>489.77100000000002</v>
      </c>
      <c r="F756">
        <v>489.54500000000002</v>
      </c>
      <c r="G756">
        <f t="shared" si="68"/>
        <v>0.22599999999999909</v>
      </c>
      <c r="H756">
        <v>1.82</v>
      </c>
      <c r="I756">
        <f t="shared" si="69"/>
        <v>5.8661788724995061</v>
      </c>
      <c r="J756">
        <f t="shared" si="70"/>
        <v>351.97073234997038</v>
      </c>
      <c r="K756">
        <f t="shared" si="71"/>
        <v>21118.243940998222</v>
      </c>
    </row>
    <row r="757" spans="1:11" x14ac:dyDescent="0.4">
      <c r="A757" s="19">
        <v>45866.208333333336</v>
      </c>
      <c r="B757" s="20">
        <f t="shared" si="67"/>
        <v>0.20833333333575865</v>
      </c>
      <c r="C757">
        <v>1.2</v>
      </c>
      <c r="D757">
        <v>489.92</v>
      </c>
      <c r="E757">
        <f t="shared" si="66"/>
        <v>489.76500000000004</v>
      </c>
      <c r="F757">
        <v>489.54500000000002</v>
      </c>
      <c r="G757">
        <f t="shared" si="68"/>
        <v>0.22000000000002728</v>
      </c>
      <c r="H757">
        <v>1.82</v>
      </c>
      <c r="I757">
        <f t="shared" si="69"/>
        <v>5.6341274107009527</v>
      </c>
      <c r="J757">
        <f t="shared" si="70"/>
        <v>338.04764464205715</v>
      </c>
      <c r="K757">
        <f t="shared" si="71"/>
        <v>20282.858678523429</v>
      </c>
    </row>
    <row r="758" spans="1:11" x14ac:dyDescent="0.4">
      <c r="A758" s="19">
        <v>45866.25</v>
      </c>
      <c r="B758" s="20">
        <f t="shared" si="67"/>
        <v>0.25</v>
      </c>
      <c r="C758">
        <v>0.2</v>
      </c>
      <c r="D758">
        <v>489.92</v>
      </c>
      <c r="E758">
        <f t="shared" si="66"/>
        <v>489.76500000000004</v>
      </c>
      <c r="F758">
        <v>489.54500000000002</v>
      </c>
      <c r="G758">
        <f t="shared" si="68"/>
        <v>0.22000000000002728</v>
      </c>
      <c r="H758">
        <v>1.82</v>
      </c>
      <c r="I758">
        <f t="shared" si="69"/>
        <v>5.6341274107009527</v>
      </c>
      <c r="J758">
        <f t="shared" si="70"/>
        <v>338.04764464205715</v>
      </c>
      <c r="K758">
        <f t="shared" si="71"/>
        <v>20282.858678523429</v>
      </c>
    </row>
    <row r="759" spans="1:11" x14ac:dyDescent="0.4">
      <c r="A759" s="19">
        <v>45866.291666666664</v>
      </c>
      <c r="B759" s="20">
        <f t="shared" si="67"/>
        <v>0.29166666666424135</v>
      </c>
      <c r="C759">
        <v>0</v>
      </c>
      <c r="D759">
        <v>489.92</v>
      </c>
      <c r="E759">
        <f t="shared" si="66"/>
        <v>489.76500000000004</v>
      </c>
      <c r="F759">
        <v>489.54500000000002</v>
      </c>
      <c r="G759">
        <f t="shared" si="68"/>
        <v>0.22000000000002728</v>
      </c>
      <c r="H759">
        <v>1.82</v>
      </c>
      <c r="I759">
        <f t="shared" si="69"/>
        <v>5.6341274107009527</v>
      </c>
      <c r="J759">
        <f t="shared" si="70"/>
        <v>338.04764464205715</v>
      </c>
      <c r="K759">
        <f t="shared" si="71"/>
        <v>20282.858678523429</v>
      </c>
    </row>
    <row r="760" spans="1:11" x14ac:dyDescent="0.4">
      <c r="A760" s="19">
        <v>45866.333333333336</v>
      </c>
      <c r="B760" s="20">
        <f t="shared" si="67"/>
        <v>0.33333333333575865</v>
      </c>
      <c r="C760">
        <v>0</v>
      </c>
      <c r="D760">
        <v>489.91300000000001</v>
      </c>
      <c r="E760">
        <f t="shared" si="66"/>
        <v>489.75800000000004</v>
      </c>
      <c r="F760">
        <v>489.54500000000002</v>
      </c>
      <c r="G760">
        <f t="shared" si="68"/>
        <v>0.21300000000002228</v>
      </c>
      <c r="H760">
        <v>1.82</v>
      </c>
      <c r="I760">
        <f t="shared" si="69"/>
        <v>5.3673763453412722</v>
      </c>
      <c r="J760">
        <f t="shared" si="70"/>
        <v>322.04258072047634</v>
      </c>
      <c r="K760">
        <f t="shared" si="71"/>
        <v>19322.55484322858</v>
      </c>
    </row>
    <row r="761" spans="1:11" x14ac:dyDescent="0.4">
      <c r="A761" s="19">
        <v>45866.375</v>
      </c>
      <c r="B761" s="20">
        <f t="shared" si="67"/>
        <v>0.375</v>
      </c>
      <c r="C761">
        <v>0</v>
      </c>
      <c r="D761">
        <v>489.90800000000002</v>
      </c>
      <c r="E761">
        <f t="shared" si="66"/>
        <v>489.75300000000004</v>
      </c>
      <c r="F761">
        <v>489.54500000000002</v>
      </c>
      <c r="G761">
        <f t="shared" si="68"/>
        <v>0.20800000000002683</v>
      </c>
      <c r="H761">
        <v>1.82</v>
      </c>
      <c r="I761">
        <f t="shared" si="69"/>
        <v>5.1794977071073571</v>
      </c>
      <c r="J761">
        <f t="shared" si="70"/>
        <v>310.76986242644142</v>
      </c>
      <c r="K761">
        <f t="shared" si="71"/>
        <v>18646.191745586486</v>
      </c>
    </row>
    <row r="762" spans="1:11" x14ac:dyDescent="0.4">
      <c r="A762" s="19">
        <v>45866.416666666664</v>
      </c>
      <c r="B762" s="20">
        <f t="shared" si="67"/>
        <v>0.41666666666424135</v>
      </c>
      <c r="C762">
        <v>0</v>
      </c>
      <c r="D762">
        <v>489.90699999999998</v>
      </c>
      <c r="E762">
        <f t="shared" si="66"/>
        <v>489.75200000000001</v>
      </c>
      <c r="F762">
        <v>489.54500000000002</v>
      </c>
      <c r="G762">
        <f t="shared" si="68"/>
        <v>0.20699999999999363</v>
      </c>
      <c r="H762">
        <v>1.82</v>
      </c>
      <c r="I762">
        <f t="shared" si="69"/>
        <v>5.1421904906253308</v>
      </c>
      <c r="J762">
        <f t="shared" si="70"/>
        <v>308.53142943751988</v>
      </c>
      <c r="K762">
        <f t="shared" si="71"/>
        <v>18511.885766251191</v>
      </c>
    </row>
    <row r="763" spans="1:11" x14ac:dyDescent="0.4">
      <c r="A763" s="19">
        <v>45866.458333333336</v>
      </c>
      <c r="B763" s="20">
        <f t="shared" si="67"/>
        <v>0.45833333333575865</v>
      </c>
      <c r="C763">
        <v>0</v>
      </c>
      <c r="D763">
        <v>489.9</v>
      </c>
      <c r="E763">
        <f t="shared" si="66"/>
        <v>489.745</v>
      </c>
      <c r="F763">
        <v>489.54500000000002</v>
      </c>
      <c r="G763">
        <f t="shared" si="68"/>
        <v>0.19999999999998863</v>
      </c>
      <c r="H763">
        <v>1.82</v>
      </c>
      <c r="I763">
        <f t="shared" si="69"/>
        <v>4.8835724628591253</v>
      </c>
      <c r="J763">
        <f t="shared" si="70"/>
        <v>293.01434777154753</v>
      </c>
      <c r="K763">
        <f t="shared" si="71"/>
        <v>17580.860866292849</v>
      </c>
    </row>
    <row r="764" spans="1:11" x14ac:dyDescent="0.4">
      <c r="A764" s="19">
        <v>45866.5</v>
      </c>
      <c r="B764" s="20">
        <f t="shared" si="67"/>
        <v>0.5</v>
      </c>
      <c r="C764">
        <v>0</v>
      </c>
      <c r="D764">
        <v>489.89400000000001</v>
      </c>
      <c r="E764">
        <f t="shared" si="66"/>
        <v>489.73900000000003</v>
      </c>
      <c r="F764">
        <v>489.54500000000002</v>
      </c>
      <c r="G764">
        <f t="shared" si="68"/>
        <v>0.19400000000001683</v>
      </c>
      <c r="H764">
        <v>1.82</v>
      </c>
      <c r="I764">
        <f t="shared" si="69"/>
        <v>4.665468242893275</v>
      </c>
      <c r="J764">
        <f t="shared" si="70"/>
        <v>279.92809457359652</v>
      </c>
      <c r="K764">
        <f t="shared" si="71"/>
        <v>16795.685674415789</v>
      </c>
    </row>
    <row r="765" spans="1:11" x14ac:dyDescent="0.4">
      <c r="A765" s="19">
        <v>45866.541666666664</v>
      </c>
      <c r="B765" s="20">
        <f t="shared" si="67"/>
        <v>0.54166666666424135</v>
      </c>
      <c r="C765">
        <v>0.2</v>
      </c>
      <c r="D765">
        <v>489.89400000000001</v>
      </c>
      <c r="E765">
        <f t="shared" si="66"/>
        <v>489.73900000000003</v>
      </c>
      <c r="F765">
        <v>489.54500000000002</v>
      </c>
      <c r="G765">
        <f t="shared" si="68"/>
        <v>0.19400000000001683</v>
      </c>
      <c r="H765">
        <v>1.82</v>
      </c>
      <c r="I765">
        <f t="shared" si="69"/>
        <v>4.665468242893275</v>
      </c>
      <c r="J765">
        <f t="shared" si="70"/>
        <v>279.92809457359652</v>
      </c>
      <c r="K765">
        <f t="shared" si="71"/>
        <v>16795.685674415789</v>
      </c>
    </row>
    <row r="766" spans="1:11" x14ac:dyDescent="0.4">
      <c r="A766" s="19">
        <v>45866.583333333336</v>
      </c>
      <c r="B766" s="20">
        <f t="shared" si="67"/>
        <v>0.58333333333575865</v>
      </c>
      <c r="C766">
        <v>0</v>
      </c>
      <c r="D766">
        <v>489.88799999999998</v>
      </c>
      <c r="E766">
        <f t="shared" si="66"/>
        <v>489.733</v>
      </c>
      <c r="F766">
        <v>489.54500000000002</v>
      </c>
      <c r="G766">
        <f t="shared" si="68"/>
        <v>0.18799999999998818</v>
      </c>
      <c r="H766">
        <v>1.82</v>
      </c>
      <c r="I766">
        <f t="shared" si="69"/>
        <v>4.4507112217617841</v>
      </c>
      <c r="J766">
        <f t="shared" si="70"/>
        <v>267.04267330570707</v>
      </c>
      <c r="K766">
        <f t="shared" si="71"/>
        <v>16022.560398342423</v>
      </c>
    </row>
    <row r="767" spans="1:11" x14ac:dyDescent="0.4">
      <c r="A767" s="19">
        <v>45866.625</v>
      </c>
      <c r="B767" s="20">
        <f t="shared" si="67"/>
        <v>0.625</v>
      </c>
      <c r="C767">
        <v>0</v>
      </c>
      <c r="D767">
        <v>489.88799999999998</v>
      </c>
      <c r="E767">
        <f t="shared" si="66"/>
        <v>489.733</v>
      </c>
      <c r="F767">
        <v>489.54500000000002</v>
      </c>
      <c r="G767">
        <f t="shared" si="68"/>
        <v>0.18799999999998818</v>
      </c>
      <c r="H767">
        <v>1.82</v>
      </c>
      <c r="I767">
        <f t="shared" si="69"/>
        <v>4.4507112217617841</v>
      </c>
      <c r="J767">
        <f t="shared" si="70"/>
        <v>267.04267330570707</v>
      </c>
      <c r="K767">
        <f t="shared" si="71"/>
        <v>16022.560398342423</v>
      </c>
    </row>
    <row r="768" spans="1:11" x14ac:dyDescent="0.4">
      <c r="A768" s="19">
        <v>45866.666666666664</v>
      </c>
      <c r="B768" s="20">
        <f t="shared" si="67"/>
        <v>0.66666666666424135</v>
      </c>
      <c r="C768">
        <v>0</v>
      </c>
      <c r="D768">
        <v>489.88099999999997</v>
      </c>
      <c r="E768">
        <f t="shared" si="66"/>
        <v>489.726</v>
      </c>
      <c r="F768">
        <v>489.54500000000002</v>
      </c>
      <c r="G768">
        <f t="shared" si="68"/>
        <v>0.18099999999998317</v>
      </c>
      <c r="H768">
        <v>1.82</v>
      </c>
      <c r="I768">
        <f t="shared" si="69"/>
        <v>4.2044627099731864</v>
      </c>
      <c r="J768">
        <f t="shared" si="70"/>
        <v>252.26776259839119</v>
      </c>
      <c r="K768">
        <f t="shared" si="71"/>
        <v>15136.065755903472</v>
      </c>
    </row>
    <row r="769" spans="1:11" x14ac:dyDescent="0.4">
      <c r="A769" s="19">
        <v>45866.708333333336</v>
      </c>
      <c r="B769" s="20">
        <f t="shared" si="67"/>
        <v>0.70833333333575865</v>
      </c>
      <c r="C769">
        <v>0</v>
      </c>
      <c r="D769">
        <v>489.875</v>
      </c>
      <c r="E769">
        <f t="shared" si="66"/>
        <v>489.72</v>
      </c>
      <c r="F769">
        <v>489.54500000000002</v>
      </c>
      <c r="G769">
        <f t="shared" si="68"/>
        <v>0.17500000000001137</v>
      </c>
      <c r="H769">
        <v>1.82</v>
      </c>
      <c r="I769">
        <f t="shared" si="69"/>
        <v>3.9971432767669373</v>
      </c>
      <c r="J769">
        <f t="shared" si="70"/>
        <v>239.82859660601625</v>
      </c>
      <c r="K769">
        <f t="shared" si="71"/>
        <v>14389.715796360973</v>
      </c>
    </row>
    <row r="770" spans="1:11" x14ac:dyDescent="0.4">
      <c r="A770" s="19">
        <v>45866.75</v>
      </c>
      <c r="B770" s="20">
        <f t="shared" si="67"/>
        <v>0.75</v>
      </c>
      <c r="C770">
        <v>0</v>
      </c>
      <c r="D770">
        <v>489.875</v>
      </c>
      <c r="E770">
        <f t="shared" ref="E770:E833" si="72">D770-0.155</f>
        <v>489.72</v>
      </c>
      <c r="F770">
        <v>489.54500000000002</v>
      </c>
      <c r="G770">
        <f t="shared" si="68"/>
        <v>0.17500000000001137</v>
      </c>
      <c r="H770">
        <v>1.82</v>
      </c>
      <c r="I770">
        <f t="shared" si="69"/>
        <v>3.9971432767669373</v>
      </c>
      <c r="J770">
        <f t="shared" si="70"/>
        <v>239.82859660601625</v>
      </c>
      <c r="K770">
        <f t="shared" si="71"/>
        <v>14389.715796360973</v>
      </c>
    </row>
    <row r="771" spans="1:11" x14ac:dyDescent="0.4">
      <c r="A771" s="19">
        <v>45866.791666666664</v>
      </c>
      <c r="B771" s="20">
        <f t="shared" ref="B771:B834" si="73">MOD(A771,1)</f>
        <v>0.79166666666424135</v>
      </c>
      <c r="C771">
        <v>0</v>
      </c>
      <c r="D771">
        <v>489.86799999999999</v>
      </c>
      <c r="E771">
        <f t="shared" si="72"/>
        <v>489.71300000000002</v>
      </c>
      <c r="F771">
        <v>489.54500000000002</v>
      </c>
      <c r="G771">
        <f t="shared" ref="G771:G834" si="74">IF(E771 - F771 &lt; 0, 0, E771 - F771)</f>
        <v>0.16800000000000637</v>
      </c>
      <c r="H771">
        <v>1.82</v>
      </c>
      <c r="I771">
        <f t="shared" ref="I771:I834" si="75">1.82*30*(G771^1.5)</f>
        <v>3.759729199439982</v>
      </c>
      <c r="J771">
        <f t="shared" ref="J771:J834" si="76">I771*60</f>
        <v>225.58375196639892</v>
      </c>
      <c r="K771">
        <f t="shared" ref="K771:K834" si="77">(I771*86400)/24</f>
        <v>13535.025117983934</v>
      </c>
    </row>
    <row r="772" spans="1:11" x14ac:dyDescent="0.4">
      <c r="A772" s="19">
        <v>45866.833333333336</v>
      </c>
      <c r="B772" s="20">
        <f t="shared" si="73"/>
        <v>0.83333333333575865</v>
      </c>
      <c r="C772">
        <v>0</v>
      </c>
      <c r="D772">
        <v>489.86799999999999</v>
      </c>
      <c r="E772">
        <f t="shared" si="72"/>
        <v>489.71300000000002</v>
      </c>
      <c r="F772">
        <v>489.54500000000002</v>
      </c>
      <c r="G772">
        <f t="shared" si="74"/>
        <v>0.16800000000000637</v>
      </c>
      <c r="H772">
        <v>1.82</v>
      </c>
      <c r="I772">
        <f t="shared" si="75"/>
        <v>3.759729199439982</v>
      </c>
      <c r="J772">
        <f t="shared" si="76"/>
        <v>225.58375196639892</v>
      </c>
      <c r="K772">
        <f t="shared" si="77"/>
        <v>13535.025117983934</v>
      </c>
    </row>
    <row r="773" spans="1:11" x14ac:dyDescent="0.4">
      <c r="A773" s="19">
        <v>45866.875</v>
      </c>
      <c r="B773" s="20">
        <f t="shared" si="73"/>
        <v>0.875</v>
      </c>
      <c r="C773">
        <v>0</v>
      </c>
      <c r="D773">
        <v>489.86200000000002</v>
      </c>
      <c r="E773">
        <f t="shared" si="72"/>
        <v>489.70700000000005</v>
      </c>
      <c r="F773">
        <v>489.54500000000002</v>
      </c>
      <c r="G773">
        <f t="shared" si="74"/>
        <v>0.16200000000003456</v>
      </c>
      <c r="H773">
        <v>1.82</v>
      </c>
      <c r="I773">
        <f t="shared" si="75"/>
        <v>3.560124325425746</v>
      </c>
      <c r="J773">
        <f t="shared" si="76"/>
        <v>213.60745952554475</v>
      </c>
      <c r="K773">
        <f t="shared" si="77"/>
        <v>12816.447571532684</v>
      </c>
    </row>
    <row r="774" spans="1:11" x14ac:dyDescent="0.4">
      <c r="A774" s="19">
        <v>45866.916666666664</v>
      </c>
      <c r="B774" s="20">
        <f t="shared" si="73"/>
        <v>0.91666666666424135</v>
      </c>
      <c r="C774">
        <v>0</v>
      </c>
      <c r="D774">
        <v>489.86200000000002</v>
      </c>
      <c r="E774">
        <f t="shared" si="72"/>
        <v>489.70700000000005</v>
      </c>
      <c r="F774">
        <v>489.54500000000002</v>
      </c>
      <c r="G774">
        <f t="shared" si="74"/>
        <v>0.16200000000003456</v>
      </c>
      <c r="H774">
        <v>1.82</v>
      </c>
      <c r="I774">
        <f t="shared" si="75"/>
        <v>3.560124325425746</v>
      </c>
      <c r="J774">
        <f t="shared" si="76"/>
        <v>213.60745952554475</v>
      </c>
      <c r="K774">
        <f t="shared" si="77"/>
        <v>12816.447571532684</v>
      </c>
    </row>
    <row r="775" spans="1:11" x14ac:dyDescent="0.4">
      <c r="A775" s="19">
        <v>45866.958333333336</v>
      </c>
      <c r="B775" s="20">
        <f t="shared" si="73"/>
        <v>0.95833333333575865</v>
      </c>
      <c r="C775">
        <v>0</v>
      </c>
      <c r="D775">
        <v>489.85500000000002</v>
      </c>
      <c r="E775">
        <f t="shared" si="72"/>
        <v>489.70000000000005</v>
      </c>
      <c r="F775">
        <v>489.54500000000002</v>
      </c>
      <c r="G775">
        <f t="shared" si="74"/>
        <v>0.15500000000002956</v>
      </c>
      <c r="H775">
        <v>1.82</v>
      </c>
      <c r="I775">
        <f t="shared" si="75"/>
        <v>3.3318864318890511</v>
      </c>
      <c r="J775">
        <f t="shared" si="76"/>
        <v>199.91318591334306</v>
      </c>
      <c r="K775">
        <f t="shared" si="77"/>
        <v>11994.791154800585</v>
      </c>
    </row>
    <row r="776" spans="1:11" x14ac:dyDescent="0.4">
      <c r="A776" s="19">
        <v>45867</v>
      </c>
      <c r="B776" s="20">
        <f t="shared" si="73"/>
        <v>0</v>
      </c>
      <c r="C776">
        <v>0</v>
      </c>
      <c r="D776">
        <v>489.84800000000001</v>
      </c>
      <c r="E776">
        <f t="shared" si="72"/>
        <v>489.69300000000004</v>
      </c>
      <c r="F776">
        <v>489.54500000000002</v>
      </c>
      <c r="G776">
        <f t="shared" si="74"/>
        <v>0.14800000000002456</v>
      </c>
      <c r="H776">
        <v>1.82</v>
      </c>
      <c r="I776">
        <f t="shared" si="75"/>
        <v>3.1087458305118498</v>
      </c>
      <c r="J776">
        <f t="shared" si="76"/>
        <v>186.52474983071099</v>
      </c>
      <c r="K776">
        <f t="shared" si="77"/>
        <v>11191.48498984266</v>
      </c>
    </row>
    <row r="777" spans="1:11" x14ac:dyDescent="0.4">
      <c r="A777" s="19">
        <v>45867.041666666664</v>
      </c>
      <c r="B777" s="20">
        <f t="shared" si="73"/>
        <v>4.1666666664241347E-2</v>
      </c>
      <c r="C777">
        <v>0</v>
      </c>
      <c r="D777">
        <v>489.84800000000001</v>
      </c>
      <c r="E777">
        <f t="shared" si="72"/>
        <v>489.69300000000004</v>
      </c>
      <c r="F777">
        <v>489.54500000000002</v>
      </c>
      <c r="G777">
        <f t="shared" si="74"/>
        <v>0.14800000000002456</v>
      </c>
      <c r="H777">
        <v>1.82</v>
      </c>
      <c r="I777">
        <f t="shared" si="75"/>
        <v>3.1087458305118498</v>
      </c>
      <c r="J777">
        <f t="shared" si="76"/>
        <v>186.52474983071099</v>
      </c>
      <c r="K777">
        <f t="shared" si="77"/>
        <v>11191.48498984266</v>
      </c>
    </row>
    <row r="778" spans="1:11" x14ac:dyDescent="0.4">
      <c r="A778" s="19">
        <v>45867.083333333336</v>
      </c>
      <c r="B778" s="20">
        <f t="shared" si="73"/>
        <v>8.3333333335758653E-2</v>
      </c>
      <c r="C778">
        <v>0</v>
      </c>
      <c r="D778">
        <v>489.84199999999998</v>
      </c>
      <c r="E778">
        <f t="shared" si="72"/>
        <v>489.68700000000001</v>
      </c>
      <c r="F778">
        <v>489.54500000000002</v>
      </c>
      <c r="G778">
        <f t="shared" si="74"/>
        <v>0.14199999999999591</v>
      </c>
      <c r="H778">
        <v>1.82</v>
      </c>
      <c r="I778">
        <f t="shared" si="75"/>
        <v>2.9216296230150851</v>
      </c>
      <c r="J778">
        <f t="shared" si="76"/>
        <v>175.2977773809051</v>
      </c>
      <c r="K778">
        <f t="shared" si="77"/>
        <v>10517.866642854306</v>
      </c>
    </row>
    <row r="779" spans="1:11" x14ac:dyDescent="0.4">
      <c r="A779" s="19">
        <v>45867.125</v>
      </c>
      <c r="B779" s="20">
        <f t="shared" si="73"/>
        <v>0.125</v>
      </c>
      <c r="C779">
        <v>0</v>
      </c>
      <c r="D779">
        <v>489.84199999999998</v>
      </c>
      <c r="E779">
        <f t="shared" si="72"/>
        <v>489.68700000000001</v>
      </c>
      <c r="F779">
        <v>489.54500000000002</v>
      </c>
      <c r="G779">
        <f t="shared" si="74"/>
        <v>0.14199999999999591</v>
      </c>
      <c r="H779">
        <v>1.82</v>
      </c>
      <c r="I779">
        <f t="shared" si="75"/>
        <v>2.9216296230150851</v>
      </c>
      <c r="J779">
        <f t="shared" si="76"/>
        <v>175.2977773809051</v>
      </c>
      <c r="K779">
        <f t="shared" si="77"/>
        <v>10517.866642854306</v>
      </c>
    </row>
    <row r="780" spans="1:11" x14ac:dyDescent="0.4">
      <c r="A780" s="19">
        <v>45867.166666666664</v>
      </c>
      <c r="B780" s="20">
        <f t="shared" si="73"/>
        <v>0.16666666666424135</v>
      </c>
      <c r="C780">
        <v>0</v>
      </c>
      <c r="D780">
        <v>489.83499999999998</v>
      </c>
      <c r="E780">
        <f t="shared" si="72"/>
        <v>489.68</v>
      </c>
      <c r="F780">
        <v>489.54500000000002</v>
      </c>
      <c r="G780">
        <f t="shared" si="74"/>
        <v>0.13499999999999091</v>
      </c>
      <c r="H780">
        <v>1.82</v>
      </c>
      <c r="I780">
        <f t="shared" si="75"/>
        <v>2.7082783341079475</v>
      </c>
      <c r="J780">
        <f t="shared" si="76"/>
        <v>162.49670004647686</v>
      </c>
      <c r="K780">
        <f t="shared" si="77"/>
        <v>9749.8020027886105</v>
      </c>
    </row>
    <row r="781" spans="1:11" x14ac:dyDescent="0.4">
      <c r="A781" s="19">
        <v>45867.208333333336</v>
      </c>
      <c r="B781" s="20">
        <f t="shared" si="73"/>
        <v>0.20833333333575865</v>
      </c>
      <c r="C781">
        <v>0</v>
      </c>
      <c r="D781">
        <v>489.83499999999998</v>
      </c>
      <c r="E781">
        <f t="shared" si="72"/>
        <v>489.68</v>
      </c>
      <c r="F781">
        <v>489.54500000000002</v>
      </c>
      <c r="G781">
        <f t="shared" si="74"/>
        <v>0.13499999999999091</v>
      </c>
      <c r="H781">
        <v>1.82</v>
      </c>
      <c r="I781">
        <f t="shared" si="75"/>
        <v>2.7082783341079475</v>
      </c>
      <c r="J781">
        <f t="shared" si="76"/>
        <v>162.49670004647686</v>
      </c>
      <c r="K781">
        <f t="shared" si="77"/>
        <v>9749.8020027886105</v>
      </c>
    </row>
    <row r="782" spans="1:11" x14ac:dyDescent="0.4">
      <c r="A782" s="19">
        <v>45867.25</v>
      </c>
      <c r="B782" s="20">
        <f t="shared" si="73"/>
        <v>0.25</v>
      </c>
      <c r="C782">
        <v>0</v>
      </c>
      <c r="D782">
        <v>489.83499999999998</v>
      </c>
      <c r="E782">
        <f t="shared" si="72"/>
        <v>489.68</v>
      </c>
      <c r="F782">
        <v>489.54500000000002</v>
      </c>
      <c r="G782">
        <f t="shared" si="74"/>
        <v>0.13499999999999091</v>
      </c>
      <c r="H782">
        <v>1.82</v>
      </c>
      <c r="I782">
        <f t="shared" si="75"/>
        <v>2.7082783341079475</v>
      </c>
      <c r="J782">
        <f t="shared" si="76"/>
        <v>162.49670004647686</v>
      </c>
      <c r="K782">
        <f t="shared" si="77"/>
        <v>9749.8020027886105</v>
      </c>
    </row>
    <row r="783" spans="1:11" x14ac:dyDescent="0.4">
      <c r="A783" s="19">
        <v>45867.291666666664</v>
      </c>
      <c r="B783" s="20">
        <f t="shared" si="73"/>
        <v>0.29166666666424135</v>
      </c>
      <c r="C783">
        <v>0</v>
      </c>
      <c r="D783">
        <v>489.82900000000001</v>
      </c>
      <c r="E783">
        <f t="shared" si="72"/>
        <v>489.67400000000004</v>
      </c>
      <c r="F783">
        <v>489.54500000000002</v>
      </c>
      <c r="G783">
        <f t="shared" si="74"/>
        <v>0.1290000000000191</v>
      </c>
      <c r="H783">
        <v>1.82</v>
      </c>
      <c r="I783">
        <f t="shared" si="75"/>
        <v>2.5297476908266638</v>
      </c>
      <c r="J783">
        <f t="shared" si="76"/>
        <v>151.78486144959982</v>
      </c>
      <c r="K783">
        <f t="shared" si="77"/>
        <v>9107.0916869759894</v>
      </c>
    </row>
    <row r="784" spans="1:11" x14ac:dyDescent="0.4">
      <c r="A784" s="19">
        <v>45867.333333333336</v>
      </c>
      <c r="B784" s="20">
        <f t="shared" si="73"/>
        <v>0.33333333333575865</v>
      </c>
      <c r="C784">
        <v>0</v>
      </c>
      <c r="D784">
        <v>489.82900000000001</v>
      </c>
      <c r="E784">
        <f t="shared" si="72"/>
        <v>489.67400000000004</v>
      </c>
      <c r="F784">
        <v>489.54500000000002</v>
      </c>
      <c r="G784">
        <f t="shared" si="74"/>
        <v>0.1290000000000191</v>
      </c>
      <c r="H784">
        <v>1.82</v>
      </c>
      <c r="I784">
        <f t="shared" si="75"/>
        <v>2.5297476908266638</v>
      </c>
      <c r="J784">
        <f t="shared" si="76"/>
        <v>151.78486144959982</v>
      </c>
      <c r="K784">
        <f t="shared" si="77"/>
        <v>9107.0916869759894</v>
      </c>
    </row>
    <row r="785" spans="1:11" x14ac:dyDescent="0.4">
      <c r="A785" s="19">
        <v>45867.375</v>
      </c>
      <c r="B785" s="20">
        <f t="shared" si="73"/>
        <v>0.375</v>
      </c>
      <c r="C785">
        <v>0</v>
      </c>
      <c r="D785">
        <v>489.822</v>
      </c>
      <c r="E785">
        <f t="shared" si="72"/>
        <v>489.66700000000003</v>
      </c>
      <c r="F785">
        <v>489.54500000000002</v>
      </c>
      <c r="G785">
        <f t="shared" si="74"/>
        <v>0.1220000000000141</v>
      </c>
      <c r="H785">
        <v>1.82</v>
      </c>
      <c r="I785">
        <f t="shared" si="75"/>
        <v>2.3266571349646425</v>
      </c>
      <c r="J785">
        <f t="shared" si="76"/>
        <v>139.59942809787856</v>
      </c>
      <c r="K785">
        <f t="shared" si="77"/>
        <v>8375.9656858727121</v>
      </c>
    </row>
    <row r="786" spans="1:11" x14ac:dyDescent="0.4">
      <c r="A786" s="19">
        <v>45867.416666666664</v>
      </c>
      <c r="B786" s="20">
        <f t="shared" si="73"/>
        <v>0.41666666666424135</v>
      </c>
      <c r="C786">
        <v>0</v>
      </c>
      <c r="D786">
        <v>489.822</v>
      </c>
      <c r="E786">
        <f t="shared" si="72"/>
        <v>489.66700000000003</v>
      </c>
      <c r="F786">
        <v>489.54500000000002</v>
      </c>
      <c r="G786">
        <f t="shared" si="74"/>
        <v>0.1220000000000141</v>
      </c>
      <c r="H786">
        <v>1.82</v>
      </c>
      <c r="I786">
        <f t="shared" si="75"/>
        <v>2.3266571349646425</v>
      </c>
      <c r="J786">
        <f t="shared" si="76"/>
        <v>139.59942809787856</v>
      </c>
      <c r="K786">
        <f t="shared" si="77"/>
        <v>8375.9656858727121</v>
      </c>
    </row>
    <row r="787" spans="1:11" x14ac:dyDescent="0.4">
      <c r="A787" s="19">
        <v>45867.458333333336</v>
      </c>
      <c r="B787" s="20">
        <f t="shared" si="73"/>
        <v>0.45833333333575865</v>
      </c>
      <c r="C787">
        <v>0</v>
      </c>
      <c r="D787">
        <v>489.81599999999997</v>
      </c>
      <c r="E787">
        <f t="shared" si="72"/>
        <v>489.661</v>
      </c>
      <c r="F787">
        <v>489.54500000000002</v>
      </c>
      <c r="G787">
        <f t="shared" si="74"/>
        <v>0.11599999999998545</v>
      </c>
      <c r="H787">
        <v>1.82</v>
      </c>
      <c r="I787">
        <f t="shared" si="75"/>
        <v>2.1571464297442224</v>
      </c>
      <c r="J787">
        <f t="shared" si="76"/>
        <v>129.42878578465334</v>
      </c>
      <c r="K787">
        <f t="shared" si="77"/>
        <v>7765.7271470792002</v>
      </c>
    </row>
    <row r="788" spans="1:11" x14ac:dyDescent="0.4">
      <c r="A788" s="19">
        <v>45867.5</v>
      </c>
      <c r="B788" s="20">
        <f t="shared" si="73"/>
        <v>0.5</v>
      </c>
      <c r="C788">
        <v>0</v>
      </c>
      <c r="D788">
        <v>489.81599999999997</v>
      </c>
      <c r="E788">
        <f t="shared" si="72"/>
        <v>489.661</v>
      </c>
      <c r="F788">
        <v>489.54500000000002</v>
      </c>
      <c r="G788">
        <f t="shared" si="74"/>
        <v>0.11599999999998545</v>
      </c>
      <c r="H788">
        <v>1.82</v>
      </c>
      <c r="I788">
        <f t="shared" si="75"/>
        <v>2.1571464297442224</v>
      </c>
      <c r="J788">
        <f t="shared" si="76"/>
        <v>129.42878578465334</v>
      </c>
      <c r="K788">
        <f t="shared" si="77"/>
        <v>7765.7271470792002</v>
      </c>
    </row>
    <row r="789" spans="1:11" x14ac:dyDescent="0.4">
      <c r="A789" s="19">
        <v>45867.541666666664</v>
      </c>
      <c r="B789" s="20">
        <f t="shared" si="73"/>
        <v>0.54166666666424135</v>
      </c>
      <c r="C789">
        <v>0</v>
      </c>
      <c r="D789">
        <v>489.81599999999997</v>
      </c>
      <c r="E789">
        <f t="shared" si="72"/>
        <v>489.661</v>
      </c>
      <c r="F789">
        <v>489.54500000000002</v>
      </c>
      <c r="G789">
        <f t="shared" si="74"/>
        <v>0.11599999999998545</v>
      </c>
      <c r="H789">
        <v>1.82</v>
      </c>
      <c r="I789">
        <f t="shared" si="75"/>
        <v>2.1571464297442224</v>
      </c>
      <c r="J789">
        <f t="shared" si="76"/>
        <v>129.42878578465334</v>
      </c>
      <c r="K789">
        <f t="shared" si="77"/>
        <v>7765.7271470792002</v>
      </c>
    </row>
    <row r="790" spans="1:11" x14ac:dyDescent="0.4">
      <c r="A790" s="19">
        <v>45867.583333333336</v>
      </c>
      <c r="B790" s="20">
        <f t="shared" si="73"/>
        <v>0.58333333333575865</v>
      </c>
      <c r="C790">
        <v>0</v>
      </c>
      <c r="D790">
        <v>489.81</v>
      </c>
      <c r="E790">
        <f t="shared" si="72"/>
        <v>489.65500000000003</v>
      </c>
      <c r="F790">
        <v>489.54500000000002</v>
      </c>
      <c r="G790">
        <f t="shared" si="74"/>
        <v>0.11000000000001364</v>
      </c>
      <c r="H790">
        <v>1.82</v>
      </c>
      <c r="I790">
        <f t="shared" si="75"/>
        <v>1.9919648490878239</v>
      </c>
      <c r="J790">
        <f t="shared" si="76"/>
        <v>119.51789094526943</v>
      </c>
      <c r="K790">
        <f t="shared" si="77"/>
        <v>7171.0734567161662</v>
      </c>
    </row>
    <row r="791" spans="1:11" x14ac:dyDescent="0.4">
      <c r="A791" s="19">
        <v>45867.625</v>
      </c>
      <c r="B791" s="20">
        <f t="shared" si="73"/>
        <v>0.625</v>
      </c>
      <c r="C791">
        <v>0</v>
      </c>
      <c r="D791">
        <v>489.81</v>
      </c>
      <c r="E791">
        <f t="shared" si="72"/>
        <v>489.65500000000003</v>
      </c>
      <c r="F791">
        <v>489.54500000000002</v>
      </c>
      <c r="G791">
        <f t="shared" si="74"/>
        <v>0.11000000000001364</v>
      </c>
      <c r="H791">
        <v>1.82</v>
      </c>
      <c r="I791">
        <f t="shared" si="75"/>
        <v>1.9919648490878239</v>
      </c>
      <c r="J791">
        <f t="shared" si="76"/>
        <v>119.51789094526943</v>
      </c>
      <c r="K791">
        <f t="shared" si="77"/>
        <v>7171.0734567161662</v>
      </c>
    </row>
    <row r="792" spans="1:11" x14ac:dyDescent="0.4">
      <c r="A792" s="19">
        <v>45867.666666666664</v>
      </c>
      <c r="B792" s="20">
        <f t="shared" si="73"/>
        <v>0.66666666666424135</v>
      </c>
      <c r="C792">
        <v>0</v>
      </c>
      <c r="D792">
        <v>489.81</v>
      </c>
      <c r="E792">
        <f t="shared" si="72"/>
        <v>489.65500000000003</v>
      </c>
      <c r="F792">
        <v>489.54500000000002</v>
      </c>
      <c r="G792">
        <f t="shared" si="74"/>
        <v>0.11000000000001364</v>
      </c>
      <c r="H792">
        <v>1.82</v>
      </c>
      <c r="I792">
        <f t="shared" si="75"/>
        <v>1.9919648490878239</v>
      </c>
      <c r="J792">
        <f t="shared" si="76"/>
        <v>119.51789094526943</v>
      </c>
      <c r="K792">
        <f t="shared" si="77"/>
        <v>7171.0734567161662</v>
      </c>
    </row>
    <row r="793" spans="1:11" x14ac:dyDescent="0.4">
      <c r="A793" s="19">
        <v>45867.708333333336</v>
      </c>
      <c r="B793" s="20">
        <f t="shared" si="73"/>
        <v>0.70833333333575865</v>
      </c>
      <c r="C793">
        <v>0</v>
      </c>
      <c r="D793">
        <v>489.81</v>
      </c>
      <c r="E793">
        <f t="shared" si="72"/>
        <v>489.65500000000003</v>
      </c>
      <c r="F793">
        <v>489.54500000000002</v>
      </c>
      <c r="G793">
        <f t="shared" si="74"/>
        <v>0.11000000000001364</v>
      </c>
      <c r="H793">
        <v>1.82</v>
      </c>
      <c r="I793">
        <f t="shared" si="75"/>
        <v>1.9919648490878239</v>
      </c>
      <c r="J793">
        <f t="shared" si="76"/>
        <v>119.51789094526943</v>
      </c>
      <c r="K793">
        <f t="shared" si="77"/>
        <v>7171.0734567161662</v>
      </c>
    </row>
    <row r="794" spans="1:11" x14ac:dyDescent="0.4">
      <c r="A794" s="19">
        <v>45867.75</v>
      </c>
      <c r="B794" s="20">
        <f t="shared" si="73"/>
        <v>0.75</v>
      </c>
      <c r="C794">
        <v>0.4</v>
      </c>
      <c r="D794">
        <v>489.82900000000001</v>
      </c>
      <c r="E794">
        <f t="shared" si="72"/>
        <v>489.67400000000004</v>
      </c>
      <c r="F794">
        <v>489.54500000000002</v>
      </c>
      <c r="G794">
        <f t="shared" si="74"/>
        <v>0.1290000000000191</v>
      </c>
      <c r="H794">
        <v>1.82</v>
      </c>
      <c r="I794">
        <f t="shared" si="75"/>
        <v>2.5297476908266638</v>
      </c>
      <c r="J794">
        <f t="shared" si="76"/>
        <v>151.78486144959982</v>
      </c>
      <c r="K794">
        <f t="shared" si="77"/>
        <v>9107.0916869759894</v>
      </c>
    </row>
    <row r="795" spans="1:11" x14ac:dyDescent="0.4">
      <c r="A795" s="19">
        <v>45867.791666666664</v>
      </c>
      <c r="B795" s="20">
        <f t="shared" si="73"/>
        <v>0.79166666666424135</v>
      </c>
      <c r="C795">
        <v>2.8</v>
      </c>
      <c r="D795">
        <v>489.85500000000002</v>
      </c>
      <c r="E795">
        <f t="shared" si="72"/>
        <v>489.70000000000005</v>
      </c>
      <c r="F795">
        <v>489.54500000000002</v>
      </c>
      <c r="G795">
        <f t="shared" si="74"/>
        <v>0.15500000000002956</v>
      </c>
      <c r="H795">
        <v>1.82</v>
      </c>
      <c r="I795">
        <f t="shared" si="75"/>
        <v>3.3318864318890511</v>
      </c>
      <c r="J795">
        <f t="shared" si="76"/>
        <v>199.91318591334306</v>
      </c>
      <c r="K795">
        <f t="shared" si="77"/>
        <v>11994.791154800585</v>
      </c>
    </row>
    <row r="796" spans="1:11" x14ac:dyDescent="0.4">
      <c r="A796" s="19">
        <v>45867.833333333336</v>
      </c>
      <c r="B796" s="20">
        <f t="shared" si="73"/>
        <v>0.83333333333575865</v>
      </c>
      <c r="C796">
        <v>0.8</v>
      </c>
      <c r="D796">
        <v>489.86200000000002</v>
      </c>
      <c r="E796">
        <f t="shared" si="72"/>
        <v>489.70700000000005</v>
      </c>
      <c r="F796">
        <v>489.54500000000002</v>
      </c>
      <c r="G796">
        <f t="shared" si="74"/>
        <v>0.16200000000003456</v>
      </c>
      <c r="H796">
        <v>1.82</v>
      </c>
      <c r="I796">
        <f t="shared" si="75"/>
        <v>3.560124325425746</v>
      </c>
      <c r="J796">
        <f t="shared" si="76"/>
        <v>213.60745952554475</v>
      </c>
      <c r="K796">
        <f t="shared" si="77"/>
        <v>12816.447571532684</v>
      </c>
    </row>
    <row r="797" spans="1:11" x14ac:dyDescent="0.4">
      <c r="A797" s="19">
        <v>45867.875</v>
      </c>
      <c r="B797" s="20">
        <f t="shared" si="73"/>
        <v>0.875</v>
      </c>
      <c r="C797">
        <v>0.4</v>
      </c>
      <c r="D797">
        <v>489.875</v>
      </c>
      <c r="E797">
        <f t="shared" si="72"/>
        <v>489.72</v>
      </c>
      <c r="F797">
        <v>489.54500000000002</v>
      </c>
      <c r="G797">
        <f t="shared" si="74"/>
        <v>0.17500000000001137</v>
      </c>
      <c r="H797">
        <v>1.82</v>
      </c>
      <c r="I797">
        <f t="shared" si="75"/>
        <v>3.9971432767669373</v>
      </c>
      <c r="J797">
        <f t="shared" si="76"/>
        <v>239.82859660601625</v>
      </c>
      <c r="K797">
        <f t="shared" si="77"/>
        <v>14389.715796360973</v>
      </c>
    </row>
    <row r="798" spans="1:11" x14ac:dyDescent="0.4">
      <c r="A798" s="19">
        <v>45867.916666666664</v>
      </c>
      <c r="B798" s="20">
        <f t="shared" si="73"/>
        <v>0.91666666666424135</v>
      </c>
      <c r="C798">
        <v>0</v>
      </c>
      <c r="D798">
        <v>489.88099999999997</v>
      </c>
      <c r="E798">
        <f t="shared" si="72"/>
        <v>489.726</v>
      </c>
      <c r="F798">
        <v>489.54500000000002</v>
      </c>
      <c r="G798">
        <f t="shared" si="74"/>
        <v>0.18099999999998317</v>
      </c>
      <c r="H798">
        <v>1.82</v>
      </c>
      <c r="I798">
        <f t="shared" si="75"/>
        <v>4.2044627099731864</v>
      </c>
      <c r="J798">
        <f t="shared" si="76"/>
        <v>252.26776259839119</v>
      </c>
      <c r="K798">
        <f t="shared" si="77"/>
        <v>15136.065755903472</v>
      </c>
    </row>
    <row r="799" spans="1:11" x14ac:dyDescent="0.4">
      <c r="A799" s="19">
        <v>45867.958333333336</v>
      </c>
      <c r="B799" s="20">
        <f t="shared" si="73"/>
        <v>0.95833333333575865</v>
      </c>
      <c r="C799">
        <v>0</v>
      </c>
      <c r="D799">
        <v>489.88099999999997</v>
      </c>
      <c r="E799">
        <f t="shared" si="72"/>
        <v>489.726</v>
      </c>
      <c r="F799">
        <v>489.54500000000002</v>
      </c>
      <c r="G799">
        <f t="shared" si="74"/>
        <v>0.18099999999998317</v>
      </c>
      <c r="H799">
        <v>1.82</v>
      </c>
      <c r="I799">
        <f t="shared" si="75"/>
        <v>4.2044627099731864</v>
      </c>
      <c r="J799">
        <f t="shared" si="76"/>
        <v>252.26776259839119</v>
      </c>
      <c r="K799">
        <f t="shared" si="77"/>
        <v>15136.065755903472</v>
      </c>
    </row>
    <row r="800" spans="1:11" x14ac:dyDescent="0.4">
      <c r="A800" s="19">
        <v>45868</v>
      </c>
      <c r="B800" s="20">
        <f t="shared" si="73"/>
        <v>0</v>
      </c>
      <c r="C800">
        <v>0</v>
      </c>
      <c r="D800">
        <v>489.88099999999997</v>
      </c>
      <c r="E800">
        <f t="shared" si="72"/>
        <v>489.726</v>
      </c>
      <c r="F800">
        <v>489.54500000000002</v>
      </c>
      <c r="G800">
        <f t="shared" si="74"/>
        <v>0.18099999999998317</v>
      </c>
      <c r="H800">
        <v>1.82</v>
      </c>
      <c r="I800">
        <f t="shared" si="75"/>
        <v>4.2044627099731864</v>
      </c>
      <c r="J800">
        <f t="shared" si="76"/>
        <v>252.26776259839119</v>
      </c>
      <c r="K800">
        <f t="shared" si="77"/>
        <v>15136.065755903472</v>
      </c>
    </row>
    <row r="801" spans="1:11" x14ac:dyDescent="0.4">
      <c r="A801" s="19">
        <v>45868.041666666664</v>
      </c>
      <c r="B801" s="20">
        <f t="shared" si="73"/>
        <v>4.1666666664241347E-2</v>
      </c>
      <c r="C801">
        <v>0</v>
      </c>
      <c r="D801">
        <v>489.88099999999997</v>
      </c>
      <c r="E801">
        <f t="shared" si="72"/>
        <v>489.726</v>
      </c>
      <c r="F801">
        <v>489.54500000000002</v>
      </c>
      <c r="G801">
        <f t="shared" si="74"/>
        <v>0.18099999999998317</v>
      </c>
      <c r="H801">
        <v>1.82</v>
      </c>
      <c r="I801">
        <f t="shared" si="75"/>
        <v>4.2044627099731864</v>
      </c>
      <c r="J801">
        <f t="shared" si="76"/>
        <v>252.26776259839119</v>
      </c>
      <c r="K801">
        <f t="shared" si="77"/>
        <v>15136.065755903472</v>
      </c>
    </row>
    <row r="802" spans="1:11" x14ac:dyDescent="0.4">
      <c r="A802" s="19">
        <v>45868.083333333336</v>
      </c>
      <c r="B802" s="20">
        <f t="shared" si="73"/>
        <v>8.3333333335758653E-2</v>
      </c>
      <c r="C802">
        <v>0</v>
      </c>
      <c r="D802">
        <v>489.88099999999997</v>
      </c>
      <c r="E802">
        <f t="shared" si="72"/>
        <v>489.726</v>
      </c>
      <c r="F802">
        <v>489.54500000000002</v>
      </c>
      <c r="G802">
        <f t="shared" si="74"/>
        <v>0.18099999999998317</v>
      </c>
      <c r="H802">
        <v>1.82</v>
      </c>
      <c r="I802">
        <f t="shared" si="75"/>
        <v>4.2044627099731864</v>
      </c>
      <c r="J802">
        <f t="shared" si="76"/>
        <v>252.26776259839119</v>
      </c>
      <c r="K802">
        <f t="shared" si="77"/>
        <v>15136.065755903472</v>
      </c>
    </row>
    <row r="803" spans="1:11" x14ac:dyDescent="0.4">
      <c r="A803" s="19">
        <v>45868.125</v>
      </c>
      <c r="B803" s="20">
        <f t="shared" si="73"/>
        <v>0.125</v>
      </c>
      <c r="C803">
        <v>0</v>
      </c>
      <c r="D803">
        <v>489.88099999999997</v>
      </c>
      <c r="E803">
        <f t="shared" si="72"/>
        <v>489.726</v>
      </c>
      <c r="F803">
        <v>489.54500000000002</v>
      </c>
      <c r="G803">
        <f t="shared" si="74"/>
        <v>0.18099999999998317</v>
      </c>
      <c r="H803">
        <v>1.82</v>
      </c>
      <c r="I803">
        <f t="shared" si="75"/>
        <v>4.2044627099731864</v>
      </c>
      <c r="J803">
        <f t="shared" si="76"/>
        <v>252.26776259839119</v>
      </c>
      <c r="K803">
        <f t="shared" si="77"/>
        <v>15136.065755903472</v>
      </c>
    </row>
    <row r="804" spans="1:11" x14ac:dyDescent="0.4">
      <c r="A804" s="19">
        <v>45868.166666666664</v>
      </c>
      <c r="B804" s="20">
        <f t="shared" si="73"/>
        <v>0.16666666666424135</v>
      </c>
      <c r="C804">
        <v>0</v>
      </c>
      <c r="D804">
        <v>489.88099999999997</v>
      </c>
      <c r="E804">
        <f t="shared" si="72"/>
        <v>489.726</v>
      </c>
      <c r="F804">
        <v>489.54500000000002</v>
      </c>
      <c r="G804">
        <f t="shared" si="74"/>
        <v>0.18099999999998317</v>
      </c>
      <c r="H804">
        <v>1.82</v>
      </c>
      <c r="I804">
        <f t="shared" si="75"/>
        <v>4.2044627099731864</v>
      </c>
      <c r="J804">
        <f t="shared" si="76"/>
        <v>252.26776259839119</v>
      </c>
      <c r="K804">
        <f t="shared" si="77"/>
        <v>15136.065755903472</v>
      </c>
    </row>
    <row r="805" spans="1:11" x14ac:dyDescent="0.4">
      <c r="A805" s="19">
        <v>45868.208333333336</v>
      </c>
      <c r="B805" s="20">
        <f t="shared" si="73"/>
        <v>0.20833333333575865</v>
      </c>
      <c r="C805">
        <v>0</v>
      </c>
      <c r="D805">
        <v>489.88099999999997</v>
      </c>
      <c r="E805">
        <f t="shared" si="72"/>
        <v>489.726</v>
      </c>
      <c r="F805">
        <v>489.54500000000002</v>
      </c>
      <c r="G805">
        <f t="shared" si="74"/>
        <v>0.18099999999998317</v>
      </c>
      <c r="H805">
        <v>1.82</v>
      </c>
      <c r="I805">
        <f t="shared" si="75"/>
        <v>4.2044627099731864</v>
      </c>
      <c r="J805">
        <f t="shared" si="76"/>
        <v>252.26776259839119</v>
      </c>
      <c r="K805">
        <f t="shared" si="77"/>
        <v>15136.065755903472</v>
      </c>
    </row>
    <row r="806" spans="1:11" x14ac:dyDescent="0.4">
      <c r="A806" s="19">
        <v>45868.25</v>
      </c>
      <c r="B806" s="20">
        <f t="shared" si="73"/>
        <v>0.25</v>
      </c>
      <c r="C806">
        <v>0</v>
      </c>
      <c r="D806">
        <v>489.875</v>
      </c>
      <c r="E806">
        <f t="shared" si="72"/>
        <v>489.72</v>
      </c>
      <c r="F806">
        <v>489.54500000000002</v>
      </c>
      <c r="G806">
        <f t="shared" si="74"/>
        <v>0.17500000000001137</v>
      </c>
      <c r="H806">
        <v>1.82</v>
      </c>
      <c r="I806">
        <f t="shared" si="75"/>
        <v>3.9971432767669373</v>
      </c>
      <c r="J806">
        <f t="shared" si="76"/>
        <v>239.82859660601625</v>
      </c>
      <c r="K806">
        <f t="shared" si="77"/>
        <v>14389.715796360973</v>
      </c>
    </row>
    <row r="807" spans="1:11" x14ac:dyDescent="0.4">
      <c r="A807" s="19">
        <v>45868.291666666664</v>
      </c>
      <c r="B807" s="20">
        <f t="shared" si="73"/>
        <v>0.29166666666424135</v>
      </c>
      <c r="C807">
        <v>0</v>
      </c>
      <c r="D807">
        <v>489.875</v>
      </c>
      <c r="E807">
        <f t="shared" si="72"/>
        <v>489.72</v>
      </c>
      <c r="F807">
        <v>489.54500000000002</v>
      </c>
      <c r="G807">
        <f t="shared" si="74"/>
        <v>0.17500000000001137</v>
      </c>
      <c r="H807">
        <v>1.82</v>
      </c>
      <c r="I807">
        <f t="shared" si="75"/>
        <v>3.9971432767669373</v>
      </c>
      <c r="J807">
        <f t="shared" si="76"/>
        <v>239.82859660601625</v>
      </c>
      <c r="K807">
        <f t="shared" si="77"/>
        <v>14389.715796360973</v>
      </c>
    </row>
    <row r="808" spans="1:11" x14ac:dyDescent="0.4">
      <c r="A808" s="19">
        <v>45868.333333333336</v>
      </c>
      <c r="B808" s="20">
        <f t="shared" si="73"/>
        <v>0.33333333333575865</v>
      </c>
      <c r="C808">
        <v>0</v>
      </c>
      <c r="D808">
        <v>489.87400000000002</v>
      </c>
      <c r="E808">
        <f t="shared" si="72"/>
        <v>489.71900000000005</v>
      </c>
      <c r="F808">
        <v>489.54500000000002</v>
      </c>
      <c r="G808">
        <f t="shared" si="74"/>
        <v>0.17400000000003502</v>
      </c>
      <c r="H808">
        <v>1.82</v>
      </c>
      <c r="I808">
        <f t="shared" si="75"/>
        <v>3.9629310400068136</v>
      </c>
      <c r="J808">
        <f t="shared" si="76"/>
        <v>237.77586240040881</v>
      </c>
      <c r="K808">
        <f t="shared" si="77"/>
        <v>14266.551744024529</v>
      </c>
    </row>
    <row r="809" spans="1:11" x14ac:dyDescent="0.4">
      <c r="A809" s="19">
        <v>45868.375</v>
      </c>
      <c r="B809" s="20">
        <f t="shared" si="73"/>
        <v>0.375</v>
      </c>
      <c r="C809">
        <v>0</v>
      </c>
      <c r="D809">
        <v>489.86799999999999</v>
      </c>
      <c r="E809">
        <f t="shared" si="72"/>
        <v>489.71300000000002</v>
      </c>
      <c r="F809">
        <v>489.54500000000002</v>
      </c>
      <c r="G809">
        <f t="shared" si="74"/>
        <v>0.16800000000000637</v>
      </c>
      <c r="H809">
        <v>1.82</v>
      </c>
      <c r="I809">
        <f t="shared" si="75"/>
        <v>3.759729199439982</v>
      </c>
      <c r="J809">
        <f t="shared" si="76"/>
        <v>225.58375196639892</v>
      </c>
      <c r="K809">
        <f t="shared" si="77"/>
        <v>13535.025117983934</v>
      </c>
    </row>
    <row r="810" spans="1:11" x14ac:dyDescent="0.4">
      <c r="A810" s="19">
        <v>45868.416666666664</v>
      </c>
      <c r="B810" s="20">
        <f t="shared" si="73"/>
        <v>0.41666666666424135</v>
      </c>
      <c r="C810">
        <v>0</v>
      </c>
      <c r="D810">
        <v>489.86799999999999</v>
      </c>
      <c r="E810">
        <f t="shared" si="72"/>
        <v>489.71300000000002</v>
      </c>
      <c r="F810">
        <v>489.54500000000002</v>
      </c>
      <c r="G810">
        <f t="shared" si="74"/>
        <v>0.16800000000000637</v>
      </c>
      <c r="H810">
        <v>1.82</v>
      </c>
      <c r="I810">
        <f t="shared" si="75"/>
        <v>3.759729199439982</v>
      </c>
      <c r="J810">
        <f t="shared" si="76"/>
        <v>225.58375196639892</v>
      </c>
      <c r="K810">
        <f t="shared" si="77"/>
        <v>13535.025117983934</v>
      </c>
    </row>
    <row r="811" spans="1:11" x14ac:dyDescent="0.4">
      <c r="A811" s="19">
        <v>45868.458333333336</v>
      </c>
      <c r="B811" s="20">
        <f t="shared" si="73"/>
        <v>0.45833333333575865</v>
      </c>
      <c r="C811">
        <v>0</v>
      </c>
      <c r="D811">
        <v>489.86799999999999</v>
      </c>
      <c r="E811">
        <f t="shared" si="72"/>
        <v>489.71300000000002</v>
      </c>
      <c r="F811">
        <v>489.54500000000002</v>
      </c>
      <c r="G811">
        <f t="shared" si="74"/>
        <v>0.16800000000000637</v>
      </c>
      <c r="H811">
        <v>1.82</v>
      </c>
      <c r="I811">
        <f t="shared" si="75"/>
        <v>3.759729199439982</v>
      </c>
      <c r="J811">
        <f t="shared" si="76"/>
        <v>225.58375196639892</v>
      </c>
      <c r="K811">
        <f t="shared" si="77"/>
        <v>13535.025117983934</v>
      </c>
    </row>
    <row r="812" spans="1:11" x14ac:dyDescent="0.4">
      <c r="A812" s="19">
        <v>45868.5</v>
      </c>
      <c r="B812" s="20">
        <f t="shared" si="73"/>
        <v>0.5</v>
      </c>
      <c r="C812">
        <v>0</v>
      </c>
      <c r="D812">
        <v>489.86200000000002</v>
      </c>
      <c r="E812">
        <f t="shared" si="72"/>
        <v>489.70700000000005</v>
      </c>
      <c r="F812">
        <v>489.54500000000002</v>
      </c>
      <c r="G812">
        <f t="shared" si="74"/>
        <v>0.16200000000003456</v>
      </c>
      <c r="H812">
        <v>1.82</v>
      </c>
      <c r="I812">
        <f t="shared" si="75"/>
        <v>3.560124325425746</v>
      </c>
      <c r="J812">
        <f t="shared" si="76"/>
        <v>213.60745952554475</v>
      </c>
      <c r="K812">
        <f t="shared" si="77"/>
        <v>12816.447571532684</v>
      </c>
    </row>
    <row r="813" spans="1:11" x14ac:dyDescent="0.4">
      <c r="A813" s="19">
        <v>45868.541666666664</v>
      </c>
      <c r="B813" s="20">
        <f t="shared" si="73"/>
        <v>0.54166666666424135</v>
      </c>
      <c r="C813">
        <v>0</v>
      </c>
      <c r="D813">
        <v>489.85399999999998</v>
      </c>
      <c r="E813">
        <f t="shared" si="72"/>
        <v>489.69900000000001</v>
      </c>
      <c r="F813">
        <v>489.54500000000002</v>
      </c>
      <c r="G813">
        <f t="shared" si="74"/>
        <v>0.15399999999999636</v>
      </c>
      <c r="H813">
        <v>1.82</v>
      </c>
      <c r="I813">
        <f t="shared" si="75"/>
        <v>3.2996944322526636</v>
      </c>
      <c r="J813">
        <f t="shared" si="76"/>
        <v>197.98166593515981</v>
      </c>
      <c r="K813">
        <f t="shared" si="77"/>
        <v>11878.89995610959</v>
      </c>
    </row>
    <row r="814" spans="1:11" x14ac:dyDescent="0.4">
      <c r="A814" s="19">
        <v>45868.583333333336</v>
      </c>
      <c r="B814" s="20">
        <f t="shared" si="73"/>
        <v>0.58333333333575865</v>
      </c>
      <c r="C814">
        <v>0</v>
      </c>
      <c r="D814">
        <v>489.84800000000001</v>
      </c>
      <c r="E814">
        <f t="shared" si="72"/>
        <v>489.69300000000004</v>
      </c>
      <c r="F814">
        <v>489.54500000000002</v>
      </c>
      <c r="G814">
        <f t="shared" si="74"/>
        <v>0.14800000000002456</v>
      </c>
      <c r="H814">
        <v>1.82</v>
      </c>
      <c r="I814">
        <f t="shared" si="75"/>
        <v>3.1087458305118498</v>
      </c>
      <c r="J814">
        <f t="shared" si="76"/>
        <v>186.52474983071099</v>
      </c>
      <c r="K814">
        <f t="shared" si="77"/>
        <v>11191.48498984266</v>
      </c>
    </row>
    <row r="815" spans="1:11" x14ac:dyDescent="0.4">
      <c r="A815" s="19">
        <v>45868.625</v>
      </c>
      <c r="B815" s="20">
        <f t="shared" si="73"/>
        <v>0.625</v>
      </c>
      <c r="C815">
        <v>0</v>
      </c>
      <c r="D815">
        <v>489.84800000000001</v>
      </c>
      <c r="E815">
        <f t="shared" si="72"/>
        <v>489.69300000000004</v>
      </c>
      <c r="F815">
        <v>489.54500000000002</v>
      </c>
      <c r="G815">
        <f t="shared" si="74"/>
        <v>0.14800000000002456</v>
      </c>
      <c r="H815">
        <v>1.82</v>
      </c>
      <c r="I815">
        <f t="shared" si="75"/>
        <v>3.1087458305118498</v>
      </c>
      <c r="J815">
        <f t="shared" si="76"/>
        <v>186.52474983071099</v>
      </c>
      <c r="K815">
        <f t="shared" si="77"/>
        <v>11191.48498984266</v>
      </c>
    </row>
    <row r="816" spans="1:11" x14ac:dyDescent="0.4">
      <c r="A816" s="19">
        <v>45868.666666666664</v>
      </c>
      <c r="B816" s="20">
        <f t="shared" si="73"/>
        <v>0.66666666666424135</v>
      </c>
      <c r="C816">
        <v>0</v>
      </c>
      <c r="D816">
        <v>489.84100000000001</v>
      </c>
      <c r="E816">
        <f t="shared" si="72"/>
        <v>489.68600000000004</v>
      </c>
      <c r="F816">
        <v>489.54500000000002</v>
      </c>
      <c r="G816">
        <f t="shared" si="74"/>
        <v>0.14100000000001955</v>
      </c>
      <c r="H816">
        <v>1.82</v>
      </c>
      <c r="I816">
        <f t="shared" si="75"/>
        <v>2.8908217372165095</v>
      </c>
      <c r="J816">
        <f t="shared" si="76"/>
        <v>173.44930423299056</v>
      </c>
      <c r="K816">
        <f t="shared" si="77"/>
        <v>10406.958253979434</v>
      </c>
    </row>
    <row r="817" spans="1:11" x14ac:dyDescent="0.4">
      <c r="A817" s="19">
        <v>45868.708333333336</v>
      </c>
      <c r="B817" s="20">
        <f t="shared" si="73"/>
        <v>0.70833333333575865</v>
      </c>
      <c r="C817">
        <v>0</v>
      </c>
      <c r="D817">
        <v>489.84100000000001</v>
      </c>
      <c r="E817">
        <f t="shared" si="72"/>
        <v>489.68600000000004</v>
      </c>
      <c r="F817">
        <v>489.54500000000002</v>
      </c>
      <c r="G817">
        <f t="shared" si="74"/>
        <v>0.14100000000001955</v>
      </c>
      <c r="H817">
        <v>1.82</v>
      </c>
      <c r="I817">
        <f t="shared" si="75"/>
        <v>2.8908217372165095</v>
      </c>
      <c r="J817">
        <f t="shared" si="76"/>
        <v>173.44930423299056</v>
      </c>
      <c r="K817">
        <f t="shared" si="77"/>
        <v>10406.958253979434</v>
      </c>
    </row>
    <row r="818" spans="1:11" x14ac:dyDescent="0.4">
      <c r="A818" s="19">
        <v>45868.75</v>
      </c>
      <c r="B818" s="20">
        <f t="shared" si="73"/>
        <v>0.75</v>
      </c>
      <c r="C818">
        <v>0</v>
      </c>
      <c r="D818">
        <v>489.83499999999998</v>
      </c>
      <c r="E818">
        <f t="shared" si="72"/>
        <v>489.68</v>
      </c>
      <c r="F818">
        <v>489.54500000000002</v>
      </c>
      <c r="G818">
        <f t="shared" si="74"/>
        <v>0.13499999999999091</v>
      </c>
      <c r="H818">
        <v>1.82</v>
      </c>
      <c r="I818">
        <f t="shared" si="75"/>
        <v>2.7082783341079475</v>
      </c>
      <c r="J818">
        <f t="shared" si="76"/>
        <v>162.49670004647686</v>
      </c>
      <c r="K818">
        <f t="shared" si="77"/>
        <v>9749.8020027886105</v>
      </c>
    </row>
    <row r="819" spans="1:11" x14ac:dyDescent="0.4">
      <c r="A819" s="19">
        <v>45868.791666666664</v>
      </c>
      <c r="B819" s="20">
        <f t="shared" si="73"/>
        <v>0.79166666666424135</v>
      </c>
      <c r="C819">
        <v>0</v>
      </c>
      <c r="D819">
        <v>489.83499999999998</v>
      </c>
      <c r="E819">
        <f t="shared" si="72"/>
        <v>489.68</v>
      </c>
      <c r="F819">
        <v>489.54500000000002</v>
      </c>
      <c r="G819">
        <f t="shared" si="74"/>
        <v>0.13499999999999091</v>
      </c>
      <c r="H819">
        <v>1.82</v>
      </c>
      <c r="I819">
        <f t="shared" si="75"/>
        <v>2.7082783341079475</v>
      </c>
      <c r="J819">
        <f t="shared" si="76"/>
        <v>162.49670004647686</v>
      </c>
      <c r="K819">
        <f t="shared" si="77"/>
        <v>9749.8020027886105</v>
      </c>
    </row>
    <row r="820" spans="1:11" x14ac:dyDescent="0.4">
      <c r="A820" s="19">
        <v>45868.833333333336</v>
      </c>
      <c r="B820" s="20">
        <f t="shared" si="73"/>
        <v>0.83333333333575865</v>
      </c>
      <c r="C820">
        <v>0</v>
      </c>
      <c r="D820">
        <v>489.82900000000001</v>
      </c>
      <c r="E820">
        <f t="shared" si="72"/>
        <v>489.67400000000004</v>
      </c>
      <c r="F820">
        <v>489.54500000000002</v>
      </c>
      <c r="G820">
        <f t="shared" si="74"/>
        <v>0.1290000000000191</v>
      </c>
      <c r="H820">
        <v>1.82</v>
      </c>
      <c r="I820">
        <f t="shared" si="75"/>
        <v>2.5297476908266638</v>
      </c>
      <c r="J820">
        <f t="shared" si="76"/>
        <v>151.78486144959982</v>
      </c>
      <c r="K820">
        <f t="shared" si="77"/>
        <v>9107.0916869759894</v>
      </c>
    </row>
    <row r="821" spans="1:11" x14ac:dyDescent="0.4">
      <c r="A821" s="19">
        <v>45868.875</v>
      </c>
      <c r="B821" s="20">
        <f t="shared" si="73"/>
        <v>0.875</v>
      </c>
      <c r="C821">
        <v>0.2</v>
      </c>
      <c r="D821">
        <v>489.822</v>
      </c>
      <c r="E821">
        <f t="shared" si="72"/>
        <v>489.66700000000003</v>
      </c>
      <c r="F821">
        <v>489.54500000000002</v>
      </c>
      <c r="G821">
        <f t="shared" si="74"/>
        <v>0.1220000000000141</v>
      </c>
      <c r="H821">
        <v>1.82</v>
      </c>
      <c r="I821">
        <f t="shared" si="75"/>
        <v>2.3266571349646425</v>
      </c>
      <c r="J821">
        <f t="shared" si="76"/>
        <v>139.59942809787856</v>
      </c>
      <c r="K821">
        <f t="shared" si="77"/>
        <v>8375.9656858727121</v>
      </c>
    </row>
    <row r="822" spans="1:11" x14ac:dyDescent="0.4">
      <c r="A822" s="19">
        <v>45868.916666666664</v>
      </c>
      <c r="B822" s="20">
        <f t="shared" si="73"/>
        <v>0.91666666666424135</v>
      </c>
      <c r="C822">
        <v>0</v>
      </c>
      <c r="D822">
        <v>489.822</v>
      </c>
      <c r="E822">
        <f t="shared" si="72"/>
        <v>489.66700000000003</v>
      </c>
      <c r="F822">
        <v>489.54500000000002</v>
      </c>
      <c r="G822">
        <f t="shared" si="74"/>
        <v>0.1220000000000141</v>
      </c>
      <c r="H822">
        <v>1.82</v>
      </c>
      <c r="I822">
        <f t="shared" si="75"/>
        <v>2.3266571349646425</v>
      </c>
      <c r="J822">
        <f t="shared" si="76"/>
        <v>139.59942809787856</v>
      </c>
      <c r="K822">
        <f t="shared" si="77"/>
        <v>8375.9656858727121</v>
      </c>
    </row>
    <row r="823" spans="1:11" x14ac:dyDescent="0.4">
      <c r="A823" s="19">
        <v>45868.958333333336</v>
      </c>
      <c r="B823" s="20">
        <f t="shared" si="73"/>
        <v>0.95833333333575865</v>
      </c>
      <c r="C823">
        <v>0</v>
      </c>
      <c r="D823">
        <v>489.81599999999997</v>
      </c>
      <c r="E823">
        <f t="shared" si="72"/>
        <v>489.661</v>
      </c>
      <c r="F823">
        <v>489.54500000000002</v>
      </c>
      <c r="G823">
        <f t="shared" si="74"/>
        <v>0.11599999999998545</v>
      </c>
      <c r="H823">
        <v>1.82</v>
      </c>
      <c r="I823">
        <f t="shared" si="75"/>
        <v>2.1571464297442224</v>
      </c>
      <c r="J823">
        <f t="shared" si="76"/>
        <v>129.42878578465334</v>
      </c>
      <c r="K823">
        <f t="shared" si="77"/>
        <v>7765.7271470792002</v>
      </c>
    </row>
    <row r="824" spans="1:11" x14ac:dyDescent="0.4">
      <c r="A824" s="19">
        <v>45869</v>
      </c>
      <c r="B824" s="20">
        <f t="shared" si="73"/>
        <v>0</v>
      </c>
      <c r="C824">
        <v>0</v>
      </c>
      <c r="D824">
        <v>489.81</v>
      </c>
      <c r="E824">
        <f t="shared" si="72"/>
        <v>489.65500000000003</v>
      </c>
      <c r="F824">
        <v>489.54500000000002</v>
      </c>
      <c r="G824">
        <f t="shared" si="74"/>
        <v>0.11000000000001364</v>
      </c>
      <c r="H824">
        <v>1.82</v>
      </c>
      <c r="I824">
        <f t="shared" si="75"/>
        <v>1.9919648490878239</v>
      </c>
      <c r="J824">
        <f t="shared" si="76"/>
        <v>119.51789094526943</v>
      </c>
      <c r="K824">
        <f t="shared" si="77"/>
        <v>7171.0734567161662</v>
      </c>
    </row>
    <row r="825" spans="1:11" x14ac:dyDescent="0.4">
      <c r="A825" s="19">
        <v>45869.041666666664</v>
      </c>
      <c r="B825" s="20">
        <f t="shared" si="73"/>
        <v>4.1666666664241347E-2</v>
      </c>
      <c r="C825">
        <v>0</v>
      </c>
      <c r="D825">
        <v>489.81599999999997</v>
      </c>
      <c r="E825">
        <f t="shared" si="72"/>
        <v>489.661</v>
      </c>
      <c r="F825">
        <v>489.54500000000002</v>
      </c>
      <c r="G825">
        <f t="shared" si="74"/>
        <v>0.11599999999998545</v>
      </c>
      <c r="H825">
        <v>1.82</v>
      </c>
      <c r="I825">
        <f t="shared" si="75"/>
        <v>2.1571464297442224</v>
      </c>
      <c r="J825">
        <f t="shared" si="76"/>
        <v>129.42878578465334</v>
      </c>
      <c r="K825">
        <f t="shared" si="77"/>
        <v>7765.7271470792002</v>
      </c>
    </row>
    <row r="826" spans="1:11" x14ac:dyDescent="0.4">
      <c r="A826" s="19">
        <v>45869.083333333336</v>
      </c>
      <c r="B826" s="20">
        <f t="shared" si="73"/>
        <v>8.3333333335758653E-2</v>
      </c>
      <c r="C826">
        <v>0</v>
      </c>
      <c r="D826">
        <v>489.81</v>
      </c>
      <c r="E826">
        <f t="shared" si="72"/>
        <v>489.65500000000003</v>
      </c>
      <c r="F826">
        <v>489.54500000000002</v>
      </c>
      <c r="G826">
        <f t="shared" si="74"/>
        <v>0.11000000000001364</v>
      </c>
      <c r="H826">
        <v>1.82</v>
      </c>
      <c r="I826">
        <f t="shared" si="75"/>
        <v>1.9919648490878239</v>
      </c>
      <c r="J826">
        <f t="shared" si="76"/>
        <v>119.51789094526943</v>
      </c>
      <c r="K826">
        <f t="shared" si="77"/>
        <v>7171.0734567161662</v>
      </c>
    </row>
    <row r="827" spans="1:11" x14ac:dyDescent="0.4">
      <c r="A827" s="19">
        <v>45869.125</v>
      </c>
      <c r="B827" s="20">
        <f t="shared" si="73"/>
        <v>0.125</v>
      </c>
      <c r="C827">
        <v>0</v>
      </c>
      <c r="D827">
        <v>489.81</v>
      </c>
      <c r="E827">
        <f t="shared" si="72"/>
        <v>489.65500000000003</v>
      </c>
      <c r="F827">
        <v>489.54500000000002</v>
      </c>
      <c r="G827">
        <f t="shared" si="74"/>
        <v>0.11000000000001364</v>
      </c>
      <c r="H827">
        <v>1.82</v>
      </c>
      <c r="I827">
        <f t="shared" si="75"/>
        <v>1.9919648490878239</v>
      </c>
      <c r="J827">
        <f t="shared" si="76"/>
        <v>119.51789094526943</v>
      </c>
      <c r="K827">
        <f t="shared" si="77"/>
        <v>7171.0734567161662</v>
      </c>
    </row>
    <row r="828" spans="1:11" x14ac:dyDescent="0.4">
      <c r="A828" s="19">
        <v>45869.166666666664</v>
      </c>
      <c r="B828" s="20">
        <f t="shared" si="73"/>
        <v>0.16666666666424135</v>
      </c>
      <c r="C828">
        <v>0</v>
      </c>
      <c r="D828">
        <v>489.80399999999997</v>
      </c>
      <c r="E828">
        <f t="shared" si="72"/>
        <v>489.649</v>
      </c>
      <c r="F828">
        <v>489.54500000000002</v>
      </c>
      <c r="G828">
        <f t="shared" si="74"/>
        <v>0.10399999999998499</v>
      </c>
      <c r="H828">
        <v>1.82</v>
      </c>
      <c r="I828">
        <f t="shared" si="75"/>
        <v>1.8312289759171425</v>
      </c>
      <c r="J828">
        <f t="shared" si="76"/>
        <v>109.87373855502855</v>
      </c>
      <c r="K828">
        <f t="shared" si="77"/>
        <v>6592.4243133017126</v>
      </c>
    </row>
    <row r="829" spans="1:11" x14ac:dyDescent="0.4">
      <c r="A829" s="19">
        <v>45869.208333333336</v>
      </c>
      <c r="B829" s="20">
        <f t="shared" si="73"/>
        <v>0.20833333333575865</v>
      </c>
      <c r="C829">
        <v>0</v>
      </c>
      <c r="D829">
        <v>489.803</v>
      </c>
      <c r="E829">
        <f t="shared" si="72"/>
        <v>489.64800000000002</v>
      </c>
      <c r="F829">
        <v>489.54500000000002</v>
      </c>
      <c r="G829">
        <f t="shared" si="74"/>
        <v>0.10300000000000864</v>
      </c>
      <c r="H829">
        <v>1.82</v>
      </c>
      <c r="I829">
        <f t="shared" si="75"/>
        <v>1.8048806119300023</v>
      </c>
      <c r="J829">
        <f t="shared" si="76"/>
        <v>108.29283671580014</v>
      </c>
      <c r="K829">
        <f t="shared" si="77"/>
        <v>6497.570202948008</v>
      </c>
    </row>
    <row r="830" spans="1:11" x14ac:dyDescent="0.4">
      <c r="A830" s="19">
        <v>45869.25</v>
      </c>
      <c r="B830" s="20">
        <f t="shared" si="73"/>
        <v>0.25</v>
      </c>
      <c r="C830">
        <v>0</v>
      </c>
      <c r="D830">
        <v>489.798</v>
      </c>
      <c r="E830">
        <f t="shared" si="72"/>
        <v>489.64300000000003</v>
      </c>
      <c r="F830">
        <v>489.54500000000002</v>
      </c>
      <c r="G830">
        <f t="shared" si="74"/>
        <v>9.8000000000013188E-2</v>
      </c>
      <c r="H830">
        <v>1.82</v>
      </c>
      <c r="I830">
        <f t="shared" si="75"/>
        <v>1.6750653547611611</v>
      </c>
      <c r="J830">
        <f t="shared" si="76"/>
        <v>100.50392128566966</v>
      </c>
      <c r="K830">
        <f t="shared" si="77"/>
        <v>6030.2352771401793</v>
      </c>
    </row>
    <row r="831" spans="1:11" x14ac:dyDescent="0.4">
      <c r="A831" s="19">
        <v>45869.291666666664</v>
      </c>
      <c r="B831" s="20">
        <f t="shared" si="73"/>
        <v>0.29166666666424135</v>
      </c>
      <c r="C831">
        <v>0</v>
      </c>
      <c r="D831">
        <v>489.79700000000003</v>
      </c>
      <c r="E831">
        <f t="shared" si="72"/>
        <v>489.64200000000005</v>
      </c>
      <c r="F831">
        <v>489.54500000000002</v>
      </c>
      <c r="G831">
        <f t="shared" si="74"/>
        <v>9.7000000000036835E-2</v>
      </c>
      <c r="H831">
        <v>1.82</v>
      </c>
      <c r="I831">
        <f t="shared" si="75"/>
        <v>1.649492115980886</v>
      </c>
      <c r="J831">
        <f t="shared" si="76"/>
        <v>98.969526958853152</v>
      </c>
      <c r="K831">
        <f t="shared" si="77"/>
        <v>5938.1716175311894</v>
      </c>
    </row>
    <row r="832" spans="1:11" x14ac:dyDescent="0.4">
      <c r="A832" s="19">
        <v>45869.333333333336</v>
      </c>
      <c r="B832" s="20">
        <f t="shared" si="73"/>
        <v>0.33333333333575865</v>
      </c>
      <c r="C832">
        <v>0</v>
      </c>
      <c r="D832">
        <v>489.79700000000003</v>
      </c>
      <c r="E832">
        <f t="shared" si="72"/>
        <v>489.64200000000005</v>
      </c>
      <c r="F832">
        <v>489.54500000000002</v>
      </c>
      <c r="G832">
        <f t="shared" si="74"/>
        <v>9.7000000000036835E-2</v>
      </c>
      <c r="H832">
        <v>1.82</v>
      </c>
      <c r="I832">
        <f t="shared" si="75"/>
        <v>1.649492115980886</v>
      </c>
      <c r="J832">
        <f t="shared" si="76"/>
        <v>98.969526958853152</v>
      </c>
      <c r="K832">
        <f t="shared" si="77"/>
        <v>5938.1716175311894</v>
      </c>
    </row>
    <row r="833" spans="1:11" x14ac:dyDescent="0.4">
      <c r="A833" s="19">
        <v>45869.375</v>
      </c>
      <c r="B833" s="20">
        <f t="shared" si="73"/>
        <v>0.375</v>
      </c>
      <c r="C833">
        <v>0</v>
      </c>
      <c r="D833">
        <v>489.791</v>
      </c>
      <c r="E833">
        <f t="shared" si="72"/>
        <v>489.63600000000002</v>
      </c>
      <c r="F833">
        <v>489.54500000000002</v>
      </c>
      <c r="G833">
        <f t="shared" si="74"/>
        <v>9.1000000000008185E-2</v>
      </c>
      <c r="H833">
        <v>1.82</v>
      </c>
      <c r="I833">
        <f t="shared" si="75"/>
        <v>1.4988381241350268</v>
      </c>
      <c r="J833">
        <f t="shared" si="76"/>
        <v>89.930287448101609</v>
      </c>
      <c r="K833">
        <f t="shared" si="77"/>
        <v>5395.8172468860967</v>
      </c>
    </row>
    <row r="834" spans="1:11" x14ac:dyDescent="0.4">
      <c r="A834" s="19">
        <v>45869.416666666664</v>
      </c>
      <c r="B834" s="20">
        <f t="shared" si="73"/>
        <v>0.41666666666424135</v>
      </c>
      <c r="C834">
        <v>0</v>
      </c>
      <c r="D834">
        <v>489.791</v>
      </c>
      <c r="E834">
        <f t="shared" ref="E834:E897" si="78">D834-0.155</f>
        <v>489.63600000000002</v>
      </c>
      <c r="F834">
        <v>489.54500000000002</v>
      </c>
      <c r="G834">
        <f t="shared" si="74"/>
        <v>9.1000000000008185E-2</v>
      </c>
      <c r="H834">
        <v>1.82</v>
      </c>
      <c r="I834">
        <f t="shared" si="75"/>
        <v>1.4988381241350268</v>
      </c>
      <c r="J834">
        <f t="shared" si="76"/>
        <v>89.930287448101609</v>
      </c>
      <c r="K834">
        <f t="shared" si="77"/>
        <v>5395.8172468860967</v>
      </c>
    </row>
    <row r="835" spans="1:11" x14ac:dyDescent="0.4">
      <c r="A835" s="19">
        <v>45869.458333333336</v>
      </c>
      <c r="B835" s="20">
        <f t="shared" ref="B835:B898" si="79">MOD(A835,1)</f>
        <v>0.45833333333575865</v>
      </c>
      <c r="C835">
        <v>0</v>
      </c>
      <c r="D835">
        <v>489.78500000000003</v>
      </c>
      <c r="E835">
        <f t="shared" si="78"/>
        <v>489.63000000000005</v>
      </c>
      <c r="F835">
        <v>489.54500000000002</v>
      </c>
      <c r="G835">
        <f t="shared" ref="G835:G898" si="80">IF(E835 - F835 &lt; 0, 0, E835 - F835)</f>
        <v>8.500000000003638E-2</v>
      </c>
      <c r="H835">
        <v>1.82</v>
      </c>
      <c r="I835">
        <f t="shared" ref="I835:I898" si="81">1.82*30*(G835^1.5)</f>
        <v>1.3530723871997206</v>
      </c>
      <c r="J835">
        <f t="shared" ref="J835:J898" si="82">I835*60</f>
        <v>81.184343231983235</v>
      </c>
      <c r="K835">
        <f t="shared" ref="K835:K898" si="83">(I835*86400)/24</f>
        <v>4871.0605939189945</v>
      </c>
    </row>
    <row r="836" spans="1:11" x14ac:dyDescent="0.4">
      <c r="A836" s="19">
        <v>45869.5</v>
      </c>
      <c r="B836" s="20">
        <f t="shared" si="79"/>
        <v>0.5</v>
      </c>
      <c r="C836">
        <v>0</v>
      </c>
      <c r="D836">
        <v>489.78399999999999</v>
      </c>
      <c r="E836">
        <f t="shared" si="78"/>
        <v>489.62900000000002</v>
      </c>
      <c r="F836">
        <v>489.54500000000002</v>
      </c>
      <c r="G836">
        <f t="shared" si="80"/>
        <v>8.4000000000003183E-2</v>
      </c>
      <c r="H836">
        <v>1.82</v>
      </c>
      <c r="I836">
        <f t="shared" si="81"/>
        <v>1.3292650061745406</v>
      </c>
      <c r="J836">
        <f t="shared" si="82"/>
        <v>79.755900370472432</v>
      </c>
      <c r="K836">
        <f t="shared" si="83"/>
        <v>4785.3540222283464</v>
      </c>
    </row>
    <row r="837" spans="1:11" x14ac:dyDescent="0.4">
      <c r="A837" s="19">
        <v>45869.541666666664</v>
      </c>
      <c r="B837" s="20">
        <f t="shared" si="79"/>
        <v>0.54166666666424135</v>
      </c>
      <c r="C837">
        <v>0</v>
      </c>
      <c r="D837">
        <v>489.77800000000002</v>
      </c>
      <c r="E837">
        <f t="shared" si="78"/>
        <v>489.62300000000005</v>
      </c>
      <c r="F837">
        <v>489.54500000000002</v>
      </c>
      <c r="G837">
        <f t="shared" si="80"/>
        <v>7.8000000000031378E-2</v>
      </c>
      <c r="H837">
        <v>1.82</v>
      </c>
      <c r="I837">
        <f t="shared" si="81"/>
        <v>1.1894181099687804</v>
      </c>
      <c r="J837">
        <f t="shared" si="82"/>
        <v>71.365086598126823</v>
      </c>
      <c r="K837">
        <f t="shared" si="83"/>
        <v>4281.9051958876089</v>
      </c>
    </row>
    <row r="838" spans="1:11" x14ac:dyDescent="0.4">
      <c r="A838" s="19">
        <v>45869.583333333336</v>
      </c>
      <c r="B838" s="20">
        <f t="shared" si="79"/>
        <v>0.58333333333575865</v>
      </c>
      <c r="C838">
        <v>0</v>
      </c>
      <c r="D838">
        <v>489.77800000000002</v>
      </c>
      <c r="E838">
        <f t="shared" si="78"/>
        <v>489.62300000000005</v>
      </c>
      <c r="F838">
        <v>489.54500000000002</v>
      </c>
      <c r="G838">
        <f t="shared" si="80"/>
        <v>7.8000000000031378E-2</v>
      </c>
      <c r="H838">
        <v>1.82</v>
      </c>
      <c r="I838">
        <f t="shared" si="81"/>
        <v>1.1894181099687804</v>
      </c>
      <c r="J838">
        <f t="shared" si="82"/>
        <v>71.365086598126823</v>
      </c>
      <c r="K838">
        <f t="shared" si="83"/>
        <v>4281.9051958876089</v>
      </c>
    </row>
    <row r="839" spans="1:11" x14ac:dyDescent="0.4">
      <c r="A839" s="19">
        <v>45869.625</v>
      </c>
      <c r="B839" s="20">
        <f t="shared" si="79"/>
        <v>0.625</v>
      </c>
      <c r="C839">
        <v>0</v>
      </c>
      <c r="D839">
        <v>489.77800000000002</v>
      </c>
      <c r="E839">
        <f t="shared" si="78"/>
        <v>489.62300000000005</v>
      </c>
      <c r="F839">
        <v>489.54500000000002</v>
      </c>
      <c r="G839">
        <f t="shared" si="80"/>
        <v>7.8000000000031378E-2</v>
      </c>
      <c r="H839">
        <v>1.82</v>
      </c>
      <c r="I839">
        <f t="shared" si="81"/>
        <v>1.1894181099687804</v>
      </c>
      <c r="J839">
        <f t="shared" si="82"/>
        <v>71.365086598126823</v>
      </c>
      <c r="K839">
        <f t="shared" si="83"/>
        <v>4281.9051958876089</v>
      </c>
    </row>
    <row r="840" spans="1:11" x14ac:dyDescent="0.4">
      <c r="A840" s="19">
        <v>45869.666666666664</v>
      </c>
      <c r="B840" s="20">
        <f t="shared" si="79"/>
        <v>0.66666666666424135</v>
      </c>
      <c r="C840">
        <v>0</v>
      </c>
      <c r="D840">
        <v>489.77800000000002</v>
      </c>
      <c r="E840">
        <f t="shared" si="78"/>
        <v>489.62300000000005</v>
      </c>
      <c r="F840">
        <v>489.54500000000002</v>
      </c>
      <c r="G840">
        <f t="shared" si="80"/>
        <v>7.8000000000031378E-2</v>
      </c>
      <c r="H840">
        <v>1.82</v>
      </c>
      <c r="I840">
        <f t="shared" si="81"/>
        <v>1.1894181099687804</v>
      </c>
      <c r="J840">
        <f t="shared" si="82"/>
        <v>71.365086598126823</v>
      </c>
      <c r="K840">
        <f t="shared" si="83"/>
        <v>4281.9051958876089</v>
      </c>
    </row>
    <row r="841" spans="1:11" x14ac:dyDescent="0.4">
      <c r="A841" s="19">
        <v>45869.708333333336</v>
      </c>
      <c r="B841" s="20">
        <f t="shared" si="79"/>
        <v>0.70833333333575865</v>
      </c>
      <c r="C841">
        <v>0</v>
      </c>
      <c r="D841">
        <v>489.77100000000002</v>
      </c>
      <c r="E841">
        <f t="shared" si="78"/>
        <v>489.61600000000004</v>
      </c>
      <c r="F841">
        <v>489.54500000000002</v>
      </c>
      <c r="G841">
        <f t="shared" si="80"/>
        <v>7.1000000000026375E-2</v>
      </c>
      <c r="H841">
        <v>1.82</v>
      </c>
      <c r="I841">
        <f t="shared" si="81"/>
        <v>1.0329520592753516</v>
      </c>
      <c r="J841">
        <f t="shared" si="82"/>
        <v>61.977123556521093</v>
      </c>
      <c r="K841">
        <f t="shared" si="83"/>
        <v>3718.6274133912661</v>
      </c>
    </row>
    <row r="842" spans="1:11" x14ac:dyDescent="0.4">
      <c r="A842" s="19">
        <v>45869.75</v>
      </c>
      <c r="B842" s="20">
        <f t="shared" si="79"/>
        <v>0.75</v>
      </c>
      <c r="C842">
        <v>0</v>
      </c>
      <c r="D842">
        <v>489.77100000000002</v>
      </c>
      <c r="E842">
        <f t="shared" si="78"/>
        <v>489.61600000000004</v>
      </c>
      <c r="F842">
        <v>489.54500000000002</v>
      </c>
      <c r="G842">
        <f t="shared" si="80"/>
        <v>7.1000000000026375E-2</v>
      </c>
      <c r="H842">
        <v>1.82</v>
      </c>
      <c r="I842">
        <f t="shared" si="81"/>
        <v>1.0329520592753516</v>
      </c>
      <c r="J842">
        <f t="shared" si="82"/>
        <v>61.977123556521093</v>
      </c>
      <c r="K842">
        <f t="shared" si="83"/>
        <v>3718.6274133912661</v>
      </c>
    </row>
    <row r="843" spans="1:11" x14ac:dyDescent="0.4">
      <c r="A843" s="19">
        <v>45869.791666666664</v>
      </c>
      <c r="B843" s="20">
        <f t="shared" si="79"/>
        <v>0.79166666666424135</v>
      </c>
      <c r="C843">
        <v>0</v>
      </c>
      <c r="D843">
        <v>489.76499999999999</v>
      </c>
      <c r="E843">
        <f t="shared" si="78"/>
        <v>489.61</v>
      </c>
      <c r="F843">
        <v>489.54500000000002</v>
      </c>
      <c r="G843">
        <f t="shared" si="80"/>
        <v>6.4999999999997726E-2</v>
      </c>
      <c r="H843">
        <v>1.82</v>
      </c>
      <c r="I843">
        <f t="shared" si="81"/>
        <v>0.90482101268699189</v>
      </c>
      <c r="J843">
        <f t="shared" si="82"/>
        <v>54.289260761219516</v>
      </c>
      <c r="K843">
        <f t="shared" si="83"/>
        <v>3257.3556456731708</v>
      </c>
    </row>
    <row r="844" spans="1:11" x14ac:dyDescent="0.4">
      <c r="A844" s="19">
        <v>45869.833333333336</v>
      </c>
      <c r="B844" s="20">
        <f t="shared" si="79"/>
        <v>0.83333333333575865</v>
      </c>
      <c r="C844">
        <v>0</v>
      </c>
      <c r="D844">
        <v>489.76499999999999</v>
      </c>
      <c r="E844">
        <f t="shared" si="78"/>
        <v>489.61</v>
      </c>
      <c r="F844">
        <v>489.54500000000002</v>
      </c>
      <c r="G844">
        <f t="shared" si="80"/>
        <v>6.4999999999997726E-2</v>
      </c>
      <c r="H844">
        <v>1.82</v>
      </c>
      <c r="I844">
        <f t="shared" si="81"/>
        <v>0.90482101268699189</v>
      </c>
      <c r="J844">
        <f t="shared" si="82"/>
        <v>54.289260761219516</v>
      </c>
      <c r="K844">
        <f t="shared" si="83"/>
        <v>3257.3556456731708</v>
      </c>
    </row>
    <row r="845" spans="1:11" x14ac:dyDescent="0.4">
      <c r="A845" s="19">
        <v>45869.875</v>
      </c>
      <c r="B845" s="20">
        <f t="shared" si="79"/>
        <v>0.875</v>
      </c>
      <c r="C845">
        <v>0</v>
      </c>
      <c r="D845">
        <v>489.76600000000002</v>
      </c>
      <c r="E845">
        <f t="shared" si="78"/>
        <v>489.61100000000005</v>
      </c>
      <c r="F845">
        <v>489.54500000000002</v>
      </c>
      <c r="G845">
        <f t="shared" si="80"/>
        <v>6.6000000000030923E-2</v>
      </c>
      <c r="H845">
        <v>1.82</v>
      </c>
      <c r="I845">
        <f t="shared" si="81"/>
        <v>0.92578160241020346</v>
      </c>
      <c r="J845">
        <f t="shared" si="82"/>
        <v>55.546896144612205</v>
      </c>
      <c r="K845">
        <f t="shared" si="83"/>
        <v>3332.8137686767327</v>
      </c>
    </row>
    <row r="846" spans="1:11" x14ac:dyDescent="0.4">
      <c r="A846" s="19">
        <v>45869.916666666664</v>
      </c>
      <c r="B846" s="20">
        <f t="shared" si="79"/>
        <v>0.91666666666424135</v>
      </c>
      <c r="C846">
        <v>0</v>
      </c>
      <c r="D846">
        <v>489.76600000000002</v>
      </c>
      <c r="E846">
        <f t="shared" si="78"/>
        <v>489.61100000000005</v>
      </c>
      <c r="F846">
        <v>489.54500000000002</v>
      </c>
      <c r="G846">
        <f t="shared" si="80"/>
        <v>6.6000000000030923E-2</v>
      </c>
      <c r="H846">
        <v>1.82</v>
      </c>
      <c r="I846">
        <f t="shared" si="81"/>
        <v>0.92578160241020346</v>
      </c>
      <c r="J846">
        <f t="shared" si="82"/>
        <v>55.546896144612205</v>
      </c>
      <c r="K846">
        <f t="shared" si="83"/>
        <v>3332.8137686767327</v>
      </c>
    </row>
    <row r="847" spans="1:11" x14ac:dyDescent="0.4">
      <c r="A847" s="19">
        <v>45869.958333333336</v>
      </c>
      <c r="B847" s="20">
        <f t="shared" si="79"/>
        <v>0.95833333333575865</v>
      </c>
      <c r="C847">
        <v>0</v>
      </c>
      <c r="D847">
        <v>489.75799999999998</v>
      </c>
      <c r="E847">
        <f t="shared" si="78"/>
        <v>489.60300000000001</v>
      </c>
      <c r="F847">
        <v>489.54500000000002</v>
      </c>
      <c r="G847">
        <f t="shared" si="80"/>
        <v>5.7999999999992724E-2</v>
      </c>
      <c r="H847">
        <v>1.82</v>
      </c>
      <c r="I847">
        <f t="shared" si="81"/>
        <v>0.76266643424224556</v>
      </c>
      <c r="J847">
        <f t="shared" si="82"/>
        <v>45.759986054534735</v>
      </c>
      <c r="K847">
        <f t="shared" si="83"/>
        <v>2745.5991632720838</v>
      </c>
    </row>
    <row r="848" spans="1:11" x14ac:dyDescent="0.4">
      <c r="A848" s="19">
        <v>45870</v>
      </c>
      <c r="B848" s="20">
        <f t="shared" si="79"/>
        <v>0</v>
      </c>
      <c r="C848">
        <v>0</v>
      </c>
      <c r="D848">
        <v>489.75799999999998</v>
      </c>
      <c r="E848">
        <f t="shared" si="78"/>
        <v>489.60300000000001</v>
      </c>
      <c r="F848">
        <v>489.54500000000002</v>
      </c>
      <c r="G848">
        <f t="shared" si="80"/>
        <v>5.7999999999992724E-2</v>
      </c>
      <c r="H848">
        <v>1.82</v>
      </c>
      <c r="I848">
        <f t="shared" si="81"/>
        <v>0.76266643424224556</v>
      </c>
      <c r="J848">
        <f t="shared" si="82"/>
        <v>45.759986054534735</v>
      </c>
      <c r="K848">
        <f t="shared" si="83"/>
        <v>2745.5991632720838</v>
      </c>
    </row>
    <row r="849" spans="1:11" x14ac:dyDescent="0.4">
      <c r="A849" s="19">
        <v>45870.041666666664</v>
      </c>
      <c r="B849" s="20">
        <f t="shared" si="79"/>
        <v>4.1666666664241347E-2</v>
      </c>
      <c r="C849">
        <v>0</v>
      </c>
      <c r="D849">
        <v>489.75900000000001</v>
      </c>
      <c r="E849">
        <f t="shared" si="78"/>
        <v>489.60400000000004</v>
      </c>
      <c r="F849">
        <v>489.54500000000002</v>
      </c>
      <c r="G849">
        <f t="shared" si="80"/>
        <v>5.9000000000025921E-2</v>
      </c>
      <c r="H849">
        <v>1.82</v>
      </c>
      <c r="I849">
        <f t="shared" si="81"/>
        <v>0.78247534123498508</v>
      </c>
      <c r="J849">
        <f t="shared" si="82"/>
        <v>46.948520474099105</v>
      </c>
      <c r="K849">
        <f t="shared" si="83"/>
        <v>2816.9112284459461</v>
      </c>
    </row>
    <row r="850" spans="1:11" x14ac:dyDescent="0.4">
      <c r="A850" s="19">
        <v>45870.083333333336</v>
      </c>
      <c r="B850" s="20">
        <f t="shared" si="79"/>
        <v>8.3333333335758653E-2</v>
      </c>
      <c r="C850">
        <v>0</v>
      </c>
      <c r="D850">
        <v>489.75200000000001</v>
      </c>
      <c r="E850">
        <f t="shared" si="78"/>
        <v>489.59700000000004</v>
      </c>
      <c r="F850">
        <v>489.54500000000002</v>
      </c>
      <c r="G850">
        <f t="shared" si="80"/>
        <v>5.2000000000020918E-2</v>
      </c>
      <c r="H850">
        <v>1.82</v>
      </c>
      <c r="I850">
        <f t="shared" si="81"/>
        <v>0.64743721338868554</v>
      </c>
      <c r="J850">
        <f t="shared" si="82"/>
        <v>38.846232803321129</v>
      </c>
      <c r="K850">
        <f t="shared" si="83"/>
        <v>2330.773968199268</v>
      </c>
    </row>
    <row r="851" spans="1:11" x14ac:dyDescent="0.4">
      <c r="A851" s="19">
        <v>45870.125</v>
      </c>
      <c r="B851" s="20">
        <f t="shared" si="79"/>
        <v>0.125</v>
      </c>
      <c r="C851">
        <v>0</v>
      </c>
      <c r="D851">
        <v>489.75200000000001</v>
      </c>
      <c r="E851">
        <f t="shared" si="78"/>
        <v>489.59700000000004</v>
      </c>
      <c r="F851">
        <v>489.54500000000002</v>
      </c>
      <c r="G851">
        <f t="shared" si="80"/>
        <v>5.2000000000020918E-2</v>
      </c>
      <c r="H851">
        <v>1.82</v>
      </c>
      <c r="I851">
        <f t="shared" si="81"/>
        <v>0.64743721338868554</v>
      </c>
      <c r="J851">
        <f t="shared" si="82"/>
        <v>38.846232803321129</v>
      </c>
      <c r="K851">
        <f t="shared" si="83"/>
        <v>2330.773968199268</v>
      </c>
    </row>
    <row r="852" spans="1:11" x14ac:dyDescent="0.4">
      <c r="A852" s="19">
        <v>45870.166666666664</v>
      </c>
      <c r="B852" s="20">
        <f t="shared" si="79"/>
        <v>0.16666666666424135</v>
      </c>
      <c r="C852">
        <v>0</v>
      </c>
      <c r="D852">
        <v>489.75200000000001</v>
      </c>
      <c r="E852">
        <f t="shared" si="78"/>
        <v>489.59700000000004</v>
      </c>
      <c r="F852">
        <v>489.54500000000002</v>
      </c>
      <c r="G852">
        <f t="shared" si="80"/>
        <v>5.2000000000020918E-2</v>
      </c>
      <c r="H852">
        <v>1.82</v>
      </c>
      <c r="I852">
        <f t="shared" si="81"/>
        <v>0.64743721338868554</v>
      </c>
      <c r="J852">
        <f t="shared" si="82"/>
        <v>38.846232803321129</v>
      </c>
      <c r="K852">
        <f t="shared" si="83"/>
        <v>2330.773968199268</v>
      </c>
    </row>
    <row r="853" spans="1:11" x14ac:dyDescent="0.4">
      <c r="A853" s="19">
        <v>45870.208333333336</v>
      </c>
      <c r="B853" s="20">
        <f t="shared" si="79"/>
        <v>0.20833333333575865</v>
      </c>
      <c r="C853">
        <v>0</v>
      </c>
      <c r="D853">
        <v>489.75200000000001</v>
      </c>
      <c r="E853">
        <f t="shared" si="78"/>
        <v>489.59700000000004</v>
      </c>
      <c r="F853">
        <v>489.54500000000002</v>
      </c>
      <c r="G853">
        <f t="shared" si="80"/>
        <v>5.2000000000020918E-2</v>
      </c>
      <c r="H853">
        <v>1.82</v>
      </c>
      <c r="I853">
        <f t="shared" si="81"/>
        <v>0.64743721338868554</v>
      </c>
      <c r="J853">
        <f t="shared" si="82"/>
        <v>38.846232803321129</v>
      </c>
      <c r="K853">
        <f t="shared" si="83"/>
        <v>2330.773968199268</v>
      </c>
    </row>
    <row r="854" spans="1:11" x14ac:dyDescent="0.4">
      <c r="A854" s="19">
        <v>45870.25</v>
      </c>
      <c r="B854" s="20">
        <f t="shared" si="79"/>
        <v>0.25</v>
      </c>
      <c r="C854">
        <v>0</v>
      </c>
      <c r="D854">
        <v>489.745</v>
      </c>
      <c r="E854">
        <f t="shared" si="78"/>
        <v>489.59000000000003</v>
      </c>
      <c r="F854">
        <v>489.54500000000002</v>
      </c>
      <c r="G854">
        <f t="shared" si="80"/>
        <v>4.5000000000015916E-2</v>
      </c>
      <c r="H854">
        <v>1.82</v>
      </c>
      <c r="I854">
        <f t="shared" si="81"/>
        <v>0.52120840841288063</v>
      </c>
      <c r="J854">
        <f t="shared" si="82"/>
        <v>31.272504504772836</v>
      </c>
      <c r="K854">
        <f t="shared" si="83"/>
        <v>1876.3502702863705</v>
      </c>
    </row>
    <row r="855" spans="1:11" x14ac:dyDescent="0.4">
      <c r="A855" s="19">
        <v>45870.291666666664</v>
      </c>
      <c r="B855" s="20">
        <f t="shared" si="79"/>
        <v>0.29166666666424135</v>
      </c>
      <c r="C855">
        <v>0</v>
      </c>
      <c r="D855">
        <v>489.745</v>
      </c>
      <c r="E855">
        <f t="shared" si="78"/>
        <v>489.59000000000003</v>
      </c>
      <c r="F855">
        <v>489.54500000000002</v>
      </c>
      <c r="G855">
        <f t="shared" si="80"/>
        <v>4.5000000000015916E-2</v>
      </c>
      <c r="H855">
        <v>1.82</v>
      </c>
      <c r="I855">
        <f t="shared" si="81"/>
        <v>0.52120840841288063</v>
      </c>
      <c r="J855">
        <f t="shared" si="82"/>
        <v>31.272504504772836</v>
      </c>
      <c r="K855">
        <f t="shared" si="83"/>
        <v>1876.3502702863705</v>
      </c>
    </row>
    <row r="856" spans="1:11" x14ac:dyDescent="0.4">
      <c r="A856" s="19">
        <v>45870.333333333336</v>
      </c>
      <c r="B856" s="20">
        <f t="shared" si="79"/>
        <v>0.33333333333575865</v>
      </c>
      <c r="C856">
        <v>0</v>
      </c>
      <c r="D856">
        <v>489.745</v>
      </c>
      <c r="E856">
        <f t="shared" si="78"/>
        <v>489.59000000000003</v>
      </c>
      <c r="F856">
        <v>489.54500000000002</v>
      </c>
      <c r="G856">
        <f t="shared" si="80"/>
        <v>4.5000000000015916E-2</v>
      </c>
      <c r="H856">
        <v>1.82</v>
      </c>
      <c r="I856">
        <f t="shared" si="81"/>
        <v>0.52120840841288063</v>
      </c>
      <c r="J856">
        <f t="shared" si="82"/>
        <v>31.272504504772836</v>
      </c>
      <c r="K856">
        <f t="shared" si="83"/>
        <v>1876.3502702863705</v>
      </c>
    </row>
    <row r="857" spans="1:11" x14ac:dyDescent="0.4">
      <c r="A857" s="19">
        <v>45870.375</v>
      </c>
      <c r="B857" s="20">
        <f t="shared" si="79"/>
        <v>0.375</v>
      </c>
      <c r="C857">
        <v>0</v>
      </c>
      <c r="D857">
        <v>489.745</v>
      </c>
      <c r="E857">
        <f t="shared" si="78"/>
        <v>489.59000000000003</v>
      </c>
      <c r="F857">
        <v>489.54500000000002</v>
      </c>
      <c r="G857">
        <f t="shared" si="80"/>
        <v>4.5000000000015916E-2</v>
      </c>
      <c r="H857">
        <v>1.82</v>
      </c>
      <c r="I857">
        <f t="shared" si="81"/>
        <v>0.52120840841288063</v>
      </c>
      <c r="J857">
        <f t="shared" si="82"/>
        <v>31.272504504772836</v>
      </c>
      <c r="K857">
        <f t="shared" si="83"/>
        <v>1876.3502702863705</v>
      </c>
    </row>
    <row r="858" spans="1:11" x14ac:dyDescent="0.4">
      <c r="A858" s="19">
        <v>45870.416666666664</v>
      </c>
      <c r="B858" s="20">
        <f t="shared" si="79"/>
        <v>0.41666666666424135</v>
      </c>
      <c r="C858">
        <v>0</v>
      </c>
      <c r="D858">
        <v>489.745</v>
      </c>
      <c r="E858">
        <f t="shared" si="78"/>
        <v>489.59000000000003</v>
      </c>
      <c r="F858">
        <v>489.54500000000002</v>
      </c>
      <c r="G858">
        <f t="shared" si="80"/>
        <v>4.5000000000015916E-2</v>
      </c>
      <c r="H858">
        <v>1.82</v>
      </c>
      <c r="I858">
        <f t="shared" si="81"/>
        <v>0.52120840841288063</v>
      </c>
      <c r="J858">
        <f t="shared" si="82"/>
        <v>31.272504504772836</v>
      </c>
      <c r="K858">
        <f t="shared" si="83"/>
        <v>1876.3502702863705</v>
      </c>
    </row>
    <row r="859" spans="1:11" x14ac:dyDescent="0.4">
      <c r="A859" s="19">
        <v>45870.458333333336</v>
      </c>
      <c r="B859" s="20">
        <f t="shared" si="79"/>
        <v>0.45833333333575865</v>
      </c>
      <c r="C859">
        <v>0</v>
      </c>
      <c r="D859">
        <v>489.73899999999998</v>
      </c>
      <c r="E859">
        <f t="shared" si="78"/>
        <v>489.584</v>
      </c>
      <c r="F859">
        <v>489.54500000000002</v>
      </c>
      <c r="G859">
        <f t="shared" si="80"/>
        <v>3.8999999999987267E-2</v>
      </c>
      <c r="H859">
        <v>1.82</v>
      </c>
      <c r="I859">
        <f t="shared" si="81"/>
        <v>0.42052280561204625</v>
      </c>
      <c r="J859">
        <f t="shared" si="82"/>
        <v>25.231368336722774</v>
      </c>
      <c r="K859">
        <f t="shared" si="83"/>
        <v>1513.8821002033665</v>
      </c>
    </row>
    <row r="860" spans="1:11" x14ac:dyDescent="0.4">
      <c r="A860" s="19">
        <v>45870.5</v>
      </c>
      <c r="B860" s="20">
        <f t="shared" si="79"/>
        <v>0.5</v>
      </c>
      <c r="C860">
        <v>0</v>
      </c>
      <c r="D860">
        <v>489.73899999999998</v>
      </c>
      <c r="E860">
        <f t="shared" si="78"/>
        <v>489.584</v>
      </c>
      <c r="F860">
        <v>489.54500000000002</v>
      </c>
      <c r="G860">
        <f t="shared" si="80"/>
        <v>3.8999999999987267E-2</v>
      </c>
      <c r="H860">
        <v>1.82</v>
      </c>
      <c r="I860">
        <f t="shared" si="81"/>
        <v>0.42052280561204625</v>
      </c>
      <c r="J860">
        <f t="shared" si="82"/>
        <v>25.231368336722774</v>
      </c>
      <c r="K860">
        <f t="shared" si="83"/>
        <v>1513.8821002033665</v>
      </c>
    </row>
    <row r="861" spans="1:11" x14ac:dyDescent="0.4">
      <c r="A861" s="19">
        <v>45870.541666666664</v>
      </c>
      <c r="B861" s="20">
        <f t="shared" si="79"/>
        <v>0.54166666666424135</v>
      </c>
      <c r="C861">
        <v>0</v>
      </c>
      <c r="D861">
        <v>489.73200000000003</v>
      </c>
      <c r="E861">
        <f t="shared" si="78"/>
        <v>489.57700000000006</v>
      </c>
      <c r="F861">
        <v>489.54500000000002</v>
      </c>
      <c r="G861">
        <f t="shared" si="80"/>
        <v>3.2000000000039108E-2</v>
      </c>
      <c r="H861">
        <v>1.82</v>
      </c>
      <c r="I861">
        <f t="shared" si="81"/>
        <v>0.31254863762358359</v>
      </c>
      <c r="J861">
        <f t="shared" si="82"/>
        <v>18.752918257415015</v>
      </c>
      <c r="K861">
        <f t="shared" si="83"/>
        <v>1125.175095444901</v>
      </c>
    </row>
    <row r="862" spans="1:11" x14ac:dyDescent="0.4">
      <c r="A862" s="19">
        <v>45870.583333333336</v>
      </c>
      <c r="B862" s="20">
        <f t="shared" si="79"/>
        <v>0.58333333333575865</v>
      </c>
      <c r="C862">
        <v>0</v>
      </c>
      <c r="D862">
        <v>489.73200000000003</v>
      </c>
      <c r="E862">
        <f t="shared" si="78"/>
        <v>489.57700000000006</v>
      </c>
      <c r="F862">
        <v>489.54500000000002</v>
      </c>
      <c r="G862">
        <f t="shared" si="80"/>
        <v>3.2000000000039108E-2</v>
      </c>
      <c r="H862">
        <v>1.82</v>
      </c>
      <c r="I862">
        <f t="shared" si="81"/>
        <v>0.31254863762358359</v>
      </c>
      <c r="J862">
        <f t="shared" si="82"/>
        <v>18.752918257415015</v>
      </c>
      <c r="K862">
        <f t="shared" si="83"/>
        <v>1125.175095444901</v>
      </c>
    </row>
    <row r="863" spans="1:11" x14ac:dyDescent="0.4">
      <c r="A863" s="19">
        <v>45870.625</v>
      </c>
      <c r="B863" s="20">
        <f t="shared" si="79"/>
        <v>0.625</v>
      </c>
      <c r="C863">
        <v>0</v>
      </c>
      <c r="D863">
        <v>489.73200000000003</v>
      </c>
      <c r="E863">
        <f t="shared" si="78"/>
        <v>489.57700000000006</v>
      </c>
      <c r="F863">
        <v>489.54500000000002</v>
      </c>
      <c r="G863">
        <f t="shared" si="80"/>
        <v>3.2000000000039108E-2</v>
      </c>
      <c r="H863">
        <v>1.82</v>
      </c>
      <c r="I863">
        <f t="shared" si="81"/>
        <v>0.31254863762358359</v>
      </c>
      <c r="J863">
        <f t="shared" si="82"/>
        <v>18.752918257415015</v>
      </c>
      <c r="K863">
        <f t="shared" si="83"/>
        <v>1125.175095444901</v>
      </c>
    </row>
    <row r="864" spans="1:11" x14ac:dyDescent="0.4">
      <c r="A864" s="19">
        <v>45870.666666666664</v>
      </c>
      <c r="B864" s="20">
        <f t="shared" si="79"/>
        <v>0.66666666666424135</v>
      </c>
      <c r="C864">
        <v>0</v>
      </c>
      <c r="D864">
        <v>489.73200000000003</v>
      </c>
      <c r="E864">
        <f t="shared" si="78"/>
        <v>489.57700000000006</v>
      </c>
      <c r="F864">
        <v>489.54500000000002</v>
      </c>
      <c r="G864">
        <f t="shared" si="80"/>
        <v>3.2000000000039108E-2</v>
      </c>
      <c r="H864">
        <v>1.82</v>
      </c>
      <c r="I864">
        <f t="shared" si="81"/>
        <v>0.31254863762358359</v>
      </c>
      <c r="J864">
        <f t="shared" si="82"/>
        <v>18.752918257415015</v>
      </c>
      <c r="K864">
        <f t="shared" si="83"/>
        <v>1125.175095444901</v>
      </c>
    </row>
    <row r="865" spans="1:11" x14ac:dyDescent="0.4">
      <c r="A865" s="19">
        <v>45870.708333333336</v>
      </c>
      <c r="B865" s="20">
        <f t="shared" si="79"/>
        <v>0.70833333333575865</v>
      </c>
      <c r="C865">
        <v>0</v>
      </c>
      <c r="D865">
        <v>489.72500000000002</v>
      </c>
      <c r="E865">
        <f t="shared" si="78"/>
        <v>489.57000000000005</v>
      </c>
      <c r="F865">
        <v>489.54500000000002</v>
      </c>
      <c r="G865">
        <f t="shared" si="80"/>
        <v>2.5000000000034106E-2</v>
      </c>
      <c r="H865">
        <v>1.82</v>
      </c>
      <c r="I865">
        <f t="shared" si="81"/>
        <v>0.21582545030693354</v>
      </c>
      <c r="J865">
        <f t="shared" si="82"/>
        <v>12.949527018416012</v>
      </c>
      <c r="K865">
        <f t="shared" si="83"/>
        <v>776.97162110496072</v>
      </c>
    </row>
    <row r="866" spans="1:11" x14ac:dyDescent="0.4">
      <c r="A866" s="19">
        <v>45870.75</v>
      </c>
      <c r="B866" s="20">
        <f t="shared" si="79"/>
        <v>0.75</v>
      </c>
      <c r="C866">
        <v>0</v>
      </c>
      <c r="D866">
        <v>489.72500000000002</v>
      </c>
      <c r="E866">
        <f t="shared" si="78"/>
        <v>489.57000000000005</v>
      </c>
      <c r="F866">
        <v>489.54500000000002</v>
      </c>
      <c r="G866">
        <f t="shared" si="80"/>
        <v>2.5000000000034106E-2</v>
      </c>
      <c r="H866">
        <v>1.82</v>
      </c>
      <c r="I866">
        <f t="shared" si="81"/>
        <v>0.21582545030693354</v>
      </c>
      <c r="J866">
        <f t="shared" si="82"/>
        <v>12.949527018416012</v>
      </c>
      <c r="K866">
        <f t="shared" si="83"/>
        <v>776.97162110496072</v>
      </c>
    </row>
    <row r="867" spans="1:11" x14ac:dyDescent="0.4">
      <c r="A867" s="19">
        <v>45870.791666666664</v>
      </c>
      <c r="B867" s="20">
        <f t="shared" si="79"/>
        <v>0.79166666666424135</v>
      </c>
      <c r="C867">
        <v>0</v>
      </c>
      <c r="D867">
        <v>489.72500000000002</v>
      </c>
      <c r="E867">
        <f t="shared" si="78"/>
        <v>489.57000000000005</v>
      </c>
      <c r="F867">
        <v>489.54500000000002</v>
      </c>
      <c r="G867">
        <f t="shared" si="80"/>
        <v>2.5000000000034106E-2</v>
      </c>
      <c r="H867">
        <v>1.82</v>
      </c>
      <c r="I867">
        <f t="shared" si="81"/>
        <v>0.21582545030693354</v>
      </c>
      <c r="J867">
        <f t="shared" si="82"/>
        <v>12.949527018416012</v>
      </c>
      <c r="K867">
        <f t="shared" si="83"/>
        <v>776.97162110496072</v>
      </c>
    </row>
    <row r="868" spans="1:11" x14ac:dyDescent="0.4">
      <c r="A868" s="19">
        <v>45870.833333333336</v>
      </c>
      <c r="B868" s="20">
        <f t="shared" si="79"/>
        <v>0.83333333333575865</v>
      </c>
      <c r="C868">
        <v>0</v>
      </c>
      <c r="D868">
        <v>489.726</v>
      </c>
      <c r="E868">
        <f t="shared" si="78"/>
        <v>489.57100000000003</v>
      </c>
      <c r="F868">
        <v>489.54500000000002</v>
      </c>
      <c r="G868">
        <f t="shared" si="80"/>
        <v>2.6000000000010459E-2</v>
      </c>
      <c r="H868">
        <v>1.82</v>
      </c>
      <c r="I868">
        <f t="shared" si="81"/>
        <v>0.22890362198983044</v>
      </c>
      <c r="J868">
        <f t="shared" si="82"/>
        <v>13.734217319389826</v>
      </c>
      <c r="K868">
        <f t="shared" si="83"/>
        <v>824.0530391633896</v>
      </c>
    </row>
    <row r="869" spans="1:11" x14ac:dyDescent="0.4">
      <c r="A869" s="19">
        <v>45870.875</v>
      </c>
      <c r="B869" s="20">
        <f t="shared" si="79"/>
        <v>0.875</v>
      </c>
      <c r="C869">
        <v>0</v>
      </c>
      <c r="D869">
        <v>489.72</v>
      </c>
      <c r="E869">
        <f t="shared" si="78"/>
        <v>489.56500000000005</v>
      </c>
      <c r="F869">
        <v>489.54500000000002</v>
      </c>
      <c r="G869">
        <f t="shared" si="80"/>
        <v>2.0000000000038654E-2</v>
      </c>
      <c r="H869">
        <v>1.82</v>
      </c>
      <c r="I869">
        <f t="shared" si="81"/>
        <v>0.15443212101158976</v>
      </c>
      <c r="J869">
        <f t="shared" si="82"/>
        <v>9.2659272606953849</v>
      </c>
      <c r="K869">
        <f t="shared" si="83"/>
        <v>555.95563564172312</v>
      </c>
    </row>
    <row r="870" spans="1:11" x14ac:dyDescent="0.4">
      <c r="A870" s="19">
        <v>45870.916666666664</v>
      </c>
      <c r="B870" s="20">
        <f t="shared" si="79"/>
        <v>0.91666666666424135</v>
      </c>
      <c r="C870">
        <v>0</v>
      </c>
      <c r="D870">
        <v>489.72</v>
      </c>
      <c r="E870">
        <f t="shared" si="78"/>
        <v>489.56500000000005</v>
      </c>
      <c r="F870">
        <v>489.54500000000002</v>
      </c>
      <c r="G870">
        <f t="shared" si="80"/>
        <v>2.0000000000038654E-2</v>
      </c>
      <c r="H870">
        <v>1.82</v>
      </c>
      <c r="I870">
        <f t="shared" si="81"/>
        <v>0.15443212101158976</v>
      </c>
      <c r="J870">
        <f t="shared" si="82"/>
        <v>9.2659272606953849</v>
      </c>
      <c r="K870">
        <f t="shared" si="83"/>
        <v>555.95563564172312</v>
      </c>
    </row>
    <row r="871" spans="1:11" x14ac:dyDescent="0.4">
      <c r="A871" s="19">
        <v>45870.958333333336</v>
      </c>
      <c r="B871" s="20">
        <f t="shared" si="79"/>
        <v>0.95833333333575865</v>
      </c>
      <c r="C871">
        <v>0</v>
      </c>
      <c r="D871">
        <v>489.72</v>
      </c>
      <c r="E871">
        <f t="shared" si="78"/>
        <v>489.56500000000005</v>
      </c>
      <c r="F871">
        <v>489.54500000000002</v>
      </c>
      <c r="G871">
        <f t="shared" si="80"/>
        <v>2.0000000000038654E-2</v>
      </c>
      <c r="H871">
        <v>1.82</v>
      </c>
      <c r="I871">
        <f t="shared" si="81"/>
        <v>0.15443212101158976</v>
      </c>
      <c r="J871">
        <f t="shared" si="82"/>
        <v>9.2659272606953849</v>
      </c>
      <c r="K871">
        <f t="shared" si="83"/>
        <v>555.95563564172312</v>
      </c>
    </row>
    <row r="872" spans="1:11" x14ac:dyDescent="0.4">
      <c r="A872" s="19">
        <v>45871</v>
      </c>
      <c r="B872" s="20">
        <f t="shared" si="79"/>
        <v>0</v>
      </c>
      <c r="C872">
        <v>0</v>
      </c>
      <c r="D872">
        <v>489.72</v>
      </c>
      <c r="E872">
        <f t="shared" si="78"/>
        <v>489.56500000000005</v>
      </c>
      <c r="F872">
        <v>489.54500000000002</v>
      </c>
      <c r="G872">
        <f t="shared" si="80"/>
        <v>2.0000000000038654E-2</v>
      </c>
      <c r="H872">
        <v>1.82</v>
      </c>
      <c r="I872">
        <f t="shared" si="81"/>
        <v>0.15443212101158976</v>
      </c>
      <c r="J872">
        <f t="shared" si="82"/>
        <v>9.2659272606953849</v>
      </c>
      <c r="K872">
        <f t="shared" si="83"/>
        <v>555.95563564172312</v>
      </c>
    </row>
    <row r="873" spans="1:11" x14ac:dyDescent="0.4">
      <c r="A873" s="19">
        <v>45871.041666666664</v>
      </c>
      <c r="B873" s="20">
        <f t="shared" si="79"/>
        <v>4.1666666664241347E-2</v>
      </c>
      <c r="C873">
        <v>0</v>
      </c>
      <c r="D873">
        <v>489.72</v>
      </c>
      <c r="E873">
        <f t="shared" si="78"/>
        <v>489.56500000000005</v>
      </c>
      <c r="F873">
        <v>489.54500000000002</v>
      </c>
      <c r="G873">
        <f t="shared" si="80"/>
        <v>2.0000000000038654E-2</v>
      </c>
      <c r="H873">
        <v>1.82</v>
      </c>
      <c r="I873">
        <f t="shared" si="81"/>
        <v>0.15443212101158976</v>
      </c>
      <c r="J873">
        <f t="shared" si="82"/>
        <v>9.2659272606953849</v>
      </c>
      <c r="K873">
        <f t="shared" si="83"/>
        <v>555.95563564172312</v>
      </c>
    </row>
    <row r="874" spans="1:11" x14ac:dyDescent="0.4">
      <c r="A874" s="19">
        <v>45871.083333333336</v>
      </c>
      <c r="B874" s="20">
        <f t="shared" si="79"/>
        <v>8.3333333335758653E-2</v>
      </c>
      <c r="C874">
        <v>0</v>
      </c>
      <c r="D874">
        <v>489.72</v>
      </c>
      <c r="E874">
        <f t="shared" si="78"/>
        <v>489.56500000000005</v>
      </c>
      <c r="F874">
        <v>489.54500000000002</v>
      </c>
      <c r="G874">
        <f t="shared" si="80"/>
        <v>2.0000000000038654E-2</v>
      </c>
      <c r="H874">
        <v>1.82</v>
      </c>
      <c r="I874">
        <f t="shared" si="81"/>
        <v>0.15443212101158976</v>
      </c>
      <c r="J874">
        <f t="shared" si="82"/>
        <v>9.2659272606953849</v>
      </c>
      <c r="K874">
        <f t="shared" si="83"/>
        <v>555.95563564172312</v>
      </c>
    </row>
    <row r="875" spans="1:11" x14ac:dyDescent="0.4">
      <c r="A875" s="19">
        <v>45871.125</v>
      </c>
      <c r="B875" s="20">
        <f t="shared" si="79"/>
        <v>0.125</v>
      </c>
      <c r="C875">
        <v>0</v>
      </c>
      <c r="D875">
        <v>489.71300000000002</v>
      </c>
      <c r="E875">
        <f t="shared" si="78"/>
        <v>489.55800000000005</v>
      </c>
      <c r="F875">
        <v>489.54500000000002</v>
      </c>
      <c r="G875">
        <f t="shared" si="80"/>
        <v>1.3000000000033651E-2</v>
      </c>
      <c r="H875">
        <v>1.82</v>
      </c>
      <c r="I875">
        <f t="shared" si="81"/>
        <v>8.092965167385105E-2</v>
      </c>
      <c r="J875">
        <f t="shared" si="82"/>
        <v>4.8557791004310626</v>
      </c>
      <c r="K875">
        <f t="shared" si="83"/>
        <v>291.34674602586375</v>
      </c>
    </row>
    <row r="876" spans="1:11" x14ac:dyDescent="0.4">
      <c r="A876" s="19">
        <v>45871.166666666664</v>
      </c>
      <c r="B876" s="20">
        <f t="shared" si="79"/>
        <v>0.16666666666424135</v>
      </c>
      <c r="C876">
        <v>0</v>
      </c>
      <c r="D876">
        <v>489.714</v>
      </c>
      <c r="E876">
        <f t="shared" si="78"/>
        <v>489.55900000000003</v>
      </c>
      <c r="F876">
        <v>489.54500000000002</v>
      </c>
      <c r="G876">
        <f t="shared" si="80"/>
        <v>1.4000000000010004E-2</v>
      </c>
      <c r="H876">
        <v>1.82</v>
      </c>
      <c r="I876">
        <f t="shared" si="81"/>
        <v>9.0445027724123869E-2</v>
      </c>
      <c r="J876">
        <f t="shared" si="82"/>
        <v>5.4267016634474325</v>
      </c>
      <c r="K876">
        <f t="shared" si="83"/>
        <v>325.60209980684596</v>
      </c>
    </row>
    <row r="877" spans="1:11" x14ac:dyDescent="0.4">
      <c r="A877" s="19">
        <v>45871.208333333336</v>
      </c>
      <c r="B877" s="20">
        <f t="shared" si="79"/>
        <v>0.20833333333575865</v>
      </c>
      <c r="C877">
        <v>0</v>
      </c>
      <c r="D877">
        <v>489.714</v>
      </c>
      <c r="E877">
        <f t="shared" si="78"/>
        <v>489.55900000000003</v>
      </c>
      <c r="F877">
        <v>489.54500000000002</v>
      </c>
      <c r="G877">
        <f t="shared" si="80"/>
        <v>1.4000000000010004E-2</v>
      </c>
      <c r="H877">
        <v>1.82</v>
      </c>
      <c r="I877">
        <f t="shared" si="81"/>
        <v>9.0445027724123869E-2</v>
      </c>
      <c r="J877">
        <f t="shared" si="82"/>
        <v>5.4267016634474325</v>
      </c>
      <c r="K877">
        <f t="shared" si="83"/>
        <v>325.60209980684596</v>
      </c>
    </row>
    <row r="878" spans="1:11" x14ac:dyDescent="0.4">
      <c r="A878" s="19">
        <v>45871.25</v>
      </c>
      <c r="B878" s="20">
        <f t="shared" si="79"/>
        <v>0.25</v>
      </c>
      <c r="C878">
        <v>0</v>
      </c>
      <c r="D878">
        <v>489.71300000000002</v>
      </c>
      <c r="E878">
        <f t="shared" si="78"/>
        <v>489.55800000000005</v>
      </c>
      <c r="F878">
        <v>489.54500000000002</v>
      </c>
      <c r="G878">
        <f t="shared" si="80"/>
        <v>1.3000000000033651E-2</v>
      </c>
      <c r="H878">
        <v>1.82</v>
      </c>
      <c r="I878">
        <f t="shared" si="81"/>
        <v>8.092965167385105E-2</v>
      </c>
      <c r="J878">
        <f t="shared" si="82"/>
        <v>4.8557791004310626</v>
      </c>
      <c r="K878">
        <f t="shared" si="83"/>
        <v>291.34674602586375</v>
      </c>
    </row>
    <row r="879" spans="1:11" x14ac:dyDescent="0.4">
      <c r="A879" s="19">
        <v>45871.291666666664</v>
      </c>
      <c r="B879" s="20">
        <f t="shared" si="79"/>
        <v>0.29166666666424135</v>
      </c>
      <c r="C879">
        <v>0</v>
      </c>
      <c r="D879">
        <v>489.714</v>
      </c>
      <c r="E879">
        <f t="shared" si="78"/>
        <v>489.55900000000003</v>
      </c>
      <c r="F879">
        <v>489.54500000000002</v>
      </c>
      <c r="G879">
        <f t="shared" si="80"/>
        <v>1.4000000000010004E-2</v>
      </c>
      <c r="H879">
        <v>1.82</v>
      </c>
      <c r="I879">
        <f t="shared" si="81"/>
        <v>9.0445027724123869E-2</v>
      </c>
      <c r="J879">
        <f t="shared" si="82"/>
        <v>5.4267016634474325</v>
      </c>
      <c r="K879">
        <f t="shared" si="83"/>
        <v>325.60209980684596</v>
      </c>
    </row>
    <row r="880" spans="1:11" x14ac:dyDescent="0.4">
      <c r="A880" s="19">
        <v>45871.333333333336</v>
      </c>
      <c r="B880" s="20">
        <f t="shared" si="79"/>
        <v>0.33333333333575865</v>
      </c>
      <c r="C880">
        <v>0</v>
      </c>
      <c r="D880">
        <v>489.70699999999999</v>
      </c>
      <c r="E880">
        <f t="shared" si="78"/>
        <v>489.55200000000002</v>
      </c>
      <c r="F880">
        <v>489.54500000000002</v>
      </c>
      <c r="G880">
        <f t="shared" si="80"/>
        <v>7.0000000000050022E-3</v>
      </c>
      <c r="H880">
        <v>1.82</v>
      </c>
      <c r="I880">
        <f t="shared" si="81"/>
        <v>3.1977146214166641E-2</v>
      </c>
      <c r="J880">
        <f t="shared" si="82"/>
        <v>1.9186287728499984</v>
      </c>
      <c r="K880">
        <f t="shared" si="83"/>
        <v>115.1177263709999</v>
      </c>
    </row>
    <row r="881" spans="1:11" x14ac:dyDescent="0.4">
      <c r="A881" s="19">
        <v>45871.375</v>
      </c>
      <c r="B881" s="20">
        <f t="shared" si="79"/>
        <v>0.375</v>
      </c>
      <c r="C881">
        <v>0</v>
      </c>
      <c r="D881">
        <v>489.70699999999999</v>
      </c>
      <c r="E881">
        <f t="shared" si="78"/>
        <v>489.55200000000002</v>
      </c>
      <c r="F881">
        <v>489.54500000000002</v>
      </c>
      <c r="G881">
        <f t="shared" si="80"/>
        <v>7.0000000000050022E-3</v>
      </c>
      <c r="H881">
        <v>1.82</v>
      </c>
      <c r="I881">
        <f t="shared" si="81"/>
        <v>3.1977146214166641E-2</v>
      </c>
      <c r="J881">
        <f t="shared" si="82"/>
        <v>1.9186287728499984</v>
      </c>
      <c r="K881">
        <f t="shared" si="83"/>
        <v>115.1177263709999</v>
      </c>
    </row>
    <row r="882" spans="1:11" x14ac:dyDescent="0.4">
      <c r="A882" s="19">
        <v>45871.416666666664</v>
      </c>
      <c r="B882" s="20">
        <f t="shared" si="79"/>
        <v>0.41666666666424135</v>
      </c>
      <c r="C882">
        <v>0</v>
      </c>
      <c r="D882">
        <v>489.70699999999999</v>
      </c>
      <c r="E882">
        <f t="shared" si="78"/>
        <v>489.55200000000002</v>
      </c>
      <c r="F882">
        <v>489.54500000000002</v>
      </c>
      <c r="G882">
        <f t="shared" si="80"/>
        <v>7.0000000000050022E-3</v>
      </c>
      <c r="H882">
        <v>1.82</v>
      </c>
      <c r="I882">
        <f t="shared" si="81"/>
        <v>3.1977146214166641E-2</v>
      </c>
      <c r="J882">
        <f t="shared" si="82"/>
        <v>1.9186287728499984</v>
      </c>
      <c r="K882">
        <f t="shared" si="83"/>
        <v>115.1177263709999</v>
      </c>
    </row>
    <row r="883" spans="1:11" x14ac:dyDescent="0.4">
      <c r="A883" s="19">
        <v>45871.458333333336</v>
      </c>
      <c r="B883" s="20">
        <f t="shared" si="79"/>
        <v>0.45833333333575865</v>
      </c>
      <c r="C883">
        <v>0</v>
      </c>
      <c r="D883">
        <v>489.7</v>
      </c>
      <c r="E883">
        <f t="shared" si="78"/>
        <v>489.54500000000002</v>
      </c>
      <c r="F883">
        <v>489.54500000000002</v>
      </c>
      <c r="G883">
        <f t="shared" si="80"/>
        <v>0</v>
      </c>
      <c r="H883">
        <v>1.82</v>
      </c>
      <c r="I883">
        <f t="shared" si="81"/>
        <v>0</v>
      </c>
      <c r="J883">
        <f t="shared" si="82"/>
        <v>0</v>
      </c>
      <c r="K883">
        <f t="shared" si="83"/>
        <v>0</v>
      </c>
    </row>
    <row r="884" spans="1:11" x14ac:dyDescent="0.4">
      <c r="A884" s="19">
        <v>45871.5</v>
      </c>
      <c r="B884" s="20">
        <f t="shared" si="79"/>
        <v>0.5</v>
      </c>
      <c r="C884">
        <v>0</v>
      </c>
      <c r="D884">
        <v>489.70100000000002</v>
      </c>
      <c r="E884">
        <f t="shared" si="78"/>
        <v>489.54600000000005</v>
      </c>
      <c r="F884">
        <v>489.54500000000002</v>
      </c>
      <c r="G884">
        <f t="shared" si="80"/>
        <v>1.0000000000331966E-3</v>
      </c>
      <c r="H884">
        <v>1.82</v>
      </c>
      <c r="I884">
        <f t="shared" si="81"/>
        <v>1.7266036025379119E-3</v>
      </c>
      <c r="J884">
        <f t="shared" si="82"/>
        <v>0.10359621615227471</v>
      </c>
      <c r="K884">
        <f t="shared" si="83"/>
        <v>6.2157729691364834</v>
      </c>
    </row>
    <row r="885" spans="1:11" x14ac:dyDescent="0.4">
      <c r="A885" s="19">
        <v>45871.541666666664</v>
      </c>
      <c r="B885" s="20">
        <f t="shared" si="79"/>
        <v>0.54166666666424135</v>
      </c>
      <c r="C885">
        <v>0</v>
      </c>
      <c r="D885">
        <v>489.7</v>
      </c>
      <c r="E885">
        <f t="shared" si="78"/>
        <v>489.54500000000002</v>
      </c>
      <c r="F885">
        <v>489.54500000000002</v>
      </c>
      <c r="G885">
        <f t="shared" si="80"/>
        <v>0</v>
      </c>
      <c r="H885">
        <v>1.82</v>
      </c>
      <c r="I885">
        <f t="shared" si="81"/>
        <v>0</v>
      </c>
      <c r="J885">
        <f t="shared" si="82"/>
        <v>0</v>
      </c>
      <c r="K885">
        <f t="shared" si="83"/>
        <v>0</v>
      </c>
    </row>
    <row r="886" spans="1:11" x14ac:dyDescent="0.4">
      <c r="A886" s="19">
        <v>45871.583333333336</v>
      </c>
      <c r="B886" s="20">
        <f t="shared" si="79"/>
        <v>0.58333333333575865</v>
      </c>
      <c r="C886">
        <v>0</v>
      </c>
      <c r="D886">
        <v>489.7</v>
      </c>
      <c r="E886">
        <f t="shared" si="78"/>
        <v>489.54500000000002</v>
      </c>
      <c r="F886">
        <v>489.54500000000002</v>
      </c>
      <c r="G886">
        <f t="shared" si="80"/>
        <v>0</v>
      </c>
      <c r="H886">
        <v>1.82</v>
      </c>
      <c r="I886">
        <f t="shared" si="81"/>
        <v>0</v>
      </c>
      <c r="J886">
        <f t="shared" si="82"/>
        <v>0</v>
      </c>
      <c r="K886">
        <f t="shared" si="83"/>
        <v>0</v>
      </c>
    </row>
    <row r="887" spans="1:11" x14ac:dyDescent="0.4">
      <c r="A887" s="19">
        <v>45871.625</v>
      </c>
      <c r="B887" s="20">
        <f t="shared" si="79"/>
        <v>0.625</v>
      </c>
      <c r="C887">
        <v>0</v>
      </c>
      <c r="D887">
        <v>489.7</v>
      </c>
      <c r="E887">
        <f t="shared" si="78"/>
        <v>489.54500000000002</v>
      </c>
      <c r="F887">
        <v>489.54500000000002</v>
      </c>
      <c r="G887">
        <f t="shared" si="80"/>
        <v>0</v>
      </c>
      <c r="H887">
        <v>1.82</v>
      </c>
      <c r="I887">
        <f t="shared" si="81"/>
        <v>0</v>
      </c>
      <c r="J887">
        <f t="shared" si="82"/>
        <v>0</v>
      </c>
      <c r="K887">
        <f t="shared" si="83"/>
        <v>0</v>
      </c>
    </row>
    <row r="888" spans="1:11" x14ac:dyDescent="0.4">
      <c r="A888" s="19">
        <v>45871.666666666664</v>
      </c>
      <c r="B888" s="20">
        <f t="shared" si="79"/>
        <v>0.66666666666424135</v>
      </c>
      <c r="C888">
        <v>0</v>
      </c>
      <c r="D888">
        <v>489.69400000000002</v>
      </c>
      <c r="E888">
        <f t="shared" si="78"/>
        <v>489.53900000000004</v>
      </c>
      <c r="F888">
        <v>489.54500000000002</v>
      </c>
      <c r="G888">
        <f t="shared" si="80"/>
        <v>0</v>
      </c>
      <c r="H888">
        <v>1.82</v>
      </c>
      <c r="I888">
        <f t="shared" si="81"/>
        <v>0</v>
      </c>
      <c r="J888">
        <f t="shared" si="82"/>
        <v>0</v>
      </c>
      <c r="K888">
        <f t="shared" si="83"/>
        <v>0</v>
      </c>
    </row>
    <row r="889" spans="1:11" x14ac:dyDescent="0.4">
      <c r="A889" s="19">
        <v>45871.708333333336</v>
      </c>
      <c r="B889" s="20">
        <f t="shared" si="79"/>
        <v>0.70833333333575865</v>
      </c>
      <c r="C889">
        <v>0</v>
      </c>
      <c r="D889">
        <v>489.69400000000002</v>
      </c>
      <c r="E889">
        <f t="shared" si="78"/>
        <v>489.53900000000004</v>
      </c>
      <c r="F889">
        <v>489.54500000000002</v>
      </c>
      <c r="G889">
        <f t="shared" si="80"/>
        <v>0</v>
      </c>
      <c r="H889">
        <v>1.82</v>
      </c>
      <c r="I889">
        <f t="shared" si="81"/>
        <v>0</v>
      </c>
      <c r="J889">
        <f t="shared" si="82"/>
        <v>0</v>
      </c>
      <c r="K889">
        <f t="shared" si="83"/>
        <v>0</v>
      </c>
    </row>
    <row r="890" spans="1:11" x14ac:dyDescent="0.4">
      <c r="A890" s="19">
        <v>45871.75</v>
      </c>
      <c r="B890" s="20">
        <f t="shared" si="79"/>
        <v>0.75</v>
      </c>
      <c r="C890">
        <v>0</v>
      </c>
      <c r="D890">
        <v>489.69400000000002</v>
      </c>
      <c r="E890">
        <f t="shared" si="78"/>
        <v>489.53900000000004</v>
      </c>
      <c r="F890">
        <v>489.54500000000002</v>
      </c>
      <c r="G890">
        <f t="shared" si="80"/>
        <v>0</v>
      </c>
      <c r="H890">
        <v>1.82</v>
      </c>
      <c r="I890">
        <f t="shared" si="81"/>
        <v>0</v>
      </c>
      <c r="J890">
        <f t="shared" si="82"/>
        <v>0</v>
      </c>
      <c r="K890">
        <f t="shared" si="83"/>
        <v>0</v>
      </c>
    </row>
    <row r="891" spans="1:11" x14ac:dyDescent="0.4">
      <c r="A891" s="19">
        <v>45871.791666666664</v>
      </c>
      <c r="B891" s="20">
        <f t="shared" si="79"/>
        <v>0.79166666666424135</v>
      </c>
      <c r="C891">
        <v>0</v>
      </c>
      <c r="D891">
        <v>489.68799999999999</v>
      </c>
      <c r="E891">
        <f t="shared" si="78"/>
        <v>489.53300000000002</v>
      </c>
      <c r="F891">
        <v>489.54500000000002</v>
      </c>
      <c r="G891">
        <f t="shared" si="80"/>
        <v>0</v>
      </c>
      <c r="H891">
        <v>1.82</v>
      </c>
      <c r="I891">
        <f t="shared" si="81"/>
        <v>0</v>
      </c>
      <c r="J891">
        <f t="shared" si="82"/>
        <v>0</v>
      </c>
      <c r="K891">
        <f t="shared" si="83"/>
        <v>0</v>
      </c>
    </row>
    <row r="892" spans="1:11" x14ac:dyDescent="0.4">
      <c r="A892" s="19">
        <v>45871.833333333336</v>
      </c>
      <c r="B892" s="20">
        <f t="shared" si="79"/>
        <v>0.83333333333575865</v>
      </c>
      <c r="C892">
        <v>0</v>
      </c>
      <c r="D892">
        <v>489.68799999999999</v>
      </c>
      <c r="E892">
        <f t="shared" si="78"/>
        <v>489.53300000000002</v>
      </c>
      <c r="F892">
        <v>489.54500000000002</v>
      </c>
      <c r="G892">
        <f t="shared" si="80"/>
        <v>0</v>
      </c>
      <c r="H892">
        <v>1.82</v>
      </c>
      <c r="I892">
        <f t="shared" si="81"/>
        <v>0</v>
      </c>
      <c r="J892">
        <f t="shared" si="82"/>
        <v>0</v>
      </c>
      <c r="K892">
        <f t="shared" si="83"/>
        <v>0</v>
      </c>
    </row>
    <row r="893" spans="1:11" x14ac:dyDescent="0.4">
      <c r="A893" s="19">
        <v>45871.875</v>
      </c>
      <c r="B893" s="20">
        <f t="shared" si="79"/>
        <v>0.875</v>
      </c>
      <c r="C893">
        <v>0</v>
      </c>
      <c r="D893">
        <v>489.68200000000002</v>
      </c>
      <c r="E893">
        <f t="shared" si="78"/>
        <v>489.52700000000004</v>
      </c>
      <c r="F893">
        <v>489.54500000000002</v>
      </c>
      <c r="G893">
        <f t="shared" si="80"/>
        <v>0</v>
      </c>
      <c r="H893">
        <v>1.82</v>
      </c>
      <c r="I893">
        <f t="shared" si="81"/>
        <v>0</v>
      </c>
      <c r="J893">
        <f t="shared" si="82"/>
        <v>0</v>
      </c>
      <c r="K893">
        <f t="shared" si="83"/>
        <v>0</v>
      </c>
    </row>
    <row r="894" spans="1:11" x14ac:dyDescent="0.4">
      <c r="A894" s="19">
        <v>45871.916666666664</v>
      </c>
      <c r="B894" s="20">
        <f t="shared" si="79"/>
        <v>0.91666666666424135</v>
      </c>
      <c r="C894">
        <v>0</v>
      </c>
      <c r="D894">
        <v>489.68200000000002</v>
      </c>
      <c r="E894">
        <f t="shared" si="78"/>
        <v>489.52700000000004</v>
      </c>
      <c r="F894">
        <v>489.54500000000002</v>
      </c>
      <c r="G894">
        <f t="shared" si="80"/>
        <v>0</v>
      </c>
      <c r="H894">
        <v>1.82</v>
      </c>
      <c r="I894">
        <f t="shared" si="81"/>
        <v>0</v>
      </c>
      <c r="J894">
        <f t="shared" si="82"/>
        <v>0</v>
      </c>
      <c r="K894">
        <f t="shared" si="83"/>
        <v>0</v>
      </c>
    </row>
    <row r="895" spans="1:11" x14ac:dyDescent="0.4">
      <c r="A895" s="19">
        <v>45871.958333333336</v>
      </c>
      <c r="B895" s="20">
        <f t="shared" si="79"/>
        <v>0.95833333333575865</v>
      </c>
      <c r="C895">
        <v>0</v>
      </c>
      <c r="D895">
        <v>489.68200000000002</v>
      </c>
      <c r="E895">
        <f t="shared" si="78"/>
        <v>489.52700000000004</v>
      </c>
      <c r="F895">
        <v>489.54500000000002</v>
      </c>
      <c r="G895">
        <f t="shared" si="80"/>
        <v>0</v>
      </c>
      <c r="H895">
        <v>1.82</v>
      </c>
      <c r="I895">
        <f t="shared" si="81"/>
        <v>0</v>
      </c>
      <c r="J895">
        <f t="shared" si="82"/>
        <v>0</v>
      </c>
      <c r="K895">
        <f t="shared" si="83"/>
        <v>0</v>
      </c>
    </row>
    <row r="896" spans="1:11" x14ac:dyDescent="0.4">
      <c r="A896" s="19">
        <v>45872</v>
      </c>
      <c r="B896" s="20">
        <f t="shared" si="79"/>
        <v>0</v>
      </c>
      <c r="C896">
        <v>0</v>
      </c>
      <c r="D896">
        <v>489.67500000000001</v>
      </c>
      <c r="E896">
        <f t="shared" si="78"/>
        <v>489.52000000000004</v>
      </c>
      <c r="F896">
        <v>489.54500000000002</v>
      </c>
      <c r="G896">
        <f t="shared" si="80"/>
        <v>0</v>
      </c>
      <c r="H896">
        <v>1.82</v>
      </c>
      <c r="I896">
        <f t="shared" si="81"/>
        <v>0</v>
      </c>
      <c r="J896">
        <f t="shared" si="82"/>
        <v>0</v>
      </c>
      <c r="K896">
        <f t="shared" si="83"/>
        <v>0</v>
      </c>
    </row>
    <row r="897" spans="1:11" x14ac:dyDescent="0.4">
      <c r="A897" s="19">
        <v>45872.041666666664</v>
      </c>
      <c r="B897" s="20">
        <f t="shared" si="79"/>
        <v>4.1666666664241347E-2</v>
      </c>
      <c r="C897">
        <v>0</v>
      </c>
      <c r="D897">
        <v>489.67500000000001</v>
      </c>
      <c r="E897">
        <f t="shared" si="78"/>
        <v>489.52000000000004</v>
      </c>
      <c r="F897">
        <v>489.54500000000002</v>
      </c>
      <c r="G897">
        <f t="shared" si="80"/>
        <v>0</v>
      </c>
      <c r="H897">
        <v>1.82</v>
      </c>
      <c r="I897">
        <f t="shared" si="81"/>
        <v>0</v>
      </c>
      <c r="J897">
        <f t="shared" si="82"/>
        <v>0</v>
      </c>
      <c r="K897">
        <f t="shared" si="83"/>
        <v>0</v>
      </c>
    </row>
    <row r="898" spans="1:11" x14ac:dyDescent="0.4">
      <c r="A898" s="19">
        <v>45872.083333333336</v>
      </c>
      <c r="B898" s="20">
        <f t="shared" si="79"/>
        <v>8.3333333335758653E-2</v>
      </c>
      <c r="C898">
        <v>0</v>
      </c>
      <c r="D898">
        <v>489.67500000000001</v>
      </c>
      <c r="E898">
        <f t="shared" ref="E898:E961" si="84">D898-0.155</f>
        <v>489.52000000000004</v>
      </c>
      <c r="F898">
        <v>489.54500000000002</v>
      </c>
      <c r="G898">
        <f t="shared" si="80"/>
        <v>0</v>
      </c>
      <c r="H898">
        <v>1.82</v>
      </c>
      <c r="I898">
        <f t="shared" si="81"/>
        <v>0</v>
      </c>
      <c r="J898">
        <f t="shared" si="82"/>
        <v>0</v>
      </c>
      <c r="K898">
        <f t="shared" si="83"/>
        <v>0</v>
      </c>
    </row>
    <row r="899" spans="1:11" x14ac:dyDescent="0.4">
      <c r="A899" s="19">
        <v>45872.125</v>
      </c>
      <c r="B899" s="20">
        <f t="shared" ref="B899:B962" si="85">MOD(A899,1)</f>
        <v>0.125</v>
      </c>
      <c r="C899">
        <v>0</v>
      </c>
      <c r="D899">
        <v>489.67500000000001</v>
      </c>
      <c r="E899">
        <f t="shared" si="84"/>
        <v>489.52000000000004</v>
      </c>
      <c r="F899">
        <v>489.54500000000002</v>
      </c>
      <c r="G899">
        <f t="shared" ref="G899:G962" si="86">IF(E899 - F899 &lt; 0, 0, E899 - F899)</f>
        <v>0</v>
      </c>
      <c r="H899">
        <v>1.82</v>
      </c>
      <c r="I899">
        <f t="shared" ref="I899:I962" si="87">1.82*30*(G899^1.5)</f>
        <v>0</v>
      </c>
      <c r="J899">
        <f t="shared" ref="J899:J962" si="88">I899*60</f>
        <v>0</v>
      </c>
      <c r="K899">
        <f t="shared" ref="K899:K962" si="89">(I899*86400)/24</f>
        <v>0</v>
      </c>
    </row>
    <row r="900" spans="1:11" x14ac:dyDescent="0.4">
      <c r="A900" s="19">
        <v>45872.166666666664</v>
      </c>
      <c r="B900" s="20">
        <f t="shared" si="85"/>
        <v>0.16666666666424135</v>
      </c>
      <c r="C900">
        <v>0</v>
      </c>
      <c r="D900">
        <v>489.67500000000001</v>
      </c>
      <c r="E900">
        <f t="shared" si="84"/>
        <v>489.52000000000004</v>
      </c>
      <c r="F900">
        <v>489.54500000000002</v>
      </c>
      <c r="G900">
        <f t="shared" si="86"/>
        <v>0</v>
      </c>
      <c r="H900">
        <v>1.82</v>
      </c>
      <c r="I900">
        <f t="shared" si="87"/>
        <v>0</v>
      </c>
      <c r="J900">
        <f t="shared" si="88"/>
        <v>0</v>
      </c>
      <c r="K900">
        <f t="shared" si="89"/>
        <v>0</v>
      </c>
    </row>
    <row r="901" spans="1:11" x14ac:dyDescent="0.4">
      <c r="A901" s="19">
        <v>45872.208333333336</v>
      </c>
      <c r="B901" s="20">
        <f t="shared" si="85"/>
        <v>0.20833333333575865</v>
      </c>
      <c r="C901">
        <v>0</v>
      </c>
      <c r="D901">
        <v>489.67500000000001</v>
      </c>
      <c r="E901">
        <f t="shared" si="84"/>
        <v>489.52000000000004</v>
      </c>
      <c r="F901">
        <v>489.54500000000002</v>
      </c>
      <c r="G901">
        <f t="shared" si="86"/>
        <v>0</v>
      </c>
      <c r="H901">
        <v>1.82</v>
      </c>
      <c r="I901">
        <f t="shared" si="87"/>
        <v>0</v>
      </c>
      <c r="J901">
        <f t="shared" si="88"/>
        <v>0</v>
      </c>
      <c r="K901">
        <f t="shared" si="89"/>
        <v>0</v>
      </c>
    </row>
    <row r="902" spans="1:11" x14ac:dyDescent="0.4">
      <c r="A902" s="19">
        <v>45872.25</v>
      </c>
      <c r="B902" s="20">
        <f t="shared" si="85"/>
        <v>0.25</v>
      </c>
      <c r="C902">
        <v>0</v>
      </c>
      <c r="D902">
        <v>489.67200000000003</v>
      </c>
      <c r="E902">
        <f t="shared" si="84"/>
        <v>489.51700000000005</v>
      </c>
      <c r="F902">
        <v>489.54500000000002</v>
      </c>
      <c r="G902">
        <f t="shared" si="86"/>
        <v>0</v>
      </c>
      <c r="H902">
        <v>1.82</v>
      </c>
      <c r="I902">
        <f t="shared" si="87"/>
        <v>0</v>
      </c>
      <c r="J902">
        <f t="shared" si="88"/>
        <v>0</v>
      </c>
      <c r="K902">
        <f t="shared" si="89"/>
        <v>0</v>
      </c>
    </row>
    <row r="903" spans="1:11" x14ac:dyDescent="0.4">
      <c r="A903" s="19">
        <v>45872.291666666664</v>
      </c>
      <c r="B903" s="20">
        <f t="shared" si="85"/>
        <v>0.29166666666424135</v>
      </c>
      <c r="C903">
        <v>0</v>
      </c>
      <c r="D903">
        <v>489.66899999999998</v>
      </c>
      <c r="E903">
        <f t="shared" si="84"/>
        <v>489.51400000000001</v>
      </c>
      <c r="F903">
        <v>489.54500000000002</v>
      </c>
      <c r="G903">
        <f t="shared" si="86"/>
        <v>0</v>
      </c>
      <c r="H903">
        <v>1.82</v>
      </c>
      <c r="I903">
        <f t="shared" si="87"/>
        <v>0</v>
      </c>
      <c r="J903">
        <f t="shared" si="88"/>
        <v>0</v>
      </c>
      <c r="K903">
        <f t="shared" si="89"/>
        <v>0</v>
      </c>
    </row>
    <row r="904" spans="1:11" x14ac:dyDescent="0.4">
      <c r="A904" s="19">
        <v>45872.333333333336</v>
      </c>
      <c r="B904" s="20">
        <f t="shared" si="85"/>
        <v>0.33333333333575865</v>
      </c>
      <c r="C904">
        <v>0</v>
      </c>
      <c r="D904">
        <v>489.66899999999998</v>
      </c>
      <c r="E904">
        <f t="shared" si="84"/>
        <v>489.51400000000001</v>
      </c>
      <c r="F904">
        <v>489.54500000000002</v>
      </c>
      <c r="G904">
        <f t="shared" si="86"/>
        <v>0</v>
      </c>
      <c r="H904">
        <v>1.82</v>
      </c>
      <c r="I904">
        <f t="shared" si="87"/>
        <v>0</v>
      </c>
      <c r="J904">
        <f t="shared" si="88"/>
        <v>0</v>
      </c>
      <c r="K904">
        <f t="shared" si="89"/>
        <v>0</v>
      </c>
    </row>
    <row r="905" spans="1:11" x14ac:dyDescent="0.4">
      <c r="A905" s="19">
        <v>45872.375</v>
      </c>
      <c r="B905" s="20">
        <f t="shared" si="85"/>
        <v>0.375</v>
      </c>
      <c r="C905">
        <v>0</v>
      </c>
      <c r="D905">
        <v>489.66899999999998</v>
      </c>
      <c r="E905">
        <f t="shared" si="84"/>
        <v>489.51400000000001</v>
      </c>
      <c r="F905">
        <v>489.54500000000002</v>
      </c>
      <c r="G905">
        <f t="shared" si="86"/>
        <v>0</v>
      </c>
      <c r="H905">
        <v>1.82</v>
      </c>
      <c r="I905">
        <f t="shared" si="87"/>
        <v>0</v>
      </c>
      <c r="J905">
        <f t="shared" si="88"/>
        <v>0</v>
      </c>
      <c r="K905">
        <f t="shared" si="89"/>
        <v>0</v>
      </c>
    </row>
    <row r="906" spans="1:11" x14ac:dyDescent="0.4">
      <c r="A906" s="19">
        <v>45872.416666666664</v>
      </c>
      <c r="B906" s="20">
        <f t="shared" si="85"/>
        <v>0.41666666666424135</v>
      </c>
      <c r="C906">
        <v>0</v>
      </c>
      <c r="D906">
        <v>489.66899999999998</v>
      </c>
      <c r="E906">
        <f t="shared" si="84"/>
        <v>489.51400000000001</v>
      </c>
      <c r="F906">
        <v>489.54500000000002</v>
      </c>
      <c r="G906">
        <f t="shared" si="86"/>
        <v>0</v>
      </c>
      <c r="H906">
        <v>1.82</v>
      </c>
      <c r="I906">
        <f t="shared" si="87"/>
        <v>0</v>
      </c>
      <c r="J906">
        <f t="shared" si="88"/>
        <v>0</v>
      </c>
      <c r="K906">
        <f t="shared" si="89"/>
        <v>0</v>
      </c>
    </row>
    <row r="907" spans="1:11" x14ac:dyDescent="0.4">
      <c r="A907" s="19">
        <v>45872.458333333336</v>
      </c>
      <c r="B907" s="20">
        <f t="shared" si="85"/>
        <v>0.45833333333575865</v>
      </c>
      <c r="C907">
        <v>0</v>
      </c>
      <c r="D907">
        <v>489.66199999999998</v>
      </c>
      <c r="E907">
        <f t="shared" si="84"/>
        <v>489.50700000000001</v>
      </c>
      <c r="F907">
        <v>489.54500000000002</v>
      </c>
      <c r="G907">
        <f t="shared" si="86"/>
        <v>0</v>
      </c>
      <c r="H907">
        <v>1.82</v>
      </c>
      <c r="I907">
        <f t="shared" si="87"/>
        <v>0</v>
      </c>
      <c r="J907">
        <f t="shared" si="88"/>
        <v>0</v>
      </c>
      <c r="K907">
        <f t="shared" si="89"/>
        <v>0</v>
      </c>
    </row>
    <row r="908" spans="1:11" x14ac:dyDescent="0.4">
      <c r="A908" s="19">
        <v>45872.5</v>
      </c>
      <c r="B908" s="20">
        <f t="shared" si="85"/>
        <v>0.5</v>
      </c>
      <c r="C908">
        <v>0</v>
      </c>
      <c r="D908">
        <v>489.66199999999998</v>
      </c>
      <c r="E908">
        <f t="shared" si="84"/>
        <v>489.50700000000001</v>
      </c>
      <c r="F908">
        <v>489.54500000000002</v>
      </c>
      <c r="G908">
        <f t="shared" si="86"/>
        <v>0</v>
      </c>
      <c r="H908">
        <v>1.82</v>
      </c>
      <c r="I908">
        <f t="shared" si="87"/>
        <v>0</v>
      </c>
      <c r="J908">
        <f t="shared" si="88"/>
        <v>0</v>
      </c>
      <c r="K908">
        <f t="shared" si="89"/>
        <v>0</v>
      </c>
    </row>
    <row r="909" spans="1:11" x14ac:dyDescent="0.4">
      <c r="A909" s="19">
        <v>45872.541666666664</v>
      </c>
      <c r="B909" s="20">
        <f t="shared" si="85"/>
        <v>0.54166666666424135</v>
      </c>
      <c r="C909">
        <v>0</v>
      </c>
      <c r="D909">
        <v>489.66199999999998</v>
      </c>
      <c r="E909">
        <f t="shared" si="84"/>
        <v>489.50700000000001</v>
      </c>
      <c r="F909">
        <v>489.54500000000002</v>
      </c>
      <c r="G909">
        <f t="shared" si="86"/>
        <v>0</v>
      </c>
      <c r="H909">
        <v>1.82</v>
      </c>
      <c r="I909">
        <f t="shared" si="87"/>
        <v>0</v>
      </c>
      <c r="J909">
        <f t="shared" si="88"/>
        <v>0</v>
      </c>
      <c r="K909">
        <f t="shared" si="89"/>
        <v>0</v>
      </c>
    </row>
    <row r="910" spans="1:11" x14ac:dyDescent="0.4">
      <c r="A910" s="19">
        <v>45872.583333333336</v>
      </c>
      <c r="B910" s="20">
        <f t="shared" si="85"/>
        <v>0.58333333333575865</v>
      </c>
      <c r="C910">
        <v>0</v>
      </c>
      <c r="D910">
        <v>489.66199999999998</v>
      </c>
      <c r="E910">
        <f t="shared" si="84"/>
        <v>489.50700000000001</v>
      </c>
      <c r="F910">
        <v>489.54500000000002</v>
      </c>
      <c r="G910">
        <f t="shared" si="86"/>
        <v>0</v>
      </c>
      <c r="H910">
        <v>1.82</v>
      </c>
      <c r="I910">
        <f t="shared" si="87"/>
        <v>0</v>
      </c>
      <c r="J910">
        <f t="shared" si="88"/>
        <v>0</v>
      </c>
      <c r="K910">
        <f t="shared" si="89"/>
        <v>0</v>
      </c>
    </row>
    <row r="911" spans="1:11" x14ac:dyDescent="0.4">
      <c r="A911" s="19">
        <v>45872.625</v>
      </c>
      <c r="B911" s="20">
        <f t="shared" si="85"/>
        <v>0.625</v>
      </c>
      <c r="C911">
        <v>0</v>
      </c>
      <c r="D911">
        <v>489.65600000000001</v>
      </c>
      <c r="E911">
        <f t="shared" si="84"/>
        <v>489.50100000000003</v>
      </c>
      <c r="F911">
        <v>489.54500000000002</v>
      </c>
      <c r="G911">
        <f t="shared" si="86"/>
        <v>0</v>
      </c>
      <c r="H911">
        <v>1.82</v>
      </c>
      <c r="I911">
        <f t="shared" si="87"/>
        <v>0</v>
      </c>
      <c r="J911">
        <f t="shared" si="88"/>
        <v>0</v>
      </c>
      <c r="K911">
        <f t="shared" si="89"/>
        <v>0</v>
      </c>
    </row>
    <row r="912" spans="1:11" x14ac:dyDescent="0.4">
      <c r="A912" s="19">
        <v>45872.666666666664</v>
      </c>
      <c r="B912" s="20">
        <f t="shared" si="85"/>
        <v>0.66666666666424135</v>
      </c>
      <c r="C912">
        <v>0</v>
      </c>
      <c r="D912">
        <v>489.65600000000001</v>
      </c>
      <c r="E912">
        <f t="shared" si="84"/>
        <v>489.50100000000003</v>
      </c>
      <c r="F912">
        <v>489.54500000000002</v>
      </c>
      <c r="G912">
        <f t="shared" si="86"/>
        <v>0</v>
      </c>
      <c r="H912">
        <v>1.82</v>
      </c>
      <c r="I912">
        <f t="shared" si="87"/>
        <v>0</v>
      </c>
      <c r="J912">
        <f t="shared" si="88"/>
        <v>0</v>
      </c>
      <c r="K912">
        <f t="shared" si="89"/>
        <v>0</v>
      </c>
    </row>
    <row r="913" spans="1:11" x14ac:dyDescent="0.4">
      <c r="A913" s="19">
        <v>45872.708333333336</v>
      </c>
      <c r="B913" s="20">
        <f t="shared" si="85"/>
        <v>0.70833333333575865</v>
      </c>
      <c r="C913">
        <v>0</v>
      </c>
      <c r="D913">
        <v>489.65600000000001</v>
      </c>
      <c r="E913">
        <f t="shared" si="84"/>
        <v>489.50100000000003</v>
      </c>
      <c r="F913">
        <v>489.54500000000002</v>
      </c>
      <c r="G913">
        <f t="shared" si="86"/>
        <v>0</v>
      </c>
      <c r="H913">
        <v>1.82</v>
      </c>
      <c r="I913">
        <f t="shared" si="87"/>
        <v>0</v>
      </c>
      <c r="J913">
        <f t="shared" si="88"/>
        <v>0</v>
      </c>
      <c r="K913">
        <f t="shared" si="89"/>
        <v>0</v>
      </c>
    </row>
    <row r="914" spans="1:11" x14ac:dyDescent="0.4">
      <c r="A914" s="19">
        <v>45872.75</v>
      </c>
      <c r="B914" s="20">
        <f t="shared" si="85"/>
        <v>0.75</v>
      </c>
      <c r="C914">
        <v>0</v>
      </c>
      <c r="D914">
        <v>489.65600000000001</v>
      </c>
      <c r="E914">
        <f t="shared" si="84"/>
        <v>489.50100000000003</v>
      </c>
      <c r="F914">
        <v>489.54500000000002</v>
      </c>
      <c r="G914">
        <f t="shared" si="86"/>
        <v>0</v>
      </c>
      <c r="H914">
        <v>1.82</v>
      </c>
      <c r="I914">
        <f t="shared" si="87"/>
        <v>0</v>
      </c>
      <c r="J914">
        <f t="shared" si="88"/>
        <v>0</v>
      </c>
      <c r="K914">
        <f t="shared" si="89"/>
        <v>0</v>
      </c>
    </row>
    <row r="915" spans="1:11" x14ac:dyDescent="0.4">
      <c r="A915" s="19">
        <v>45872.791666666664</v>
      </c>
      <c r="B915" s="20">
        <f t="shared" si="85"/>
        <v>0.79166666666424135</v>
      </c>
      <c r="C915">
        <v>0</v>
      </c>
      <c r="D915">
        <v>489.649</v>
      </c>
      <c r="E915">
        <f t="shared" si="84"/>
        <v>489.49400000000003</v>
      </c>
      <c r="F915">
        <v>489.54500000000002</v>
      </c>
      <c r="G915">
        <f t="shared" si="86"/>
        <v>0</v>
      </c>
      <c r="H915">
        <v>1.82</v>
      </c>
      <c r="I915">
        <f t="shared" si="87"/>
        <v>0</v>
      </c>
      <c r="J915">
        <f t="shared" si="88"/>
        <v>0</v>
      </c>
      <c r="K915">
        <f t="shared" si="89"/>
        <v>0</v>
      </c>
    </row>
    <row r="916" spans="1:11" x14ac:dyDescent="0.4">
      <c r="A916" s="19">
        <v>45872.833333333336</v>
      </c>
      <c r="B916" s="20">
        <f t="shared" si="85"/>
        <v>0.83333333333575865</v>
      </c>
      <c r="C916">
        <v>0</v>
      </c>
      <c r="D916">
        <v>489.649</v>
      </c>
      <c r="E916">
        <f t="shared" si="84"/>
        <v>489.49400000000003</v>
      </c>
      <c r="F916">
        <v>489.54500000000002</v>
      </c>
      <c r="G916">
        <f t="shared" si="86"/>
        <v>0</v>
      </c>
      <c r="H916">
        <v>1.82</v>
      </c>
      <c r="I916">
        <f t="shared" si="87"/>
        <v>0</v>
      </c>
      <c r="J916">
        <f t="shared" si="88"/>
        <v>0</v>
      </c>
      <c r="K916">
        <f t="shared" si="89"/>
        <v>0</v>
      </c>
    </row>
    <row r="917" spans="1:11" x14ac:dyDescent="0.4">
      <c r="A917" s="19">
        <v>45872.875</v>
      </c>
      <c r="B917" s="20">
        <f t="shared" si="85"/>
        <v>0.875</v>
      </c>
      <c r="C917">
        <v>0</v>
      </c>
      <c r="D917">
        <v>489.649</v>
      </c>
      <c r="E917">
        <f t="shared" si="84"/>
        <v>489.49400000000003</v>
      </c>
      <c r="F917">
        <v>489.54500000000002</v>
      </c>
      <c r="G917">
        <f t="shared" si="86"/>
        <v>0</v>
      </c>
      <c r="H917">
        <v>1.82</v>
      </c>
      <c r="I917">
        <f t="shared" si="87"/>
        <v>0</v>
      </c>
      <c r="J917">
        <f t="shared" si="88"/>
        <v>0</v>
      </c>
      <c r="K917">
        <f t="shared" si="89"/>
        <v>0</v>
      </c>
    </row>
    <row r="918" spans="1:11" x14ac:dyDescent="0.4">
      <c r="A918" s="19">
        <v>45872.916666666664</v>
      </c>
      <c r="B918" s="20">
        <f t="shared" si="85"/>
        <v>0.91666666666424135</v>
      </c>
      <c r="C918">
        <v>0</v>
      </c>
      <c r="D918">
        <v>489.64299999999997</v>
      </c>
      <c r="E918">
        <f t="shared" si="84"/>
        <v>489.488</v>
      </c>
      <c r="F918">
        <v>489.54500000000002</v>
      </c>
      <c r="G918">
        <f t="shared" si="86"/>
        <v>0</v>
      </c>
      <c r="H918">
        <v>1.82</v>
      </c>
      <c r="I918">
        <f t="shared" si="87"/>
        <v>0</v>
      </c>
      <c r="J918">
        <f t="shared" si="88"/>
        <v>0</v>
      </c>
      <c r="K918">
        <f t="shared" si="89"/>
        <v>0</v>
      </c>
    </row>
    <row r="919" spans="1:11" x14ac:dyDescent="0.4">
      <c r="A919" s="19">
        <v>45872.958333333336</v>
      </c>
      <c r="B919" s="20">
        <f t="shared" si="85"/>
        <v>0.95833333333575865</v>
      </c>
      <c r="C919">
        <v>0</v>
      </c>
      <c r="D919">
        <v>489.64299999999997</v>
      </c>
      <c r="E919">
        <f t="shared" si="84"/>
        <v>489.488</v>
      </c>
      <c r="F919">
        <v>489.54500000000002</v>
      </c>
      <c r="G919">
        <f t="shared" si="86"/>
        <v>0</v>
      </c>
      <c r="H919">
        <v>1.82</v>
      </c>
      <c r="I919">
        <f t="shared" si="87"/>
        <v>0</v>
      </c>
      <c r="J919">
        <f t="shared" si="88"/>
        <v>0</v>
      </c>
      <c r="K919">
        <f t="shared" si="89"/>
        <v>0</v>
      </c>
    </row>
    <row r="920" spans="1:11" x14ac:dyDescent="0.4">
      <c r="A920" s="19">
        <v>45873</v>
      </c>
      <c r="B920" s="20">
        <f t="shared" si="85"/>
        <v>0</v>
      </c>
      <c r="C920">
        <v>0</v>
      </c>
      <c r="D920">
        <v>489.64299999999997</v>
      </c>
      <c r="E920">
        <f t="shared" si="84"/>
        <v>489.488</v>
      </c>
      <c r="F920">
        <v>489.54500000000002</v>
      </c>
      <c r="G920">
        <f t="shared" si="86"/>
        <v>0</v>
      </c>
      <c r="H920">
        <v>1.82</v>
      </c>
      <c r="I920">
        <f t="shared" si="87"/>
        <v>0</v>
      </c>
      <c r="J920">
        <f t="shared" si="88"/>
        <v>0</v>
      </c>
      <c r="K920">
        <f t="shared" si="89"/>
        <v>0</v>
      </c>
    </row>
    <row r="921" spans="1:11" x14ac:dyDescent="0.4">
      <c r="A921" s="19">
        <v>45873.041666666664</v>
      </c>
      <c r="B921" s="20">
        <f t="shared" si="85"/>
        <v>4.1666666664241347E-2</v>
      </c>
      <c r="C921">
        <v>0</v>
      </c>
      <c r="D921">
        <v>489.64299999999997</v>
      </c>
      <c r="E921">
        <f t="shared" si="84"/>
        <v>489.488</v>
      </c>
      <c r="F921">
        <v>489.54500000000002</v>
      </c>
      <c r="G921">
        <f t="shared" si="86"/>
        <v>0</v>
      </c>
      <c r="H921">
        <v>1.82</v>
      </c>
      <c r="I921">
        <f t="shared" si="87"/>
        <v>0</v>
      </c>
      <c r="J921">
        <f t="shared" si="88"/>
        <v>0</v>
      </c>
      <c r="K921">
        <f t="shared" si="89"/>
        <v>0</v>
      </c>
    </row>
    <row r="922" spans="1:11" x14ac:dyDescent="0.4">
      <c r="A922" s="19">
        <v>45873.083333333336</v>
      </c>
      <c r="B922" s="20">
        <f t="shared" si="85"/>
        <v>8.3333333335758653E-2</v>
      </c>
      <c r="C922">
        <v>0</v>
      </c>
      <c r="D922">
        <v>489.64299999999997</v>
      </c>
      <c r="E922">
        <f t="shared" si="84"/>
        <v>489.488</v>
      </c>
      <c r="F922">
        <v>489.54500000000002</v>
      </c>
      <c r="G922">
        <f t="shared" si="86"/>
        <v>0</v>
      </c>
      <c r="H922">
        <v>1.82</v>
      </c>
      <c r="I922">
        <f t="shared" si="87"/>
        <v>0</v>
      </c>
      <c r="J922">
        <f t="shared" si="88"/>
        <v>0</v>
      </c>
      <c r="K922">
        <f t="shared" si="89"/>
        <v>0</v>
      </c>
    </row>
    <row r="923" spans="1:11" x14ac:dyDescent="0.4">
      <c r="A923" s="19">
        <v>45873.125</v>
      </c>
      <c r="B923" s="20">
        <f t="shared" si="85"/>
        <v>0.125</v>
      </c>
      <c r="C923">
        <v>0</v>
      </c>
      <c r="D923">
        <v>489.64299999999997</v>
      </c>
      <c r="E923">
        <f t="shared" si="84"/>
        <v>489.488</v>
      </c>
      <c r="F923">
        <v>489.54500000000002</v>
      </c>
      <c r="G923">
        <f t="shared" si="86"/>
        <v>0</v>
      </c>
      <c r="H923">
        <v>1.82</v>
      </c>
      <c r="I923">
        <f t="shared" si="87"/>
        <v>0</v>
      </c>
      <c r="J923">
        <f t="shared" si="88"/>
        <v>0</v>
      </c>
      <c r="K923">
        <f t="shared" si="89"/>
        <v>0</v>
      </c>
    </row>
    <row r="924" spans="1:11" x14ac:dyDescent="0.4">
      <c r="A924" s="19">
        <v>45873.166666666664</v>
      </c>
      <c r="B924" s="20">
        <f t="shared" si="85"/>
        <v>0.16666666666424135</v>
      </c>
      <c r="C924">
        <v>0</v>
      </c>
      <c r="D924">
        <v>489.63600000000002</v>
      </c>
      <c r="E924">
        <f t="shared" si="84"/>
        <v>489.48100000000005</v>
      </c>
      <c r="F924">
        <v>489.54500000000002</v>
      </c>
      <c r="G924">
        <f t="shared" si="86"/>
        <v>0</v>
      </c>
      <c r="H924">
        <v>1.82</v>
      </c>
      <c r="I924">
        <f t="shared" si="87"/>
        <v>0</v>
      </c>
      <c r="J924">
        <f t="shared" si="88"/>
        <v>0</v>
      </c>
      <c r="K924">
        <f t="shared" si="89"/>
        <v>0</v>
      </c>
    </row>
    <row r="925" spans="1:11" x14ac:dyDescent="0.4">
      <c r="A925" s="19">
        <v>45873.208333333336</v>
      </c>
      <c r="B925" s="20">
        <f t="shared" si="85"/>
        <v>0.20833333333575865</v>
      </c>
      <c r="C925">
        <v>0</v>
      </c>
      <c r="D925">
        <v>489.63600000000002</v>
      </c>
      <c r="E925">
        <f t="shared" si="84"/>
        <v>489.48100000000005</v>
      </c>
      <c r="F925">
        <v>489.54500000000002</v>
      </c>
      <c r="G925">
        <f t="shared" si="86"/>
        <v>0</v>
      </c>
      <c r="H925">
        <v>1.82</v>
      </c>
      <c r="I925">
        <f t="shared" si="87"/>
        <v>0</v>
      </c>
      <c r="J925">
        <f t="shared" si="88"/>
        <v>0</v>
      </c>
      <c r="K925">
        <f t="shared" si="89"/>
        <v>0</v>
      </c>
    </row>
    <row r="926" spans="1:11" x14ac:dyDescent="0.4">
      <c r="A926" s="19">
        <v>45873.25</v>
      </c>
      <c r="B926" s="20">
        <f t="shared" si="85"/>
        <v>0.25</v>
      </c>
      <c r="C926">
        <v>0</v>
      </c>
      <c r="D926">
        <v>489.63600000000002</v>
      </c>
      <c r="E926">
        <f t="shared" si="84"/>
        <v>489.48100000000005</v>
      </c>
      <c r="F926">
        <v>489.54500000000002</v>
      </c>
      <c r="G926">
        <f t="shared" si="86"/>
        <v>0</v>
      </c>
      <c r="H926">
        <v>1.82</v>
      </c>
      <c r="I926">
        <f t="shared" si="87"/>
        <v>0</v>
      </c>
      <c r="J926">
        <f t="shared" si="88"/>
        <v>0</v>
      </c>
      <c r="K926">
        <f t="shared" si="89"/>
        <v>0</v>
      </c>
    </row>
    <row r="927" spans="1:11" x14ac:dyDescent="0.4">
      <c r="A927" s="19">
        <v>45873.291666666664</v>
      </c>
      <c r="B927" s="20">
        <f t="shared" si="85"/>
        <v>0.29166666666424135</v>
      </c>
      <c r="C927">
        <v>0</v>
      </c>
      <c r="D927">
        <v>489.63600000000002</v>
      </c>
      <c r="E927">
        <f t="shared" si="84"/>
        <v>489.48100000000005</v>
      </c>
      <c r="F927">
        <v>489.54500000000002</v>
      </c>
      <c r="G927">
        <f t="shared" si="86"/>
        <v>0</v>
      </c>
      <c r="H927">
        <v>1.82</v>
      </c>
      <c r="I927">
        <f t="shared" si="87"/>
        <v>0</v>
      </c>
      <c r="J927">
        <f t="shared" si="88"/>
        <v>0</v>
      </c>
      <c r="K927">
        <f t="shared" si="89"/>
        <v>0</v>
      </c>
    </row>
    <row r="928" spans="1:11" x14ac:dyDescent="0.4">
      <c r="A928" s="19">
        <v>45873.333333333336</v>
      </c>
      <c r="B928" s="20">
        <f t="shared" si="85"/>
        <v>0.33333333333575865</v>
      </c>
      <c r="C928">
        <v>0</v>
      </c>
      <c r="D928">
        <v>489.62900000000002</v>
      </c>
      <c r="E928">
        <f t="shared" si="84"/>
        <v>489.47400000000005</v>
      </c>
      <c r="F928">
        <v>489.54500000000002</v>
      </c>
      <c r="G928">
        <f t="shared" si="86"/>
        <v>0</v>
      </c>
      <c r="H928">
        <v>1.82</v>
      </c>
      <c r="I928">
        <f t="shared" si="87"/>
        <v>0</v>
      </c>
      <c r="J928">
        <f t="shared" si="88"/>
        <v>0</v>
      </c>
      <c r="K928">
        <f t="shared" si="89"/>
        <v>0</v>
      </c>
    </row>
    <row r="929" spans="1:11" x14ac:dyDescent="0.4">
      <c r="A929" s="19">
        <v>45873.375</v>
      </c>
      <c r="B929" s="20">
        <f t="shared" si="85"/>
        <v>0.375</v>
      </c>
      <c r="C929">
        <v>0</v>
      </c>
      <c r="D929">
        <v>489.62900000000002</v>
      </c>
      <c r="E929">
        <f t="shared" si="84"/>
        <v>489.47400000000005</v>
      </c>
      <c r="F929">
        <v>489.54500000000002</v>
      </c>
      <c r="G929">
        <f t="shared" si="86"/>
        <v>0</v>
      </c>
      <c r="H929">
        <v>1.82</v>
      </c>
      <c r="I929">
        <f t="shared" si="87"/>
        <v>0</v>
      </c>
      <c r="J929">
        <f t="shared" si="88"/>
        <v>0</v>
      </c>
      <c r="K929">
        <f t="shared" si="89"/>
        <v>0</v>
      </c>
    </row>
    <row r="930" spans="1:11" x14ac:dyDescent="0.4">
      <c r="A930" s="19">
        <v>45873.416666666664</v>
      </c>
      <c r="B930" s="20">
        <f t="shared" si="85"/>
        <v>0.41666666666424135</v>
      </c>
      <c r="C930">
        <v>0</v>
      </c>
      <c r="D930">
        <v>489.62900000000002</v>
      </c>
      <c r="E930">
        <f t="shared" si="84"/>
        <v>489.47400000000005</v>
      </c>
      <c r="F930">
        <v>489.54500000000002</v>
      </c>
      <c r="G930">
        <f t="shared" si="86"/>
        <v>0</v>
      </c>
      <c r="H930">
        <v>1.82</v>
      </c>
      <c r="I930">
        <f t="shared" si="87"/>
        <v>0</v>
      </c>
      <c r="J930">
        <f t="shared" si="88"/>
        <v>0</v>
      </c>
      <c r="K930">
        <f t="shared" si="89"/>
        <v>0</v>
      </c>
    </row>
    <row r="931" spans="1:11" x14ac:dyDescent="0.4">
      <c r="A931" s="19">
        <v>45873.458333333336</v>
      </c>
      <c r="B931" s="20">
        <f t="shared" si="85"/>
        <v>0.45833333333575865</v>
      </c>
      <c r="C931">
        <v>0</v>
      </c>
      <c r="D931">
        <v>489.62900000000002</v>
      </c>
      <c r="E931">
        <f t="shared" si="84"/>
        <v>489.47400000000005</v>
      </c>
      <c r="F931">
        <v>489.54500000000002</v>
      </c>
      <c r="G931">
        <f t="shared" si="86"/>
        <v>0</v>
      </c>
      <c r="H931">
        <v>1.82</v>
      </c>
      <c r="I931">
        <f t="shared" si="87"/>
        <v>0</v>
      </c>
      <c r="J931">
        <f t="shared" si="88"/>
        <v>0</v>
      </c>
      <c r="K931">
        <f t="shared" si="89"/>
        <v>0</v>
      </c>
    </row>
    <row r="932" spans="1:11" x14ac:dyDescent="0.4">
      <c r="A932" s="19">
        <v>45873.5</v>
      </c>
      <c r="B932" s="20">
        <f t="shared" si="85"/>
        <v>0.5</v>
      </c>
      <c r="C932">
        <v>0</v>
      </c>
      <c r="D932">
        <v>489.62900000000002</v>
      </c>
      <c r="E932">
        <f t="shared" si="84"/>
        <v>489.47400000000005</v>
      </c>
      <c r="F932">
        <v>489.54500000000002</v>
      </c>
      <c r="G932">
        <f t="shared" si="86"/>
        <v>0</v>
      </c>
      <c r="H932">
        <v>1.82</v>
      </c>
      <c r="I932">
        <f t="shared" si="87"/>
        <v>0</v>
      </c>
      <c r="J932">
        <f t="shared" si="88"/>
        <v>0</v>
      </c>
      <c r="K932">
        <f t="shared" si="89"/>
        <v>0</v>
      </c>
    </row>
    <row r="933" spans="1:11" x14ac:dyDescent="0.4">
      <c r="A933" s="19">
        <v>45873.541666666664</v>
      </c>
      <c r="B933" s="20">
        <f t="shared" si="85"/>
        <v>0.54166666666424135</v>
      </c>
      <c r="C933">
        <v>0</v>
      </c>
      <c r="D933">
        <v>489.62299999999999</v>
      </c>
      <c r="E933">
        <f t="shared" si="84"/>
        <v>489.46800000000002</v>
      </c>
      <c r="F933">
        <v>489.54500000000002</v>
      </c>
      <c r="G933">
        <f t="shared" si="86"/>
        <v>0</v>
      </c>
      <c r="H933">
        <v>1.82</v>
      </c>
      <c r="I933">
        <f t="shared" si="87"/>
        <v>0</v>
      </c>
      <c r="J933">
        <f t="shared" si="88"/>
        <v>0</v>
      </c>
      <c r="K933">
        <f t="shared" si="89"/>
        <v>0</v>
      </c>
    </row>
    <row r="934" spans="1:11" x14ac:dyDescent="0.4">
      <c r="A934" s="19">
        <v>45873.583333333336</v>
      </c>
      <c r="B934" s="20">
        <f t="shared" si="85"/>
        <v>0.58333333333575865</v>
      </c>
      <c r="C934">
        <v>0</v>
      </c>
      <c r="D934">
        <v>489.62299999999999</v>
      </c>
      <c r="E934">
        <f t="shared" si="84"/>
        <v>489.46800000000002</v>
      </c>
      <c r="F934">
        <v>489.54500000000002</v>
      </c>
      <c r="G934">
        <f t="shared" si="86"/>
        <v>0</v>
      </c>
      <c r="H934">
        <v>1.82</v>
      </c>
      <c r="I934">
        <f t="shared" si="87"/>
        <v>0</v>
      </c>
      <c r="J934">
        <f t="shared" si="88"/>
        <v>0</v>
      </c>
      <c r="K934">
        <f t="shared" si="89"/>
        <v>0</v>
      </c>
    </row>
    <row r="935" spans="1:11" x14ac:dyDescent="0.4">
      <c r="A935" s="19">
        <v>45873.625</v>
      </c>
      <c r="B935" s="20">
        <f t="shared" si="85"/>
        <v>0.625</v>
      </c>
      <c r="C935">
        <v>0</v>
      </c>
      <c r="D935">
        <v>489.62299999999999</v>
      </c>
      <c r="E935">
        <f t="shared" si="84"/>
        <v>489.46800000000002</v>
      </c>
      <c r="F935">
        <v>489.54500000000002</v>
      </c>
      <c r="G935">
        <f t="shared" si="86"/>
        <v>0</v>
      </c>
      <c r="H935">
        <v>1.82</v>
      </c>
      <c r="I935">
        <f t="shared" si="87"/>
        <v>0</v>
      </c>
      <c r="J935">
        <f t="shared" si="88"/>
        <v>0</v>
      </c>
      <c r="K935">
        <f t="shared" si="89"/>
        <v>0</v>
      </c>
    </row>
    <row r="936" spans="1:11" x14ac:dyDescent="0.4">
      <c r="A936" s="19">
        <v>45873.666666666664</v>
      </c>
      <c r="B936" s="20">
        <f t="shared" si="85"/>
        <v>0.66666666666424135</v>
      </c>
      <c r="C936">
        <v>0</v>
      </c>
      <c r="D936">
        <v>489.62299999999999</v>
      </c>
      <c r="E936">
        <f t="shared" si="84"/>
        <v>489.46800000000002</v>
      </c>
      <c r="F936">
        <v>489.54500000000002</v>
      </c>
      <c r="G936">
        <f t="shared" si="86"/>
        <v>0</v>
      </c>
      <c r="H936">
        <v>1.82</v>
      </c>
      <c r="I936">
        <f t="shared" si="87"/>
        <v>0</v>
      </c>
      <c r="J936">
        <f t="shared" si="88"/>
        <v>0</v>
      </c>
      <c r="K936">
        <f t="shared" si="89"/>
        <v>0</v>
      </c>
    </row>
    <row r="937" spans="1:11" x14ac:dyDescent="0.4">
      <c r="A937" s="19">
        <v>45873.708333333336</v>
      </c>
      <c r="B937" s="20">
        <f t="shared" si="85"/>
        <v>0.70833333333575865</v>
      </c>
      <c r="C937">
        <v>0</v>
      </c>
      <c r="D937">
        <v>489.61599999999999</v>
      </c>
      <c r="E937">
        <f t="shared" si="84"/>
        <v>489.46100000000001</v>
      </c>
      <c r="F937">
        <v>489.54500000000002</v>
      </c>
      <c r="G937">
        <f t="shared" si="86"/>
        <v>0</v>
      </c>
      <c r="H937">
        <v>1.82</v>
      </c>
      <c r="I937">
        <f t="shared" si="87"/>
        <v>0</v>
      </c>
      <c r="J937">
        <f t="shared" si="88"/>
        <v>0</v>
      </c>
      <c r="K937">
        <f t="shared" si="89"/>
        <v>0</v>
      </c>
    </row>
    <row r="938" spans="1:11" x14ac:dyDescent="0.4">
      <c r="A938" s="19">
        <v>45873.75</v>
      </c>
      <c r="B938" s="20">
        <f t="shared" si="85"/>
        <v>0.75</v>
      </c>
      <c r="C938">
        <v>0</v>
      </c>
      <c r="D938">
        <v>489.61599999999999</v>
      </c>
      <c r="E938">
        <f t="shared" si="84"/>
        <v>489.46100000000001</v>
      </c>
      <c r="F938">
        <v>489.54500000000002</v>
      </c>
      <c r="G938">
        <f t="shared" si="86"/>
        <v>0</v>
      </c>
      <c r="H938">
        <v>1.82</v>
      </c>
      <c r="I938">
        <f t="shared" si="87"/>
        <v>0</v>
      </c>
      <c r="J938">
        <f t="shared" si="88"/>
        <v>0</v>
      </c>
      <c r="K938">
        <f t="shared" si="89"/>
        <v>0</v>
      </c>
    </row>
    <row r="939" spans="1:11" x14ac:dyDescent="0.4">
      <c r="A939" s="19">
        <v>45873.791666666664</v>
      </c>
      <c r="B939" s="20">
        <f t="shared" si="85"/>
        <v>0.79166666666424135</v>
      </c>
      <c r="C939">
        <v>0</v>
      </c>
      <c r="D939">
        <v>489.61099999999999</v>
      </c>
      <c r="E939">
        <f t="shared" si="84"/>
        <v>489.45600000000002</v>
      </c>
      <c r="F939">
        <v>489.54500000000002</v>
      </c>
      <c r="G939">
        <f t="shared" si="86"/>
        <v>0</v>
      </c>
      <c r="H939">
        <v>1.82</v>
      </c>
      <c r="I939">
        <f t="shared" si="87"/>
        <v>0</v>
      </c>
      <c r="J939">
        <f t="shared" si="88"/>
        <v>0</v>
      </c>
      <c r="K939">
        <f t="shared" si="89"/>
        <v>0</v>
      </c>
    </row>
    <row r="940" spans="1:11" x14ac:dyDescent="0.4">
      <c r="A940" s="19">
        <v>45873.833333333336</v>
      </c>
      <c r="B940" s="20">
        <f t="shared" si="85"/>
        <v>0.83333333333575865</v>
      </c>
      <c r="C940">
        <v>0</v>
      </c>
      <c r="D940">
        <v>489.61099999999999</v>
      </c>
      <c r="E940">
        <f t="shared" si="84"/>
        <v>489.45600000000002</v>
      </c>
      <c r="F940">
        <v>489.54500000000002</v>
      </c>
      <c r="G940">
        <f t="shared" si="86"/>
        <v>0</v>
      </c>
      <c r="H940">
        <v>1.82</v>
      </c>
      <c r="I940">
        <f t="shared" si="87"/>
        <v>0</v>
      </c>
      <c r="J940">
        <f t="shared" si="88"/>
        <v>0</v>
      </c>
      <c r="K940">
        <f t="shared" si="89"/>
        <v>0</v>
      </c>
    </row>
    <row r="941" spans="1:11" x14ac:dyDescent="0.4">
      <c r="A941" s="19">
        <v>45873.875</v>
      </c>
      <c r="B941" s="20">
        <f t="shared" si="85"/>
        <v>0.875</v>
      </c>
      <c r="C941">
        <v>0</v>
      </c>
      <c r="D941">
        <v>489.60399999999998</v>
      </c>
      <c r="E941">
        <f t="shared" si="84"/>
        <v>489.44900000000001</v>
      </c>
      <c r="F941">
        <v>489.54500000000002</v>
      </c>
      <c r="G941">
        <f t="shared" si="86"/>
        <v>0</v>
      </c>
      <c r="H941">
        <v>1.82</v>
      </c>
      <c r="I941">
        <f t="shared" si="87"/>
        <v>0</v>
      </c>
      <c r="J941">
        <f t="shared" si="88"/>
        <v>0</v>
      </c>
      <c r="K941">
        <f t="shared" si="89"/>
        <v>0</v>
      </c>
    </row>
    <row r="942" spans="1:11" x14ac:dyDescent="0.4">
      <c r="A942" s="19">
        <v>45873.916666666664</v>
      </c>
      <c r="B942" s="20">
        <f t="shared" si="85"/>
        <v>0.91666666666424135</v>
      </c>
      <c r="C942">
        <v>0</v>
      </c>
      <c r="D942">
        <v>489.60500000000002</v>
      </c>
      <c r="E942">
        <f t="shared" si="84"/>
        <v>489.45000000000005</v>
      </c>
      <c r="F942">
        <v>489.54500000000002</v>
      </c>
      <c r="G942">
        <f t="shared" si="86"/>
        <v>0</v>
      </c>
      <c r="H942">
        <v>1.82</v>
      </c>
      <c r="I942">
        <f t="shared" si="87"/>
        <v>0</v>
      </c>
      <c r="J942">
        <f t="shared" si="88"/>
        <v>0</v>
      </c>
      <c r="K942">
        <f t="shared" si="89"/>
        <v>0</v>
      </c>
    </row>
    <row r="943" spans="1:11" x14ac:dyDescent="0.4">
      <c r="A943" s="19">
        <v>45873.958333333336</v>
      </c>
      <c r="B943" s="20">
        <f t="shared" si="85"/>
        <v>0.95833333333575865</v>
      </c>
      <c r="C943">
        <v>0</v>
      </c>
      <c r="D943">
        <v>489.60500000000002</v>
      </c>
      <c r="E943">
        <f t="shared" si="84"/>
        <v>489.45000000000005</v>
      </c>
      <c r="F943">
        <v>489.54500000000002</v>
      </c>
      <c r="G943">
        <f t="shared" si="86"/>
        <v>0</v>
      </c>
      <c r="H943">
        <v>1.82</v>
      </c>
      <c r="I943">
        <f t="shared" si="87"/>
        <v>0</v>
      </c>
      <c r="J943">
        <f t="shared" si="88"/>
        <v>0</v>
      </c>
      <c r="K943">
        <f t="shared" si="89"/>
        <v>0</v>
      </c>
    </row>
    <row r="944" spans="1:11" x14ac:dyDescent="0.4">
      <c r="A944" s="19">
        <v>45874</v>
      </c>
      <c r="B944" s="20">
        <f t="shared" si="85"/>
        <v>0</v>
      </c>
      <c r="C944">
        <v>0</v>
      </c>
      <c r="D944">
        <v>489.60399999999998</v>
      </c>
      <c r="E944">
        <f t="shared" si="84"/>
        <v>489.44900000000001</v>
      </c>
      <c r="F944">
        <v>489.54500000000002</v>
      </c>
      <c r="G944">
        <f t="shared" si="86"/>
        <v>0</v>
      </c>
      <c r="H944">
        <v>1.82</v>
      </c>
      <c r="I944">
        <f t="shared" si="87"/>
        <v>0</v>
      </c>
      <c r="J944">
        <f t="shared" si="88"/>
        <v>0</v>
      </c>
      <c r="K944">
        <f t="shared" si="89"/>
        <v>0</v>
      </c>
    </row>
    <row r="945" spans="1:11" x14ac:dyDescent="0.4">
      <c r="A945" s="19">
        <v>45874.041666666664</v>
      </c>
      <c r="B945" s="20">
        <f t="shared" si="85"/>
        <v>4.1666666664241347E-2</v>
      </c>
      <c r="C945">
        <v>0</v>
      </c>
      <c r="D945">
        <v>489.60399999999998</v>
      </c>
      <c r="E945">
        <f t="shared" si="84"/>
        <v>489.44900000000001</v>
      </c>
      <c r="F945">
        <v>489.54500000000002</v>
      </c>
      <c r="G945">
        <f t="shared" si="86"/>
        <v>0</v>
      </c>
      <c r="H945">
        <v>1.82</v>
      </c>
      <c r="I945">
        <f t="shared" si="87"/>
        <v>0</v>
      </c>
      <c r="J945">
        <f t="shared" si="88"/>
        <v>0</v>
      </c>
      <c r="K945">
        <f t="shared" si="89"/>
        <v>0</v>
      </c>
    </row>
    <row r="946" spans="1:11" x14ac:dyDescent="0.4">
      <c r="A946" s="19">
        <v>45874.083333333336</v>
      </c>
      <c r="B946" s="20">
        <f t="shared" si="85"/>
        <v>8.3333333335758653E-2</v>
      </c>
      <c r="C946">
        <v>0</v>
      </c>
      <c r="D946">
        <v>489.59800000000001</v>
      </c>
      <c r="E946">
        <f t="shared" si="84"/>
        <v>489.44300000000004</v>
      </c>
      <c r="F946">
        <v>489.54500000000002</v>
      </c>
      <c r="G946">
        <f t="shared" si="86"/>
        <v>0</v>
      </c>
      <c r="H946">
        <v>1.82</v>
      </c>
      <c r="I946">
        <f t="shared" si="87"/>
        <v>0</v>
      </c>
      <c r="J946">
        <f t="shared" si="88"/>
        <v>0</v>
      </c>
      <c r="K946">
        <f t="shared" si="89"/>
        <v>0</v>
      </c>
    </row>
    <row r="947" spans="1:11" x14ac:dyDescent="0.4">
      <c r="A947" s="19">
        <v>45874.125</v>
      </c>
      <c r="B947" s="20">
        <f t="shared" si="85"/>
        <v>0.125</v>
      </c>
      <c r="C947">
        <v>0</v>
      </c>
      <c r="D947">
        <v>489.59800000000001</v>
      </c>
      <c r="E947">
        <f t="shared" si="84"/>
        <v>489.44300000000004</v>
      </c>
      <c r="F947">
        <v>489.54500000000002</v>
      </c>
      <c r="G947">
        <f t="shared" si="86"/>
        <v>0</v>
      </c>
      <c r="H947">
        <v>1.82</v>
      </c>
      <c r="I947">
        <f t="shared" si="87"/>
        <v>0</v>
      </c>
      <c r="J947">
        <f t="shared" si="88"/>
        <v>0</v>
      </c>
      <c r="K947">
        <f t="shared" si="89"/>
        <v>0</v>
      </c>
    </row>
    <row r="948" spans="1:11" x14ac:dyDescent="0.4">
      <c r="A948" s="19">
        <v>45874.166666666664</v>
      </c>
      <c r="B948" s="20">
        <f t="shared" si="85"/>
        <v>0.16666666666424135</v>
      </c>
      <c r="C948">
        <v>0</v>
      </c>
      <c r="D948">
        <v>489.59800000000001</v>
      </c>
      <c r="E948">
        <f t="shared" si="84"/>
        <v>489.44300000000004</v>
      </c>
      <c r="F948">
        <v>489.54500000000002</v>
      </c>
      <c r="G948">
        <f t="shared" si="86"/>
        <v>0</v>
      </c>
      <c r="H948">
        <v>1.82</v>
      </c>
      <c r="I948">
        <f t="shared" si="87"/>
        <v>0</v>
      </c>
      <c r="J948">
        <f t="shared" si="88"/>
        <v>0</v>
      </c>
      <c r="K948">
        <f t="shared" si="89"/>
        <v>0</v>
      </c>
    </row>
    <row r="949" spans="1:11" x14ac:dyDescent="0.4">
      <c r="A949" s="19">
        <v>45874.208333333336</v>
      </c>
      <c r="B949" s="20">
        <f t="shared" si="85"/>
        <v>0.20833333333575865</v>
      </c>
      <c r="C949">
        <v>0</v>
      </c>
      <c r="D949">
        <v>489.59800000000001</v>
      </c>
      <c r="E949">
        <f t="shared" si="84"/>
        <v>489.44300000000004</v>
      </c>
      <c r="F949">
        <v>489.54500000000002</v>
      </c>
      <c r="G949">
        <f t="shared" si="86"/>
        <v>0</v>
      </c>
      <c r="H949">
        <v>1.82</v>
      </c>
      <c r="I949">
        <f t="shared" si="87"/>
        <v>0</v>
      </c>
      <c r="J949">
        <f t="shared" si="88"/>
        <v>0</v>
      </c>
      <c r="K949">
        <f t="shared" si="89"/>
        <v>0</v>
      </c>
    </row>
    <row r="950" spans="1:11" x14ac:dyDescent="0.4">
      <c r="A950" s="19">
        <v>45874.25</v>
      </c>
      <c r="B950" s="20">
        <f t="shared" si="85"/>
        <v>0.25</v>
      </c>
      <c r="C950">
        <v>0</v>
      </c>
      <c r="D950">
        <v>489.59199999999998</v>
      </c>
      <c r="E950">
        <f t="shared" si="84"/>
        <v>489.43700000000001</v>
      </c>
      <c r="F950">
        <v>489.54500000000002</v>
      </c>
      <c r="G950">
        <f t="shared" si="86"/>
        <v>0</v>
      </c>
      <c r="H950">
        <v>1.82</v>
      </c>
      <c r="I950">
        <f t="shared" si="87"/>
        <v>0</v>
      </c>
      <c r="J950">
        <f t="shared" si="88"/>
        <v>0</v>
      </c>
      <c r="K950">
        <f t="shared" si="89"/>
        <v>0</v>
      </c>
    </row>
    <row r="951" spans="1:11" x14ac:dyDescent="0.4">
      <c r="A951" s="19">
        <v>45874.291666666664</v>
      </c>
      <c r="B951" s="20">
        <f t="shared" si="85"/>
        <v>0.29166666666424135</v>
      </c>
      <c r="C951">
        <v>0</v>
      </c>
      <c r="D951">
        <v>489.59199999999998</v>
      </c>
      <c r="E951">
        <f t="shared" si="84"/>
        <v>489.43700000000001</v>
      </c>
      <c r="F951">
        <v>489.54500000000002</v>
      </c>
      <c r="G951">
        <f t="shared" si="86"/>
        <v>0</v>
      </c>
      <c r="H951">
        <v>1.82</v>
      </c>
      <c r="I951">
        <f t="shared" si="87"/>
        <v>0</v>
      </c>
      <c r="J951">
        <f t="shared" si="88"/>
        <v>0</v>
      </c>
      <c r="K951">
        <f t="shared" si="89"/>
        <v>0</v>
      </c>
    </row>
    <row r="952" spans="1:11" x14ac:dyDescent="0.4">
      <c r="A952" s="19">
        <v>45874.333333333336</v>
      </c>
      <c r="B952" s="20">
        <f t="shared" si="85"/>
        <v>0.33333333333575865</v>
      </c>
      <c r="C952">
        <v>0</v>
      </c>
      <c r="D952">
        <v>489.59100000000001</v>
      </c>
      <c r="E952">
        <f t="shared" si="84"/>
        <v>489.43600000000004</v>
      </c>
      <c r="F952">
        <v>489.54500000000002</v>
      </c>
      <c r="G952">
        <f t="shared" si="86"/>
        <v>0</v>
      </c>
      <c r="H952">
        <v>1.82</v>
      </c>
      <c r="I952">
        <f t="shared" si="87"/>
        <v>0</v>
      </c>
      <c r="J952">
        <f t="shared" si="88"/>
        <v>0</v>
      </c>
      <c r="K952">
        <f t="shared" si="89"/>
        <v>0</v>
      </c>
    </row>
    <row r="953" spans="1:11" x14ac:dyDescent="0.4">
      <c r="A953" s="19">
        <v>45874.375</v>
      </c>
      <c r="B953" s="20">
        <f t="shared" si="85"/>
        <v>0.375</v>
      </c>
      <c r="C953">
        <v>0</v>
      </c>
      <c r="D953">
        <v>489.58499999999998</v>
      </c>
      <c r="E953">
        <f t="shared" si="84"/>
        <v>489.43</v>
      </c>
      <c r="F953">
        <v>489.54500000000002</v>
      </c>
      <c r="G953">
        <f t="shared" si="86"/>
        <v>0</v>
      </c>
      <c r="H953">
        <v>1.82</v>
      </c>
      <c r="I953">
        <f t="shared" si="87"/>
        <v>0</v>
      </c>
      <c r="J953">
        <f t="shared" si="88"/>
        <v>0</v>
      </c>
      <c r="K953">
        <f t="shared" si="89"/>
        <v>0</v>
      </c>
    </row>
    <row r="954" spans="1:11" x14ac:dyDescent="0.4">
      <c r="A954" s="19">
        <v>45874.416666666664</v>
      </c>
      <c r="B954" s="20">
        <f t="shared" si="85"/>
        <v>0.41666666666424135</v>
      </c>
      <c r="C954">
        <v>0</v>
      </c>
      <c r="D954">
        <v>489.58499999999998</v>
      </c>
      <c r="E954">
        <f t="shared" si="84"/>
        <v>489.43</v>
      </c>
      <c r="F954">
        <v>489.54500000000002</v>
      </c>
      <c r="G954">
        <f t="shared" si="86"/>
        <v>0</v>
      </c>
      <c r="H954">
        <v>1.82</v>
      </c>
      <c r="I954">
        <f t="shared" si="87"/>
        <v>0</v>
      </c>
      <c r="J954">
        <f t="shared" si="88"/>
        <v>0</v>
      </c>
      <c r="K954">
        <f t="shared" si="89"/>
        <v>0</v>
      </c>
    </row>
    <row r="955" spans="1:11" x14ac:dyDescent="0.4">
      <c r="A955" s="19">
        <v>45874.458333333336</v>
      </c>
      <c r="B955" s="20">
        <f t="shared" si="85"/>
        <v>0.45833333333575865</v>
      </c>
      <c r="C955">
        <v>0</v>
      </c>
      <c r="D955">
        <v>489.58499999999998</v>
      </c>
      <c r="E955">
        <f t="shared" si="84"/>
        <v>489.43</v>
      </c>
      <c r="F955">
        <v>489.54500000000002</v>
      </c>
      <c r="G955">
        <f t="shared" si="86"/>
        <v>0</v>
      </c>
      <c r="H955">
        <v>1.82</v>
      </c>
      <c r="I955">
        <f t="shared" si="87"/>
        <v>0</v>
      </c>
      <c r="J955">
        <f t="shared" si="88"/>
        <v>0</v>
      </c>
      <c r="K955">
        <f t="shared" si="89"/>
        <v>0</v>
      </c>
    </row>
    <row r="956" spans="1:11" x14ac:dyDescent="0.4">
      <c r="A956" s="19">
        <v>45874.5</v>
      </c>
      <c r="B956" s="20">
        <f t="shared" si="85"/>
        <v>0.5</v>
      </c>
      <c r="C956">
        <v>0</v>
      </c>
      <c r="D956">
        <v>489.58499999999998</v>
      </c>
      <c r="E956">
        <f t="shared" si="84"/>
        <v>489.43</v>
      </c>
      <c r="F956">
        <v>489.54500000000002</v>
      </c>
      <c r="G956">
        <f t="shared" si="86"/>
        <v>0</v>
      </c>
      <c r="H956">
        <v>1.82</v>
      </c>
      <c r="I956">
        <f t="shared" si="87"/>
        <v>0</v>
      </c>
      <c r="J956">
        <f t="shared" si="88"/>
        <v>0</v>
      </c>
      <c r="K956">
        <f t="shared" si="89"/>
        <v>0</v>
      </c>
    </row>
    <row r="957" spans="1:11" x14ac:dyDescent="0.4">
      <c r="A957" s="19">
        <v>45874.541666666664</v>
      </c>
      <c r="B957" s="20">
        <f t="shared" si="85"/>
        <v>0.54166666666424135</v>
      </c>
      <c r="C957">
        <v>0</v>
      </c>
      <c r="D957">
        <v>489.57900000000001</v>
      </c>
      <c r="E957">
        <f t="shared" si="84"/>
        <v>489.42400000000004</v>
      </c>
      <c r="F957">
        <v>489.54500000000002</v>
      </c>
      <c r="G957">
        <f t="shared" si="86"/>
        <v>0</v>
      </c>
      <c r="H957">
        <v>1.82</v>
      </c>
      <c r="I957">
        <f t="shared" si="87"/>
        <v>0</v>
      </c>
      <c r="J957">
        <f t="shared" si="88"/>
        <v>0</v>
      </c>
      <c r="K957">
        <f t="shared" si="89"/>
        <v>0</v>
      </c>
    </row>
    <row r="958" spans="1:11" x14ac:dyDescent="0.4">
      <c r="A958" s="19">
        <v>45874.583333333336</v>
      </c>
      <c r="B958" s="20">
        <f t="shared" si="85"/>
        <v>0.58333333333575865</v>
      </c>
      <c r="C958">
        <v>0</v>
      </c>
      <c r="D958">
        <v>489.58600000000001</v>
      </c>
      <c r="E958">
        <f t="shared" si="84"/>
        <v>489.43100000000004</v>
      </c>
      <c r="F958">
        <v>489.54500000000002</v>
      </c>
      <c r="G958">
        <f t="shared" si="86"/>
        <v>0</v>
      </c>
      <c r="H958">
        <v>1.82</v>
      </c>
      <c r="I958">
        <f t="shared" si="87"/>
        <v>0</v>
      </c>
      <c r="J958">
        <f t="shared" si="88"/>
        <v>0</v>
      </c>
      <c r="K958">
        <f t="shared" si="89"/>
        <v>0</v>
      </c>
    </row>
    <row r="959" spans="1:11" x14ac:dyDescent="0.4">
      <c r="A959" s="19">
        <v>45874.625</v>
      </c>
      <c r="B959" s="20">
        <f t="shared" si="85"/>
        <v>0.625</v>
      </c>
      <c r="C959">
        <v>0</v>
      </c>
      <c r="D959">
        <v>489.58499999999998</v>
      </c>
      <c r="E959">
        <f t="shared" si="84"/>
        <v>489.43</v>
      </c>
      <c r="F959">
        <v>489.54500000000002</v>
      </c>
      <c r="G959">
        <f t="shared" si="86"/>
        <v>0</v>
      </c>
      <c r="H959">
        <v>1.82</v>
      </c>
      <c r="I959">
        <f t="shared" si="87"/>
        <v>0</v>
      </c>
      <c r="J959">
        <f t="shared" si="88"/>
        <v>0</v>
      </c>
      <c r="K959">
        <f t="shared" si="89"/>
        <v>0</v>
      </c>
    </row>
    <row r="960" spans="1:11" x14ac:dyDescent="0.4">
      <c r="A960" s="19">
        <v>45874.666666666664</v>
      </c>
      <c r="B960" s="20">
        <f t="shared" si="85"/>
        <v>0.66666666666424135</v>
      </c>
      <c r="C960">
        <v>0</v>
      </c>
      <c r="D960">
        <v>489.57900000000001</v>
      </c>
      <c r="E960">
        <f t="shared" si="84"/>
        <v>489.42400000000004</v>
      </c>
      <c r="F960">
        <v>489.54500000000002</v>
      </c>
      <c r="G960">
        <f t="shared" si="86"/>
        <v>0</v>
      </c>
      <c r="H960">
        <v>1.82</v>
      </c>
      <c r="I960">
        <f t="shared" si="87"/>
        <v>0</v>
      </c>
      <c r="J960">
        <f t="shared" si="88"/>
        <v>0</v>
      </c>
      <c r="K960">
        <f t="shared" si="89"/>
        <v>0</v>
      </c>
    </row>
    <row r="961" spans="1:11" x14ac:dyDescent="0.4">
      <c r="A961" s="19">
        <v>45874.708333333336</v>
      </c>
      <c r="B961" s="20">
        <f t="shared" si="85"/>
        <v>0.70833333333575865</v>
      </c>
      <c r="C961">
        <v>0</v>
      </c>
      <c r="D961">
        <v>489.57900000000001</v>
      </c>
      <c r="E961">
        <f t="shared" si="84"/>
        <v>489.42400000000004</v>
      </c>
      <c r="F961">
        <v>489.54500000000002</v>
      </c>
      <c r="G961">
        <f t="shared" si="86"/>
        <v>0</v>
      </c>
      <c r="H961">
        <v>1.82</v>
      </c>
      <c r="I961">
        <f t="shared" si="87"/>
        <v>0</v>
      </c>
      <c r="J961">
        <f t="shared" si="88"/>
        <v>0</v>
      </c>
      <c r="K961">
        <f t="shared" si="89"/>
        <v>0</v>
      </c>
    </row>
    <row r="962" spans="1:11" x14ac:dyDescent="0.4">
      <c r="A962" s="19">
        <v>45874.75</v>
      </c>
      <c r="B962" s="20">
        <f t="shared" si="85"/>
        <v>0.75</v>
      </c>
      <c r="C962">
        <v>0</v>
      </c>
      <c r="D962">
        <v>489.572</v>
      </c>
      <c r="E962">
        <f t="shared" ref="E962:E1025" si="90">D962-0.155</f>
        <v>489.41700000000003</v>
      </c>
      <c r="F962">
        <v>489.54500000000002</v>
      </c>
      <c r="G962">
        <f t="shared" si="86"/>
        <v>0</v>
      </c>
      <c r="H962">
        <v>1.82</v>
      </c>
      <c r="I962">
        <f t="shared" si="87"/>
        <v>0</v>
      </c>
      <c r="J962">
        <f t="shared" si="88"/>
        <v>0</v>
      </c>
      <c r="K962">
        <f t="shared" si="89"/>
        <v>0</v>
      </c>
    </row>
    <row r="963" spans="1:11" x14ac:dyDescent="0.4">
      <c r="A963" s="19">
        <v>45874.791666666664</v>
      </c>
      <c r="B963" s="20">
        <f t="shared" ref="B963:B1026" si="91">MOD(A963,1)</f>
        <v>0.79166666666424135</v>
      </c>
      <c r="C963">
        <v>0</v>
      </c>
      <c r="D963">
        <v>489.57900000000001</v>
      </c>
      <c r="E963">
        <f t="shared" si="90"/>
        <v>489.42400000000004</v>
      </c>
      <c r="F963">
        <v>489.54500000000002</v>
      </c>
      <c r="G963">
        <f t="shared" ref="G963:G1026" si="92">IF(E963 - F963 &lt; 0, 0, E963 - F963)</f>
        <v>0</v>
      </c>
      <c r="H963">
        <v>1.82</v>
      </c>
      <c r="I963">
        <f t="shared" ref="I963:I1026" si="93">1.82*30*(G963^1.5)</f>
        <v>0</v>
      </c>
      <c r="J963">
        <f t="shared" ref="J963:J1026" si="94">I963*60</f>
        <v>0</v>
      </c>
      <c r="K963">
        <f t="shared" ref="K963:K1026" si="95">(I963*86400)/24</f>
        <v>0</v>
      </c>
    </row>
    <row r="964" spans="1:11" x14ac:dyDescent="0.4">
      <c r="A964" s="19">
        <v>45874.833333333336</v>
      </c>
      <c r="B964" s="20">
        <f t="shared" si="91"/>
        <v>0.83333333333575865</v>
      </c>
      <c r="C964">
        <v>0</v>
      </c>
      <c r="D964">
        <v>489.572</v>
      </c>
      <c r="E964">
        <f t="shared" si="90"/>
        <v>489.41700000000003</v>
      </c>
      <c r="F964">
        <v>489.54500000000002</v>
      </c>
      <c r="G964">
        <f t="shared" si="92"/>
        <v>0</v>
      </c>
      <c r="H964">
        <v>1.82</v>
      </c>
      <c r="I964">
        <f t="shared" si="93"/>
        <v>0</v>
      </c>
      <c r="J964">
        <f t="shared" si="94"/>
        <v>0</v>
      </c>
      <c r="K964">
        <f t="shared" si="95"/>
        <v>0</v>
      </c>
    </row>
    <row r="965" spans="1:11" x14ac:dyDescent="0.4">
      <c r="A965" s="19">
        <v>45874.875</v>
      </c>
      <c r="B965" s="20">
        <f t="shared" si="91"/>
        <v>0.875</v>
      </c>
      <c r="C965">
        <v>0</v>
      </c>
      <c r="D965">
        <v>489.572</v>
      </c>
      <c r="E965">
        <f t="shared" si="90"/>
        <v>489.41700000000003</v>
      </c>
      <c r="F965">
        <v>489.54500000000002</v>
      </c>
      <c r="G965">
        <f t="shared" si="92"/>
        <v>0</v>
      </c>
      <c r="H965">
        <v>1.82</v>
      </c>
      <c r="I965">
        <f t="shared" si="93"/>
        <v>0</v>
      </c>
      <c r="J965">
        <f t="shared" si="94"/>
        <v>0</v>
      </c>
      <c r="K965">
        <f t="shared" si="95"/>
        <v>0</v>
      </c>
    </row>
    <row r="966" spans="1:11" x14ac:dyDescent="0.4">
      <c r="A966" s="19">
        <v>45874.916666666664</v>
      </c>
      <c r="B966" s="20">
        <f t="shared" si="91"/>
        <v>0.91666666666424135</v>
      </c>
      <c r="C966">
        <v>0</v>
      </c>
      <c r="D966">
        <v>489.57299999999998</v>
      </c>
      <c r="E966">
        <f t="shared" si="90"/>
        <v>489.41800000000001</v>
      </c>
      <c r="F966">
        <v>489.54500000000002</v>
      </c>
      <c r="G966">
        <f t="shared" si="92"/>
        <v>0</v>
      </c>
      <c r="H966">
        <v>1.82</v>
      </c>
      <c r="I966">
        <f t="shared" si="93"/>
        <v>0</v>
      </c>
      <c r="J966">
        <f t="shared" si="94"/>
        <v>0</v>
      </c>
      <c r="K966">
        <f t="shared" si="95"/>
        <v>0</v>
      </c>
    </row>
    <row r="967" spans="1:11" x14ac:dyDescent="0.4">
      <c r="A967" s="19">
        <v>45874.958333333336</v>
      </c>
      <c r="B967" s="20">
        <f t="shared" si="91"/>
        <v>0.95833333333575865</v>
      </c>
      <c r="C967">
        <v>0</v>
      </c>
      <c r="D967">
        <v>489.57299999999998</v>
      </c>
      <c r="E967">
        <f t="shared" si="90"/>
        <v>489.41800000000001</v>
      </c>
      <c r="F967">
        <v>489.54500000000002</v>
      </c>
      <c r="G967">
        <f t="shared" si="92"/>
        <v>0</v>
      </c>
      <c r="H967">
        <v>1.82</v>
      </c>
      <c r="I967">
        <f t="shared" si="93"/>
        <v>0</v>
      </c>
      <c r="J967">
        <f t="shared" si="94"/>
        <v>0</v>
      </c>
      <c r="K967">
        <f t="shared" si="95"/>
        <v>0</v>
      </c>
    </row>
    <row r="968" spans="1:11" x14ac:dyDescent="0.4">
      <c r="A968" s="19">
        <v>45875</v>
      </c>
      <c r="B968" s="20">
        <f t="shared" si="91"/>
        <v>0</v>
      </c>
      <c r="C968">
        <v>0</v>
      </c>
      <c r="D968">
        <v>489.56599999999997</v>
      </c>
      <c r="E968">
        <f t="shared" si="90"/>
        <v>489.411</v>
      </c>
      <c r="F968">
        <v>489.54500000000002</v>
      </c>
      <c r="G968">
        <f t="shared" si="92"/>
        <v>0</v>
      </c>
      <c r="H968">
        <v>1.82</v>
      </c>
      <c r="I968">
        <f t="shared" si="93"/>
        <v>0</v>
      </c>
      <c r="J968">
        <f t="shared" si="94"/>
        <v>0</v>
      </c>
      <c r="K968">
        <f t="shared" si="95"/>
        <v>0</v>
      </c>
    </row>
    <row r="969" spans="1:11" x14ac:dyDescent="0.4">
      <c r="A969" s="19">
        <v>45875.041666666664</v>
      </c>
      <c r="B969" s="20">
        <f t="shared" si="91"/>
        <v>4.1666666664241347E-2</v>
      </c>
      <c r="C969">
        <v>0</v>
      </c>
      <c r="D969">
        <v>489.56599999999997</v>
      </c>
      <c r="E969">
        <f t="shared" si="90"/>
        <v>489.411</v>
      </c>
      <c r="F969">
        <v>489.54500000000002</v>
      </c>
      <c r="G969">
        <f t="shared" si="92"/>
        <v>0</v>
      </c>
      <c r="H969">
        <v>1.82</v>
      </c>
      <c r="I969">
        <f t="shared" si="93"/>
        <v>0</v>
      </c>
      <c r="J969">
        <f t="shared" si="94"/>
        <v>0</v>
      </c>
      <c r="K969">
        <f t="shared" si="95"/>
        <v>0</v>
      </c>
    </row>
    <row r="970" spans="1:11" x14ac:dyDescent="0.4">
      <c r="A970" s="19">
        <v>45875.083333333336</v>
      </c>
      <c r="B970" s="20">
        <f t="shared" si="91"/>
        <v>8.3333333335758653E-2</v>
      </c>
      <c r="C970">
        <v>0</v>
      </c>
      <c r="D970">
        <v>489.56599999999997</v>
      </c>
      <c r="E970">
        <f t="shared" si="90"/>
        <v>489.411</v>
      </c>
      <c r="F970">
        <v>489.54500000000002</v>
      </c>
      <c r="G970">
        <f t="shared" si="92"/>
        <v>0</v>
      </c>
      <c r="H970">
        <v>1.82</v>
      </c>
      <c r="I970">
        <f t="shared" si="93"/>
        <v>0</v>
      </c>
      <c r="J970">
        <f t="shared" si="94"/>
        <v>0</v>
      </c>
      <c r="K970">
        <f t="shared" si="95"/>
        <v>0</v>
      </c>
    </row>
    <row r="971" spans="1:11" x14ac:dyDescent="0.4">
      <c r="A971" s="19">
        <v>45875.125</v>
      </c>
      <c r="B971" s="20">
        <f t="shared" si="91"/>
        <v>0.125</v>
      </c>
      <c r="C971">
        <v>0</v>
      </c>
      <c r="D971">
        <v>489.56599999999997</v>
      </c>
      <c r="E971">
        <f t="shared" si="90"/>
        <v>489.411</v>
      </c>
      <c r="F971">
        <v>489.54500000000002</v>
      </c>
      <c r="G971">
        <f t="shared" si="92"/>
        <v>0</v>
      </c>
      <c r="H971">
        <v>1.82</v>
      </c>
      <c r="I971">
        <f t="shared" si="93"/>
        <v>0</v>
      </c>
      <c r="J971">
        <f t="shared" si="94"/>
        <v>0</v>
      </c>
      <c r="K971">
        <f t="shared" si="95"/>
        <v>0</v>
      </c>
    </row>
    <row r="972" spans="1:11" x14ac:dyDescent="0.4">
      <c r="A972" s="19">
        <v>45875.166666666664</v>
      </c>
      <c r="B972" s="20">
        <f t="shared" si="91"/>
        <v>0.16666666666424135</v>
      </c>
      <c r="C972">
        <v>0</v>
      </c>
      <c r="D972">
        <v>489.56</v>
      </c>
      <c r="E972">
        <f t="shared" si="90"/>
        <v>489.40500000000003</v>
      </c>
      <c r="F972">
        <v>489.54500000000002</v>
      </c>
      <c r="G972">
        <f t="shared" si="92"/>
        <v>0</v>
      </c>
      <c r="H972">
        <v>1.82</v>
      </c>
      <c r="I972">
        <f t="shared" si="93"/>
        <v>0</v>
      </c>
      <c r="J972">
        <f t="shared" si="94"/>
        <v>0</v>
      </c>
      <c r="K972">
        <f t="shared" si="95"/>
        <v>0</v>
      </c>
    </row>
    <row r="973" spans="1:11" x14ac:dyDescent="0.4">
      <c r="A973" s="19">
        <v>45875.208333333336</v>
      </c>
      <c r="B973" s="20">
        <f t="shared" si="91"/>
        <v>0.20833333333575865</v>
      </c>
      <c r="C973">
        <v>0</v>
      </c>
      <c r="D973">
        <v>489.56</v>
      </c>
      <c r="E973">
        <f t="shared" si="90"/>
        <v>489.40500000000003</v>
      </c>
      <c r="F973">
        <v>489.54500000000002</v>
      </c>
      <c r="G973">
        <f t="shared" si="92"/>
        <v>0</v>
      </c>
      <c r="H973">
        <v>1.82</v>
      </c>
      <c r="I973">
        <f t="shared" si="93"/>
        <v>0</v>
      </c>
      <c r="J973">
        <f t="shared" si="94"/>
        <v>0</v>
      </c>
      <c r="K973">
        <f t="shared" si="95"/>
        <v>0</v>
      </c>
    </row>
    <row r="974" spans="1:11" x14ac:dyDescent="0.4">
      <c r="A974" s="19">
        <v>45875.25</v>
      </c>
      <c r="B974" s="20">
        <f t="shared" si="91"/>
        <v>0.25</v>
      </c>
      <c r="C974">
        <v>0</v>
      </c>
      <c r="D974">
        <v>489.56</v>
      </c>
      <c r="E974">
        <f t="shared" si="90"/>
        <v>489.40500000000003</v>
      </c>
      <c r="F974">
        <v>489.54500000000002</v>
      </c>
      <c r="G974">
        <f t="shared" si="92"/>
        <v>0</v>
      </c>
      <c r="H974">
        <v>1.82</v>
      </c>
      <c r="I974">
        <f t="shared" si="93"/>
        <v>0</v>
      </c>
      <c r="J974">
        <f t="shared" si="94"/>
        <v>0</v>
      </c>
      <c r="K974">
        <f t="shared" si="95"/>
        <v>0</v>
      </c>
    </row>
    <row r="975" spans="1:11" x14ac:dyDescent="0.4">
      <c r="A975" s="19">
        <v>45875.291666666664</v>
      </c>
      <c r="B975" s="20">
        <f t="shared" si="91"/>
        <v>0.29166666666424135</v>
      </c>
      <c r="C975">
        <v>0</v>
      </c>
      <c r="D975">
        <v>489.56</v>
      </c>
      <c r="E975">
        <f t="shared" si="90"/>
        <v>489.40500000000003</v>
      </c>
      <c r="F975">
        <v>489.54500000000002</v>
      </c>
      <c r="G975">
        <f t="shared" si="92"/>
        <v>0</v>
      </c>
      <c r="H975">
        <v>1.82</v>
      </c>
      <c r="I975">
        <f t="shared" si="93"/>
        <v>0</v>
      </c>
      <c r="J975">
        <f t="shared" si="94"/>
        <v>0</v>
      </c>
      <c r="K975">
        <f t="shared" si="95"/>
        <v>0</v>
      </c>
    </row>
    <row r="976" spans="1:11" x14ac:dyDescent="0.4">
      <c r="A976" s="19">
        <v>45875.333333333336</v>
      </c>
      <c r="B976" s="20">
        <f t="shared" si="91"/>
        <v>0.33333333333575865</v>
      </c>
      <c r="C976">
        <v>0</v>
      </c>
      <c r="D976">
        <v>489.553</v>
      </c>
      <c r="E976">
        <f t="shared" si="90"/>
        <v>489.39800000000002</v>
      </c>
      <c r="F976">
        <v>489.54500000000002</v>
      </c>
      <c r="G976">
        <f t="shared" si="92"/>
        <v>0</v>
      </c>
      <c r="H976">
        <v>1.82</v>
      </c>
      <c r="I976">
        <f t="shared" si="93"/>
        <v>0</v>
      </c>
      <c r="J976">
        <f t="shared" si="94"/>
        <v>0</v>
      </c>
      <c r="K976">
        <f t="shared" si="95"/>
        <v>0</v>
      </c>
    </row>
    <row r="977" spans="1:11" x14ac:dyDescent="0.4">
      <c r="A977" s="19">
        <v>45875.375</v>
      </c>
      <c r="B977" s="20">
        <f t="shared" si="91"/>
        <v>0.375</v>
      </c>
      <c r="C977">
        <v>0</v>
      </c>
      <c r="D977">
        <v>489.56</v>
      </c>
      <c r="E977">
        <f t="shared" si="90"/>
        <v>489.40500000000003</v>
      </c>
      <c r="F977">
        <v>489.54500000000002</v>
      </c>
      <c r="G977">
        <f t="shared" si="92"/>
        <v>0</v>
      </c>
      <c r="H977">
        <v>1.82</v>
      </c>
      <c r="I977">
        <f t="shared" si="93"/>
        <v>0</v>
      </c>
      <c r="J977">
        <f t="shared" si="94"/>
        <v>0</v>
      </c>
      <c r="K977">
        <f t="shared" si="95"/>
        <v>0</v>
      </c>
    </row>
    <row r="978" spans="1:11" x14ac:dyDescent="0.4">
      <c r="A978" s="19">
        <v>45875.416666666664</v>
      </c>
      <c r="B978" s="20">
        <f t="shared" si="91"/>
        <v>0.41666666666424135</v>
      </c>
      <c r="C978">
        <v>0</v>
      </c>
      <c r="D978">
        <v>489.553</v>
      </c>
      <c r="E978">
        <f t="shared" si="90"/>
        <v>489.39800000000002</v>
      </c>
      <c r="F978">
        <v>489.54500000000002</v>
      </c>
      <c r="G978">
        <f t="shared" si="92"/>
        <v>0</v>
      </c>
      <c r="H978">
        <v>1.82</v>
      </c>
      <c r="I978">
        <f t="shared" si="93"/>
        <v>0</v>
      </c>
      <c r="J978">
        <f t="shared" si="94"/>
        <v>0</v>
      </c>
      <c r="K978">
        <f t="shared" si="95"/>
        <v>0</v>
      </c>
    </row>
    <row r="979" spans="1:11" x14ac:dyDescent="0.4">
      <c r="A979" s="19">
        <v>45875.458333333336</v>
      </c>
      <c r="B979" s="20">
        <f t="shared" si="91"/>
        <v>0.45833333333575865</v>
      </c>
      <c r="C979">
        <v>0</v>
      </c>
      <c r="D979">
        <v>489.55200000000002</v>
      </c>
      <c r="E979">
        <f t="shared" si="90"/>
        <v>489.39700000000005</v>
      </c>
      <c r="F979">
        <v>489.54500000000002</v>
      </c>
      <c r="G979">
        <f t="shared" si="92"/>
        <v>0</v>
      </c>
      <c r="H979">
        <v>1.82</v>
      </c>
      <c r="I979">
        <f t="shared" si="93"/>
        <v>0</v>
      </c>
      <c r="J979">
        <f t="shared" si="94"/>
        <v>0</v>
      </c>
      <c r="K979">
        <f t="shared" si="95"/>
        <v>0</v>
      </c>
    </row>
    <row r="980" spans="1:11" x14ac:dyDescent="0.4">
      <c r="A980" s="19">
        <v>45875.5</v>
      </c>
      <c r="B980" s="20">
        <f t="shared" si="91"/>
        <v>0.5</v>
      </c>
      <c r="C980">
        <v>0</v>
      </c>
      <c r="D980">
        <v>489.55200000000002</v>
      </c>
      <c r="E980">
        <f t="shared" si="90"/>
        <v>489.39700000000005</v>
      </c>
      <c r="F980">
        <v>489.54500000000002</v>
      </c>
      <c r="G980">
        <f t="shared" si="92"/>
        <v>0</v>
      </c>
      <c r="H980">
        <v>1.82</v>
      </c>
      <c r="I980">
        <f t="shared" si="93"/>
        <v>0</v>
      </c>
      <c r="J980">
        <f t="shared" si="94"/>
        <v>0</v>
      </c>
      <c r="K980">
        <f t="shared" si="95"/>
        <v>0</v>
      </c>
    </row>
    <row r="981" spans="1:11" x14ac:dyDescent="0.4">
      <c r="A981" s="19">
        <v>45875.541666666664</v>
      </c>
      <c r="B981" s="20">
        <f t="shared" si="91"/>
        <v>0.54166666666424135</v>
      </c>
      <c r="C981">
        <v>0</v>
      </c>
      <c r="D981">
        <v>489.54599999999999</v>
      </c>
      <c r="E981">
        <f t="shared" si="90"/>
        <v>489.39100000000002</v>
      </c>
      <c r="F981">
        <v>489.54500000000002</v>
      </c>
      <c r="G981">
        <f t="shared" si="92"/>
        <v>0</v>
      </c>
      <c r="H981">
        <v>1.82</v>
      </c>
      <c r="I981">
        <f t="shared" si="93"/>
        <v>0</v>
      </c>
      <c r="J981">
        <f t="shared" si="94"/>
        <v>0</v>
      </c>
      <c r="K981">
        <f t="shared" si="95"/>
        <v>0</v>
      </c>
    </row>
    <row r="982" spans="1:11" x14ac:dyDescent="0.4">
      <c r="A982" s="19">
        <v>45875.583333333336</v>
      </c>
      <c r="B982" s="20">
        <f t="shared" si="91"/>
        <v>0.58333333333575865</v>
      </c>
      <c r="C982">
        <v>0</v>
      </c>
      <c r="D982">
        <v>489.54599999999999</v>
      </c>
      <c r="E982">
        <f t="shared" si="90"/>
        <v>489.39100000000002</v>
      </c>
      <c r="F982">
        <v>489.54500000000002</v>
      </c>
      <c r="G982">
        <f t="shared" si="92"/>
        <v>0</v>
      </c>
      <c r="H982">
        <v>1.82</v>
      </c>
      <c r="I982">
        <f t="shared" si="93"/>
        <v>0</v>
      </c>
      <c r="J982">
        <f t="shared" si="94"/>
        <v>0</v>
      </c>
      <c r="K982">
        <f t="shared" si="95"/>
        <v>0</v>
      </c>
    </row>
    <row r="983" spans="1:11" x14ac:dyDescent="0.4">
      <c r="A983" s="19">
        <v>45875.625</v>
      </c>
      <c r="B983" s="20">
        <f t="shared" si="91"/>
        <v>0.625</v>
      </c>
      <c r="C983">
        <v>0</v>
      </c>
      <c r="D983">
        <v>489.54599999999999</v>
      </c>
      <c r="E983">
        <f t="shared" si="90"/>
        <v>489.39100000000002</v>
      </c>
      <c r="F983">
        <v>489.54500000000002</v>
      </c>
      <c r="G983">
        <f t="shared" si="92"/>
        <v>0</v>
      </c>
      <c r="H983">
        <v>1.82</v>
      </c>
      <c r="I983">
        <f t="shared" si="93"/>
        <v>0</v>
      </c>
      <c r="J983">
        <f t="shared" si="94"/>
        <v>0</v>
      </c>
      <c r="K983">
        <f t="shared" si="95"/>
        <v>0</v>
      </c>
    </row>
    <row r="984" spans="1:11" x14ac:dyDescent="0.4">
      <c r="A984" s="19">
        <v>45875.666666666664</v>
      </c>
      <c r="B984" s="20">
        <f t="shared" si="91"/>
        <v>0.66666666666424135</v>
      </c>
      <c r="C984">
        <v>0</v>
      </c>
      <c r="D984">
        <v>489.54599999999999</v>
      </c>
      <c r="E984">
        <f t="shared" si="90"/>
        <v>489.39100000000002</v>
      </c>
      <c r="F984">
        <v>489.54500000000002</v>
      </c>
      <c r="G984">
        <f t="shared" si="92"/>
        <v>0</v>
      </c>
      <c r="H984">
        <v>1.82</v>
      </c>
      <c r="I984">
        <f t="shared" si="93"/>
        <v>0</v>
      </c>
      <c r="J984">
        <f t="shared" si="94"/>
        <v>0</v>
      </c>
      <c r="K984">
        <f t="shared" si="95"/>
        <v>0</v>
      </c>
    </row>
    <row r="985" spans="1:11" x14ac:dyDescent="0.4">
      <c r="A985" s="19">
        <v>45875.708333333336</v>
      </c>
      <c r="B985" s="20">
        <f t="shared" si="91"/>
        <v>0.70833333333575865</v>
      </c>
      <c r="C985">
        <v>0</v>
      </c>
      <c r="D985">
        <v>489.54599999999999</v>
      </c>
      <c r="E985">
        <f t="shared" si="90"/>
        <v>489.39100000000002</v>
      </c>
      <c r="F985">
        <v>489.54500000000002</v>
      </c>
      <c r="G985">
        <f t="shared" si="92"/>
        <v>0</v>
      </c>
      <c r="H985">
        <v>1.82</v>
      </c>
      <c r="I985">
        <f t="shared" si="93"/>
        <v>0</v>
      </c>
      <c r="J985">
        <f t="shared" si="94"/>
        <v>0</v>
      </c>
      <c r="K985">
        <f t="shared" si="95"/>
        <v>0</v>
      </c>
    </row>
    <row r="986" spans="1:11" x14ac:dyDescent="0.4">
      <c r="A986" s="19">
        <v>45875.75</v>
      </c>
      <c r="B986" s="20">
        <f t="shared" si="91"/>
        <v>0.75</v>
      </c>
      <c r="C986">
        <v>0</v>
      </c>
      <c r="D986">
        <v>489.53899999999999</v>
      </c>
      <c r="E986">
        <f t="shared" si="90"/>
        <v>489.38400000000001</v>
      </c>
      <c r="F986">
        <v>489.54500000000002</v>
      </c>
      <c r="G986">
        <f t="shared" si="92"/>
        <v>0</v>
      </c>
      <c r="H986">
        <v>1.82</v>
      </c>
      <c r="I986">
        <f t="shared" si="93"/>
        <v>0</v>
      </c>
      <c r="J986">
        <f t="shared" si="94"/>
        <v>0</v>
      </c>
      <c r="K986">
        <f t="shared" si="95"/>
        <v>0</v>
      </c>
    </row>
    <row r="987" spans="1:11" x14ac:dyDescent="0.4">
      <c r="A987" s="19">
        <v>45875.791666666664</v>
      </c>
      <c r="B987" s="20">
        <f t="shared" si="91"/>
        <v>0.79166666666424135</v>
      </c>
      <c r="C987">
        <v>0</v>
      </c>
      <c r="D987">
        <v>489.53899999999999</v>
      </c>
      <c r="E987">
        <f t="shared" si="90"/>
        <v>489.38400000000001</v>
      </c>
      <c r="F987">
        <v>489.54500000000002</v>
      </c>
      <c r="G987">
        <f t="shared" si="92"/>
        <v>0</v>
      </c>
      <c r="H987">
        <v>1.82</v>
      </c>
      <c r="I987">
        <f t="shared" si="93"/>
        <v>0</v>
      </c>
      <c r="J987">
        <f t="shared" si="94"/>
        <v>0</v>
      </c>
      <c r="K987">
        <f t="shared" si="95"/>
        <v>0</v>
      </c>
    </row>
    <row r="988" spans="1:11" x14ac:dyDescent="0.4">
      <c r="A988" s="19">
        <v>45875.833333333336</v>
      </c>
      <c r="B988" s="20">
        <f t="shared" si="91"/>
        <v>0.83333333333575865</v>
      </c>
      <c r="C988">
        <v>0</v>
      </c>
      <c r="D988">
        <v>489.53899999999999</v>
      </c>
      <c r="E988">
        <f t="shared" si="90"/>
        <v>489.38400000000001</v>
      </c>
      <c r="F988">
        <v>489.54500000000002</v>
      </c>
      <c r="G988">
        <f t="shared" si="92"/>
        <v>0</v>
      </c>
      <c r="H988">
        <v>1.82</v>
      </c>
      <c r="I988">
        <f t="shared" si="93"/>
        <v>0</v>
      </c>
      <c r="J988">
        <f t="shared" si="94"/>
        <v>0</v>
      </c>
      <c r="K988">
        <f t="shared" si="95"/>
        <v>0</v>
      </c>
    </row>
    <row r="989" spans="1:11" x14ac:dyDescent="0.4">
      <c r="A989" s="19">
        <v>45875.875</v>
      </c>
      <c r="B989" s="20">
        <f t="shared" si="91"/>
        <v>0.875</v>
      </c>
      <c r="C989">
        <v>0</v>
      </c>
      <c r="D989">
        <v>489.54</v>
      </c>
      <c r="E989">
        <f t="shared" si="90"/>
        <v>489.38500000000005</v>
      </c>
      <c r="F989">
        <v>489.54500000000002</v>
      </c>
      <c r="G989">
        <f t="shared" si="92"/>
        <v>0</v>
      </c>
      <c r="H989">
        <v>1.82</v>
      </c>
      <c r="I989">
        <f t="shared" si="93"/>
        <v>0</v>
      </c>
      <c r="J989">
        <f t="shared" si="94"/>
        <v>0</v>
      </c>
      <c r="K989">
        <f t="shared" si="95"/>
        <v>0</v>
      </c>
    </row>
    <row r="990" spans="1:11" x14ac:dyDescent="0.4">
      <c r="A990" s="19">
        <v>45875.916666666664</v>
      </c>
      <c r="B990" s="20">
        <f t="shared" si="91"/>
        <v>0.91666666666424135</v>
      </c>
      <c r="C990">
        <v>0</v>
      </c>
      <c r="D990">
        <v>489.53899999999999</v>
      </c>
      <c r="E990">
        <f t="shared" si="90"/>
        <v>489.38400000000001</v>
      </c>
      <c r="F990">
        <v>489.54500000000002</v>
      </c>
      <c r="G990">
        <f t="shared" si="92"/>
        <v>0</v>
      </c>
      <c r="H990">
        <v>1.82</v>
      </c>
      <c r="I990">
        <f t="shared" si="93"/>
        <v>0</v>
      </c>
      <c r="J990">
        <f t="shared" si="94"/>
        <v>0</v>
      </c>
      <c r="K990">
        <f t="shared" si="95"/>
        <v>0</v>
      </c>
    </row>
    <row r="991" spans="1:11" x14ac:dyDescent="0.4">
      <c r="A991" s="19">
        <v>45875.958333333336</v>
      </c>
      <c r="B991" s="20">
        <f t="shared" si="91"/>
        <v>0.95833333333575865</v>
      </c>
      <c r="C991">
        <v>0</v>
      </c>
      <c r="D991">
        <v>489.53300000000002</v>
      </c>
      <c r="E991">
        <f t="shared" si="90"/>
        <v>489.37800000000004</v>
      </c>
      <c r="F991">
        <v>489.54500000000002</v>
      </c>
      <c r="G991">
        <f t="shared" si="92"/>
        <v>0</v>
      </c>
      <c r="H991">
        <v>1.82</v>
      </c>
      <c r="I991">
        <f t="shared" si="93"/>
        <v>0</v>
      </c>
      <c r="J991">
        <f t="shared" si="94"/>
        <v>0</v>
      </c>
      <c r="K991">
        <f t="shared" si="95"/>
        <v>0</v>
      </c>
    </row>
    <row r="992" spans="1:11" x14ac:dyDescent="0.4">
      <c r="A992" s="19">
        <v>45876</v>
      </c>
      <c r="B992" s="20">
        <f t="shared" si="91"/>
        <v>0</v>
      </c>
      <c r="C992">
        <v>0</v>
      </c>
      <c r="D992">
        <v>489.53300000000002</v>
      </c>
      <c r="E992">
        <f t="shared" si="90"/>
        <v>489.37800000000004</v>
      </c>
      <c r="F992">
        <v>489.54500000000002</v>
      </c>
      <c r="G992">
        <f t="shared" si="92"/>
        <v>0</v>
      </c>
      <c r="H992">
        <v>1.82</v>
      </c>
      <c r="I992">
        <f t="shared" si="93"/>
        <v>0</v>
      </c>
      <c r="J992">
        <f t="shared" si="94"/>
        <v>0</v>
      </c>
      <c r="K992">
        <f t="shared" si="95"/>
        <v>0</v>
      </c>
    </row>
    <row r="993" spans="1:11" x14ac:dyDescent="0.4">
      <c r="A993" s="19">
        <v>45876.041666666664</v>
      </c>
      <c r="B993" s="20">
        <f t="shared" si="91"/>
        <v>4.1666666664241347E-2</v>
      </c>
      <c r="C993">
        <v>0</v>
      </c>
      <c r="D993">
        <v>489.53300000000002</v>
      </c>
      <c r="E993">
        <f t="shared" si="90"/>
        <v>489.37800000000004</v>
      </c>
      <c r="F993">
        <v>489.54500000000002</v>
      </c>
      <c r="G993">
        <f t="shared" si="92"/>
        <v>0</v>
      </c>
      <c r="H993">
        <v>1.82</v>
      </c>
      <c r="I993">
        <f t="shared" si="93"/>
        <v>0</v>
      </c>
      <c r="J993">
        <f t="shared" si="94"/>
        <v>0</v>
      </c>
      <c r="K993">
        <f t="shared" si="95"/>
        <v>0</v>
      </c>
    </row>
    <row r="994" spans="1:11" x14ac:dyDescent="0.4">
      <c r="A994" s="19">
        <v>45876.083333333336</v>
      </c>
      <c r="B994" s="20">
        <f t="shared" si="91"/>
        <v>8.3333333335758653E-2</v>
      </c>
      <c r="C994">
        <v>0</v>
      </c>
      <c r="D994">
        <v>489.53300000000002</v>
      </c>
      <c r="E994">
        <f t="shared" si="90"/>
        <v>489.37800000000004</v>
      </c>
      <c r="F994">
        <v>489.54500000000002</v>
      </c>
      <c r="G994">
        <f t="shared" si="92"/>
        <v>0</v>
      </c>
      <c r="H994">
        <v>1.82</v>
      </c>
      <c r="I994">
        <f t="shared" si="93"/>
        <v>0</v>
      </c>
      <c r="J994">
        <f t="shared" si="94"/>
        <v>0</v>
      </c>
      <c r="K994">
        <f t="shared" si="95"/>
        <v>0</v>
      </c>
    </row>
    <row r="995" spans="1:11" x14ac:dyDescent="0.4">
      <c r="A995" s="19">
        <v>45876.125</v>
      </c>
      <c r="B995" s="20">
        <f t="shared" si="91"/>
        <v>0.125</v>
      </c>
      <c r="C995">
        <v>0</v>
      </c>
      <c r="D995">
        <v>489.53300000000002</v>
      </c>
      <c r="E995">
        <f t="shared" si="90"/>
        <v>489.37800000000004</v>
      </c>
      <c r="F995">
        <v>489.54500000000002</v>
      </c>
      <c r="G995">
        <f t="shared" si="92"/>
        <v>0</v>
      </c>
      <c r="H995">
        <v>1.82</v>
      </c>
      <c r="I995">
        <f t="shared" si="93"/>
        <v>0</v>
      </c>
      <c r="J995">
        <f t="shared" si="94"/>
        <v>0</v>
      </c>
      <c r="K995">
        <f t="shared" si="95"/>
        <v>0</v>
      </c>
    </row>
    <row r="996" spans="1:11" x14ac:dyDescent="0.4">
      <c r="A996" s="19">
        <v>45876.166666666664</v>
      </c>
      <c r="B996" s="20">
        <f t="shared" si="91"/>
        <v>0.16666666666424135</v>
      </c>
      <c r="C996">
        <v>0</v>
      </c>
      <c r="D996">
        <v>489.52600000000001</v>
      </c>
      <c r="E996">
        <f t="shared" si="90"/>
        <v>489.37100000000004</v>
      </c>
      <c r="F996">
        <v>489.54500000000002</v>
      </c>
      <c r="G996">
        <f t="shared" si="92"/>
        <v>0</v>
      </c>
      <c r="H996">
        <v>1.82</v>
      </c>
      <c r="I996">
        <f t="shared" si="93"/>
        <v>0</v>
      </c>
      <c r="J996">
        <f t="shared" si="94"/>
        <v>0</v>
      </c>
      <c r="K996">
        <f t="shared" si="95"/>
        <v>0</v>
      </c>
    </row>
    <row r="997" spans="1:11" x14ac:dyDescent="0.4">
      <c r="A997" s="19">
        <v>45876.208333333336</v>
      </c>
      <c r="B997" s="20">
        <f t="shared" si="91"/>
        <v>0.20833333333575865</v>
      </c>
      <c r="C997">
        <v>0</v>
      </c>
      <c r="D997">
        <v>489.52699999999999</v>
      </c>
      <c r="E997">
        <f t="shared" si="90"/>
        <v>489.37200000000001</v>
      </c>
      <c r="F997">
        <v>489.54500000000002</v>
      </c>
      <c r="G997">
        <f t="shared" si="92"/>
        <v>0</v>
      </c>
      <c r="H997">
        <v>1.82</v>
      </c>
      <c r="I997">
        <f t="shared" si="93"/>
        <v>0</v>
      </c>
      <c r="J997">
        <f t="shared" si="94"/>
        <v>0</v>
      </c>
      <c r="K997">
        <f t="shared" si="95"/>
        <v>0</v>
      </c>
    </row>
    <row r="998" spans="1:11" x14ac:dyDescent="0.4">
      <c r="A998" s="19">
        <v>45876.25</v>
      </c>
      <c r="B998" s="20">
        <f t="shared" si="91"/>
        <v>0.25</v>
      </c>
      <c r="C998">
        <v>0</v>
      </c>
      <c r="D998">
        <v>489.52699999999999</v>
      </c>
      <c r="E998">
        <f t="shared" si="90"/>
        <v>489.37200000000001</v>
      </c>
      <c r="F998">
        <v>489.54500000000002</v>
      </c>
      <c r="G998">
        <f t="shared" si="92"/>
        <v>0</v>
      </c>
      <c r="H998">
        <v>1.82</v>
      </c>
      <c r="I998">
        <f t="shared" si="93"/>
        <v>0</v>
      </c>
      <c r="J998">
        <f t="shared" si="94"/>
        <v>0</v>
      </c>
      <c r="K998">
        <f t="shared" si="95"/>
        <v>0</v>
      </c>
    </row>
    <row r="999" spans="1:11" x14ac:dyDescent="0.4">
      <c r="A999" s="19">
        <v>45876.291666666664</v>
      </c>
      <c r="B999" s="20">
        <f t="shared" si="91"/>
        <v>0.29166666666424135</v>
      </c>
      <c r="C999">
        <v>0</v>
      </c>
      <c r="D999">
        <v>489.52600000000001</v>
      </c>
      <c r="E999">
        <f t="shared" si="90"/>
        <v>489.37100000000004</v>
      </c>
      <c r="F999">
        <v>489.54500000000002</v>
      </c>
      <c r="G999">
        <f t="shared" si="92"/>
        <v>0</v>
      </c>
      <c r="H999">
        <v>1.82</v>
      </c>
      <c r="I999">
        <f t="shared" si="93"/>
        <v>0</v>
      </c>
      <c r="J999">
        <f t="shared" si="94"/>
        <v>0</v>
      </c>
      <c r="K999">
        <f t="shared" si="95"/>
        <v>0</v>
      </c>
    </row>
    <row r="1000" spans="1:11" x14ac:dyDescent="0.4">
      <c r="A1000" s="19">
        <v>45876.333333333336</v>
      </c>
      <c r="B1000" s="20">
        <f t="shared" si="91"/>
        <v>0.33333333333575865</v>
      </c>
      <c r="C1000">
        <v>0</v>
      </c>
      <c r="D1000">
        <v>489.52600000000001</v>
      </c>
      <c r="E1000">
        <f t="shared" si="90"/>
        <v>489.37100000000004</v>
      </c>
      <c r="F1000">
        <v>489.54500000000002</v>
      </c>
      <c r="G1000">
        <f t="shared" si="92"/>
        <v>0</v>
      </c>
      <c r="H1000">
        <v>1.82</v>
      </c>
      <c r="I1000">
        <f t="shared" si="93"/>
        <v>0</v>
      </c>
      <c r="J1000">
        <f t="shared" si="94"/>
        <v>0</v>
      </c>
      <c r="K1000">
        <f t="shared" si="95"/>
        <v>0</v>
      </c>
    </row>
    <row r="1001" spans="1:11" x14ac:dyDescent="0.4">
      <c r="A1001" s="19">
        <v>45876.375</v>
      </c>
      <c r="B1001" s="20">
        <f t="shared" si="91"/>
        <v>0.375</v>
      </c>
      <c r="C1001">
        <v>0</v>
      </c>
      <c r="D1001">
        <v>489.52</v>
      </c>
      <c r="E1001">
        <f t="shared" si="90"/>
        <v>489.36500000000001</v>
      </c>
      <c r="F1001">
        <v>489.54500000000002</v>
      </c>
      <c r="G1001">
        <f t="shared" si="92"/>
        <v>0</v>
      </c>
      <c r="H1001">
        <v>1.82</v>
      </c>
      <c r="I1001">
        <f t="shared" si="93"/>
        <v>0</v>
      </c>
      <c r="J1001">
        <f t="shared" si="94"/>
        <v>0</v>
      </c>
      <c r="K1001">
        <f t="shared" si="95"/>
        <v>0</v>
      </c>
    </row>
    <row r="1002" spans="1:11" x14ac:dyDescent="0.4">
      <c r="A1002" s="19">
        <v>45876.416666666664</v>
      </c>
      <c r="B1002" s="20">
        <f t="shared" si="91"/>
        <v>0.41666666666424135</v>
      </c>
      <c r="C1002">
        <v>0</v>
      </c>
      <c r="D1002">
        <v>489.52</v>
      </c>
      <c r="E1002">
        <f t="shared" si="90"/>
        <v>489.36500000000001</v>
      </c>
      <c r="F1002">
        <v>489.54500000000002</v>
      </c>
      <c r="G1002">
        <f t="shared" si="92"/>
        <v>0</v>
      </c>
      <c r="H1002">
        <v>1.82</v>
      </c>
      <c r="I1002">
        <f t="shared" si="93"/>
        <v>0</v>
      </c>
      <c r="J1002">
        <f t="shared" si="94"/>
        <v>0</v>
      </c>
      <c r="K1002">
        <f t="shared" si="95"/>
        <v>0</v>
      </c>
    </row>
    <row r="1003" spans="1:11" x14ac:dyDescent="0.4">
      <c r="A1003" s="19">
        <v>45876.458333333336</v>
      </c>
      <c r="B1003" s="20">
        <f t="shared" si="91"/>
        <v>0.45833333333575865</v>
      </c>
      <c r="C1003">
        <v>0</v>
      </c>
      <c r="D1003">
        <v>489.52</v>
      </c>
      <c r="E1003">
        <f t="shared" si="90"/>
        <v>489.36500000000001</v>
      </c>
      <c r="F1003">
        <v>489.54500000000002</v>
      </c>
      <c r="G1003">
        <f t="shared" si="92"/>
        <v>0</v>
      </c>
      <c r="H1003">
        <v>1.82</v>
      </c>
      <c r="I1003">
        <f t="shared" si="93"/>
        <v>0</v>
      </c>
      <c r="J1003">
        <f t="shared" si="94"/>
        <v>0</v>
      </c>
      <c r="K1003">
        <f t="shared" si="95"/>
        <v>0</v>
      </c>
    </row>
    <row r="1004" spans="1:11" x14ac:dyDescent="0.4">
      <c r="A1004" s="19">
        <v>45876.5</v>
      </c>
      <c r="B1004" s="20">
        <f t="shared" si="91"/>
        <v>0.5</v>
      </c>
      <c r="C1004">
        <v>0</v>
      </c>
      <c r="D1004">
        <v>489.52</v>
      </c>
      <c r="E1004">
        <f t="shared" si="90"/>
        <v>489.36500000000001</v>
      </c>
      <c r="F1004">
        <v>489.54500000000002</v>
      </c>
      <c r="G1004">
        <f t="shared" si="92"/>
        <v>0</v>
      </c>
      <c r="H1004">
        <v>1.82</v>
      </c>
      <c r="I1004">
        <f t="shared" si="93"/>
        <v>0</v>
      </c>
      <c r="J1004">
        <f t="shared" si="94"/>
        <v>0</v>
      </c>
      <c r="K1004">
        <f t="shared" si="95"/>
        <v>0</v>
      </c>
    </row>
    <row r="1005" spans="1:11" x14ac:dyDescent="0.4">
      <c r="A1005" s="19">
        <v>45876.541666666664</v>
      </c>
      <c r="B1005" s="20">
        <f t="shared" si="91"/>
        <v>0.54166666666424135</v>
      </c>
      <c r="C1005">
        <v>0</v>
      </c>
      <c r="D1005">
        <v>489.52</v>
      </c>
      <c r="E1005">
        <f t="shared" si="90"/>
        <v>489.36500000000001</v>
      </c>
      <c r="F1005">
        <v>489.54500000000002</v>
      </c>
      <c r="G1005">
        <f t="shared" si="92"/>
        <v>0</v>
      </c>
      <c r="H1005">
        <v>1.82</v>
      </c>
      <c r="I1005">
        <f t="shared" si="93"/>
        <v>0</v>
      </c>
      <c r="J1005">
        <f t="shared" si="94"/>
        <v>0</v>
      </c>
      <c r="K1005">
        <f t="shared" si="95"/>
        <v>0</v>
      </c>
    </row>
    <row r="1006" spans="1:11" x14ac:dyDescent="0.4">
      <c r="A1006" s="19">
        <v>45876.583333333336</v>
      </c>
      <c r="B1006" s="20">
        <f t="shared" si="91"/>
        <v>0.58333333333575865</v>
      </c>
      <c r="C1006">
        <v>0</v>
      </c>
      <c r="D1006">
        <v>489.51299999999998</v>
      </c>
      <c r="E1006">
        <f t="shared" si="90"/>
        <v>489.358</v>
      </c>
      <c r="F1006">
        <v>489.54500000000002</v>
      </c>
      <c r="G1006">
        <f t="shared" si="92"/>
        <v>0</v>
      </c>
      <c r="H1006">
        <v>1.82</v>
      </c>
      <c r="I1006">
        <f t="shared" si="93"/>
        <v>0</v>
      </c>
      <c r="J1006">
        <f t="shared" si="94"/>
        <v>0</v>
      </c>
      <c r="K1006">
        <f t="shared" si="95"/>
        <v>0</v>
      </c>
    </row>
    <row r="1007" spans="1:11" x14ac:dyDescent="0.4">
      <c r="A1007" s="19">
        <v>45876.625</v>
      </c>
      <c r="B1007" s="20">
        <f t="shared" si="91"/>
        <v>0.625</v>
      </c>
      <c r="C1007">
        <v>0</v>
      </c>
      <c r="D1007">
        <v>489.51299999999998</v>
      </c>
      <c r="E1007">
        <f t="shared" si="90"/>
        <v>489.358</v>
      </c>
      <c r="F1007">
        <v>489.54500000000002</v>
      </c>
      <c r="G1007">
        <f t="shared" si="92"/>
        <v>0</v>
      </c>
      <c r="H1007">
        <v>1.82</v>
      </c>
      <c r="I1007">
        <f t="shared" si="93"/>
        <v>0</v>
      </c>
      <c r="J1007">
        <f t="shared" si="94"/>
        <v>0</v>
      </c>
      <c r="K1007">
        <f t="shared" si="95"/>
        <v>0</v>
      </c>
    </row>
    <row r="1008" spans="1:11" x14ac:dyDescent="0.4">
      <c r="A1008" s="19">
        <v>45876.666666666664</v>
      </c>
      <c r="B1008" s="20">
        <f t="shared" si="91"/>
        <v>0.66666666666424135</v>
      </c>
      <c r="C1008">
        <v>0</v>
      </c>
      <c r="D1008">
        <v>489.51299999999998</v>
      </c>
      <c r="E1008">
        <f t="shared" si="90"/>
        <v>489.358</v>
      </c>
      <c r="F1008">
        <v>489.54500000000002</v>
      </c>
      <c r="G1008">
        <f t="shared" si="92"/>
        <v>0</v>
      </c>
      <c r="H1008">
        <v>1.82</v>
      </c>
      <c r="I1008">
        <f t="shared" si="93"/>
        <v>0</v>
      </c>
      <c r="J1008">
        <f t="shared" si="94"/>
        <v>0</v>
      </c>
      <c r="K1008">
        <f t="shared" si="95"/>
        <v>0</v>
      </c>
    </row>
    <row r="1009" spans="1:11" x14ac:dyDescent="0.4">
      <c r="A1009" s="19">
        <v>45876.708333333336</v>
      </c>
      <c r="B1009" s="20">
        <f t="shared" si="91"/>
        <v>0.70833333333575865</v>
      </c>
      <c r="C1009">
        <v>0</v>
      </c>
      <c r="D1009">
        <v>489.51299999999998</v>
      </c>
      <c r="E1009">
        <f t="shared" si="90"/>
        <v>489.358</v>
      </c>
      <c r="F1009">
        <v>489.54500000000002</v>
      </c>
      <c r="G1009">
        <f t="shared" si="92"/>
        <v>0</v>
      </c>
      <c r="H1009">
        <v>1.82</v>
      </c>
      <c r="I1009">
        <f t="shared" si="93"/>
        <v>0</v>
      </c>
      <c r="J1009">
        <f t="shared" si="94"/>
        <v>0</v>
      </c>
      <c r="K1009">
        <f t="shared" si="95"/>
        <v>0</v>
      </c>
    </row>
    <row r="1010" spans="1:11" x14ac:dyDescent="0.4">
      <c r="A1010" s="19">
        <v>45876.75</v>
      </c>
      <c r="B1010" s="20">
        <f t="shared" si="91"/>
        <v>0.75</v>
      </c>
      <c r="C1010">
        <v>0</v>
      </c>
      <c r="D1010">
        <v>489.51299999999998</v>
      </c>
      <c r="E1010">
        <f t="shared" si="90"/>
        <v>489.358</v>
      </c>
      <c r="F1010">
        <v>489.54500000000002</v>
      </c>
      <c r="G1010">
        <f t="shared" si="92"/>
        <v>0</v>
      </c>
      <c r="H1010">
        <v>1.82</v>
      </c>
      <c r="I1010">
        <f t="shared" si="93"/>
        <v>0</v>
      </c>
      <c r="J1010">
        <f t="shared" si="94"/>
        <v>0</v>
      </c>
      <c r="K1010">
        <f t="shared" si="95"/>
        <v>0</v>
      </c>
    </row>
    <row r="1011" spans="1:11" x14ac:dyDescent="0.4">
      <c r="A1011" s="19">
        <v>45876.791666666664</v>
      </c>
      <c r="B1011" s="20">
        <f t="shared" si="91"/>
        <v>0.79166666666424135</v>
      </c>
      <c r="C1011">
        <v>0</v>
      </c>
      <c r="D1011">
        <v>489.50799999999998</v>
      </c>
      <c r="E1011">
        <f t="shared" si="90"/>
        <v>489.35300000000001</v>
      </c>
      <c r="F1011">
        <v>489.54500000000002</v>
      </c>
      <c r="G1011">
        <f t="shared" si="92"/>
        <v>0</v>
      </c>
      <c r="H1011">
        <v>1.82</v>
      </c>
      <c r="I1011">
        <f t="shared" si="93"/>
        <v>0</v>
      </c>
      <c r="J1011">
        <f t="shared" si="94"/>
        <v>0</v>
      </c>
      <c r="K1011">
        <f t="shared" si="95"/>
        <v>0</v>
      </c>
    </row>
    <row r="1012" spans="1:11" x14ac:dyDescent="0.4">
      <c r="A1012" s="19">
        <v>45876.833333333336</v>
      </c>
      <c r="B1012" s="20">
        <f t="shared" si="91"/>
        <v>0.83333333333575865</v>
      </c>
      <c r="C1012">
        <v>0</v>
      </c>
      <c r="D1012">
        <v>489.50700000000001</v>
      </c>
      <c r="E1012">
        <f t="shared" si="90"/>
        <v>489.35200000000003</v>
      </c>
      <c r="F1012">
        <v>489.54500000000002</v>
      </c>
      <c r="G1012">
        <f t="shared" si="92"/>
        <v>0</v>
      </c>
      <c r="H1012">
        <v>1.82</v>
      </c>
      <c r="I1012">
        <f t="shared" si="93"/>
        <v>0</v>
      </c>
      <c r="J1012">
        <f t="shared" si="94"/>
        <v>0</v>
      </c>
      <c r="K1012">
        <f t="shared" si="95"/>
        <v>0</v>
      </c>
    </row>
    <row r="1013" spans="1:11" x14ac:dyDescent="0.4">
      <c r="A1013" s="19">
        <v>45876.875</v>
      </c>
      <c r="B1013" s="20">
        <f t="shared" si="91"/>
        <v>0.875</v>
      </c>
      <c r="C1013">
        <v>0</v>
      </c>
      <c r="D1013">
        <v>489.50700000000001</v>
      </c>
      <c r="E1013">
        <f t="shared" si="90"/>
        <v>489.35200000000003</v>
      </c>
      <c r="F1013">
        <v>489.54500000000002</v>
      </c>
      <c r="G1013">
        <f t="shared" si="92"/>
        <v>0</v>
      </c>
      <c r="H1013">
        <v>1.82</v>
      </c>
      <c r="I1013">
        <f t="shared" si="93"/>
        <v>0</v>
      </c>
      <c r="J1013">
        <f t="shared" si="94"/>
        <v>0</v>
      </c>
      <c r="K1013">
        <f t="shared" si="95"/>
        <v>0</v>
      </c>
    </row>
    <row r="1014" spans="1:11" x14ac:dyDescent="0.4">
      <c r="A1014" s="19">
        <v>45876.916666666664</v>
      </c>
      <c r="B1014" s="20">
        <f t="shared" si="91"/>
        <v>0.91666666666424135</v>
      </c>
      <c r="C1014">
        <v>0.4</v>
      </c>
      <c r="D1014">
        <v>489.50799999999998</v>
      </c>
      <c r="E1014">
        <f t="shared" si="90"/>
        <v>489.35300000000001</v>
      </c>
      <c r="F1014">
        <v>489.54500000000002</v>
      </c>
      <c r="G1014">
        <f t="shared" si="92"/>
        <v>0</v>
      </c>
      <c r="H1014">
        <v>1.82</v>
      </c>
      <c r="I1014">
        <f t="shared" si="93"/>
        <v>0</v>
      </c>
      <c r="J1014">
        <f t="shared" si="94"/>
        <v>0</v>
      </c>
      <c r="K1014">
        <f t="shared" si="95"/>
        <v>0</v>
      </c>
    </row>
    <row r="1015" spans="1:11" x14ac:dyDescent="0.4">
      <c r="A1015" s="19">
        <v>45876.958333333336</v>
      </c>
      <c r="B1015" s="20">
        <f t="shared" si="91"/>
        <v>0.95833333333575865</v>
      </c>
      <c r="C1015">
        <v>0</v>
      </c>
      <c r="D1015">
        <v>489.50099999999998</v>
      </c>
      <c r="E1015">
        <f t="shared" si="90"/>
        <v>489.346</v>
      </c>
      <c r="F1015">
        <v>489.54500000000002</v>
      </c>
      <c r="G1015">
        <f t="shared" si="92"/>
        <v>0</v>
      </c>
      <c r="H1015">
        <v>1.82</v>
      </c>
      <c r="I1015">
        <f t="shared" si="93"/>
        <v>0</v>
      </c>
      <c r="J1015">
        <f t="shared" si="94"/>
        <v>0</v>
      </c>
      <c r="K1015">
        <f t="shared" si="95"/>
        <v>0</v>
      </c>
    </row>
    <row r="1016" spans="1:11" x14ac:dyDescent="0.4">
      <c r="A1016" s="19">
        <v>45877</v>
      </c>
      <c r="B1016" s="20">
        <f t="shared" si="91"/>
        <v>0</v>
      </c>
      <c r="C1016">
        <v>0</v>
      </c>
      <c r="D1016">
        <v>489.50099999999998</v>
      </c>
      <c r="E1016">
        <f t="shared" si="90"/>
        <v>489.346</v>
      </c>
      <c r="F1016">
        <v>489.54500000000002</v>
      </c>
      <c r="G1016">
        <f t="shared" si="92"/>
        <v>0</v>
      </c>
      <c r="H1016">
        <v>1.82</v>
      </c>
      <c r="I1016">
        <f t="shared" si="93"/>
        <v>0</v>
      </c>
      <c r="J1016">
        <f t="shared" si="94"/>
        <v>0</v>
      </c>
      <c r="K1016">
        <f t="shared" si="95"/>
        <v>0</v>
      </c>
    </row>
    <row r="1017" spans="1:11" x14ac:dyDescent="0.4">
      <c r="A1017" s="19">
        <v>45877.041666666664</v>
      </c>
      <c r="B1017" s="20">
        <f t="shared" si="91"/>
        <v>4.1666666664241347E-2</v>
      </c>
      <c r="C1017">
        <v>0.2</v>
      </c>
      <c r="D1017">
        <v>489.50099999999998</v>
      </c>
      <c r="E1017">
        <f t="shared" si="90"/>
        <v>489.346</v>
      </c>
      <c r="F1017">
        <v>489.54500000000002</v>
      </c>
      <c r="G1017">
        <f t="shared" si="92"/>
        <v>0</v>
      </c>
      <c r="H1017">
        <v>1.82</v>
      </c>
      <c r="I1017">
        <f t="shared" si="93"/>
        <v>0</v>
      </c>
      <c r="J1017">
        <f t="shared" si="94"/>
        <v>0</v>
      </c>
      <c r="K1017">
        <f t="shared" si="95"/>
        <v>0</v>
      </c>
    </row>
    <row r="1018" spans="1:11" x14ac:dyDescent="0.4">
      <c r="A1018" s="19">
        <v>45877.083333333336</v>
      </c>
      <c r="B1018" s="20">
        <f t="shared" si="91"/>
        <v>8.3333333335758653E-2</v>
      </c>
      <c r="C1018">
        <v>0.2</v>
      </c>
      <c r="D1018">
        <v>489.50099999999998</v>
      </c>
      <c r="E1018">
        <f t="shared" si="90"/>
        <v>489.346</v>
      </c>
      <c r="F1018">
        <v>489.54500000000002</v>
      </c>
      <c r="G1018">
        <f t="shared" si="92"/>
        <v>0</v>
      </c>
      <c r="H1018">
        <v>1.82</v>
      </c>
      <c r="I1018">
        <f t="shared" si="93"/>
        <v>0</v>
      </c>
      <c r="J1018">
        <f t="shared" si="94"/>
        <v>0</v>
      </c>
      <c r="K1018">
        <f t="shared" si="95"/>
        <v>0</v>
      </c>
    </row>
    <row r="1019" spans="1:11" x14ac:dyDescent="0.4">
      <c r="A1019" s="19">
        <v>45877.125</v>
      </c>
      <c r="B1019" s="20">
        <f t="shared" si="91"/>
        <v>0.125</v>
      </c>
      <c r="C1019">
        <v>0.4</v>
      </c>
      <c r="D1019">
        <v>489.50099999999998</v>
      </c>
      <c r="E1019">
        <f t="shared" si="90"/>
        <v>489.346</v>
      </c>
      <c r="F1019">
        <v>489.54500000000002</v>
      </c>
      <c r="G1019">
        <f t="shared" si="92"/>
        <v>0</v>
      </c>
      <c r="H1019">
        <v>1.82</v>
      </c>
      <c r="I1019">
        <f t="shared" si="93"/>
        <v>0</v>
      </c>
      <c r="J1019">
        <f t="shared" si="94"/>
        <v>0</v>
      </c>
      <c r="K1019">
        <f t="shared" si="95"/>
        <v>0</v>
      </c>
    </row>
    <row r="1020" spans="1:11" x14ac:dyDescent="0.4">
      <c r="A1020" s="19">
        <v>45877.166666666664</v>
      </c>
      <c r="B1020" s="20">
        <f t="shared" si="91"/>
        <v>0.16666666666424135</v>
      </c>
      <c r="C1020">
        <v>0</v>
      </c>
      <c r="D1020">
        <v>489.50099999999998</v>
      </c>
      <c r="E1020">
        <f t="shared" si="90"/>
        <v>489.346</v>
      </c>
      <c r="F1020">
        <v>489.54500000000002</v>
      </c>
      <c r="G1020">
        <f t="shared" si="92"/>
        <v>0</v>
      </c>
      <c r="H1020">
        <v>1.82</v>
      </c>
      <c r="I1020">
        <f t="shared" si="93"/>
        <v>0</v>
      </c>
      <c r="J1020">
        <f t="shared" si="94"/>
        <v>0</v>
      </c>
      <c r="K1020">
        <f t="shared" si="95"/>
        <v>0</v>
      </c>
    </row>
    <row r="1021" spans="1:11" x14ac:dyDescent="0.4">
      <c r="A1021" s="19">
        <v>45877.208333333336</v>
      </c>
      <c r="B1021" s="20">
        <f t="shared" si="91"/>
        <v>0.20833333333575865</v>
      </c>
      <c r="C1021">
        <v>0</v>
      </c>
      <c r="D1021">
        <v>489.495</v>
      </c>
      <c r="E1021">
        <f t="shared" si="90"/>
        <v>489.34000000000003</v>
      </c>
      <c r="F1021">
        <v>489.54500000000002</v>
      </c>
      <c r="G1021">
        <f t="shared" si="92"/>
        <v>0</v>
      </c>
      <c r="H1021">
        <v>1.82</v>
      </c>
      <c r="I1021">
        <f t="shared" si="93"/>
        <v>0</v>
      </c>
      <c r="J1021">
        <f t="shared" si="94"/>
        <v>0</v>
      </c>
      <c r="K1021">
        <f t="shared" si="95"/>
        <v>0</v>
      </c>
    </row>
    <row r="1022" spans="1:11" x14ac:dyDescent="0.4">
      <c r="A1022" s="19">
        <v>45877.25</v>
      </c>
      <c r="B1022" s="20">
        <f t="shared" si="91"/>
        <v>0.25</v>
      </c>
      <c r="C1022">
        <v>0</v>
      </c>
      <c r="D1022">
        <v>489.49599999999998</v>
      </c>
      <c r="E1022">
        <f t="shared" si="90"/>
        <v>489.34100000000001</v>
      </c>
      <c r="F1022">
        <v>489.54500000000002</v>
      </c>
      <c r="G1022">
        <f t="shared" si="92"/>
        <v>0</v>
      </c>
      <c r="H1022">
        <v>1.82</v>
      </c>
      <c r="I1022">
        <f t="shared" si="93"/>
        <v>0</v>
      </c>
      <c r="J1022">
        <f t="shared" si="94"/>
        <v>0</v>
      </c>
      <c r="K1022">
        <f t="shared" si="95"/>
        <v>0</v>
      </c>
    </row>
    <row r="1023" spans="1:11" x14ac:dyDescent="0.4">
      <c r="A1023" s="19">
        <v>45877.291666666664</v>
      </c>
      <c r="B1023" s="20">
        <f t="shared" si="91"/>
        <v>0.29166666666424135</v>
      </c>
      <c r="C1023">
        <v>0</v>
      </c>
      <c r="D1023">
        <v>489.495</v>
      </c>
      <c r="E1023">
        <f t="shared" si="90"/>
        <v>489.34000000000003</v>
      </c>
      <c r="F1023">
        <v>489.54500000000002</v>
      </c>
      <c r="G1023">
        <f t="shared" si="92"/>
        <v>0</v>
      </c>
      <c r="H1023">
        <v>1.82</v>
      </c>
      <c r="I1023">
        <f t="shared" si="93"/>
        <v>0</v>
      </c>
      <c r="J1023">
        <f t="shared" si="94"/>
        <v>0</v>
      </c>
      <c r="K1023">
        <f t="shared" si="95"/>
        <v>0</v>
      </c>
    </row>
    <row r="1024" spans="1:11" x14ac:dyDescent="0.4">
      <c r="A1024" s="19">
        <v>45877.333333333336</v>
      </c>
      <c r="B1024" s="20">
        <f t="shared" si="91"/>
        <v>0.33333333333575865</v>
      </c>
      <c r="C1024">
        <v>0</v>
      </c>
      <c r="D1024">
        <v>489.495</v>
      </c>
      <c r="E1024">
        <f t="shared" si="90"/>
        <v>489.34000000000003</v>
      </c>
      <c r="F1024">
        <v>489.54500000000002</v>
      </c>
      <c r="G1024">
        <f t="shared" si="92"/>
        <v>0</v>
      </c>
      <c r="H1024">
        <v>1.82</v>
      </c>
      <c r="I1024">
        <f t="shared" si="93"/>
        <v>0</v>
      </c>
      <c r="J1024">
        <f t="shared" si="94"/>
        <v>0</v>
      </c>
      <c r="K1024">
        <f t="shared" si="95"/>
        <v>0</v>
      </c>
    </row>
    <row r="1025" spans="1:11" x14ac:dyDescent="0.4">
      <c r="A1025" s="19">
        <v>45877.375</v>
      </c>
      <c r="B1025" s="20">
        <f t="shared" si="91"/>
        <v>0.375</v>
      </c>
      <c r="C1025">
        <v>0</v>
      </c>
      <c r="D1025">
        <v>489.495</v>
      </c>
      <c r="E1025">
        <f t="shared" si="90"/>
        <v>489.34000000000003</v>
      </c>
      <c r="F1025">
        <v>489.54500000000002</v>
      </c>
      <c r="G1025">
        <f t="shared" si="92"/>
        <v>0</v>
      </c>
      <c r="H1025">
        <v>1.82</v>
      </c>
      <c r="I1025">
        <f t="shared" si="93"/>
        <v>0</v>
      </c>
      <c r="J1025">
        <f t="shared" si="94"/>
        <v>0</v>
      </c>
      <c r="K1025">
        <f t="shared" si="95"/>
        <v>0</v>
      </c>
    </row>
    <row r="1026" spans="1:11" x14ac:dyDescent="0.4">
      <c r="A1026" s="19">
        <v>45877.416666666664</v>
      </c>
      <c r="B1026" s="20">
        <f t="shared" si="91"/>
        <v>0.41666666666424135</v>
      </c>
      <c r="C1026">
        <v>0</v>
      </c>
      <c r="D1026">
        <v>489.488</v>
      </c>
      <c r="E1026">
        <f t="shared" ref="E1026:E1089" si="96">D1026-0.155</f>
        <v>489.33300000000003</v>
      </c>
      <c r="F1026">
        <v>489.54500000000002</v>
      </c>
      <c r="G1026">
        <f t="shared" si="92"/>
        <v>0</v>
      </c>
      <c r="H1026">
        <v>1.82</v>
      </c>
      <c r="I1026">
        <f t="shared" si="93"/>
        <v>0</v>
      </c>
      <c r="J1026">
        <f t="shared" si="94"/>
        <v>0</v>
      </c>
      <c r="K1026">
        <f t="shared" si="95"/>
        <v>0</v>
      </c>
    </row>
    <row r="1027" spans="1:11" x14ac:dyDescent="0.4">
      <c r="A1027" s="19">
        <v>45877.458333333336</v>
      </c>
      <c r="B1027" s="20">
        <f t="shared" ref="B1027:B1090" si="97">MOD(A1027,1)</f>
        <v>0.45833333333575865</v>
      </c>
      <c r="C1027">
        <v>0</v>
      </c>
      <c r="D1027">
        <v>489.488</v>
      </c>
      <c r="E1027">
        <f t="shared" si="96"/>
        <v>489.33300000000003</v>
      </c>
      <c r="F1027">
        <v>489.54500000000002</v>
      </c>
      <c r="G1027">
        <f t="shared" ref="G1027:G1090" si="98">IF(E1027 - F1027 &lt; 0, 0, E1027 - F1027)</f>
        <v>0</v>
      </c>
      <c r="H1027">
        <v>1.82</v>
      </c>
      <c r="I1027">
        <f t="shared" ref="I1027:I1090" si="99">1.82*30*(G1027^1.5)</f>
        <v>0</v>
      </c>
      <c r="J1027">
        <f t="shared" ref="J1027:J1090" si="100">I1027*60</f>
        <v>0</v>
      </c>
      <c r="K1027">
        <f t="shared" ref="K1027:K1090" si="101">(I1027*86400)/24</f>
        <v>0</v>
      </c>
    </row>
    <row r="1028" spans="1:11" x14ac:dyDescent="0.4">
      <c r="A1028" s="19">
        <v>45877.5</v>
      </c>
      <c r="B1028" s="20">
        <f t="shared" si="97"/>
        <v>0.5</v>
      </c>
      <c r="C1028">
        <v>0</v>
      </c>
      <c r="D1028">
        <v>489.488</v>
      </c>
      <c r="E1028">
        <f t="shared" si="96"/>
        <v>489.33300000000003</v>
      </c>
      <c r="F1028">
        <v>489.54500000000002</v>
      </c>
      <c r="G1028">
        <f t="shared" si="98"/>
        <v>0</v>
      </c>
      <c r="H1028">
        <v>1.82</v>
      </c>
      <c r="I1028">
        <f t="shared" si="99"/>
        <v>0</v>
      </c>
      <c r="J1028">
        <f t="shared" si="100"/>
        <v>0</v>
      </c>
      <c r="K1028">
        <f t="shared" si="101"/>
        <v>0</v>
      </c>
    </row>
    <row r="1029" spans="1:11" x14ac:dyDescent="0.4">
      <c r="A1029" s="19">
        <v>45877.541666666664</v>
      </c>
      <c r="B1029" s="20">
        <f t="shared" si="97"/>
        <v>0.54166666666424135</v>
      </c>
      <c r="C1029">
        <v>0</v>
      </c>
      <c r="D1029">
        <v>489.48200000000003</v>
      </c>
      <c r="E1029">
        <f t="shared" si="96"/>
        <v>489.32700000000006</v>
      </c>
      <c r="F1029">
        <v>489.54500000000002</v>
      </c>
      <c r="G1029">
        <f t="shared" si="98"/>
        <v>0</v>
      </c>
      <c r="H1029">
        <v>1.82</v>
      </c>
      <c r="I1029">
        <f t="shared" si="99"/>
        <v>0</v>
      </c>
      <c r="J1029">
        <f t="shared" si="100"/>
        <v>0</v>
      </c>
      <c r="K1029">
        <f t="shared" si="101"/>
        <v>0</v>
      </c>
    </row>
    <row r="1030" spans="1:11" x14ac:dyDescent="0.4">
      <c r="A1030" s="19">
        <v>45877.583333333336</v>
      </c>
      <c r="B1030" s="20">
        <f t="shared" si="97"/>
        <v>0.58333333333575865</v>
      </c>
      <c r="C1030">
        <v>0</v>
      </c>
      <c r="D1030">
        <v>489.48200000000003</v>
      </c>
      <c r="E1030">
        <f t="shared" si="96"/>
        <v>489.32700000000006</v>
      </c>
      <c r="F1030">
        <v>489.54500000000002</v>
      </c>
      <c r="G1030">
        <f t="shared" si="98"/>
        <v>0</v>
      </c>
      <c r="H1030">
        <v>1.82</v>
      </c>
      <c r="I1030">
        <f t="shared" si="99"/>
        <v>0</v>
      </c>
      <c r="J1030">
        <f t="shared" si="100"/>
        <v>0</v>
      </c>
      <c r="K1030">
        <f t="shared" si="101"/>
        <v>0</v>
      </c>
    </row>
    <row r="1031" spans="1:11" x14ac:dyDescent="0.4">
      <c r="A1031" s="19">
        <v>45877.625</v>
      </c>
      <c r="B1031" s="20">
        <f t="shared" si="97"/>
        <v>0.625</v>
      </c>
      <c r="C1031">
        <v>0</v>
      </c>
      <c r="D1031">
        <v>489.48200000000003</v>
      </c>
      <c r="E1031">
        <f t="shared" si="96"/>
        <v>489.32700000000006</v>
      </c>
      <c r="F1031">
        <v>489.54500000000002</v>
      </c>
      <c r="G1031">
        <f t="shared" si="98"/>
        <v>0</v>
      </c>
      <c r="H1031">
        <v>1.82</v>
      </c>
      <c r="I1031">
        <f t="shared" si="99"/>
        <v>0</v>
      </c>
      <c r="J1031">
        <f t="shared" si="100"/>
        <v>0</v>
      </c>
      <c r="K1031">
        <f t="shared" si="101"/>
        <v>0</v>
      </c>
    </row>
    <row r="1032" spans="1:11" x14ac:dyDescent="0.4">
      <c r="A1032" s="19">
        <v>45877.666666666664</v>
      </c>
      <c r="B1032" s="20">
        <f t="shared" si="97"/>
        <v>0.66666666666424135</v>
      </c>
      <c r="C1032">
        <v>0</v>
      </c>
      <c r="D1032">
        <v>489.48200000000003</v>
      </c>
      <c r="E1032">
        <f t="shared" si="96"/>
        <v>489.32700000000006</v>
      </c>
      <c r="F1032">
        <v>489.54500000000002</v>
      </c>
      <c r="G1032">
        <f t="shared" si="98"/>
        <v>0</v>
      </c>
      <c r="H1032">
        <v>1.82</v>
      </c>
      <c r="I1032">
        <f t="shared" si="99"/>
        <v>0</v>
      </c>
      <c r="J1032">
        <f t="shared" si="100"/>
        <v>0</v>
      </c>
      <c r="K1032">
        <f t="shared" si="101"/>
        <v>0</v>
      </c>
    </row>
    <row r="1033" spans="1:11" x14ac:dyDescent="0.4">
      <c r="A1033" s="19">
        <v>45877.708333333336</v>
      </c>
      <c r="B1033" s="20">
        <f t="shared" si="97"/>
        <v>0.70833333333575865</v>
      </c>
      <c r="C1033">
        <v>0</v>
      </c>
      <c r="D1033">
        <v>489.483</v>
      </c>
      <c r="E1033">
        <f t="shared" si="96"/>
        <v>489.32800000000003</v>
      </c>
      <c r="F1033">
        <v>489.54500000000002</v>
      </c>
      <c r="G1033">
        <f t="shared" si="98"/>
        <v>0</v>
      </c>
      <c r="H1033">
        <v>1.82</v>
      </c>
      <c r="I1033">
        <f t="shared" si="99"/>
        <v>0</v>
      </c>
      <c r="J1033">
        <f t="shared" si="100"/>
        <v>0</v>
      </c>
      <c r="K1033">
        <f t="shared" si="101"/>
        <v>0</v>
      </c>
    </row>
    <row r="1034" spans="1:11" x14ac:dyDescent="0.4">
      <c r="A1034" s="19">
        <v>45877.75</v>
      </c>
      <c r="B1034" s="20">
        <f t="shared" si="97"/>
        <v>0.75</v>
      </c>
      <c r="C1034">
        <v>0</v>
      </c>
      <c r="D1034">
        <v>489.476</v>
      </c>
      <c r="E1034">
        <f t="shared" si="96"/>
        <v>489.32100000000003</v>
      </c>
      <c r="F1034">
        <v>489.54500000000002</v>
      </c>
      <c r="G1034">
        <f t="shared" si="98"/>
        <v>0</v>
      </c>
      <c r="H1034">
        <v>1.82</v>
      </c>
      <c r="I1034">
        <f t="shared" si="99"/>
        <v>0</v>
      </c>
      <c r="J1034">
        <f t="shared" si="100"/>
        <v>0</v>
      </c>
      <c r="K1034">
        <f t="shared" si="101"/>
        <v>0</v>
      </c>
    </row>
    <row r="1035" spans="1:11" x14ac:dyDescent="0.4">
      <c r="A1035" s="19">
        <v>45877.791666666664</v>
      </c>
      <c r="B1035" s="20">
        <f t="shared" si="97"/>
        <v>0.79166666666424135</v>
      </c>
      <c r="C1035">
        <v>0.4</v>
      </c>
      <c r="D1035">
        <v>489.476</v>
      </c>
      <c r="E1035">
        <f t="shared" si="96"/>
        <v>489.32100000000003</v>
      </c>
      <c r="F1035">
        <v>489.54500000000002</v>
      </c>
      <c r="G1035">
        <f t="shared" si="98"/>
        <v>0</v>
      </c>
      <c r="H1035">
        <v>1.82</v>
      </c>
      <c r="I1035">
        <f t="shared" si="99"/>
        <v>0</v>
      </c>
      <c r="J1035">
        <f t="shared" si="100"/>
        <v>0</v>
      </c>
      <c r="K1035">
        <f t="shared" si="101"/>
        <v>0</v>
      </c>
    </row>
    <row r="1036" spans="1:11" x14ac:dyDescent="0.4">
      <c r="A1036" s="19">
        <v>45877.833333333336</v>
      </c>
      <c r="B1036" s="20">
        <f t="shared" si="97"/>
        <v>0.83333333333575865</v>
      </c>
      <c r="C1036">
        <v>0.2</v>
      </c>
      <c r="D1036">
        <v>489.476</v>
      </c>
      <c r="E1036">
        <f t="shared" si="96"/>
        <v>489.32100000000003</v>
      </c>
      <c r="F1036">
        <v>489.54500000000002</v>
      </c>
      <c r="G1036">
        <f t="shared" si="98"/>
        <v>0</v>
      </c>
      <c r="H1036">
        <v>1.82</v>
      </c>
      <c r="I1036">
        <f t="shared" si="99"/>
        <v>0</v>
      </c>
      <c r="J1036">
        <f t="shared" si="100"/>
        <v>0</v>
      </c>
      <c r="K1036">
        <f t="shared" si="101"/>
        <v>0</v>
      </c>
    </row>
    <row r="1037" spans="1:11" x14ac:dyDescent="0.4">
      <c r="A1037" s="19">
        <v>45877.875</v>
      </c>
      <c r="B1037" s="20">
        <f t="shared" si="97"/>
        <v>0.875</v>
      </c>
      <c r="C1037">
        <v>0</v>
      </c>
      <c r="D1037">
        <v>489.476</v>
      </c>
      <c r="E1037">
        <f t="shared" si="96"/>
        <v>489.32100000000003</v>
      </c>
      <c r="F1037">
        <v>489.54500000000002</v>
      </c>
      <c r="G1037">
        <f t="shared" si="98"/>
        <v>0</v>
      </c>
      <c r="H1037">
        <v>1.82</v>
      </c>
      <c r="I1037">
        <f t="shared" si="99"/>
        <v>0</v>
      </c>
      <c r="J1037">
        <f t="shared" si="100"/>
        <v>0</v>
      </c>
      <c r="K1037">
        <f t="shared" si="101"/>
        <v>0</v>
      </c>
    </row>
    <row r="1038" spans="1:11" x14ac:dyDescent="0.4">
      <c r="A1038" s="19">
        <v>45877.916666666664</v>
      </c>
      <c r="B1038" s="20">
        <f t="shared" si="97"/>
        <v>0.91666666666424135</v>
      </c>
      <c r="C1038">
        <v>0</v>
      </c>
      <c r="D1038">
        <v>489.46899999999999</v>
      </c>
      <c r="E1038">
        <f t="shared" si="96"/>
        <v>489.31400000000002</v>
      </c>
      <c r="F1038">
        <v>489.54500000000002</v>
      </c>
      <c r="G1038">
        <f t="shared" si="98"/>
        <v>0</v>
      </c>
      <c r="H1038">
        <v>1.82</v>
      </c>
      <c r="I1038">
        <f t="shared" si="99"/>
        <v>0</v>
      </c>
      <c r="J1038">
        <f t="shared" si="100"/>
        <v>0</v>
      </c>
      <c r="K1038">
        <f t="shared" si="101"/>
        <v>0</v>
      </c>
    </row>
    <row r="1039" spans="1:11" x14ac:dyDescent="0.4">
      <c r="A1039" s="19">
        <v>45877.958333333336</v>
      </c>
      <c r="B1039" s="20">
        <f t="shared" si="97"/>
        <v>0.95833333333575865</v>
      </c>
      <c r="C1039">
        <v>0</v>
      </c>
      <c r="D1039">
        <v>489.46899999999999</v>
      </c>
      <c r="E1039">
        <f t="shared" si="96"/>
        <v>489.31400000000002</v>
      </c>
      <c r="F1039">
        <v>489.54500000000002</v>
      </c>
      <c r="G1039">
        <f t="shared" si="98"/>
        <v>0</v>
      </c>
      <c r="H1039">
        <v>1.82</v>
      </c>
      <c r="I1039">
        <f t="shared" si="99"/>
        <v>0</v>
      </c>
      <c r="J1039">
        <f t="shared" si="100"/>
        <v>0</v>
      </c>
      <c r="K1039">
        <f t="shared" si="101"/>
        <v>0</v>
      </c>
    </row>
    <row r="1040" spans="1:11" x14ac:dyDescent="0.4">
      <c r="A1040" s="19">
        <v>45878</v>
      </c>
      <c r="B1040" s="20">
        <f t="shared" si="97"/>
        <v>0</v>
      </c>
      <c r="C1040">
        <v>0</v>
      </c>
      <c r="D1040">
        <v>489.46899999999999</v>
      </c>
      <c r="E1040">
        <f t="shared" si="96"/>
        <v>489.31400000000002</v>
      </c>
      <c r="F1040">
        <v>489.54500000000002</v>
      </c>
      <c r="G1040">
        <f t="shared" si="98"/>
        <v>0</v>
      </c>
      <c r="H1040">
        <v>1.82</v>
      </c>
      <c r="I1040">
        <f t="shared" si="99"/>
        <v>0</v>
      </c>
      <c r="J1040">
        <f t="shared" si="100"/>
        <v>0</v>
      </c>
      <c r="K1040">
        <f t="shared" si="101"/>
        <v>0</v>
      </c>
    </row>
    <row r="1041" spans="1:11" x14ac:dyDescent="0.4">
      <c r="A1041" s="19">
        <v>45878.041666666664</v>
      </c>
      <c r="B1041" s="20">
        <f t="shared" si="97"/>
        <v>4.1666666664241347E-2</v>
      </c>
      <c r="C1041">
        <v>0</v>
      </c>
      <c r="D1041">
        <v>489.46899999999999</v>
      </c>
      <c r="E1041">
        <f t="shared" si="96"/>
        <v>489.31400000000002</v>
      </c>
      <c r="F1041">
        <v>489.54500000000002</v>
      </c>
      <c r="G1041">
        <f t="shared" si="98"/>
        <v>0</v>
      </c>
      <c r="H1041">
        <v>1.82</v>
      </c>
      <c r="I1041">
        <f t="shared" si="99"/>
        <v>0</v>
      </c>
      <c r="J1041">
        <f t="shared" si="100"/>
        <v>0</v>
      </c>
      <c r="K1041">
        <f t="shared" si="101"/>
        <v>0</v>
      </c>
    </row>
    <row r="1042" spans="1:11" x14ac:dyDescent="0.4">
      <c r="A1042" s="19">
        <v>45878.083333333336</v>
      </c>
      <c r="B1042" s="20">
        <f t="shared" si="97"/>
        <v>8.3333333335758653E-2</v>
      </c>
      <c r="C1042">
        <v>0</v>
      </c>
      <c r="D1042">
        <v>489.46899999999999</v>
      </c>
      <c r="E1042">
        <f t="shared" si="96"/>
        <v>489.31400000000002</v>
      </c>
      <c r="F1042">
        <v>489.54500000000002</v>
      </c>
      <c r="G1042">
        <f t="shared" si="98"/>
        <v>0</v>
      </c>
      <c r="H1042">
        <v>1.82</v>
      </c>
      <c r="I1042">
        <f t="shared" si="99"/>
        <v>0</v>
      </c>
      <c r="J1042">
        <f t="shared" si="100"/>
        <v>0</v>
      </c>
      <c r="K1042">
        <f t="shared" si="101"/>
        <v>0</v>
      </c>
    </row>
    <row r="1043" spans="1:11" x14ac:dyDescent="0.4">
      <c r="A1043" s="19">
        <v>45878.125</v>
      </c>
      <c r="B1043" s="20">
        <f t="shared" si="97"/>
        <v>0.125</v>
      </c>
      <c r="C1043">
        <v>0</v>
      </c>
      <c r="D1043">
        <v>489.46300000000002</v>
      </c>
      <c r="E1043">
        <f t="shared" si="96"/>
        <v>489.30800000000005</v>
      </c>
      <c r="F1043">
        <v>489.54500000000002</v>
      </c>
      <c r="G1043">
        <f t="shared" si="98"/>
        <v>0</v>
      </c>
      <c r="H1043">
        <v>1.82</v>
      </c>
      <c r="I1043">
        <f t="shared" si="99"/>
        <v>0</v>
      </c>
      <c r="J1043">
        <f t="shared" si="100"/>
        <v>0</v>
      </c>
      <c r="K1043">
        <f t="shared" si="101"/>
        <v>0</v>
      </c>
    </row>
    <row r="1044" spans="1:11" x14ac:dyDescent="0.4">
      <c r="A1044" s="19">
        <v>45878.166666666664</v>
      </c>
      <c r="B1044" s="20">
        <f t="shared" si="97"/>
        <v>0.16666666666424135</v>
      </c>
      <c r="C1044">
        <v>0.4</v>
      </c>
      <c r="D1044">
        <v>489.46300000000002</v>
      </c>
      <c r="E1044">
        <f t="shared" si="96"/>
        <v>489.30800000000005</v>
      </c>
      <c r="F1044">
        <v>489.54500000000002</v>
      </c>
      <c r="G1044">
        <f t="shared" si="98"/>
        <v>0</v>
      </c>
      <c r="H1044">
        <v>1.82</v>
      </c>
      <c r="I1044">
        <f t="shared" si="99"/>
        <v>0</v>
      </c>
      <c r="J1044">
        <f t="shared" si="100"/>
        <v>0</v>
      </c>
      <c r="K1044">
        <f t="shared" si="101"/>
        <v>0</v>
      </c>
    </row>
    <row r="1045" spans="1:11" x14ac:dyDescent="0.4">
      <c r="A1045" s="19">
        <v>45878.208333333336</v>
      </c>
      <c r="B1045" s="20">
        <f t="shared" si="97"/>
        <v>0.20833333333575865</v>
      </c>
      <c r="C1045">
        <v>0.4</v>
      </c>
      <c r="D1045">
        <v>489.464</v>
      </c>
      <c r="E1045">
        <f t="shared" si="96"/>
        <v>489.30900000000003</v>
      </c>
      <c r="F1045">
        <v>489.54500000000002</v>
      </c>
      <c r="G1045">
        <f t="shared" si="98"/>
        <v>0</v>
      </c>
      <c r="H1045">
        <v>1.82</v>
      </c>
      <c r="I1045">
        <f t="shared" si="99"/>
        <v>0</v>
      </c>
      <c r="J1045">
        <f t="shared" si="100"/>
        <v>0</v>
      </c>
      <c r="K1045">
        <f t="shared" si="101"/>
        <v>0</v>
      </c>
    </row>
    <row r="1046" spans="1:11" x14ac:dyDescent="0.4">
      <c r="A1046" s="19">
        <v>45878.25</v>
      </c>
      <c r="B1046" s="20">
        <f t="shared" si="97"/>
        <v>0.25</v>
      </c>
      <c r="C1046">
        <v>0</v>
      </c>
      <c r="D1046">
        <v>489.46300000000002</v>
      </c>
      <c r="E1046">
        <f t="shared" si="96"/>
        <v>489.30800000000005</v>
      </c>
      <c r="F1046">
        <v>489.54500000000002</v>
      </c>
      <c r="G1046">
        <f t="shared" si="98"/>
        <v>0</v>
      </c>
      <c r="H1046">
        <v>1.82</v>
      </c>
      <c r="I1046">
        <f t="shared" si="99"/>
        <v>0</v>
      </c>
      <c r="J1046">
        <f t="shared" si="100"/>
        <v>0</v>
      </c>
      <c r="K1046">
        <f t="shared" si="101"/>
        <v>0</v>
      </c>
    </row>
    <row r="1047" spans="1:11" x14ac:dyDescent="0.4">
      <c r="A1047" s="19">
        <v>45878.291666666664</v>
      </c>
      <c r="B1047" s="20">
        <f t="shared" si="97"/>
        <v>0.29166666666424135</v>
      </c>
      <c r="C1047">
        <v>0.2</v>
      </c>
      <c r="D1047">
        <v>489.46300000000002</v>
      </c>
      <c r="E1047">
        <f t="shared" si="96"/>
        <v>489.30800000000005</v>
      </c>
      <c r="F1047">
        <v>489.54500000000002</v>
      </c>
      <c r="G1047">
        <f t="shared" si="98"/>
        <v>0</v>
      </c>
      <c r="H1047">
        <v>1.82</v>
      </c>
      <c r="I1047">
        <f t="shared" si="99"/>
        <v>0</v>
      </c>
      <c r="J1047">
        <f t="shared" si="100"/>
        <v>0</v>
      </c>
      <c r="K1047">
        <f t="shared" si="101"/>
        <v>0</v>
      </c>
    </row>
    <row r="1048" spans="1:11" x14ac:dyDescent="0.4">
      <c r="A1048" s="19">
        <v>45878.333333333336</v>
      </c>
      <c r="B1048" s="20">
        <f t="shared" si="97"/>
        <v>0.33333333333575865</v>
      </c>
      <c r="C1048">
        <v>0</v>
      </c>
      <c r="D1048">
        <v>489.46300000000002</v>
      </c>
      <c r="E1048">
        <f t="shared" si="96"/>
        <v>489.30800000000005</v>
      </c>
      <c r="F1048">
        <v>489.54500000000002</v>
      </c>
      <c r="G1048">
        <f t="shared" si="98"/>
        <v>0</v>
      </c>
      <c r="H1048">
        <v>1.82</v>
      </c>
      <c r="I1048">
        <f t="shared" si="99"/>
        <v>0</v>
      </c>
      <c r="J1048">
        <f t="shared" si="100"/>
        <v>0</v>
      </c>
      <c r="K1048">
        <f t="shared" si="101"/>
        <v>0</v>
      </c>
    </row>
    <row r="1049" spans="1:11" x14ac:dyDescent="0.4">
      <c r="A1049" s="19">
        <v>45878.375</v>
      </c>
      <c r="B1049" s="20">
        <f t="shared" si="97"/>
        <v>0.375</v>
      </c>
      <c r="C1049">
        <v>0</v>
      </c>
      <c r="D1049">
        <v>489.46300000000002</v>
      </c>
      <c r="E1049">
        <f t="shared" si="96"/>
        <v>489.30800000000005</v>
      </c>
      <c r="F1049">
        <v>489.54500000000002</v>
      </c>
      <c r="G1049">
        <f t="shared" si="98"/>
        <v>0</v>
      </c>
      <c r="H1049">
        <v>1.82</v>
      </c>
      <c r="I1049">
        <f t="shared" si="99"/>
        <v>0</v>
      </c>
      <c r="J1049">
        <f t="shared" si="100"/>
        <v>0</v>
      </c>
      <c r="K1049">
        <f t="shared" si="101"/>
        <v>0</v>
      </c>
    </row>
    <row r="1050" spans="1:11" x14ac:dyDescent="0.4">
      <c r="A1050" s="19">
        <v>45878.416666666664</v>
      </c>
      <c r="B1050" s="20">
        <f t="shared" si="97"/>
        <v>0.41666666666424135</v>
      </c>
      <c r="C1050">
        <v>0</v>
      </c>
      <c r="D1050">
        <v>489.46300000000002</v>
      </c>
      <c r="E1050">
        <f t="shared" si="96"/>
        <v>489.30800000000005</v>
      </c>
      <c r="F1050">
        <v>489.54500000000002</v>
      </c>
      <c r="G1050">
        <f t="shared" si="98"/>
        <v>0</v>
      </c>
      <c r="H1050">
        <v>1.82</v>
      </c>
      <c r="I1050">
        <f t="shared" si="99"/>
        <v>0</v>
      </c>
      <c r="J1050">
        <f t="shared" si="100"/>
        <v>0</v>
      </c>
      <c r="K1050">
        <f t="shared" si="101"/>
        <v>0</v>
      </c>
    </row>
    <row r="1051" spans="1:11" x14ac:dyDescent="0.4">
      <c r="A1051" s="19">
        <v>45878.458333333336</v>
      </c>
      <c r="B1051" s="20">
        <f t="shared" si="97"/>
        <v>0.45833333333575865</v>
      </c>
      <c r="C1051">
        <v>0</v>
      </c>
      <c r="D1051">
        <v>489.45600000000002</v>
      </c>
      <c r="E1051">
        <f t="shared" si="96"/>
        <v>489.30100000000004</v>
      </c>
      <c r="F1051">
        <v>489.54500000000002</v>
      </c>
      <c r="G1051">
        <f t="shared" si="98"/>
        <v>0</v>
      </c>
      <c r="H1051">
        <v>1.82</v>
      </c>
      <c r="I1051">
        <f t="shared" si="99"/>
        <v>0</v>
      </c>
      <c r="J1051">
        <f t="shared" si="100"/>
        <v>0</v>
      </c>
      <c r="K1051">
        <f t="shared" si="101"/>
        <v>0</v>
      </c>
    </row>
    <row r="1052" spans="1:11" x14ac:dyDescent="0.4">
      <c r="A1052" s="19">
        <v>45878.5</v>
      </c>
      <c r="B1052" s="20">
        <f t="shared" si="97"/>
        <v>0.5</v>
      </c>
      <c r="C1052">
        <v>0</v>
      </c>
      <c r="D1052">
        <v>489.45600000000002</v>
      </c>
      <c r="E1052">
        <f t="shared" si="96"/>
        <v>489.30100000000004</v>
      </c>
      <c r="F1052">
        <v>489.54500000000002</v>
      </c>
      <c r="G1052">
        <f t="shared" si="98"/>
        <v>0</v>
      </c>
      <c r="H1052">
        <v>1.82</v>
      </c>
      <c r="I1052">
        <f t="shared" si="99"/>
        <v>0</v>
      </c>
      <c r="J1052">
        <f t="shared" si="100"/>
        <v>0</v>
      </c>
      <c r="K1052">
        <f t="shared" si="101"/>
        <v>0</v>
      </c>
    </row>
    <row r="1053" spans="1:11" x14ac:dyDescent="0.4">
      <c r="A1053" s="19">
        <v>45878.541666666664</v>
      </c>
      <c r="B1053" s="20">
        <f t="shared" si="97"/>
        <v>0.54166666666424135</v>
      </c>
      <c r="C1053">
        <v>0</v>
      </c>
      <c r="D1053">
        <v>489.45600000000002</v>
      </c>
      <c r="E1053">
        <f t="shared" si="96"/>
        <v>489.30100000000004</v>
      </c>
      <c r="F1053">
        <v>489.54500000000002</v>
      </c>
      <c r="G1053">
        <f t="shared" si="98"/>
        <v>0</v>
      </c>
      <c r="H1053">
        <v>1.82</v>
      </c>
      <c r="I1053">
        <f t="shared" si="99"/>
        <v>0</v>
      </c>
      <c r="J1053">
        <f t="shared" si="100"/>
        <v>0</v>
      </c>
      <c r="K1053">
        <f t="shared" si="101"/>
        <v>0</v>
      </c>
    </row>
    <row r="1054" spans="1:11" x14ac:dyDescent="0.4">
      <c r="A1054" s="19">
        <v>45878.583333333336</v>
      </c>
      <c r="B1054" s="20">
        <f t="shared" si="97"/>
        <v>0.58333333333575865</v>
      </c>
      <c r="C1054">
        <v>0</v>
      </c>
      <c r="D1054">
        <v>489.45600000000002</v>
      </c>
      <c r="E1054">
        <f t="shared" si="96"/>
        <v>489.30100000000004</v>
      </c>
      <c r="F1054">
        <v>489.54500000000002</v>
      </c>
      <c r="G1054">
        <f t="shared" si="98"/>
        <v>0</v>
      </c>
      <c r="H1054">
        <v>1.82</v>
      </c>
      <c r="I1054">
        <f t="shared" si="99"/>
        <v>0</v>
      </c>
      <c r="J1054">
        <f t="shared" si="100"/>
        <v>0</v>
      </c>
      <c r="K1054">
        <f t="shared" si="101"/>
        <v>0</v>
      </c>
    </row>
    <row r="1055" spans="1:11" x14ac:dyDescent="0.4">
      <c r="A1055" s="19">
        <v>45878.625</v>
      </c>
      <c r="B1055" s="20">
        <f t="shared" si="97"/>
        <v>0.625</v>
      </c>
      <c r="C1055">
        <v>0</v>
      </c>
      <c r="D1055">
        <v>489.45600000000002</v>
      </c>
      <c r="E1055">
        <f t="shared" si="96"/>
        <v>489.30100000000004</v>
      </c>
      <c r="F1055">
        <v>489.54500000000002</v>
      </c>
      <c r="G1055">
        <f t="shared" si="98"/>
        <v>0</v>
      </c>
      <c r="H1055">
        <v>1.82</v>
      </c>
      <c r="I1055">
        <f t="shared" si="99"/>
        <v>0</v>
      </c>
      <c r="J1055">
        <f t="shared" si="100"/>
        <v>0</v>
      </c>
      <c r="K1055">
        <f t="shared" si="101"/>
        <v>0</v>
      </c>
    </row>
    <row r="1056" spans="1:11" x14ac:dyDescent="0.4">
      <c r="A1056" s="19">
        <v>45878.666666666664</v>
      </c>
      <c r="B1056" s="20">
        <f t="shared" si="97"/>
        <v>0.66666666666424135</v>
      </c>
      <c r="C1056">
        <v>0</v>
      </c>
      <c r="D1056">
        <v>489.45600000000002</v>
      </c>
      <c r="E1056">
        <f t="shared" si="96"/>
        <v>489.30100000000004</v>
      </c>
      <c r="F1056">
        <v>489.54500000000002</v>
      </c>
      <c r="G1056">
        <f t="shared" si="98"/>
        <v>0</v>
      </c>
      <c r="H1056">
        <v>1.82</v>
      </c>
      <c r="I1056">
        <f t="shared" si="99"/>
        <v>0</v>
      </c>
      <c r="J1056">
        <f t="shared" si="100"/>
        <v>0</v>
      </c>
      <c r="K1056">
        <f t="shared" si="101"/>
        <v>0</v>
      </c>
    </row>
    <row r="1057" spans="1:11" x14ac:dyDescent="0.4">
      <c r="A1057" s="19">
        <v>45878.708333333336</v>
      </c>
      <c r="B1057" s="20">
        <f t="shared" si="97"/>
        <v>0.70833333333575865</v>
      </c>
      <c r="C1057">
        <v>0</v>
      </c>
      <c r="D1057">
        <v>489.44900000000001</v>
      </c>
      <c r="E1057">
        <f t="shared" si="96"/>
        <v>489.29400000000004</v>
      </c>
      <c r="F1057">
        <v>489.54500000000002</v>
      </c>
      <c r="G1057">
        <f t="shared" si="98"/>
        <v>0</v>
      </c>
      <c r="H1057">
        <v>1.82</v>
      </c>
      <c r="I1057">
        <f t="shared" si="99"/>
        <v>0</v>
      </c>
      <c r="J1057">
        <f t="shared" si="100"/>
        <v>0</v>
      </c>
      <c r="K1057">
        <f t="shared" si="101"/>
        <v>0</v>
      </c>
    </row>
    <row r="1058" spans="1:11" x14ac:dyDescent="0.4">
      <c r="A1058" s="19">
        <v>45878.75</v>
      </c>
      <c r="B1058" s="20">
        <f t="shared" si="97"/>
        <v>0.75</v>
      </c>
      <c r="C1058">
        <v>0</v>
      </c>
      <c r="D1058">
        <v>489.45</v>
      </c>
      <c r="E1058">
        <f t="shared" si="96"/>
        <v>489.29500000000002</v>
      </c>
      <c r="F1058">
        <v>489.54500000000002</v>
      </c>
      <c r="G1058">
        <f t="shared" si="98"/>
        <v>0</v>
      </c>
      <c r="H1058">
        <v>1.82</v>
      </c>
      <c r="I1058">
        <f t="shared" si="99"/>
        <v>0</v>
      </c>
      <c r="J1058">
        <f t="shared" si="100"/>
        <v>0</v>
      </c>
      <c r="K1058">
        <f t="shared" si="101"/>
        <v>0</v>
      </c>
    </row>
    <row r="1059" spans="1:11" x14ac:dyDescent="0.4">
      <c r="A1059" s="19">
        <v>45878.791666666664</v>
      </c>
      <c r="B1059" s="20">
        <f t="shared" si="97"/>
        <v>0.79166666666424135</v>
      </c>
      <c r="C1059">
        <v>0</v>
      </c>
      <c r="D1059">
        <v>489.45</v>
      </c>
      <c r="E1059">
        <f t="shared" si="96"/>
        <v>489.29500000000002</v>
      </c>
      <c r="F1059">
        <v>489.54500000000002</v>
      </c>
      <c r="G1059">
        <f t="shared" si="98"/>
        <v>0</v>
      </c>
      <c r="H1059">
        <v>1.82</v>
      </c>
      <c r="I1059">
        <f t="shared" si="99"/>
        <v>0</v>
      </c>
      <c r="J1059">
        <f t="shared" si="100"/>
        <v>0</v>
      </c>
      <c r="K1059">
        <f t="shared" si="101"/>
        <v>0</v>
      </c>
    </row>
    <row r="1060" spans="1:11" x14ac:dyDescent="0.4">
      <c r="A1060" s="19">
        <v>45878.833333333336</v>
      </c>
      <c r="B1060" s="20">
        <f t="shared" si="97"/>
        <v>0.83333333333575865</v>
      </c>
      <c r="C1060">
        <v>0</v>
      </c>
      <c r="D1060">
        <v>489.44299999999998</v>
      </c>
      <c r="E1060">
        <f t="shared" si="96"/>
        <v>489.28800000000001</v>
      </c>
      <c r="F1060">
        <v>489.54500000000002</v>
      </c>
      <c r="G1060">
        <f t="shared" si="98"/>
        <v>0</v>
      </c>
      <c r="H1060">
        <v>1.82</v>
      </c>
      <c r="I1060">
        <f t="shared" si="99"/>
        <v>0</v>
      </c>
      <c r="J1060">
        <f t="shared" si="100"/>
        <v>0</v>
      </c>
      <c r="K1060">
        <f t="shared" si="101"/>
        <v>0</v>
      </c>
    </row>
    <row r="1061" spans="1:11" x14ac:dyDescent="0.4">
      <c r="A1061" s="19">
        <v>45878.875</v>
      </c>
      <c r="B1061" s="20">
        <f t="shared" si="97"/>
        <v>0.875</v>
      </c>
      <c r="C1061">
        <v>0</v>
      </c>
      <c r="D1061">
        <v>489.44299999999998</v>
      </c>
      <c r="E1061">
        <f t="shared" si="96"/>
        <v>489.28800000000001</v>
      </c>
      <c r="F1061">
        <v>489.54500000000002</v>
      </c>
      <c r="G1061">
        <f t="shared" si="98"/>
        <v>0</v>
      </c>
      <c r="H1061">
        <v>1.82</v>
      </c>
      <c r="I1061">
        <f t="shared" si="99"/>
        <v>0</v>
      </c>
      <c r="J1061">
        <f t="shared" si="100"/>
        <v>0</v>
      </c>
      <c r="K1061">
        <f t="shared" si="101"/>
        <v>0</v>
      </c>
    </row>
    <row r="1062" spans="1:11" x14ac:dyDescent="0.4">
      <c r="A1062" s="19">
        <v>45878.916666666664</v>
      </c>
      <c r="B1062" s="20">
        <f t="shared" si="97"/>
        <v>0.91666666666424135</v>
      </c>
      <c r="C1062">
        <v>0</v>
      </c>
      <c r="D1062">
        <v>489.44299999999998</v>
      </c>
      <c r="E1062">
        <f t="shared" si="96"/>
        <v>489.28800000000001</v>
      </c>
      <c r="F1062">
        <v>489.54500000000002</v>
      </c>
      <c r="G1062">
        <f t="shared" si="98"/>
        <v>0</v>
      </c>
      <c r="H1062">
        <v>1.82</v>
      </c>
      <c r="I1062">
        <f t="shared" si="99"/>
        <v>0</v>
      </c>
      <c r="J1062">
        <f t="shared" si="100"/>
        <v>0</v>
      </c>
      <c r="K1062">
        <f t="shared" si="101"/>
        <v>0</v>
      </c>
    </row>
    <row r="1063" spans="1:11" x14ac:dyDescent="0.4">
      <c r="A1063" s="19">
        <v>45878.958333333336</v>
      </c>
      <c r="B1063" s="20">
        <f t="shared" si="97"/>
        <v>0.95833333333575865</v>
      </c>
      <c r="C1063">
        <v>0</v>
      </c>
      <c r="D1063">
        <v>489.44299999999998</v>
      </c>
      <c r="E1063">
        <f t="shared" si="96"/>
        <v>489.28800000000001</v>
      </c>
      <c r="F1063">
        <v>489.54500000000002</v>
      </c>
      <c r="G1063">
        <f t="shared" si="98"/>
        <v>0</v>
      </c>
      <c r="H1063">
        <v>1.82</v>
      </c>
      <c r="I1063">
        <f t="shared" si="99"/>
        <v>0</v>
      </c>
      <c r="J1063">
        <f t="shared" si="100"/>
        <v>0</v>
      </c>
      <c r="K1063">
        <f t="shared" si="101"/>
        <v>0</v>
      </c>
    </row>
    <row r="1064" spans="1:11" x14ac:dyDescent="0.4">
      <c r="A1064" s="19">
        <v>45879</v>
      </c>
      <c r="B1064" s="20">
        <f t="shared" si="97"/>
        <v>0</v>
      </c>
      <c r="C1064">
        <v>0</v>
      </c>
      <c r="D1064">
        <v>489.44299999999998</v>
      </c>
      <c r="E1064">
        <f t="shared" si="96"/>
        <v>489.28800000000001</v>
      </c>
      <c r="F1064">
        <v>489.54500000000002</v>
      </c>
      <c r="G1064">
        <f t="shared" si="98"/>
        <v>0</v>
      </c>
      <c r="H1064">
        <v>1.82</v>
      </c>
      <c r="I1064">
        <f t="shared" si="99"/>
        <v>0</v>
      </c>
      <c r="J1064">
        <f t="shared" si="100"/>
        <v>0</v>
      </c>
      <c r="K1064">
        <f t="shared" si="101"/>
        <v>0</v>
      </c>
    </row>
    <row r="1065" spans="1:11" x14ac:dyDescent="0.4">
      <c r="A1065" s="19">
        <v>45879.041666666664</v>
      </c>
      <c r="B1065" s="20">
        <f t="shared" si="97"/>
        <v>4.1666666664241347E-2</v>
      </c>
      <c r="C1065">
        <v>0</v>
      </c>
      <c r="D1065">
        <v>489.43700000000001</v>
      </c>
      <c r="E1065">
        <f t="shared" si="96"/>
        <v>489.28200000000004</v>
      </c>
      <c r="F1065">
        <v>489.54500000000002</v>
      </c>
      <c r="G1065">
        <f t="shared" si="98"/>
        <v>0</v>
      </c>
      <c r="H1065">
        <v>1.82</v>
      </c>
      <c r="I1065">
        <f t="shared" si="99"/>
        <v>0</v>
      </c>
      <c r="J1065">
        <f t="shared" si="100"/>
        <v>0</v>
      </c>
      <c r="K1065">
        <f t="shared" si="101"/>
        <v>0</v>
      </c>
    </row>
    <row r="1066" spans="1:11" x14ac:dyDescent="0.4">
      <c r="A1066" s="19">
        <v>45879.083333333336</v>
      </c>
      <c r="B1066" s="20">
        <f t="shared" si="97"/>
        <v>8.3333333335758653E-2</v>
      </c>
      <c r="C1066">
        <v>0</v>
      </c>
      <c r="D1066">
        <v>489.43700000000001</v>
      </c>
      <c r="E1066">
        <f t="shared" si="96"/>
        <v>489.28200000000004</v>
      </c>
      <c r="F1066">
        <v>489.54500000000002</v>
      </c>
      <c r="G1066">
        <f t="shared" si="98"/>
        <v>0</v>
      </c>
      <c r="H1066">
        <v>1.82</v>
      </c>
      <c r="I1066">
        <f t="shared" si="99"/>
        <v>0</v>
      </c>
      <c r="J1066">
        <f t="shared" si="100"/>
        <v>0</v>
      </c>
      <c r="K1066">
        <f t="shared" si="101"/>
        <v>0</v>
      </c>
    </row>
    <row r="1067" spans="1:11" x14ac:dyDescent="0.4">
      <c r="A1067" s="19">
        <v>45879.125</v>
      </c>
      <c r="B1067" s="20">
        <f t="shared" si="97"/>
        <v>0.125</v>
      </c>
      <c r="C1067">
        <v>0</v>
      </c>
      <c r="D1067">
        <v>489.43</v>
      </c>
      <c r="E1067">
        <f t="shared" si="96"/>
        <v>489.27500000000003</v>
      </c>
      <c r="F1067">
        <v>489.54500000000002</v>
      </c>
      <c r="G1067">
        <f t="shared" si="98"/>
        <v>0</v>
      </c>
      <c r="H1067">
        <v>1.82</v>
      </c>
      <c r="I1067">
        <f t="shared" si="99"/>
        <v>0</v>
      </c>
      <c r="J1067">
        <f t="shared" si="100"/>
        <v>0</v>
      </c>
      <c r="K1067">
        <f t="shared" si="101"/>
        <v>0</v>
      </c>
    </row>
    <row r="1068" spans="1:11" x14ac:dyDescent="0.4">
      <c r="A1068" s="19">
        <v>45879.166666666664</v>
      </c>
      <c r="B1068" s="20">
        <f t="shared" si="97"/>
        <v>0.16666666666424135</v>
      </c>
      <c r="C1068">
        <v>0</v>
      </c>
      <c r="D1068">
        <v>489.43</v>
      </c>
      <c r="E1068">
        <f t="shared" si="96"/>
        <v>489.27500000000003</v>
      </c>
      <c r="F1068">
        <v>489.54500000000002</v>
      </c>
      <c r="G1068">
        <f t="shared" si="98"/>
        <v>0</v>
      </c>
      <c r="H1068">
        <v>1.82</v>
      </c>
      <c r="I1068">
        <f t="shared" si="99"/>
        <v>0</v>
      </c>
      <c r="J1068">
        <f t="shared" si="100"/>
        <v>0</v>
      </c>
      <c r="K1068">
        <f t="shared" si="101"/>
        <v>0</v>
      </c>
    </row>
    <row r="1069" spans="1:11" x14ac:dyDescent="0.4">
      <c r="A1069" s="19">
        <v>45879.208333333336</v>
      </c>
      <c r="B1069" s="20">
        <f t="shared" si="97"/>
        <v>0.20833333333575865</v>
      </c>
      <c r="C1069">
        <v>0</v>
      </c>
      <c r="D1069">
        <v>489.43</v>
      </c>
      <c r="E1069">
        <f t="shared" si="96"/>
        <v>489.27500000000003</v>
      </c>
      <c r="F1069">
        <v>489.54500000000002</v>
      </c>
      <c r="G1069">
        <f t="shared" si="98"/>
        <v>0</v>
      </c>
      <c r="H1069">
        <v>1.82</v>
      </c>
      <c r="I1069">
        <f t="shared" si="99"/>
        <v>0</v>
      </c>
      <c r="J1069">
        <f t="shared" si="100"/>
        <v>0</v>
      </c>
      <c r="K1069">
        <f t="shared" si="101"/>
        <v>0</v>
      </c>
    </row>
    <row r="1070" spans="1:11" x14ac:dyDescent="0.4">
      <c r="A1070" s="19">
        <v>45879.25</v>
      </c>
      <c r="B1070" s="20">
        <f t="shared" si="97"/>
        <v>0.25</v>
      </c>
      <c r="C1070">
        <v>0</v>
      </c>
      <c r="D1070">
        <v>489.43</v>
      </c>
      <c r="E1070">
        <f t="shared" si="96"/>
        <v>489.27500000000003</v>
      </c>
      <c r="F1070">
        <v>489.54500000000002</v>
      </c>
      <c r="G1070">
        <f t="shared" si="98"/>
        <v>0</v>
      </c>
      <c r="H1070">
        <v>1.82</v>
      </c>
      <c r="I1070">
        <f t="shared" si="99"/>
        <v>0</v>
      </c>
      <c r="J1070">
        <f t="shared" si="100"/>
        <v>0</v>
      </c>
      <c r="K1070">
        <f t="shared" si="101"/>
        <v>0</v>
      </c>
    </row>
    <row r="1071" spans="1:11" x14ac:dyDescent="0.4">
      <c r="A1071" s="19">
        <v>45879.291666666664</v>
      </c>
      <c r="B1071" s="20">
        <f t="shared" si="97"/>
        <v>0.29166666666424135</v>
      </c>
      <c r="C1071">
        <v>0</v>
      </c>
      <c r="D1071">
        <v>489.43</v>
      </c>
      <c r="E1071">
        <f t="shared" si="96"/>
        <v>489.27500000000003</v>
      </c>
      <c r="F1071">
        <v>489.54500000000002</v>
      </c>
      <c r="G1071">
        <f t="shared" si="98"/>
        <v>0</v>
      </c>
      <c r="H1071">
        <v>1.82</v>
      </c>
      <c r="I1071">
        <f t="shared" si="99"/>
        <v>0</v>
      </c>
      <c r="J1071">
        <f t="shared" si="100"/>
        <v>0</v>
      </c>
      <c r="K1071">
        <f t="shared" si="101"/>
        <v>0</v>
      </c>
    </row>
    <row r="1072" spans="1:11" x14ac:dyDescent="0.4">
      <c r="A1072" s="19">
        <v>45879.333333333336</v>
      </c>
      <c r="B1072" s="20">
        <f t="shared" si="97"/>
        <v>0.33333333333575865</v>
      </c>
      <c r="C1072">
        <v>0</v>
      </c>
      <c r="D1072">
        <v>489.42399999999998</v>
      </c>
      <c r="E1072">
        <f t="shared" si="96"/>
        <v>489.26900000000001</v>
      </c>
      <c r="F1072">
        <v>489.54500000000002</v>
      </c>
      <c r="G1072">
        <f t="shared" si="98"/>
        <v>0</v>
      </c>
      <c r="H1072">
        <v>1.82</v>
      </c>
      <c r="I1072">
        <f t="shared" si="99"/>
        <v>0</v>
      </c>
      <c r="J1072">
        <f t="shared" si="100"/>
        <v>0</v>
      </c>
      <c r="K1072">
        <f t="shared" si="101"/>
        <v>0</v>
      </c>
    </row>
    <row r="1073" spans="1:11" x14ac:dyDescent="0.4">
      <c r="A1073" s="19">
        <v>45879.375</v>
      </c>
      <c r="B1073" s="20">
        <f t="shared" si="97"/>
        <v>0.375</v>
      </c>
      <c r="C1073">
        <v>0</v>
      </c>
      <c r="D1073">
        <v>489.42399999999998</v>
      </c>
      <c r="E1073">
        <f t="shared" si="96"/>
        <v>489.26900000000001</v>
      </c>
      <c r="F1073">
        <v>489.54500000000002</v>
      </c>
      <c r="G1073">
        <f t="shared" si="98"/>
        <v>0</v>
      </c>
      <c r="H1073">
        <v>1.82</v>
      </c>
      <c r="I1073">
        <f t="shared" si="99"/>
        <v>0</v>
      </c>
      <c r="J1073">
        <f t="shared" si="100"/>
        <v>0</v>
      </c>
      <c r="K1073">
        <f t="shared" si="101"/>
        <v>0</v>
      </c>
    </row>
    <row r="1074" spans="1:11" x14ac:dyDescent="0.4">
      <c r="A1074" s="19">
        <v>45879.416666666664</v>
      </c>
      <c r="B1074" s="20">
        <f t="shared" si="97"/>
        <v>0.41666666666424135</v>
      </c>
      <c r="C1074">
        <v>0</v>
      </c>
      <c r="D1074">
        <v>489.42399999999998</v>
      </c>
      <c r="E1074">
        <f t="shared" si="96"/>
        <v>489.26900000000001</v>
      </c>
      <c r="F1074">
        <v>489.54500000000002</v>
      </c>
      <c r="G1074">
        <f t="shared" si="98"/>
        <v>0</v>
      </c>
      <c r="H1074">
        <v>1.82</v>
      </c>
      <c r="I1074">
        <f t="shared" si="99"/>
        <v>0</v>
      </c>
      <c r="J1074">
        <f t="shared" si="100"/>
        <v>0</v>
      </c>
      <c r="K1074">
        <f t="shared" si="101"/>
        <v>0</v>
      </c>
    </row>
    <row r="1075" spans="1:11" x14ac:dyDescent="0.4">
      <c r="A1075" s="19">
        <v>45879.458333333336</v>
      </c>
      <c r="B1075" s="20">
        <f t="shared" si="97"/>
        <v>0.45833333333575865</v>
      </c>
      <c r="C1075">
        <v>0</v>
      </c>
      <c r="D1075">
        <v>489.423</v>
      </c>
      <c r="E1075">
        <f t="shared" si="96"/>
        <v>489.26800000000003</v>
      </c>
      <c r="F1075">
        <v>489.54500000000002</v>
      </c>
      <c r="G1075">
        <f t="shared" si="98"/>
        <v>0</v>
      </c>
      <c r="H1075">
        <v>1.82</v>
      </c>
      <c r="I1075">
        <f t="shared" si="99"/>
        <v>0</v>
      </c>
      <c r="J1075">
        <f t="shared" si="100"/>
        <v>0</v>
      </c>
      <c r="K1075">
        <f t="shared" si="101"/>
        <v>0</v>
      </c>
    </row>
    <row r="1076" spans="1:11" x14ac:dyDescent="0.4">
      <c r="A1076" s="19">
        <v>45879.5</v>
      </c>
      <c r="B1076" s="20">
        <f t="shared" si="97"/>
        <v>0.5</v>
      </c>
      <c r="C1076">
        <v>0</v>
      </c>
      <c r="D1076">
        <v>489.41699999999997</v>
      </c>
      <c r="E1076">
        <f t="shared" si="96"/>
        <v>489.262</v>
      </c>
      <c r="F1076">
        <v>489.54500000000002</v>
      </c>
      <c r="G1076">
        <f t="shared" si="98"/>
        <v>0</v>
      </c>
      <c r="H1076">
        <v>1.82</v>
      </c>
      <c r="I1076">
        <f t="shared" si="99"/>
        <v>0</v>
      </c>
      <c r="J1076">
        <f t="shared" si="100"/>
        <v>0</v>
      </c>
      <c r="K1076">
        <f t="shared" si="101"/>
        <v>0</v>
      </c>
    </row>
    <row r="1077" spans="1:11" x14ac:dyDescent="0.4">
      <c r="A1077" s="19">
        <v>45879.541666666664</v>
      </c>
      <c r="B1077" s="20">
        <f t="shared" si="97"/>
        <v>0.54166666666424135</v>
      </c>
      <c r="C1077">
        <v>0</v>
      </c>
      <c r="D1077">
        <v>489.41699999999997</v>
      </c>
      <c r="E1077">
        <f t="shared" si="96"/>
        <v>489.262</v>
      </c>
      <c r="F1077">
        <v>489.54500000000002</v>
      </c>
      <c r="G1077">
        <f t="shared" si="98"/>
        <v>0</v>
      </c>
      <c r="H1077">
        <v>1.82</v>
      </c>
      <c r="I1077">
        <f t="shared" si="99"/>
        <v>0</v>
      </c>
      <c r="J1077">
        <f t="shared" si="100"/>
        <v>0</v>
      </c>
      <c r="K1077">
        <f t="shared" si="101"/>
        <v>0</v>
      </c>
    </row>
    <row r="1078" spans="1:11" x14ac:dyDescent="0.4">
      <c r="A1078" s="19">
        <v>45879.583333333336</v>
      </c>
      <c r="B1078" s="20">
        <f t="shared" si="97"/>
        <v>0.58333333333575865</v>
      </c>
      <c r="C1078">
        <v>0</v>
      </c>
      <c r="D1078">
        <v>489.41699999999997</v>
      </c>
      <c r="E1078">
        <f t="shared" si="96"/>
        <v>489.262</v>
      </c>
      <c r="F1078">
        <v>489.54500000000002</v>
      </c>
      <c r="G1078">
        <f t="shared" si="98"/>
        <v>0</v>
      </c>
      <c r="H1078">
        <v>1.82</v>
      </c>
      <c r="I1078">
        <f t="shared" si="99"/>
        <v>0</v>
      </c>
      <c r="J1078">
        <f t="shared" si="100"/>
        <v>0</v>
      </c>
      <c r="K1078">
        <f t="shared" si="101"/>
        <v>0</v>
      </c>
    </row>
    <row r="1079" spans="1:11" x14ac:dyDescent="0.4">
      <c r="A1079" s="19">
        <v>45879.625</v>
      </c>
      <c r="B1079" s="20">
        <f t="shared" si="97"/>
        <v>0.625</v>
      </c>
      <c r="C1079">
        <v>0</v>
      </c>
      <c r="D1079">
        <v>489.41699999999997</v>
      </c>
      <c r="E1079">
        <f t="shared" si="96"/>
        <v>489.262</v>
      </c>
      <c r="F1079">
        <v>489.54500000000002</v>
      </c>
      <c r="G1079">
        <f t="shared" si="98"/>
        <v>0</v>
      </c>
      <c r="H1079">
        <v>1.82</v>
      </c>
      <c r="I1079">
        <f t="shared" si="99"/>
        <v>0</v>
      </c>
      <c r="J1079">
        <f t="shared" si="100"/>
        <v>0</v>
      </c>
      <c r="K1079">
        <f t="shared" si="101"/>
        <v>0</v>
      </c>
    </row>
    <row r="1080" spans="1:11" x14ac:dyDescent="0.4">
      <c r="A1080" s="19">
        <v>45879.666666666664</v>
      </c>
      <c r="B1080" s="20">
        <f t="shared" si="97"/>
        <v>0.66666666666424135</v>
      </c>
      <c r="C1080">
        <v>0</v>
      </c>
      <c r="D1080">
        <v>489.41</v>
      </c>
      <c r="E1080">
        <f t="shared" si="96"/>
        <v>489.25500000000005</v>
      </c>
      <c r="F1080">
        <v>489.54500000000002</v>
      </c>
      <c r="G1080">
        <f t="shared" si="98"/>
        <v>0</v>
      </c>
      <c r="H1080">
        <v>1.82</v>
      </c>
      <c r="I1080">
        <f t="shared" si="99"/>
        <v>0</v>
      </c>
      <c r="J1080">
        <f t="shared" si="100"/>
        <v>0</v>
      </c>
      <c r="K1080">
        <f t="shared" si="101"/>
        <v>0</v>
      </c>
    </row>
    <row r="1081" spans="1:11" x14ac:dyDescent="0.4">
      <c r="A1081" s="19">
        <v>45879.708333333336</v>
      </c>
      <c r="B1081" s="20">
        <f t="shared" si="97"/>
        <v>0.70833333333575865</v>
      </c>
      <c r="C1081">
        <v>0</v>
      </c>
      <c r="D1081">
        <v>489.41</v>
      </c>
      <c r="E1081">
        <f t="shared" si="96"/>
        <v>489.25500000000005</v>
      </c>
      <c r="F1081">
        <v>489.54500000000002</v>
      </c>
      <c r="G1081">
        <f t="shared" si="98"/>
        <v>0</v>
      </c>
      <c r="H1081">
        <v>1.82</v>
      </c>
      <c r="I1081">
        <f t="shared" si="99"/>
        <v>0</v>
      </c>
      <c r="J1081">
        <f t="shared" si="100"/>
        <v>0</v>
      </c>
      <c r="K1081">
        <f t="shared" si="101"/>
        <v>0</v>
      </c>
    </row>
    <row r="1082" spans="1:11" x14ac:dyDescent="0.4">
      <c r="A1082" s="19">
        <v>45879.75</v>
      </c>
      <c r="B1082" s="20">
        <f t="shared" si="97"/>
        <v>0.75</v>
      </c>
      <c r="C1082">
        <v>0</v>
      </c>
      <c r="D1082">
        <v>489.41</v>
      </c>
      <c r="E1082">
        <f t="shared" si="96"/>
        <v>489.25500000000005</v>
      </c>
      <c r="F1082">
        <v>489.54500000000002</v>
      </c>
      <c r="G1082">
        <f t="shared" si="98"/>
        <v>0</v>
      </c>
      <c r="H1082">
        <v>1.82</v>
      </c>
      <c r="I1082">
        <f t="shared" si="99"/>
        <v>0</v>
      </c>
      <c r="J1082">
        <f t="shared" si="100"/>
        <v>0</v>
      </c>
      <c r="K1082">
        <f t="shared" si="101"/>
        <v>0</v>
      </c>
    </row>
    <row r="1083" spans="1:11" x14ac:dyDescent="0.4">
      <c r="A1083" s="19">
        <v>45879.791666666664</v>
      </c>
      <c r="B1083" s="20">
        <f t="shared" si="97"/>
        <v>0.79166666666424135</v>
      </c>
      <c r="C1083">
        <v>0</v>
      </c>
      <c r="D1083">
        <v>489.411</v>
      </c>
      <c r="E1083">
        <f t="shared" si="96"/>
        <v>489.25600000000003</v>
      </c>
      <c r="F1083">
        <v>489.54500000000002</v>
      </c>
      <c r="G1083">
        <f t="shared" si="98"/>
        <v>0</v>
      </c>
      <c r="H1083">
        <v>1.82</v>
      </c>
      <c r="I1083">
        <f t="shared" si="99"/>
        <v>0</v>
      </c>
      <c r="J1083">
        <f t="shared" si="100"/>
        <v>0</v>
      </c>
      <c r="K1083">
        <f t="shared" si="101"/>
        <v>0</v>
      </c>
    </row>
    <row r="1084" spans="1:11" x14ac:dyDescent="0.4">
      <c r="A1084" s="19">
        <v>45879.833333333336</v>
      </c>
      <c r="B1084" s="20">
        <f t="shared" si="97"/>
        <v>0.83333333333575865</v>
      </c>
      <c r="C1084">
        <v>0</v>
      </c>
      <c r="D1084">
        <v>489.40600000000001</v>
      </c>
      <c r="E1084">
        <f t="shared" si="96"/>
        <v>489.25100000000003</v>
      </c>
      <c r="F1084">
        <v>489.54500000000002</v>
      </c>
      <c r="G1084">
        <f t="shared" si="98"/>
        <v>0</v>
      </c>
      <c r="H1084">
        <v>1.82</v>
      </c>
      <c r="I1084">
        <f t="shared" si="99"/>
        <v>0</v>
      </c>
      <c r="J1084">
        <f t="shared" si="100"/>
        <v>0</v>
      </c>
      <c r="K1084">
        <f t="shared" si="101"/>
        <v>0</v>
      </c>
    </row>
    <row r="1085" spans="1:11" x14ac:dyDescent="0.4">
      <c r="A1085" s="19">
        <v>45879.875</v>
      </c>
      <c r="B1085" s="20">
        <f t="shared" si="97"/>
        <v>0.875</v>
      </c>
      <c r="C1085">
        <v>0</v>
      </c>
      <c r="D1085">
        <v>489.40499999999997</v>
      </c>
      <c r="E1085">
        <f t="shared" si="96"/>
        <v>489.25</v>
      </c>
      <c r="F1085">
        <v>489.54500000000002</v>
      </c>
      <c r="G1085">
        <f t="shared" si="98"/>
        <v>0</v>
      </c>
      <c r="H1085">
        <v>1.82</v>
      </c>
      <c r="I1085">
        <f t="shared" si="99"/>
        <v>0</v>
      </c>
      <c r="J1085">
        <f t="shared" si="100"/>
        <v>0</v>
      </c>
      <c r="K1085">
        <f t="shared" si="101"/>
        <v>0</v>
      </c>
    </row>
    <row r="1086" spans="1:11" x14ac:dyDescent="0.4">
      <c r="A1086" s="19">
        <v>45879.916666666664</v>
      </c>
      <c r="B1086" s="20">
        <f t="shared" si="97"/>
        <v>0.91666666666424135</v>
      </c>
      <c r="C1086">
        <v>0</v>
      </c>
      <c r="D1086">
        <v>489.40499999999997</v>
      </c>
      <c r="E1086">
        <f t="shared" si="96"/>
        <v>489.25</v>
      </c>
      <c r="F1086">
        <v>489.54500000000002</v>
      </c>
      <c r="G1086">
        <f t="shared" si="98"/>
        <v>0</v>
      </c>
      <c r="H1086">
        <v>1.82</v>
      </c>
      <c r="I1086">
        <f t="shared" si="99"/>
        <v>0</v>
      </c>
      <c r="J1086">
        <f t="shared" si="100"/>
        <v>0</v>
      </c>
      <c r="K1086">
        <f t="shared" si="101"/>
        <v>0</v>
      </c>
    </row>
    <row r="1087" spans="1:11" x14ac:dyDescent="0.4">
      <c r="A1087" s="19">
        <v>45879.958333333336</v>
      </c>
      <c r="B1087" s="20">
        <f t="shared" si="97"/>
        <v>0.95833333333575865</v>
      </c>
      <c r="C1087">
        <v>0</v>
      </c>
      <c r="D1087">
        <v>489.399</v>
      </c>
      <c r="E1087">
        <f t="shared" si="96"/>
        <v>489.24400000000003</v>
      </c>
      <c r="F1087">
        <v>489.54500000000002</v>
      </c>
      <c r="G1087">
        <f t="shared" si="98"/>
        <v>0</v>
      </c>
      <c r="H1087">
        <v>1.82</v>
      </c>
      <c r="I1087">
        <f t="shared" si="99"/>
        <v>0</v>
      </c>
      <c r="J1087">
        <f t="shared" si="100"/>
        <v>0</v>
      </c>
      <c r="K1087">
        <f t="shared" si="101"/>
        <v>0</v>
      </c>
    </row>
    <row r="1088" spans="1:11" x14ac:dyDescent="0.4">
      <c r="A1088" s="19">
        <v>45880</v>
      </c>
      <c r="B1088" s="20">
        <f t="shared" si="97"/>
        <v>0</v>
      </c>
      <c r="C1088">
        <v>0</v>
      </c>
      <c r="D1088">
        <v>489.399</v>
      </c>
      <c r="E1088">
        <f t="shared" si="96"/>
        <v>489.24400000000003</v>
      </c>
      <c r="F1088">
        <v>489.54500000000002</v>
      </c>
      <c r="G1088">
        <f t="shared" si="98"/>
        <v>0</v>
      </c>
      <c r="H1088">
        <v>1.82</v>
      </c>
      <c r="I1088">
        <f t="shared" si="99"/>
        <v>0</v>
      </c>
      <c r="J1088">
        <f t="shared" si="100"/>
        <v>0</v>
      </c>
      <c r="K1088">
        <f t="shared" si="101"/>
        <v>0</v>
      </c>
    </row>
    <row r="1089" spans="1:11" x14ac:dyDescent="0.4">
      <c r="A1089" s="19">
        <v>45880.041666666664</v>
      </c>
      <c r="B1089" s="20">
        <f t="shared" si="97"/>
        <v>4.1666666664241347E-2</v>
      </c>
      <c r="C1089">
        <v>0</v>
      </c>
      <c r="D1089">
        <v>489.399</v>
      </c>
      <c r="E1089">
        <f t="shared" si="96"/>
        <v>489.24400000000003</v>
      </c>
      <c r="F1089">
        <v>489.54500000000002</v>
      </c>
      <c r="G1089">
        <f t="shared" si="98"/>
        <v>0</v>
      </c>
      <c r="H1089">
        <v>1.82</v>
      </c>
      <c r="I1089">
        <f t="shared" si="99"/>
        <v>0</v>
      </c>
      <c r="J1089">
        <f t="shared" si="100"/>
        <v>0</v>
      </c>
      <c r="K1089">
        <f t="shared" si="101"/>
        <v>0</v>
      </c>
    </row>
    <row r="1090" spans="1:11" x14ac:dyDescent="0.4">
      <c r="A1090" s="19">
        <v>45880.083333333336</v>
      </c>
      <c r="B1090" s="20">
        <f t="shared" si="97"/>
        <v>8.3333333335758653E-2</v>
      </c>
      <c r="C1090">
        <v>0</v>
      </c>
      <c r="D1090">
        <v>489.399</v>
      </c>
      <c r="E1090">
        <f t="shared" ref="E1090:E1153" si="102">D1090-0.155</f>
        <v>489.24400000000003</v>
      </c>
      <c r="F1090">
        <v>489.54500000000002</v>
      </c>
      <c r="G1090">
        <f t="shared" si="98"/>
        <v>0</v>
      </c>
      <c r="H1090">
        <v>1.82</v>
      </c>
      <c r="I1090">
        <f t="shared" si="99"/>
        <v>0</v>
      </c>
      <c r="J1090">
        <f t="shared" si="100"/>
        <v>0</v>
      </c>
      <c r="K1090">
        <f t="shared" si="101"/>
        <v>0</v>
      </c>
    </row>
    <row r="1091" spans="1:11" x14ac:dyDescent="0.4">
      <c r="A1091" s="19">
        <v>45880.125</v>
      </c>
      <c r="B1091" s="20">
        <f t="shared" ref="B1091:B1154" si="103">MOD(A1091,1)</f>
        <v>0.125</v>
      </c>
      <c r="C1091">
        <v>0</v>
      </c>
      <c r="D1091">
        <v>489.399</v>
      </c>
      <c r="E1091">
        <f t="shared" si="102"/>
        <v>489.24400000000003</v>
      </c>
      <c r="F1091">
        <v>489.54500000000002</v>
      </c>
      <c r="G1091">
        <f t="shared" ref="G1091:G1154" si="104">IF(E1091 - F1091 &lt; 0, 0, E1091 - F1091)</f>
        <v>0</v>
      </c>
      <c r="H1091">
        <v>1.82</v>
      </c>
      <c r="I1091">
        <f t="shared" ref="I1091:I1154" si="105">1.82*30*(G1091^1.5)</f>
        <v>0</v>
      </c>
      <c r="J1091">
        <f t="shared" ref="J1091:J1154" si="106">I1091*60</f>
        <v>0</v>
      </c>
      <c r="K1091">
        <f t="shared" ref="K1091:K1154" si="107">(I1091*86400)/24</f>
        <v>0</v>
      </c>
    </row>
    <row r="1092" spans="1:11" x14ac:dyDescent="0.4">
      <c r="A1092" s="19">
        <v>45880.166666666664</v>
      </c>
      <c r="B1092" s="20">
        <f t="shared" si="103"/>
        <v>0.16666666666424135</v>
      </c>
      <c r="C1092">
        <v>0</v>
      </c>
      <c r="D1092">
        <v>489.399</v>
      </c>
      <c r="E1092">
        <f t="shared" si="102"/>
        <v>489.24400000000003</v>
      </c>
      <c r="F1092">
        <v>489.54500000000002</v>
      </c>
      <c r="G1092">
        <f t="shared" si="104"/>
        <v>0</v>
      </c>
      <c r="H1092">
        <v>1.82</v>
      </c>
      <c r="I1092">
        <f t="shared" si="105"/>
        <v>0</v>
      </c>
      <c r="J1092">
        <f t="shared" si="106"/>
        <v>0</v>
      </c>
      <c r="K1092">
        <f t="shared" si="107"/>
        <v>0</v>
      </c>
    </row>
    <row r="1093" spans="1:11" x14ac:dyDescent="0.4">
      <c r="A1093" s="19">
        <v>45880.208333333336</v>
      </c>
      <c r="B1093" s="20">
        <f t="shared" si="103"/>
        <v>0.20833333333575865</v>
      </c>
      <c r="C1093">
        <v>0</v>
      </c>
      <c r="D1093">
        <v>489.39299999999997</v>
      </c>
      <c r="E1093">
        <f t="shared" si="102"/>
        <v>489.238</v>
      </c>
      <c r="F1093">
        <v>489.54500000000002</v>
      </c>
      <c r="G1093">
        <f t="shared" si="104"/>
        <v>0</v>
      </c>
      <c r="H1093">
        <v>1.82</v>
      </c>
      <c r="I1093">
        <f t="shared" si="105"/>
        <v>0</v>
      </c>
      <c r="J1093">
        <f t="shared" si="106"/>
        <v>0</v>
      </c>
      <c r="K1093">
        <f t="shared" si="107"/>
        <v>0</v>
      </c>
    </row>
    <row r="1094" spans="1:11" x14ac:dyDescent="0.4">
      <c r="A1094" s="19">
        <v>45880.25</v>
      </c>
      <c r="B1094" s="20">
        <f t="shared" si="103"/>
        <v>0.25</v>
      </c>
      <c r="C1094">
        <v>0</v>
      </c>
      <c r="D1094">
        <v>489.392</v>
      </c>
      <c r="E1094">
        <f t="shared" si="102"/>
        <v>489.23700000000002</v>
      </c>
      <c r="F1094">
        <v>489.54500000000002</v>
      </c>
      <c r="G1094">
        <f t="shared" si="104"/>
        <v>0</v>
      </c>
      <c r="H1094">
        <v>1.82</v>
      </c>
      <c r="I1094">
        <f t="shared" si="105"/>
        <v>0</v>
      </c>
      <c r="J1094">
        <f t="shared" si="106"/>
        <v>0</v>
      </c>
      <c r="K1094">
        <f t="shared" si="107"/>
        <v>0</v>
      </c>
    </row>
    <row r="1095" spans="1:11" x14ac:dyDescent="0.4">
      <c r="A1095" s="19">
        <v>45880.291666666664</v>
      </c>
      <c r="B1095" s="20">
        <f t="shared" si="103"/>
        <v>0.29166666666424135</v>
      </c>
      <c r="C1095">
        <v>0</v>
      </c>
      <c r="D1095">
        <v>489.392</v>
      </c>
      <c r="E1095">
        <f t="shared" si="102"/>
        <v>489.23700000000002</v>
      </c>
      <c r="F1095">
        <v>489.54500000000002</v>
      </c>
      <c r="G1095">
        <f t="shared" si="104"/>
        <v>0</v>
      </c>
      <c r="H1095">
        <v>1.82</v>
      </c>
      <c r="I1095">
        <f t="shared" si="105"/>
        <v>0</v>
      </c>
      <c r="J1095">
        <f t="shared" si="106"/>
        <v>0</v>
      </c>
      <c r="K1095">
        <f t="shared" si="107"/>
        <v>0</v>
      </c>
    </row>
    <row r="1096" spans="1:11" x14ac:dyDescent="0.4">
      <c r="A1096" s="19">
        <v>45880.333333333336</v>
      </c>
      <c r="B1096" s="20">
        <f t="shared" si="103"/>
        <v>0.33333333333575865</v>
      </c>
      <c r="C1096">
        <v>0</v>
      </c>
      <c r="D1096">
        <v>489.392</v>
      </c>
      <c r="E1096">
        <f t="shared" si="102"/>
        <v>489.23700000000002</v>
      </c>
      <c r="F1096">
        <v>489.54500000000002</v>
      </c>
      <c r="G1096">
        <f t="shared" si="104"/>
        <v>0</v>
      </c>
      <c r="H1096">
        <v>1.82</v>
      </c>
      <c r="I1096">
        <f t="shared" si="105"/>
        <v>0</v>
      </c>
      <c r="J1096">
        <f t="shared" si="106"/>
        <v>0</v>
      </c>
      <c r="K1096">
        <f t="shared" si="107"/>
        <v>0</v>
      </c>
    </row>
    <row r="1097" spans="1:11" x14ac:dyDescent="0.4">
      <c r="A1097" s="19">
        <v>45880.375</v>
      </c>
      <c r="B1097" s="20">
        <f t="shared" si="103"/>
        <v>0.375</v>
      </c>
      <c r="C1097">
        <v>0</v>
      </c>
      <c r="D1097">
        <v>489.38600000000002</v>
      </c>
      <c r="E1097">
        <f t="shared" si="102"/>
        <v>489.23100000000005</v>
      </c>
      <c r="F1097">
        <v>489.54500000000002</v>
      </c>
      <c r="G1097">
        <f t="shared" si="104"/>
        <v>0</v>
      </c>
      <c r="H1097">
        <v>1.82</v>
      </c>
      <c r="I1097">
        <f t="shared" si="105"/>
        <v>0</v>
      </c>
      <c r="J1097">
        <f t="shared" si="106"/>
        <v>0</v>
      </c>
      <c r="K1097">
        <f t="shared" si="107"/>
        <v>0</v>
      </c>
    </row>
    <row r="1098" spans="1:11" x14ac:dyDescent="0.4">
      <c r="A1098" s="19">
        <v>45880.416666666664</v>
      </c>
      <c r="B1098" s="20">
        <f t="shared" si="103"/>
        <v>0.41666666666424135</v>
      </c>
      <c r="C1098">
        <v>0</v>
      </c>
      <c r="D1098">
        <v>489.38600000000002</v>
      </c>
      <c r="E1098">
        <f t="shared" si="102"/>
        <v>489.23100000000005</v>
      </c>
      <c r="F1098">
        <v>489.54500000000002</v>
      </c>
      <c r="G1098">
        <f t="shared" si="104"/>
        <v>0</v>
      </c>
      <c r="H1098">
        <v>1.82</v>
      </c>
      <c r="I1098">
        <f t="shared" si="105"/>
        <v>0</v>
      </c>
      <c r="J1098">
        <f t="shared" si="106"/>
        <v>0</v>
      </c>
      <c r="K1098">
        <f t="shared" si="107"/>
        <v>0</v>
      </c>
    </row>
    <row r="1099" spans="1:11" x14ac:dyDescent="0.4">
      <c r="A1099" s="19">
        <v>45880.458333333336</v>
      </c>
      <c r="B1099" s="20">
        <f t="shared" si="103"/>
        <v>0.45833333333575865</v>
      </c>
      <c r="C1099">
        <v>0</v>
      </c>
      <c r="D1099">
        <v>489.38600000000002</v>
      </c>
      <c r="E1099">
        <f t="shared" si="102"/>
        <v>489.23100000000005</v>
      </c>
      <c r="F1099">
        <v>489.54500000000002</v>
      </c>
      <c r="G1099">
        <f t="shared" si="104"/>
        <v>0</v>
      </c>
      <c r="H1099">
        <v>1.82</v>
      </c>
      <c r="I1099">
        <f t="shared" si="105"/>
        <v>0</v>
      </c>
      <c r="J1099">
        <f t="shared" si="106"/>
        <v>0</v>
      </c>
      <c r="K1099">
        <f t="shared" si="107"/>
        <v>0</v>
      </c>
    </row>
    <row r="1100" spans="1:11" x14ac:dyDescent="0.4">
      <c r="A1100" s="19">
        <v>45880.5</v>
      </c>
      <c r="B1100" s="20">
        <f t="shared" si="103"/>
        <v>0.5</v>
      </c>
      <c r="C1100">
        <v>0</v>
      </c>
      <c r="D1100">
        <v>489.38600000000002</v>
      </c>
      <c r="E1100">
        <f t="shared" si="102"/>
        <v>489.23100000000005</v>
      </c>
      <c r="F1100">
        <v>489.54500000000002</v>
      </c>
      <c r="G1100">
        <f t="shared" si="104"/>
        <v>0</v>
      </c>
      <c r="H1100">
        <v>1.82</v>
      </c>
      <c r="I1100">
        <f t="shared" si="105"/>
        <v>0</v>
      </c>
      <c r="J1100">
        <f t="shared" si="106"/>
        <v>0</v>
      </c>
      <c r="K1100">
        <f t="shared" si="107"/>
        <v>0</v>
      </c>
    </row>
    <row r="1101" spans="1:11" x14ac:dyDescent="0.4">
      <c r="A1101" s="19">
        <v>45880.541666666664</v>
      </c>
      <c r="B1101" s="20">
        <f t="shared" si="103"/>
        <v>0.54166666666424135</v>
      </c>
      <c r="C1101">
        <v>0</v>
      </c>
      <c r="D1101">
        <v>489.38600000000002</v>
      </c>
      <c r="E1101">
        <f t="shared" si="102"/>
        <v>489.23100000000005</v>
      </c>
      <c r="F1101">
        <v>489.54500000000002</v>
      </c>
      <c r="G1101">
        <f t="shared" si="104"/>
        <v>0</v>
      </c>
      <c r="H1101">
        <v>1.82</v>
      </c>
      <c r="I1101">
        <f t="shared" si="105"/>
        <v>0</v>
      </c>
      <c r="J1101">
        <f t="shared" si="106"/>
        <v>0</v>
      </c>
      <c r="K1101">
        <f t="shared" si="107"/>
        <v>0</v>
      </c>
    </row>
    <row r="1102" spans="1:11" x14ac:dyDescent="0.4">
      <c r="A1102" s="19">
        <v>45880.583333333336</v>
      </c>
      <c r="B1102" s="20">
        <f t="shared" si="103"/>
        <v>0.58333333333575865</v>
      </c>
      <c r="C1102">
        <v>0</v>
      </c>
      <c r="D1102">
        <v>489.38600000000002</v>
      </c>
      <c r="E1102">
        <f t="shared" si="102"/>
        <v>489.23100000000005</v>
      </c>
      <c r="F1102">
        <v>489.54500000000002</v>
      </c>
      <c r="G1102">
        <f t="shared" si="104"/>
        <v>0</v>
      </c>
      <c r="H1102">
        <v>1.82</v>
      </c>
      <c r="I1102">
        <f t="shared" si="105"/>
        <v>0</v>
      </c>
      <c r="J1102">
        <f t="shared" si="106"/>
        <v>0</v>
      </c>
      <c r="K1102">
        <f t="shared" si="107"/>
        <v>0</v>
      </c>
    </row>
    <row r="1103" spans="1:11" x14ac:dyDescent="0.4">
      <c r="A1103" s="19">
        <v>45880.625</v>
      </c>
      <c r="B1103" s="20">
        <f t="shared" si="103"/>
        <v>0.625</v>
      </c>
      <c r="C1103">
        <v>0</v>
      </c>
      <c r="D1103">
        <v>489.38600000000002</v>
      </c>
      <c r="E1103">
        <f t="shared" si="102"/>
        <v>489.23100000000005</v>
      </c>
      <c r="F1103">
        <v>489.54500000000002</v>
      </c>
      <c r="G1103">
        <f t="shared" si="104"/>
        <v>0</v>
      </c>
      <c r="H1103">
        <v>1.82</v>
      </c>
      <c r="I1103">
        <f t="shared" si="105"/>
        <v>0</v>
      </c>
      <c r="J1103">
        <f t="shared" si="106"/>
        <v>0</v>
      </c>
      <c r="K1103">
        <f t="shared" si="107"/>
        <v>0</v>
      </c>
    </row>
    <row r="1104" spans="1:11" x14ac:dyDescent="0.4">
      <c r="A1104" s="19">
        <v>45880.666666666664</v>
      </c>
      <c r="B1104" s="20">
        <f t="shared" si="103"/>
        <v>0.66666666666424135</v>
      </c>
      <c r="C1104">
        <v>0</v>
      </c>
      <c r="D1104">
        <v>489.38600000000002</v>
      </c>
      <c r="E1104">
        <f t="shared" si="102"/>
        <v>489.23100000000005</v>
      </c>
      <c r="F1104">
        <v>489.54500000000002</v>
      </c>
      <c r="G1104">
        <f t="shared" si="104"/>
        <v>0</v>
      </c>
      <c r="H1104">
        <v>1.82</v>
      </c>
      <c r="I1104">
        <f t="shared" si="105"/>
        <v>0</v>
      </c>
      <c r="J1104">
        <f t="shared" si="106"/>
        <v>0</v>
      </c>
      <c r="K1104">
        <f t="shared" si="107"/>
        <v>0</v>
      </c>
    </row>
    <row r="1105" spans="1:11" x14ac:dyDescent="0.4">
      <c r="A1105" s="19">
        <v>45880.708333333336</v>
      </c>
      <c r="B1105" s="20">
        <f t="shared" si="103"/>
        <v>0.70833333333575865</v>
      </c>
      <c r="C1105">
        <v>0</v>
      </c>
      <c r="D1105">
        <v>489.38600000000002</v>
      </c>
      <c r="E1105">
        <f t="shared" si="102"/>
        <v>489.23100000000005</v>
      </c>
      <c r="F1105">
        <v>489.54500000000002</v>
      </c>
      <c r="G1105">
        <f t="shared" si="104"/>
        <v>0</v>
      </c>
      <c r="H1105">
        <v>1.82</v>
      </c>
      <c r="I1105">
        <f t="shared" si="105"/>
        <v>0</v>
      </c>
      <c r="J1105">
        <f t="shared" si="106"/>
        <v>0</v>
      </c>
      <c r="K1105">
        <f t="shared" si="107"/>
        <v>0</v>
      </c>
    </row>
    <row r="1106" spans="1:11" x14ac:dyDescent="0.4">
      <c r="A1106" s="19">
        <v>45880.75</v>
      </c>
      <c r="B1106" s="20">
        <f t="shared" si="103"/>
        <v>0.75</v>
      </c>
      <c r="C1106">
        <v>0</v>
      </c>
      <c r="D1106">
        <v>489.38600000000002</v>
      </c>
      <c r="E1106">
        <f t="shared" si="102"/>
        <v>489.23100000000005</v>
      </c>
      <c r="F1106">
        <v>489.54500000000002</v>
      </c>
      <c r="G1106">
        <f t="shared" si="104"/>
        <v>0</v>
      </c>
      <c r="H1106">
        <v>1.82</v>
      </c>
      <c r="I1106">
        <f t="shared" si="105"/>
        <v>0</v>
      </c>
      <c r="J1106">
        <f t="shared" si="106"/>
        <v>0</v>
      </c>
      <c r="K1106">
        <f t="shared" si="107"/>
        <v>0</v>
      </c>
    </row>
    <row r="1107" spans="1:11" x14ac:dyDescent="0.4">
      <c r="A1107" s="19">
        <v>45880.791666666664</v>
      </c>
      <c r="B1107" s="20">
        <f t="shared" si="103"/>
        <v>0.79166666666424135</v>
      </c>
      <c r="C1107">
        <v>0</v>
      </c>
      <c r="D1107">
        <v>489.38600000000002</v>
      </c>
      <c r="E1107">
        <f t="shared" si="102"/>
        <v>489.23100000000005</v>
      </c>
      <c r="F1107">
        <v>489.54500000000002</v>
      </c>
      <c r="G1107">
        <f t="shared" si="104"/>
        <v>0</v>
      </c>
      <c r="H1107">
        <v>1.82</v>
      </c>
      <c r="I1107">
        <f t="shared" si="105"/>
        <v>0</v>
      </c>
      <c r="J1107">
        <f t="shared" si="106"/>
        <v>0</v>
      </c>
      <c r="K1107">
        <f t="shared" si="107"/>
        <v>0</v>
      </c>
    </row>
    <row r="1108" spans="1:11" x14ac:dyDescent="0.4">
      <c r="A1108" s="19">
        <v>45880.833333333336</v>
      </c>
      <c r="B1108" s="20">
        <f t="shared" si="103"/>
        <v>0.83333333333575865</v>
      </c>
      <c r="C1108">
        <v>0</v>
      </c>
      <c r="D1108">
        <v>489.387</v>
      </c>
      <c r="E1108">
        <f t="shared" si="102"/>
        <v>489.23200000000003</v>
      </c>
      <c r="F1108">
        <v>489.54500000000002</v>
      </c>
      <c r="G1108">
        <f t="shared" si="104"/>
        <v>0</v>
      </c>
      <c r="H1108">
        <v>1.82</v>
      </c>
      <c r="I1108">
        <f t="shared" si="105"/>
        <v>0</v>
      </c>
      <c r="J1108">
        <f t="shared" si="106"/>
        <v>0</v>
      </c>
      <c r="K1108">
        <f t="shared" si="107"/>
        <v>0</v>
      </c>
    </row>
    <row r="1109" spans="1:11" x14ac:dyDescent="0.4">
      <c r="A1109" s="19">
        <v>45880.875</v>
      </c>
      <c r="B1109" s="20">
        <f t="shared" si="103"/>
        <v>0.875</v>
      </c>
      <c r="C1109">
        <v>0</v>
      </c>
      <c r="D1109">
        <v>489.387</v>
      </c>
      <c r="E1109">
        <f t="shared" si="102"/>
        <v>489.23200000000003</v>
      </c>
      <c r="F1109">
        <v>489.54500000000002</v>
      </c>
      <c r="G1109">
        <f t="shared" si="104"/>
        <v>0</v>
      </c>
      <c r="H1109">
        <v>1.82</v>
      </c>
      <c r="I1109">
        <f t="shared" si="105"/>
        <v>0</v>
      </c>
      <c r="J1109">
        <f t="shared" si="106"/>
        <v>0</v>
      </c>
      <c r="K1109">
        <f t="shared" si="107"/>
        <v>0</v>
      </c>
    </row>
    <row r="1110" spans="1:11" x14ac:dyDescent="0.4">
      <c r="A1110" s="19">
        <v>45880.916666666664</v>
      </c>
      <c r="B1110" s="20">
        <f t="shared" si="103"/>
        <v>0.91666666666424135</v>
      </c>
      <c r="C1110">
        <v>0</v>
      </c>
      <c r="D1110">
        <v>489.38600000000002</v>
      </c>
      <c r="E1110">
        <f t="shared" si="102"/>
        <v>489.23100000000005</v>
      </c>
      <c r="F1110">
        <v>489.54500000000002</v>
      </c>
      <c r="G1110">
        <f t="shared" si="104"/>
        <v>0</v>
      </c>
      <c r="H1110">
        <v>1.82</v>
      </c>
      <c r="I1110">
        <f t="shared" si="105"/>
        <v>0</v>
      </c>
      <c r="J1110">
        <f t="shared" si="106"/>
        <v>0</v>
      </c>
      <c r="K1110">
        <f t="shared" si="107"/>
        <v>0</v>
      </c>
    </row>
    <row r="1111" spans="1:11" x14ac:dyDescent="0.4">
      <c r="A1111" s="19">
        <v>45880.958333333336</v>
      </c>
      <c r="B1111" s="20">
        <f t="shared" si="103"/>
        <v>0.95833333333575865</v>
      </c>
      <c r="C1111">
        <v>0</v>
      </c>
      <c r="D1111">
        <v>489.38</v>
      </c>
      <c r="E1111">
        <f t="shared" si="102"/>
        <v>489.22500000000002</v>
      </c>
      <c r="F1111">
        <v>489.54500000000002</v>
      </c>
      <c r="G1111">
        <f t="shared" si="104"/>
        <v>0</v>
      </c>
      <c r="H1111">
        <v>1.82</v>
      </c>
      <c r="I1111">
        <f t="shared" si="105"/>
        <v>0</v>
      </c>
      <c r="J1111">
        <f t="shared" si="106"/>
        <v>0</v>
      </c>
      <c r="K1111">
        <f t="shared" si="107"/>
        <v>0</v>
      </c>
    </row>
    <row r="1112" spans="1:11" x14ac:dyDescent="0.4">
      <c r="A1112" s="19">
        <v>45881</v>
      </c>
      <c r="B1112" s="20">
        <f t="shared" si="103"/>
        <v>0</v>
      </c>
      <c r="C1112">
        <v>0</v>
      </c>
      <c r="D1112">
        <v>489.38</v>
      </c>
      <c r="E1112">
        <f t="shared" si="102"/>
        <v>489.22500000000002</v>
      </c>
      <c r="F1112">
        <v>489.54500000000002</v>
      </c>
      <c r="G1112">
        <f t="shared" si="104"/>
        <v>0</v>
      </c>
      <c r="H1112">
        <v>1.82</v>
      </c>
      <c r="I1112">
        <f t="shared" si="105"/>
        <v>0</v>
      </c>
      <c r="J1112">
        <f t="shared" si="106"/>
        <v>0</v>
      </c>
      <c r="K1112">
        <f t="shared" si="107"/>
        <v>0</v>
      </c>
    </row>
    <row r="1113" spans="1:11" x14ac:dyDescent="0.4">
      <c r="A1113" s="19">
        <v>45881.041666666664</v>
      </c>
      <c r="B1113" s="20">
        <f t="shared" si="103"/>
        <v>4.1666666664241347E-2</v>
      </c>
      <c r="C1113">
        <v>0</v>
      </c>
      <c r="D1113">
        <v>489.387</v>
      </c>
      <c r="E1113">
        <f t="shared" si="102"/>
        <v>489.23200000000003</v>
      </c>
      <c r="F1113">
        <v>489.54500000000002</v>
      </c>
      <c r="G1113">
        <f t="shared" si="104"/>
        <v>0</v>
      </c>
      <c r="H1113">
        <v>1.82</v>
      </c>
      <c r="I1113">
        <f t="shared" si="105"/>
        <v>0</v>
      </c>
      <c r="J1113">
        <f t="shared" si="106"/>
        <v>0</v>
      </c>
      <c r="K1113">
        <f t="shared" si="107"/>
        <v>0</v>
      </c>
    </row>
    <row r="1114" spans="1:11" x14ac:dyDescent="0.4">
      <c r="A1114" s="19">
        <v>45881.083333333336</v>
      </c>
      <c r="B1114" s="20">
        <f t="shared" si="103"/>
        <v>8.3333333335758653E-2</v>
      </c>
      <c r="C1114">
        <v>0</v>
      </c>
      <c r="D1114">
        <v>489.38099999999997</v>
      </c>
      <c r="E1114">
        <f t="shared" si="102"/>
        <v>489.226</v>
      </c>
      <c r="F1114">
        <v>489.54500000000002</v>
      </c>
      <c r="G1114">
        <f t="shared" si="104"/>
        <v>0</v>
      </c>
      <c r="H1114">
        <v>1.82</v>
      </c>
      <c r="I1114">
        <f t="shared" si="105"/>
        <v>0</v>
      </c>
      <c r="J1114">
        <f t="shared" si="106"/>
        <v>0</v>
      </c>
      <c r="K1114">
        <f t="shared" si="107"/>
        <v>0</v>
      </c>
    </row>
    <row r="1115" spans="1:11" x14ac:dyDescent="0.4">
      <c r="A1115" s="19">
        <v>45881.125</v>
      </c>
      <c r="B1115" s="20">
        <f t="shared" si="103"/>
        <v>0.125</v>
      </c>
      <c r="C1115">
        <v>0</v>
      </c>
      <c r="D1115">
        <v>489.387</v>
      </c>
      <c r="E1115">
        <f t="shared" si="102"/>
        <v>489.23200000000003</v>
      </c>
      <c r="F1115">
        <v>489.54500000000002</v>
      </c>
      <c r="G1115">
        <f t="shared" si="104"/>
        <v>0</v>
      </c>
      <c r="H1115">
        <v>1.82</v>
      </c>
      <c r="I1115">
        <f t="shared" si="105"/>
        <v>0</v>
      </c>
      <c r="J1115">
        <f t="shared" si="106"/>
        <v>0</v>
      </c>
      <c r="K1115">
        <f t="shared" si="107"/>
        <v>0</v>
      </c>
    </row>
    <row r="1116" spans="1:11" x14ac:dyDescent="0.4">
      <c r="A1116" s="19">
        <v>45881.166666666664</v>
      </c>
      <c r="B1116" s="20">
        <f t="shared" si="103"/>
        <v>0.16666666666424135</v>
      </c>
      <c r="C1116">
        <v>0</v>
      </c>
      <c r="D1116">
        <v>489.387</v>
      </c>
      <c r="E1116">
        <f t="shared" si="102"/>
        <v>489.23200000000003</v>
      </c>
      <c r="F1116">
        <v>489.54500000000002</v>
      </c>
      <c r="G1116">
        <f t="shared" si="104"/>
        <v>0</v>
      </c>
      <c r="H1116">
        <v>1.82</v>
      </c>
      <c r="I1116">
        <f t="shared" si="105"/>
        <v>0</v>
      </c>
      <c r="J1116">
        <f t="shared" si="106"/>
        <v>0</v>
      </c>
      <c r="K1116">
        <f t="shared" si="107"/>
        <v>0</v>
      </c>
    </row>
    <row r="1117" spans="1:11" x14ac:dyDescent="0.4">
      <c r="A1117" s="19">
        <v>45881.208333333336</v>
      </c>
      <c r="B1117" s="20">
        <f t="shared" si="103"/>
        <v>0.20833333333575865</v>
      </c>
      <c r="C1117">
        <v>0</v>
      </c>
      <c r="D1117">
        <v>489.38099999999997</v>
      </c>
      <c r="E1117">
        <f t="shared" si="102"/>
        <v>489.226</v>
      </c>
      <c r="F1117">
        <v>489.54500000000002</v>
      </c>
      <c r="G1117">
        <f t="shared" si="104"/>
        <v>0</v>
      </c>
      <c r="H1117">
        <v>1.82</v>
      </c>
      <c r="I1117">
        <f t="shared" si="105"/>
        <v>0</v>
      </c>
      <c r="J1117">
        <f t="shared" si="106"/>
        <v>0</v>
      </c>
      <c r="K1117">
        <f t="shared" si="107"/>
        <v>0</v>
      </c>
    </row>
    <row r="1118" spans="1:11" x14ac:dyDescent="0.4">
      <c r="A1118" s="19">
        <v>45881.25</v>
      </c>
      <c r="B1118" s="20">
        <f t="shared" si="103"/>
        <v>0.25</v>
      </c>
      <c r="C1118">
        <v>0</v>
      </c>
      <c r="D1118">
        <v>489.387</v>
      </c>
      <c r="E1118">
        <f t="shared" si="102"/>
        <v>489.23200000000003</v>
      </c>
      <c r="F1118">
        <v>489.54500000000002</v>
      </c>
      <c r="G1118">
        <f t="shared" si="104"/>
        <v>0</v>
      </c>
      <c r="H1118">
        <v>1.82</v>
      </c>
      <c r="I1118">
        <f t="shared" si="105"/>
        <v>0</v>
      </c>
      <c r="J1118">
        <f t="shared" si="106"/>
        <v>0</v>
      </c>
      <c r="K1118">
        <f t="shared" si="107"/>
        <v>0</v>
      </c>
    </row>
    <row r="1119" spans="1:11" x14ac:dyDescent="0.4">
      <c r="A1119" s="19">
        <v>45881.291666666664</v>
      </c>
      <c r="B1119" s="20">
        <f t="shared" si="103"/>
        <v>0.29166666666424135</v>
      </c>
      <c r="C1119">
        <v>0</v>
      </c>
      <c r="D1119">
        <v>489.38</v>
      </c>
      <c r="E1119">
        <f t="shared" si="102"/>
        <v>489.22500000000002</v>
      </c>
      <c r="F1119">
        <v>489.54500000000002</v>
      </c>
      <c r="G1119">
        <f t="shared" si="104"/>
        <v>0</v>
      </c>
      <c r="H1119">
        <v>1.82</v>
      </c>
      <c r="I1119">
        <f t="shared" si="105"/>
        <v>0</v>
      </c>
      <c r="J1119">
        <f t="shared" si="106"/>
        <v>0</v>
      </c>
      <c r="K1119">
        <f t="shared" si="107"/>
        <v>0</v>
      </c>
    </row>
    <row r="1120" spans="1:11" x14ac:dyDescent="0.4">
      <c r="A1120" s="19">
        <v>45881.333333333336</v>
      </c>
      <c r="B1120" s="20">
        <f t="shared" si="103"/>
        <v>0.33333333333575865</v>
      </c>
      <c r="C1120">
        <v>0</v>
      </c>
      <c r="D1120">
        <v>489.387</v>
      </c>
      <c r="E1120">
        <f t="shared" si="102"/>
        <v>489.23200000000003</v>
      </c>
      <c r="F1120">
        <v>489.54500000000002</v>
      </c>
      <c r="G1120">
        <f t="shared" si="104"/>
        <v>0</v>
      </c>
      <c r="H1120">
        <v>1.82</v>
      </c>
      <c r="I1120">
        <f t="shared" si="105"/>
        <v>0</v>
      </c>
      <c r="J1120">
        <f t="shared" si="106"/>
        <v>0</v>
      </c>
      <c r="K1120">
        <f t="shared" si="107"/>
        <v>0</v>
      </c>
    </row>
    <row r="1121" spans="1:11" x14ac:dyDescent="0.4">
      <c r="A1121" s="19">
        <v>45881.375</v>
      </c>
      <c r="B1121" s="20">
        <f t="shared" si="103"/>
        <v>0.375</v>
      </c>
      <c r="C1121">
        <v>0</v>
      </c>
      <c r="D1121">
        <v>489.38600000000002</v>
      </c>
      <c r="E1121">
        <f t="shared" si="102"/>
        <v>489.23100000000005</v>
      </c>
      <c r="F1121">
        <v>489.54500000000002</v>
      </c>
      <c r="G1121">
        <f t="shared" si="104"/>
        <v>0</v>
      </c>
      <c r="H1121">
        <v>1.82</v>
      </c>
      <c r="I1121">
        <f t="shared" si="105"/>
        <v>0</v>
      </c>
      <c r="J1121">
        <f t="shared" si="106"/>
        <v>0</v>
      </c>
      <c r="K1121">
        <f t="shared" si="107"/>
        <v>0</v>
      </c>
    </row>
    <row r="1122" spans="1:11" x14ac:dyDescent="0.4">
      <c r="A1122" s="19">
        <v>45881.416666666664</v>
      </c>
      <c r="B1122" s="20">
        <f t="shared" si="103"/>
        <v>0.41666666666424135</v>
      </c>
      <c r="C1122">
        <v>0</v>
      </c>
      <c r="D1122">
        <v>489.38</v>
      </c>
      <c r="E1122">
        <f t="shared" si="102"/>
        <v>489.22500000000002</v>
      </c>
      <c r="F1122">
        <v>489.54500000000002</v>
      </c>
      <c r="G1122">
        <f t="shared" si="104"/>
        <v>0</v>
      </c>
      <c r="H1122">
        <v>1.82</v>
      </c>
      <c r="I1122">
        <f t="shared" si="105"/>
        <v>0</v>
      </c>
      <c r="J1122">
        <f t="shared" si="106"/>
        <v>0</v>
      </c>
      <c r="K1122">
        <f t="shared" si="107"/>
        <v>0</v>
      </c>
    </row>
    <row r="1123" spans="1:11" x14ac:dyDescent="0.4">
      <c r="A1123" s="19">
        <v>45881.458333333336</v>
      </c>
      <c r="B1123" s="20">
        <f t="shared" si="103"/>
        <v>0.45833333333575865</v>
      </c>
      <c r="C1123">
        <v>0</v>
      </c>
      <c r="D1123">
        <v>489.38</v>
      </c>
      <c r="E1123">
        <f t="shared" si="102"/>
        <v>489.22500000000002</v>
      </c>
      <c r="F1123">
        <v>489.54500000000002</v>
      </c>
      <c r="G1123">
        <f t="shared" si="104"/>
        <v>0</v>
      </c>
      <c r="H1123">
        <v>1.82</v>
      </c>
      <c r="I1123">
        <f t="shared" si="105"/>
        <v>0</v>
      </c>
      <c r="J1123">
        <f t="shared" si="106"/>
        <v>0</v>
      </c>
      <c r="K1123">
        <f t="shared" si="107"/>
        <v>0</v>
      </c>
    </row>
    <row r="1124" spans="1:11" x14ac:dyDescent="0.4">
      <c r="A1124" s="19">
        <v>45881.5</v>
      </c>
      <c r="B1124" s="20">
        <f t="shared" si="103"/>
        <v>0.5</v>
      </c>
      <c r="C1124">
        <v>4.8</v>
      </c>
      <c r="D1124">
        <v>489.399</v>
      </c>
      <c r="E1124">
        <f t="shared" si="102"/>
        <v>489.24400000000003</v>
      </c>
      <c r="F1124">
        <v>489.54500000000002</v>
      </c>
      <c r="G1124">
        <f t="shared" si="104"/>
        <v>0</v>
      </c>
      <c r="H1124">
        <v>1.82</v>
      </c>
      <c r="I1124">
        <f t="shared" si="105"/>
        <v>0</v>
      </c>
      <c r="J1124">
        <f t="shared" si="106"/>
        <v>0</v>
      </c>
      <c r="K1124">
        <f t="shared" si="107"/>
        <v>0</v>
      </c>
    </row>
    <row r="1125" spans="1:11" x14ac:dyDescent="0.4">
      <c r="A1125" s="19">
        <v>45881.541666666664</v>
      </c>
      <c r="B1125" s="20">
        <f t="shared" si="103"/>
        <v>0.54166666666424135</v>
      </c>
      <c r="C1125">
        <v>0.8</v>
      </c>
      <c r="D1125">
        <v>489.41800000000001</v>
      </c>
      <c r="E1125">
        <f t="shared" si="102"/>
        <v>489.26300000000003</v>
      </c>
      <c r="F1125">
        <v>489.54500000000002</v>
      </c>
      <c r="G1125">
        <f t="shared" si="104"/>
        <v>0</v>
      </c>
      <c r="H1125">
        <v>1.82</v>
      </c>
      <c r="I1125">
        <f t="shared" si="105"/>
        <v>0</v>
      </c>
      <c r="J1125">
        <f t="shared" si="106"/>
        <v>0</v>
      </c>
      <c r="K1125">
        <f t="shared" si="107"/>
        <v>0</v>
      </c>
    </row>
    <row r="1126" spans="1:11" x14ac:dyDescent="0.4">
      <c r="A1126" s="19">
        <v>45881.583333333336</v>
      </c>
      <c r="B1126" s="20">
        <f t="shared" si="103"/>
        <v>0.58333333333575865</v>
      </c>
      <c r="C1126">
        <v>9.8000000000000007</v>
      </c>
      <c r="D1126">
        <v>489.44299999999998</v>
      </c>
      <c r="E1126">
        <f t="shared" si="102"/>
        <v>489.28800000000001</v>
      </c>
      <c r="F1126">
        <v>489.54500000000002</v>
      </c>
      <c r="G1126">
        <f t="shared" si="104"/>
        <v>0</v>
      </c>
      <c r="H1126">
        <v>1.82</v>
      </c>
      <c r="I1126">
        <f t="shared" si="105"/>
        <v>0</v>
      </c>
      <c r="J1126">
        <f t="shared" si="106"/>
        <v>0</v>
      </c>
      <c r="K1126">
        <f t="shared" si="107"/>
        <v>0</v>
      </c>
    </row>
    <row r="1127" spans="1:11" x14ac:dyDescent="0.4">
      <c r="A1127" s="19">
        <v>45881.625</v>
      </c>
      <c r="B1127" s="20">
        <f t="shared" si="103"/>
        <v>0.625</v>
      </c>
      <c r="C1127">
        <v>0</v>
      </c>
      <c r="D1127">
        <v>489.45600000000002</v>
      </c>
      <c r="E1127">
        <f t="shared" si="102"/>
        <v>489.30100000000004</v>
      </c>
      <c r="F1127">
        <v>489.54500000000002</v>
      </c>
      <c r="G1127">
        <f t="shared" si="104"/>
        <v>0</v>
      </c>
      <c r="H1127">
        <v>1.82</v>
      </c>
      <c r="I1127">
        <f t="shared" si="105"/>
        <v>0</v>
      </c>
      <c r="J1127">
        <f t="shared" si="106"/>
        <v>0</v>
      </c>
      <c r="K1127">
        <f t="shared" si="107"/>
        <v>0</v>
      </c>
    </row>
    <row r="1128" spans="1:11" x14ac:dyDescent="0.4">
      <c r="A1128" s="19">
        <v>45881.666666666664</v>
      </c>
      <c r="B1128" s="20">
        <f t="shared" si="103"/>
        <v>0.66666666666424135</v>
      </c>
      <c r="C1128">
        <v>0</v>
      </c>
      <c r="D1128">
        <v>489.46300000000002</v>
      </c>
      <c r="E1128">
        <f t="shared" si="102"/>
        <v>489.30800000000005</v>
      </c>
      <c r="F1128">
        <v>489.54500000000002</v>
      </c>
      <c r="G1128">
        <f t="shared" si="104"/>
        <v>0</v>
      </c>
      <c r="H1128">
        <v>1.82</v>
      </c>
      <c r="I1128">
        <f t="shared" si="105"/>
        <v>0</v>
      </c>
      <c r="J1128">
        <f t="shared" si="106"/>
        <v>0</v>
      </c>
      <c r="K1128">
        <f t="shared" si="107"/>
        <v>0</v>
      </c>
    </row>
    <row r="1129" spans="1:11" x14ac:dyDescent="0.4">
      <c r="A1129" s="19">
        <v>45881.708333333336</v>
      </c>
      <c r="B1129" s="20">
        <f t="shared" si="103"/>
        <v>0.70833333333575865</v>
      </c>
      <c r="C1129">
        <v>0</v>
      </c>
      <c r="D1129">
        <v>489.476</v>
      </c>
      <c r="E1129">
        <f t="shared" si="102"/>
        <v>489.32100000000003</v>
      </c>
      <c r="F1129">
        <v>489.54500000000002</v>
      </c>
      <c r="G1129">
        <f t="shared" si="104"/>
        <v>0</v>
      </c>
      <c r="H1129">
        <v>1.82</v>
      </c>
      <c r="I1129">
        <f t="shared" si="105"/>
        <v>0</v>
      </c>
      <c r="J1129">
        <f t="shared" si="106"/>
        <v>0</v>
      </c>
      <c r="K1129">
        <f t="shared" si="107"/>
        <v>0</v>
      </c>
    </row>
    <row r="1130" spans="1:11" x14ac:dyDescent="0.4">
      <c r="A1130" s="19">
        <v>45881.75</v>
      </c>
      <c r="B1130" s="20">
        <f t="shared" si="103"/>
        <v>0.75</v>
      </c>
      <c r="C1130">
        <v>0</v>
      </c>
      <c r="D1130">
        <v>489.476</v>
      </c>
      <c r="E1130">
        <f t="shared" si="102"/>
        <v>489.32100000000003</v>
      </c>
      <c r="F1130">
        <v>489.54500000000002</v>
      </c>
      <c r="G1130">
        <f t="shared" si="104"/>
        <v>0</v>
      </c>
      <c r="H1130">
        <v>1.82</v>
      </c>
      <c r="I1130">
        <f t="shared" si="105"/>
        <v>0</v>
      </c>
      <c r="J1130">
        <f t="shared" si="106"/>
        <v>0</v>
      </c>
      <c r="K1130">
        <f t="shared" si="107"/>
        <v>0</v>
      </c>
    </row>
    <row r="1131" spans="1:11" x14ac:dyDescent="0.4">
      <c r="A1131" s="19">
        <v>45881.791666666664</v>
      </c>
      <c r="B1131" s="20">
        <f t="shared" si="103"/>
        <v>0.79166666666424135</v>
      </c>
      <c r="C1131">
        <v>0</v>
      </c>
      <c r="D1131">
        <v>489.483</v>
      </c>
      <c r="E1131">
        <f t="shared" si="102"/>
        <v>489.32800000000003</v>
      </c>
      <c r="F1131">
        <v>489.54500000000002</v>
      </c>
      <c r="G1131">
        <f t="shared" si="104"/>
        <v>0</v>
      </c>
      <c r="H1131">
        <v>1.82</v>
      </c>
      <c r="I1131">
        <f t="shared" si="105"/>
        <v>0</v>
      </c>
      <c r="J1131">
        <f t="shared" si="106"/>
        <v>0</v>
      </c>
      <c r="K1131">
        <f t="shared" si="107"/>
        <v>0</v>
      </c>
    </row>
    <row r="1132" spans="1:11" x14ac:dyDescent="0.4">
      <c r="A1132" s="19">
        <v>45881.833333333336</v>
      </c>
      <c r="B1132" s="20">
        <f t="shared" si="103"/>
        <v>0.83333333333575865</v>
      </c>
      <c r="C1132">
        <v>0</v>
      </c>
      <c r="D1132">
        <v>489.483</v>
      </c>
      <c r="E1132">
        <f t="shared" si="102"/>
        <v>489.32800000000003</v>
      </c>
      <c r="F1132">
        <v>489.54500000000002</v>
      </c>
      <c r="G1132">
        <f t="shared" si="104"/>
        <v>0</v>
      </c>
      <c r="H1132">
        <v>1.82</v>
      </c>
      <c r="I1132">
        <f t="shared" si="105"/>
        <v>0</v>
      </c>
      <c r="J1132">
        <f t="shared" si="106"/>
        <v>0</v>
      </c>
      <c r="K1132">
        <f t="shared" si="107"/>
        <v>0</v>
      </c>
    </row>
    <row r="1133" spans="1:11" x14ac:dyDescent="0.4">
      <c r="A1133" s="19">
        <v>45881.875</v>
      </c>
      <c r="B1133" s="20">
        <f t="shared" si="103"/>
        <v>0.875</v>
      </c>
      <c r="C1133">
        <v>0</v>
      </c>
      <c r="D1133">
        <v>489.483</v>
      </c>
      <c r="E1133">
        <f t="shared" si="102"/>
        <v>489.32800000000003</v>
      </c>
      <c r="F1133">
        <v>489.54500000000002</v>
      </c>
      <c r="G1133">
        <f t="shared" si="104"/>
        <v>0</v>
      </c>
      <c r="H1133">
        <v>1.82</v>
      </c>
      <c r="I1133">
        <f t="shared" si="105"/>
        <v>0</v>
      </c>
      <c r="J1133">
        <f t="shared" si="106"/>
        <v>0</v>
      </c>
      <c r="K1133">
        <f t="shared" si="107"/>
        <v>0</v>
      </c>
    </row>
    <row r="1134" spans="1:11" x14ac:dyDescent="0.4">
      <c r="A1134" s="19">
        <v>45881.916666666664</v>
      </c>
      <c r="B1134" s="20">
        <f t="shared" si="103"/>
        <v>0.91666666666424135</v>
      </c>
      <c r="C1134">
        <v>0</v>
      </c>
      <c r="D1134">
        <v>489.48899999999998</v>
      </c>
      <c r="E1134">
        <f t="shared" si="102"/>
        <v>489.334</v>
      </c>
      <c r="F1134">
        <v>489.54500000000002</v>
      </c>
      <c r="G1134">
        <f t="shared" si="104"/>
        <v>0</v>
      </c>
      <c r="H1134">
        <v>1.82</v>
      </c>
      <c r="I1134">
        <f t="shared" si="105"/>
        <v>0</v>
      </c>
      <c r="J1134">
        <f t="shared" si="106"/>
        <v>0</v>
      </c>
      <c r="K1134">
        <f t="shared" si="107"/>
        <v>0</v>
      </c>
    </row>
    <row r="1135" spans="1:11" x14ac:dyDescent="0.4">
      <c r="A1135" s="19">
        <v>45881.958333333336</v>
      </c>
      <c r="B1135" s="20">
        <f t="shared" si="103"/>
        <v>0.95833333333575865</v>
      </c>
      <c r="C1135">
        <v>0</v>
      </c>
      <c r="D1135">
        <v>489.48899999999998</v>
      </c>
      <c r="E1135">
        <f t="shared" si="102"/>
        <v>489.334</v>
      </c>
      <c r="F1135">
        <v>489.54500000000002</v>
      </c>
      <c r="G1135">
        <f t="shared" si="104"/>
        <v>0</v>
      </c>
      <c r="H1135">
        <v>1.82</v>
      </c>
      <c r="I1135">
        <f t="shared" si="105"/>
        <v>0</v>
      </c>
      <c r="J1135">
        <f t="shared" si="106"/>
        <v>0</v>
      </c>
      <c r="K1135">
        <f t="shared" si="107"/>
        <v>0</v>
      </c>
    </row>
    <row r="1136" spans="1:11" x14ac:dyDescent="0.4">
      <c r="A1136" s="19">
        <v>45882</v>
      </c>
      <c r="B1136" s="20">
        <f t="shared" si="103"/>
        <v>0</v>
      </c>
      <c r="C1136">
        <v>0</v>
      </c>
      <c r="D1136">
        <v>489.48899999999998</v>
      </c>
      <c r="E1136">
        <f t="shared" si="102"/>
        <v>489.334</v>
      </c>
      <c r="F1136">
        <v>489.54500000000002</v>
      </c>
      <c r="G1136">
        <f t="shared" si="104"/>
        <v>0</v>
      </c>
      <c r="H1136">
        <v>1.82</v>
      </c>
      <c r="I1136">
        <f t="shared" si="105"/>
        <v>0</v>
      </c>
      <c r="J1136">
        <f t="shared" si="106"/>
        <v>0</v>
      </c>
      <c r="K1136">
        <f t="shared" si="107"/>
        <v>0</v>
      </c>
    </row>
    <row r="1137" spans="1:11" x14ac:dyDescent="0.4">
      <c r="A1137" s="19">
        <v>45882.041666666664</v>
      </c>
      <c r="B1137" s="20">
        <f t="shared" si="103"/>
        <v>4.1666666664241347E-2</v>
      </c>
      <c r="C1137">
        <v>0</v>
      </c>
      <c r="D1137">
        <v>489.495</v>
      </c>
      <c r="E1137">
        <f t="shared" si="102"/>
        <v>489.34000000000003</v>
      </c>
      <c r="F1137">
        <v>489.54500000000002</v>
      </c>
      <c r="G1137">
        <f t="shared" si="104"/>
        <v>0</v>
      </c>
      <c r="H1137">
        <v>1.82</v>
      </c>
      <c r="I1137">
        <f t="shared" si="105"/>
        <v>0</v>
      </c>
      <c r="J1137">
        <f t="shared" si="106"/>
        <v>0</v>
      </c>
      <c r="K1137">
        <f t="shared" si="107"/>
        <v>0</v>
      </c>
    </row>
    <row r="1138" spans="1:11" x14ac:dyDescent="0.4">
      <c r="A1138" s="19">
        <v>45882.083333333336</v>
      </c>
      <c r="B1138" s="20">
        <f t="shared" si="103"/>
        <v>8.3333333335758653E-2</v>
      </c>
      <c r="C1138">
        <v>0</v>
      </c>
      <c r="D1138">
        <v>489.49599999999998</v>
      </c>
      <c r="E1138">
        <f t="shared" si="102"/>
        <v>489.34100000000001</v>
      </c>
      <c r="F1138">
        <v>489.54500000000002</v>
      </c>
      <c r="G1138">
        <f t="shared" si="104"/>
        <v>0</v>
      </c>
      <c r="H1138">
        <v>1.82</v>
      </c>
      <c r="I1138">
        <f t="shared" si="105"/>
        <v>0</v>
      </c>
      <c r="J1138">
        <f t="shared" si="106"/>
        <v>0</v>
      </c>
      <c r="K1138">
        <f t="shared" si="107"/>
        <v>0</v>
      </c>
    </row>
    <row r="1139" spans="1:11" x14ac:dyDescent="0.4">
      <c r="A1139" s="19">
        <v>45882.125</v>
      </c>
      <c r="B1139" s="20">
        <f t="shared" si="103"/>
        <v>0.125</v>
      </c>
      <c r="C1139">
        <v>0</v>
      </c>
      <c r="D1139">
        <v>489.495</v>
      </c>
      <c r="E1139">
        <f t="shared" si="102"/>
        <v>489.34000000000003</v>
      </c>
      <c r="F1139">
        <v>489.54500000000002</v>
      </c>
      <c r="G1139">
        <f t="shared" si="104"/>
        <v>0</v>
      </c>
      <c r="H1139">
        <v>1.82</v>
      </c>
      <c r="I1139">
        <f t="shared" si="105"/>
        <v>0</v>
      </c>
      <c r="J1139">
        <f t="shared" si="106"/>
        <v>0</v>
      </c>
      <c r="K1139">
        <f t="shared" si="107"/>
        <v>0</v>
      </c>
    </row>
    <row r="1140" spans="1:11" x14ac:dyDescent="0.4">
      <c r="A1140" s="19">
        <v>45882.166666666664</v>
      </c>
      <c r="B1140" s="20">
        <f t="shared" si="103"/>
        <v>0.16666666666424135</v>
      </c>
      <c r="C1140">
        <v>0</v>
      </c>
      <c r="D1140">
        <v>489.50099999999998</v>
      </c>
      <c r="E1140">
        <f t="shared" si="102"/>
        <v>489.346</v>
      </c>
      <c r="F1140">
        <v>489.54500000000002</v>
      </c>
      <c r="G1140">
        <f t="shared" si="104"/>
        <v>0</v>
      </c>
      <c r="H1140">
        <v>1.82</v>
      </c>
      <c r="I1140">
        <f t="shared" si="105"/>
        <v>0</v>
      </c>
      <c r="J1140">
        <f t="shared" si="106"/>
        <v>0</v>
      </c>
      <c r="K1140">
        <f t="shared" si="107"/>
        <v>0</v>
      </c>
    </row>
    <row r="1141" spans="1:11" x14ac:dyDescent="0.4">
      <c r="A1141" s="19">
        <v>45882.208333333336</v>
      </c>
      <c r="B1141" s="20">
        <f t="shared" si="103"/>
        <v>0.20833333333575865</v>
      </c>
      <c r="C1141">
        <v>0</v>
      </c>
      <c r="D1141">
        <v>489.50099999999998</v>
      </c>
      <c r="E1141">
        <f t="shared" si="102"/>
        <v>489.346</v>
      </c>
      <c r="F1141">
        <v>489.54500000000002</v>
      </c>
      <c r="G1141">
        <f t="shared" si="104"/>
        <v>0</v>
      </c>
      <c r="H1141">
        <v>1.82</v>
      </c>
      <c r="I1141">
        <f t="shared" si="105"/>
        <v>0</v>
      </c>
      <c r="J1141">
        <f t="shared" si="106"/>
        <v>0</v>
      </c>
      <c r="K1141">
        <f t="shared" si="107"/>
        <v>0</v>
      </c>
    </row>
    <row r="1142" spans="1:11" x14ac:dyDescent="0.4">
      <c r="A1142" s="19">
        <v>45882.25</v>
      </c>
      <c r="B1142" s="20">
        <f t="shared" si="103"/>
        <v>0.25</v>
      </c>
      <c r="C1142">
        <v>0</v>
      </c>
      <c r="D1142">
        <v>489.50099999999998</v>
      </c>
      <c r="E1142">
        <f t="shared" si="102"/>
        <v>489.346</v>
      </c>
      <c r="F1142">
        <v>489.54500000000002</v>
      </c>
      <c r="G1142">
        <f t="shared" si="104"/>
        <v>0</v>
      </c>
      <c r="H1142">
        <v>1.82</v>
      </c>
      <c r="I1142">
        <f t="shared" si="105"/>
        <v>0</v>
      </c>
      <c r="J1142">
        <f t="shared" si="106"/>
        <v>0</v>
      </c>
      <c r="K1142">
        <f t="shared" si="107"/>
        <v>0</v>
      </c>
    </row>
    <row r="1143" spans="1:11" x14ac:dyDescent="0.4">
      <c r="A1143" s="19">
        <v>45882.291666666664</v>
      </c>
      <c r="B1143" s="20">
        <f t="shared" si="103"/>
        <v>0.29166666666424135</v>
      </c>
      <c r="C1143">
        <v>0</v>
      </c>
      <c r="D1143">
        <v>489.50099999999998</v>
      </c>
      <c r="E1143">
        <f t="shared" si="102"/>
        <v>489.346</v>
      </c>
      <c r="F1143">
        <v>489.54500000000002</v>
      </c>
      <c r="G1143">
        <f t="shared" si="104"/>
        <v>0</v>
      </c>
      <c r="H1143">
        <v>1.82</v>
      </c>
      <c r="I1143">
        <f t="shared" si="105"/>
        <v>0</v>
      </c>
      <c r="J1143">
        <f t="shared" si="106"/>
        <v>0</v>
      </c>
      <c r="K1143">
        <f t="shared" si="107"/>
        <v>0</v>
      </c>
    </row>
    <row r="1144" spans="1:11" x14ac:dyDescent="0.4">
      <c r="A1144" s="19">
        <v>45882.333333333336</v>
      </c>
      <c r="B1144" s="20">
        <f t="shared" si="103"/>
        <v>0.33333333333575865</v>
      </c>
      <c r="C1144">
        <v>0</v>
      </c>
      <c r="D1144">
        <v>489.50700000000001</v>
      </c>
      <c r="E1144">
        <f t="shared" si="102"/>
        <v>489.35200000000003</v>
      </c>
      <c r="F1144">
        <v>489.54500000000002</v>
      </c>
      <c r="G1144">
        <f t="shared" si="104"/>
        <v>0</v>
      </c>
      <c r="H1144">
        <v>1.82</v>
      </c>
      <c r="I1144">
        <f t="shared" si="105"/>
        <v>0</v>
      </c>
      <c r="J1144">
        <f t="shared" si="106"/>
        <v>0</v>
      </c>
      <c r="K1144">
        <f t="shared" si="107"/>
        <v>0</v>
      </c>
    </row>
    <row r="1145" spans="1:11" x14ac:dyDescent="0.4">
      <c r="A1145" s="19">
        <v>45882.375</v>
      </c>
      <c r="B1145" s="20">
        <f t="shared" si="103"/>
        <v>0.375</v>
      </c>
      <c r="C1145">
        <v>0</v>
      </c>
      <c r="D1145">
        <v>489.50700000000001</v>
      </c>
      <c r="E1145">
        <f t="shared" si="102"/>
        <v>489.35200000000003</v>
      </c>
      <c r="F1145">
        <v>489.54500000000002</v>
      </c>
      <c r="G1145">
        <f t="shared" si="104"/>
        <v>0</v>
      </c>
      <c r="H1145">
        <v>1.82</v>
      </c>
      <c r="I1145">
        <f t="shared" si="105"/>
        <v>0</v>
      </c>
      <c r="J1145">
        <f t="shared" si="106"/>
        <v>0</v>
      </c>
      <c r="K1145">
        <f t="shared" si="107"/>
        <v>0</v>
      </c>
    </row>
    <row r="1146" spans="1:11" x14ac:dyDescent="0.4">
      <c r="A1146" s="19">
        <v>45882.416666666664</v>
      </c>
      <c r="B1146" s="20">
        <f t="shared" si="103"/>
        <v>0.41666666666424135</v>
      </c>
      <c r="C1146">
        <v>0.2</v>
      </c>
      <c r="D1146">
        <v>489.50700000000001</v>
      </c>
      <c r="E1146">
        <f t="shared" si="102"/>
        <v>489.35200000000003</v>
      </c>
      <c r="F1146">
        <v>489.54500000000002</v>
      </c>
      <c r="G1146">
        <f t="shared" si="104"/>
        <v>0</v>
      </c>
      <c r="H1146">
        <v>1.82</v>
      </c>
      <c r="I1146">
        <f t="shared" si="105"/>
        <v>0</v>
      </c>
      <c r="J1146">
        <f t="shared" si="106"/>
        <v>0</v>
      </c>
      <c r="K1146">
        <f t="shared" si="107"/>
        <v>0</v>
      </c>
    </row>
    <row r="1147" spans="1:11" x14ac:dyDescent="0.4">
      <c r="A1147" s="19">
        <v>45882.458333333336</v>
      </c>
      <c r="B1147" s="20">
        <f t="shared" si="103"/>
        <v>0.45833333333575865</v>
      </c>
      <c r="C1147">
        <v>0</v>
      </c>
      <c r="D1147">
        <v>489.51400000000001</v>
      </c>
      <c r="E1147">
        <f t="shared" si="102"/>
        <v>489.35900000000004</v>
      </c>
      <c r="F1147">
        <v>489.54500000000002</v>
      </c>
      <c r="G1147">
        <f t="shared" si="104"/>
        <v>0</v>
      </c>
      <c r="H1147">
        <v>1.82</v>
      </c>
      <c r="I1147">
        <f t="shared" si="105"/>
        <v>0</v>
      </c>
      <c r="J1147">
        <f t="shared" si="106"/>
        <v>0</v>
      </c>
      <c r="K1147">
        <f t="shared" si="107"/>
        <v>0</v>
      </c>
    </row>
    <row r="1148" spans="1:11" x14ac:dyDescent="0.4">
      <c r="A1148" s="19">
        <v>45882.5</v>
      </c>
      <c r="B1148" s="20">
        <f t="shared" si="103"/>
        <v>0.5</v>
      </c>
      <c r="C1148">
        <v>0</v>
      </c>
      <c r="D1148">
        <v>489.51299999999998</v>
      </c>
      <c r="E1148">
        <f t="shared" si="102"/>
        <v>489.358</v>
      </c>
      <c r="F1148">
        <v>489.54500000000002</v>
      </c>
      <c r="G1148">
        <f t="shared" si="104"/>
        <v>0</v>
      </c>
      <c r="H1148">
        <v>1.82</v>
      </c>
      <c r="I1148">
        <f t="shared" si="105"/>
        <v>0</v>
      </c>
      <c r="J1148">
        <f t="shared" si="106"/>
        <v>0</v>
      </c>
      <c r="K1148">
        <f t="shared" si="107"/>
        <v>0</v>
      </c>
    </row>
    <row r="1149" spans="1:11" x14ac:dyDescent="0.4">
      <c r="A1149" s="19">
        <v>45882.541666666664</v>
      </c>
      <c r="B1149" s="20">
        <f t="shared" si="103"/>
        <v>0.54166666666424135</v>
      </c>
      <c r="C1149">
        <v>0</v>
      </c>
      <c r="D1149">
        <v>489.51299999999998</v>
      </c>
      <c r="E1149">
        <f t="shared" si="102"/>
        <v>489.358</v>
      </c>
      <c r="F1149">
        <v>489.54500000000002</v>
      </c>
      <c r="G1149">
        <f t="shared" si="104"/>
        <v>0</v>
      </c>
      <c r="H1149">
        <v>1.82</v>
      </c>
      <c r="I1149">
        <f t="shared" si="105"/>
        <v>0</v>
      </c>
      <c r="J1149">
        <f t="shared" si="106"/>
        <v>0</v>
      </c>
      <c r="K1149">
        <f t="shared" si="107"/>
        <v>0</v>
      </c>
    </row>
    <row r="1150" spans="1:11" x14ac:dyDescent="0.4">
      <c r="A1150" s="19">
        <v>45882.583333333336</v>
      </c>
      <c r="B1150" s="20">
        <f t="shared" si="103"/>
        <v>0.58333333333575865</v>
      </c>
      <c r="C1150">
        <v>2.6</v>
      </c>
      <c r="D1150">
        <v>489.53300000000002</v>
      </c>
      <c r="E1150">
        <f t="shared" si="102"/>
        <v>489.37800000000004</v>
      </c>
      <c r="F1150">
        <v>489.54500000000002</v>
      </c>
      <c r="G1150">
        <f t="shared" si="104"/>
        <v>0</v>
      </c>
      <c r="H1150">
        <v>1.82</v>
      </c>
      <c r="I1150">
        <f t="shared" si="105"/>
        <v>0</v>
      </c>
      <c r="J1150">
        <f t="shared" si="106"/>
        <v>0</v>
      </c>
      <c r="K1150">
        <f t="shared" si="107"/>
        <v>0</v>
      </c>
    </row>
    <row r="1151" spans="1:11" x14ac:dyDescent="0.4">
      <c r="A1151" s="19">
        <v>45882.625</v>
      </c>
      <c r="B1151" s="20">
        <f t="shared" si="103"/>
        <v>0.625</v>
      </c>
      <c r="C1151">
        <v>0</v>
      </c>
      <c r="D1151">
        <v>489.57299999999998</v>
      </c>
      <c r="E1151">
        <f t="shared" si="102"/>
        <v>489.41800000000001</v>
      </c>
      <c r="F1151">
        <v>489.54500000000002</v>
      </c>
      <c r="G1151">
        <f t="shared" si="104"/>
        <v>0</v>
      </c>
      <c r="H1151">
        <v>1.82</v>
      </c>
      <c r="I1151">
        <f t="shared" si="105"/>
        <v>0</v>
      </c>
      <c r="J1151">
        <f t="shared" si="106"/>
        <v>0</v>
      </c>
      <c r="K1151">
        <f t="shared" si="107"/>
        <v>0</v>
      </c>
    </row>
    <row r="1152" spans="1:11" x14ac:dyDescent="0.4">
      <c r="A1152" s="19">
        <v>45882.666666666664</v>
      </c>
      <c r="B1152" s="20">
        <f t="shared" si="103"/>
        <v>0.66666666666424135</v>
      </c>
      <c r="C1152">
        <v>0</v>
      </c>
      <c r="D1152">
        <v>489.57900000000001</v>
      </c>
      <c r="E1152">
        <f t="shared" si="102"/>
        <v>489.42400000000004</v>
      </c>
      <c r="F1152">
        <v>489.54500000000002</v>
      </c>
      <c r="G1152">
        <f t="shared" si="104"/>
        <v>0</v>
      </c>
      <c r="H1152">
        <v>1.82</v>
      </c>
      <c r="I1152">
        <f t="shared" si="105"/>
        <v>0</v>
      </c>
      <c r="J1152">
        <f t="shared" si="106"/>
        <v>0</v>
      </c>
      <c r="K1152">
        <f t="shared" si="107"/>
        <v>0</v>
      </c>
    </row>
    <row r="1153" spans="1:11" x14ac:dyDescent="0.4">
      <c r="A1153" s="19">
        <v>45882.708333333336</v>
      </c>
      <c r="B1153" s="20">
        <f t="shared" si="103"/>
        <v>0.70833333333575865</v>
      </c>
      <c r="C1153">
        <v>0</v>
      </c>
      <c r="D1153">
        <v>489.58499999999998</v>
      </c>
      <c r="E1153">
        <f t="shared" si="102"/>
        <v>489.43</v>
      </c>
      <c r="F1153">
        <v>489.54500000000002</v>
      </c>
      <c r="G1153">
        <f t="shared" si="104"/>
        <v>0</v>
      </c>
      <c r="H1153">
        <v>1.82</v>
      </c>
      <c r="I1153">
        <f t="shared" si="105"/>
        <v>0</v>
      </c>
      <c r="J1153">
        <f t="shared" si="106"/>
        <v>0</v>
      </c>
      <c r="K1153">
        <f t="shared" si="107"/>
        <v>0</v>
      </c>
    </row>
    <row r="1154" spans="1:11" x14ac:dyDescent="0.4">
      <c r="A1154" s="19">
        <v>45882.75</v>
      </c>
      <c r="B1154" s="20">
        <f t="shared" si="103"/>
        <v>0.75</v>
      </c>
      <c r="C1154">
        <v>0</v>
      </c>
      <c r="D1154">
        <v>489.59199999999998</v>
      </c>
      <c r="E1154">
        <f t="shared" ref="E1154:E1217" si="108">D1154-0.155</f>
        <v>489.43700000000001</v>
      </c>
      <c r="F1154">
        <v>489.54500000000002</v>
      </c>
      <c r="G1154">
        <f t="shared" si="104"/>
        <v>0</v>
      </c>
      <c r="H1154">
        <v>1.82</v>
      </c>
      <c r="I1154">
        <f t="shared" si="105"/>
        <v>0</v>
      </c>
      <c r="J1154">
        <f t="shared" si="106"/>
        <v>0</v>
      </c>
      <c r="K1154">
        <f t="shared" si="107"/>
        <v>0</v>
      </c>
    </row>
    <row r="1155" spans="1:11" x14ac:dyDescent="0.4">
      <c r="A1155" s="19">
        <v>45882.791666666664</v>
      </c>
      <c r="B1155" s="20">
        <f t="shared" ref="B1155:B1218" si="109">MOD(A1155,1)</f>
        <v>0.79166666666424135</v>
      </c>
      <c r="C1155">
        <v>0</v>
      </c>
      <c r="D1155">
        <v>489.59199999999998</v>
      </c>
      <c r="E1155">
        <f t="shared" si="108"/>
        <v>489.43700000000001</v>
      </c>
      <c r="F1155">
        <v>489.54500000000002</v>
      </c>
      <c r="G1155">
        <f t="shared" ref="G1155:G1218" si="110">IF(E1155 - F1155 &lt; 0, 0, E1155 - F1155)</f>
        <v>0</v>
      </c>
      <c r="H1155">
        <v>1.82</v>
      </c>
      <c r="I1155">
        <f t="shared" ref="I1155:I1218" si="111">1.82*30*(G1155^1.5)</f>
        <v>0</v>
      </c>
      <c r="J1155">
        <f t="shared" ref="J1155:J1218" si="112">I1155*60</f>
        <v>0</v>
      </c>
      <c r="K1155">
        <f t="shared" ref="K1155:K1218" si="113">(I1155*86400)/24</f>
        <v>0</v>
      </c>
    </row>
    <row r="1156" spans="1:11" x14ac:dyDescent="0.4">
      <c r="A1156" s="19">
        <v>45882.833333333336</v>
      </c>
      <c r="B1156" s="20">
        <f t="shared" si="109"/>
        <v>0.83333333333575865</v>
      </c>
      <c r="C1156">
        <v>0</v>
      </c>
      <c r="D1156">
        <v>489.59800000000001</v>
      </c>
      <c r="E1156">
        <f t="shared" si="108"/>
        <v>489.44300000000004</v>
      </c>
      <c r="F1156">
        <v>489.54500000000002</v>
      </c>
      <c r="G1156">
        <f t="shared" si="110"/>
        <v>0</v>
      </c>
      <c r="H1156">
        <v>1.82</v>
      </c>
      <c r="I1156">
        <f t="shared" si="111"/>
        <v>0</v>
      </c>
      <c r="J1156">
        <f t="shared" si="112"/>
        <v>0</v>
      </c>
      <c r="K1156">
        <f t="shared" si="113"/>
        <v>0</v>
      </c>
    </row>
    <row r="1157" spans="1:11" x14ac:dyDescent="0.4">
      <c r="A1157" s="19">
        <v>45882.875</v>
      </c>
      <c r="B1157" s="20">
        <f t="shared" si="109"/>
        <v>0.875</v>
      </c>
      <c r="C1157">
        <v>0</v>
      </c>
      <c r="D1157">
        <v>489.59800000000001</v>
      </c>
      <c r="E1157">
        <f t="shared" si="108"/>
        <v>489.44300000000004</v>
      </c>
      <c r="F1157">
        <v>489.54500000000002</v>
      </c>
      <c r="G1157">
        <f t="shared" si="110"/>
        <v>0</v>
      </c>
      <c r="H1157">
        <v>1.82</v>
      </c>
      <c r="I1157">
        <f t="shared" si="111"/>
        <v>0</v>
      </c>
      <c r="J1157">
        <f t="shared" si="112"/>
        <v>0</v>
      </c>
      <c r="K1157">
        <f t="shared" si="113"/>
        <v>0</v>
      </c>
    </row>
    <row r="1158" spans="1:11" x14ac:dyDescent="0.4">
      <c r="A1158" s="19">
        <v>45882.916666666664</v>
      </c>
      <c r="B1158" s="20">
        <f t="shared" si="109"/>
        <v>0.91666666666424135</v>
      </c>
      <c r="C1158">
        <v>0</v>
      </c>
      <c r="D1158">
        <v>489.59800000000001</v>
      </c>
      <c r="E1158">
        <f t="shared" si="108"/>
        <v>489.44300000000004</v>
      </c>
      <c r="F1158">
        <v>489.54500000000002</v>
      </c>
      <c r="G1158">
        <f t="shared" si="110"/>
        <v>0</v>
      </c>
      <c r="H1158">
        <v>1.82</v>
      </c>
      <c r="I1158">
        <f t="shared" si="111"/>
        <v>0</v>
      </c>
      <c r="J1158">
        <f t="shared" si="112"/>
        <v>0</v>
      </c>
      <c r="K1158">
        <f t="shared" si="113"/>
        <v>0</v>
      </c>
    </row>
    <row r="1159" spans="1:11" x14ac:dyDescent="0.4">
      <c r="A1159" s="19">
        <v>45882.958333333336</v>
      </c>
      <c r="B1159" s="20">
        <f t="shared" si="109"/>
        <v>0.95833333333575865</v>
      </c>
      <c r="C1159">
        <v>0</v>
      </c>
      <c r="D1159">
        <v>489.59800000000001</v>
      </c>
      <c r="E1159">
        <f t="shared" si="108"/>
        <v>489.44300000000004</v>
      </c>
      <c r="F1159">
        <v>489.54500000000002</v>
      </c>
      <c r="G1159">
        <f t="shared" si="110"/>
        <v>0</v>
      </c>
      <c r="H1159">
        <v>1.82</v>
      </c>
      <c r="I1159">
        <f t="shared" si="111"/>
        <v>0</v>
      </c>
      <c r="J1159">
        <f t="shared" si="112"/>
        <v>0</v>
      </c>
      <c r="K1159">
        <f t="shared" si="113"/>
        <v>0</v>
      </c>
    </row>
    <row r="1160" spans="1:11" x14ac:dyDescent="0.4">
      <c r="A1160" s="19">
        <v>45883</v>
      </c>
      <c r="B1160" s="20">
        <f t="shared" si="109"/>
        <v>0</v>
      </c>
      <c r="C1160">
        <v>0</v>
      </c>
      <c r="D1160">
        <v>489.60500000000002</v>
      </c>
      <c r="E1160">
        <f t="shared" si="108"/>
        <v>489.45000000000005</v>
      </c>
      <c r="F1160">
        <v>489.54500000000002</v>
      </c>
      <c r="G1160">
        <f t="shared" si="110"/>
        <v>0</v>
      </c>
      <c r="H1160">
        <v>1.82</v>
      </c>
      <c r="I1160">
        <f t="shared" si="111"/>
        <v>0</v>
      </c>
      <c r="J1160">
        <f t="shared" si="112"/>
        <v>0</v>
      </c>
      <c r="K1160">
        <f t="shared" si="113"/>
        <v>0</v>
      </c>
    </row>
    <row r="1161" spans="1:11" x14ac:dyDescent="0.4">
      <c r="A1161" s="19">
        <v>45883.041666666664</v>
      </c>
      <c r="B1161" s="20">
        <f t="shared" si="109"/>
        <v>4.1666666664241347E-2</v>
      </c>
      <c r="C1161">
        <v>0</v>
      </c>
      <c r="D1161">
        <v>489.60500000000002</v>
      </c>
      <c r="E1161">
        <f t="shared" si="108"/>
        <v>489.45000000000005</v>
      </c>
      <c r="F1161">
        <v>489.54500000000002</v>
      </c>
      <c r="G1161">
        <f t="shared" si="110"/>
        <v>0</v>
      </c>
      <c r="H1161">
        <v>1.82</v>
      </c>
      <c r="I1161">
        <f t="shared" si="111"/>
        <v>0</v>
      </c>
      <c r="J1161">
        <f t="shared" si="112"/>
        <v>0</v>
      </c>
      <c r="K1161">
        <f t="shared" si="113"/>
        <v>0</v>
      </c>
    </row>
    <row r="1162" spans="1:11" x14ac:dyDescent="0.4">
      <c r="A1162" s="19">
        <v>45883.083333333336</v>
      </c>
      <c r="B1162" s="20">
        <f t="shared" si="109"/>
        <v>8.3333333335758653E-2</v>
      </c>
      <c r="C1162">
        <v>0</v>
      </c>
      <c r="D1162">
        <v>489.60500000000002</v>
      </c>
      <c r="E1162">
        <f t="shared" si="108"/>
        <v>489.45000000000005</v>
      </c>
      <c r="F1162">
        <v>489.54500000000002</v>
      </c>
      <c r="G1162">
        <f t="shared" si="110"/>
        <v>0</v>
      </c>
      <c r="H1162">
        <v>1.82</v>
      </c>
      <c r="I1162">
        <f t="shared" si="111"/>
        <v>0</v>
      </c>
      <c r="J1162">
        <f t="shared" si="112"/>
        <v>0</v>
      </c>
      <c r="K1162">
        <f t="shared" si="113"/>
        <v>0</v>
      </c>
    </row>
    <row r="1163" spans="1:11" x14ac:dyDescent="0.4">
      <c r="A1163" s="19">
        <v>45883.125</v>
      </c>
      <c r="B1163" s="20">
        <f t="shared" si="109"/>
        <v>0.125</v>
      </c>
      <c r="C1163">
        <v>0</v>
      </c>
      <c r="D1163">
        <v>489.60500000000002</v>
      </c>
      <c r="E1163">
        <f t="shared" si="108"/>
        <v>489.45000000000005</v>
      </c>
      <c r="F1163">
        <v>489.54500000000002</v>
      </c>
      <c r="G1163">
        <f t="shared" si="110"/>
        <v>0</v>
      </c>
      <c r="H1163">
        <v>1.82</v>
      </c>
      <c r="I1163">
        <f t="shared" si="111"/>
        <v>0</v>
      </c>
      <c r="J1163">
        <f t="shared" si="112"/>
        <v>0</v>
      </c>
      <c r="K1163">
        <f t="shared" si="113"/>
        <v>0</v>
      </c>
    </row>
    <row r="1164" spans="1:11" x14ac:dyDescent="0.4">
      <c r="A1164" s="19">
        <v>45883.166666666664</v>
      </c>
      <c r="B1164" s="20">
        <f t="shared" si="109"/>
        <v>0.16666666666424135</v>
      </c>
      <c r="C1164">
        <v>0</v>
      </c>
      <c r="D1164">
        <v>489.60500000000002</v>
      </c>
      <c r="E1164">
        <f t="shared" si="108"/>
        <v>489.45000000000005</v>
      </c>
      <c r="F1164">
        <v>489.54500000000002</v>
      </c>
      <c r="G1164">
        <f t="shared" si="110"/>
        <v>0</v>
      </c>
      <c r="H1164">
        <v>1.82</v>
      </c>
      <c r="I1164">
        <f t="shared" si="111"/>
        <v>0</v>
      </c>
      <c r="J1164">
        <f t="shared" si="112"/>
        <v>0</v>
      </c>
      <c r="K1164">
        <f t="shared" si="113"/>
        <v>0</v>
      </c>
    </row>
    <row r="1165" spans="1:11" x14ac:dyDescent="0.4">
      <c r="A1165" s="19">
        <v>45883.208333333336</v>
      </c>
      <c r="B1165" s="20">
        <f t="shared" si="109"/>
        <v>0.20833333333575865</v>
      </c>
      <c r="C1165">
        <v>0</v>
      </c>
      <c r="D1165">
        <v>489.60500000000002</v>
      </c>
      <c r="E1165">
        <f t="shared" si="108"/>
        <v>489.45000000000005</v>
      </c>
      <c r="F1165">
        <v>489.54500000000002</v>
      </c>
      <c r="G1165">
        <f t="shared" si="110"/>
        <v>0</v>
      </c>
      <c r="H1165">
        <v>1.82</v>
      </c>
      <c r="I1165">
        <f t="shared" si="111"/>
        <v>0</v>
      </c>
      <c r="J1165">
        <f t="shared" si="112"/>
        <v>0</v>
      </c>
      <c r="K1165">
        <f t="shared" si="113"/>
        <v>0</v>
      </c>
    </row>
    <row r="1166" spans="1:11" x14ac:dyDescent="0.4">
      <c r="A1166" s="19">
        <v>45883.25</v>
      </c>
      <c r="B1166" s="20">
        <f t="shared" si="109"/>
        <v>0.25</v>
      </c>
      <c r="C1166">
        <v>0</v>
      </c>
      <c r="D1166">
        <v>489.60500000000002</v>
      </c>
      <c r="E1166">
        <f t="shared" si="108"/>
        <v>489.45000000000005</v>
      </c>
      <c r="F1166">
        <v>489.54500000000002</v>
      </c>
      <c r="G1166">
        <f t="shared" si="110"/>
        <v>0</v>
      </c>
      <c r="H1166">
        <v>1.82</v>
      </c>
      <c r="I1166">
        <f t="shared" si="111"/>
        <v>0</v>
      </c>
      <c r="J1166">
        <f t="shared" si="112"/>
        <v>0</v>
      </c>
      <c r="K1166">
        <f t="shared" si="113"/>
        <v>0</v>
      </c>
    </row>
    <row r="1167" spans="1:11" x14ac:dyDescent="0.4">
      <c r="A1167" s="19">
        <v>45883.291666666664</v>
      </c>
      <c r="B1167" s="20">
        <f t="shared" si="109"/>
        <v>0.29166666666424135</v>
      </c>
      <c r="C1167">
        <v>0</v>
      </c>
      <c r="D1167">
        <v>489.60500000000002</v>
      </c>
      <c r="E1167">
        <f t="shared" si="108"/>
        <v>489.45000000000005</v>
      </c>
      <c r="F1167">
        <v>489.54500000000002</v>
      </c>
      <c r="G1167">
        <f t="shared" si="110"/>
        <v>0</v>
      </c>
      <c r="H1167">
        <v>1.82</v>
      </c>
      <c r="I1167">
        <f t="shared" si="111"/>
        <v>0</v>
      </c>
      <c r="J1167">
        <f t="shared" si="112"/>
        <v>0</v>
      </c>
      <c r="K1167">
        <f t="shared" si="113"/>
        <v>0</v>
      </c>
    </row>
    <row r="1168" spans="1:11" x14ac:dyDescent="0.4">
      <c r="A1168" s="19">
        <v>45883.333333333336</v>
      </c>
      <c r="B1168" s="20">
        <f t="shared" si="109"/>
        <v>0.33333333333575865</v>
      </c>
      <c r="C1168">
        <v>0</v>
      </c>
      <c r="D1168">
        <v>489.60399999999998</v>
      </c>
      <c r="E1168">
        <f t="shared" si="108"/>
        <v>489.44900000000001</v>
      </c>
      <c r="F1168">
        <v>489.54500000000002</v>
      </c>
      <c r="G1168">
        <f t="shared" si="110"/>
        <v>0</v>
      </c>
      <c r="H1168">
        <v>1.82</v>
      </c>
      <c r="I1168">
        <f t="shared" si="111"/>
        <v>0</v>
      </c>
      <c r="J1168">
        <f t="shared" si="112"/>
        <v>0</v>
      </c>
      <c r="K1168">
        <f t="shared" si="113"/>
        <v>0</v>
      </c>
    </row>
    <row r="1169" spans="1:11" x14ac:dyDescent="0.4">
      <c r="A1169" s="19">
        <v>45883.375</v>
      </c>
      <c r="B1169" s="20">
        <f t="shared" si="109"/>
        <v>0.375</v>
      </c>
      <c r="C1169">
        <v>0</v>
      </c>
      <c r="D1169">
        <v>489.60399999999998</v>
      </c>
      <c r="E1169">
        <f t="shared" si="108"/>
        <v>489.44900000000001</v>
      </c>
      <c r="F1169">
        <v>489.54500000000002</v>
      </c>
      <c r="G1169">
        <f t="shared" si="110"/>
        <v>0</v>
      </c>
      <c r="H1169">
        <v>1.82</v>
      </c>
      <c r="I1169">
        <f t="shared" si="111"/>
        <v>0</v>
      </c>
      <c r="J1169">
        <f t="shared" si="112"/>
        <v>0</v>
      </c>
      <c r="K1169">
        <f t="shared" si="113"/>
        <v>0</v>
      </c>
    </row>
    <row r="1170" spans="1:11" x14ac:dyDescent="0.4">
      <c r="A1170" s="19">
        <v>45883.416666666664</v>
      </c>
      <c r="B1170" s="20">
        <f t="shared" si="109"/>
        <v>0.41666666666424135</v>
      </c>
      <c r="C1170">
        <v>0.4</v>
      </c>
      <c r="D1170">
        <v>489.60500000000002</v>
      </c>
      <c r="E1170">
        <f t="shared" si="108"/>
        <v>489.45000000000005</v>
      </c>
      <c r="F1170">
        <v>489.54500000000002</v>
      </c>
      <c r="G1170">
        <f t="shared" si="110"/>
        <v>0</v>
      </c>
      <c r="H1170">
        <v>1.82</v>
      </c>
      <c r="I1170">
        <f t="shared" si="111"/>
        <v>0</v>
      </c>
      <c r="J1170">
        <f t="shared" si="112"/>
        <v>0</v>
      </c>
      <c r="K1170">
        <f t="shared" si="113"/>
        <v>0</v>
      </c>
    </row>
    <row r="1171" spans="1:11" x14ac:dyDescent="0.4">
      <c r="A1171" s="19">
        <v>45883.458333333336</v>
      </c>
      <c r="B1171" s="20">
        <f t="shared" si="109"/>
        <v>0.45833333333575865</v>
      </c>
      <c r="C1171">
        <v>2</v>
      </c>
      <c r="D1171">
        <v>489.60500000000002</v>
      </c>
      <c r="E1171">
        <f t="shared" si="108"/>
        <v>489.45000000000005</v>
      </c>
      <c r="F1171">
        <v>489.54500000000002</v>
      </c>
      <c r="G1171">
        <f t="shared" si="110"/>
        <v>0</v>
      </c>
      <c r="H1171">
        <v>1.82</v>
      </c>
      <c r="I1171">
        <f t="shared" si="111"/>
        <v>0</v>
      </c>
      <c r="J1171">
        <f t="shared" si="112"/>
        <v>0</v>
      </c>
      <c r="K1171">
        <f t="shared" si="113"/>
        <v>0</v>
      </c>
    </row>
    <row r="1172" spans="1:11" x14ac:dyDescent="0.4">
      <c r="A1172" s="19">
        <v>45883.5</v>
      </c>
      <c r="B1172" s="20">
        <f t="shared" si="109"/>
        <v>0.5</v>
      </c>
      <c r="C1172">
        <v>0.2</v>
      </c>
      <c r="D1172">
        <v>489.61099999999999</v>
      </c>
      <c r="E1172">
        <f t="shared" si="108"/>
        <v>489.45600000000002</v>
      </c>
      <c r="F1172">
        <v>489.54500000000002</v>
      </c>
      <c r="G1172">
        <f t="shared" si="110"/>
        <v>0</v>
      </c>
      <c r="H1172">
        <v>1.82</v>
      </c>
      <c r="I1172">
        <f t="shared" si="111"/>
        <v>0</v>
      </c>
      <c r="J1172">
        <f t="shared" si="112"/>
        <v>0</v>
      </c>
      <c r="K1172">
        <f t="shared" si="113"/>
        <v>0</v>
      </c>
    </row>
    <row r="1173" spans="1:11" x14ac:dyDescent="0.4">
      <c r="A1173" s="19">
        <v>45883.541666666664</v>
      </c>
      <c r="B1173" s="20">
        <f t="shared" si="109"/>
        <v>0.54166666666424135</v>
      </c>
      <c r="C1173">
        <v>0</v>
      </c>
      <c r="D1173">
        <v>489.60399999999998</v>
      </c>
      <c r="E1173">
        <f t="shared" si="108"/>
        <v>489.44900000000001</v>
      </c>
      <c r="F1173">
        <v>489.54500000000002</v>
      </c>
      <c r="G1173">
        <f t="shared" si="110"/>
        <v>0</v>
      </c>
      <c r="H1173">
        <v>1.82</v>
      </c>
      <c r="I1173">
        <f t="shared" si="111"/>
        <v>0</v>
      </c>
      <c r="J1173">
        <f t="shared" si="112"/>
        <v>0</v>
      </c>
      <c r="K1173">
        <f t="shared" si="113"/>
        <v>0</v>
      </c>
    </row>
    <row r="1174" spans="1:11" x14ac:dyDescent="0.4">
      <c r="A1174" s="19">
        <v>45883.583333333336</v>
      </c>
      <c r="B1174" s="20">
        <f t="shared" si="109"/>
        <v>0.58333333333575865</v>
      </c>
      <c r="C1174">
        <v>0</v>
      </c>
      <c r="D1174">
        <v>489.60399999999998</v>
      </c>
      <c r="E1174">
        <f t="shared" si="108"/>
        <v>489.44900000000001</v>
      </c>
      <c r="F1174">
        <v>489.54500000000002</v>
      </c>
      <c r="G1174">
        <f t="shared" si="110"/>
        <v>0</v>
      </c>
      <c r="H1174">
        <v>1.82</v>
      </c>
      <c r="I1174">
        <f t="shared" si="111"/>
        <v>0</v>
      </c>
      <c r="J1174">
        <f t="shared" si="112"/>
        <v>0</v>
      </c>
      <c r="K1174">
        <f t="shared" si="113"/>
        <v>0</v>
      </c>
    </row>
    <row r="1175" spans="1:11" x14ac:dyDescent="0.4">
      <c r="A1175" s="19">
        <v>45883.625</v>
      </c>
      <c r="B1175" s="20">
        <f t="shared" si="109"/>
        <v>0.625</v>
      </c>
      <c r="C1175">
        <v>0</v>
      </c>
      <c r="D1175">
        <v>489.60399999999998</v>
      </c>
      <c r="E1175">
        <f t="shared" si="108"/>
        <v>489.44900000000001</v>
      </c>
      <c r="F1175">
        <v>489.54500000000002</v>
      </c>
      <c r="G1175">
        <f t="shared" si="110"/>
        <v>0</v>
      </c>
      <c r="H1175">
        <v>1.82</v>
      </c>
      <c r="I1175">
        <f t="shared" si="111"/>
        <v>0</v>
      </c>
      <c r="J1175">
        <f t="shared" si="112"/>
        <v>0</v>
      </c>
      <c r="K1175">
        <f t="shared" si="113"/>
        <v>0</v>
      </c>
    </row>
    <row r="1176" spans="1:11" x14ac:dyDescent="0.4">
      <c r="A1176" s="19">
        <v>45883.666666666664</v>
      </c>
      <c r="B1176" s="20">
        <f t="shared" si="109"/>
        <v>0.66666666666424135</v>
      </c>
      <c r="C1176">
        <v>0</v>
      </c>
      <c r="D1176">
        <v>489.60399999999998</v>
      </c>
      <c r="E1176">
        <f t="shared" si="108"/>
        <v>489.44900000000001</v>
      </c>
      <c r="F1176">
        <v>489.54500000000002</v>
      </c>
      <c r="G1176">
        <f t="shared" si="110"/>
        <v>0</v>
      </c>
      <c r="H1176">
        <v>1.82</v>
      </c>
      <c r="I1176">
        <f t="shared" si="111"/>
        <v>0</v>
      </c>
      <c r="J1176">
        <f t="shared" si="112"/>
        <v>0</v>
      </c>
      <c r="K1176">
        <f t="shared" si="113"/>
        <v>0</v>
      </c>
    </row>
    <row r="1177" spans="1:11" x14ac:dyDescent="0.4">
      <c r="A1177" s="19">
        <v>45883.708333333336</v>
      </c>
      <c r="B1177" s="20">
        <f t="shared" si="109"/>
        <v>0.70833333333575865</v>
      </c>
      <c r="C1177">
        <v>0</v>
      </c>
      <c r="D1177">
        <v>489.60399999999998</v>
      </c>
      <c r="E1177">
        <f t="shared" si="108"/>
        <v>489.44900000000001</v>
      </c>
      <c r="F1177">
        <v>489.54500000000002</v>
      </c>
      <c r="G1177">
        <f t="shared" si="110"/>
        <v>0</v>
      </c>
      <c r="H1177">
        <v>1.82</v>
      </c>
      <c r="I1177">
        <f t="shared" si="111"/>
        <v>0</v>
      </c>
      <c r="J1177">
        <f t="shared" si="112"/>
        <v>0</v>
      </c>
      <c r="K1177">
        <f t="shared" si="113"/>
        <v>0</v>
      </c>
    </row>
    <row r="1178" spans="1:11" x14ac:dyDescent="0.4">
      <c r="A1178" s="19">
        <v>45883.75</v>
      </c>
      <c r="B1178" s="20">
        <f t="shared" si="109"/>
        <v>0.75</v>
      </c>
      <c r="C1178">
        <v>0</v>
      </c>
      <c r="D1178">
        <v>489.60399999999998</v>
      </c>
      <c r="E1178">
        <f t="shared" si="108"/>
        <v>489.44900000000001</v>
      </c>
      <c r="F1178">
        <v>489.54500000000002</v>
      </c>
      <c r="G1178">
        <f t="shared" si="110"/>
        <v>0</v>
      </c>
      <c r="H1178">
        <v>1.82</v>
      </c>
      <c r="I1178">
        <f t="shared" si="111"/>
        <v>0</v>
      </c>
      <c r="J1178">
        <f t="shared" si="112"/>
        <v>0</v>
      </c>
      <c r="K1178">
        <f t="shared" si="113"/>
        <v>0</v>
      </c>
    </row>
    <row r="1179" spans="1:11" x14ac:dyDescent="0.4">
      <c r="A1179" s="19">
        <v>45883.791666666664</v>
      </c>
      <c r="B1179" s="20">
        <f t="shared" si="109"/>
        <v>0.79166666666424135</v>
      </c>
      <c r="C1179">
        <v>0</v>
      </c>
      <c r="D1179">
        <v>489.59800000000001</v>
      </c>
      <c r="E1179">
        <f t="shared" si="108"/>
        <v>489.44300000000004</v>
      </c>
      <c r="F1179">
        <v>489.54500000000002</v>
      </c>
      <c r="G1179">
        <f t="shared" si="110"/>
        <v>0</v>
      </c>
      <c r="H1179">
        <v>1.82</v>
      </c>
      <c r="I1179">
        <f t="shared" si="111"/>
        <v>0</v>
      </c>
      <c r="J1179">
        <f t="shared" si="112"/>
        <v>0</v>
      </c>
      <c r="K1179">
        <f t="shared" si="113"/>
        <v>0</v>
      </c>
    </row>
    <row r="1180" spans="1:11" x14ac:dyDescent="0.4">
      <c r="A1180" s="19">
        <v>45883.833333333336</v>
      </c>
      <c r="B1180" s="20">
        <f t="shared" si="109"/>
        <v>0.83333333333575865</v>
      </c>
      <c r="C1180">
        <v>0</v>
      </c>
      <c r="D1180">
        <v>489.59800000000001</v>
      </c>
      <c r="E1180">
        <f t="shared" si="108"/>
        <v>489.44300000000004</v>
      </c>
      <c r="F1180">
        <v>489.54500000000002</v>
      </c>
      <c r="G1180">
        <f t="shared" si="110"/>
        <v>0</v>
      </c>
      <c r="H1180">
        <v>1.82</v>
      </c>
      <c r="I1180">
        <f t="shared" si="111"/>
        <v>0</v>
      </c>
      <c r="J1180">
        <f t="shared" si="112"/>
        <v>0</v>
      </c>
      <c r="K1180">
        <f t="shared" si="113"/>
        <v>0</v>
      </c>
    </row>
    <row r="1181" spans="1:11" x14ac:dyDescent="0.4">
      <c r="A1181" s="19">
        <v>45883.875</v>
      </c>
      <c r="B1181" s="20">
        <f t="shared" si="109"/>
        <v>0.875</v>
      </c>
      <c r="C1181">
        <v>0</v>
      </c>
      <c r="D1181">
        <v>489.59800000000001</v>
      </c>
      <c r="E1181">
        <f t="shared" si="108"/>
        <v>489.44300000000004</v>
      </c>
      <c r="F1181">
        <v>489.54500000000002</v>
      </c>
      <c r="G1181">
        <f t="shared" si="110"/>
        <v>0</v>
      </c>
      <c r="H1181">
        <v>1.82</v>
      </c>
      <c r="I1181">
        <f t="shared" si="111"/>
        <v>0</v>
      </c>
      <c r="J1181">
        <f t="shared" si="112"/>
        <v>0</v>
      </c>
      <c r="K1181">
        <f t="shared" si="113"/>
        <v>0</v>
      </c>
    </row>
    <row r="1182" spans="1:11" x14ac:dyDescent="0.4">
      <c r="A1182" s="19">
        <v>45883.916666666664</v>
      </c>
      <c r="B1182" s="20">
        <f t="shared" si="109"/>
        <v>0.91666666666424135</v>
      </c>
      <c r="C1182">
        <v>0</v>
      </c>
      <c r="D1182">
        <v>489.59800000000001</v>
      </c>
      <c r="E1182">
        <f t="shared" si="108"/>
        <v>489.44300000000004</v>
      </c>
      <c r="F1182">
        <v>489.54500000000002</v>
      </c>
      <c r="G1182">
        <f t="shared" si="110"/>
        <v>0</v>
      </c>
      <c r="H1182">
        <v>1.82</v>
      </c>
      <c r="I1182">
        <f t="shared" si="111"/>
        <v>0</v>
      </c>
      <c r="J1182">
        <f t="shared" si="112"/>
        <v>0</v>
      </c>
      <c r="K1182">
        <f t="shared" si="113"/>
        <v>0</v>
      </c>
    </row>
    <row r="1183" spans="1:11" x14ac:dyDescent="0.4">
      <c r="A1183" s="19">
        <v>45883.958333333336</v>
      </c>
      <c r="B1183" s="20">
        <f t="shared" si="109"/>
        <v>0.95833333333575865</v>
      </c>
      <c r="C1183">
        <v>0</v>
      </c>
      <c r="D1183">
        <v>489.59800000000001</v>
      </c>
      <c r="E1183">
        <f t="shared" si="108"/>
        <v>489.44300000000004</v>
      </c>
      <c r="F1183">
        <v>489.54500000000002</v>
      </c>
      <c r="G1183">
        <f t="shared" si="110"/>
        <v>0</v>
      </c>
      <c r="H1183">
        <v>1.82</v>
      </c>
      <c r="I1183">
        <f t="shared" si="111"/>
        <v>0</v>
      </c>
      <c r="J1183">
        <f t="shared" si="112"/>
        <v>0</v>
      </c>
      <c r="K1183">
        <f t="shared" si="113"/>
        <v>0</v>
      </c>
    </row>
    <row r="1184" spans="1:11" x14ac:dyDescent="0.4">
      <c r="A1184" s="19">
        <v>45884</v>
      </c>
      <c r="B1184" s="20">
        <f t="shared" si="109"/>
        <v>0</v>
      </c>
      <c r="C1184">
        <v>0</v>
      </c>
      <c r="D1184">
        <v>489.59199999999998</v>
      </c>
      <c r="E1184">
        <f t="shared" si="108"/>
        <v>489.43700000000001</v>
      </c>
      <c r="F1184">
        <v>489.54500000000002</v>
      </c>
      <c r="G1184">
        <f t="shared" si="110"/>
        <v>0</v>
      </c>
      <c r="H1184">
        <v>1.82</v>
      </c>
      <c r="I1184">
        <f t="shared" si="111"/>
        <v>0</v>
      </c>
      <c r="J1184">
        <f t="shared" si="112"/>
        <v>0</v>
      </c>
      <c r="K1184">
        <f t="shared" si="113"/>
        <v>0</v>
      </c>
    </row>
    <row r="1185" spans="1:11" x14ac:dyDescent="0.4">
      <c r="A1185" s="19">
        <v>45884.041666666664</v>
      </c>
      <c r="B1185" s="20">
        <f t="shared" si="109"/>
        <v>4.1666666664241347E-2</v>
      </c>
      <c r="C1185">
        <v>0</v>
      </c>
      <c r="D1185">
        <v>489.59199999999998</v>
      </c>
      <c r="E1185">
        <f t="shared" si="108"/>
        <v>489.43700000000001</v>
      </c>
      <c r="F1185">
        <v>489.54500000000002</v>
      </c>
      <c r="G1185">
        <f t="shared" si="110"/>
        <v>0</v>
      </c>
      <c r="H1185">
        <v>1.82</v>
      </c>
      <c r="I1185">
        <f t="shared" si="111"/>
        <v>0</v>
      </c>
      <c r="J1185">
        <f t="shared" si="112"/>
        <v>0</v>
      </c>
      <c r="K1185">
        <f t="shared" si="113"/>
        <v>0</v>
      </c>
    </row>
    <row r="1186" spans="1:11" x14ac:dyDescent="0.4">
      <c r="A1186" s="19">
        <v>45884.083333333336</v>
      </c>
      <c r="B1186" s="20">
        <f t="shared" si="109"/>
        <v>8.3333333335758653E-2</v>
      </c>
      <c r="C1186">
        <v>0</v>
      </c>
      <c r="D1186">
        <v>489.59199999999998</v>
      </c>
      <c r="E1186">
        <f t="shared" si="108"/>
        <v>489.43700000000001</v>
      </c>
      <c r="F1186">
        <v>489.54500000000002</v>
      </c>
      <c r="G1186">
        <f t="shared" si="110"/>
        <v>0</v>
      </c>
      <c r="H1186">
        <v>1.82</v>
      </c>
      <c r="I1186">
        <f t="shared" si="111"/>
        <v>0</v>
      </c>
      <c r="J1186">
        <f t="shared" si="112"/>
        <v>0</v>
      </c>
      <c r="K1186">
        <f t="shared" si="113"/>
        <v>0</v>
      </c>
    </row>
    <row r="1187" spans="1:11" x14ac:dyDescent="0.4">
      <c r="A1187" s="19">
        <v>45884.125</v>
      </c>
      <c r="B1187" s="20">
        <f t="shared" si="109"/>
        <v>0.125</v>
      </c>
      <c r="C1187">
        <v>0</v>
      </c>
      <c r="D1187">
        <v>489.59300000000002</v>
      </c>
      <c r="E1187">
        <f t="shared" si="108"/>
        <v>489.43800000000005</v>
      </c>
      <c r="F1187">
        <v>489.54500000000002</v>
      </c>
      <c r="G1187">
        <f t="shared" si="110"/>
        <v>0</v>
      </c>
      <c r="H1187">
        <v>1.82</v>
      </c>
      <c r="I1187">
        <f t="shared" si="111"/>
        <v>0</v>
      </c>
      <c r="J1187">
        <f t="shared" si="112"/>
        <v>0</v>
      </c>
      <c r="K1187">
        <f t="shared" si="113"/>
        <v>0</v>
      </c>
    </row>
    <row r="1188" spans="1:11" x14ac:dyDescent="0.4">
      <c r="A1188" s="19">
        <v>45884.166666666664</v>
      </c>
      <c r="B1188" s="20">
        <f t="shared" si="109"/>
        <v>0.16666666666424135</v>
      </c>
      <c r="C1188">
        <v>0</v>
      </c>
      <c r="D1188">
        <v>489.58600000000001</v>
      </c>
      <c r="E1188">
        <f t="shared" si="108"/>
        <v>489.43100000000004</v>
      </c>
      <c r="F1188">
        <v>489.54500000000002</v>
      </c>
      <c r="G1188">
        <f t="shared" si="110"/>
        <v>0</v>
      </c>
      <c r="H1188">
        <v>1.82</v>
      </c>
      <c r="I1188">
        <f t="shared" si="111"/>
        <v>0</v>
      </c>
      <c r="J1188">
        <f t="shared" si="112"/>
        <v>0</v>
      </c>
      <c r="K1188">
        <f t="shared" si="113"/>
        <v>0</v>
      </c>
    </row>
    <row r="1189" spans="1:11" x14ac:dyDescent="0.4">
      <c r="A1189" s="19">
        <v>45884.208333333336</v>
      </c>
      <c r="B1189" s="20">
        <f t="shared" si="109"/>
        <v>0.20833333333575865</v>
      </c>
      <c r="C1189">
        <v>0</v>
      </c>
      <c r="D1189">
        <v>489.58600000000001</v>
      </c>
      <c r="E1189">
        <f t="shared" si="108"/>
        <v>489.43100000000004</v>
      </c>
      <c r="F1189">
        <v>489.54500000000002</v>
      </c>
      <c r="G1189">
        <f t="shared" si="110"/>
        <v>0</v>
      </c>
      <c r="H1189">
        <v>1.82</v>
      </c>
      <c r="I1189">
        <f t="shared" si="111"/>
        <v>0</v>
      </c>
      <c r="J1189">
        <f t="shared" si="112"/>
        <v>0</v>
      </c>
      <c r="K1189">
        <f t="shared" si="113"/>
        <v>0</v>
      </c>
    </row>
    <row r="1190" spans="1:11" x14ac:dyDescent="0.4">
      <c r="A1190" s="19">
        <v>45884.25</v>
      </c>
      <c r="B1190" s="20">
        <f t="shared" si="109"/>
        <v>0.25</v>
      </c>
      <c r="C1190">
        <v>0</v>
      </c>
      <c r="D1190">
        <v>489.58600000000001</v>
      </c>
      <c r="E1190">
        <f t="shared" si="108"/>
        <v>489.43100000000004</v>
      </c>
      <c r="F1190">
        <v>489.54500000000002</v>
      </c>
      <c r="G1190">
        <f t="shared" si="110"/>
        <v>0</v>
      </c>
      <c r="H1190">
        <v>1.82</v>
      </c>
      <c r="I1190">
        <f t="shared" si="111"/>
        <v>0</v>
      </c>
      <c r="J1190">
        <f t="shared" si="112"/>
        <v>0</v>
      </c>
      <c r="K1190">
        <f t="shared" si="113"/>
        <v>0</v>
      </c>
    </row>
    <row r="1191" spans="1:11" x14ac:dyDescent="0.4">
      <c r="A1191" s="19">
        <v>45884.291666666664</v>
      </c>
      <c r="B1191" s="20">
        <f t="shared" si="109"/>
        <v>0.29166666666424135</v>
      </c>
      <c r="C1191">
        <v>0</v>
      </c>
      <c r="D1191">
        <v>489.58600000000001</v>
      </c>
      <c r="E1191">
        <f t="shared" si="108"/>
        <v>489.43100000000004</v>
      </c>
      <c r="F1191">
        <v>489.54500000000002</v>
      </c>
      <c r="G1191">
        <f t="shared" si="110"/>
        <v>0</v>
      </c>
      <c r="H1191">
        <v>1.82</v>
      </c>
      <c r="I1191">
        <f t="shared" si="111"/>
        <v>0</v>
      </c>
      <c r="J1191">
        <f t="shared" si="112"/>
        <v>0</v>
      </c>
      <c r="K1191">
        <f t="shared" si="113"/>
        <v>0</v>
      </c>
    </row>
    <row r="1192" spans="1:11" x14ac:dyDescent="0.4">
      <c r="A1192" s="19">
        <v>45884.333333333336</v>
      </c>
      <c r="B1192" s="20">
        <f t="shared" si="109"/>
        <v>0.33333333333575865</v>
      </c>
      <c r="C1192">
        <v>0</v>
      </c>
      <c r="D1192">
        <v>489.57900000000001</v>
      </c>
      <c r="E1192">
        <f t="shared" si="108"/>
        <v>489.42400000000004</v>
      </c>
      <c r="F1192">
        <v>489.54500000000002</v>
      </c>
      <c r="G1192">
        <f t="shared" si="110"/>
        <v>0</v>
      </c>
      <c r="H1192">
        <v>1.82</v>
      </c>
      <c r="I1192">
        <f t="shared" si="111"/>
        <v>0</v>
      </c>
      <c r="J1192">
        <f t="shared" si="112"/>
        <v>0</v>
      </c>
      <c r="K1192">
        <f t="shared" si="113"/>
        <v>0</v>
      </c>
    </row>
    <row r="1193" spans="1:11" x14ac:dyDescent="0.4">
      <c r="A1193" s="19">
        <v>45884.375</v>
      </c>
      <c r="B1193" s="20">
        <f t="shared" si="109"/>
        <v>0.375</v>
      </c>
      <c r="C1193">
        <v>0</v>
      </c>
      <c r="D1193">
        <v>489.57900000000001</v>
      </c>
      <c r="E1193">
        <f t="shared" si="108"/>
        <v>489.42400000000004</v>
      </c>
      <c r="F1193">
        <v>489.54500000000002</v>
      </c>
      <c r="G1193">
        <f t="shared" si="110"/>
        <v>0</v>
      </c>
      <c r="H1193">
        <v>1.82</v>
      </c>
      <c r="I1193">
        <f t="shared" si="111"/>
        <v>0</v>
      </c>
      <c r="J1193">
        <f t="shared" si="112"/>
        <v>0</v>
      </c>
      <c r="K1193">
        <f t="shared" si="113"/>
        <v>0</v>
      </c>
    </row>
    <row r="1194" spans="1:11" x14ac:dyDescent="0.4">
      <c r="A1194" s="19">
        <v>45884.416666666664</v>
      </c>
      <c r="B1194" s="20">
        <f t="shared" si="109"/>
        <v>0.41666666666424135</v>
      </c>
      <c r="C1194">
        <v>0</v>
      </c>
      <c r="D1194">
        <v>489.57900000000001</v>
      </c>
      <c r="E1194">
        <f t="shared" si="108"/>
        <v>489.42400000000004</v>
      </c>
      <c r="F1194">
        <v>489.54500000000002</v>
      </c>
      <c r="G1194">
        <f t="shared" si="110"/>
        <v>0</v>
      </c>
      <c r="H1194">
        <v>1.82</v>
      </c>
      <c r="I1194">
        <f t="shared" si="111"/>
        <v>0</v>
      </c>
      <c r="J1194">
        <f t="shared" si="112"/>
        <v>0</v>
      </c>
      <c r="K1194">
        <f t="shared" si="113"/>
        <v>0</v>
      </c>
    </row>
    <row r="1195" spans="1:11" x14ac:dyDescent="0.4">
      <c r="A1195" s="19">
        <v>45884.458333333336</v>
      </c>
      <c r="B1195" s="20">
        <f t="shared" si="109"/>
        <v>0.45833333333575865</v>
      </c>
      <c r="C1195">
        <v>0</v>
      </c>
      <c r="D1195">
        <v>489.57900000000001</v>
      </c>
      <c r="E1195">
        <f t="shared" si="108"/>
        <v>489.42400000000004</v>
      </c>
      <c r="F1195">
        <v>489.54500000000002</v>
      </c>
      <c r="G1195">
        <f t="shared" si="110"/>
        <v>0</v>
      </c>
      <c r="H1195">
        <v>1.82</v>
      </c>
      <c r="I1195">
        <f t="shared" si="111"/>
        <v>0</v>
      </c>
      <c r="J1195">
        <f t="shared" si="112"/>
        <v>0</v>
      </c>
      <c r="K1195">
        <f t="shared" si="113"/>
        <v>0</v>
      </c>
    </row>
    <row r="1196" spans="1:11" x14ac:dyDescent="0.4">
      <c r="A1196" s="19">
        <v>45884.5</v>
      </c>
      <c r="B1196" s="20">
        <f t="shared" si="109"/>
        <v>0.5</v>
      </c>
      <c r="C1196">
        <v>0</v>
      </c>
      <c r="D1196">
        <v>489.57900000000001</v>
      </c>
      <c r="E1196">
        <f t="shared" si="108"/>
        <v>489.42400000000004</v>
      </c>
      <c r="F1196">
        <v>489.54500000000002</v>
      </c>
      <c r="G1196">
        <f t="shared" si="110"/>
        <v>0</v>
      </c>
      <c r="H1196">
        <v>1.82</v>
      </c>
      <c r="I1196">
        <f t="shared" si="111"/>
        <v>0</v>
      </c>
      <c r="J1196">
        <f t="shared" si="112"/>
        <v>0</v>
      </c>
      <c r="K1196">
        <f t="shared" si="113"/>
        <v>0</v>
      </c>
    </row>
    <row r="1197" spans="1:11" x14ac:dyDescent="0.4">
      <c r="A1197" s="19">
        <v>45884.541666666664</v>
      </c>
      <c r="B1197" s="20">
        <f t="shared" si="109"/>
        <v>0.54166666666424135</v>
      </c>
      <c r="C1197">
        <v>0</v>
      </c>
      <c r="D1197">
        <v>489.572</v>
      </c>
      <c r="E1197">
        <f t="shared" si="108"/>
        <v>489.41700000000003</v>
      </c>
      <c r="F1197">
        <v>489.54500000000002</v>
      </c>
      <c r="G1197">
        <f t="shared" si="110"/>
        <v>0</v>
      </c>
      <c r="H1197">
        <v>1.82</v>
      </c>
      <c r="I1197">
        <f t="shared" si="111"/>
        <v>0</v>
      </c>
      <c r="J1197">
        <f t="shared" si="112"/>
        <v>0</v>
      </c>
      <c r="K1197">
        <f t="shared" si="113"/>
        <v>0</v>
      </c>
    </row>
    <row r="1198" spans="1:11" x14ac:dyDescent="0.4">
      <c r="A1198" s="19">
        <v>45884.583333333336</v>
      </c>
      <c r="B1198" s="20">
        <f t="shared" si="109"/>
        <v>0.58333333333575865</v>
      </c>
      <c r="C1198">
        <v>7.8</v>
      </c>
      <c r="D1198">
        <v>489.61099999999999</v>
      </c>
      <c r="E1198">
        <f t="shared" si="108"/>
        <v>489.45600000000002</v>
      </c>
      <c r="F1198">
        <v>489.54500000000002</v>
      </c>
      <c r="G1198">
        <f t="shared" si="110"/>
        <v>0</v>
      </c>
      <c r="H1198">
        <v>1.82</v>
      </c>
      <c r="I1198">
        <f t="shared" si="111"/>
        <v>0</v>
      </c>
      <c r="J1198">
        <f t="shared" si="112"/>
        <v>0</v>
      </c>
      <c r="K1198">
        <f t="shared" si="113"/>
        <v>0</v>
      </c>
    </row>
    <row r="1199" spans="1:11" x14ac:dyDescent="0.4">
      <c r="A1199" s="19">
        <v>45884.625</v>
      </c>
      <c r="B1199" s="20">
        <f t="shared" si="109"/>
        <v>0.625</v>
      </c>
      <c r="C1199">
        <v>0.2</v>
      </c>
      <c r="D1199">
        <v>489.67</v>
      </c>
      <c r="E1199">
        <f t="shared" si="108"/>
        <v>489.51500000000004</v>
      </c>
      <c r="F1199">
        <v>489.54500000000002</v>
      </c>
      <c r="G1199">
        <f t="shared" si="110"/>
        <v>0</v>
      </c>
      <c r="H1199">
        <v>1.82</v>
      </c>
      <c r="I1199">
        <f t="shared" si="111"/>
        <v>0</v>
      </c>
      <c r="J1199">
        <f t="shared" si="112"/>
        <v>0</v>
      </c>
      <c r="K1199">
        <f t="shared" si="113"/>
        <v>0</v>
      </c>
    </row>
    <row r="1200" spans="1:11" x14ac:dyDescent="0.4">
      <c r="A1200" s="19">
        <v>45884.666666666664</v>
      </c>
      <c r="B1200" s="20">
        <f t="shared" si="109"/>
        <v>0.66666666666424135</v>
      </c>
      <c r="C1200">
        <v>0</v>
      </c>
      <c r="D1200">
        <v>489.68900000000002</v>
      </c>
      <c r="E1200">
        <f t="shared" si="108"/>
        <v>489.53400000000005</v>
      </c>
      <c r="F1200">
        <v>489.54500000000002</v>
      </c>
      <c r="G1200">
        <f t="shared" si="110"/>
        <v>0</v>
      </c>
      <c r="H1200">
        <v>1.82</v>
      </c>
      <c r="I1200">
        <f t="shared" si="111"/>
        <v>0</v>
      </c>
      <c r="J1200">
        <f t="shared" si="112"/>
        <v>0</v>
      </c>
      <c r="K1200">
        <f t="shared" si="113"/>
        <v>0</v>
      </c>
    </row>
    <row r="1201" spans="1:11" x14ac:dyDescent="0.4">
      <c r="A1201" s="19">
        <v>45884.708333333336</v>
      </c>
      <c r="B1201" s="20">
        <f t="shared" si="109"/>
        <v>0.70833333333575865</v>
      </c>
      <c r="C1201">
        <v>0</v>
      </c>
      <c r="D1201">
        <v>489.69400000000002</v>
      </c>
      <c r="E1201">
        <f t="shared" si="108"/>
        <v>489.53900000000004</v>
      </c>
      <c r="F1201">
        <v>489.54500000000002</v>
      </c>
      <c r="G1201">
        <f t="shared" si="110"/>
        <v>0</v>
      </c>
      <c r="H1201">
        <v>1.82</v>
      </c>
      <c r="I1201">
        <f t="shared" si="111"/>
        <v>0</v>
      </c>
      <c r="J1201">
        <f t="shared" si="112"/>
        <v>0</v>
      </c>
      <c r="K1201">
        <f t="shared" si="113"/>
        <v>0</v>
      </c>
    </row>
    <row r="1202" spans="1:11" x14ac:dyDescent="0.4">
      <c r="A1202" s="19">
        <v>45884.75</v>
      </c>
      <c r="B1202" s="20">
        <f t="shared" si="109"/>
        <v>0.75</v>
      </c>
      <c r="C1202">
        <v>0</v>
      </c>
      <c r="D1202">
        <v>489.70100000000002</v>
      </c>
      <c r="E1202">
        <f t="shared" si="108"/>
        <v>489.54600000000005</v>
      </c>
      <c r="F1202">
        <v>489.54500000000002</v>
      </c>
      <c r="G1202">
        <f t="shared" si="110"/>
        <v>1.0000000000331966E-3</v>
      </c>
      <c r="H1202">
        <v>1.82</v>
      </c>
      <c r="I1202">
        <f t="shared" si="111"/>
        <v>1.7266036025379119E-3</v>
      </c>
      <c r="J1202">
        <f t="shared" si="112"/>
        <v>0.10359621615227471</v>
      </c>
      <c r="K1202">
        <f t="shared" si="113"/>
        <v>6.2157729691364834</v>
      </c>
    </row>
    <row r="1203" spans="1:11" x14ac:dyDescent="0.4">
      <c r="A1203" s="19">
        <v>45884.791666666664</v>
      </c>
      <c r="B1203" s="20">
        <f t="shared" si="109"/>
        <v>0.79166666666424135</v>
      </c>
      <c r="C1203">
        <v>0</v>
      </c>
      <c r="D1203">
        <v>489.70100000000002</v>
      </c>
      <c r="E1203">
        <f t="shared" si="108"/>
        <v>489.54600000000005</v>
      </c>
      <c r="F1203">
        <v>489.54500000000002</v>
      </c>
      <c r="G1203">
        <f t="shared" si="110"/>
        <v>1.0000000000331966E-3</v>
      </c>
      <c r="H1203">
        <v>1.82</v>
      </c>
      <c r="I1203">
        <f t="shared" si="111"/>
        <v>1.7266036025379119E-3</v>
      </c>
      <c r="J1203">
        <f t="shared" si="112"/>
        <v>0.10359621615227471</v>
      </c>
      <c r="K1203">
        <f t="shared" si="113"/>
        <v>6.2157729691364834</v>
      </c>
    </row>
    <row r="1204" spans="1:11" x14ac:dyDescent="0.4">
      <c r="A1204" s="19">
        <v>45884.833333333336</v>
      </c>
      <c r="B1204" s="20">
        <f t="shared" si="109"/>
        <v>0.83333333333575865</v>
      </c>
      <c r="C1204">
        <v>0</v>
      </c>
      <c r="D1204">
        <v>489.70100000000002</v>
      </c>
      <c r="E1204">
        <f t="shared" si="108"/>
        <v>489.54600000000005</v>
      </c>
      <c r="F1204">
        <v>489.54500000000002</v>
      </c>
      <c r="G1204">
        <f t="shared" si="110"/>
        <v>1.0000000000331966E-3</v>
      </c>
      <c r="H1204">
        <v>1.82</v>
      </c>
      <c r="I1204">
        <f t="shared" si="111"/>
        <v>1.7266036025379119E-3</v>
      </c>
      <c r="J1204">
        <f t="shared" si="112"/>
        <v>0.10359621615227471</v>
      </c>
      <c r="K1204">
        <f t="shared" si="113"/>
        <v>6.2157729691364834</v>
      </c>
    </row>
    <row r="1205" spans="1:11" x14ac:dyDescent="0.4">
      <c r="A1205" s="19">
        <v>45884.875</v>
      </c>
      <c r="B1205" s="20">
        <f t="shared" si="109"/>
        <v>0.875</v>
      </c>
      <c r="C1205">
        <v>0</v>
      </c>
      <c r="D1205">
        <v>489.70100000000002</v>
      </c>
      <c r="E1205">
        <f t="shared" si="108"/>
        <v>489.54600000000005</v>
      </c>
      <c r="F1205">
        <v>489.54500000000002</v>
      </c>
      <c r="G1205">
        <f t="shared" si="110"/>
        <v>1.0000000000331966E-3</v>
      </c>
      <c r="H1205">
        <v>1.82</v>
      </c>
      <c r="I1205">
        <f t="shared" si="111"/>
        <v>1.7266036025379119E-3</v>
      </c>
      <c r="J1205">
        <f t="shared" si="112"/>
        <v>0.10359621615227471</v>
      </c>
      <c r="K1205">
        <f t="shared" si="113"/>
        <v>6.2157729691364834</v>
      </c>
    </row>
    <row r="1206" spans="1:11" x14ac:dyDescent="0.4">
      <c r="A1206" s="19">
        <v>45884.916666666664</v>
      </c>
      <c r="B1206" s="20">
        <f t="shared" si="109"/>
        <v>0.91666666666424135</v>
      </c>
      <c r="C1206">
        <v>0</v>
      </c>
      <c r="D1206">
        <v>489.702</v>
      </c>
      <c r="E1206">
        <f t="shared" si="108"/>
        <v>489.54700000000003</v>
      </c>
      <c r="F1206">
        <v>489.54500000000002</v>
      </c>
      <c r="G1206">
        <f t="shared" si="110"/>
        <v>2.0000000000095497E-3</v>
      </c>
      <c r="H1206">
        <v>1.82</v>
      </c>
      <c r="I1206">
        <f t="shared" si="111"/>
        <v>4.8835724628945162E-3</v>
      </c>
      <c r="J1206">
        <f t="shared" si="112"/>
        <v>0.29301434777367097</v>
      </c>
      <c r="K1206">
        <f t="shared" si="113"/>
        <v>17.580860866420259</v>
      </c>
    </row>
    <row r="1207" spans="1:11" x14ac:dyDescent="0.4">
      <c r="A1207" s="19">
        <v>45884.958333333336</v>
      </c>
      <c r="B1207" s="20">
        <f t="shared" si="109"/>
        <v>0.95833333333575865</v>
      </c>
      <c r="C1207">
        <v>0</v>
      </c>
      <c r="D1207">
        <v>489.702</v>
      </c>
      <c r="E1207">
        <f t="shared" si="108"/>
        <v>489.54700000000003</v>
      </c>
      <c r="F1207">
        <v>489.54500000000002</v>
      </c>
      <c r="G1207">
        <f t="shared" si="110"/>
        <v>2.0000000000095497E-3</v>
      </c>
      <c r="H1207">
        <v>1.82</v>
      </c>
      <c r="I1207">
        <f t="shared" si="111"/>
        <v>4.8835724628945162E-3</v>
      </c>
      <c r="J1207">
        <f t="shared" si="112"/>
        <v>0.29301434777367097</v>
      </c>
      <c r="K1207">
        <f t="shared" si="113"/>
        <v>17.580860866420259</v>
      </c>
    </row>
    <row r="1208" spans="1:11" x14ac:dyDescent="0.4">
      <c r="A1208" s="19">
        <v>45885</v>
      </c>
      <c r="B1208" s="20">
        <f t="shared" si="109"/>
        <v>0</v>
      </c>
      <c r="C1208">
        <v>0</v>
      </c>
      <c r="D1208">
        <v>489.70100000000002</v>
      </c>
      <c r="E1208">
        <f t="shared" si="108"/>
        <v>489.54600000000005</v>
      </c>
      <c r="F1208">
        <v>489.54500000000002</v>
      </c>
      <c r="G1208">
        <f t="shared" si="110"/>
        <v>1.0000000000331966E-3</v>
      </c>
      <c r="H1208">
        <v>1.82</v>
      </c>
      <c r="I1208">
        <f t="shared" si="111"/>
        <v>1.7266036025379119E-3</v>
      </c>
      <c r="J1208">
        <f t="shared" si="112"/>
        <v>0.10359621615227471</v>
      </c>
      <c r="K1208">
        <f t="shared" si="113"/>
        <v>6.2157729691364834</v>
      </c>
    </row>
    <row r="1209" spans="1:11" x14ac:dyDescent="0.4">
      <c r="A1209" s="19">
        <v>45885.041666666664</v>
      </c>
      <c r="B1209" s="20">
        <f t="shared" si="109"/>
        <v>4.1666666664241347E-2</v>
      </c>
      <c r="C1209">
        <v>0</v>
      </c>
      <c r="D1209">
        <v>489.702</v>
      </c>
      <c r="E1209">
        <f t="shared" si="108"/>
        <v>489.54700000000003</v>
      </c>
      <c r="F1209">
        <v>489.54500000000002</v>
      </c>
      <c r="G1209">
        <f t="shared" si="110"/>
        <v>2.0000000000095497E-3</v>
      </c>
      <c r="H1209">
        <v>1.82</v>
      </c>
      <c r="I1209">
        <f t="shared" si="111"/>
        <v>4.8835724628945162E-3</v>
      </c>
      <c r="J1209">
        <f t="shared" si="112"/>
        <v>0.29301434777367097</v>
      </c>
      <c r="K1209">
        <f t="shared" si="113"/>
        <v>17.580860866420259</v>
      </c>
    </row>
    <row r="1210" spans="1:11" x14ac:dyDescent="0.4">
      <c r="A1210" s="19">
        <v>45885.083333333336</v>
      </c>
      <c r="B1210" s="20">
        <f t="shared" si="109"/>
        <v>8.3333333335758653E-2</v>
      </c>
      <c r="C1210">
        <v>0</v>
      </c>
      <c r="D1210">
        <v>489.70100000000002</v>
      </c>
      <c r="E1210">
        <f t="shared" si="108"/>
        <v>489.54600000000005</v>
      </c>
      <c r="F1210">
        <v>489.54500000000002</v>
      </c>
      <c r="G1210">
        <f t="shared" si="110"/>
        <v>1.0000000000331966E-3</v>
      </c>
      <c r="H1210">
        <v>1.82</v>
      </c>
      <c r="I1210">
        <f t="shared" si="111"/>
        <v>1.7266036025379119E-3</v>
      </c>
      <c r="J1210">
        <f t="shared" si="112"/>
        <v>0.10359621615227471</v>
      </c>
      <c r="K1210">
        <f t="shared" si="113"/>
        <v>6.2157729691364834</v>
      </c>
    </row>
    <row r="1211" spans="1:11" x14ac:dyDescent="0.4">
      <c r="A1211" s="19">
        <v>45885.125</v>
      </c>
      <c r="B1211" s="20">
        <f t="shared" si="109"/>
        <v>0.125</v>
      </c>
      <c r="C1211">
        <v>0</v>
      </c>
      <c r="D1211">
        <v>489.702</v>
      </c>
      <c r="E1211">
        <f t="shared" si="108"/>
        <v>489.54700000000003</v>
      </c>
      <c r="F1211">
        <v>489.54500000000002</v>
      </c>
      <c r="G1211">
        <f t="shared" si="110"/>
        <v>2.0000000000095497E-3</v>
      </c>
      <c r="H1211">
        <v>1.82</v>
      </c>
      <c r="I1211">
        <f t="shared" si="111"/>
        <v>4.8835724628945162E-3</v>
      </c>
      <c r="J1211">
        <f t="shared" si="112"/>
        <v>0.29301434777367097</v>
      </c>
      <c r="K1211">
        <f t="shared" si="113"/>
        <v>17.580860866420259</v>
      </c>
    </row>
    <row r="1212" spans="1:11" x14ac:dyDescent="0.4">
      <c r="A1212" s="19">
        <v>45885.166666666664</v>
      </c>
      <c r="B1212" s="20">
        <f t="shared" si="109"/>
        <v>0.16666666666424135</v>
      </c>
      <c r="C1212">
        <v>0</v>
      </c>
      <c r="D1212">
        <v>489.70100000000002</v>
      </c>
      <c r="E1212">
        <f t="shared" si="108"/>
        <v>489.54600000000005</v>
      </c>
      <c r="F1212">
        <v>489.54500000000002</v>
      </c>
      <c r="G1212">
        <f t="shared" si="110"/>
        <v>1.0000000000331966E-3</v>
      </c>
      <c r="H1212">
        <v>1.82</v>
      </c>
      <c r="I1212">
        <f t="shared" si="111"/>
        <v>1.7266036025379119E-3</v>
      </c>
      <c r="J1212">
        <f t="shared" si="112"/>
        <v>0.10359621615227471</v>
      </c>
      <c r="K1212">
        <f t="shared" si="113"/>
        <v>6.2157729691364834</v>
      </c>
    </row>
    <row r="1213" spans="1:11" x14ac:dyDescent="0.4">
      <c r="A1213" s="19">
        <v>45885.208333333336</v>
      </c>
      <c r="B1213" s="20">
        <f t="shared" si="109"/>
        <v>0.20833333333575865</v>
      </c>
      <c r="C1213">
        <v>0</v>
      </c>
      <c r="D1213">
        <v>489.702</v>
      </c>
      <c r="E1213">
        <f t="shared" si="108"/>
        <v>489.54700000000003</v>
      </c>
      <c r="F1213">
        <v>489.54500000000002</v>
      </c>
      <c r="G1213">
        <f t="shared" si="110"/>
        <v>2.0000000000095497E-3</v>
      </c>
      <c r="H1213">
        <v>1.82</v>
      </c>
      <c r="I1213">
        <f t="shared" si="111"/>
        <v>4.8835724628945162E-3</v>
      </c>
      <c r="J1213">
        <f t="shared" si="112"/>
        <v>0.29301434777367097</v>
      </c>
      <c r="K1213">
        <f t="shared" si="113"/>
        <v>17.580860866420259</v>
      </c>
    </row>
    <row r="1214" spans="1:11" x14ac:dyDescent="0.4">
      <c r="A1214" s="19">
        <v>45885.25</v>
      </c>
      <c r="B1214" s="20">
        <f t="shared" si="109"/>
        <v>0.25</v>
      </c>
      <c r="C1214">
        <v>0</v>
      </c>
      <c r="D1214">
        <v>489.69499999999999</v>
      </c>
      <c r="E1214">
        <f t="shared" si="108"/>
        <v>489.54</v>
      </c>
      <c r="F1214">
        <v>489.54500000000002</v>
      </c>
      <c r="G1214">
        <f t="shared" si="110"/>
        <v>0</v>
      </c>
      <c r="H1214">
        <v>1.82</v>
      </c>
      <c r="I1214">
        <f t="shared" si="111"/>
        <v>0</v>
      </c>
      <c r="J1214">
        <f t="shared" si="112"/>
        <v>0</v>
      </c>
      <c r="K1214">
        <f t="shared" si="113"/>
        <v>0</v>
      </c>
    </row>
    <row r="1215" spans="1:11" x14ac:dyDescent="0.4">
      <c r="A1215" s="19">
        <v>45885.291666666664</v>
      </c>
      <c r="B1215" s="20">
        <f t="shared" si="109"/>
        <v>0.29166666666424135</v>
      </c>
      <c r="C1215">
        <v>0</v>
      </c>
      <c r="D1215">
        <v>489.69499999999999</v>
      </c>
      <c r="E1215">
        <f t="shared" si="108"/>
        <v>489.54</v>
      </c>
      <c r="F1215">
        <v>489.54500000000002</v>
      </c>
      <c r="G1215">
        <f t="shared" si="110"/>
        <v>0</v>
      </c>
      <c r="H1215">
        <v>1.82</v>
      </c>
      <c r="I1215">
        <f t="shared" si="111"/>
        <v>0</v>
      </c>
      <c r="J1215">
        <f t="shared" si="112"/>
        <v>0</v>
      </c>
      <c r="K1215">
        <f t="shared" si="113"/>
        <v>0</v>
      </c>
    </row>
    <row r="1216" spans="1:11" x14ac:dyDescent="0.4">
      <c r="A1216" s="19">
        <v>45885.333333333336</v>
      </c>
      <c r="B1216" s="20">
        <f t="shared" si="109"/>
        <v>0.33333333333575865</v>
      </c>
      <c r="C1216">
        <v>0</v>
      </c>
      <c r="D1216">
        <v>489.69400000000002</v>
      </c>
      <c r="E1216">
        <f t="shared" si="108"/>
        <v>489.53900000000004</v>
      </c>
      <c r="F1216">
        <v>489.54500000000002</v>
      </c>
      <c r="G1216">
        <f t="shared" si="110"/>
        <v>0</v>
      </c>
      <c r="H1216">
        <v>1.82</v>
      </c>
      <c r="I1216">
        <f t="shared" si="111"/>
        <v>0</v>
      </c>
      <c r="J1216">
        <f t="shared" si="112"/>
        <v>0</v>
      </c>
      <c r="K1216">
        <f t="shared" si="113"/>
        <v>0</v>
      </c>
    </row>
    <row r="1217" spans="1:11" x14ac:dyDescent="0.4">
      <c r="A1217" s="19">
        <v>45885.375</v>
      </c>
      <c r="B1217" s="20">
        <f t="shared" si="109"/>
        <v>0.375</v>
      </c>
      <c r="C1217">
        <v>0</v>
      </c>
      <c r="D1217">
        <v>489.69400000000002</v>
      </c>
      <c r="E1217">
        <f t="shared" si="108"/>
        <v>489.53900000000004</v>
      </c>
      <c r="F1217">
        <v>489.54500000000002</v>
      </c>
      <c r="G1217">
        <f t="shared" si="110"/>
        <v>0</v>
      </c>
      <c r="H1217">
        <v>1.82</v>
      </c>
      <c r="I1217">
        <f t="shared" si="111"/>
        <v>0</v>
      </c>
      <c r="J1217">
        <f t="shared" si="112"/>
        <v>0</v>
      </c>
      <c r="K1217">
        <f t="shared" si="113"/>
        <v>0</v>
      </c>
    </row>
    <row r="1218" spans="1:11" x14ac:dyDescent="0.4">
      <c r="A1218" s="19">
        <v>45885.416666666664</v>
      </c>
      <c r="B1218" s="20">
        <f t="shared" si="109"/>
        <v>0.41666666666424135</v>
      </c>
      <c r="C1218">
        <v>0</v>
      </c>
      <c r="D1218">
        <v>489.69400000000002</v>
      </c>
      <c r="E1218">
        <f t="shared" ref="E1218:E1281" si="114">D1218-0.155</f>
        <v>489.53900000000004</v>
      </c>
      <c r="F1218">
        <v>489.54500000000002</v>
      </c>
      <c r="G1218">
        <f t="shared" si="110"/>
        <v>0</v>
      </c>
      <c r="H1218">
        <v>1.82</v>
      </c>
      <c r="I1218">
        <f t="shared" si="111"/>
        <v>0</v>
      </c>
      <c r="J1218">
        <f t="shared" si="112"/>
        <v>0</v>
      </c>
      <c r="K1218">
        <f t="shared" si="113"/>
        <v>0</v>
      </c>
    </row>
    <row r="1219" spans="1:11" x14ac:dyDescent="0.4">
      <c r="A1219" s="19">
        <v>45885.458333333336</v>
      </c>
      <c r="B1219" s="20">
        <f t="shared" ref="B1219:B1282" si="115">MOD(A1219,1)</f>
        <v>0.45833333333575865</v>
      </c>
      <c r="C1219">
        <v>0.6</v>
      </c>
      <c r="D1219">
        <v>489.69400000000002</v>
      </c>
      <c r="E1219">
        <f t="shared" si="114"/>
        <v>489.53900000000004</v>
      </c>
      <c r="F1219">
        <v>489.54500000000002</v>
      </c>
      <c r="G1219">
        <f t="shared" ref="G1219:G1282" si="116">IF(E1219 - F1219 &lt; 0, 0, E1219 - F1219)</f>
        <v>0</v>
      </c>
      <c r="H1219">
        <v>1.82</v>
      </c>
      <c r="I1219">
        <f t="shared" ref="I1219:I1282" si="117">1.82*30*(G1219^1.5)</f>
        <v>0</v>
      </c>
      <c r="J1219">
        <f t="shared" ref="J1219:J1282" si="118">I1219*60</f>
        <v>0</v>
      </c>
      <c r="K1219">
        <f t="shared" ref="K1219:K1282" si="119">(I1219*86400)/24</f>
        <v>0</v>
      </c>
    </row>
    <row r="1220" spans="1:11" x14ac:dyDescent="0.4">
      <c r="A1220" s="19">
        <v>45885.5</v>
      </c>
      <c r="B1220" s="20">
        <f t="shared" si="115"/>
        <v>0.5</v>
      </c>
      <c r="C1220">
        <v>0</v>
      </c>
      <c r="D1220">
        <v>489.69400000000002</v>
      </c>
      <c r="E1220">
        <f t="shared" si="114"/>
        <v>489.53900000000004</v>
      </c>
      <c r="F1220">
        <v>489.54500000000002</v>
      </c>
      <c r="G1220">
        <f t="shared" si="116"/>
        <v>0</v>
      </c>
      <c r="H1220">
        <v>1.82</v>
      </c>
      <c r="I1220">
        <f t="shared" si="117"/>
        <v>0</v>
      </c>
      <c r="J1220">
        <f t="shared" si="118"/>
        <v>0</v>
      </c>
      <c r="K1220">
        <f t="shared" si="119"/>
        <v>0</v>
      </c>
    </row>
    <row r="1221" spans="1:11" x14ac:dyDescent="0.4">
      <c r="A1221" s="19">
        <v>45885.541666666664</v>
      </c>
      <c r="B1221" s="20">
        <f t="shared" si="115"/>
        <v>0.54166666666424135</v>
      </c>
      <c r="C1221">
        <v>34.6</v>
      </c>
      <c r="D1221">
        <v>489.73200000000003</v>
      </c>
      <c r="E1221">
        <f t="shared" si="114"/>
        <v>489.57700000000006</v>
      </c>
      <c r="F1221">
        <v>489.54500000000002</v>
      </c>
      <c r="G1221">
        <f t="shared" si="116"/>
        <v>3.2000000000039108E-2</v>
      </c>
      <c r="H1221">
        <v>1.82</v>
      </c>
      <c r="I1221">
        <f t="shared" si="117"/>
        <v>0.31254863762358359</v>
      </c>
      <c r="J1221">
        <f t="shared" si="118"/>
        <v>18.752918257415015</v>
      </c>
      <c r="K1221">
        <f t="shared" si="119"/>
        <v>1125.175095444901</v>
      </c>
    </row>
    <row r="1222" spans="1:11" x14ac:dyDescent="0.4">
      <c r="A1222" s="19">
        <v>45885.583333333336</v>
      </c>
      <c r="B1222" s="20">
        <f t="shared" si="115"/>
        <v>0.58333333333575865</v>
      </c>
      <c r="C1222">
        <v>0</v>
      </c>
      <c r="D1222">
        <v>489.875</v>
      </c>
      <c r="E1222">
        <f t="shared" si="114"/>
        <v>489.72</v>
      </c>
      <c r="F1222">
        <v>489.54500000000002</v>
      </c>
      <c r="G1222">
        <f t="shared" si="116"/>
        <v>0.17500000000001137</v>
      </c>
      <c r="H1222">
        <v>1.82</v>
      </c>
      <c r="I1222">
        <f t="shared" si="117"/>
        <v>3.9971432767669373</v>
      </c>
      <c r="J1222">
        <f t="shared" si="118"/>
        <v>239.82859660601625</v>
      </c>
      <c r="K1222">
        <f t="shared" si="119"/>
        <v>14389.715796360973</v>
      </c>
    </row>
    <row r="1223" spans="1:11" x14ac:dyDescent="0.4">
      <c r="A1223" s="19">
        <v>45885.625</v>
      </c>
      <c r="B1223" s="20">
        <f t="shared" si="115"/>
        <v>0.625</v>
      </c>
      <c r="C1223">
        <v>0</v>
      </c>
      <c r="D1223">
        <v>489.92599999999999</v>
      </c>
      <c r="E1223">
        <f t="shared" si="114"/>
        <v>489.77100000000002</v>
      </c>
      <c r="F1223">
        <v>489.54500000000002</v>
      </c>
      <c r="G1223">
        <f t="shared" si="116"/>
        <v>0.22599999999999909</v>
      </c>
      <c r="H1223">
        <v>1.82</v>
      </c>
      <c r="I1223">
        <f t="shared" si="117"/>
        <v>5.8661788724995061</v>
      </c>
      <c r="J1223">
        <f t="shared" si="118"/>
        <v>351.97073234997038</v>
      </c>
      <c r="K1223">
        <f t="shared" si="119"/>
        <v>21118.243940998222</v>
      </c>
    </row>
    <row r="1224" spans="1:11" x14ac:dyDescent="0.4">
      <c r="A1224" s="19">
        <v>45885.666666666664</v>
      </c>
      <c r="B1224" s="20">
        <f t="shared" si="115"/>
        <v>0.66666666666424135</v>
      </c>
      <c r="C1224">
        <v>0</v>
      </c>
      <c r="D1224">
        <v>489.94499999999999</v>
      </c>
      <c r="E1224">
        <f t="shared" si="114"/>
        <v>489.79</v>
      </c>
      <c r="F1224">
        <v>489.54500000000002</v>
      </c>
      <c r="G1224">
        <f t="shared" si="116"/>
        <v>0.24500000000000455</v>
      </c>
      <c r="H1224">
        <v>1.82</v>
      </c>
      <c r="I1224">
        <f t="shared" si="117"/>
        <v>6.6212771883528978</v>
      </c>
      <c r="J1224">
        <f t="shared" si="118"/>
        <v>397.27663130117389</v>
      </c>
      <c r="K1224">
        <f t="shared" si="119"/>
        <v>23836.597878070432</v>
      </c>
    </row>
    <row r="1225" spans="1:11" x14ac:dyDescent="0.4">
      <c r="A1225" s="19">
        <v>45885.708333333336</v>
      </c>
      <c r="B1225" s="20">
        <f t="shared" si="115"/>
        <v>0.70833333333575865</v>
      </c>
      <c r="C1225">
        <v>0</v>
      </c>
      <c r="D1225">
        <v>489.952</v>
      </c>
      <c r="E1225">
        <f t="shared" si="114"/>
        <v>489.79700000000003</v>
      </c>
      <c r="F1225">
        <v>489.54500000000002</v>
      </c>
      <c r="G1225">
        <f t="shared" si="116"/>
        <v>0.25200000000000955</v>
      </c>
      <c r="H1225">
        <v>1.82</v>
      </c>
      <c r="I1225">
        <f t="shared" si="117"/>
        <v>6.9070635822529844</v>
      </c>
      <c r="J1225">
        <f t="shared" si="118"/>
        <v>414.42381493517905</v>
      </c>
      <c r="K1225">
        <f t="shared" si="119"/>
        <v>24865.428896110741</v>
      </c>
    </row>
    <row r="1226" spans="1:11" x14ac:dyDescent="0.4">
      <c r="A1226" s="19">
        <v>45885.75</v>
      </c>
      <c r="B1226" s="20">
        <f t="shared" si="115"/>
        <v>0.75</v>
      </c>
      <c r="C1226">
        <v>0</v>
      </c>
      <c r="D1226">
        <v>489.952</v>
      </c>
      <c r="E1226">
        <f t="shared" si="114"/>
        <v>489.79700000000003</v>
      </c>
      <c r="F1226">
        <v>489.54500000000002</v>
      </c>
      <c r="G1226">
        <f t="shared" si="116"/>
        <v>0.25200000000000955</v>
      </c>
      <c r="H1226">
        <v>1.82</v>
      </c>
      <c r="I1226">
        <f t="shared" si="117"/>
        <v>6.9070635822529844</v>
      </c>
      <c r="J1226">
        <f t="shared" si="118"/>
        <v>414.42381493517905</v>
      </c>
      <c r="K1226">
        <f t="shared" si="119"/>
        <v>24865.428896110741</v>
      </c>
    </row>
    <row r="1227" spans="1:11" x14ac:dyDescent="0.4">
      <c r="A1227" s="19">
        <v>45885.791666666664</v>
      </c>
      <c r="B1227" s="20">
        <f t="shared" si="115"/>
        <v>0.79166666666424135</v>
      </c>
      <c r="C1227">
        <v>0</v>
      </c>
      <c r="D1227">
        <v>489.94499999999999</v>
      </c>
      <c r="E1227">
        <f t="shared" si="114"/>
        <v>489.79</v>
      </c>
      <c r="F1227">
        <v>489.54500000000002</v>
      </c>
      <c r="G1227">
        <f t="shared" si="116"/>
        <v>0.24500000000000455</v>
      </c>
      <c r="H1227">
        <v>1.82</v>
      </c>
      <c r="I1227">
        <f t="shared" si="117"/>
        <v>6.6212771883528978</v>
      </c>
      <c r="J1227">
        <f t="shared" si="118"/>
        <v>397.27663130117389</v>
      </c>
      <c r="K1227">
        <f t="shared" si="119"/>
        <v>23836.597878070432</v>
      </c>
    </row>
    <row r="1228" spans="1:11" x14ac:dyDescent="0.4">
      <c r="A1228" s="19">
        <v>45885.833333333336</v>
      </c>
      <c r="B1228" s="20">
        <f t="shared" si="115"/>
        <v>0.83333333333575865</v>
      </c>
      <c r="C1228">
        <v>0</v>
      </c>
      <c r="D1228">
        <v>489.93900000000002</v>
      </c>
      <c r="E1228">
        <f t="shared" si="114"/>
        <v>489.78400000000005</v>
      </c>
      <c r="F1228">
        <v>489.54500000000002</v>
      </c>
      <c r="G1228">
        <f t="shared" si="116"/>
        <v>0.23900000000003274</v>
      </c>
      <c r="H1228">
        <v>1.82</v>
      </c>
      <c r="I1228">
        <f t="shared" si="117"/>
        <v>6.379541899388756</v>
      </c>
      <c r="J1228">
        <f t="shared" si="118"/>
        <v>382.77251396332537</v>
      </c>
      <c r="K1228">
        <f t="shared" si="119"/>
        <v>22966.35083779952</v>
      </c>
    </row>
    <row r="1229" spans="1:11" x14ac:dyDescent="0.4">
      <c r="A1229" s="19">
        <v>45885.875</v>
      </c>
      <c r="B1229" s="20">
        <f t="shared" si="115"/>
        <v>0.875</v>
      </c>
      <c r="C1229">
        <v>8.4</v>
      </c>
      <c r="D1229">
        <v>489.94499999999999</v>
      </c>
      <c r="E1229">
        <f t="shared" si="114"/>
        <v>489.79</v>
      </c>
      <c r="F1229">
        <v>489.54500000000002</v>
      </c>
      <c r="G1229">
        <f t="shared" si="116"/>
        <v>0.24500000000000455</v>
      </c>
      <c r="H1229">
        <v>1.82</v>
      </c>
      <c r="I1229">
        <f t="shared" si="117"/>
        <v>6.6212771883528978</v>
      </c>
      <c r="J1229">
        <f t="shared" si="118"/>
        <v>397.27663130117389</v>
      </c>
      <c r="K1229">
        <f t="shared" si="119"/>
        <v>23836.597878070432</v>
      </c>
    </row>
    <row r="1230" spans="1:11" x14ac:dyDescent="0.4">
      <c r="A1230" s="19">
        <v>45885.916666666664</v>
      </c>
      <c r="B1230" s="20">
        <f t="shared" si="115"/>
        <v>0.91666666666424135</v>
      </c>
      <c r="C1230">
        <v>0</v>
      </c>
      <c r="D1230">
        <v>489.93900000000002</v>
      </c>
      <c r="E1230">
        <f t="shared" si="114"/>
        <v>489.78400000000005</v>
      </c>
      <c r="F1230">
        <v>489.54500000000002</v>
      </c>
      <c r="G1230">
        <f t="shared" si="116"/>
        <v>0.23900000000003274</v>
      </c>
      <c r="H1230">
        <v>1.82</v>
      </c>
      <c r="I1230">
        <f t="shared" si="117"/>
        <v>6.379541899388756</v>
      </c>
      <c r="J1230">
        <f t="shared" si="118"/>
        <v>382.77251396332537</v>
      </c>
      <c r="K1230">
        <f t="shared" si="119"/>
        <v>22966.35083779952</v>
      </c>
    </row>
    <row r="1231" spans="1:11" x14ac:dyDescent="0.4">
      <c r="A1231" s="19">
        <v>45885.958333333336</v>
      </c>
      <c r="B1231" s="20">
        <f t="shared" si="115"/>
        <v>0.95833333333575865</v>
      </c>
      <c r="C1231">
        <v>0</v>
      </c>
      <c r="D1231">
        <v>489.93900000000002</v>
      </c>
      <c r="E1231">
        <f t="shared" si="114"/>
        <v>489.78400000000005</v>
      </c>
      <c r="F1231">
        <v>489.54500000000002</v>
      </c>
      <c r="G1231">
        <f t="shared" si="116"/>
        <v>0.23900000000003274</v>
      </c>
      <c r="H1231">
        <v>1.82</v>
      </c>
      <c r="I1231">
        <f t="shared" si="117"/>
        <v>6.379541899388756</v>
      </c>
      <c r="J1231">
        <f t="shared" si="118"/>
        <v>382.77251396332537</v>
      </c>
      <c r="K1231">
        <f t="shared" si="119"/>
        <v>22966.35083779952</v>
      </c>
    </row>
    <row r="1232" spans="1:11" x14ac:dyDescent="0.4">
      <c r="A1232" s="19">
        <v>45886</v>
      </c>
      <c r="B1232" s="20">
        <f t="shared" si="115"/>
        <v>0</v>
      </c>
      <c r="C1232">
        <v>0</v>
      </c>
      <c r="D1232">
        <v>489.93299999999999</v>
      </c>
      <c r="E1232">
        <f t="shared" si="114"/>
        <v>489.77800000000002</v>
      </c>
      <c r="F1232">
        <v>489.54500000000002</v>
      </c>
      <c r="G1232">
        <f t="shared" si="116"/>
        <v>0.23300000000000409</v>
      </c>
      <c r="H1232">
        <v>1.82</v>
      </c>
      <c r="I1232">
        <f t="shared" si="117"/>
        <v>6.1408222161956445</v>
      </c>
      <c r="J1232">
        <f t="shared" si="118"/>
        <v>368.44933297173867</v>
      </c>
      <c r="K1232">
        <f t="shared" si="119"/>
        <v>22106.95997830432</v>
      </c>
    </row>
    <row r="1233" spans="1:11" x14ac:dyDescent="0.4">
      <c r="A1233" s="19">
        <v>45886.041666666664</v>
      </c>
      <c r="B1233" s="20">
        <f t="shared" si="115"/>
        <v>4.1666666664241347E-2</v>
      </c>
      <c r="C1233">
        <v>0</v>
      </c>
      <c r="D1233">
        <v>489.92599999999999</v>
      </c>
      <c r="E1233">
        <f t="shared" si="114"/>
        <v>489.77100000000002</v>
      </c>
      <c r="F1233">
        <v>489.54500000000002</v>
      </c>
      <c r="G1233">
        <f t="shared" si="116"/>
        <v>0.22599999999999909</v>
      </c>
      <c r="H1233">
        <v>1.82</v>
      </c>
      <c r="I1233">
        <f t="shared" si="117"/>
        <v>5.8661788724995061</v>
      </c>
      <c r="J1233">
        <f t="shared" si="118"/>
        <v>351.97073234997038</v>
      </c>
      <c r="K1233">
        <f t="shared" si="119"/>
        <v>21118.243940998222</v>
      </c>
    </row>
    <row r="1234" spans="1:11" x14ac:dyDescent="0.4">
      <c r="A1234" s="19">
        <v>45886.083333333336</v>
      </c>
      <c r="B1234" s="20">
        <f t="shared" si="115"/>
        <v>8.3333333335758653E-2</v>
      </c>
      <c r="C1234">
        <v>0</v>
      </c>
      <c r="D1234">
        <v>489.92</v>
      </c>
      <c r="E1234">
        <f t="shared" si="114"/>
        <v>489.76500000000004</v>
      </c>
      <c r="F1234">
        <v>489.54500000000002</v>
      </c>
      <c r="G1234">
        <f t="shared" si="116"/>
        <v>0.22000000000002728</v>
      </c>
      <c r="H1234">
        <v>1.82</v>
      </c>
      <c r="I1234">
        <f t="shared" si="117"/>
        <v>5.6341274107009527</v>
      </c>
      <c r="J1234">
        <f t="shared" si="118"/>
        <v>338.04764464205715</v>
      </c>
      <c r="K1234">
        <f t="shared" si="119"/>
        <v>20282.858678523429</v>
      </c>
    </row>
    <row r="1235" spans="1:11" x14ac:dyDescent="0.4">
      <c r="A1235" s="19">
        <v>45886.125</v>
      </c>
      <c r="B1235" s="20">
        <f t="shared" si="115"/>
        <v>0.125</v>
      </c>
      <c r="C1235">
        <v>0</v>
      </c>
      <c r="D1235">
        <v>489.91300000000001</v>
      </c>
      <c r="E1235">
        <f t="shared" si="114"/>
        <v>489.75800000000004</v>
      </c>
      <c r="F1235">
        <v>489.54500000000002</v>
      </c>
      <c r="G1235">
        <f t="shared" si="116"/>
        <v>0.21300000000002228</v>
      </c>
      <c r="H1235">
        <v>1.82</v>
      </c>
      <c r="I1235">
        <f t="shared" si="117"/>
        <v>5.3673763453412722</v>
      </c>
      <c r="J1235">
        <f t="shared" si="118"/>
        <v>322.04258072047634</v>
      </c>
      <c r="K1235">
        <f t="shared" si="119"/>
        <v>19322.55484322858</v>
      </c>
    </row>
    <row r="1236" spans="1:11" x14ac:dyDescent="0.4">
      <c r="A1236" s="19">
        <v>45886.166666666664</v>
      </c>
      <c r="B1236" s="20">
        <f t="shared" si="115"/>
        <v>0.16666666666424135</v>
      </c>
      <c r="C1236">
        <v>0.2</v>
      </c>
      <c r="D1236">
        <v>489.90800000000002</v>
      </c>
      <c r="E1236">
        <f t="shared" si="114"/>
        <v>489.75300000000004</v>
      </c>
      <c r="F1236">
        <v>489.54500000000002</v>
      </c>
      <c r="G1236">
        <f t="shared" si="116"/>
        <v>0.20800000000002683</v>
      </c>
      <c r="H1236">
        <v>1.82</v>
      </c>
      <c r="I1236">
        <f t="shared" si="117"/>
        <v>5.1794977071073571</v>
      </c>
      <c r="J1236">
        <f t="shared" si="118"/>
        <v>310.76986242644142</v>
      </c>
      <c r="K1236">
        <f t="shared" si="119"/>
        <v>18646.191745586486</v>
      </c>
    </row>
    <row r="1237" spans="1:11" x14ac:dyDescent="0.4">
      <c r="A1237" s="19">
        <v>45886.208333333336</v>
      </c>
      <c r="B1237" s="20">
        <f t="shared" si="115"/>
        <v>0.20833333333575865</v>
      </c>
      <c r="C1237">
        <v>0</v>
      </c>
      <c r="D1237">
        <v>489.90100000000001</v>
      </c>
      <c r="E1237">
        <f t="shared" si="114"/>
        <v>489.74600000000004</v>
      </c>
      <c r="F1237">
        <v>489.54500000000002</v>
      </c>
      <c r="G1237">
        <f t="shared" si="116"/>
        <v>0.20100000000002183</v>
      </c>
      <c r="H1237">
        <v>1.82</v>
      </c>
      <c r="I1237">
        <f t="shared" si="117"/>
        <v>4.9202450017420771</v>
      </c>
      <c r="J1237">
        <f t="shared" si="118"/>
        <v>295.21470010452464</v>
      </c>
      <c r="K1237">
        <f t="shared" si="119"/>
        <v>17712.882006271477</v>
      </c>
    </row>
    <row r="1238" spans="1:11" x14ac:dyDescent="0.4">
      <c r="A1238" s="19">
        <v>45886.25</v>
      </c>
      <c r="B1238" s="20">
        <f t="shared" si="115"/>
        <v>0.25</v>
      </c>
      <c r="C1238">
        <v>0</v>
      </c>
      <c r="D1238">
        <v>489.89499999999998</v>
      </c>
      <c r="E1238">
        <f t="shared" si="114"/>
        <v>489.74</v>
      </c>
      <c r="F1238">
        <v>489.54500000000002</v>
      </c>
      <c r="G1238">
        <f t="shared" si="116"/>
        <v>0.19499999999999318</v>
      </c>
      <c r="H1238">
        <v>1.82</v>
      </c>
      <c r="I1238">
        <f t="shared" si="117"/>
        <v>4.7015878971893823</v>
      </c>
      <c r="J1238">
        <f t="shared" si="118"/>
        <v>282.09527383136293</v>
      </c>
      <c r="K1238">
        <f t="shared" si="119"/>
        <v>16925.716429881777</v>
      </c>
    </row>
    <row r="1239" spans="1:11" x14ac:dyDescent="0.4">
      <c r="A1239" s="19">
        <v>45886.291666666664</v>
      </c>
      <c r="B1239" s="20">
        <f t="shared" si="115"/>
        <v>0.29166666666424135</v>
      </c>
      <c r="C1239">
        <v>0</v>
      </c>
      <c r="D1239">
        <v>489.88900000000001</v>
      </c>
      <c r="E1239">
        <f t="shared" si="114"/>
        <v>489.73400000000004</v>
      </c>
      <c r="F1239">
        <v>489.54500000000002</v>
      </c>
      <c r="G1239">
        <f t="shared" si="116"/>
        <v>0.18900000000002137</v>
      </c>
      <c r="H1239">
        <v>1.82</v>
      </c>
      <c r="I1239">
        <f t="shared" si="117"/>
        <v>4.486269395839579</v>
      </c>
      <c r="J1239">
        <f t="shared" si="118"/>
        <v>269.17616375037471</v>
      </c>
      <c r="K1239">
        <f t="shared" si="119"/>
        <v>16150.569825022483</v>
      </c>
    </row>
    <row r="1240" spans="1:11" x14ac:dyDescent="0.4">
      <c r="A1240" s="19">
        <v>45886.333333333336</v>
      </c>
      <c r="B1240" s="20">
        <f t="shared" si="115"/>
        <v>0.33333333333575865</v>
      </c>
      <c r="C1240">
        <v>0</v>
      </c>
      <c r="D1240">
        <v>489.87599999999998</v>
      </c>
      <c r="E1240">
        <f t="shared" si="114"/>
        <v>489.721</v>
      </c>
      <c r="F1240">
        <v>489.54500000000002</v>
      </c>
      <c r="G1240">
        <f t="shared" si="116"/>
        <v>0.17599999999998772</v>
      </c>
      <c r="H1240">
        <v>1.82</v>
      </c>
      <c r="I1240">
        <f t="shared" si="117"/>
        <v>4.0314534029499329</v>
      </c>
      <c r="J1240">
        <f t="shared" si="118"/>
        <v>241.88720417699597</v>
      </c>
      <c r="K1240">
        <f t="shared" si="119"/>
        <v>14513.23225061976</v>
      </c>
    </row>
    <row r="1241" spans="1:11" x14ac:dyDescent="0.4">
      <c r="A1241" s="19">
        <v>45886.375</v>
      </c>
      <c r="B1241" s="20">
        <f t="shared" si="115"/>
        <v>0.375</v>
      </c>
      <c r="C1241">
        <v>0</v>
      </c>
      <c r="D1241">
        <v>489.86900000000003</v>
      </c>
      <c r="E1241">
        <f t="shared" si="114"/>
        <v>489.71400000000006</v>
      </c>
      <c r="F1241">
        <v>489.54500000000002</v>
      </c>
      <c r="G1241">
        <f t="shared" si="116"/>
        <v>0.16900000000003956</v>
      </c>
      <c r="H1241">
        <v>1.82</v>
      </c>
      <c r="I1241">
        <f t="shared" si="117"/>
        <v>3.7933481145882335</v>
      </c>
      <c r="J1241">
        <f t="shared" si="118"/>
        <v>227.60088687529401</v>
      </c>
      <c r="K1241">
        <f t="shared" si="119"/>
        <v>13656.05321251764</v>
      </c>
    </row>
    <row r="1242" spans="1:11" x14ac:dyDescent="0.4">
      <c r="A1242" s="19">
        <v>45886.416666666664</v>
      </c>
      <c r="B1242" s="20">
        <f t="shared" si="115"/>
        <v>0.41666666666424135</v>
      </c>
      <c r="C1242">
        <v>0</v>
      </c>
      <c r="D1242">
        <v>489.86799999999999</v>
      </c>
      <c r="E1242">
        <f t="shared" si="114"/>
        <v>489.71300000000002</v>
      </c>
      <c r="F1242">
        <v>489.54500000000002</v>
      </c>
      <c r="G1242">
        <f t="shared" si="116"/>
        <v>0.16800000000000637</v>
      </c>
      <c r="H1242">
        <v>1.82</v>
      </c>
      <c r="I1242">
        <f t="shared" si="117"/>
        <v>3.759729199439982</v>
      </c>
      <c r="J1242">
        <f t="shared" si="118"/>
        <v>225.58375196639892</v>
      </c>
      <c r="K1242">
        <f t="shared" si="119"/>
        <v>13535.025117983934</v>
      </c>
    </row>
    <row r="1243" spans="1:11" x14ac:dyDescent="0.4">
      <c r="A1243" s="19">
        <v>45886.458333333336</v>
      </c>
      <c r="B1243" s="20">
        <f t="shared" si="115"/>
        <v>0.45833333333575865</v>
      </c>
      <c r="C1243">
        <v>2.4</v>
      </c>
      <c r="D1243">
        <v>489.86200000000002</v>
      </c>
      <c r="E1243">
        <f t="shared" si="114"/>
        <v>489.70700000000005</v>
      </c>
      <c r="F1243">
        <v>489.54500000000002</v>
      </c>
      <c r="G1243">
        <f t="shared" si="116"/>
        <v>0.16200000000003456</v>
      </c>
      <c r="H1243">
        <v>1.82</v>
      </c>
      <c r="I1243">
        <f t="shared" si="117"/>
        <v>3.560124325425746</v>
      </c>
      <c r="J1243">
        <f t="shared" si="118"/>
        <v>213.60745952554475</v>
      </c>
      <c r="K1243">
        <f t="shared" si="119"/>
        <v>12816.447571532684</v>
      </c>
    </row>
    <row r="1244" spans="1:11" x14ac:dyDescent="0.4">
      <c r="A1244" s="19">
        <v>45886.5</v>
      </c>
      <c r="B1244" s="20">
        <f t="shared" si="115"/>
        <v>0.5</v>
      </c>
      <c r="C1244">
        <v>0</v>
      </c>
      <c r="D1244">
        <v>489.88099999999997</v>
      </c>
      <c r="E1244">
        <f t="shared" si="114"/>
        <v>489.726</v>
      </c>
      <c r="F1244">
        <v>489.54500000000002</v>
      </c>
      <c r="G1244">
        <f t="shared" si="116"/>
        <v>0.18099999999998317</v>
      </c>
      <c r="H1244">
        <v>1.82</v>
      </c>
      <c r="I1244">
        <f t="shared" si="117"/>
        <v>4.2044627099731864</v>
      </c>
      <c r="J1244">
        <f t="shared" si="118"/>
        <v>252.26776259839119</v>
      </c>
      <c r="K1244">
        <f t="shared" si="119"/>
        <v>15136.065755903472</v>
      </c>
    </row>
    <row r="1245" spans="1:11" x14ac:dyDescent="0.4">
      <c r="A1245" s="19">
        <v>45886.541666666664</v>
      </c>
      <c r="B1245" s="20">
        <f t="shared" si="115"/>
        <v>0.54166666666424135</v>
      </c>
      <c r="C1245">
        <v>0</v>
      </c>
      <c r="D1245">
        <v>489.89400000000001</v>
      </c>
      <c r="E1245">
        <f t="shared" si="114"/>
        <v>489.73900000000003</v>
      </c>
      <c r="F1245">
        <v>489.54500000000002</v>
      </c>
      <c r="G1245">
        <f t="shared" si="116"/>
        <v>0.19400000000001683</v>
      </c>
      <c r="H1245">
        <v>1.82</v>
      </c>
      <c r="I1245">
        <f t="shared" si="117"/>
        <v>4.665468242893275</v>
      </c>
      <c r="J1245">
        <f t="shared" si="118"/>
        <v>279.92809457359652</v>
      </c>
      <c r="K1245">
        <f t="shared" si="119"/>
        <v>16795.685674415789</v>
      </c>
    </row>
    <row r="1246" spans="1:11" x14ac:dyDescent="0.4">
      <c r="A1246" s="19">
        <v>45886.583333333336</v>
      </c>
      <c r="B1246" s="20">
        <f t="shared" si="115"/>
        <v>0.58333333333575865</v>
      </c>
      <c r="C1246">
        <v>0</v>
      </c>
      <c r="D1246">
        <v>489.9</v>
      </c>
      <c r="E1246">
        <f t="shared" si="114"/>
        <v>489.745</v>
      </c>
      <c r="F1246">
        <v>489.54500000000002</v>
      </c>
      <c r="G1246">
        <f t="shared" si="116"/>
        <v>0.19999999999998863</v>
      </c>
      <c r="H1246">
        <v>1.82</v>
      </c>
      <c r="I1246">
        <f t="shared" si="117"/>
        <v>4.8835724628591253</v>
      </c>
      <c r="J1246">
        <f t="shared" si="118"/>
        <v>293.01434777154753</v>
      </c>
      <c r="K1246">
        <f t="shared" si="119"/>
        <v>17580.860866292849</v>
      </c>
    </row>
    <row r="1247" spans="1:11" x14ac:dyDescent="0.4">
      <c r="A1247" s="19">
        <v>45886.625</v>
      </c>
      <c r="B1247" s="20">
        <f t="shared" si="115"/>
        <v>0.625</v>
      </c>
      <c r="C1247">
        <v>0</v>
      </c>
      <c r="D1247">
        <v>489.89400000000001</v>
      </c>
      <c r="E1247">
        <f t="shared" si="114"/>
        <v>489.73900000000003</v>
      </c>
      <c r="F1247">
        <v>489.54500000000002</v>
      </c>
      <c r="G1247">
        <f t="shared" si="116"/>
        <v>0.19400000000001683</v>
      </c>
      <c r="H1247">
        <v>1.82</v>
      </c>
      <c r="I1247">
        <f t="shared" si="117"/>
        <v>4.665468242893275</v>
      </c>
      <c r="J1247">
        <f t="shared" si="118"/>
        <v>279.92809457359652</v>
      </c>
      <c r="K1247">
        <f t="shared" si="119"/>
        <v>16795.685674415789</v>
      </c>
    </row>
    <row r="1248" spans="1:11" x14ac:dyDescent="0.4">
      <c r="A1248" s="19">
        <v>45886.666666666664</v>
      </c>
      <c r="B1248" s="20">
        <f t="shared" si="115"/>
        <v>0.66666666666424135</v>
      </c>
      <c r="C1248">
        <v>2.2000000000000002</v>
      </c>
      <c r="D1248">
        <v>489.89400000000001</v>
      </c>
      <c r="E1248">
        <f t="shared" si="114"/>
        <v>489.73900000000003</v>
      </c>
      <c r="F1248">
        <v>489.54500000000002</v>
      </c>
      <c r="G1248">
        <f t="shared" si="116"/>
        <v>0.19400000000001683</v>
      </c>
      <c r="H1248">
        <v>1.82</v>
      </c>
      <c r="I1248">
        <f t="shared" si="117"/>
        <v>4.665468242893275</v>
      </c>
      <c r="J1248">
        <f t="shared" si="118"/>
        <v>279.92809457359652</v>
      </c>
      <c r="K1248">
        <f t="shared" si="119"/>
        <v>16795.685674415789</v>
      </c>
    </row>
    <row r="1249" spans="1:11" x14ac:dyDescent="0.4">
      <c r="A1249" s="19">
        <v>45886.708333333336</v>
      </c>
      <c r="B1249" s="20">
        <f t="shared" si="115"/>
        <v>0.70833333333575865</v>
      </c>
      <c r="C1249">
        <v>0</v>
      </c>
      <c r="D1249">
        <v>489.89400000000001</v>
      </c>
      <c r="E1249">
        <f t="shared" si="114"/>
        <v>489.73900000000003</v>
      </c>
      <c r="F1249">
        <v>489.54500000000002</v>
      </c>
      <c r="G1249">
        <f t="shared" si="116"/>
        <v>0.19400000000001683</v>
      </c>
      <c r="H1249">
        <v>1.82</v>
      </c>
      <c r="I1249">
        <f t="shared" si="117"/>
        <v>4.665468242893275</v>
      </c>
      <c r="J1249">
        <f t="shared" si="118"/>
        <v>279.92809457359652</v>
      </c>
      <c r="K1249">
        <f t="shared" si="119"/>
        <v>16795.685674415789</v>
      </c>
    </row>
    <row r="1250" spans="1:11" x14ac:dyDescent="0.4">
      <c r="A1250" s="19">
        <v>45886.75</v>
      </c>
      <c r="B1250" s="20">
        <f t="shared" si="115"/>
        <v>0.75</v>
      </c>
      <c r="C1250">
        <v>0</v>
      </c>
      <c r="D1250">
        <v>489.89499999999998</v>
      </c>
      <c r="E1250">
        <f t="shared" si="114"/>
        <v>489.74</v>
      </c>
      <c r="F1250">
        <v>489.54500000000002</v>
      </c>
      <c r="G1250">
        <f t="shared" si="116"/>
        <v>0.19499999999999318</v>
      </c>
      <c r="H1250">
        <v>1.82</v>
      </c>
      <c r="I1250">
        <f t="shared" si="117"/>
        <v>4.7015878971893823</v>
      </c>
      <c r="J1250">
        <f t="shared" si="118"/>
        <v>282.09527383136293</v>
      </c>
      <c r="K1250">
        <f t="shared" si="119"/>
        <v>16925.716429881777</v>
      </c>
    </row>
    <row r="1251" spans="1:11" x14ac:dyDescent="0.4">
      <c r="A1251" s="19">
        <v>45886.791666666664</v>
      </c>
      <c r="B1251" s="20">
        <f t="shared" si="115"/>
        <v>0.79166666666424135</v>
      </c>
      <c r="C1251">
        <v>0</v>
      </c>
      <c r="D1251">
        <v>489.88900000000001</v>
      </c>
      <c r="E1251">
        <f t="shared" si="114"/>
        <v>489.73400000000004</v>
      </c>
      <c r="F1251">
        <v>489.54500000000002</v>
      </c>
      <c r="G1251">
        <f t="shared" si="116"/>
        <v>0.18900000000002137</v>
      </c>
      <c r="H1251">
        <v>1.82</v>
      </c>
      <c r="I1251">
        <f t="shared" si="117"/>
        <v>4.486269395839579</v>
      </c>
      <c r="J1251">
        <f t="shared" si="118"/>
        <v>269.17616375037471</v>
      </c>
      <c r="K1251">
        <f t="shared" si="119"/>
        <v>16150.569825022483</v>
      </c>
    </row>
    <row r="1252" spans="1:11" x14ac:dyDescent="0.4">
      <c r="A1252" s="19">
        <v>45886.833333333336</v>
      </c>
      <c r="B1252" s="20">
        <f t="shared" si="115"/>
        <v>0.83333333333575865</v>
      </c>
      <c r="C1252">
        <v>0</v>
      </c>
      <c r="D1252">
        <v>489.88799999999998</v>
      </c>
      <c r="E1252">
        <f t="shared" si="114"/>
        <v>489.733</v>
      </c>
      <c r="F1252">
        <v>489.54500000000002</v>
      </c>
      <c r="G1252">
        <f t="shared" si="116"/>
        <v>0.18799999999998818</v>
      </c>
      <c r="H1252">
        <v>1.82</v>
      </c>
      <c r="I1252">
        <f t="shared" si="117"/>
        <v>4.4507112217617841</v>
      </c>
      <c r="J1252">
        <f t="shared" si="118"/>
        <v>267.04267330570707</v>
      </c>
      <c r="K1252">
        <f t="shared" si="119"/>
        <v>16022.560398342423</v>
      </c>
    </row>
    <row r="1253" spans="1:11" x14ac:dyDescent="0.4">
      <c r="A1253" s="19">
        <v>45886.875</v>
      </c>
      <c r="B1253" s="20">
        <f t="shared" si="115"/>
        <v>0.875</v>
      </c>
      <c r="C1253">
        <v>0</v>
      </c>
      <c r="D1253">
        <v>489.88099999999997</v>
      </c>
      <c r="E1253">
        <f t="shared" si="114"/>
        <v>489.726</v>
      </c>
      <c r="F1253">
        <v>489.54500000000002</v>
      </c>
      <c r="G1253">
        <f t="shared" si="116"/>
        <v>0.18099999999998317</v>
      </c>
      <c r="H1253">
        <v>1.82</v>
      </c>
      <c r="I1253">
        <f t="shared" si="117"/>
        <v>4.2044627099731864</v>
      </c>
      <c r="J1253">
        <f t="shared" si="118"/>
        <v>252.26776259839119</v>
      </c>
      <c r="K1253">
        <f t="shared" si="119"/>
        <v>15136.065755903472</v>
      </c>
    </row>
    <row r="1254" spans="1:11" x14ac:dyDescent="0.4">
      <c r="A1254" s="19">
        <v>45886.916666666664</v>
      </c>
      <c r="B1254" s="20">
        <f t="shared" si="115"/>
        <v>0.91666666666424135</v>
      </c>
      <c r="C1254">
        <v>0</v>
      </c>
      <c r="D1254">
        <v>489.87599999999998</v>
      </c>
      <c r="E1254">
        <f t="shared" si="114"/>
        <v>489.721</v>
      </c>
      <c r="F1254">
        <v>489.54500000000002</v>
      </c>
      <c r="G1254">
        <f t="shared" si="116"/>
        <v>0.17599999999998772</v>
      </c>
      <c r="H1254">
        <v>1.82</v>
      </c>
      <c r="I1254">
        <f t="shared" si="117"/>
        <v>4.0314534029499329</v>
      </c>
      <c r="J1254">
        <f t="shared" si="118"/>
        <v>241.88720417699597</v>
      </c>
      <c r="K1254">
        <f t="shared" si="119"/>
        <v>14513.23225061976</v>
      </c>
    </row>
    <row r="1255" spans="1:11" x14ac:dyDescent="0.4">
      <c r="A1255" s="19">
        <v>45886.958333333336</v>
      </c>
      <c r="B1255" s="20">
        <f t="shared" si="115"/>
        <v>0.95833333333575865</v>
      </c>
      <c r="C1255">
        <v>0</v>
      </c>
      <c r="D1255">
        <v>489.875</v>
      </c>
      <c r="E1255">
        <f t="shared" si="114"/>
        <v>489.72</v>
      </c>
      <c r="F1255">
        <v>489.54500000000002</v>
      </c>
      <c r="G1255">
        <f t="shared" si="116"/>
        <v>0.17500000000001137</v>
      </c>
      <c r="H1255">
        <v>1.82</v>
      </c>
      <c r="I1255">
        <f t="shared" si="117"/>
        <v>3.9971432767669373</v>
      </c>
      <c r="J1255">
        <f t="shared" si="118"/>
        <v>239.82859660601625</v>
      </c>
      <c r="K1255">
        <f t="shared" si="119"/>
        <v>14389.715796360973</v>
      </c>
    </row>
    <row r="1256" spans="1:11" x14ac:dyDescent="0.4">
      <c r="A1256" s="19">
        <v>45887</v>
      </c>
      <c r="B1256" s="20">
        <f t="shared" si="115"/>
        <v>0</v>
      </c>
      <c r="C1256">
        <v>0</v>
      </c>
      <c r="D1256">
        <v>489.86900000000003</v>
      </c>
      <c r="E1256">
        <f t="shared" si="114"/>
        <v>489.71400000000006</v>
      </c>
      <c r="F1256">
        <v>489.54500000000002</v>
      </c>
      <c r="G1256">
        <f t="shared" si="116"/>
        <v>0.16900000000003956</v>
      </c>
      <c r="H1256">
        <v>1.82</v>
      </c>
      <c r="I1256">
        <f t="shared" si="117"/>
        <v>3.7933481145882335</v>
      </c>
      <c r="J1256">
        <f t="shared" si="118"/>
        <v>227.60088687529401</v>
      </c>
      <c r="K1256">
        <f t="shared" si="119"/>
        <v>13656.05321251764</v>
      </c>
    </row>
    <row r="1257" spans="1:11" x14ac:dyDescent="0.4">
      <c r="A1257" s="19">
        <v>45887.041666666664</v>
      </c>
      <c r="B1257" s="20">
        <f t="shared" si="115"/>
        <v>4.1666666664241347E-2</v>
      </c>
      <c r="C1257">
        <v>0</v>
      </c>
      <c r="D1257">
        <v>489.86200000000002</v>
      </c>
      <c r="E1257">
        <f t="shared" si="114"/>
        <v>489.70700000000005</v>
      </c>
      <c r="F1257">
        <v>489.54500000000002</v>
      </c>
      <c r="G1257">
        <f t="shared" si="116"/>
        <v>0.16200000000003456</v>
      </c>
      <c r="H1257">
        <v>1.82</v>
      </c>
      <c r="I1257">
        <f t="shared" si="117"/>
        <v>3.560124325425746</v>
      </c>
      <c r="J1257">
        <f t="shared" si="118"/>
        <v>213.60745952554475</v>
      </c>
      <c r="K1257">
        <f t="shared" si="119"/>
        <v>12816.447571532684</v>
      </c>
    </row>
    <row r="1258" spans="1:11" x14ac:dyDescent="0.4">
      <c r="A1258" s="19">
        <v>45887.083333333336</v>
      </c>
      <c r="B1258" s="20">
        <f t="shared" si="115"/>
        <v>8.3333333335758653E-2</v>
      </c>
      <c r="C1258">
        <v>0</v>
      </c>
      <c r="D1258">
        <v>489.86200000000002</v>
      </c>
      <c r="E1258">
        <f t="shared" si="114"/>
        <v>489.70700000000005</v>
      </c>
      <c r="F1258">
        <v>489.54500000000002</v>
      </c>
      <c r="G1258">
        <f t="shared" si="116"/>
        <v>0.16200000000003456</v>
      </c>
      <c r="H1258">
        <v>1.82</v>
      </c>
      <c r="I1258">
        <f t="shared" si="117"/>
        <v>3.560124325425746</v>
      </c>
      <c r="J1258">
        <f t="shared" si="118"/>
        <v>213.60745952554475</v>
      </c>
      <c r="K1258">
        <f t="shared" si="119"/>
        <v>12816.447571532684</v>
      </c>
    </row>
    <row r="1259" spans="1:11" x14ac:dyDescent="0.4">
      <c r="A1259" s="19">
        <v>45887.125</v>
      </c>
      <c r="B1259" s="20">
        <f t="shared" si="115"/>
        <v>0.125</v>
      </c>
      <c r="C1259">
        <v>0</v>
      </c>
      <c r="D1259">
        <v>489.85500000000002</v>
      </c>
      <c r="E1259">
        <f t="shared" si="114"/>
        <v>489.70000000000005</v>
      </c>
      <c r="F1259">
        <v>489.54500000000002</v>
      </c>
      <c r="G1259">
        <f t="shared" si="116"/>
        <v>0.15500000000002956</v>
      </c>
      <c r="H1259">
        <v>1.82</v>
      </c>
      <c r="I1259">
        <f t="shared" si="117"/>
        <v>3.3318864318890511</v>
      </c>
      <c r="J1259">
        <f t="shared" si="118"/>
        <v>199.91318591334306</v>
      </c>
      <c r="K1259">
        <f t="shared" si="119"/>
        <v>11994.791154800585</v>
      </c>
    </row>
    <row r="1260" spans="1:11" x14ac:dyDescent="0.4">
      <c r="A1260" s="19">
        <v>45887.166666666664</v>
      </c>
      <c r="B1260" s="20">
        <f t="shared" si="115"/>
        <v>0.16666666666424135</v>
      </c>
      <c r="C1260">
        <v>0</v>
      </c>
      <c r="D1260">
        <v>489.85500000000002</v>
      </c>
      <c r="E1260">
        <f t="shared" si="114"/>
        <v>489.70000000000005</v>
      </c>
      <c r="F1260">
        <v>489.54500000000002</v>
      </c>
      <c r="G1260">
        <f t="shared" si="116"/>
        <v>0.15500000000002956</v>
      </c>
      <c r="H1260">
        <v>1.82</v>
      </c>
      <c r="I1260">
        <f t="shared" si="117"/>
        <v>3.3318864318890511</v>
      </c>
      <c r="J1260">
        <f t="shared" si="118"/>
        <v>199.91318591334306</v>
      </c>
      <c r="K1260">
        <f t="shared" si="119"/>
        <v>11994.791154800585</v>
      </c>
    </row>
    <row r="1261" spans="1:11" x14ac:dyDescent="0.4">
      <c r="A1261" s="19">
        <v>45887.208333333336</v>
      </c>
      <c r="B1261" s="20">
        <f t="shared" si="115"/>
        <v>0.20833333333575865</v>
      </c>
      <c r="C1261">
        <v>0</v>
      </c>
      <c r="D1261">
        <v>489.84800000000001</v>
      </c>
      <c r="E1261">
        <f t="shared" si="114"/>
        <v>489.69300000000004</v>
      </c>
      <c r="F1261">
        <v>489.54500000000002</v>
      </c>
      <c r="G1261">
        <f t="shared" si="116"/>
        <v>0.14800000000002456</v>
      </c>
      <c r="H1261">
        <v>1.82</v>
      </c>
      <c r="I1261">
        <f t="shared" si="117"/>
        <v>3.1087458305118498</v>
      </c>
      <c r="J1261">
        <f t="shared" si="118"/>
        <v>186.52474983071099</v>
      </c>
      <c r="K1261">
        <f t="shared" si="119"/>
        <v>11191.48498984266</v>
      </c>
    </row>
    <row r="1262" spans="1:11" x14ac:dyDescent="0.4">
      <c r="A1262" s="19">
        <v>45887.25</v>
      </c>
      <c r="B1262" s="20">
        <f t="shared" si="115"/>
        <v>0.25</v>
      </c>
      <c r="C1262">
        <v>0</v>
      </c>
      <c r="D1262">
        <v>489.84199999999998</v>
      </c>
      <c r="E1262">
        <f t="shared" si="114"/>
        <v>489.68700000000001</v>
      </c>
      <c r="F1262">
        <v>489.54500000000002</v>
      </c>
      <c r="G1262">
        <f t="shared" si="116"/>
        <v>0.14199999999999591</v>
      </c>
      <c r="H1262">
        <v>1.82</v>
      </c>
      <c r="I1262">
        <f t="shared" si="117"/>
        <v>2.9216296230150851</v>
      </c>
      <c r="J1262">
        <f t="shared" si="118"/>
        <v>175.2977773809051</v>
      </c>
      <c r="K1262">
        <f t="shared" si="119"/>
        <v>10517.866642854306</v>
      </c>
    </row>
    <row r="1263" spans="1:11" x14ac:dyDescent="0.4">
      <c r="A1263" s="19">
        <v>45887.291666666664</v>
      </c>
      <c r="B1263" s="20">
        <f t="shared" si="115"/>
        <v>0.29166666666424135</v>
      </c>
      <c r="C1263">
        <v>0</v>
      </c>
      <c r="D1263">
        <v>489.83499999999998</v>
      </c>
      <c r="E1263">
        <f t="shared" si="114"/>
        <v>489.68</v>
      </c>
      <c r="F1263">
        <v>489.54500000000002</v>
      </c>
      <c r="G1263">
        <f t="shared" si="116"/>
        <v>0.13499999999999091</v>
      </c>
      <c r="H1263">
        <v>1.82</v>
      </c>
      <c r="I1263">
        <f t="shared" si="117"/>
        <v>2.7082783341079475</v>
      </c>
      <c r="J1263">
        <f t="shared" si="118"/>
        <v>162.49670004647686</v>
      </c>
      <c r="K1263">
        <f t="shared" si="119"/>
        <v>9749.8020027886105</v>
      </c>
    </row>
    <row r="1264" spans="1:11" x14ac:dyDescent="0.4">
      <c r="A1264" s="19">
        <v>45887.333333333336</v>
      </c>
      <c r="B1264" s="20">
        <f t="shared" si="115"/>
        <v>0.33333333333575865</v>
      </c>
      <c r="C1264">
        <v>0</v>
      </c>
      <c r="D1264">
        <v>489.83499999999998</v>
      </c>
      <c r="E1264">
        <f t="shared" si="114"/>
        <v>489.68</v>
      </c>
      <c r="F1264">
        <v>489.54500000000002</v>
      </c>
      <c r="G1264">
        <f t="shared" si="116"/>
        <v>0.13499999999999091</v>
      </c>
      <c r="H1264">
        <v>1.82</v>
      </c>
      <c r="I1264">
        <f t="shared" si="117"/>
        <v>2.7082783341079475</v>
      </c>
      <c r="J1264">
        <f t="shared" si="118"/>
        <v>162.49670004647686</v>
      </c>
      <c r="K1264">
        <f t="shared" si="119"/>
        <v>9749.8020027886105</v>
      </c>
    </row>
    <row r="1265" spans="1:11" x14ac:dyDescent="0.4">
      <c r="A1265" s="19">
        <v>45887.375</v>
      </c>
      <c r="B1265" s="20">
        <f t="shared" si="115"/>
        <v>0.375</v>
      </c>
      <c r="C1265">
        <v>0</v>
      </c>
      <c r="D1265">
        <v>489.82900000000001</v>
      </c>
      <c r="E1265">
        <f t="shared" si="114"/>
        <v>489.67400000000004</v>
      </c>
      <c r="F1265">
        <v>489.54500000000002</v>
      </c>
      <c r="G1265">
        <f t="shared" si="116"/>
        <v>0.1290000000000191</v>
      </c>
      <c r="H1265">
        <v>1.82</v>
      </c>
      <c r="I1265">
        <f t="shared" si="117"/>
        <v>2.5297476908266638</v>
      </c>
      <c r="J1265">
        <f t="shared" si="118"/>
        <v>151.78486144959982</v>
      </c>
      <c r="K1265">
        <f t="shared" si="119"/>
        <v>9107.0916869759894</v>
      </c>
    </row>
    <row r="1266" spans="1:11" x14ac:dyDescent="0.4">
      <c r="A1266" s="19">
        <v>45887.416666666664</v>
      </c>
      <c r="B1266" s="20">
        <f t="shared" si="115"/>
        <v>0.41666666666424135</v>
      </c>
      <c r="C1266">
        <v>0</v>
      </c>
      <c r="D1266">
        <v>489.82900000000001</v>
      </c>
      <c r="E1266">
        <f t="shared" si="114"/>
        <v>489.67400000000004</v>
      </c>
      <c r="F1266">
        <v>489.54500000000002</v>
      </c>
      <c r="G1266">
        <f t="shared" si="116"/>
        <v>0.1290000000000191</v>
      </c>
      <c r="H1266">
        <v>1.82</v>
      </c>
      <c r="I1266">
        <f t="shared" si="117"/>
        <v>2.5297476908266638</v>
      </c>
      <c r="J1266">
        <f t="shared" si="118"/>
        <v>151.78486144959982</v>
      </c>
      <c r="K1266">
        <f t="shared" si="119"/>
        <v>9107.0916869759894</v>
      </c>
    </row>
    <row r="1267" spans="1:11" x14ac:dyDescent="0.4">
      <c r="A1267" s="19">
        <v>45887.458333333336</v>
      </c>
      <c r="B1267" s="20">
        <f t="shared" si="115"/>
        <v>0.45833333333575865</v>
      </c>
      <c r="C1267">
        <v>0</v>
      </c>
      <c r="D1267">
        <v>489.82799999999997</v>
      </c>
      <c r="E1267">
        <f t="shared" si="114"/>
        <v>489.673</v>
      </c>
      <c r="F1267">
        <v>489.54500000000002</v>
      </c>
      <c r="G1267">
        <f t="shared" si="116"/>
        <v>0.1279999999999859</v>
      </c>
      <c r="H1267">
        <v>1.82</v>
      </c>
      <c r="I1267">
        <f t="shared" si="117"/>
        <v>2.5003891009836718</v>
      </c>
      <c r="J1267">
        <f t="shared" si="118"/>
        <v>150.0233460590203</v>
      </c>
      <c r="K1267">
        <f t="shared" si="119"/>
        <v>9001.4007635412181</v>
      </c>
    </row>
    <row r="1268" spans="1:11" x14ac:dyDescent="0.4">
      <c r="A1268" s="19">
        <v>45887.5</v>
      </c>
      <c r="B1268" s="20">
        <f t="shared" si="115"/>
        <v>0.5</v>
      </c>
      <c r="C1268">
        <v>0</v>
      </c>
      <c r="D1268">
        <v>489.822</v>
      </c>
      <c r="E1268">
        <f t="shared" si="114"/>
        <v>489.66700000000003</v>
      </c>
      <c r="F1268">
        <v>489.54500000000002</v>
      </c>
      <c r="G1268">
        <f t="shared" si="116"/>
        <v>0.1220000000000141</v>
      </c>
      <c r="H1268">
        <v>1.82</v>
      </c>
      <c r="I1268">
        <f t="shared" si="117"/>
        <v>2.3266571349646425</v>
      </c>
      <c r="J1268">
        <f t="shared" si="118"/>
        <v>139.59942809787856</v>
      </c>
      <c r="K1268">
        <f t="shared" si="119"/>
        <v>8375.9656858727121</v>
      </c>
    </row>
    <row r="1269" spans="1:11" x14ac:dyDescent="0.4">
      <c r="A1269" s="19">
        <v>45887.541666666664</v>
      </c>
      <c r="B1269" s="20">
        <f t="shared" si="115"/>
        <v>0.54166666666424135</v>
      </c>
      <c r="C1269">
        <v>0</v>
      </c>
      <c r="D1269">
        <v>489.81599999999997</v>
      </c>
      <c r="E1269">
        <f t="shared" si="114"/>
        <v>489.661</v>
      </c>
      <c r="F1269">
        <v>489.54500000000002</v>
      </c>
      <c r="G1269">
        <f t="shared" si="116"/>
        <v>0.11599999999998545</v>
      </c>
      <c r="H1269">
        <v>1.82</v>
      </c>
      <c r="I1269">
        <f t="shared" si="117"/>
        <v>2.1571464297442224</v>
      </c>
      <c r="J1269">
        <f t="shared" si="118"/>
        <v>129.42878578465334</v>
      </c>
      <c r="K1269">
        <f t="shared" si="119"/>
        <v>7765.7271470792002</v>
      </c>
    </row>
    <row r="1270" spans="1:11" x14ac:dyDescent="0.4">
      <c r="A1270" s="19">
        <v>45887.583333333336</v>
      </c>
      <c r="B1270" s="20">
        <f t="shared" si="115"/>
        <v>0.58333333333575865</v>
      </c>
      <c r="C1270">
        <v>0</v>
      </c>
      <c r="D1270">
        <v>489.81599999999997</v>
      </c>
      <c r="E1270">
        <f t="shared" si="114"/>
        <v>489.661</v>
      </c>
      <c r="F1270">
        <v>489.54500000000002</v>
      </c>
      <c r="G1270">
        <f t="shared" si="116"/>
        <v>0.11599999999998545</v>
      </c>
      <c r="H1270">
        <v>1.82</v>
      </c>
      <c r="I1270">
        <f t="shared" si="117"/>
        <v>2.1571464297442224</v>
      </c>
      <c r="J1270">
        <f t="shared" si="118"/>
        <v>129.42878578465334</v>
      </c>
      <c r="K1270">
        <f t="shared" si="119"/>
        <v>7765.7271470792002</v>
      </c>
    </row>
    <row r="1271" spans="1:11" x14ac:dyDescent="0.4">
      <c r="A1271" s="19">
        <v>45887.625</v>
      </c>
      <c r="B1271" s="20">
        <f t="shared" si="115"/>
        <v>0.625</v>
      </c>
      <c r="C1271">
        <v>0</v>
      </c>
      <c r="D1271">
        <v>489.81</v>
      </c>
      <c r="E1271">
        <f t="shared" si="114"/>
        <v>489.65500000000003</v>
      </c>
      <c r="F1271">
        <v>489.54500000000002</v>
      </c>
      <c r="G1271">
        <f t="shared" si="116"/>
        <v>0.11000000000001364</v>
      </c>
      <c r="H1271">
        <v>1.82</v>
      </c>
      <c r="I1271">
        <f t="shared" si="117"/>
        <v>1.9919648490878239</v>
      </c>
      <c r="J1271">
        <f t="shared" si="118"/>
        <v>119.51789094526943</v>
      </c>
      <c r="K1271">
        <f t="shared" si="119"/>
        <v>7171.0734567161662</v>
      </c>
    </row>
    <row r="1272" spans="1:11" x14ac:dyDescent="0.4">
      <c r="A1272" s="19">
        <v>45887.666666666664</v>
      </c>
      <c r="B1272" s="20">
        <f t="shared" si="115"/>
        <v>0.66666666666424135</v>
      </c>
      <c r="C1272">
        <v>0</v>
      </c>
      <c r="D1272">
        <v>489.81</v>
      </c>
      <c r="E1272">
        <f t="shared" si="114"/>
        <v>489.65500000000003</v>
      </c>
      <c r="F1272">
        <v>489.54500000000002</v>
      </c>
      <c r="G1272">
        <f t="shared" si="116"/>
        <v>0.11000000000001364</v>
      </c>
      <c r="H1272">
        <v>1.82</v>
      </c>
      <c r="I1272">
        <f t="shared" si="117"/>
        <v>1.9919648490878239</v>
      </c>
      <c r="J1272">
        <f t="shared" si="118"/>
        <v>119.51789094526943</v>
      </c>
      <c r="K1272">
        <f t="shared" si="119"/>
        <v>7171.0734567161662</v>
      </c>
    </row>
    <row r="1273" spans="1:11" x14ac:dyDescent="0.4">
      <c r="A1273" s="19">
        <v>45887.708333333336</v>
      </c>
      <c r="B1273" s="20">
        <f t="shared" si="115"/>
        <v>0.70833333333575865</v>
      </c>
      <c r="C1273">
        <v>0</v>
      </c>
      <c r="D1273">
        <v>489.81</v>
      </c>
      <c r="E1273">
        <f t="shared" si="114"/>
        <v>489.65500000000003</v>
      </c>
      <c r="F1273">
        <v>489.54500000000002</v>
      </c>
      <c r="G1273">
        <f t="shared" si="116"/>
        <v>0.11000000000001364</v>
      </c>
      <c r="H1273">
        <v>1.82</v>
      </c>
      <c r="I1273">
        <f t="shared" si="117"/>
        <v>1.9919648490878239</v>
      </c>
      <c r="J1273">
        <f t="shared" si="118"/>
        <v>119.51789094526943</v>
      </c>
      <c r="K1273">
        <f t="shared" si="119"/>
        <v>7171.0734567161662</v>
      </c>
    </row>
    <row r="1274" spans="1:11" x14ac:dyDescent="0.4">
      <c r="A1274" s="19">
        <v>45887.75</v>
      </c>
      <c r="B1274" s="20">
        <f t="shared" si="115"/>
        <v>0.75</v>
      </c>
      <c r="C1274">
        <v>0</v>
      </c>
      <c r="D1274">
        <v>489.803</v>
      </c>
      <c r="E1274">
        <f t="shared" si="114"/>
        <v>489.64800000000002</v>
      </c>
      <c r="F1274">
        <v>489.54500000000002</v>
      </c>
      <c r="G1274">
        <f t="shared" si="116"/>
        <v>0.10300000000000864</v>
      </c>
      <c r="H1274">
        <v>1.82</v>
      </c>
      <c r="I1274">
        <f t="shared" si="117"/>
        <v>1.8048806119300023</v>
      </c>
      <c r="J1274">
        <f t="shared" si="118"/>
        <v>108.29283671580014</v>
      </c>
      <c r="K1274">
        <f t="shared" si="119"/>
        <v>6497.570202948008</v>
      </c>
    </row>
    <row r="1275" spans="1:11" x14ac:dyDescent="0.4">
      <c r="A1275" s="19">
        <v>45887.791666666664</v>
      </c>
      <c r="B1275" s="20">
        <f t="shared" si="115"/>
        <v>0.79166666666424135</v>
      </c>
      <c r="C1275">
        <v>0</v>
      </c>
      <c r="D1275">
        <v>489.79700000000003</v>
      </c>
      <c r="E1275">
        <f t="shared" si="114"/>
        <v>489.64200000000005</v>
      </c>
      <c r="F1275">
        <v>489.54500000000002</v>
      </c>
      <c r="G1275">
        <f t="shared" si="116"/>
        <v>9.7000000000036835E-2</v>
      </c>
      <c r="H1275">
        <v>1.82</v>
      </c>
      <c r="I1275">
        <f t="shared" si="117"/>
        <v>1.649492115980886</v>
      </c>
      <c r="J1275">
        <f t="shared" si="118"/>
        <v>98.969526958853152</v>
      </c>
      <c r="K1275">
        <f t="shared" si="119"/>
        <v>5938.1716175311894</v>
      </c>
    </row>
    <row r="1276" spans="1:11" x14ac:dyDescent="0.4">
      <c r="A1276" s="19">
        <v>45887.833333333336</v>
      </c>
      <c r="B1276" s="20">
        <f t="shared" si="115"/>
        <v>0.83333333333575865</v>
      </c>
      <c r="C1276">
        <v>0</v>
      </c>
      <c r="D1276">
        <v>489.791</v>
      </c>
      <c r="E1276">
        <f t="shared" si="114"/>
        <v>489.63600000000002</v>
      </c>
      <c r="F1276">
        <v>489.54500000000002</v>
      </c>
      <c r="G1276">
        <f t="shared" si="116"/>
        <v>9.1000000000008185E-2</v>
      </c>
      <c r="H1276">
        <v>1.82</v>
      </c>
      <c r="I1276">
        <f t="shared" si="117"/>
        <v>1.4988381241350268</v>
      </c>
      <c r="J1276">
        <f t="shared" si="118"/>
        <v>89.930287448101609</v>
      </c>
      <c r="K1276">
        <f t="shared" si="119"/>
        <v>5395.8172468860967</v>
      </c>
    </row>
    <row r="1277" spans="1:11" x14ac:dyDescent="0.4">
      <c r="A1277" s="19">
        <v>45887.875</v>
      </c>
      <c r="B1277" s="20">
        <f t="shared" si="115"/>
        <v>0.875</v>
      </c>
      <c r="C1277">
        <v>0</v>
      </c>
      <c r="D1277">
        <v>489.79199999999997</v>
      </c>
      <c r="E1277">
        <f t="shared" si="114"/>
        <v>489.637</v>
      </c>
      <c r="F1277">
        <v>489.54500000000002</v>
      </c>
      <c r="G1277">
        <f t="shared" si="116"/>
        <v>9.1999999999984539E-2</v>
      </c>
      <c r="H1277">
        <v>1.82</v>
      </c>
      <c r="I1277">
        <f t="shared" si="117"/>
        <v>1.5236119972220066</v>
      </c>
      <c r="J1277">
        <f t="shared" si="118"/>
        <v>91.4167198333204</v>
      </c>
      <c r="K1277">
        <f t="shared" si="119"/>
        <v>5485.0031899992237</v>
      </c>
    </row>
    <row r="1278" spans="1:11" x14ac:dyDescent="0.4">
      <c r="A1278" s="19">
        <v>45887.916666666664</v>
      </c>
      <c r="B1278" s="20">
        <f t="shared" si="115"/>
        <v>0.91666666666424135</v>
      </c>
      <c r="C1278">
        <v>0</v>
      </c>
      <c r="D1278">
        <v>489.791</v>
      </c>
      <c r="E1278">
        <f t="shared" si="114"/>
        <v>489.63600000000002</v>
      </c>
      <c r="F1278">
        <v>489.54500000000002</v>
      </c>
      <c r="G1278">
        <f t="shared" si="116"/>
        <v>9.1000000000008185E-2</v>
      </c>
      <c r="H1278">
        <v>1.82</v>
      </c>
      <c r="I1278">
        <f t="shared" si="117"/>
        <v>1.4988381241350268</v>
      </c>
      <c r="J1278">
        <f t="shared" si="118"/>
        <v>89.930287448101609</v>
      </c>
      <c r="K1278">
        <f t="shared" si="119"/>
        <v>5395.8172468860967</v>
      </c>
    </row>
    <row r="1279" spans="1:11" x14ac:dyDescent="0.4">
      <c r="A1279" s="19">
        <v>45887.958333333336</v>
      </c>
      <c r="B1279" s="20">
        <f t="shared" si="115"/>
        <v>0.95833333333575865</v>
      </c>
      <c r="C1279">
        <v>0</v>
      </c>
      <c r="D1279">
        <v>489.78500000000003</v>
      </c>
      <c r="E1279">
        <f t="shared" si="114"/>
        <v>489.63000000000005</v>
      </c>
      <c r="F1279">
        <v>489.54500000000002</v>
      </c>
      <c r="G1279">
        <f t="shared" si="116"/>
        <v>8.500000000003638E-2</v>
      </c>
      <c r="H1279">
        <v>1.82</v>
      </c>
      <c r="I1279">
        <f t="shared" si="117"/>
        <v>1.3530723871997206</v>
      </c>
      <c r="J1279">
        <f t="shared" si="118"/>
        <v>81.184343231983235</v>
      </c>
      <c r="K1279">
        <f t="shared" si="119"/>
        <v>4871.0605939189945</v>
      </c>
    </row>
    <row r="1280" spans="1:11" x14ac:dyDescent="0.4">
      <c r="A1280" s="19">
        <v>45888</v>
      </c>
      <c r="B1280" s="20">
        <f t="shared" si="115"/>
        <v>0</v>
      </c>
      <c r="C1280">
        <v>0</v>
      </c>
      <c r="D1280">
        <v>489.78500000000003</v>
      </c>
      <c r="E1280">
        <f t="shared" si="114"/>
        <v>489.63000000000005</v>
      </c>
      <c r="F1280">
        <v>489.54500000000002</v>
      </c>
      <c r="G1280">
        <f t="shared" si="116"/>
        <v>8.500000000003638E-2</v>
      </c>
      <c r="H1280">
        <v>1.82</v>
      </c>
      <c r="I1280">
        <f t="shared" si="117"/>
        <v>1.3530723871997206</v>
      </c>
      <c r="J1280">
        <f t="shared" si="118"/>
        <v>81.184343231983235</v>
      </c>
      <c r="K1280">
        <f t="shared" si="119"/>
        <v>4871.0605939189945</v>
      </c>
    </row>
    <row r="1281" spans="1:11" x14ac:dyDescent="0.4">
      <c r="A1281" s="19">
        <v>45888.041666666664</v>
      </c>
      <c r="B1281" s="20">
        <f t="shared" si="115"/>
        <v>4.1666666664241347E-2</v>
      </c>
      <c r="C1281">
        <v>0</v>
      </c>
      <c r="D1281">
        <v>489.77800000000002</v>
      </c>
      <c r="E1281">
        <f t="shared" si="114"/>
        <v>489.62300000000005</v>
      </c>
      <c r="F1281">
        <v>489.54500000000002</v>
      </c>
      <c r="G1281">
        <f t="shared" si="116"/>
        <v>7.8000000000031378E-2</v>
      </c>
      <c r="H1281">
        <v>1.82</v>
      </c>
      <c r="I1281">
        <f t="shared" si="117"/>
        <v>1.1894181099687804</v>
      </c>
      <c r="J1281">
        <f t="shared" si="118"/>
        <v>71.365086598126823</v>
      </c>
      <c r="K1281">
        <f t="shared" si="119"/>
        <v>4281.9051958876089</v>
      </c>
    </row>
    <row r="1282" spans="1:11" x14ac:dyDescent="0.4">
      <c r="A1282" s="19">
        <v>45888.083333333336</v>
      </c>
      <c r="B1282" s="20">
        <f t="shared" si="115"/>
        <v>8.3333333335758653E-2</v>
      </c>
      <c r="C1282">
        <v>0</v>
      </c>
      <c r="D1282">
        <v>489.77800000000002</v>
      </c>
      <c r="E1282">
        <f t="shared" ref="E1282:E1345" si="120">D1282-0.155</f>
        <v>489.62300000000005</v>
      </c>
      <c r="F1282">
        <v>489.54500000000002</v>
      </c>
      <c r="G1282">
        <f t="shared" si="116"/>
        <v>7.8000000000031378E-2</v>
      </c>
      <c r="H1282">
        <v>1.82</v>
      </c>
      <c r="I1282">
        <f t="shared" si="117"/>
        <v>1.1894181099687804</v>
      </c>
      <c r="J1282">
        <f t="shared" si="118"/>
        <v>71.365086598126823</v>
      </c>
      <c r="K1282">
        <f t="shared" si="119"/>
        <v>4281.9051958876089</v>
      </c>
    </row>
    <row r="1283" spans="1:11" x14ac:dyDescent="0.4">
      <c r="A1283" s="19">
        <v>45888.125</v>
      </c>
      <c r="B1283" s="20">
        <f t="shared" ref="B1283:B1346" si="121">MOD(A1283,1)</f>
        <v>0.125</v>
      </c>
      <c r="C1283">
        <v>0</v>
      </c>
      <c r="D1283">
        <v>489.779</v>
      </c>
      <c r="E1283">
        <f t="shared" si="120"/>
        <v>489.62400000000002</v>
      </c>
      <c r="F1283">
        <v>489.54500000000002</v>
      </c>
      <c r="G1283">
        <f t="shared" ref="G1283:G1346" si="122">IF(E1283 - F1283 &lt; 0, 0, E1283 - F1283)</f>
        <v>7.9000000000007731E-2</v>
      </c>
      <c r="H1283">
        <v>1.82</v>
      </c>
      <c r="I1283">
        <f t="shared" ref="I1283:I1346" si="123">1.82*30*(G1283^1.5)</f>
        <v>1.2123646915183699</v>
      </c>
      <c r="J1283">
        <f t="shared" ref="J1283:J1346" si="124">I1283*60</f>
        <v>72.741881491102191</v>
      </c>
      <c r="K1283">
        <f t="shared" ref="K1283:K1346" si="125">(I1283*86400)/24</f>
        <v>4364.5128894661311</v>
      </c>
    </row>
    <row r="1284" spans="1:11" x14ac:dyDescent="0.4">
      <c r="A1284" s="19">
        <v>45888.166666666664</v>
      </c>
      <c r="B1284" s="20">
        <f t="shared" si="121"/>
        <v>0.16666666666424135</v>
      </c>
      <c r="C1284">
        <v>0</v>
      </c>
      <c r="D1284">
        <v>489.77199999999999</v>
      </c>
      <c r="E1284">
        <f t="shared" si="120"/>
        <v>489.61700000000002</v>
      </c>
      <c r="F1284">
        <v>489.54500000000002</v>
      </c>
      <c r="G1284">
        <f t="shared" si="122"/>
        <v>7.2000000000002728E-2</v>
      </c>
      <c r="H1284">
        <v>1.82</v>
      </c>
      <c r="I1284">
        <f t="shared" si="123"/>
        <v>1.0548516519777207</v>
      </c>
      <c r="J1284">
        <f t="shared" si="124"/>
        <v>63.29109911866324</v>
      </c>
      <c r="K1284">
        <f t="shared" si="125"/>
        <v>3797.4659471197942</v>
      </c>
    </row>
    <row r="1285" spans="1:11" x14ac:dyDescent="0.4">
      <c r="A1285" s="19">
        <v>45888.208333333336</v>
      </c>
      <c r="B1285" s="20">
        <f t="shared" si="121"/>
        <v>0.20833333333575865</v>
      </c>
      <c r="C1285">
        <v>0</v>
      </c>
      <c r="D1285">
        <v>489.77100000000002</v>
      </c>
      <c r="E1285">
        <f t="shared" si="120"/>
        <v>489.61600000000004</v>
      </c>
      <c r="F1285">
        <v>489.54500000000002</v>
      </c>
      <c r="G1285">
        <f t="shared" si="122"/>
        <v>7.1000000000026375E-2</v>
      </c>
      <c r="H1285">
        <v>1.82</v>
      </c>
      <c r="I1285">
        <f t="shared" si="123"/>
        <v>1.0329520592753516</v>
      </c>
      <c r="J1285">
        <f t="shared" si="124"/>
        <v>61.977123556521093</v>
      </c>
      <c r="K1285">
        <f t="shared" si="125"/>
        <v>3718.6274133912661</v>
      </c>
    </row>
    <row r="1286" spans="1:11" x14ac:dyDescent="0.4">
      <c r="A1286" s="19">
        <v>45888.25</v>
      </c>
      <c r="B1286" s="20">
        <f t="shared" si="121"/>
        <v>0.25</v>
      </c>
      <c r="C1286">
        <v>0</v>
      </c>
      <c r="D1286">
        <v>489.76600000000002</v>
      </c>
      <c r="E1286">
        <f t="shared" si="120"/>
        <v>489.61100000000005</v>
      </c>
      <c r="F1286">
        <v>489.54500000000002</v>
      </c>
      <c r="G1286">
        <f t="shared" si="122"/>
        <v>6.6000000000030923E-2</v>
      </c>
      <c r="H1286">
        <v>1.82</v>
      </c>
      <c r="I1286">
        <f t="shared" si="123"/>
        <v>0.92578160241020346</v>
      </c>
      <c r="J1286">
        <f t="shared" si="124"/>
        <v>55.546896144612205</v>
      </c>
      <c r="K1286">
        <f t="shared" si="125"/>
        <v>3332.8137686767327</v>
      </c>
    </row>
    <row r="1287" spans="1:11" x14ac:dyDescent="0.4">
      <c r="A1287" s="19">
        <v>45888.291666666664</v>
      </c>
      <c r="B1287" s="20">
        <f t="shared" si="121"/>
        <v>0.29166666666424135</v>
      </c>
      <c r="C1287">
        <v>0</v>
      </c>
      <c r="D1287">
        <v>489.76600000000002</v>
      </c>
      <c r="E1287">
        <f t="shared" si="120"/>
        <v>489.61100000000005</v>
      </c>
      <c r="F1287">
        <v>489.54500000000002</v>
      </c>
      <c r="G1287">
        <f t="shared" si="122"/>
        <v>6.6000000000030923E-2</v>
      </c>
      <c r="H1287">
        <v>1.82</v>
      </c>
      <c r="I1287">
        <f t="shared" si="123"/>
        <v>0.92578160241020346</v>
      </c>
      <c r="J1287">
        <f t="shared" si="124"/>
        <v>55.546896144612205</v>
      </c>
      <c r="K1287">
        <f t="shared" si="125"/>
        <v>3332.8137686767327</v>
      </c>
    </row>
    <row r="1288" spans="1:11" x14ac:dyDescent="0.4">
      <c r="A1288" s="19">
        <v>45888.333333333336</v>
      </c>
      <c r="B1288" s="20">
        <f t="shared" si="121"/>
        <v>0.33333333333575865</v>
      </c>
      <c r="C1288">
        <v>0</v>
      </c>
      <c r="D1288">
        <v>489.76499999999999</v>
      </c>
      <c r="E1288">
        <f t="shared" si="120"/>
        <v>489.61</v>
      </c>
      <c r="F1288">
        <v>489.54500000000002</v>
      </c>
      <c r="G1288">
        <f t="shared" si="122"/>
        <v>6.4999999999997726E-2</v>
      </c>
      <c r="H1288">
        <v>1.82</v>
      </c>
      <c r="I1288">
        <f t="shared" si="123"/>
        <v>0.90482101268699189</v>
      </c>
      <c r="J1288">
        <f t="shared" si="124"/>
        <v>54.289260761219516</v>
      </c>
      <c r="K1288">
        <f t="shared" si="125"/>
        <v>3257.3556456731708</v>
      </c>
    </row>
    <row r="1289" spans="1:11" x14ac:dyDescent="0.4">
      <c r="A1289" s="19">
        <v>45888.375</v>
      </c>
      <c r="B1289" s="20">
        <f t="shared" si="121"/>
        <v>0.375</v>
      </c>
      <c r="C1289">
        <v>0</v>
      </c>
      <c r="D1289">
        <v>489.75799999999998</v>
      </c>
      <c r="E1289">
        <f t="shared" si="120"/>
        <v>489.60300000000001</v>
      </c>
      <c r="F1289">
        <v>489.54500000000002</v>
      </c>
      <c r="G1289">
        <f t="shared" si="122"/>
        <v>5.7999999999992724E-2</v>
      </c>
      <c r="H1289">
        <v>1.82</v>
      </c>
      <c r="I1289">
        <f t="shared" si="123"/>
        <v>0.76266643424224556</v>
      </c>
      <c r="J1289">
        <f t="shared" si="124"/>
        <v>45.759986054534735</v>
      </c>
      <c r="K1289">
        <f t="shared" si="125"/>
        <v>2745.5991632720838</v>
      </c>
    </row>
    <row r="1290" spans="1:11" x14ac:dyDescent="0.4">
      <c r="A1290" s="19">
        <v>45888.416666666664</v>
      </c>
      <c r="B1290" s="20">
        <f t="shared" si="121"/>
        <v>0.41666666666424135</v>
      </c>
      <c r="C1290">
        <v>0</v>
      </c>
      <c r="D1290">
        <v>489.75799999999998</v>
      </c>
      <c r="E1290">
        <f t="shared" si="120"/>
        <v>489.60300000000001</v>
      </c>
      <c r="F1290">
        <v>489.54500000000002</v>
      </c>
      <c r="G1290">
        <f t="shared" si="122"/>
        <v>5.7999999999992724E-2</v>
      </c>
      <c r="H1290">
        <v>1.82</v>
      </c>
      <c r="I1290">
        <f t="shared" si="123"/>
        <v>0.76266643424224556</v>
      </c>
      <c r="J1290">
        <f t="shared" si="124"/>
        <v>45.759986054534735</v>
      </c>
      <c r="K1290">
        <f t="shared" si="125"/>
        <v>2745.5991632720838</v>
      </c>
    </row>
    <row r="1291" spans="1:11" x14ac:dyDescent="0.4">
      <c r="A1291" s="19">
        <v>45888.458333333336</v>
      </c>
      <c r="B1291" s="20">
        <f t="shared" si="121"/>
        <v>0.45833333333575865</v>
      </c>
      <c r="C1291">
        <v>0.2</v>
      </c>
      <c r="D1291">
        <v>489.75799999999998</v>
      </c>
      <c r="E1291">
        <f t="shared" si="120"/>
        <v>489.60300000000001</v>
      </c>
      <c r="F1291">
        <v>489.54500000000002</v>
      </c>
      <c r="G1291">
        <f t="shared" si="122"/>
        <v>5.7999999999992724E-2</v>
      </c>
      <c r="H1291">
        <v>1.82</v>
      </c>
      <c r="I1291">
        <f t="shared" si="123"/>
        <v>0.76266643424224556</v>
      </c>
      <c r="J1291">
        <f t="shared" si="124"/>
        <v>45.759986054534735</v>
      </c>
      <c r="K1291">
        <f t="shared" si="125"/>
        <v>2745.5991632720838</v>
      </c>
    </row>
    <row r="1292" spans="1:11" x14ac:dyDescent="0.4">
      <c r="A1292" s="19">
        <v>45888.5</v>
      </c>
      <c r="B1292" s="20">
        <f t="shared" si="121"/>
        <v>0.5</v>
      </c>
      <c r="C1292">
        <v>0</v>
      </c>
      <c r="D1292">
        <v>489.75200000000001</v>
      </c>
      <c r="E1292">
        <f t="shared" si="120"/>
        <v>489.59700000000004</v>
      </c>
      <c r="F1292">
        <v>489.54500000000002</v>
      </c>
      <c r="G1292">
        <f t="shared" si="122"/>
        <v>5.2000000000020918E-2</v>
      </c>
      <c r="H1292">
        <v>1.82</v>
      </c>
      <c r="I1292">
        <f t="shared" si="123"/>
        <v>0.64743721338868554</v>
      </c>
      <c r="J1292">
        <f t="shared" si="124"/>
        <v>38.846232803321129</v>
      </c>
      <c r="K1292">
        <f t="shared" si="125"/>
        <v>2330.773968199268</v>
      </c>
    </row>
    <row r="1293" spans="1:11" x14ac:dyDescent="0.4">
      <c r="A1293" s="19">
        <v>45888.541666666664</v>
      </c>
      <c r="B1293" s="20">
        <f t="shared" si="121"/>
        <v>0.54166666666424135</v>
      </c>
      <c r="C1293">
        <v>0</v>
      </c>
      <c r="D1293">
        <v>489.75200000000001</v>
      </c>
      <c r="E1293">
        <f t="shared" si="120"/>
        <v>489.59700000000004</v>
      </c>
      <c r="F1293">
        <v>489.54500000000002</v>
      </c>
      <c r="G1293">
        <f t="shared" si="122"/>
        <v>5.2000000000020918E-2</v>
      </c>
      <c r="H1293">
        <v>1.82</v>
      </c>
      <c r="I1293">
        <f t="shared" si="123"/>
        <v>0.64743721338868554</v>
      </c>
      <c r="J1293">
        <f t="shared" si="124"/>
        <v>38.846232803321129</v>
      </c>
      <c r="K1293">
        <f t="shared" si="125"/>
        <v>2330.773968199268</v>
      </c>
    </row>
    <row r="1294" spans="1:11" x14ac:dyDescent="0.4">
      <c r="A1294" s="19">
        <v>45888.583333333336</v>
      </c>
      <c r="B1294" s="20">
        <f t="shared" si="121"/>
        <v>0.58333333333575865</v>
      </c>
      <c r="C1294">
        <v>0</v>
      </c>
      <c r="D1294">
        <v>489.75200000000001</v>
      </c>
      <c r="E1294">
        <f t="shared" si="120"/>
        <v>489.59700000000004</v>
      </c>
      <c r="F1294">
        <v>489.54500000000002</v>
      </c>
      <c r="G1294">
        <f t="shared" si="122"/>
        <v>5.2000000000020918E-2</v>
      </c>
      <c r="H1294">
        <v>1.82</v>
      </c>
      <c r="I1294">
        <f t="shared" si="123"/>
        <v>0.64743721338868554</v>
      </c>
      <c r="J1294">
        <f t="shared" si="124"/>
        <v>38.846232803321129</v>
      </c>
      <c r="K1294">
        <f t="shared" si="125"/>
        <v>2330.773968199268</v>
      </c>
    </row>
    <row r="1295" spans="1:11" x14ac:dyDescent="0.4">
      <c r="A1295" s="19">
        <v>45888.625</v>
      </c>
      <c r="B1295" s="20">
        <f t="shared" si="121"/>
        <v>0.625</v>
      </c>
      <c r="C1295">
        <v>0</v>
      </c>
      <c r="D1295">
        <v>489.75200000000001</v>
      </c>
      <c r="E1295">
        <f t="shared" si="120"/>
        <v>489.59700000000004</v>
      </c>
      <c r="F1295">
        <v>489.54500000000002</v>
      </c>
      <c r="G1295">
        <f t="shared" si="122"/>
        <v>5.2000000000020918E-2</v>
      </c>
      <c r="H1295">
        <v>1.82</v>
      </c>
      <c r="I1295">
        <f t="shared" si="123"/>
        <v>0.64743721338868554</v>
      </c>
      <c r="J1295">
        <f t="shared" si="124"/>
        <v>38.846232803321129</v>
      </c>
      <c r="K1295">
        <f t="shared" si="125"/>
        <v>2330.773968199268</v>
      </c>
    </row>
    <row r="1296" spans="1:11" x14ac:dyDescent="0.4">
      <c r="A1296" s="19">
        <v>45888.666666666664</v>
      </c>
      <c r="B1296" s="20">
        <f t="shared" si="121"/>
        <v>0.66666666666424135</v>
      </c>
      <c r="C1296">
        <v>0</v>
      </c>
      <c r="D1296">
        <v>489.745</v>
      </c>
      <c r="E1296">
        <f t="shared" si="120"/>
        <v>489.59000000000003</v>
      </c>
      <c r="F1296">
        <v>489.54500000000002</v>
      </c>
      <c r="G1296">
        <f t="shared" si="122"/>
        <v>4.5000000000015916E-2</v>
      </c>
      <c r="H1296">
        <v>1.82</v>
      </c>
      <c r="I1296">
        <f t="shared" si="123"/>
        <v>0.52120840841288063</v>
      </c>
      <c r="J1296">
        <f t="shared" si="124"/>
        <v>31.272504504772836</v>
      </c>
      <c r="K1296">
        <f t="shared" si="125"/>
        <v>1876.3502702863705</v>
      </c>
    </row>
    <row r="1297" spans="1:11" x14ac:dyDescent="0.4">
      <c r="A1297" s="19">
        <v>45888.708333333336</v>
      </c>
      <c r="B1297" s="20">
        <f t="shared" si="121"/>
        <v>0.70833333333575865</v>
      </c>
      <c r="C1297">
        <v>0</v>
      </c>
      <c r="D1297">
        <v>489.745</v>
      </c>
      <c r="E1297">
        <f t="shared" si="120"/>
        <v>489.59000000000003</v>
      </c>
      <c r="F1297">
        <v>489.54500000000002</v>
      </c>
      <c r="G1297">
        <f t="shared" si="122"/>
        <v>4.5000000000015916E-2</v>
      </c>
      <c r="H1297">
        <v>1.82</v>
      </c>
      <c r="I1297">
        <f t="shared" si="123"/>
        <v>0.52120840841288063</v>
      </c>
      <c r="J1297">
        <f t="shared" si="124"/>
        <v>31.272504504772836</v>
      </c>
      <c r="K1297">
        <f t="shared" si="125"/>
        <v>1876.3502702863705</v>
      </c>
    </row>
    <row r="1298" spans="1:11" x14ac:dyDescent="0.4">
      <c r="A1298" s="19">
        <v>45888.75</v>
      </c>
      <c r="B1298" s="20">
        <f t="shared" si="121"/>
        <v>0.75</v>
      </c>
      <c r="C1298">
        <v>0</v>
      </c>
      <c r="D1298">
        <v>489.73899999999998</v>
      </c>
      <c r="E1298">
        <f t="shared" si="120"/>
        <v>489.584</v>
      </c>
      <c r="F1298">
        <v>489.54500000000002</v>
      </c>
      <c r="G1298">
        <f t="shared" si="122"/>
        <v>3.8999999999987267E-2</v>
      </c>
      <c r="H1298">
        <v>1.82</v>
      </c>
      <c r="I1298">
        <f t="shared" si="123"/>
        <v>0.42052280561204625</v>
      </c>
      <c r="J1298">
        <f t="shared" si="124"/>
        <v>25.231368336722774</v>
      </c>
      <c r="K1298">
        <f t="shared" si="125"/>
        <v>1513.8821002033665</v>
      </c>
    </row>
    <row r="1299" spans="1:11" x14ac:dyDescent="0.4">
      <c r="A1299" s="19">
        <v>45888.791666666664</v>
      </c>
      <c r="B1299" s="20">
        <f t="shared" si="121"/>
        <v>0.79166666666424135</v>
      </c>
      <c r="C1299">
        <v>0</v>
      </c>
      <c r="D1299">
        <v>489.73899999999998</v>
      </c>
      <c r="E1299">
        <f t="shared" si="120"/>
        <v>489.584</v>
      </c>
      <c r="F1299">
        <v>489.54500000000002</v>
      </c>
      <c r="G1299">
        <f t="shared" si="122"/>
        <v>3.8999999999987267E-2</v>
      </c>
      <c r="H1299">
        <v>1.82</v>
      </c>
      <c r="I1299">
        <f t="shared" si="123"/>
        <v>0.42052280561204625</v>
      </c>
      <c r="J1299">
        <f t="shared" si="124"/>
        <v>25.231368336722774</v>
      </c>
      <c r="K1299">
        <f t="shared" si="125"/>
        <v>1513.8821002033665</v>
      </c>
    </row>
    <row r="1300" spans="1:11" x14ac:dyDescent="0.4">
      <c r="A1300" s="19">
        <v>45888.833333333336</v>
      </c>
      <c r="B1300" s="20">
        <f t="shared" si="121"/>
        <v>0.83333333333575865</v>
      </c>
      <c r="C1300">
        <v>0</v>
      </c>
      <c r="D1300">
        <v>489.73200000000003</v>
      </c>
      <c r="E1300">
        <f t="shared" si="120"/>
        <v>489.57700000000006</v>
      </c>
      <c r="F1300">
        <v>489.54500000000002</v>
      </c>
      <c r="G1300">
        <f t="shared" si="122"/>
        <v>3.2000000000039108E-2</v>
      </c>
      <c r="H1300">
        <v>1.82</v>
      </c>
      <c r="I1300">
        <f t="shared" si="123"/>
        <v>0.31254863762358359</v>
      </c>
      <c r="J1300">
        <f t="shared" si="124"/>
        <v>18.752918257415015</v>
      </c>
      <c r="K1300">
        <f t="shared" si="125"/>
        <v>1125.175095444901</v>
      </c>
    </row>
    <row r="1301" spans="1:11" x14ac:dyDescent="0.4">
      <c r="A1301" s="19">
        <v>45888.875</v>
      </c>
      <c r="B1301" s="20">
        <f t="shared" si="121"/>
        <v>0.875</v>
      </c>
      <c r="C1301">
        <v>0</v>
      </c>
      <c r="D1301">
        <v>489.73200000000003</v>
      </c>
      <c r="E1301">
        <f t="shared" si="120"/>
        <v>489.57700000000006</v>
      </c>
      <c r="F1301">
        <v>489.54500000000002</v>
      </c>
      <c r="G1301">
        <f t="shared" si="122"/>
        <v>3.2000000000039108E-2</v>
      </c>
      <c r="H1301">
        <v>1.82</v>
      </c>
      <c r="I1301">
        <f t="shared" si="123"/>
        <v>0.31254863762358359</v>
      </c>
      <c r="J1301">
        <f t="shared" si="124"/>
        <v>18.752918257415015</v>
      </c>
      <c r="K1301">
        <f t="shared" si="125"/>
        <v>1125.175095444901</v>
      </c>
    </row>
    <row r="1302" spans="1:11" x14ac:dyDescent="0.4">
      <c r="A1302" s="19">
        <v>45888.916666666664</v>
      </c>
      <c r="B1302" s="20">
        <f t="shared" si="121"/>
        <v>0.91666666666424135</v>
      </c>
      <c r="C1302">
        <v>0</v>
      </c>
      <c r="D1302">
        <v>489.73200000000003</v>
      </c>
      <c r="E1302">
        <f t="shared" si="120"/>
        <v>489.57700000000006</v>
      </c>
      <c r="F1302">
        <v>489.54500000000002</v>
      </c>
      <c r="G1302">
        <f t="shared" si="122"/>
        <v>3.2000000000039108E-2</v>
      </c>
      <c r="H1302">
        <v>1.82</v>
      </c>
      <c r="I1302">
        <f t="shared" si="123"/>
        <v>0.31254863762358359</v>
      </c>
      <c r="J1302">
        <f t="shared" si="124"/>
        <v>18.752918257415015</v>
      </c>
      <c r="K1302">
        <f t="shared" si="125"/>
        <v>1125.175095444901</v>
      </c>
    </row>
    <row r="1303" spans="1:11" x14ac:dyDescent="0.4">
      <c r="A1303" s="19">
        <v>45888.958333333336</v>
      </c>
      <c r="B1303" s="20">
        <f t="shared" si="121"/>
        <v>0.95833333333575865</v>
      </c>
      <c r="C1303">
        <v>0</v>
      </c>
      <c r="D1303">
        <v>489.726</v>
      </c>
      <c r="E1303">
        <f t="shared" si="120"/>
        <v>489.57100000000003</v>
      </c>
      <c r="F1303">
        <v>489.54500000000002</v>
      </c>
      <c r="G1303">
        <f t="shared" si="122"/>
        <v>2.6000000000010459E-2</v>
      </c>
      <c r="H1303">
        <v>1.82</v>
      </c>
      <c r="I1303">
        <f t="shared" si="123"/>
        <v>0.22890362198983044</v>
      </c>
      <c r="J1303">
        <f t="shared" si="124"/>
        <v>13.734217319389826</v>
      </c>
      <c r="K1303">
        <f t="shared" si="125"/>
        <v>824.0530391633896</v>
      </c>
    </row>
    <row r="1304" spans="1:11" x14ac:dyDescent="0.4">
      <c r="A1304" s="19">
        <v>45889</v>
      </c>
      <c r="B1304" s="20">
        <f t="shared" si="121"/>
        <v>0</v>
      </c>
      <c r="C1304">
        <v>0</v>
      </c>
      <c r="D1304">
        <v>489.726</v>
      </c>
      <c r="E1304">
        <f t="shared" si="120"/>
        <v>489.57100000000003</v>
      </c>
      <c r="F1304">
        <v>489.54500000000002</v>
      </c>
      <c r="G1304">
        <f t="shared" si="122"/>
        <v>2.6000000000010459E-2</v>
      </c>
      <c r="H1304">
        <v>1.82</v>
      </c>
      <c r="I1304">
        <f t="shared" si="123"/>
        <v>0.22890362198983044</v>
      </c>
      <c r="J1304">
        <f t="shared" si="124"/>
        <v>13.734217319389826</v>
      </c>
      <c r="K1304">
        <f t="shared" si="125"/>
        <v>824.0530391633896</v>
      </c>
    </row>
    <row r="1305" spans="1:11" x14ac:dyDescent="0.4">
      <c r="A1305" s="19">
        <v>45889.041666666664</v>
      </c>
      <c r="B1305" s="20">
        <f t="shared" si="121"/>
        <v>4.1666666664241347E-2</v>
      </c>
      <c r="C1305">
        <v>0</v>
      </c>
      <c r="D1305">
        <v>489.72</v>
      </c>
      <c r="E1305">
        <f t="shared" si="120"/>
        <v>489.56500000000005</v>
      </c>
      <c r="F1305">
        <v>489.54500000000002</v>
      </c>
      <c r="G1305">
        <f t="shared" si="122"/>
        <v>2.0000000000038654E-2</v>
      </c>
      <c r="H1305">
        <v>1.82</v>
      </c>
      <c r="I1305">
        <f t="shared" si="123"/>
        <v>0.15443212101158976</v>
      </c>
      <c r="J1305">
        <f t="shared" si="124"/>
        <v>9.2659272606953849</v>
      </c>
      <c r="K1305">
        <f t="shared" si="125"/>
        <v>555.95563564172312</v>
      </c>
    </row>
    <row r="1306" spans="1:11" x14ac:dyDescent="0.4">
      <c r="A1306" s="19">
        <v>45889.083333333336</v>
      </c>
      <c r="B1306" s="20">
        <f t="shared" si="121"/>
        <v>8.3333333335758653E-2</v>
      </c>
      <c r="C1306">
        <v>0</v>
      </c>
      <c r="D1306">
        <v>489.72</v>
      </c>
      <c r="E1306">
        <f t="shared" si="120"/>
        <v>489.56500000000005</v>
      </c>
      <c r="F1306">
        <v>489.54500000000002</v>
      </c>
      <c r="G1306">
        <f t="shared" si="122"/>
        <v>2.0000000000038654E-2</v>
      </c>
      <c r="H1306">
        <v>1.82</v>
      </c>
      <c r="I1306">
        <f t="shared" si="123"/>
        <v>0.15443212101158976</v>
      </c>
      <c r="J1306">
        <f t="shared" si="124"/>
        <v>9.2659272606953849</v>
      </c>
      <c r="K1306">
        <f t="shared" si="125"/>
        <v>555.95563564172312</v>
      </c>
    </row>
    <row r="1307" spans="1:11" x14ac:dyDescent="0.4">
      <c r="A1307" s="19">
        <v>45889.125</v>
      </c>
      <c r="B1307" s="20">
        <f t="shared" si="121"/>
        <v>0.125</v>
      </c>
      <c r="C1307">
        <v>0</v>
      </c>
      <c r="D1307">
        <v>489.72</v>
      </c>
      <c r="E1307">
        <f t="shared" si="120"/>
        <v>489.56500000000005</v>
      </c>
      <c r="F1307">
        <v>489.54500000000002</v>
      </c>
      <c r="G1307">
        <f t="shared" si="122"/>
        <v>2.0000000000038654E-2</v>
      </c>
      <c r="H1307">
        <v>1.82</v>
      </c>
      <c r="I1307">
        <f t="shared" si="123"/>
        <v>0.15443212101158976</v>
      </c>
      <c r="J1307">
        <f t="shared" si="124"/>
        <v>9.2659272606953849</v>
      </c>
      <c r="K1307">
        <f t="shared" si="125"/>
        <v>555.95563564172312</v>
      </c>
    </row>
    <row r="1308" spans="1:11" x14ac:dyDescent="0.4">
      <c r="A1308" s="19">
        <v>45889.166666666664</v>
      </c>
      <c r="B1308" s="20">
        <f t="shared" si="121"/>
        <v>0.16666666666424135</v>
      </c>
      <c r="C1308">
        <v>0</v>
      </c>
      <c r="D1308">
        <v>489.72</v>
      </c>
      <c r="E1308">
        <f t="shared" si="120"/>
        <v>489.56500000000005</v>
      </c>
      <c r="F1308">
        <v>489.54500000000002</v>
      </c>
      <c r="G1308">
        <f t="shared" si="122"/>
        <v>2.0000000000038654E-2</v>
      </c>
      <c r="H1308">
        <v>1.82</v>
      </c>
      <c r="I1308">
        <f t="shared" si="123"/>
        <v>0.15443212101158976</v>
      </c>
      <c r="J1308">
        <f t="shared" si="124"/>
        <v>9.2659272606953849</v>
      </c>
      <c r="K1308">
        <f t="shared" si="125"/>
        <v>555.95563564172312</v>
      </c>
    </row>
    <row r="1309" spans="1:11" x14ac:dyDescent="0.4">
      <c r="A1309" s="19">
        <v>45889.208333333336</v>
      </c>
      <c r="B1309" s="20">
        <f t="shared" si="121"/>
        <v>0.20833333333575865</v>
      </c>
      <c r="C1309">
        <v>0</v>
      </c>
      <c r="D1309">
        <v>489.714</v>
      </c>
      <c r="E1309">
        <f t="shared" si="120"/>
        <v>489.55900000000003</v>
      </c>
      <c r="F1309">
        <v>489.54500000000002</v>
      </c>
      <c r="G1309">
        <f t="shared" si="122"/>
        <v>1.4000000000010004E-2</v>
      </c>
      <c r="H1309">
        <v>1.82</v>
      </c>
      <c r="I1309">
        <f t="shared" si="123"/>
        <v>9.0445027724123869E-2</v>
      </c>
      <c r="J1309">
        <f t="shared" si="124"/>
        <v>5.4267016634474325</v>
      </c>
      <c r="K1309">
        <f t="shared" si="125"/>
        <v>325.60209980684596</v>
      </c>
    </row>
    <row r="1310" spans="1:11" x14ac:dyDescent="0.4">
      <c r="A1310" s="19">
        <v>45889.25</v>
      </c>
      <c r="B1310" s="20">
        <f t="shared" si="121"/>
        <v>0.25</v>
      </c>
      <c r="C1310">
        <v>0</v>
      </c>
      <c r="D1310">
        <v>489.71300000000002</v>
      </c>
      <c r="E1310">
        <f t="shared" si="120"/>
        <v>489.55800000000005</v>
      </c>
      <c r="F1310">
        <v>489.54500000000002</v>
      </c>
      <c r="G1310">
        <f t="shared" si="122"/>
        <v>1.3000000000033651E-2</v>
      </c>
      <c r="H1310">
        <v>1.82</v>
      </c>
      <c r="I1310">
        <f t="shared" si="123"/>
        <v>8.092965167385105E-2</v>
      </c>
      <c r="J1310">
        <f t="shared" si="124"/>
        <v>4.8557791004310626</v>
      </c>
      <c r="K1310">
        <f t="shared" si="125"/>
        <v>291.34674602586375</v>
      </c>
    </row>
    <row r="1311" spans="1:11" x14ac:dyDescent="0.4">
      <c r="A1311" s="19">
        <v>45889.291666666664</v>
      </c>
      <c r="B1311" s="20">
        <f t="shared" si="121"/>
        <v>0.29166666666424135</v>
      </c>
      <c r="C1311">
        <v>0</v>
      </c>
      <c r="D1311">
        <v>489.714</v>
      </c>
      <c r="E1311">
        <f t="shared" si="120"/>
        <v>489.55900000000003</v>
      </c>
      <c r="F1311">
        <v>489.54500000000002</v>
      </c>
      <c r="G1311">
        <f t="shared" si="122"/>
        <v>1.4000000000010004E-2</v>
      </c>
      <c r="H1311">
        <v>1.82</v>
      </c>
      <c r="I1311">
        <f t="shared" si="123"/>
        <v>9.0445027724123869E-2</v>
      </c>
      <c r="J1311">
        <f t="shared" si="124"/>
        <v>5.4267016634474325</v>
      </c>
      <c r="K1311">
        <f t="shared" si="125"/>
        <v>325.60209980684596</v>
      </c>
    </row>
    <row r="1312" spans="1:11" x14ac:dyDescent="0.4">
      <c r="A1312" s="19">
        <v>45889.333333333336</v>
      </c>
      <c r="B1312" s="20">
        <f t="shared" si="121"/>
        <v>0.33333333333575865</v>
      </c>
      <c r="C1312">
        <v>0</v>
      </c>
      <c r="D1312">
        <v>489.70699999999999</v>
      </c>
      <c r="E1312">
        <f t="shared" si="120"/>
        <v>489.55200000000002</v>
      </c>
      <c r="F1312">
        <v>489.54500000000002</v>
      </c>
      <c r="G1312">
        <f t="shared" si="122"/>
        <v>7.0000000000050022E-3</v>
      </c>
      <c r="H1312">
        <v>1.82</v>
      </c>
      <c r="I1312">
        <f t="shared" si="123"/>
        <v>3.1977146214166641E-2</v>
      </c>
      <c r="J1312">
        <f t="shared" si="124"/>
        <v>1.9186287728499984</v>
      </c>
      <c r="K1312">
        <f t="shared" si="125"/>
        <v>115.1177263709999</v>
      </c>
    </row>
    <row r="1313" spans="1:11" x14ac:dyDescent="0.4">
      <c r="A1313" s="19">
        <v>45889.375</v>
      </c>
      <c r="B1313" s="20">
        <f t="shared" si="121"/>
        <v>0.375</v>
      </c>
      <c r="C1313">
        <v>0</v>
      </c>
      <c r="D1313">
        <v>489.70699999999999</v>
      </c>
      <c r="E1313">
        <f t="shared" si="120"/>
        <v>489.55200000000002</v>
      </c>
      <c r="F1313">
        <v>489.54500000000002</v>
      </c>
      <c r="G1313">
        <f t="shared" si="122"/>
        <v>7.0000000000050022E-3</v>
      </c>
      <c r="H1313">
        <v>1.82</v>
      </c>
      <c r="I1313">
        <f t="shared" si="123"/>
        <v>3.1977146214166641E-2</v>
      </c>
      <c r="J1313">
        <f t="shared" si="124"/>
        <v>1.9186287728499984</v>
      </c>
      <c r="K1313">
        <f t="shared" si="125"/>
        <v>115.1177263709999</v>
      </c>
    </row>
    <row r="1314" spans="1:11" x14ac:dyDescent="0.4">
      <c r="A1314" s="19">
        <v>45889.416666666664</v>
      </c>
      <c r="B1314" s="20">
        <f t="shared" si="121"/>
        <v>0.41666666666424135</v>
      </c>
      <c r="C1314">
        <v>0</v>
      </c>
      <c r="D1314">
        <v>489.70699999999999</v>
      </c>
      <c r="E1314">
        <f t="shared" si="120"/>
        <v>489.55200000000002</v>
      </c>
      <c r="F1314">
        <v>489.54500000000002</v>
      </c>
      <c r="G1314">
        <f t="shared" si="122"/>
        <v>7.0000000000050022E-3</v>
      </c>
      <c r="H1314">
        <v>1.82</v>
      </c>
      <c r="I1314">
        <f t="shared" si="123"/>
        <v>3.1977146214166641E-2</v>
      </c>
      <c r="J1314">
        <f t="shared" si="124"/>
        <v>1.9186287728499984</v>
      </c>
      <c r="K1314">
        <f t="shared" si="125"/>
        <v>115.1177263709999</v>
      </c>
    </row>
    <row r="1315" spans="1:11" x14ac:dyDescent="0.4">
      <c r="A1315" s="19">
        <v>45889.458333333336</v>
      </c>
      <c r="B1315" s="20">
        <f t="shared" si="121"/>
        <v>0.45833333333575865</v>
      </c>
      <c r="C1315">
        <v>0</v>
      </c>
      <c r="D1315">
        <v>489.70699999999999</v>
      </c>
      <c r="E1315">
        <f t="shared" si="120"/>
        <v>489.55200000000002</v>
      </c>
      <c r="F1315">
        <v>489.54500000000002</v>
      </c>
      <c r="G1315">
        <f t="shared" si="122"/>
        <v>7.0000000000050022E-3</v>
      </c>
      <c r="H1315">
        <v>1.82</v>
      </c>
      <c r="I1315">
        <f t="shared" si="123"/>
        <v>3.1977146214166641E-2</v>
      </c>
      <c r="J1315">
        <f t="shared" si="124"/>
        <v>1.9186287728499984</v>
      </c>
      <c r="K1315">
        <f t="shared" si="125"/>
        <v>115.1177263709999</v>
      </c>
    </row>
    <row r="1316" spans="1:11" x14ac:dyDescent="0.4">
      <c r="A1316" s="19">
        <v>45889.5</v>
      </c>
      <c r="B1316" s="20">
        <f t="shared" si="121"/>
        <v>0.5</v>
      </c>
      <c r="C1316">
        <v>0</v>
      </c>
      <c r="D1316">
        <v>489.7</v>
      </c>
      <c r="E1316">
        <f t="shared" si="120"/>
        <v>489.54500000000002</v>
      </c>
      <c r="F1316">
        <v>489.54500000000002</v>
      </c>
      <c r="G1316">
        <f t="shared" si="122"/>
        <v>0</v>
      </c>
      <c r="H1316">
        <v>1.82</v>
      </c>
      <c r="I1316">
        <f t="shared" si="123"/>
        <v>0</v>
      </c>
      <c r="J1316">
        <f t="shared" si="124"/>
        <v>0</v>
      </c>
      <c r="K1316">
        <f t="shared" si="125"/>
        <v>0</v>
      </c>
    </row>
    <row r="1317" spans="1:11" x14ac:dyDescent="0.4">
      <c r="A1317" s="19">
        <v>45889.541666666664</v>
      </c>
      <c r="B1317" s="20">
        <f t="shared" si="121"/>
        <v>0.54166666666424135</v>
      </c>
      <c r="C1317">
        <v>0</v>
      </c>
      <c r="D1317">
        <v>489.7</v>
      </c>
      <c r="E1317">
        <f t="shared" si="120"/>
        <v>489.54500000000002</v>
      </c>
      <c r="F1317">
        <v>489.54500000000002</v>
      </c>
      <c r="G1317">
        <f t="shared" si="122"/>
        <v>0</v>
      </c>
      <c r="H1317">
        <v>1.82</v>
      </c>
      <c r="I1317">
        <f t="shared" si="123"/>
        <v>0</v>
      </c>
      <c r="J1317">
        <f t="shared" si="124"/>
        <v>0</v>
      </c>
      <c r="K1317">
        <f t="shared" si="125"/>
        <v>0</v>
      </c>
    </row>
    <row r="1318" spans="1:11" x14ac:dyDescent="0.4">
      <c r="A1318" s="19">
        <v>45889.583333333336</v>
      </c>
      <c r="B1318" s="20">
        <f t="shared" si="121"/>
        <v>0.58333333333575865</v>
      </c>
      <c r="C1318">
        <v>0</v>
      </c>
      <c r="D1318">
        <v>489.7</v>
      </c>
      <c r="E1318">
        <f t="shared" si="120"/>
        <v>489.54500000000002</v>
      </c>
      <c r="F1318">
        <v>489.54500000000002</v>
      </c>
      <c r="G1318">
        <f t="shared" si="122"/>
        <v>0</v>
      </c>
      <c r="H1318">
        <v>1.82</v>
      </c>
      <c r="I1318">
        <f t="shared" si="123"/>
        <v>0</v>
      </c>
      <c r="J1318">
        <f t="shared" si="124"/>
        <v>0</v>
      </c>
      <c r="K1318">
        <f t="shared" si="125"/>
        <v>0</v>
      </c>
    </row>
    <row r="1319" spans="1:11" x14ac:dyDescent="0.4">
      <c r="A1319" s="19">
        <v>45889.625</v>
      </c>
      <c r="B1319" s="20">
        <f t="shared" si="121"/>
        <v>0.625</v>
      </c>
      <c r="C1319">
        <v>0</v>
      </c>
      <c r="D1319">
        <v>489.69400000000002</v>
      </c>
      <c r="E1319">
        <f t="shared" si="120"/>
        <v>489.53900000000004</v>
      </c>
      <c r="F1319">
        <v>489.54500000000002</v>
      </c>
      <c r="G1319">
        <f t="shared" si="122"/>
        <v>0</v>
      </c>
      <c r="H1319">
        <v>1.82</v>
      </c>
      <c r="I1319">
        <f t="shared" si="123"/>
        <v>0</v>
      </c>
      <c r="J1319">
        <f t="shared" si="124"/>
        <v>0</v>
      </c>
      <c r="K1319">
        <f t="shared" si="125"/>
        <v>0</v>
      </c>
    </row>
    <row r="1320" spans="1:11" x14ac:dyDescent="0.4">
      <c r="A1320" s="19">
        <v>45889.666666666664</v>
      </c>
      <c r="B1320" s="20">
        <f t="shared" si="121"/>
        <v>0.66666666666424135</v>
      </c>
      <c r="C1320">
        <v>0</v>
      </c>
      <c r="D1320">
        <v>489.69400000000002</v>
      </c>
      <c r="E1320">
        <f t="shared" si="120"/>
        <v>489.53900000000004</v>
      </c>
      <c r="F1320">
        <v>489.54500000000002</v>
      </c>
      <c r="G1320">
        <f t="shared" si="122"/>
        <v>0</v>
      </c>
      <c r="H1320">
        <v>1.82</v>
      </c>
      <c r="I1320">
        <f t="shared" si="123"/>
        <v>0</v>
      </c>
      <c r="J1320">
        <f t="shared" si="124"/>
        <v>0</v>
      </c>
      <c r="K1320">
        <f t="shared" si="125"/>
        <v>0</v>
      </c>
    </row>
    <row r="1321" spans="1:11" x14ac:dyDescent="0.4">
      <c r="A1321" s="19">
        <v>45889.708333333336</v>
      </c>
      <c r="B1321" s="20">
        <f t="shared" si="121"/>
        <v>0.70833333333575865</v>
      </c>
      <c r="C1321">
        <v>0</v>
      </c>
      <c r="D1321">
        <v>489.69400000000002</v>
      </c>
      <c r="E1321">
        <f t="shared" si="120"/>
        <v>489.53900000000004</v>
      </c>
      <c r="F1321">
        <v>489.54500000000002</v>
      </c>
      <c r="G1321">
        <f t="shared" si="122"/>
        <v>0</v>
      </c>
      <c r="H1321">
        <v>1.82</v>
      </c>
      <c r="I1321">
        <f t="shared" si="123"/>
        <v>0</v>
      </c>
      <c r="J1321">
        <f t="shared" si="124"/>
        <v>0</v>
      </c>
      <c r="K1321">
        <f t="shared" si="125"/>
        <v>0</v>
      </c>
    </row>
    <row r="1322" spans="1:11" x14ac:dyDescent="0.4">
      <c r="A1322" s="19">
        <v>45889.75</v>
      </c>
      <c r="B1322" s="20">
        <f t="shared" si="121"/>
        <v>0.75</v>
      </c>
      <c r="C1322">
        <v>0</v>
      </c>
      <c r="D1322">
        <v>489.69400000000002</v>
      </c>
      <c r="E1322">
        <f t="shared" si="120"/>
        <v>489.53900000000004</v>
      </c>
      <c r="F1322">
        <v>489.54500000000002</v>
      </c>
      <c r="G1322">
        <f t="shared" si="122"/>
        <v>0</v>
      </c>
      <c r="H1322">
        <v>1.82</v>
      </c>
      <c r="I1322">
        <f t="shared" si="123"/>
        <v>0</v>
      </c>
      <c r="J1322">
        <f t="shared" si="124"/>
        <v>0</v>
      </c>
      <c r="K1322">
        <f t="shared" si="125"/>
        <v>0</v>
      </c>
    </row>
    <row r="1323" spans="1:11" x14ac:dyDescent="0.4">
      <c r="A1323" s="19">
        <v>45889.791666666664</v>
      </c>
      <c r="B1323" s="20">
        <f t="shared" si="121"/>
        <v>0.79166666666424135</v>
      </c>
      <c r="C1323">
        <v>0</v>
      </c>
      <c r="D1323">
        <v>489.68900000000002</v>
      </c>
      <c r="E1323">
        <f t="shared" si="120"/>
        <v>489.53400000000005</v>
      </c>
      <c r="F1323">
        <v>489.54500000000002</v>
      </c>
      <c r="G1323">
        <f t="shared" si="122"/>
        <v>0</v>
      </c>
      <c r="H1323">
        <v>1.82</v>
      </c>
      <c r="I1323">
        <f t="shared" si="123"/>
        <v>0</v>
      </c>
      <c r="J1323">
        <f t="shared" si="124"/>
        <v>0</v>
      </c>
      <c r="K1323">
        <f t="shared" si="125"/>
        <v>0</v>
      </c>
    </row>
    <row r="1324" spans="1:11" x14ac:dyDescent="0.4">
      <c r="A1324" s="19">
        <v>45889.833333333336</v>
      </c>
      <c r="B1324" s="20">
        <f t="shared" si="121"/>
        <v>0.83333333333575865</v>
      </c>
      <c r="C1324">
        <v>0</v>
      </c>
      <c r="D1324">
        <v>489.68900000000002</v>
      </c>
      <c r="E1324">
        <f t="shared" si="120"/>
        <v>489.53400000000005</v>
      </c>
      <c r="F1324">
        <v>489.54500000000002</v>
      </c>
      <c r="G1324">
        <f t="shared" si="122"/>
        <v>0</v>
      </c>
      <c r="H1324">
        <v>1.82</v>
      </c>
      <c r="I1324">
        <f t="shared" si="123"/>
        <v>0</v>
      </c>
      <c r="J1324">
        <f t="shared" si="124"/>
        <v>0</v>
      </c>
      <c r="K1324">
        <f t="shared" si="125"/>
        <v>0</v>
      </c>
    </row>
    <row r="1325" spans="1:11" x14ac:dyDescent="0.4">
      <c r="A1325" s="19">
        <v>45889.875</v>
      </c>
      <c r="B1325" s="20">
        <f t="shared" si="121"/>
        <v>0.875</v>
      </c>
      <c r="C1325">
        <v>0</v>
      </c>
      <c r="D1325">
        <v>489.68900000000002</v>
      </c>
      <c r="E1325">
        <f t="shared" si="120"/>
        <v>489.53400000000005</v>
      </c>
      <c r="F1325">
        <v>489.54500000000002</v>
      </c>
      <c r="G1325">
        <f t="shared" si="122"/>
        <v>0</v>
      </c>
      <c r="H1325">
        <v>1.82</v>
      </c>
      <c r="I1325">
        <f t="shared" si="123"/>
        <v>0</v>
      </c>
      <c r="J1325">
        <f t="shared" si="124"/>
        <v>0</v>
      </c>
      <c r="K1325">
        <f t="shared" si="125"/>
        <v>0</v>
      </c>
    </row>
    <row r="1326" spans="1:11" x14ac:dyDescent="0.4">
      <c r="A1326" s="19">
        <v>45889.916666666664</v>
      </c>
      <c r="B1326" s="20">
        <f t="shared" si="121"/>
        <v>0.91666666666424135</v>
      </c>
      <c r="C1326">
        <v>0</v>
      </c>
      <c r="D1326">
        <v>489.68200000000002</v>
      </c>
      <c r="E1326">
        <f t="shared" si="120"/>
        <v>489.52700000000004</v>
      </c>
      <c r="F1326">
        <v>489.54500000000002</v>
      </c>
      <c r="G1326">
        <f t="shared" si="122"/>
        <v>0</v>
      </c>
      <c r="H1326">
        <v>1.82</v>
      </c>
      <c r="I1326">
        <f t="shared" si="123"/>
        <v>0</v>
      </c>
      <c r="J1326">
        <f t="shared" si="124"/>
        <v>0</v>
      </c>
      <c r="K1326">
        <f t="shared" si="125"/>
        <v>0</v>
      </c>
    </row>
    <row r="1327" spans="1:11" x14ac:dyDescent="0.4">
      <c r="A1327" s="19">
        <v>45889.958333333336</v>
      </c>
      <c r="B1327" s="20">
        <f t="shared" si="121"/>
        <v>0.95833333333575865</v>
      </c>
      <c r="C1327">
        <v>0</v>
      </c>
      <c r="D1327">
        <v>489.68299999999999</v>
      </c>
      <c r="E1327">
        <f t="shared" si="120"/>
        <v>489.52800000000002</v>
      </c>
      <c r="F1327">
        <v>489.54500000000002</v>
      </c>
      <c r="G1327">
        <f t="shared" si="122"/>
        <v>0</v>
      </c>
      <c r="H1327">
        <v>1.82</v>
      </c>
      <c r="I1327">
        <f t="shared" si="123"/>
        <v>0</v>
      </c>
      <c r="J1327">
        <f t="shared" si="124"/>
        <v>0</v>
      </c>
      <c r="K1327">
        <f t="shared" si="125"/>
        <v>0</v>
      </c>
    </row>
    <row r="1328" spans="1:11" x14ac:dyDescent="0.4">
      <c r="A1328" s="19">
        <v>45890</v>
      </c>
      <c r="B1328" s="20">
        <f t="shared" si="121"/>
        <v>0</v>
      </c>
      <c r="C1328">
        <v>0</v>
      </c>
      <c r="D1328">
        <v>489.68200000000002</v>
      </c>
      <c r="E1328">
        <f t="shared" si="120"/>
        <v>489.52700000000004</v>
      </c>
      <c r="F1328">
        <v>489.54500000000002</v>
      </c>
      <c r="G1328">
        <f t="shared" si="122"/>
        <v>0</v>
      </c>
      <c r="H1328">
        <v>1.82</v>
      </c>
      <c r="I1328">
        <f t="shared" si="123"/>
        <v>0</v>
      </c>
      <c r="J1328">
        <f t="shared" si="124"/>
        <v>0</v>
      </c>
      <c r="K1328">
        <f t="shared" si="125"/>
        <v>0</v>
      </c>
    </row>
    <row r="1329" spans="1:11" x14ac:dyDescent="0.4">
      <c r="A1329" s="19">
        <v>45890.041666666664</v>
      </c>
      <c r="B1329" s="20">
        <f t="shared" si="121"/>
        <v>4.1666666664241347E-2</v>
      </c>
      <c r="C1329">
        <v>0</v>
      </c>
      <c r="D1329">
        <v>489.68299999999999</v>
      </c>
      <c r="E1329">
        <f t="shared" si="120"/>
        <v>489.52800000000002</v>
      </c>
      <c r="F1329">
        <v>489.54500000000002</v>
      </c>
      <c r="G1329">
        <f t="shared" si="122"/>
        <v>0</v>
      </c>
      <c r="H1329">
        <v>1.82</v>
      </c>
      <c r="I1329">
        <f t="shared" si="123"/>
        <v>0</v>
      </c>
      <c r="J1329">
        <f t="shared" si="124"/>
        <v>0</v>
      </c>
      <c r="K1329">
        <f t="shared" si="125"/>
        <v>0</v>
      </c>
    </row>
    <row r="1330" spans="1:11" x14ac:dyDescent="0.4">
      <c r="A1330" s="19">
        <v>45890.083333333336</v>
      </c>
      <c r="B1330" s="20">
        <f t="shared" si="121"/>
        <v>8.3333333335758653E-2</v>
      </c>
      <c r="C1330">
        <v>0</v>
      </c>
      <c r="D1330">
        <v>489.68299999999999</v>
      </c>
      <c r="E1330">
        <f t="shared" si="120"/>
        <v>489.52800000000002</v>
      </c>
      <c r="F1330">
        <v>489.54500000000002</v>
      </c>
      <c r="G1330">
        <f t="shared" si="122"/>
        <v>0</v>
      </c>
      <c r="H1330">
        <v>1.82</v>
      </c>
      <c r="I1330">
        <f t="shared" si="123"/>
        <v>0</v>
      </c>
      <c r="J1330">
        <f t="shared" si="124"/>
        <v>0</v>
      </c>
      <c r="K1330">
        <f t="shared" si="125"/>
        <v>0</v>
      </c>
    </row>
    <row r="1331" spans="1:11" x14ac:dyDescent="0.4">
      <c r="A1331" s="19">
        <v>45890.125</v>
      </c>
      <c r="B1331" s="20">
        <f t="shared" si="121"/>
        <v>0.125</v>
      </c>
      <c r="C1331">
        <v>0</v>
      </c>
      <c r="D1331">
        <v>489.68299999999999</v>
      </c>
      <c r="E1331">
        <f t="shared" si="120"/>
        <v>489.52800000000002</v>
      </c>
      <c r="F1331">
        <v>489.54500000000002</v>
      </c>
      <c r="G1331">
        <f t="shared" si="122"/>
        <v>0</v>
      </c>
      <c r="H1331">
        <v>1.82</v>
      </c>
      <c r="I1331">
        <f t="shared" si="123"/>
        <v>0</v>
      </c>
      <c r="J1331">
        <f t="shared" si="124"/>
        <v>0</v>
      </c>
      <c r="K1331">
        <f t="shared" si="125"/>
        <v>0</v>
      </c>
    </row>
    <row r="1332" spans="1:11" x14ac:dyDescent="0.4">
      <c r="A1332" s="19">
        <v>45890.166666666664</v>
      </c>
      <c r="B1332" s="20">
        <f t="shared" si="121"/>
        <v>0.16666666666424135</v>
      </c>
      <c r="C1332">
        <v>0</v>
      </c>
      <c r="D1332">
        <v>489.67500000000001</v>
      </c>
      <c r="E1332">
        <f t="shared" si="120"/>
        <v>489.52000000000004</v>
      </c>
      <c r="F1332">
        <v>489.54500000000002</v>
      </c>
      <c r="G1332">
        <f t="shared" si="122"/>
        <v>0</v>
      </c>
      <c r="H1332">
        <v>1.82</v>
      </c>
      <c r="I1332">
        <f t="shared" si="123"/>
        <v>0</v>
      </c>
      <c r="J1332">
        <f t="shared" si="124"/>
        <v>0</v>
      </c>
      <c r="K1332">
        <f t="shared" si="125"/>
        <v>0</v>
      </c>
    </row>
    <row r="1333" spans="1:11" x14ac:dyDescent="0.4">
      <c r="A1333" s="19">
        <v>45890.208333333336</v>
      </c>
      <c r="B1333" s="20">
        <f t="shared" si="121"/>
        <v>0.20833333333575865</v>
      </c>
      <c r="C1333">
        <v>0</v>
      </c>
      <c r="D1333">
        <v>489.67</v>
      </c>
      <c r="E1333">
        <f t="shared" si="120"/>
        <v>489.51500000000004</v>
      </c>
      <c r="F1333">
        <v>489.54500000000002</v>
      </c>
      <c r="G1333">
        <f t="shared" si="122"/>
        <v>0</v>
      </c>
      <c r="H1333">
        <v>1.82</v>
      </c>
      <c r="I1333">
        <f t="shared" si="123"/>
        <v>0</v>
      </c>
      <c r="J1333">
        <f t="shared" si="124"/>
        <v>0</v>
      </c>
      <c r="K1333">
        <f t="shared" si="125"/>
        <v>0</v>
      </c>
    </row>
    <row r="1334" spans="1:11" x14ac:dyDescent="0.4">
      <c r="A1334" s="19">
        <v>45890.25</v>
      </c>
      <c r="B1334" s="20">
        <f t="shared" si="121"/>
        <v>0.25</v>
      </c>
      <c r="C1334">
        <v>0</v>
      </c>
      <c r="D1334">
        <v>489.67</v>
      </c>
      <c r="E1334">
        <f t="shared" si="120"/>
        <v>489.51500000000004</v>
      </c>
      <c r="F1334">
        <v>489.54500000000002</v>
      </c>
      <c r="G1334">
        <f t="shared" si="122"/>
        <v>0</v>
      </c>
      <c r="H1334">
        <v>1.82</v>
      </c>
      <c r="I1334">
        <f t="shared" si="123"/>
        <v>0</v>
      </c>
      <c r="J1334">
        <f t="shared" si="124"/>
        <v>0</v>
      </c>
      <c r="K1334">
        <f t="shared" si="125"/>
        <v>0</v>
      </c>
    </row>
    <row r="1335" spans="1:11" x14ac:dyDescent="0.4">
      <c r="A1335" s="19">
        <v>45890.291666666664</v>
      </c>
      <c r="B1335" s="20">
        <f t="shared" si="121"/>
        <v>0.29166666666424135</v>
      </c>
      <c r="C1335">
        <v>0</v>
      </c>
      <c r="D1335">
        <v>489.66899999999998</v>
      </c>
      <c r="E1335">
        <f t="shared" si="120"/>
        <v>489.51400000000001</v>
      </c>
      <c r="F1335">
        <v>489.54500000000002</v>
      </c>
      <c r="G1335">
        <f t="shared" si="122"/>
        <v>0</v>
      </c>
      <c r="H1335">
        <v>1.82</v>
      </c>
      <c r="I1335">
        <f t="shared" si="123"/>
        <v>0</v>
      </c>
      <c r="J1335">
        <f t="shared" si="124"/>
        <v>0</v>
      </c>
      <c r="K1335">
        <f t="shared" si="125"/>
        <v>0</v>
      </c>
    </row>
    <row r="1336" spans="1:11" x14ac:dyDescent="0.4">
      <c r="A1336" s="19">
        <v>45890.333333333336</v>
      </c>
      <c r="B1336" s="20">
        <f t="shared" si="121"/>
        <v>0.33333333333575865</v>
      </c>
      <c r="C1336">
        <v>0</v>
      </c>
      <c r="D1336">
        <v>489.66899999999998</v>
      </c>
      <c r="E1336">
        <f t="shared" si="120"/>
        <v>489.51400000000001</v>
      </c>
      <c r="F1336">
        <v>489.54500000000002</v>
      </c>
      <c r="G1336">
        <f t="shared" si="122"/>
        <v>0</v>
      </c>
      <c r="H1336">
        <v>1.82</v>
      </c>
      <c r="I1336">
        <f t="shared" si="123"/>
        <v>0</v>
      </c>
      <c r="J1336">
        <f t="shared" si="124"/>
        <v>0</v>
      </c>
      <c r="K1336">
        <f t="shared" si="125"/>
        <v>0</v>
      </c>
    </row>
    <row r="1337" spans="1:11" x14ac:dyDescent="0.4">
      <c r="A1337" s="19">
        <v>45890.375</v>
      </c>
      <c r="B1337" s="20">
        <f t="shared" si="121"/>
        <v>0.375</v>
      </c>
      <c r="C1337">
        <v>0</v>
      </c>
      <c r="D1337">
        <v>489.66899999999998</v>
      </c>
      <c r="E1337">
        <f t="shared" si="120"/>
        <v>489.51400000000001</v>
      </c>
      <c r="F1337">
        <v>489.54500000000002</v>
      </c>
      <c r="G1337">
        <f t="shared" si="122"/>
        <v>0</v>
      </c>
      <c r="H1337">
        <v>1.82</v>
      </c>
      <c r="I1337">
        <f t="shared" si="123"/>
        <v>0</v>
      </c>
      <c r="J1337">
        <f t="shared" si="124"/>
        <v>0</v>
      </c>
      <c r="K1337">
        <f t="shared" si="125"/>
        <v>0</v>
      </c>
    </row>
    <row r="1338" spans="1:11" x14ac:dyDescent="0.4">
      <c r="A1338" s="19">
        <v>45890.416666666664</v>
      </c>
      <c r="B1338" s="20">
        <f t="shared" si="121"/>
        <v>0.41666666666424135</v>
      </c>
      <c r="C1338">
        <v>0</v>
      </c>
      <c r="D1338">
        <v>489.66899999999998</v>
      </c>
      <c r="E1338">
        <f t="shared" si="120"/>
        <v>489.51400000000001</v>
      </c>
      <c r="F1338">
        <v>489.54500000000002</v>
      </c>
      <c r="G1338">
        <f t="shared" si="122"/>
        <v>0</v>
      </c>
      <c r="H1338">
        <v>1.82</v>
      </c>
      <c r="I1338">
        <f t="shared" si="123"/>
        <v>0</v>
      </c>
      <c r="J1338">
        <f t="shared" si="124"/>
        <v>0</v>
      </c>
      <c r="K1338">
        <f t="shared" si="125"/>
        <v>0</v>
      </c>
    </row>
    <row r="1339" spans="1:11" x14ac:dyDescent="0.4">
      <c r="A1339" s="19">
        <v>45890.458333333336</v>
      </c>
      <c r="B1339" s="20">
        <f t="shared" si="121"/>
        <v>0.45833333333575865</v>
      </c>
      <c r="C1339">
        <v>0</v>
      </c>
      <c r="D1339">
        <v>489.66899999999998</v>
      </c>
      <c r="E1339">
        <f t="shared" si="120"/>
        <v>489.51400000000001</v>
      </c>
      <c r="F1339">
        <v>489.54500000000002</v>
      </c>
      <c r="G1339">
        <f t="shared" si="122"/>
        <v>0</v>
      </c>
      <c r="H1339">
        <v>1.82</v>
      </c>
      <c r="I1339">
        <f t="shared" si="123"/>
        <v>0</v>
      </c>
      <c r="J1339">
        <f t="shared" si="124"/>
        <v>0</v>
      </c>
      <c r="K1339">
        <f t="shared" si="125"/>
        <v>0</v>
      </c>
    </row>
    <row r="1340" spans="1:11" x14ac:dyDescent="0.4">
      <c r="A1340" s="19">
        <v>45890.5</v>
      </c>
      <c r="B1340" s="20">
        <f t="shared" si="121"/>
        <v>0.5</v>
      </c>
      <c r="C1340">
        <v>0</v>
      </c>
      <c r="D1340">
        <v>489.66199999999998</v>
      </c>
      <c r="E1340">
        <f t="shared" si="120"/>
        <v>489.50700000000001</v>
      </c>
      <c r="F1340">
        <v>489.54500000000002</v>
      </c>
      <c r="G1340">
        <f t="shared" si="122"/>
        <v>0</v>
      </c>
      <c r="H1340">
        <v>1.82</v>
      </c>
      <c r="I1340">
        <f t="shared" si="123"/>
        <v>0</v>
      </c>
      <c r="J1340">
        <f t="shared" si="124"/>
        <v>0</v>
      </c>
      <c r="K1340">
        <f t="shared" si="125"/>
        <v>0</v>
      </c>
    </row>
    <row r="1341" spans="1:11" x14ac:dyDescent="0.4">
      <c r="A1341" s="19">
        <v>45890.541666666664</v>
      </c>
      <c r="B1341" s="20">
        <f t="shared" si="121"/>
        <v>0.54166666666424135</v>
      </c>
      <c r="C1341">
        <v>0</v>
      </c>
      <c r="D1341">
        <v>489.66199999999998</v>
      </c>
      <c r="E1341">
        <f t="shared" si="120"/>
        <v>489.50700000000001</v>
      </c>
      <c r="F1341">
        <v>489.54500000000002</v>
      </c>
      <c r="G1341">
        <f t="shared" si="122"/>
        <v>0</v>
      </c>
      <c r="H1341">
        <v>1.82</v>
      </c>
      <c r="I1341">
        <f t="shared" si="123"/>
        <v>0</v>
      </c>
      <c r="J1341">
        <f t="shared" si="124"/>
        <v>0</v>
      </c>
      <c r="K1341">
        <f t="shared" si="125"/>
        <v>0</v>
      </c>
    </row>
    <row r="1342" spans="1:11" x14ac:dyDescent="0.4">
      <c r="A1342" s="19">
        <v>45890.583333333336</v>
      </c>
      <c r="B1342" s="20">
        <f t="shared" si="121"/>
        <v>0.58333333333575865</v>
      </c>
      <c r="C1342">
        <v>0</v>
      </c>
      <c r="D1342">
        <v>489.66300000000001</v>
      </c>
      <c r="E1342">
        <f t="shared" si="120"/>
        <v>489.50800000000004</v>
      </c>
      <c r="F1342">
        <v>489.54500000000002</v>
      </c>
      <c r="G1342">
        <f t="shared" si="122"/>
        <v>0</v>
      </c>
      <c r="H1342">
        <v>1.82</v>
      </c>
      <c r="I1342">
        <f t="shared" si="123"/>
        <v>0</v>
      </c>
      <c r="J1342">
        <f t="shared" si="124"/>
        <v>0</v>
      </c>
      <c r="K1342">
        <f t="shared" si="125"/>
        <v>0</v>
      </c>
    </row>
    <row r="1343" spans="1:11" x14ac:dyDescent="0.4">
      <c r="A1343" s="19">
        <v>45890.625</v>
      </c>
      <c r="B1343" s="20">
        <f t="shared" si="121"/>
        <v>0.625</v>
      </c>
      <c r="C1343">
        <v>0</v>
      </c>
      <c r="D1343">
        <v>489.66300000000001</v>
      </c>
      <c r="E1343">
        <f t="shared" si="120"/>
        <v>489.50800000000004</v>
      </c>
      <c r="F1343">
        <v>489.54500000000002</v>
      </c>
      <c r="G1343">
        <f t="shared" si="122"/>
        <v>0</v>
      </c>
      <c r="H1343">
        <v>1.82</v>
      </c>
      <c r="I1343">
        <f t="shared" si="123"/>
        <v>0</v>
      </c>
      <c r="J1343">
        <f t="shared" si="124"/>
        <v>0</v>
      </c>
      <c r="K1343">
        <f t="shared" si="125"/>
        <v>0</v>
      </c>
    </row>
    <row r="1344" spans="1:11" x14ac:dyDescent="0.4">
      <c r="A1344" s="19">
        <v>45890.666666666664</v>
      </c>
      <c r="B1344" s="20">
        <f t="shared" si="121"/>
        <v>0.66666666666424135</v>
      </c>
      <c r="C1344">
        <v>0</v>
      </c>
      <c r="D1344">
        <v>489.66199999999998</v>
      </c>
      <c r="E1344">
        <f t="shared" si="120"/>
        <v>489.50700000000001</v>
      </c>
      <c r="F1344">
        <v>489.54500000000002</v>
      </c>
      <c r="G1344">
        <f t="shared" si="122"/>
        <v>0</v>
      </c>
      <c r="H1344">
        <v>1.82</v>
      </c>
      <c r="I1344">
        <f t="shared" si="123"/>
        <v>0</v>
      </c>
      <c r="J1344">
        <f t="shared" si="124"/>
        <v>0</v>
      </c>
      <c r="K1344">
        <f t="shared" si="125"/>
        <v>0</v>
      </c>
    </row>
    <row r="1345" spans="1:11" x14ac:dyDescent="0.4">
      <c r="A1345" s="19">
        <v>45890.708333333336</v>
      </c>
      <c r="B1345" s="20">
        <f t="shared" si="121"/>
        <v>0.70833333333575865</v>
      </c>
      <c r="C1345">
        <v>0</v>
      </c>
      <c r="D1345">
        <v>489.66199999999998</v>
      </c>
      <c r="E1345">
        <f t="shared" si="120"/>
        <v>489.50700000000001</v>
      </c>
      <c r="F1345">
        <v>489.54500000000002</v>
      </c>
      <c r="G1345">
        <f t="shared" si="122"/>
        <v>0</v>
      </c>
      <c r="H1345">
        <v>1.82</v>
      </c>
      <c r="I1345">
        <f t="shared" si="123"/>
        <v>0</v>
      </c>
      <c r="J1345">
        <f t="shared" si="124"/>
        <v>0</v>
      </c>
      <c r="K1345">
        <f t="shared" si="125"/>
        <v>0</v>
      </c>
    </row>
    <row r="1346" spans="1:11" x14ac:dyDescent="0.4">
      <c r="A1346" s="19">
        <v>45890.75</v>
      </c>
      <c r="B1346" s="20">
        <f t="shared" si="121"/>
        <v>0.75</v>
      </c>
      <c r="C1346">
        <v>0</v>
      </c>
      <c r="D1346">
        <v>489.66300000000001</v>
      </c>
      <c r="E1346">
        <f t="shared" ref="E1346:E1409" si="126">D1346-0.155</f>
        <v>489.50800000000004</v>
      </c>
      <c r="F1346">
        <v>489.54500000000002</v>
      </c>
      <c r="G1346">
        <f t="shared" si="122"/>
        <v>0</v>
      </c>
      <c r="H1346">
        <v>1.82</v>
      </c>
      <c r="I1346">
        <f t="shared" si="123"/>
        <v>0</v>
      </c>
      <c r="J1346">
        <f t="shared" si="124"/>
        <v>0</v>
      </c>
      <c r="K1346">
        <f t="shared" si="125"/>
        <v>0</v>
      </c>
    </row>
    <row r="1347" spans="1:11" x14ac:dyDescent="0.4">
      <c r="A1347" s="19">
        <v>45890.791666666664</v>
      </c>
      <c r="B1347" s="20">
        <f t="shared" ref="B1347:B1410" si="127">MOD(A1347,1)</f>
        <v>0.79166666666424135</v>
      </c>
      <c r="C1347">
        <v>0</v>
      </c>
      <c r="D1347">
        <v>489.65699999999998</v>
      </c>
      <c r="E1347">
        <f t="shared" si="126"/>
        <v>489.50200000000001</v>
      </c>
      <c r="F1347">
        <v>489.54500000000002</v>
      </c>
      <c r="G1347">
        <f t="shared" ref="G1347:G1410" si="128">IF(E1347 - F1347 &lt; 0, 0, E1347 - F1347)</f>
        <v>0</v>
      </c>
      <c r="H1347">
        <v>1.82</v>
      </c>
      <c r="I1347">
        <f t="shared" ref="I1347:I1410" si="129">1.82*30*(G1347^1.5)</f>
        <v>0</v>
      </c>
      <c r="J1347">
        <f t="shared" ref="J1347:J1410" si="130">I1347*60</f>
        <v>0</v>
      </c>
      <c r="K1347">
        <f t="shared" ref="K1347:K1410" si="131">(I1347*86400)/24</f>
        <v>0</v>
      </c>
    </row>
    <row r="1348" spans="1:11" x14ac:dyDescent="0.4">
      <c r="A1348" s="19">
        <v>45890.833333333336</v>
      </c>
      <c r="B1348" s="20">
        <f t="shared" si="127"/>
        <v>0.83333333333575865</v>
      </c>
      <c r="C1348">
        <v>0</v>
      </c>
      <c r="D1348">
        <v>489.65699999999998</v>
      </c>
      <c r="E1348">
        <f t="shared" si="126"/>
        <v>489.50200000000001</v>
      </c>
      <c r="F1348">
        <v>489.54500000000002</v>
      </c>
      <c r="G1348">
        <f t="shared" si="128"/>
        <v>0</v>
      </c>
      <c r="H1348">
        <v>1.82</v>
      </c>
      <c r="I1348">
        <f t="shared" si="129"/>
        <v>0</v>
      </c>
      <c r="J1348">
        <f t="shared" si="130"/>
        <v>0</v>
      </c>
      <c r="K1348">
        <f t="shared" si="131"/>
        <v>0</v>
      </c>
    </row>
    <row r="1349" spans="1:11" x14ac:dyDescent="0.4">
      <c r="A1349" s="19">
        <v>45890.875</v>
      </c>
      <c r="B1349" s="20">
        <f t="shared" si="127"/>
        <v>0.875</v>
      </c>
      <c r="C1349">
        <v>0</v>
      </c>
      <c r="D1349">
        <v>489.65699999999998</v>
      </c>
      <c r="E1349">
        <f t="shared" si="126"/>
        <v>489.50200000000001</v>
      </c>
      <c r="F1349">
        <v>489.54500000000002</v>
      </c>
      <c r="G1349">
        <f t="shared" si="128"/>
        <v>0</v>
      </c>
      <c r="H1349">
        <v>1.82</v>
      </c>
      <c r="I1349">
        <f t="shared" si="129"/>
        <v>0</v>
      </c>
      <c r="J1349">
        <f t="shared" si="130"/>
        <v>0</v>
      </c>
      <c r="K1349">
        <f t="shared" si="131"/>
        <v>0</v>
      </c>
    </row>
    <row r="1350" spans="1:11" x14ac:dyDescent="0.4">
      <c r="A1350" s="19">
        <v>45890.916666666664</v>
      </c>
      <c r="B1350" s="20">
        <f t="shared" si="127"/>
        <v>0.91666666666424135</v>
      </c>
      <c r="C1350">
        <v>0</v>
      </c>
      <c r="D1350">
        <v>489.649</v>
      </c>
      <c r="E1350">
        <f t="shared" si="126"/>
        <v>489.49400000000003</v>
      </c>
      <c r="F1350">
        <v>489.54500000000002</v>
      </c>
      <c r="G1350">
        <f t="shared" si="128"/>
        <v>0</v>
      </c>
      <c r="H1350">
        <v>1.82</v>
      </c>
      <c r="I1350">
        <f t="shared" si="129"/>
        <v>0</v>
      </c>
      <c r="J1350">
        <f t="shared" si="130"/>
        <v>0</v>
      </c>
      <c r="K1350">
        <f t="shared" si="131"/>
        <v>0</v>
      </c>
    </row>
    <row r="1351" spans="1:11" x14ac:dyDescent="0.4">
      <c r="A1351" s="19">
        <v>45890.958333333336</v>
      </c>
      <c r="B1351" s="20">
        <f t="shared" si="127"/>
        <v>0.95833333333575865</v>
      </c>
      <c r="C1351">
        <v>0</v>
      </c>
      <c r="D1351">
        <v>489.65</v>
      </c>
      <c r="E1351">
        <f t="shared" si="126"/>
        <v>489.495</v>
      </c>
      <c r="F1351">
        <v>489.54500000000002</v>
      </c>
      <c r="G1351">
        <f t="shared" si="128"/>
        <v>0</v>
      </c>
      <c r="H1351">
        <v>1.82</v>
      </c>
      <c r="I1351">
        <f t="shared" si="129"/>
        <v>0</v>
      </c>
      <c r="J1351">
        <f t="shared" si="130"/>
        <v>0</v>
      </c>
      <c r="K1351">
        <f t="shared" si="131"/>
        <v>0</v>
      </c>
    </row>
    <row r="1352" spans="1:11" x14ac:dyDescent="0.4">
      <c r="A1352" s="19">
        <v>45891</v>
      </c>
      <c r="B1352" s="20">
        <f t="shared" si="127"/>
        <v>0</v>
      </c>
      <c r="C1352">
        <v>0</v>
      </c>
      <c r="D1352">
        <v>489.649</v>
      </c>
      <c r="E1352">
        <f t="shared" si="126"/>
        <v>489.49400000000003</v>
      </c>
      <c r="F1352">
        <v>489.54500000000002</v>
      </c>
      <c r="G1352">
        <f t="shared" si="128"/>
        <v>0</v>
      </c>
      <c r="H1352">
        <v>1.82</v>
      </c>
      <c r="I1352">
        <f t="shared" si="129"/>
        <v>0</v>
      </c>
      <c r="J1352">
        <f t="shared" si="130"/>
        <v>0</v>
      </c>
      <c r="K1352">
        <f t="shared" si="131"/>
        <v>0</v>
      </c>
    </row>
    <row r="1353" spans="1:11" x14ac:dyDescent="0.4">
      <c r="A1353" s="19">
        <v>45891.041666666664</v>
      </c>
      <c r="B1353" s="20">
        <f t="shared" si="127"/>
        <v>4.1666666664241347E-2</v>
      </c>
      <c r="C1353">
        <v>0</v>
      </c>
      <c r="D1353">
        <v>489.649</v>
      </c>
      <c r="E1353">
        <f t="shared" si="126"/>
        <v>489.49400000000003</v>
      </c>
      <c r="F1353">
        <v>489.54500000000002</v>
      </c>
      <c r="G1353">
        <f t="shared" si="128"/>
        <v>0</v>
      </c>
      <c r="H1353">
        <v>1.82</v>
      </c>
      <c r="I1353">
        <f t="shared" si="129"/>
        <v>0</v>
      </c>
      <c r="J1353">
        <f t="shared" si="130"/>
        <v>0</v>
      </c>
      <c r="K1353">
        <f t="shared" si="131"/>
        <v>0</v>
      </c>
    </row>
    <row r="1354" spans="1:11" x14ac:dyDescent="0.4">
      <c r="A1354" s="19">
        <v>45891.083333333336</v>
      </c>
      <c r="B1354" s="20">
        <f t="shared" si="127"/>
        <v>8.3333333335758653E-2</v>
      </c>
      <c r="C1354">
        <v>0</v>
      </c>
      <c r="D1354">
        <v>489.64299999999997</v>
      </c>
      <c r="E1354">
        <f t="shared" si="126"/>
        <v>489.488</v>
      </c>
      <c r="F1354">
        <v>489.54500000000002</v>
      </c>
      <c r="G1354">
        <f t="shared" si="128"/>
        <v>0</v>
      </c>
      <c r="H1354">
        <v>1.82</v>
      </c>
      <c r="I1354">
        <f t="shared" si="129"/>
        <v>0</v>
      </c>
      <c r="J1354">
        <f t="shared" si="130"/>
        <v>0</v>
      </c>
      <c r="K1354">
        <f t="shared" si="131"/>
        <v>0</v>
      </c>
    </row>
    <row r="1355" spans="1:11" x14ac:dyDescent="0.4">
      <c r="A1355" s="19">
        <v>45891.125</v>
      </c>
      <c r="B1355" s="20">
        <f t="shared" si="127"/>
        <v>0.125</v>
      </c>
      <c r="C1355">
        <v>0</v>
      </c>
      <c r="D1355">
        <v>489.64299999999997</v>
      </c>
      <c r="E1355">
        <f t="shared" si="126"/>
        <v>489.488</v>
      </c>
      <c r="F1355">
        <v>489.54500000000002</v>
      </c>
      <c r="G1355">
        <f t="shared" si="128"/>
        <v>0</v>
      </c>
      <c r="H1355">
        <v>1.82</v>
      </c>
      <c r="I1355">
        <f t="shared" si="129"/>
        <v>0</v>
      </c>
      <c r="J1355">
        <f t="shared" si="130"/>
        <v>0</v>
      </c>
      <c r="K1355">
        <f t="shared" si="131"/>
        <v>0</v>
      </c>
    </row>
    <row r="1356" spans="1:11" x14ac:dyDescent="0.4">
      <c r="A1356" s="19">
        <v>45891.166666666664</v>
      </c>
      <c r="B1356" s="20">
        <f t="shared" si="127"/>
        <v>0.16666666666424135</v>
      </c>
      <c r="C1356">
        <v>0</v>
      </c>
      <c r="D1356">
        <v>489.64299999999997</v>
      </c>
      <c r="E1356">
        <f t="shared" si="126"/>
        <v>489.488</v>
      </c>
      <c r="F1356">
        <v>489.54500000000002</v>
      </c>
      <c r="G1356">
        <f t="shared" si="128"/>
        <v>0</v>
      </c>
      <c r="H1356">
        <v>1.82</v>
      </c>
      <c r="I1356">
        <f t="shared" si="129"/>
        <v>0</v>
      </c>
      <c r="J1356">
        <f t="shared" si="130"/>
        <v>0</v>
      </c>
      <c r="K1356">
        <f t="shared" si="131"/>
        <v>0</v>
      </c>
    </row>
    <row r="1357" spans="1:11" x14ac:dyDescent="0.4">
      <c r="A1357" s="19">
        <v>45891.208333333336</v>
      </c>
      <c r="B1357" s="20">
        <f t="shared" si="127"/>
        <v>0.20833333333575865</v>
      </c>
      <c r="C1357">
        <v>0</v>
      </c>
      <c r="D1357">
        <v>489.65699999999998</v>
      </c>
      <c r="E1357">
        <f t="shared" si="126"/>
        <v>489.50200000000001</v>
      </c>
      <c r="F1357">
        <v>489.54500000000002</v>
      </c>
      <c r="G1357">
        <f t="shared" si="128"/>
        <v>0</v>
      </c>
      <c r="H1357">
        <v>1.82</v>
      </c>
      <c r="I1357">
        <f t="shared" si="129"/>
        <v>0</v>
      </c>
      <c r="J1357">
        <f t="shared" si="130"/>
        <v>0</v>
      </c>
      <c r="K1357">
        <f t="shared" si="131"/>
        <v>0</v>
      </c>
    </row>
    <row r="1358" spans="1:11" x14ac:dyDescent="0.4">
      <c r="A1358" s="19">
        <v>45891.25</v>
      </c>
      <c r="B1358" s="20">
        <f t="shared" si="127"/>
        <v>0.25</v>
      </c>
      <c r="C1358">
        <v>0</v>
      </c>
      <c r="D1358">
        <v>489.65699999999998</v>
      </c>
      <c r="E1358">
        <f t="shared" si="126"/>
        <v>489.50200000000001</v>
      </c>
      <c r="F1358">
        <v>489.54500000000002</v>
      </c>
      <c r="G1358">
        <f t="shared" si="128"/>
        <v>0</v>
      </c>
      <c r="H1358">
        <v>1.82</v>
      </c>
      <c r="I1358">
        <f t="shared" si="129"/>
        <v>0</v>
      </c>
      <c r="J1358">
        <f t="shared" si="130"/>
        <v>0</v>
      </c>
      <c r="K1358">
        <f t="shared" si="131"/>
        <v>0</v>
      </c>
    </row>
    <row r="1359" spans="1:11" x14ac:dyDescent="0.4">
      <c r="A1359" s="19">
        <v>45891.291666666664</v>
      </c>
      <c r="B1359" s="20">
        <f t="shared" si="127"/>
        <v>0.29166666666424135</v>
      </c>
      <c r="C1359">
        <v>9.4</v>
      </c>
      <c r="D1359">
        <v>489.67</v>
      </c>
      <c r="E1359">
        <f t="shared" si="126"/>
        <v>489.51500000000004</v>
      </c>
      <c r="F1359">
        <v>489.54500000000002</v>
      </c>
      <c r="G1359">
        <f t="shared" si="128"/>
        <v>0</v>
      </c>
      <c r="H1359">
        <v>1.82</v>
      </c>
      <c r="I1359">
        <f t="shared" si="129"/>
        <v>0</v>
      </c>
      <c r="J1359">
        <f t="shared" si="130"/>
        <v>0</v>
      </c>
      <c r="K1359">
        <f t="shared" si="131"/>
        <v>0</v>
      </c>
    </row>
    <row r="1360" spans="1:11" x14ac:dyDescent="0.4">
      <c r="A1360" s="19">
        <v>45891.333333333336</v>
      </c>
      <c r="B1360" s="20">
        <f t="shared" si="127"/>
        <v>0.33333333333575865</v>
      </c>
      <c r="C1360">
        <v>0</v>
      </c>
      <c r="D1360">
        <v>489.67</v>
      </c>
      <c r="E1360">
        <f t="shared" si="126"/>
        <v>489.51500000000004</v>
      </c>
      <c r="F1360">
        <v>489.54500000000002</v>
      </c>
      <c r="G1360">
        <f t="shared" si="128"/>
        <v>0</v>
      </c>
      <c r="H1360">
        <v>1.82</v>
      </c>
      <c r="I1360">
        <f t="shared" si="129"/>
        <v>0</v>
      </c>
      <c r="J1360">
        <f t="shared" si="130"/>
        <v>0</v>
      </c>
      <c r="K1360">
        <f t="shared" si="131"/>
        <v>0</v>
      </c>
    </row>
    <row r="1361" spans="1:11" x14ac:dyDescent="0.4">
      <c r="A1361" s="19">
        <v>45891.375</v>
      </c>
      <c r="B1361" s="20">
        <f t="shared" si="127"/>
        <v>0.375</v>
      </c>
      <c r="C1361">
        <v>0</v>
      </c>
      <c r="D1361">
        <v>489.66899999999998</v>
      </c>
      <c r="E1361">
        <f t="shared" si="126"/>
        <v>489.51400000000001</v>
      </c>
      <c r="F1361">
        <v>489.54500000000002</v>
      </c>
      <c r="G1361">
        <f t="shared" si="128"/>
        <v>0</v>
      </c>
      <c r="H1361">
        <v>1.82</v>
      </c>
      <c r="I1361">
        <f t="shared" si="129"/>
        <v>0</v>
      </c>
      <c r="J1361">
        <f t="shared" si="130"/>
        <v>0</v>
      </c>
      <c r="K1361">
        <f t="shared" si="131"/>
        <v>0</v>
      </c>
    </row>
    <row r="1362" spans="1:11" x14ac:dyDescent="0.4">
      <c r="A1362" s="19">
        <v>45891.416666666664</v>
      </c>
      <c r="B1362" s="20">
        <f t="shared" si="127"/>
        <v>0.41666666666424135</v>
      </c>
      <c r="C1362">
        <v>0</v>
      </c>
      <c r="D1362">
        <v>489.67</v>
      </c>
      <c r="E1362">
        <f t="shared" si="126"/>
        <v>489.51500000000004</v>
      </c>
      <c r="F1362">
        <v>489.54500000000002</v>
      </c>
      <c r="G1362">
        <f t="shared" si="128"/>
        <v>0</v>
      </c>
      <c r="H1362">
        <v>1.82</v>
      </c>
      <c r="I1362">
        <f t="shared" si="129"/>
        <v>0</v>
      </c>
      <c r="J1362">
        <f t="shared" si="130"/>
        <v>0</v>
      </c>
      <c r="K1362">
        <f t="shared" si="131"/>
        <v>0</v>
      </c>
    </row>
    <row r="1363" spans="1:11" x14ac:dyDescent="0.4">
      <c r="A1363" s="19">
        <v>45891.458333333336</v>
      </c>
      <c r="B1363" s="20">
        <f t="shared" si="127"/>
        <v>0.45833333333575865</v>
      </c>
      <c r="C1363">
        <v>0</v>
      </c>
      <c r="D1363">
        <v>489.67</v>
      </c>
      <c r="E1363">
        <f t="shared" si="126"/>
        <v>489.51500000000004</v>
      </c>
      <c r="F1363">
        <v>489.54500000000002</v>
      </c>
      <c r="G1363">
        <f t="shared" si="128"/>
        <v>0</v>
      </c>
      <c r="H1363">
        <v>1.82</v>
      </c>
      <c r="I1363">
        <f t="shared" si="129"/>
        <v>0</v>
      </c>
      <c r="J1363">
        <f t="shared" si="130"/>
        <v>0</v>
      </c>
      <c r="K1363">
        <f t="shared" si="131"/>
        <v>0</v>
      </c>
    </row>
    <row r="1364" spans="1:11" x14ac:dyDescent="0.4">
      <c r="A1364" s="19">
        <v>45891.5</v>
      </c>
      <c r="B1364" s="20">
        <f t="shared" si="127"/>
        <v>0.5</v>
      </c>
      <c r="C1364">
        <v>0</v>
      </c>
      <c r="D1364">
        <v>489.66899999999998</v>
      </c>
      <c r="E1364">
        <f t="shared" si="126"/>
        <v>489.51400000000001</v>
      </c>
      <c r="F1364">
        <v>489.54500000000002</v>
      </c>
      <c r="G1364">
        <f t="shared" si="128"/>
        <v>0</v>
      </c>
      <c r="H1364">
        <v>1.82</v>
      </c>
      <c r="I1364">
        <f t="shared" si="129"/>
        <v>0</v>
      </c>
      <c r="J1364">
        <f t="shared" si="130"/>
        <v>0</v>
      </c>
      <c r="K1364">
        <f t="shared" si="131"/>
        <v>0</v>
      </c>
    </row>
    <row r="1365" spans="1:11" x14ac:dyDescent="0.4">
      <c r="A1365" s="19">
        <v>45891.541666666664</v>
      </c>
      <c r="B1365" s="20">
        <f t="shared" si="127"/>
        <v>0.54166666666424135</v>
      </c>
      <c r="C1365">
        <v>0</v>
      </c>
      <c r="D1365">
        <v>489.66300000000001</v>
      </c>
      <c r="E1365">
        <f t="shared" si="126"/>
        <v>489.50800000000004</v>
      </c>
      <c r="F1365">
        <v>489.54500000000002</v>
      </c>
      <c r="G1365">
        <f t="shared" si="128"/>
        <v>0</v>
      </c>
      <c r="H1365">
        <v>1.82</v>
      </c>
      <c r="I1365">
        <f t="shared" si="129"/>
        <v>0</v>
      </c>
      <c r="J1365">
        <f t="shared" si="130"/>
        <v>0</v>
      </c>
      <c r="K1365">
        <f t="shared" si="131"/>
        <v>0</v>
      </c>
    </row>
    <row r="1366" spans="1:11" x14ac:dyDescent="0.4">
      <c r="A1366" s="19">
        <v>45891.583333333336</v>
      </c>
      <c r="B1366" s="20">
        <f t="shared" si="127"/>
        <v>0.58333333333575865</v>
      </c>
      <c r="C1366">
        <v>0</v>
      </c>
      <c r="D1366">
        <v>489.66899999999998</v>
      </c>
      <c r="E1366">
        <f t="shared" si="126"/>
        <v>489.51400000000001</v>
      </c>
      <c r="F1366">
        <v>489.54500000000002</v>
      </c>
      <c r="G1366">
        <f t="shared" si="128"/>
        <v>0</v>
      </c>
      <c r="H1366">
        <v>1.82</v>
      </c>
      <c r="I1366">
        <f t="shared" si="129"/>
        <v>0</v>
      </c>
      <c r="J1366">
        <f t="shared" si="130"/>
        <v>0</v>
      </c>
      <c r="K1366">
        <f t="shared" si="131"/>
        <v>0</v>
      </c>
    </row>
    <row r="1367" spans="1:11" x14ac:dyDescent="0.4">
      <c r="A1367" s="19">
        <v>45891.625</v>
      </c>
      <c r="B1367" s="20">
        <f t="shared" si="127"/>
        <v>0.625</v>
      </c>
      <c r="C1367">
        <v>0</v>
      </c>
      <c r="D1367">
        <v>489.66199999999998</v>
      </c>
      <c r="E1367">
        <f t="shared" si="126"/>
        <v>489.50700000000001</v>
      </c>
      <c r="F1367">
        <v>489.54500000000002</v>
      </c>
      <c r="G1367">
        <f t="shared" si="128"/>
        <v>0</v>
      </c>
      <c r="H1367">
        <v>1.82</v>
      </c>
      <c r="I1367">
        <f t="shared" si="129"/>
        <v>0</v>
      </c>
      <c r="J1367">
        <f t="shared" si="130"/>
        <v>0</v>
      </c>
      <c r="K1367">
        <f t="shared" si="131"/>
        <v>0</v>
      </c>
    </row>
    <row r="1368" spans="1:11" x14ac:dyDescent="0.4">
      <c r="A1368" s="19">
        <v>45891.666666666664</v>
      </c>
      <c r="B1368" s="20">
        <f t="shared" si="127"/>
        <v>0.66666666666424135</v>
      </c>
      <c r="C1368">
        <v>0</v>
      </c>
      <c r="D1368">
        <v>489.66199999999998</v>
      </c>
      <c r="E1368">
        <f t="shared" si="126"/>
        <v>489.50700000000001</v>
      </c>
      <c r="F1368">
        <v>489.54500000000002</v>
      </c>
      <c r="G1368">
        <f t="shared" si="128"/>
        <v>0</v>
      </c>
      <c r="H1368">
        <v>1.82</v>
      </c>
      <c r="I1368">
        <f t="shared" si="129"/>
        <v>0</v>
      </c>
      <c r="J1368">
        <f t="shared" si="130"/>
        <v>0</v>
      </c>
      <c r="K1368">
        <f t="shared" si="131"/>
        <v>0</v>
      </c>
    </row>
    <row r="1369" spans="1:11" x14ac:dyDescent="0.4">
      <c r="A1369" s="19">
        <v>45891.708333333336</v>
      </c>
      <c r="B1369" s="20">
        <f t="shared" si="127"/>
        <v>0.70833333333575865</v>
      </c>
      <c r="C1369">
        <v>0</v>
      </c>
      <c r="D1369">
        <v>489.65600000000001</v>
      </c>
      <c r="E1369">
        <f t="shared" si="126"/>
        <v>489.50100000000003</v>
      </c>
      <c r="F1369">
        <v>489.54500000000002</v>
      </c>
      <c r="G1369">
        <f t="shared" si="128"/>
        <v>0</v>
      </c>
      <c r="H1369">
        <v>1.82</v>
      </c>
      <c r="I1369">
        <f t="shared" si="129"/>
        <v>0</v>
      </c>
      <c r="J1369">
        <f t="shared" si="130"/>
        <v>0</v>
      </c>
      <c r="K1369">
        <f t="shared" si="131"/>
        <v>0</v>
      </c>
    </row>
    <row r="1370" spans="1:11" x14ac:dyDescent="0.4">
      <c r="A1370" s="19">
        <v>45891.75</v>
      </c>
      <c r="B1370" s="20">
        <f t="shared" si="127"/>
        <v>0.75</v>
      </c>
      <c r="C1370">
        <v>0</v>
      </c>
      <c r="D1370">
        <v>489.65699999999998</v>
      </c>
      <c r="E1370">
        <f t="shared" si="126"/>
        <v>489.50200000000001</v>
      </c>
      <c r="F1370">
        <v>489.54500000000002</v>
      </c>
      <c r="G1370">
        <f t="shared" si="128"/>
        <v>0</v>
      </c>
      <c r="H1370">
        <v>1.82</v>
      </c>
      <c r="I1370">
        <f t="shared" si="129"/>
        <v>0</v>
      </c>
      <c r="J1370">
        <f t="shared" si="130"/>
        <v>0</v>
      </c>
      <c r="K1370">
        <f t="shared" si="131"/>
        <v>0</v>
      </c>
    </row>
    <row r="1371" spans="1:11" x14ac:dyDescent="0.4">
      <c r="A1371" s="19">
        <v>45891.791666666664</v>
      </c>
      <c r="B1371" s="20">
        <f t="shared" si="127"/>
        <v>0.79166666666424135</v>
      </c>
      <c r="C1371">
        <v>0</v>
      </c>
      <c r="D1371">
        <v>489.65699999999998</v>
      </c>
      <c r="E1371">
        <f t="shared" si="126"/>
        <v>489.50200000000001</v>
      </c>
      <c r="F1371">
        <v>489.54500000000002</v>
      </c>
      <c r="G1371">
        <f t="shared" si="128"/>
        <v>0</v>
      </c>
      <c r="H1371">
        <v>1.82</v>
      </c>
      <c r="I1371">
        <f t="shared" si="129"/>
        <v>0</v>
      </c>
      <c r="J1371">
        <f t="shared" si="130"/>
        <v>0</v>
      </c>
      <c r="K1371">
        <f t="shared" si="131"/>
        <v>0</v>
      </c>
    </row>
    <row r="1372" spans="1:11" x14ac:dyDescent="0.4">
      <c r="A1372" s="19">
        <v>45891.833333333336</v>
      </c>
      <c r="B1372" s="20">
        <f t="shared" si="127"/>
        <v>0.83333333333575865</v>
      </c>
      <c r="C1372">
        <v>0</v>
      </c>
      <c r="D1372">
        <v>489.649</v>
      </c>
      <c r="E1372">
        <f t="shared" si="126"/>
        <v>489.49400000000003</v>
      </c>
      <c r="F1372">
        <v>489.54500000000002</v>
      </c>
      <c r="G1372">
        <f t="shared" si="128"/>
        <v>0</v>
      </c>
      <c r="H1372">
        <v>1.82</v>
      </c>
      <c r="I1372">
        <f t="shared" si="129"/>
        <v>0</v>
      </c>
      <c r="J1372">
        <f t="shared" si="130"/>
        <v>0</v>
      </c>
      <c r="K1372">
        <f t="shared" si="131"/>
        <v>0</v>
      </c>
    </row>
    <row r="1373" spans="1:11" x14ac:dyDescent="0.4">
      <c r="A1373" s="19">
        <v>45891.875</v>
      </c>
      <c r="B1373" s="20">
        <f t="shared" si="127"/>
        <v>0.875</v>
      </c>
      <c r="C1373">
        <v>0</v>
      </c>
      <c r="D1373">
        <v>489.65</v>
      </c>
      <c r="E1373">
        <f t="shared" si="126"/>
        <v>489.495</v>
      </c>
      <c r="F1373">
        <v>489.54500000000002</v>
      </c>
      <c r="G1373">
        <f t="shared" si="128"/>
        <v>0</v>
      </c>
      <c r="H1373">
        <v>1.82</v>
      </c>
      <c r="I1373">
        <f t="shared" si="129"/>
        <v>0</v>
      </c>
      <c r="J1373">
        <f t="shared" si="130"/>
        <v>0</v>
      </c>
      <c r="K1373">
        <f t="shared" si="131"/>
        <v>0</v>
      </c>
    </row>
    <row r="1374" spans="1:11" x14ac:dyDescent="0.4">
      <c r="A1374" s="19">
        <v>45891.916666666664</v>
      </c>
      <c r="B1374" s="20">
        <f t="shared" si="127"/>
        <v>0.91666666666424135</v>
      </c>
      <c r="C1374">
        <v>0</v>
      </c>
      <c r="D1374">
        <v>489.65</v>
      </c>
      <c r="E1374">
        <f t="shared" si="126"/>
        <v>489.495</v>
      </c>
      <c r="F1374">
        <v>489.54500000000002</v>
      </c>
      <c r="G1374">
        <f t="shared" si="128"/>
        <v>0</v>
      </c>
      <c r="H1374">
        <v>1.82</v>
      </c>
      <c r="I1374">
        <f t="shared" si="129"/>
        <v>0</v>
      </c>
      <c r="J1374">
        <f t="shared" si="130"/>
        <v>0</v>
      </c>
      <c r="K1374">
        <f t="shared" si="131"/>
        <v>0</v>
      </c>
    </row>
    <row r="1375" spans="1:11" x14ac:dyDescent="0.4">
      <c r="A1375" s="19">
        <v>45891.958333333336</v>
      </c>
      <c r="B1375" s="20">
        <f t="shared" si="127"/>
        <v>0.95833333333575865</v>
      </c>
      <c r="C1375">
        <v>0</v>
      </c>
      <c r="D1375">
        <v>489.65</v>
      </c>
      <c r="E1375">
        <f t="shared" si="126"/>
        <v>489.495</v>
      </c>
      <c r="F1375">
        <v>489.54500000000002</v>
      </c>
      <c r="G1375">
        <f t="shared" si="128"/>
        <v>0</v>
      </c>
      <c r="H1375">
        <v>1.82</v>
      </c>
      <c r="I1375">
        <f t="shared" si="129"/>
        <v>0</v>
      </c>
      <c r="J1375">
        <f t="shared" si="130"/>
        <v>0</v>
      </c>
      <c r="K1375">
        <f t="shared" si="131"/>
        <v>0</v>
      </c>
    </row>
    <row r="1376" spans="1:11" x14ac:dyDescent="0.4">
      <c r="A1376" s="19">
        <v>45892</v>
      </c>
      <c r="B1376" s="20">
        <f t="shared" si="127"/>
        <v>0</v>
      </c>
      <c r="C1376">
        <v>0</v>
      </c>
      <c r="D1376">
        <v>489.65</v>
      </c>
      <c r="E1376">
        <f t="shared" si="126"/>
        <v>489.495</v>
      </c>
      <c r="F1376">
        <v>489.54500000000002</v>
      </c>
      <c r="G1376">
        <f t="shared" si="128"/>
        <v>0</v>
      </c>
      <c r="H1376">
        <v>1.82</v>
      </c>
      <c r="I1376">
        <f t="shared" si="129"/>
        <v>0</v>
      </c>
      <c r="J1376">
        <f t="shared" si="130"/>
        <v>0</v>
      </c>
      <c r="K1376">
        <f t="shared" si="131"/>
        <v>0</v>
      </c>
    </row>
    <row r="1377" spans="1:11" x14ac:dyDescent="0.4">
      <c r="A1377" s="19">
        <v>45892.041666666664</v>
      </c>
      <c r="B1377" s="20">
        <f t="shared" si="127"/>
        <v>4.1666666664241347E-2</v>
      </c>
      <c r="C1377">
        <v>0</v>
      </c>
      <c r="D1377">
        <v>489.649</v>
      </c>
      <c r="E1377">
        <f t="shared" si="126"/>
        <v>489.49400000000003</v>
      </c>
      <c r="F1377">
        <v>489.54500000000002</v>
      </c>
      <c r="G1377">
        <f t="shared" si="128"/>
        <v>0</v>
      </c>
      <c r="H1377">
        <v>1.82</v>
      </c>
      <c r="I1377">
        <f t="shared" si="129"/>
        <v>0</v>
      </c>
      <c r="J1377">
        <f t="shared" si="130"/>
        <v>0</v>
      </c>
      <c r="K1377">
        <f t="shared" si="131"/>
        <v>0</v>
      </c>
    </row>
    <row r="1378" spans="1:11" x14ac:dyDescent="0.4">
      <c r="A1378" s="19">
        <v>45892.083333333336</v>
      </c>
      <c r="B1378" s="20">
        <f t="shared" si="127"/>
        <v>8.3333333335758653E-2</v>
      </c>
      <c r="C1378">
        <v>1.8</v>
      </c>
      <c r="D1378">
        <v>489.65</v>
      </c>
      <c r="E1378">
        <f t="shared" si="126"/>
        <v>489.495</v>
      </c>
      <c r="F1378">
        <v>489.54500000000002</v>
      </c>
      <c r="G1378">
        <f t="shared" si="128"/>
        <v>0</v>
      </c>
      <c r="H1378">
        <v>1.82</v>
      </c>
      <c r="I1378">
        <f t="shared" si="129"/>
        <v>0</v>
      </c>
      <c r="J1378">
        <f t="shared" si="130"/>
        <v>0</v>
      </c>
      <c r="K1378">
        <f t="shared" si="131"/>
        <v>0</v>
      </c>
    </row>
    <row r="1379" spans="1:11" x14ac:dyDescent="0.4">
      <c r="A1379" s="19">
        <v>45892.125</v>
      </c>
      <c r="B1379" s="20">
        <f t="shared" si="127"/>
        <v>0.125</v>
      </c>
      <c r="C1379">
        <v>0</v>
      </c>
      <c r="D1379">
        <v>489.64299999999997</v>
      </c>
      <c r="E1379">
        <f t="shared" si="126"/>
        <v>489.488</v>
      </c>
      <c r="F1379">
        <v>489.54500000000002</v>
      </c>
      <c r="G1379">
        <f t="shared" si="128"/>
        <v>0</v>
      </c>
      <c r="H1379">
        <v>1.82</v>
      </c>
      <c r="I1379">
        <f t="shared" si="129"/>
        <v>0</v>
      </c>
      <c r="J1379">
        <f t="shared" si="130"/>
        <v>0</v>
      </c>
      <c r="K1379">
        <f t="shared" si="131"/>
        <v>0</v>
      </c>
    </row>
    <row r="1380" spans="1:11" x14ac:dyDescent="0.4">
      <c r="A1380" s="19">
        <v>45892.166666666664</v>
      </c>
      <c r="B1380" s="20">
        <f t="shared" si="127"/>
        <v>0.16666666666424135</v>
      </c>
      <c r="C1380">
        <v>0</v>
      </c>
      <c r="D1380">
        <v>489.64299999999997</v>
      </c>
      <c r="E1380">
        <f t="shared" si="126"/>
        <v>489.488</v>
      </c>
      <c r="F1380">
        <v>489.54500000000002</v>
      </c>
      <c r="G1380">
        <f t="shared" si="128"/>
        <v>0</v>
      </c>
      <c r="H1380">
        <v>1.82</v>
      </c>
      <c r="I1380">
        <f t="shared" si="129"/>
        <v>0</v>
      </c>
      <c r="J1380">
        <f t="shared" si="130"/>
        <v>0</v>
      </c>
      <c r="K1380">
        <f t="shared" si="131"/>
        <v>0</v>
      </c>
    </row>
    <row r="1381" spans="1:11" x14ac:dyDescent="0.4">
      <c r="A1381" s="19">
        <v>45892.208333333336</v>
      </c>
      <c r="B1381" s="20">
        <f t="shared" si="127"/>
        <v>0.20833333333575865</v>
      </c>
      <c r="C1381">
        <v>0</v>
      </c>
      <c r="D1381">
        <v>489.64299999999997</v>
      </c>
      <c r="E1381">
        <f t="shared" si="126"/>
        <v>489.488</v>
      </c>
      <c r="F1381">
        <v>489.54500000000002</v>
      </c>
      <c r="G1381">
        <f t="shared" si="128"/>
        <v>0</v>
      </c>
      <c r="H1381">
        <v>1.82</v>
      </c>
      <c r="I1381">
        <f t="shared" si="129"/>
        <v>0</v>
      </c>
      <c r="J1381">
        <f t="shared" si="130"/>
        <v>0</v>
      </c>
      <c r="K1381">
        <f t="shared" si="131"/>
        <v>0</v>
      </c>
    </row>
    <row r="1382" spans="1:11" x14ac:dyDescent="0.4">
      <c r="A1382" s="19">
        <v>45892.25</v>
      </c>
      <c r="B1382" s="20">
        <f t="shared" si="127"/>
        <v>0.25</v>
      </c>
      <c r="C1382">
        <v>0</v>
      </c>
      <c r="D1382">
        <v>489.64299999999997</v>
      </c>
      <c r="E1382">
        <f t="shared" si="126"/>
        <v>489.488</v>
      </c>
      <c r="F1382">
        <v>489.54500000000002</v>
      </c>
      <c r="G1382">
        <f t="shared" si="128"/>
        <v>0</v>
      </c>
      <c r="H1382">
        <v>1.82</v>
      </c>
      <c r="I1382">
        <f t="shared" si="129"/>
        <v>0</v>
      </c>
      <c r="J1382">
        <f t="shared" si="130"/>
        <v>0</v>
      </c>
      <c r="K1382">
        <f t="shared" si="131"/>
        <v>0</v>
      </c>
    </row>
    <row r="1383" spans="1:11" x14ac:dyDescent="0.4">
      <c r="A1383" s="19">
        <v>45892.291666666664</v>
      </c>
      <c r="B1383" s="20">
        <f t="shared" si="127"/>
        <v>0.29166666666424135</v>
      </c>
      <c r="C1383">
        <v>0</v>
      </c>
      <c r="D1383">
        <v>489.64299999999997</v>
      </c>
      <c r="E1383">
        <f t="shared" si="126"/>
        <v>489.488</v>
      </c>
      <c r="F1383">
        <v>489.54500000000002</v>
      </c>
      <c r="G1383">
        <f t="shared" si="128"/>
        <v>0</v>
      </c>
      <c r="H1383">
        <v>1.82</v>
      </c>
      <c r="I1383">
        <f t="shared" si="129"/>
        <v>0</v>
      </c>
      <c r="J1383">
        <f t="shared" si="130"/>
        <v>0</v>
      </c>
      <c r="K1383">
        <f t="shared" si="131"/>
        <v>0</v>
      </c>
    </row>
    <row r="1384" spans="1:11" x14ac:dyDescent="0.4">
      <c r="A1384" s="19">
        <v>45892.333333333336</v>
      </c>
      <c r="B1384" s="20">
        <f t="shared" si="127"/>
        <v>0.33333333333575865</v>
      </c>
      <c r="C1384">
        <v>0</v>
      </c>
      <c r="D1384">
        <v>489.64299999999997</v>
      </c>
      <c r="E1384">
        <f t="shared" si="126"/>
        <v>489.488</v>
      </c>
      <c r="F1384">
        <v>489.54500000000002</v>
      </c>
      <c r="G1384">
        <f t="shared" si="128"/>
        <v>0</v>
      </c>
      <c r="H1384">
        <v>1.82</v>
      </c>
      <c r="I1384">
        <f t="shared" si="129"/>
        <v>0</v>
      </c>
      <c r="J1384">
        <f t="shared" si="130"/>
        <v>0</v>
      </c>
      <c r="K1384">
        <f t="shared" si="131"/>
        <v>0</v>
      </c>
    </row>
    <row r="1385" spans="1:11" x14ac:dyDescent="0.4">
      <c r="A1385" s="19">
        <v>45892.375</v>
      </c>
      <c r="B1385" s="20">
        <f t="shared" si="127"/>
        <v>0.375</v>
      </c>
      <c r="C1385">
        <v>0</v>
      </c>
      <c r="D1385">
        <v>489.64299999999997</v>
      </c>
      <c r="E1385">
        <f t="shared" si="126"/>
        <v>489.488</v>
      </c>
      <c r="F1385">
        <v>489.54500000000002</v>
      </c>
      <c r="G1385">
        <f t="shared" si="128"/>
        <v>0</v>
      </c>
      <c r="H1385">
        <v>1.82</v>
      </c>
      <c r="I1385">
        <f t="shared" si="129"/>
        <v>0</v>
      </c>
      <c r="J1385">
        <f t="shared" si="130"/>
        <v>0</v>
      </c>
      <c r="K1385">
        <f t="shared" si="131"/>
        <v>0</v>
      </c>
    </row>
    <row r="1386" spans="1:11" x14ac:dyDescent="0.4">
      <c r="A1386" s="19">
        <v>45892.416666666664</v>
      </c>
      <c r="B1386" s="20">
        <f t="shared" si="127"/>
        <v>0.41666666666424135</v>
      </c>
      <c r="C1386">
        <v>0</v>
      </c>
      <c r="D1386">
        <v>489.64299999999997</v>
      </c>
      <c r="E1386">
        <f t="shared" si="126"/>
        <v>489.488</v>
      </c>
      <c r="F1386">
        <v>489.54500000000002</v>
      </c>
      <c r="G1386">
        <f t="shared" si="128"/>
        <v>0</v>
      </c>
      <c r="H1386">
        <v>1.82</v>
      </c>
      <c r="I1386">
        <f t="shared" si="129"/>
        <v>0</v>
      </c>
      <c r="J1386">
        <f t="shared" si="130"/>
        <v>0</v>
      </c>
      <c r="K1386">
        <f t="shared" si="131"/>
        <v>0</v>
      </c>
    </row>
    <row r="1387" spans="1:11" x14ac:dyDescent="0.4">
      <c r="A1387" s="19">
        <v>45892.458333333336</v>
      </c>
      <c r="B1387" s="20">
        <f t="shared" si="127"/>
        <v>0.45833333333575865</v>
      </c>
      <c r="C1387">
        <v>1.2</v>
      </c>
      <c r="D1387">
        <v>489.63600000000002</v>
      </c>
      <c r="E1387">
        <f t="shared" si="126"/>
        <v>489.48100000000005</v>
      </c>
      <c r="F1387">
        <v>489.54500000000002</v>
      </c>
      <c r="G1387">
        <f t="shared" si="128"/>
        <v>0</v>
      </c>
      <c r="H1387">
        <v>1.82</v>
      </c>
      <c r="I1387">
        <f t="shared" si="129"/>
        <v>0</v>
      </c>
      <c r="J1387">
        <f t="shared" si="130"/>
        <v>0</v>
      </c>
      <c r="K1387">
        <f t="shared" si="131"/>
        <v>0</v>
      </c>
    </row>
    <row r="1388" spans="1:11" x14ac:dyDescent="0.4">
      <c r="A1388" s="19">
        <v>45892.5</v>
      </c>
      <c r="B1388" s="20">
        <f t="shared" si="127"/>
        <v>0.5</v>
      </c>
      <c r="C1388">
        <v>0.2</v>
      </c>
      <c r="D1388">
        <v>489.64299999999997</v>
      </c>
      <c r="E1388">
        <f t="shared" si="126"/>
        <v>489.488</v>
      </c>
      <c r="F1388">
        <v>489.54500000000002</v>
      </c>
      <c r="G1388">
        <f t="shared" si="128"/>
        <v>0</v>
      </c>
      <c r="H1388">
        <v>1.82</v>
      </c>
      <c r="I1388">
        <f t="shared" si="129"/>
        <v>0</v>
      </c>
      <c r="J1388">
        <f t="shared" si="130"/>
        <v>0</v>
      </c>
      <c r="K1388">
        <f t="shared" si="131"/>
        <v>0</v>
      </c>
    </row>
    <row r="1389" spans="1:11" x14ac:dyDescent="0.4">
      <c r="A1389" s="19">
        <v>45892.541666666664</v>
      </c>
      <c r="B1389" s="20">
        <f t="shared" si="127"/>
        <v>0.54166666666424135</v>
      </c>
      <c r="C1389">
        <v>0</v>
      </c>
      <c r="D1389">
        <v>489.649</v>
      </c>
      <c r="E1389">
        <f t="shared" si="126"/>
        <v>489.49400000000003</v>
      </c>
      <c r="F1389">
        <v>489.54500000000002</v>
      </c>
      <c r="G1389">
        <f t="shared" si="128"/>
        <v>0</v>
      </c>
      <c r="H1389">
        <v>1.82</v>
      </c>
      <c r="I1389">
        <f t="shared" si="129"/>
        <v>0</v>
      </c>
      <c r="J1389">
        <f t="shared" si="130"/>
        <v>0</v>
      </c>
      <c r="K1389">
        <f t="shared" si="131"/>
        <v>0</v>
      </c>
    </row>
    <row r="1390" spans="1:11" x14ac:dyDescent="0.4">
      <c r="A1390" s="19">
        <v>45892.583333333336</v>
      </c>
      <c r="B1390" s="20">
        <f t="shared" si="127"/>
        <v>0.58333333333575865</v>
      </c>
      <c r="C1390">
        <v>0</v>
      </c>
      <c r="D1390">
        <v>489.65600000000001</v>
      </c>
      <c r="E1390">
        <f t="shared" si="126"/>
        <v>489.50100000000003</v>
      </c>
      <c r="F1390">
        <v>489.54500000000002</v>
      </c>
      <c r="G1390">
        <f t="shared" si="128"/>
        <v>0</v>
      </c>
      <c r="H1390">
        <v>1.82</v>
      </c>
      <c r="I1390">
        <f t="shared" si="129"/>
        <v>0</v>
      </c>
      <c r="J1390">
        <f t="shared" si="130"/>
        <v>0</v>
      </c>
      <c r="K1390">
        <f t="shared" si="131"/>
        <v>0</v>
      </c>
    </row>
    <row r="1391" spans="1:11" x14ac:dyDescent="0.4">
      <c r="A1391" s="19">
        <v>45892.625</v>
      </c>
      <c r="B1391" s="20">
        <f t="shared" si="127"/>
        <v>0.625</v>
      </c>
      <c r="C1391">
        <v>0</v>
      </c>
      <c r="D1391">
        <v>489.65600000000001</v>
      </c>
      <c r="E1391">
        <f t="shared" si="126"/>
        <v>489.50100000000003</v>
      </c>
      <c r="F1391">
        <v>489.54500000000002</v>
      </c>
      <c r="G1391">
        <f t="shared" si="128"/>
        <v>0</v>
      </c>
      <c r="H1391">
        <v>1.82</v>
      </c>
      <c r="I1391">
        <f t="shared" si="129"/>
        <v>0</v>
      </c>
      <c r="J1391">
        <f t="shared" si="130"/>
        <v>0</v>
      </c>
      <c r="K1391">
        <f t="shared" si="131"/>
        <v>0</v>
      </c>
    </row>
    <row r="1392" spans="1:11" x14ac:dyDescent="0.4">
      <c r="A1392" s="19">
        <v>45892.666666666664</v>
      </c>
      <c r="B1392" s="20">
        <f t="shared" si="127"/>
        <v>0.66666666666424135</v>
      </c>
      <c r="C1392">
        <v>0</v>
      </c>
      <c r="D1392">
        <v>489.65600000000001</v>
      </c>
      <c r="E1392">
        <f t="shared" si="126"/>
        <v>489.50100000000003</v>
      </c>
      <c r="F1392">
        <v>489.54500000000002</v>
      </c>
      <c r="G1392">
        <f t="shared" si="128"/>
        <v>0</v>
      </c>
      <c r="H1392">
        <v>1.82</v>
      </c>
      <c r="I1392">
        <f t="shared" si="129"/>
        <v>0</v>
      </c>
      <c r="J1392">
        <f t="shared" si="130"/>
        <v>0</v>
      </c>
      <c r="K1392">
        <f t="shared" si="131"/>
        <v>0</v>
      </c>
    </row>
    <row r="1393" spans="1:11" x14ac:dyDescent="0.4">
      <c r="A1393" s="19">
        <v>45892.708333333336</v>
      </c>
      <c r="B1393" s="20">
        <f t="shared" si="127"/>
        <v>0.70833333333575865</v>
      </c>
      <c r="C1393">
        <v>0</v>
      </c>
      <c r="D1393">
        <v>489.65600000000001</v>
      </c>
      <c r="E1393">
        <f t="shared" si="126"/>
        <v>489.50100000000003</v>
      </c>
      <c r="F1393">
        <v>489.54500000000002</v>
      </c>
      <c r="G1393">
        <f t="shared" si="128"/>
        <v>0</v>
      </c>
      <c r="H1393">
        <v>1.82</v>
      </c>
      <c r="I1393">
        <f t="shared" si="129"/>
        <v>0</v>
      </c>
      <c r="J1393">
        <f t="shared" si="130"/>
        <v>0</v>
      </c>
      <c r="K1393">
        <f t="shared" si="131"/>
        <v>0</v>
      </c>
    </row>
    <row r="1394" spans="1:11" x14ac:dyDescent="0.4">
      <c r="A1394" s="19">
        <v>45892.75</v>
      </c>
      <c r="B1394" s="20">
        <f t="shared" si="127"/>
        <v>0.75</v>
      </c>
      <c r="C1394">
        <v>1.2</v>
      </c>
      <c r="D1394">
        <v>489.67</v>
      </c>
      <c r="E1394">
        <f t="shared" si="126"/>
        <v>489.51500000000004</v>
      </c>
      <c r="F1394">
        <v>489.54500000000002</v>
      </c>
      <c r="G1394">
        <f t="shared" si="128"/>
        <v>0</v>
      </c>
      <c r="H1394">
        <v>1.82</v>
      </c>
      <c r="I1394">
        <f t="shared" si="129"/>
        <v>0</v>
      </c>
      <c r="J1394">
        <f t="shared" si="130"/>
        <v>0</v>
      </c>
      <c r="K1394">
        <f t="shared" si="131"/>
        <v>0</v>
      </c>
    </row>
    <row r="1395" spans="1:11" x14ac:dyDescent="0.4">
      <c r="A1395" s="19">
        <v>45892.791666666664</v>
      </c>
      <c r="B1395" s="20">
        <f t="shared" si="127"/>
        <v>0.79166666666424135</v>
      </c>
      <c r="C1395">
        <v>0</v>
      </c>
      <c r="D1395">
        <v>489.68900000000002</v>
      </c>
      <c r="E1395">
        <f t="shared" si="126"/>
        <v>489.53400000000005</v>
      </c>
      <c r="F1395">
        <v>489.54500000000002</v>
      </c>
      <c r="G1395">
        <f t="shared" si="128"/>
        <v>0</v>
      </c>
      <c r="H1395">
        <v>1.82</v>
      </c>
      <c r="I1395">
        <f t="shared" si="129"/>
        <v>0</v>
      </c>
      <c r="J1395">
        <f t="shared" si="130"/>
        <v>0</v>
      </c>
      <c r="K1395">
        <f t="shared" si="131"/>
        <v>0</v>
      </c>
    </row>
    <row r="1396" spans="1:11" x14ac:dyDescent="0.4">
      <c r="A1396" s="19">
        <v>45892.833333333336</v>
      </c>
      <c r="B1396" s="20">
        <f t="shared" si="127"/>
        <v>0.83333333333575865</v>
      </c>
      <c r="C1396">
        <v>0</v>
      </c>
      <c r="D1396">
        <v>489.70100000000002</v>
      </c>
      <c r="E1396">
        <f t="shared" si="126"/>
        <v>489.54600000000005</v>
      </c>
      <c r="F1396">
        <v>489.54500000000002</v>
      </c>
      <c r="G1396">
        <f t="shared" si="128"/>
        <v>1.0000000000331966E-3</v>
      </c>
      <c r="H1396">
        <v>1.82</v>
      </c>
      <c r="I1396">
        <f t="shared" si="129"/>
        <v>1.7266036025379119E-3</v>
      </c>
      <c r="J1396">
        <f t="shared" si="130"/>
        <v>0.10359621615227471</v>
      </c>
      <c r="K1396">
        <f t="shared" si="131"/>
        <v>6.2157729691364834</v>
      </c>
    </row>
    <row r="1397" spans="1:11" x14ac:dyDescent="0.4">
      <c r="A1397" s="19">
        <v>45892.875</v>
      </c>
      <c r="B1397" s="20">
        <f t="shared" si="127"/>
        <v>0.875</v>
      </c>
      <c r="C1397">
        <v>0</v>
      </c>
      <c r="D1397">
        <v>489.70699999999999</v>
      </c>
      <c r="E1397">
        <f t="shared" si="126"/>
        <v>489.55200000000002</v>
      </c>
      <c r="F1397">
        <v>489.54500000000002</v>
      </c>
      <c r="G1397">
        <f t="shared" si="128"/>
        <v>7.0000000000050022E-3</v>
      </c>
      <c r="H1397">
        <v>1.82</v>
      </c>
      <c r="I1397">
        <f t="shared" si="129"/>
        <v>3.1977146214166641E-2</v>
      </c>
      <c r="J1397">
        <f t="shared" si="130"/>
        <v>1.9186287728499984</v>
      </c>
      <c r="K1397">
        <f t="shared" si="131"/>
        <v>115.1177263709999</v>
      </c>
    </row>
    <row r="1398" spans="1:11" x14ac:dyDescent="0.4">
      <c r="A1398" s="19">
        <v>45892.916666666664</v>
      </c>
      <c r="B1398" s="20">
        <f t="shared" si="127"/>
        <v>0.91666666666424135</v>
      </c>
      <c r="C1398">
        <v>0</v>
      </c>
      <c r="D1398">
        <v>489.714</v>
      </c>
      <c r="E1398">
        <f t="shared" si="126"/>
        <v>489.55900000000003</v>
      </c>
      <c r="F1398">
        <v>489.54500000000002</v>
      </c>
      <c r="G1398">
        <f t="shared" si="128"/>
        <v>1.4000000000010004E-2</v>
      </c>
      <c r="H1398">
        <v>1.82</v>
      </c>
      <c r="I1398">
        <f t="shared" si="129"/>
        <v>9.0445027724123869E-2</v>
      </c>
      <c r="J1398">
        <f t="shared" si="130"/>
        <v>5.4267016634474325</v>
      </c>
      <c r="K1398">
        <f t="shared" si="131"/>
        <v>325.60209980684596</v>
      </c>
    </row>
    <row r="1399" spans="1:11" x14ac:dyDescent="0.4">
      <c r="A1399" s="19">
        <v>45892.958333333336</v>
      </c>
      <c r="B1399" s="20">
        <f t="shared" si="127"/>
        <v>0.95833333333575865</v>
      </c>
      <c r="C1399">
        <v>0</v>
      </c>
      <c r="D1399">
        <v>489.714</v>
      </c>
      <c r="E1399">
        <f t="shared" si="126"/>
        <v>489.55900000000003</v>
      </c>
      <c r="F1399">
        <v>489.54500000000002</v>
      </c>
      <c r="G1399">
        <f t="shared" si="128"/>
        <v>1.4000000000010004E-2</v>
      </c>
      <c r="H1399">
        <v>1.82</v>
      </c>
      <c r="I1399">
        <f t="shared" si="129"/>
        <v>9.0445027724123869E-2</v>
      </c>
      <c r="J1399">
        <f t="shared" si="130"/>
        <v>5.4267016634474325</v>
      </c>
      <c r="K1399">
        <f t="shared" si="131"/>
        <v>325.60209980684596</v>
      </c>
    </row>
    <row r="1400" spans="1:11" x14ac:dyDescent="0.4">
      <c r="A1400" s="19">
        <v>45893</v>
      </c>
      <c r="B1400" s="20">
        <f t="shared" si="127"/>
        <v>0</v>
      </c>
      <c r="C1400">
        <v>0</v>
      </c>
      <c r="D1400">
        <v>489.714</v>
      </c>
      <c r="E1400">
        <f t="shared" si="126"/>
        <v>489.55900000000003</v>
      </c>
      <c r="F1400">
        <v>489.54500000000002</v>
      </c>
      <c r="G1400">
        <f t="shared" si="128"/>
        <v>1.4000000000010004E-2</v>
      </c>
      <c r="H1400">
        <v>1.82</v>
      </c>
      <c r="I1400">
        <f t="shared" si="129"/>
        <v>9.0445027724123869E-2</v>
      </c>
      <c r="J1400">
        <f t="shared" si="130"/>
        <v>5.4267016634474325</v>
      </c>
      <c r="K1400">
        <f t="shared" si="131"/>
        <v>325.60209980684596</v>
      </c>
    </row>
    <row r="1401" spans="1:11" x14ac:dyDescent="0.4">
      <c r="A1401" s="19">
        <v>45893.041666666664</v>
      </c>
      <c r="B1401" s="20">
        <f t="shared" si="127"/>
        <v>4.1666666664241347E-2</v>
      </c>
      <c r="C1401">
        <v>0</v>
      </c>
      <c r="D1401">
        <v>489.714</v>
      </c>
      <c r="E1401">
        <f t="shared" si="126"/>
        <v>489.55900000000003</v>
      </c>
      <c r="F1401">
        <v>489.54500000000002</v>
      </c>
      <c r="G1401">
        <f t="shared" si="128"/>
        <v>1.4000000000010004E-2</v>
      </c>
      <c r="H1401">
        <v>1.82</v>
      </c>
      <c r="I1401">
        <f t="shared" si="129"/>
        <v>9.0445027724123869E-2</v>
      </c>
      <c r="J1401">
        <f t="shared" si="130"/>
        <v>5.4267016634474325</v>
      </c>
      <c r="K1401">
        <f t="shared" si="131"/>
        <v>325.60209980684596</v>
      </c>
    </row>
    <row r="1402" spans="1:11" x14ac:dyDescent="0.4">
      <c r="A1402" s="19">
        <v>45893.083333333336</v>
      </c>
      <c r="B1402" s="20">
        <f t="shared" si="127"/>
        <v>8.3333333335758653E-2</v>
      </c>
      <c r="C1402">
        <v>0</v>
      </c>
      <c r="D1402">
        <v>489.714</v>
      </c>
      <c r="E1402">
        <f t="shared" si="126"/>
        <v>489.55900000000003</v>
      </c>
      <c r="F1402">
        <v>489.54500000000002</v>
      </c>
      <c r="G1402">
        <f t="shared" si="128"/>
        <v>1.4000000000010004E-2</v>
      </c>
      <c r="H1402">
        <v>1.82</v>
      </c>
      <c r="I1402">
        <f t="shared" si="129"/>
        <v>9.0445027724123869E-2</v>
      </c>
      <c r="J1402">
        <f t="shared" si="130"/>
        <v>5.4267016634474325</v>
      </c>
      <c r="K1402">
        <f t="shared" si="131"/>
        <v>325.60209980684596</v>
      </c>
    </row>
    <row r="1403" spans="1:11" x14ac:dyDescent="0.4">
      <c r="A1403" s="19">
        <v>45893.125</v>
      </c>
      <c r="B1403" s="20">
        <f t="shared" si="127"/>
        <v>0.125</v>
      </c>
      <c r="C1403">
        <v>0</v>
      </c>
      <c r="D1403">
        <v>489.714</v>
      </c>
      <c r="E1403">
        <f t="shared" si="126"/>
        <v>489.55900000000003</v>
      </c>
      <c r="F1403">
        <v>489.54500000000002</v>
      </c>
      <c r="G1403">
        <f t="shared" si="128"/>
        <v>1.4000000000010004E-2</v>
      </c>
      <c r="H1403">
        <v>1.82</v>
      </c>
      <c r="I1403">
        <f t="shared" si="129"/>
        <v>9.0445027724123869E-2</v>
      </c>
      <c r="J1403">
        <f t="shared" si="130"/>
        <v>5.4267016634474325</v>
      </c>
      <c r="K1403">
        <f t="shared" si="131"/>
        <v>325.60209980684596</v>
      </c>
    </row>
    <row r="1404" spans="1:11" x14ac:dyDescent="0.4">
      <c r="A1404" s="19">
        <v>45893.166666666664</v>
      </c>
      <c r="B1404" s="20">
        <f t="shared" si="127"/>
        <v>0.16666666666424135</v>
      </c>
      <c r="C1404">
        <v>0</v>
      </c>
      <c r="D1404">
        <v>489.714</v>
      </c>
      <c r="E1404">
        <f t="shared" si="126"/>
        <v>489.55900000000003</v>
      </c>
      <c r="F1404">
        <v>489.54500000000002</v>
      </c>
      <c r="G1404">
        <f t="shared" si="128"/>
        <v>1.4000000000010004E-2</v>
      </c>
      <c r="H1404">
        <v>1.82</v>
      </c>
      <c r="I1404">
        <f t="shared" si="129"/>
        <v>9.0445027724123869E-2</v>
      </c>
      <c r="J1404">
        <f t="shared" si="130"/>
        <v>5.4267016634474325</v>
      </c>
      <c r="K1404">
        <f t="shared" si="131"/>
        <v>325.60209980684596</v>
      </c>
    </row>
    <row r="1405" spans="1:11" x14ac:dyDescent="0.4">
      <c r="A1405" s="19">
        <v>45893.208333333336</v>
      </c>
      <c r="B1405" s="20">
        <f t="shared" si="127"/>
        <v>0.20833333333575865</v>
      </c>
      <c r="C1405">
        <v>0</v>
      </c>
      <c r="D1405">
        <v>489.721</v>
      </c>
      <c r="E1405">
        <f t="shared" si="126"/>
        <v>489.56600000000003</v>
      </c>
      <c r="F1405">
        <v>489.54500000000002</v>
      </c>
      <c r="G1405">
        <f t="shared" si="128"/>
        <v>2.1000000000015007E-2</v>
      </c>
      <c r="H1405">
        <v>1.82</v>
      </c>
      <c r="I1405">
        <f t="shared" si="129"/>
        <v>0.16615812577198635</v>
      </c>
      <c r="J1405">
        <f t="shared" si="130"/>
        <v>9.969487546319181</v>
      </c>
      <c r="K1405">
        <f t="shared" si="131"/>
        <v>598.16925277915084</v>
      </c>
    </row>
    <row r="1406" spans="1:11" x14ac:dyDescent="0.4">
      <c r="A1406" s="19">
        <v>45893.25</v>
      </c>
      <c r="B1406" s="20">
        <f t="shared" si="127"/>
        <v>0.25</v>
      </c>
      <c r="C1406">
        <v>0</v>
      </c>
      <c r="D1406">
        <v>489.714</v>
      </c>
      <c r="E1406">
        <f t="shared" si="126"/>
        <v>489.55900000000003</v>
      </c>
      <c r="F1406">
        <v>489.54500000000002</v>
      </c>
      <c r="G1406">
        <f t="shared" si="128"/>
        <v>1.4000000000010004E-2</v>
      </c>
      <c r="H1406">
        <v>1.82</v>
      </c>
      <c r="I1406">
        <f t="shared" si="129"/>
        <v>9.0445027724123869E-2</v>
      </c>
      <c r="J1406">
        <f t="shared" si="130"/>
        <v>5.4267016634474325</v>
      </c>
      <c r="K1406">
        <f t="shared" si="131"/>
        <v>325.60209980684596</v>
      </c>
    </row>
    <row r="1407" spans="1:11" x14ac:dyDescent="0.4">
      <c r="A1407" s="19">
        <v>45893.291666666664</v>
      </c>
      <c r="B1407" s="20">
        <f t="shared" si="127"/>
        <v>0.29166666666424135</v>
      </c>
      <c r="C1407">
        <v>0</v>
      </c>
      <c r="D1407">
        <v>489.714</v>
      </c>
      <c r="E1407">
        <f t="shared" si="126"/>
        <v>489.55900000000003</v>
      </c>
      <c r="F1407">
        <v>489.54500000000002</v>
      </c>
      <c r="G1407">
        <f t="shared" si="128"/>
        <v>1.4000000000010004E-2</v>
      </c>
      <c r="H1407">
        <v>1.82</v>
      </c>
      <c r="I1407">
        <f t="shared" si="129"/>
        <v>9.0445027724123869E-2</v>
      </c>
      <c r="J1407">
        <f t="shared" si="130"/>
        <v>5.4267016634474325</v>
      </c>
      <c r="K1407">
        <f t="shared" si="131"/>
        <v>325.60209980684596</v>
      </c>
    </row>
    <row r="1408" spans="1:11" x14ac:dyDescent="0.4">
      <c r="A1408" s="19">
        <v>45893.333333333336</v>
      </c>
      <c r="B1408" s="20">
        <f t="shared" si="127"/>
        <v>0.33333333333575865</v>
      </c>
      <c r="C1408">
        <v>0</v>
      </c>
      <c r="D1408">
        <v>489.72</v>
      </c>
      <c r="E1408">
        <f t="shared" si="126"/>
        <v>489.56500000000005</v>
      </c>
      <c r="F1408">
        <v>489.54500000000002</v>
      </c>
      <c r="G1408">
        <f t="shared" si="128"/>
        <v>2.0000000000038654E-2</v>
      </c>
      <c r="H1408">
        <v>1.82</v>
      </c>
      <c r="I1408">
        <f t="shared" si="129"/>
        <v>0.15443212101158976</v>
      </c>
      <c r="J1408">
        <f t="shared" si="130"/>
        <v>9.2659272606953849</v>
      </c>
      <c r="K1408">
        <f t="shared" si="131"/>
        <v>555.95563564172312</v>
      </c>
    </row>
    <row r="1409" spans="1:11" x14ac:dyDescent="0.4">
      <c r="A1409" s="19">
        <v>45893.375</v>
      </c>
      <c r="B1409" s="20">
        <f t="shared" si="127"/>
        <v>0.375</v>
      </c>
      <c r="C1409">
        <v>0</v>
      </c>
      <c r="D1409">
        <v>489.726</v>
      </c>
      <c r="E1409">
        <f t="shared" si="126"/>
        <v>489.57100000000003</v>
      </c>
      <c r="F1409">
        <v>489.54500000000002</v>
      </c>
      <c r="G1409">
        <f t="shared" si="128"/>
        <v>2.6000000000010459E-2</v>
      </c>
      <c r="H1409">
        <v>1.82</v>
      </c>
      <c r="I1409">
        <f t="shared" si="129"/>
        <v>0.22890362198983044</v>
      </c>
      <c r="J1409">
        <f t="shared" si="130"/>
        <v>13.734217319389826</v>
      </c>
      <c r="K1409">
        <f t="shared" si="131"/>
        <v>824.0530391633896</v>
      </c>
    </row>
    <row r="1410" spans="1:11" x14ac:dyDescent="0.4">
      <c r="A1410" s="19">
        <v>45893.416666666664</v>
      </c>
      <c r="B1410" s="20">
        <f t="shared" si="127"/>
        <v>0.41666666666424135</v>
      </c>
      <c r="C1410">
        <v>0</v>
      </c>
      <c r="D1410">
        <v>489.72500000000002</v>
      </c>
      <c r="E1410">
        <f t="shared" ref="E1410:E1473" si="132">D1410-0.155</f>
        <v>489.57000000000005</v>
      </c>
      <c r="F1410">
        <v>489.54500000000002</v>
      </c>
      <c r="G1410">
        <f t="shared" si="128"/>
        <v>2.5000000000034106E-2</v>
      </c>
      <c r="H1410">
        <v>1.82</v>
      </c>
      <c r="I1410">
        <f t="shared" si="129"/>
        <v>0.21582545030693354</v>
      </c>
      <c r="J1410">
        <f t="shared" si="130"/>
        <v>12.949527018416012</v>
      </c>
      <c r="K1410">
        <f t="shared" si="131"/>
        <v>776.97162110496072</v>
      </c>
    </row>
    <row r="1411" spans="1:11" x14ac:dyDescent="0.4">
      <c r="A1411" s="19">
        <v>45893.458333333336</v>
      </c>
      <c r="B1411" s="20">
        <f t="shared" ref="B1411:B1474" si="133">MOD(A1411,1)</f>
        <v>0.45833333333575865</v>
      </c>
      <c r="C1411">
        <v>0</v>
      </c>
      <c r="D1411">
        <v>489.726</v>
      </c>
      <c r="E1411">
        <f t="shared" si="132"/>
        <v>489.57100000000003</v>
      </c>
      <c r="F1411">
        <v>489.54500000000002</v>
      </c>
      <c r="G1411">
        <f t="shared" ref="G1411:G1474" si="134">IF(E1411 - F1411 &lt; 0, 0, E1411 - F1411)</f>
        <v>2.6000000000010459E-2</v>
      </c>
      <c r="H1411">
        <v>1.82</v>
      </c>
      <c r="I1411">
        <f t="shared" ref="I1411:I1474" si="135">1.82*30*(G1411^1.5)</f>
        <v>0.22890362198983044</v>
      </c>
      <c r="J1411">
        <f t="shared" ref="J1411:J1474" si="136">I1411*60</f>
        <v>13.734217319389826</v>
      </c>
      <c r="K1411">
        <f t="shared" ref="K1411:K1474" si="137">(I1411*86400)/24</f>
        <v>824.0530391633896</v>
      </c>
    </row>
    <row r="1412" spans="1:11" x14ac:dyDescent="0.4">
      <c r="A1412" s="19">
        <v>45893.5</v>
      </c>
      <c r="B1412" s="20">
        <f t="shared" si="133"/>
        <v>0.5</v>
      </c>
      <c r="C1412">
        <v>0</v>
      </c>
      <c r="D1412">
        <v>489.72500000000002</v>
      </c>
      <c r="E1412">
        <f t="shared" si="132"/>
        <v>489.57000000000005</v>
      </c>
      <c r="F1412">
        <v>489.54500000000002</v>
      </c>
      <c r="G1412">
        <f t="shared" si="134"/>
        <v>2.5000000000034106E-2</v>
      </c>
      <c r="H1412">
        <v>1.82</v>
      </c>
      <c r="I1412">
        <f t="shared" si="135"/>
        <v>0.21582545030693354</v>
      </c>
      <c r="J1412">
        <f t="shared" si="136"/>
        <v>12.949527018416012</v>
      </c>
      <c r="K1412">
        <f t="shared" si="137"/>
        <v>776.97162110496072</v>
      </c>
    </row>
    <row r="1413" spans="1:11" x14ac:dyDescent="0.4">
      <c r="A1413" s="19">
        <v>45893.541666666664</v>
      </c>
      <c r="B1413" s="20">
        <f t="shared" si="133"/>
        <v>0.54166666666424135</v>
      </c>
      <c r="C1413">
        <v>0</v>
      </c>
      <c r="D1413">
        <v>489.72</v>
      </c>
      <c r="E1413">
        <f t="shared" si="132"/>
        <v>489.56500000000005</v>
      </c>
      <c r="F1413">
        <v>489.54500000000002</v>
      </c>
      <c r="G1413">
        <f t="shared" si="134"/>
        <v>2.0000000000038654E-2</v>
      </c>
      <c r="H1413">
        <v>1.82</v>
      </c>
      <c r="I1413">
        <f t="shared" si="135"/>
        <v>0.15443212101158976</v>
      </c>
      <c r="J1413">
        <f t="shared" si="136"/>
        <v>9.2659272606953849</v>
      </c>
      <c r="K1413">
        <f t="shared" si="137"/>
        <v>555.95563564172312</v>
      </c>
    </row>
    <row r="1414" spans="1:11" x14ac:dyDescent="0.4">
      <c r="A1414" s="19">
        <v>45893.583333333336</v>
      </c>
      <c r="B1414" s="20">
        <f t="shared" si="133"/>
        <v>0.58333333333575865</v>
      </c>
      <c r="C1414">
        <v>0</v>
      </c>
      <c r="D1414">
        <v>489.72500000000002</v>
      </c>
      <c r="E1414">
        <f t="shared" si="132"/>
        <v>489.57000000000005</v>
      </c>
      <c r="F1414">
        <v>489.54500000000002</v>
      </c>
      <c r="G1414">
        <f t="shared" si="134"/>
        <v>2.5000000000034106E-2</v>
      </c>
      <c r="H1414">
        <v>1.82</v>
      </c>
      <c r="I1414">
        <f t="shared" si="135"/>
        <v>0.21582545030693354</v>
      </c>
      <c r="J1414">
        <f t="shared" si="136"/>
        <v>12.949527018416012</v>
      </c>
      <c r="K1414">
        <f t="shared" si="137"/>
        <v>776.97162110496072</v>
      </c>
    </row>
    <row r="1415" spans="1:11" x14ac:dyDescent="0.4">
      <c r="A1415" s="19">
        <v>45893.625</v>
      </c>
      <c r="B1415" s="20">
        <f t="shared" si="133"/>
        <v>0.625</v>
      </c>
      <c r="C1415">
        <v>0</v>
      </c>
      <c r="D1415">
        <v>489.71300000000002</v>
      </c>
      <c r="E1415">
        <f t="shared" si="132"/>
        <v>489.55800000000005</v>
      </c>
      <c r="F1415">
        <v>489.54500000000002</v>
      </c>
      <c r="G1415">
        <f t="shared" si="134"/>
        <v>1.3000000000033651E-2</v>
      </c>
      <c r="H1415">
        <v>1.82</v>
      </c>
      <c r="I1415">
        <f t="shared" si="135"/>
        <v>8.092965167385105E-2</v>
      </c>
      <c r="J1415">
        <f t="shared" si="136"/>
        <v>4.8557791004310626</v>
      </c>
      <c r="K1415">
        <f t="shared" si="137"/>
        <v>291.34674602586375</v>
      </c>
    </row>
    <row r="1416" spans="1:11" x14ac:dyDescent="0.4">
      <c r="A1416" s="19">
        <v>45893.666666666664</v>
      </c>
      <c r="B1416" s="20">
        <f t="shared" si="133"/>
        <v>0.66666666666424135</v>
      </c>
      <c r="C1416">
        <v>6</v>
      </c>
      <c r="D1416">
        <v>489.70699999999999</v>
      </c>
      <c r="E1416">
        <f t="shared" si="132"/>
        <v>489.55200000000002</v>
      </c>
      <c r="F1416">
        <v>489.54500000000002</v>
      </c>
      <c r="G1416">
        <f t="shared" si="134"/>
        <v>7.0000000000050022E-3</v>
      </c>
      <c r="H1416">
        <v>1.82</v>
      </c>
      <c r="I1416">
        <f t="shared" si="135"/>
        <v>3.1977146214166641E-2</v>
      </c>
      <c r="J1416">
        <f t="shared" si="136"/>
        <v>1.9186287728499984</v>
      </c>
      <c r="K1416">
        <f t="shared" si="137"/>
        <v>115.1177263709999</v>
      </c>
    </row>
    <row r="1417" spans="1:11" x14ac:dyDescent="0.4">
      <c r="A1417" s="19">
        <v>45893.708333333336</v>
      </c>
      <c r="B1417" s="20">
        <f t="shared" si="133"/>
        <v>0.70833333333575865</v>
      </c>
      <c r="C1417">
        <v>0</v>
      </c>
      <c r="D1417">
        <v>489.70699999999999</v>
      </c>
      <c r="E1417">
        <f t="shared" si="132"/>
        <v>489.55200000000002</v>
      </c>
      <c r="F1417">
        <v>489.54500000000002</v>
      </c>
      <c r="G1417">
        <f t="shared" si="134"/>
        <v>7.0000000000050022E-3</v>
      </c>
      <c r="H1417">
        <v>1.82</v>
      </c>
      <c r="I1417">
        <f t="shared" si="135"/>
        <v>3.1977146214166641E-2</v>
      </c>
      <c r="J1417">
        <f t="shared" si="136"/>
        <v>1.9186287728499984</v>
      </c>
      <c r="K1417">
        <f t="shared" si="137"/>
        <v>115.1177263709999</v>
      </c>
    </row>
    <row r="1418" spans="1:11" x14ac:dyDescent="0.4">
      <c r="A1418" s="19">
        <v>45893.75</v>
      </c>
      <c r="B1418" s="20">
        <f t="shared" si="133"/>
        <v>0.75</v>
      </c>
      <c r="C1418">
        <v>0.4</v>
      </c>
      <c r="D1418">
        <v>489.70699999999999</v>
      </c>
      <c r="E1418">
        <f t="shared" si="132"/>
        <v>489.55200000000002</v>
      </c>
      <c r="F1418">
        <v>489.54500000000002</v>
      </c>
      <c r="G1418">
        <f t="shared" si="134"/>
        <v>7.0000000000050022E-3</v>
      </c>
      <c r="H1418">
        <v>1.82</v>
      </c>
      <c r="I1418">
        <f t="shared" si="135"/>
        <v>3.1977146214166641E-2</v>
      </c>
      <c r="J1418">
        <f t="shared" si="136"/>
        <v>1.9186287728499984</v>
      </c>
      <c r="K1418">
        <f t="shared" si="137"/>
        <v>115.1177263709999</v>
      </c>
    </row>
    <row r="1419" spans="1:11" x14ac:dyDescent="0.4">
      <c r="A1419" s="19">
        <v>45893.791666666664</v>
      </c>
      <c r="B1419" s="20">
        <f t="shared" si="133"/>
        <v>0.79166666666424135</v>
      </c>
      <c r="C1419">
        <v>0</v>
      </c>
      <c r="D1419">
        <v>489.70100000000002</v>
      </c>
      <c r="E1419">
        <f t="shared" si="132"/>
        <v>489.54600000000005</v>
      </c>
      <c r="F1419">
        <v>489.54500000000002</v>
      </c>
      <c r="G1419">
        <f t="shared" si="134"/>
        <v>1.0000000000331966E-3</v>
      </c>
      <c r="H1419">
        <v>1.82</v>
      </c>
      <c r="I1419">
        <f t="shared" si="135"/>
        <v>1.7266036025379119E-3</v>
      </c>
      <c r="J1419">
        <f t="shared" si="136"/>
        <v>0.10359621615227471</v>
      </c>
      <c r="K1419">
        <f t="shared" si="137"/>
        <v>6.2157729691364834</v>
      </c>
    </row>
    <row r="1420" spans="1:11" x14ac:dyDescent="0.4">
      <c r="A1420" s="19">
        <v>45893.833333333336</v>
      </c>
      <c r="B1420" s="20">
        <f t="shared" si="133"/>
        <v>0.83333333333575865</v>
      </c>
      <c r="C1420">
        <v>0</v>
      </c>
      <c r="D1420">
        <v>489.70100000000002</v>
      </c>
      <c r="E1420">
        <f t="shared" si="132"/>
        <v>489.54600000000005</v>
      </c>
      <c r="F1420">
        <v>489.54500000000002</v>
      </c>
      <c r="G1420">
        <f t="shared" si="134"/>
        <v>1.0000000000331966E-3</v>
      </c>
      <c r="H1420">
        <v>1.82</v>
      </c>
      <c r="I1420">
        <f t="shared" si="135"/>
        <v>1.7266036025379119E-3</v>
      </c>
      <c r="J1420">
        <f t="shared" si="136"/>
        <v>0.10359621615227471</v>
      </c>
      <c r="K1420">
        <f t="shared" si="137"/>
        <v>6.2157729691364834</v>
      </c>
    </row>
    <row r="1421" spans="1:11" x14ac:dyDescent="0.4">
      <c r="A1421" s="19">
        <v>45893.875</v>
      </c>
      <c r="B1421" s="20">
        <f t="shared" si="133"/>
        <v>0.875</v>
      </c>
      <c r="C1421">
        <v>0</v>
      </c>
      <c r="D1421">
        <v>489.70100000000002</v>
      </c>
      <c r="E1421">
        <f t="shared" si="132"/>
        <v>489.54600000000005</v>
      </c>
      <c r="F1421">
        <v>489.54500000000002</v>
      </c>
      <c r="G1421">
        <f t="shared" si="134"/>
        <v>1.0000000000331966E-3</v>
      </c>
      <c r="H1421">
        <v>1.82</v>
      </c>
      <c r="I1421">
        <f t="shared" si="135"/>
        <v>1.7266036025379119E-3</v>
      </c>
      <c r="J1421">
        <f t="shared" si="136"/>
        <v>0.10359621615227471</v>
      </c>
      <c r="K1421">
        <f t="shared" si="137"/>
        <v>6.2157729691364834</v>
      </c>
    </row>
    <row r="1422" spans="1:11" x14ac:dyDescent="0.4">
      <c r="A1422" s="19">
        <v>45893.916666666664</v>
      </c>
      <c r="B1422" s="20">
        <f t="shared" si="133"/>
        <v>0.91666666666424135</v>
      </c>
      <c r="C1422">
        <v>0</v>
      </c>
      <c r="D1422">
        <v>489.70699999999999</v>
      </c>
      <c r="E1422">
        <f t="shared" si="132"/>
        <v>489.55200000000002</v>
      </c>
      <c r="F1422">
        <v>489.54500000000002</v>
      </c>
      <c r="G1422">
        <f t="shared" si="134"/>
        <v>7.0000000000050022E-3</v>
      </c>
      <c r="H1422">
        <v>1.82</v>
      </c>
      <c r="I1422">
        <f t="shared" si="135"/>
        <v>3.1977146214166641E-2</v>
      </c>
      <c r="J1422">
        <f t="shared" si="136"/>
        <v>1.9186287728499984</v>
      </c>
      <c r="K1422">
        <f t="shared" si="137"/>
        <v>115.1177263709999</v>
      </c>
    </row>
    <row r="1423" spans="1:11" x14ac:dyDescent="0.4">
      <c r="A1423" s="19">
        <v>45893.958333333336</v>
      </c>
      <c r="B1423" s="20">
        <f t="shared" si="133"/>
        <v>0.95833333333575865</v>
      </c>
      <c r="C1423">
        <v>0</v>
      </c>
      <c r="D1423">
        <v>489.70100000000002</v>
      </c>
      <c r="E1423">
        <f t="shared" si="132"/>
        <v>489.54600000000005</v>
      </c>
      <c r="F1423">
        <v>489.54500000000002</v>
      </c>
      <c r="G1423">
        <f t="shared" si="134"/>
        <v>1.0000000000331966E-3</v>
      </c>
      <c r="H1423">
        <v>1.82</v>
      </c>
      <c r="I1423">
        <f t="shared" si="135"/>
        <v>1.7266036025379119E-3</v>
      </c>
      <c r="J1423">
        <f t="shared" si="136"/>
        <v>0.10359621615227471</v>
      </c>
      <c r="K1423">
        <f t="shared" si="137"/>
        <v>6.2157729691364834</v>
      </c>
    </row>
    <row r="1424" spans="1:11" x14ac:dyDescent="0.4">
      <c r="A1424" s="19">
        <v>45894</v>
      </c>
      <c r="B1424" s="20">
        <f t="shared" si="133"/>
        <v>0</v>
      </c>
      <c r="C1424">
        <v>0</v>
      </c>
      <c r="D1424">
        <v>489.70100000000002</v>
      </c>
      <c r="E1424">
        <f t="shared" si="132"/>
        <v>489.54600000000005</v>
      </c>
      <c r="F1424">
        <v>489.54500000000002</v>
      </c>
      <c r="G1424">
        <f t="shared" si="134"/>
        <v>1.0000000000331966E-3</v>
      </c>
      <c r="H1424">
        <v>1.82</v>
      </c>
      <c r="I1424">
        <f t="shared" si="135"/>
        <v>1.7266036025379119E-3</v>
      </c>
      <c r="J1424">
        <f t="shared" si="136"/>
        <v>0.10359621615227471</v>
      </c>
      <c r="K1424">
        <f t="shared" si="137"/>
        <v>6.2157729691364834</v>
      </c>
    </row>
    <row r="1425" spans="1:11" x14ac:dyDescent="0.4">
      <c r="A1425" s="19">
        <v>45894.041666666664</v>
      </c>
      <c r="B1425" s="20">
        <f t="shared" si="133"/>
        <v>4.1666666664241347E-2</v>
      </c>
      <c r="C1425">
        <v>0</v>
      </c>
      <c r="D1425">
        <v>489.70100000000002</v>
      </c>
      <c r="E1425">
        <f t="shared" si="132"/>
        <v>489.54600000000005</v>
      </c>
      <c r="F1425">
        <v>489.54500000000002</v>
      </c>
      <c r="G1425">
        <f t="shared" si="134"/>
        <v>1.0000000000331966E-3</v>
      </c>
      <c r="H1425">
        <v>1.82</v>
      </c>
      <c r="I1425">
        <f t="shared" si="135"/>
        <v>1.7266036025379119E-3</v>
      </c>
      <c r="J1425">
        <f t="shared" si="136"/>
        <v>0.10359621615227471</v>
      </c>
      <c r="K1425">
        <f t="shared" si="137"/>
        <v>6.2157729691364834</v>
      </c>
    </row>
    <row r="1426" spans="1:11" x14ac:dyDescent="0.4">
      <c r="A1426" s="19">
        <v>45894.083333333336</v>
      </c>
      <c r="B1426" s="20">
        <f t="shared" si="133"/>
        <v>8.3333333335758653E-2</v>
      </c>
      <c r="C1426">
        <v>0</v>
      </c>
      <c r="D1426">
        <v>489.702</v>
      </c>
      <c r="E1426">
        <f t="shared" si="132"/>
        <v>489.54700000000003</v>
      </c>
      <c r="F1426">
        <v>489.54500000000002</v>
      </c>
      <c r="G1426">
        <f t="shared" si="134"/>
        <v>2.0000000000095497E-3</v>
      </c>
      <c r="H1426">
        <v>1.82</v>
      </c>
      <c r="I1426">
        <f t="shared" si="135"/>
        <v>4.8835724628945162E-3</v>
      </c>
      <c r="J1426">
        <f t="shared" si="136"/>
        <v>0.29301434777367097</v>
      </c>
      <c r="K1426">
        <f t="shared" si="137"/>
        <v>17.580860866420259</v>
      </c>
    </row>
    <row r="1427" spans="1:11" x14ac:dyDescent="0.4">
      <c r="A1427" s="19">
        <v>45894.125</v>
      </c>
      <c r="B1427" s="20">
        <f t="shared" si="133"/>
        <v>0.125</v>
      </c>
      <c r="C1427">
        <v>0</v>
      </c>
      <c r="D1427">
        <v>489.69400000000002</v>
      </c>
      <c r="E1427">
        <f t="shared" si="132"/>
        <v>489.53900000000004</v>
      </c>
      <c r="F1427">
        <v>489.54500000000002</v>
      </c>
      <c r="G1427">
        <f t="shared" si="134"/>
        <v>0</v>
      </c>
      <c r="H1427">
        <v>1.82</v>
      </c>
      <c r="I1427">
        <f t="shared" si="135"/>
        <v>0</v>
      </c>
      <c r="J1427">
        <f t="shared" si="136"/>
        <v>0</v>
      </c>
      <c r="K1427">
        <f t="shared" si="137"/>
        <v>0</v>
      </c>
    </row>
    <row r="1428" spans="1:11" x14ac:dyDescent="0.4">
      <c r="A1428" s="19">
        <v>45894.166666666664</v>
      </c>
      <c r="B1428" s="20">
        <f t="shared" si="133"/>
        <v>0.16666666666424135</v>
      </c>
      <c r="C1428">
        <v>0</v>
      </c>
      <c r="D1428">
        <v>489.69499999999999</v>
      </c>
      <c r="E1428">
        <f t="shared" si="132"/>
        <v>489.54</v>
      </c>
      <c r="F1428">
        <v>489.54500000000002</v>
      </c>
      <c r="G1428">
        <f t="shared" si="134"/>
        <v>0</v>
      </c>
      <c r="H1428">
        <v>1.82</v>
      </c>
      <c r="I1428">
        <f t="shared" si="135"/>
        <v>0</v>
      </c>
      <c r="J1428">
        <f t="shared" si="136"/>
        <v>0</v>
      </c>
      <c r="K1428">
        <f t="shared" si="137"/>
        <v>0</v>
      </c>
    </row>
    <row r="1429" spans="1:11" x14ac:dyDescent="0.4">
      <c r="A1429" s="19">
        <v>45894.208333333336</v>
      </c>
      <c r="B1429" s="20">
        <f t="shared" si="133"/>
        <v>0.20833333333575865</v>
      </c>
      <c r="C1429">
        <v>0</v>
      </c>
      <c r="D1429">
        <v>489.69499999999999</v>
      </c>
      <c r="E1429">
        <f t="shared" si="132"/>
        <v>489.54</v>
      </c>
      <c r="F1429">
        <v>489.54500000000002</v>
      </c>
      <c r="G1429">
        <f t="shared" si="134"/>
        <v>0</v>
      </c>
      <c r="H1429">
        <v>1.82</v>
      </c>
      <c r="I1429">
        <f t="shared" si="135"/>
        <v>0</v>
      </c>
      <c r="J1429">
        <f t="shared" si="136"/>
        <v>0</v>
      </c>
      <c r="K1429">
        <f t="shared" si="137"/>
        <v>0</v>
      </c>
    </row>
    <row r="1430" spans="1:11" x14ac:dyDescent="0.4">
      <c r="A1430" s="19">
        <v>45894.25</v>
      </c>
      <c r="B1430" s="20">
        <f t="shared" si="133"/>
        <v>0.25</v>
      </c>
      <c r="C1430">
        <v>0</v>
      </c>
      <c r="D1430">
        <v>489.69499999999999</v>
      </c>
      <c r="E1430">
        <f t="shared" si="132"/>
        <v>489.54</v>
      </c>
      <c r="F1430">
        <v>489.54500000000002</v>
      </c>
      <c r="G1430">
        <f t="shared" si="134"/>
        <v>0</v>
      </c>
      <c r="H1430">
        <v>1.82</v>
      </c>
      <c r="I1430">
        <f t="shared" si="135"/>
        <v>0</v>
      </c>
      <c r="J1430">
        <f t="shared" si="136"/>
        <v>0</v>
      </c>
      <c r="K1430">
        <f t="shared" si="137"/>
        <v>0</v>
      </c>
    </row>
    <row r="1431" spans="1:11" x14ac:dyDescent="0.4">
      <c r="A1431" s="19">
        <v>45894.291666666664</v>
      </c>
      <c r="B1431" s="20">
        <f t="shared" si="133"/>
        <v>0.29166666666424135</v>
      </c>
      <c r="C1431">
        <v>0</v>
      </c>
      <c r="D1431">
        <v>489.69499999999999</v>
      </c>
      <c r="E1431">
        <f t="shared" si="132"/>
        <v>489.54</v>
      </c>
      <c r="F1431">
        <v>489.54500000000002</v>
      </c>
      <c r="G1431">
        <f t="shared" si="134"/>
        <v>0</v>
      </c>
      <c r="H1431">
        <v>1.82</v>
      </c>
      <c r="I1431">
        <f t="shared" si="135"/>
        <v>0</v>
      </c>
      <c r="J1431">
        <f t="shared" si="136"/>
        <v>0</v>
      </c>
      <c r="K1431">
        <f t="shared" si="137"/>
        <v>0</v>
      </c>
    </row>
    <row r="1432" spans="1:11" x14ac:dyDescent="0.4">
      <c r="A1432" s="19">
        <v>45894.333333333336</v>
      </c>
      <c r="B1432" s="20">
        <f t="shared" si="133"/>
        <v>0.33333333333575865</v>
      </c>
      <c r="C1432">
        <v>0</v>
      </c>
      <c r="D1432">
        <v>489.69499999999999</v>
      </c>
      <c r="E1432">
        <f t="shared" si="132"/>
        <v>489.54</v>
      </c>
      <c r="F1432">
        <v>489.54500000000002</v>
      </c>
      <c r="G1432">
        <f t="shared" si="134"/>
        <v>0</v>
      </c>
      <c r="H1432">
        <v>1.82</v>
      </c>
      <c r="I1432">
        <f t="shared" si="135"/>
        <v>0</v>
      </c>
      <c r="J1432">
        <f t="shared" si="136"/>
        <v>0</v>
      </c>
      <c r="K1432">
        <f t="shared" si="137"/>
        <v>0</v>
      </c>
    </row>
    <row r="1433" spans="1:11" x14ac:dyDescent="0.4">
      <c r="A1433" s="19">
        <v>45894.375</v>
      </c>
      <c r="B1433" s="20">
        <f t="shared" si="133"/>
        <v>0.375</v>
      </c>
      <c r="C1433">
        <v>0</v>
      </c>
      <c r="D1433">
        <v>489.70100000000002</v>
      </c>
      <c r="E1433">
        <f t="shared" si="132"/>
        <v>489.54600000000005</v>
      </c>
      <c r="F1433">
        <v>489.54500000000002</v>
      </c>
      <c r="G1433">
        <f t="shared" si="134"/>
        <v>1.0000000000331966E-3</v>
      </c>
      <c r="H1433">
        <v>1.82</v>
      </c>
      <c r="I1433">
        <f t="shared" si="135"/>
        <v>1.7266036025379119E-3</v>
      </c>
      <c r="J1433">
        <f t="shared" si="136"/>
        <v>0.10359621615227471</v>
      </c>
      <c r="K1433">
        <f t="shared" si="137"/>
        <v>6.2157729691364834</v>
      </c>
    </row>
    <row r="1434" spans="1:11" x14ac:dyDescent="0.4">
      <c r="A1434" s="19">
        <v>45894.416666666664</v>
      </c>
      <c r="B1434" s="20">
        <f t="shared" si="133"/>
        <v>0.41666666666424135</v>
      </c>
      <c r="C1434">
        <v>0</v>
      </c>
      <c r="D1434">
        <v>489.69400000000002</v>
      </c>
      <c r="E1434">
        <f t="shared" si="132"/>
        <v>489.53900000000004</v>
      </c>
      <c r="F1434">
        <v>489.54500000000002</v>
      </c>
      <c r="G1434">
        <f t="shared" si="134"/>
        <v>0</v>
      </c>
      <c r="H1434">
        <v>1.82</v>
      </c>
      <c r="I1434">
        <f t="shared" si="135"/>
        <v>0</v>
      </c>
      <c r="J1434">
        <f t="shared" si="136"/>
        <v>0</v>
      </c>
      <c r="K1434">
        <f t="shared" si="137"/>
        <v>0</v>
      </c>
    </row>
    <row r="1435" spans="1:11" x14ac:dyDescent="0.4">
      <c r="A1435" s="19">
        <v>45894.458333333336</v>
      </c>
      <c r="B1435" s="20">
        <f t="shared" si="133"/>
        <v>0.45833333333575865</v>
      </c>
      <c r="C1435">
        <v>0</v>
      </c>
      <c r="D1435">
        <v>489.70100000000002</v>
      </c>
      <c r="E1435">
        <f t="shared" si="132"/>
        <v>489.54600000000005</v>
      </c>
      <c r="F1435">
        <v>489.54500000000002</v>
      </c>
      <c r="G1435">
        <f t="shared" si="134"/>
        <v>1.0000000000331966E-3</v>
      </c>
      <c r="H1435">
        <v>1.82</v>
      </c>
      <c r="I1435">
        <f t="shared" si="135"/>
        <v>1.7266036025379119E-3</v>
      </c>
      <c r="J1435">
        <f t="shared" si="136"/>
        <v>0.10359621615227471</v>
      </c>
      <c r="K1435">
        <f t="shared" si="137"/>
        <v>6.2157729691364834</v>
      </c>
    </row>
    <row r="1436" spans="1:11" x14ac:dyDescent="0.4">
      <c r="A1436" s="19">
        <v>45894.5</v>
      </c>
      <c r="B1436" s="20">
        <f t="shared" si="133"/>
        <v>0.5</v>
      </c>
      <c r="C1436">
        <v>0</v>
      </c>
      <c r="D1436">
        <v>489.69400000000002</v>
      </c>
      <c r="E1436">
        <f t="shared" si="132"/>
        <v>489.53900000000004</v>
      </c>
      <c r="F1436">
        <v>489.54500000000002</v>
      </c>
      <c r="G1436">
        <f t="shared" si="134"/>
        <v>0</v>
      </c>
      <c r="H1436">
        <v>1.82</v>
      </c>
      <c r="I1436">
        <f t="shared" si="135"/>
        <v>0</v>
      </c>
      <c r="J1436">
        <f t="shared" si="136"/>
        <v>0</v>
      </c>
      <c r="K1436">
        <f t="shared" si="137"/>
        <v>0</v>
      </c>
    </row>
    <row r="1437" spans="1:11" x14ac:dyDescent="0.4">
      <c r="A1437" s="19">
        <v>45894.541666666664</v>
      </c>
      <c r="B1437" s="20">
        <f t="shared" si="133"/>
        <v>0.54166666666424135</v>
      </c>
      <c r="C1437">
        <v>0</v>
      </c>
      <c r="D1437">
        <v>489.66899999999998</v>
      </c>
      <c r="E1437">
        <f t="shared" si="132"/>
        <v>489.51400000000001</v>
      </c>
      <c r="F1437">
        <v>489.54500000000002</v>
      </c>
      <c r="G1437">
        <f t="shared" si="134"/>
        <v>0</v>
      </c>
      <c r="H1437">
        <v>1.82</v>
      </c>
      <c r="I1437">
        <f t="shared" si="135"/>
        <v>0</v>
      </c>
      <c r="J1437">
        <f t="shared" si="136"/>
        <v>0</v>
      </c>
      <c r="K1437">
        <f t="shared" si="137"/>
        <v>0</v>
      </c>
    </row>
    <row r="1438" spans="1:11" x14ac:dyDescent="0.4">
      <c r="A1438" s="19">
        <v>45894.583333333336</v>
      </c>
      <c r="B1438" s="20">
        <f t="shared" si="133"/>
        <v>0.58333333333575865</v>
      </c>
      <c r="C1438">
        <v>0</v>
      </c>
      <c r="D1438">
        <v>489.66899999999998</v>
      </c>
      <c r="E1438">
        <f t="shared" si="132"/>
        <v>489.51400000000001</v>
      </c>
      <c r="F1438">
        <v>489.54500000000002</v>
      </c>
      <c r="G1438">
        <f t="shared" si="134"/>
        <v>0</v>
      </c>
      <c r="H1438">
        <v>1.82</v>
      </c>
      <c r="I1438">
        <f t="shared" si="135"/>
        <v>0</v>
      </c>
      <c r="J1438">
        <f t="shared" si="136"/>
        <v>0</v>
      </c>
      <c r="K1438">
        <f t="shared" si="137"/>
        <v>0</v>
      </c>
    </row>
    <row r="1439" spans="1:11" x14ac:dyDescent="0.4">
      <c r="A1439" s="19">
        <v>45894.625</v>
      </c>
      <c r="B1439" s="20">
        <f t="shared" si="133"/>
        <v>0.625</v>
      </c>
      <c r="C1439">
        <v>0</v>
      </c>
      <c r="D1439">
        <v>489.66199999999998</v>
      </c>
      <c r="E1439">
        <f t="shared" si="132"/>
        <v>489.50700000000001</v>
      </c>
      <c r="F1439">
        <v>489.54500000000002</v>
      </c>
      <c r="G1439">
        <f t="shared" si="134"/>
        <v>0</v>
      </c>
      <c r="H1439">
        <v>1.82</v>
      </c>
      <c r="I1439">
        <f t="shared" si="135"/>
        <v>0</v>
      </c>
      <c r="J1439">
        <f t="shared" si="136"/>
        <v>0</v>
      </c>
      <c r="K1439">
        <f t="shared" si="137"/>
        <v>0</v>
      </c>
    </row>
    <row r="1440" spans="1:11" x14ac:dyDescent="0.4">
      <c r="A1440" s="19">
        <v>45894.666666666664</v>
      </c>
      <c r="B1440" s="20">
        <f t="shared" si="133"/>
        <v>0.66666666666424135</v>
      </c>
      <c r="C1440">
        <v>0</v>
      </c>
      <c r="D1440">
        <v>489.66199999999998</v>
      </c>
      <c r="E1440">
        <f t="shared" si="132"/>
        <v>489.50700000000001</v>
      </c>
      <c r="F1440">
        <v>489.54500000000002</v>
      </c>
      <c r="G1440">
        <f t="shared" si="134"/>
        <v>0</v>
      </c>
      <c r="H1440">
        <v>1.82</v>
      </c>
      <c r="I1440">
        <f t="shared" si="135"/>
        <v>0</v>
      </c>
      <c r="J1440">
        <f t="shared" si="136"/>
        <v>0</v>
      </c>
      <c r="K1440">
        <f t="shared" si="137"/>
        <v>0</v>
      </c>
    </row>
    <row r="1441" spans="1:11" x14ac:dyDescent="0.4">
      <c r="A1441" s="19">
        <v>45894.708333333336</v>
      </c>
      <c r="B1441" s="20">
        <f t="shared" si="133"/>
        <v>0.70833333333575865</v>
      </c>
      <c r="C1441">
        <v>0</v>
      </c>
      <c r="D1441">
        <v>489.66199999999998</v>
      </c>
      <c r="E1441">
        <f t="shared" si="132"/>
        <v>489.50700000000001</v>
      </c>
      <c r="F1441">
        <v>489.54500000000002</v>
      </c>
      <c r="G1441">
        <f t="shared" si="134"/>
        <v>0</v>
      </c>
      <c r="H1441">
        <v>1.82</v>
      </c>
      <c r="I1441">
        <f t="shared" si="135"/>
        <v>0</v>
      </c>
      <c r="J1441">
        <f t="shared" si="136"/>
        <v>0</v>
      </c>
      <c r="K1441">
        <f t="shared" si="137"/>
        <v>0</v>
      </c>
    </row>
    <row r="1442" spans="1:11" x14ac:dyDescent="0.4">
      <c r="A1442" s="19">
        <v>45894.75</v>
      </c>
      <c r="B1442" s="20">
        <f t="shared" si="133"/>
        <v>0.75</v>
      </c>
      <c r="C1442">
        <v>0</v>
      </c>
      <c r="D1442">
        <v>489.66199999999998</v>
      </c>
      <c r="E1442">
        <f t="shared" si="132"/>
        <v>489.50700000000001</v>
      </c>
      <c r="F1442">
        <v>489.54500000000002</v>
      </c>
      <c r="G1442">
        <f t="shared" si="134"/>
        <v>0</v>
      </c>
      <c r="H1442">
        <v>1.82</v>
      </c>
      <c r="I1442">
        <f t="shared" si="135"/>
        <v>0</v>
      </c>
      <c r="J1442">
        <f t="shared" si="136"/>
        <v>0</v>
      </c>
      <c r="K1442">
        <f t="shared" si="137"/>
        <v>0</v>
      </c>
    </row>
    <row r="1443" spans="1:11" x14ac:dyDescent="0.4">
      <c r="A1443" s="19">
        <v>45894.791666666664</v>
      </c>
      <c r="B1443" s="20">
        <f t="shared" si="133"/>
        <v>0.79166666666424135</v>
      </c>
      <c r="C1443">
        <v>0</v>
      </c>
      <c r="D1443">
        <v>489.65600000000001</v>
      </c>
      <c r="E1443">
        <f t="shared" si="132"/>
        <v>489.50100000000003</v>
      </c>
      <c r="F1443">
        <v>489.54500000000002</v>
      </c>
      <c r="G1443">
        <f t="shared" si="134"/>
        <v>0</v>
      </c>
      <c r="H1443">
        <v>1.82</v>
      </c>
      <c r="I1443">
        <f t="shared" si="135"/>
        <v>0</v>
      </c>
      <c r="J1443">
        <f t="shared" si="136"/>
        <v>0</v>
      </c>
      <c r="K1443">
        <f t="shared" si="137"/>
        <v>0</v>
      </c>
    </row>
    <row r="1444" spans="1:11" x14ac:dyDescent="0.4">
      <c r="A1444" s="19">
        <v>45894.833333333336</v>
      </c>
      <c r="B1444" s="20">
        <f t="shared" si="133"/>
        <v>0.83333333333575865</v>
      </c>
      <c r="C1444">
        <v>0</v>
      </c>
      <c r="D1444">
        <v>489.65600000000001</v>
      </c>
      <c r="E1444">
        <f t="shared" si="132"/>
        <v>489.50100000000003</v>
      </c>
      <c r="F1444">
        <v>489.54500000000002</v>
      </c>
      <c r="G1444">
        <f t="shared" si="134"/>
        <v>0</v>
      </c>
      <c r="H1444">
        <v>1.82</v>
      </c>
      <c r="I1444">
        <f t="shared" si="135"/>
        <v>0</v>
      </c>
      <c r="J1444">
        <f t="shared" si="136"/>
        <v>0</v>
      </c>
      <c r="K1444">
        <f t="shared" si="137"/>
        <v>0</v>
      </c>
    </row>
    <row r="1445" spans="1:11" x14ac:dyDescent="0.4">
      <c r="A1445" s="19">
        <v>45894.875</v>
      </c>
      <c r="B1445" s="20">
        <f t="shared" si="133"/>
        <v>0.875</v>
      </c>
      <c r="C1445">
        <v>0</v>
      </c>
      <c r="D1445">
        <v>489.65699999999998</v>
      </c>
      <c r="E1445">
        <f t="shared" si="132"/>
        <v>489.50200000000001</v>
      </c>
      <c r="F1445">
        <v>489.54500000000002</v>
      </c>
      <c r="G1445">
        <f t="shared" si="134"/>
        <v>0</v>
      </c>
      <c r="H1445">
        <v>1.82</v>
      </c>
      <c r="I1445">
        <f t="shared" si="135"/>
        <v>0</v>
      </c>
      <c r="J1445">
        <f t="shared" si="136"/>
        <v>0</v>
      </c>
      <c r="K1445">
        <f t="shared" si="137"/>
        <v>0</v>
      </c>
    </row>
    <row r="1446" spans="1:11" x14ac:dyDescent="0.4">
      <c r="A1446" s="19">
        <v>45894.916666666664</v>
      </c>
      <c r="B1446" s="20">
        <f t="shared" si="133"/>
        <v>0.91666666666424135</v>
      </c>
      <c r="C1446">
        <v>0</v>
      </c>
      <c r="D1446">
        <v>489.65600000000001</v>
      </c>
      <c r="E1446">
        <f t="shared" si="132"/>
        <v>489.50100000000003</v>
      </c>
      <c r="F1446">
        <v>489.54500000000002</v>
      </c>
      <c r="G1446">
        <f t="shared" si="134"/>
        <v>0</v>
      </c>
      <c r="H1446">
        <v>1.82</v>
      </c>
      <c r="I1446">
        <f t="shared" si="135"/>
        <v>0</v>
      </c>
      <c r="J1446">
        <f t="shared" si="136"/>
        <v>0</v>
      </c>
      <c r="K1446">
        <f t="shared" si="137"/>
        <v>0</v>
      </c>
    </row>
    <row r="1447" spans="1:11" x14ac:dyDescent="0.4">
      <c r="A1447" s="19">
        <v>45894.958333333336</v>
      </c>
      <c r="B1447" s="20">
        <f t="shared" si="133"/>
        <v>0.95833333333575865</v>
      </c>
      <c r="C1447">
        <v>0</v>
      </c>
      <c r="D1447">
        <v>489.649</v>
      </c>
      <c r="E1447">
        <f t="shared" si="132"/>
        <v>489.49400000000003</v>
      </c>
      <c r="F1447">
        <v>489.54500000000002</v>
      </c>
      <c r="G1447">
        <f t="shared" si="134"/>
        <v>0</v>
      </c>
      <c r="H1447">
        <v>1.82</v>
      </c>
      <c r="I1447">
        <f t="shared" si="135"/>
        <v>0</v>
      </c>
      <c r="J1447">
        <f t="shared" si="136"/>
        <v>0</v>
      </c>
      <c r="K1447">
        <f t="shared" si="137"/>
        <v>0</v>
      </c>
    </row>
    <row r="1448" spans="1:11" x14ac:dyDescent="0.4">
      <c r="A1448" s="19">
        <v>45895</v>
      </c>
      <c r="B1448" s="20">
        <f t="shared" si="133"/>
        <v>0</v>
      </c>
      <c r="C1448">
        <v>0</v>
      </c>
      <c r="D1448">
        <v>489.649</v>
      </c>
      <c r="E1448">
        <f t="shared" si="132"/>
        <v>489.49400000000003</v>
      </c>
      <c r="F1448">
        <v>489.54500000000002</v>
      </c>
      <c r="G1448">
        <f t="shared" si="134"/>
        <v>0</v>
      </c>
      <c r="H1448">
        <v>1.82</v>
      </c>
      <c r="I1448">
        <f t="shared" si="135"/>
        <v>0</v>
      </c>
      <c r="J1448">
        <f t="shared" si="136"/>
        <v>0</v>
      </c>
      <c r="K1448">
        <f t="shared" si="137"/>
        <v>0</v>
      </c>
    </row>
    <row r="1449" spans="1:11" x14ac:dyDescent="0.4">
      <c r="A1449" s="19">
        <v>45895.041666666664</v>
      </c>
      <c r="B1449" s="20">
        <f t="shared" si="133"/>
        <v>4.1666666664241347E-2</v>
      </c>
      <c r="C1449">
        <v>0</v>
      </c>
      <c r="D1449">
        <v>489.65</v>
      </c>
      <c r="E1449">
        <f t="shared" si="132"/>
        <v>489.495</v>
      </c>
      <c r="F1449">
        <v>489.54500000000002</v>
      </c>
      <c r="G1449">
        <f t="shared" si="134"/>
        <v>0</v>
      </c>
      <c r="H1449">
        <v>1.82</v>
      </c>
      <c r="I1449">
        <f t="shared" si="135"/>
        <v>0</v>
      </c>
      <c r="J1449">
        <f t="shared" si="136"/>
        <v>0</v>
      </c>
      <c r="K1449">
        <f t="shared" si="137"/>
        <v>0</v>
      </c>
    </row>
    <row r="1450" spans="1:11" x14ac:dyDescent="0.4">
      <c r="A1450" s="19">
        <v>45895.083333333336</v>
      </c>
      <c r="B1450" s="20">
        <f t="shared" si="133"/>
        <v>8.3333333335758653E-2</v>
      </c>
      <c r="C1450">
        <v>0</v>
      </c>
      <c r="D1450">
        <v>489.649</v>
      </c>
      <c r="E1450">
        <f t="shared" si="132"/>
        <v>489.49400000000003</v>
      </c>
      <c r="F1450">
        <v>489.54500000000002</v>
      </c>
      <c r="G1450">
        <f t="shared" si="134"/>
        <v>0</v>
      </c>
      <c r="H1450">
        <v>1.82</v>
      </c>
      <c r="I1450">
        <f t="shared" si="135"/>
        <v>0</v>
      </c>
      <c r="J1450">
        <f t="shared" si="136"/>
        <v>0</v>
      </c>
      <c r="K1450">
        <f t="shared" si="137"/>
        <v>0</v>
      </c>
    </row>
    <row r="1451" spans="1:11" x14ac:dyDescent="0.4">
      <c r="A1451" s="19">
        <v>45895.125</v>
      </c>
      <c r="B1451" s="20">
        <f t="shared" si="133"/>
        <v>0.125</v>
      </c>
      <c r="C1451">
        <v>0</v>
      </c>
      <c r="D1451">
        <v>489.64299999999997</v>
      </c>
      <c r="E1451">
        <f t="shared" si="132"/>
        <v>489.488</v>
      </c>
      <c r="F1451">
        <v>489.54500000000002</v>
      </c>
      <c r="G1451">
        <f t="shared" si="134"/>
        <v>0</v>
      </c>
      <c r="H1451">
        <v>1.82</v>
      </c>
      <c r="I1451">
        <f t="shared" si="135"/>
        <v>0</v>
      </c>
      <c r="J1451">
        <f t="shared" si="136"/>
        <v>0</v>
      </c>
      <c r="K1451">
        <f t="shared" si="137"/>
        <v>0</v>
      </c>
    </row>
    <row r="1452" spans="1:11" x14ac:dyDescent="0.4">
      <c r="A1452" s="19">
        <v>45895.166666666664</v>
      </c>
      <c r="B1452" s="20">
        <f t="shared" si="133"/>
        <v>0.16666666666424135</v>
      </c>
      <c r="C1452">
        <v>0</v>
      </c>
      <c r="D1452">
        <v>489.64299999999997</v>
      </c>
      <c r="E1452">
        <f t="shared" si="132"/>
        <v>489.488</v>
      </c>
      <c r="F1452">
        <v>489.54500000000002</v>
      </c>
      <c r="G1452">
        <f t="shared" si="134"/>
        <v>0</v>
      </c>
      <c r="H1452">
        <v>1.82</v>
      </c>
      <c r="I1452">
        <f t="shared" si="135"/>
        <v>0</v>
      </c>
      <c r="J1452">
        <f t="shared" si="136"/>
        <v>0</v>
      </c>
      <c r="K1452">
        <f t="shared" si="137"/>
        <v>0</v>
      </c>
    </row>
    <row r="1453" spans="1:11" x14ac:dyDescent="0.4">
      <c r="A1453" s="19">
        <v>45895.208333333336</v>
      </c>
      <c r="B1453" s="20">
        <f t="shared" si="133"/>
        <v>0.20833333333575865</v>
      </c>
      <c r="C1453">
        <v>0</v>
      </c>
      <c r="D1453">
        <v>489.64299999999997</v>
      </c>
      <c r="E1453">
        <f t="shared" si="132"/>
        <v>489.488</v>
      </c>
      <c r="F1453">
        <v>489.54500000000002</v>
      </c>
      <c r="G1453">
        <f t="shared" si="134"/>
        <v>0</v>
      </c>
      <c r="H1453">
        <v>1.82</v>
      </c>
      <c r="I1453">
        <f t="shared" si="135"/>
        <v>0</v>
      </c>
      <c r="J1453">
        <f t="shared" si="136"/>
        <v>0</v>
      </c>
      <c r="K1453">
        <f t="shared" si="137"/>
        <v>0</v>
      </c>
    </row>
    <row r="1454" spans="1:11" x14ac:dyDescent="0.4">
      <c r="A1454" s="19">
        <v>45895.25</v>
      </c>
      <c r="B1454" s="20">
        <f t="shared" si="133"/>
        <v>0.25</v>
      </c>
      <c r="C1454">
        <v>8.4</v>
      </c>
      <c r="D1454">
        <v>489.65</v>
      </c>
      <c r="E1454">
        <f t="shared" si="132"/>
        <v>489.495</v>
      </c>
      <c r="F1454">
        <v>489.54500000000002</v>
      </c>
      <c r="G1454">
        <f t="shared" si="134"/>
        <v>0</v>
      </c>
      <c r="H1454">
        <v>1.82</v>
      </c>
      <c r="I1454">
        <f t="shared" si="135"/>
        <v>0</v>
      </c>
      <c r="J1454">
        <f t="shared" si="136"/>
        <v>0</v>
      </c>
      <c r="K1454">
        <f t="shared" si="137"/>
        <v>0</v>
      </c>
    </row>
    <row r="1455" spans="1:11" x14ac:dyDescent="0.4">
      <c r="A1455" s="19">
        <v>45895.291666666664</v>
      </c>
      <c r="B1455" s="20">
        <f t="shared" si="133"/>
        <v>0.29166666666424135</v>
      </c>
      <c r="C1455">
        <v>0</v>
      </c>
      <c r="D1455">
        <v>489.65699999999998</v>
      </c>
      <c r="E1455">
        <f t="shared" si="132"/>
        <v>489.50200000000001</v>
      </c>
      <c r="F1455">
        <v>489.54500000000002</v>
      </c>
      <c r="G1455">
        <f t="shared" si="134"/>
        <v>0</v>
      </c>
      <c r="H1455">
        <v>1.82</v>
      </c>
      <c r="I1455">
        <f t="shared" si="135"/>
        <v>0</v>
      </c>
      <c r="J1455">
        <f t="shared" si="136"/>
        <v>0</v>
      </c>
      <c r="K1455">
        <f t="shared" si="137"/>
        <v>0</v>
      </c>
    </row>
    <row r="1456" spans="1:11" x14ac:dyDescent="0.4">
      <c r="A1456" s="19">
        <v>45895.333333333336</v>
      </c>
      <c r="B1456" s="20">
        <f t="shared" si="133"/>
        <v>0.33333333333575865</v>
      </c>
      <c r="C1456">
        <v>0</v>
      </c>
      <c r="D1456">
        <v>489.65600000000001</v>
      </c>
      <c r="E1456">
        <f t="shared" si="132"/>
        <v>489.50100000000003</v>
      </c>
      <c r="F1456">
        <v>489.54500000000002</v>
      </c>
      <c r="G1456">
        <f t="shared" si="134"/>
        <v>0</v>
      </c>
      <c r="H1456">
        <v>1.82</v>
      </c>
      <c r="I1456">
        <f t="shared" si="135"/>
        <v>0</v>
      </c>
      <c r="J1456">
        <f t="shared" si="136"/>
        <v>0</v>
      </c>
      <c r="K1456">
        <f t="shared" si="137"/>
        <v>0</v>
      </c>
    </row>
    <row r="1457" spans="1:11" x14ac:dyDescent="0.4">
      <c r="A1457" s="19">
        <v>45895.375</v>
      </c>
      <c r="B1457" s="20">
        <f t="shared" si="133"/>
        <v>0.375</v>
      </c>
      <c r="C1457">
        <v>0.2</v>
      </c>
      <c r="D1457">
        <v>489.65600000000001</v>
      </c>
      <c r="E1457">
        <f t="shared" si="132"/>
        <v>489.50100000000003</v>
      </c>
      <c r="F1457">
        <v>489.54500000000002</v>
      </c>
      <c r="G1457">
        <f t="shared" si="134"/>
        <v>0</v>
      </c>
      <c r="H1457">
        <v>1.82</v>
      </c>
      <c r="I1457">
        <f t="shared" si="135"/>
        <v>0</v>
      </c>
      <c r="J1457">
        <f t="shared" si="136"/>
        <v>0</v>
      </c>
      <c r="K1457">
        <f t="shared" si="137"/>
        <v>0</v>
      </c>
    </row>
    <row r="1458" spans="1:11" x14ac:dyDescent="0.4">
      <c r="A1458" s="19">
        <v>45895.416666666664</v>
      </c>
      <c r="B1458" s="20">
        <f t="shared" si="133"/>
        <v>0.41666666666424135</v>
      </c>
      <c r="C1458">
        <v>0</v>
      </c>
      <c r="D1458">
        <v>489.65600000000001</v>
      </c>
      <c r="E1458">
        <f t="shared" si="132"/>
        <v>489.50100000000003</v>
      </c>
      <c r="F1458">
        <v>489.54500000000002</v>
      </c>
      <c r="G1458">
        <f t="shared" si="134"/>
        <v>0</v>
      </c>
      <c r="H1458">
        <v>1.82</v>
      </c>
      <c r="I1458">
        <f t="shared" si="135"/>
        <v>0</v>
      </c>
      <c r="J1458">
        <f t="shared" si="136"/>
        <v>0</v>
      </c>
      <c r="K1458">
        <f t="shared" si="137"/>
        <v>0</v>
      </c>
    </row>
    <row r="1459" spans="1:11" x14ac:dyDescent="0.4">
      <c r="A1459" s="19">
        <v>45895.458333333336</v>
      </c>
      <c r="B1459" s="20">
        <f t="shared" si="133"/>
        <v>0.45833333333575865</v>
      </c>
      <c r="C1459">
        <v>0</v>
      </c>
      <c r="D1459">
        <v>489.65600000000001</v>
      </c>
      <c r="E1459">
        <f t="shared" si="132"/>
        <v>489.50100000000003</v>
      </c>
      <c r="F1459">
        <v>489.54500000000002</v>
      </c>
      <c r="G1459">
        <f t="shared" si="134"/>
        <v>0</v>
      </c>
      <c r="H1459">
        <v>1.82</v>
      </c>
      <c r="I1459">
        <f t="shared" si="135"/>
        <v>0</v>
      </c>
      <c r="J1459">
        <f t="shared" si="136"/>
        <v>0</v>
      </c>
      <c r="K1459">
        <f t="shared" si="137"/>
        <v>0</v>
      </c>
    </row>
    <row r="1460" spans="1:11" x14ac:dyDescent="0.4">
      <c r="A1460" s="19">
        <v>45895.5</v>
      </c>
      <c r="B1460" s="20">
        <f t="shared" si="133"/>
        <v>0.5</v>
      </c>
      <c r="C1460">
        <v>0</v>
      </c>
      <c r="D1460">
        <v>489.65600000000001</v>
      </c>
      <c r="E1460">
        <f t="shared" si="132"/>
        <v>489.50100000000003</v>
      </c>
      <c r="F1460">
        <v>489.54500000000002</v>
      </c>
      <c r="G1460">
        <f t="shared" si="134"/>
        <v>0</v>
      </c>
      <c r="H1460">
        <v>1.82</v>
      </c>
      <c r="I1460">
        <f t="shared" si="135"/>
        <v>0</v>
      </c>
      <c r="J1460">
        <f t="shared" si="136"/>
        <v>0</v>
      </c>
      <c r="K1460">
        <f t="shared" si="137"/>
        <v>0</v>
      </c>
    </row>
    <row r="1461" spans="1:11" x14ac:dyDescent="0.4">
      <c r="A1461" s="19">
        <v>45895.541666666664</v>
      </c>
      <c r="B1461" s="20">
        <f t="shared" si="133"/>
        <v>0.54166666666424135</v>
      </c>
      <c r="C1461">
        <v>0</v>
      </c>
      <c r="D1461">
        <v>489.66300000000001</v>
      </c>
      <c r="E1461">
        <f t="shared" si="132"/>
        <v>489.50800000000004</v>
      </c>
      <c r="F1461">
        <v>489.54500000000002</v>
      </c>
      <c r="G1461">
        <f t="shared" si="134"/>
        <v>0</v>
      </c>
      <c r="H1461">
        <v>1.82</v>
      </c>
      <c r="I1461">
        <f t="shared" si="135"/>
        <v>0</v>
      </c>
      <c r="J1461">
        <f t="shared" si="136"/>
        <v>0</v>
      </c>
      <c r="K1461">
        <f t="shared" si="137"/>
        <v>0</v>
      </c>
    </row>
    <row r="1462" spans="1:11" x14ac:dyDescent="0.4">
      <c r="A1462" s="19">
        <v>45895.583333333336</v>
      </c>
      <c r="B1462" s="20">
        <f t="shared" si="133"/>
        <v>0.58333333333575865</v>
      </c>
      <c r="C1462">
        <v>0.2</v>
      </c>
      <c r="D1462">
        <v>489.678</v>
      </c>
      <c r="E1462">
        <f t="shared" si="132"/>
        <v>489.52300000000002</v>
      </c>
      <c r="F1462">
        <v>489.54500000000002</v>
      </c>
      <c r="G1462">
        <f t="shared" si="134"/>
        <v>0</v>
      </c>
      <c r="H1462">
        <v>1.82</v>
      </c>
      <c r="I1462">
        <f t="shared" si="135"/>
        <v>0</v>
      </c>
      <c r="J1462">
        <f t="shared" si="136"/>
        <v>0</v>
      </c>
      <c r="K1462">
        <f t="shared" si="137"/>
        <v>0</v>
      </c>
    </row>
    <row r="1463" spans="1:11" x14ac:dyDescent="0.4">
      <c r="A1463" s="19">
        <v>45895.625</v>
      </c>
      <c r="B1463" s="20">
        <f t="shared" si="133"/>
        <v>0.625</v>
      </c>
      <c r="C1463">
        <v>0</v>
      </c>
      <c r="D1463">
        <v>489.69400000000002</v>
      </c>
      <c r="E1463">
        <f t="shared" si="132"/>
        <v>489.53900000000004</v>
      </c>
      <c r="F1463">
        <v>489.54500000000002</v>
      </c>
      <c r="G1463">
        <f t="shared" si="134"/>
        <v>0</v>
      </c>
      <c r="H1463">
        <v>1.82</v>
      </c>
      <c r="I1463">
        <f t="shared" si="135"/>
        <v>0</v>
      </c>
      <c r="J1463">
        <f t="shared" si="136"/>
        <v>0</v>
      </c>
      <c r="K1463">
        <f t="shared" si="137"/>
        <v>0</v>
      </c>
    </row>
    <row r="1464" spans="1:11" x14ac:dyDescent="0.4">
      <c r="A1464" s="19">
        <v>45895.666666666664</v>
      </c>
      <c r="B1464" s="20">
        <f t="shared" si="133"/>
        <v>0.66666666666424135</v>
      </c>
      <c r="C1464">
        <v>0</v>
      </c>
      <c r="D1464">
        <v>489.70100000000002</v>
      </c>
      <c r="E1464">
        <f t="shared" si="132"/>
        <v>489.54600000000005</v>
      </c>
      <c r="F1464">
        <v>489.54500000000002</v>
      </c>
      <c r="G1464">
        <f t="shared" si="134"/>
        <v>1.0000000000331966E-3</v>
      </c>
      <c r="H1464">
        <v>1.82</v>
      </c>
      <c r="I1464">
        <f t="shared" si="135"/>
        <v>1.7266036025379119E-3</v>
      </c>
      <c r="J1464">
        <f t="shared" si="136"/>
        <v>0.10359621615227471</v>
      </c>
      <c r="K1464">
        <f t="shared" si="137"/>
        <v>6.2157729691364834</v>
      </c>
    </row>
    <row r="1465" spans="1:11" x14ac:dyDescent="0.4">
      <c r="A1465" s="19">
        <v>45895.708333333336</v>
      </c>
      <c r="B1465" s="20">
        <f t="shared" si="133"/>
        <v>0.70833333333575865</v>
      </c>
      <c r="C1465">
        <v>2.2000000000000002</v>
      </c>
      <c r="D1465">
        <v>489.70100000000002</v>
      </c>
      <c r="E1465">
        <f t="shared" si="132"/>
        <v>489.54600000000005</v>
      </c>
      <c r="F1465">
        <v>489.54500000000002</v>
      </c>
      <c r="G1465">
        <f t="shared" si="134"/>
        <v>1.0000000000331966E-3</v>
      </c>
      <c r="H1465">
        <v>1.82</v>
      </c>
      <c r="I1465">
        <f t="shared" si="135"/>
        <v>1.7266036025379119E-3</v>
      </c>
      <c r="J1465">
        <f t="shared" si="136"/>
        <v>0.10359621615227471</v>
      </c>
      <c r="K1465">
        <f t="shared" si="137"/>
        <v>6.2157729691364834</v>
      </c>
    </row>
    <row r="1466" spans="1:11" x14ac:dyDescent="0.4">
      <c r="A1466" s="19">
        <v>45895.75</v>
      </c>
      <c r="B1466" s="20">
        <f t="shared" si="133"/>
        <v>0.75</v>
      </c>
      <c r="C1466">
        <v>0.2</v>
      </c>
      <c r="D1466">
        <v>489.714</v>
      </c>
      <c r="E1466">
        <f t="shared" si="132"/>
        <v>489.55900000000003</v>
      </c>
      <c r="F1466">
        <v>489.54500000000002</v>
      </c>
      <c r="G1466">
        <f t="shared" si="134"/>
        <v>1.4000000000010004E-2</v>
      </c>
      <c r="H1466">
        <v>1.82</v>
      </c>
      <c r="I1466">
        <f t="shared" si="135"/>
        <v>9.0445027724123869E-2</v>
      </c>
      <c r="J1466">
        <f t="shared" si="136"/>
        <v>5.4267016634474325</v>
      </c>
      <c r="K1466">
        <f t="shared" si="137"/>
        <v>325.60209980684596</v>
      </c>
    </row>
    <row r="1467" spans="1:11" x14ac:dyDescent="0.4">
      <c r="A1467" s="19">
        <v>45895.791666666664</v>
      </c>
      <c r="B1467" s="20">
        <f t="shared" si="133"/>
        <v>0.79166666666424135</v>
      </c>
      <c r="C1467">
        <v>0</v>
      </c>
      <c r="D1467">
        <v>489.726</v>
      </c>
      <c r="E1467">
        <f t="shared" si="132"/>
        <v>489.57100000000003</v>
      </c>
      <c r="F1467">
        <v>489.54500000000002</v>
      </c>
      <c r="G1467">
        <f t="shared" si="134"/>
        <v>2.6000000000010459E-2</v>
      </c>
      <c r="H1467">
        <v>1.82</v>
      </c>
      <c r="I1467">
        <f t="shared" si="135"/>
        <v>0.22890362198983044</v>
      </c>
      <c r="J1467">
        <f t="shared" si="136"/>
        <v>13.734217319389826</v>
      </c>
      <c r="K1467">
        <f t="shared" si="137"/>
        <v>824.0530391633896</v>
      </c>
    </row>
    <row r="1468" spans="1:11" x14ac:dyDescent="0.4">
      <c r="A1468" s="19">
        <v>45895.833333333336</v>
      </c>
      <c r="B1468" s="20">
        <f t="shared" si="133"/>
        <v>0.83333333333575865</v>
      </c>
      <c r="C1468">
        <v>0</v>
      </c>
      <c r="D1468">
        <v>489.733</v>
      </c>
      <c r="E1468">
        <f t="shared" si="132"/>
        <v>489.57800000000003</v>
      </c>
      <c r="F1468">
        <v>489.54500000000002</v>
      </c>
      <c r="G1468">
        <f t="shared" si="134"/>
        <v>3.3000000000015461E-2</v>
      </c>
      <c r="H1468">
        <v>1.82</v>
      </c>
      <c r="I1468">
        <f t="shared" si="135"/>
        <v>0.32731322448100175</v>
      </c>
      <c r="J1468">
        <f t="shared" si="136"/>
        <v>19.638793468860104</v>
      </c>
      <c r="K1468">
        <f t="shared" si="137"/>
        <v>1178.3276081316064</v>
      </c>
    </row>
    <row r="1469" spans="1:11" x14ac:dyDescent="0.4">
      <c r="A1469" s="19">
        <v>45895.875</v>
      </c>
      <c r="B1469" s="20">
        <f t="shared" si="133"/>
        <v>0.875</v>
      </c>
      <c r="C1469">
        <v>1.6</v>
      </c>
      <c r="D1469">
        <v>489.74599999999998</v>
      </c>
      <c r="E1469">
        <f t="shared" si="132"/>
        <v>489.59100000000001</v>
      </c>
      <c r="F1469">
        <v>489.54500000000002</v>
      </c>
      <c r="G1469">
        <f t="shared" si="134"/>
        <v>4.5999999999992269E-2</v>
      </c>
      <c r="H1469">
        <v>1.82</v>
      </c>
      <c r="I1469">
        <f t="shared" si="135"/>
        <v>0.53867818756643004</v>
      </c>
      <c r="J1469">
        <f t="shared" si="136"/>
        <v>32.3206912539858</v>
      </c>
      <c r="K1469">
        <f t="shared" si="137"/>
        <v>1939.241475239148</v>
      </c>
    </row>
    <row r="1470" spans="1:11" x14ac:dyDescent="0.4">
      <c r="A1470" s="19">
        <v>45895.916666666664</v>
      </c>
      <c r="B1470" s="20">
        <f t="shared" si="133"/>
        <v>0.91666666666424135</v>
      </c>
      <c r="C1470">
        <v>1.8</v>
      </c>
      <c r="D1470">
        <v>489.76600000000002</v>
      </c>
      <c r="E1470">
        <f t="shared" si="132"/>
        <v>489.61100000000005</v>
      </c>
      <c r="F1470">
        <v>489.54500000000002</v>
      </c>
      <c r="G1470">
        <f t="shared" si="134"/>
        <v>6.6000000000030923E-2</v>
      </c>
      <c r="H1470">
        <v>1.82</v>
      </c>
      <c r="I1470">
        <f t="shared" si="135"/>
        <v>0.92578160241020346</v>
      </c>
      <c r="J1470">
        <f t="shared" si="136"/>
        <v>55.546896144612205</v>
      </c>
      <c r="K1470">
        <f t="shared" si="137"/>
        <v>3332.8137686767327</v>
      </c>
    </row>
    <row r="1471" spans="1:11" x14ac:dyDescent="0.4">
      <c r="A1471" s="19">
        <v>45895.958333333336</v>
      </c>
      <c r="B1471" s="20">
        <f t="shared" si="133"/>
        <v>0.95833333333575865</v>
      </c>
      <c r="C1471">
        <v>0</v>
      </c>
      <c r="D1471">
        <v>489.79199999999997</v>
      </c>
      <c r="E1471">
        <f t="shared" si="132"/>
        <v>489.637</v>
      </c>
      <c r="F1471">
        <v>489.54500000000002</v>
      </c>
      <c r="G1471">
        <f t="shared" si="134"/>
        <v>9.1999999999984539E-2</v>
      </c>
      <c r="H1471">
        <v>1.82</v>
      </c>
      <c r="I1471">
        <f t="shared" si="135"/>
        <v>1.5236119972220066</v>
      </c>
      <c r="J1471">
        <f t="shared" si="136"/>
        <v>91.4167198333204</v>
      </c>
      <c r="K1471">
        <f t="shared" si="137"/>
        <v>5485.0031899992237</v>
      </c>
    </row>
    <row r="1472" spans="1:11" x14ac:dyDescent="0.4">
      <c r="A1472" s="19">
        <v>45896</v>
      </c>
      <c r="B1472" s="20">
        <f t="shared" si="133"/>
        <v>0</v>
      </c>
      <c r="C1472">
        <v>0.2</v>
      </c>
      <c r="D1472">
        <v>489.81099999999998</v>
      </c>
      <c r="E1472">
        <f t="shared" si="132"/>
        <v>489.65600000000001</v>
      </c>
      <c r="F1472">
        <v>489.54500000000002</v>
      </c>
      <c r="G1472">
        <f t="shared" si="134"/>
        <v>0.11099999999999</v>
      </c>
      <c r="H1472">
        <v>1.82</v>
      </c>
      <c r="I1472">
        <f t="shared" si="135"/>
        <v>2.019189647348385</v>
      </c>
      <c r="J1472">
        <f t="shared" si="136"/>
        <v>121.15137884090311</v>
      </c>
      <c r="K1472">
        <f t="shared" si="137"/>
        <v>7269.0827304541863</v>
      </c>
    </row>
    <row r="1473" spans="1:11" x14ac:dyDescent="0.4">
      <c r="A1473" s="19">
        <v>45896.041666666664</v>
      </c>
      <c r="B1473" s="20">
        <f t="shared" si="133"/>
        <v>4.1666666664241347E-2</v>
      </c>
      <c r="C1473">
        <v>0.6</v>
      </c>
      <c r="D1473">
        <v>489.83</v>
      </c>
      <c r="E1473">
        <f t="shared" si="132"/>
        <v>489.67500000000001</v>
      </c>
      <c r="F1473">
        <v>489.54500000000002</v>
      </c>
      <c r="G1473">
        <f t="shared" si="134"/>
        <v>0.12999999999999545</v>
      </c>
      <c r="H1473">
        <v>1.82</v>
      </c>
      <c r="I1473">
        <f t="shared" si="135"/>
        <v>2.5592202953242045</v>
      </c>
      <c r="J1473">
        <f t="shared" si="136"/>
        <v>153.55321771945228</v>
      </c>
      <c r="K1473">
        <f t="shared" si="137"/>
        <v>9213.1930631671366</v>
      </c>
    </row>
    <row r="1474" spans="1:11" x14ac:dyDescent="0.4">
      <c r="A1474" s="19">
        <v>45896.083333333336</v>
      </c>
      <c r="B1474" s="20">
        <f t="shared" si="133"/>
        <v>8.3333333335758653E-2</v>
      </c>
      <c r="C1474">
        <v>0</v>
      </c>
      <c r="D1474">
        <v>489.84199999999998</v>
      </c>
      <c r="E1474">
        <f t="shared" ref="E1474:E1537" si="138">D1474-0.155</f>
        <v>489.68700000000001</v>
      </c>
      <c r="F1474">
        <v>489.54500000000002</v>
      </c>
      <c r="G1474">
        <f t="shared" si="134"/>
        <v>0.14199999999999591</v>
      </c>
      <c r="H1474">
        <v>1.82</v>
      </c>
      <c r="I1474">
        <f t="shared" si="135"/>
        <v>2.9216296230150851</v>
      </c>
      <c r="J1474">
        <f t="shared" si="136"/>
        <v>175.2977773809051</v>
      </c>
      <c r="K1474">
        <f t="shared" si="137"/>
        <v>10517.866642854306</v>
      </c>
    </row>
    <row r="1475" spans="1:11" x14ac:dyDescent="0.4">
      <c r="A1475" s="19">
        <v>45896.125</v>
      </c>
      <c r="B1475" s="20">
        <f t="shared" ref="B1475:B1538" si="139">MOD(A1475,1)</f>
        <v>0.125</v>
      </c>
      <c r="C1475">
        <v>0</v>
      </c>
      <c r="D1475">
        <v>489.86200000000002</v>
      </c>
      <c r="E1475">
        <f t="shared" si="138"/>
        <v>489.70700000000005</v>
      </c>
      <c r="F1475">
        <v>489.54500000000002</v>
      </c>
      <c r="G1475">
        <f t="shared" ref="G1475:G1538" si="140">IF(E1475 - F1475 &lt; 0, 0, E1475 - F1475)</f>
        <v>0.16200000000003456</v>
      </c>
      <c r="H1475">
        <v>1.82</v>
      </c>
      <c r="I1475">
        <f t="shared" ref="I1475:I1538" si="141">1.82*30*(G1475^1.5)</f>
        <v>3.560124325425746</v>
      </c>
      <c r="J1475">
        <f t="shared" ref="J1475:J1538" si="142">I1475*60</f>
        <v>213.60745952554475</v>
      </c>
      <c r="K1475">
        <f t="shared" ref="K1475:K1538" si="143">(I1475*86400)/24</f>
        <v>12816.447571532684</v>
      </c>
    </row>
    <row r="1476" spans="1:11" x14ac:dyDescent="0.4">
      <c r="A1476" s="19">
        <v>45896.166666666664</v>
      </c>
      <c r="B1476" s="20">
        <f t="shared" si="139"/>
        <v>0.16666666666424135</v>
      </c>
      <c r="C1476">
        <v>0</v>
      </c>
      <c r="D1476">
        <v>489.86900000000003</v>
      </c>
      <c r="E1476">
        <f t="shared" si="138"/>
        <v>489.71400000000006</v>
      </c>
      <c r="F1476">
        <v>489.54500000000002</v>
      </c>
      <c r="G1476">
        <f t="shared" si="140"/>
        <v>0.16900000000003956</v>
      </c>
      <c r="H1476">
        <v>1.82</v>
      </c>
      <c r="I1476">
        <f t="shared" si="141"/>
        <v>3.7933481145882335</v>
      </c>
      <c r="J1476">
        <f t="shared" si="142"/>
        <v>227.60088687529401</v>
      </c>
      <c r="K1476">
        <f t="shared" si="143"/>
        <v>13656.05321251764</v>
      </c>
    </row>
    <row r="1477" spans="1:11" x14ac:dyDescent="0.4">
      <c r="A1477" s="19">
        <v>45896.208333333336</v>
      </c>
      <c r="B1477" s="20">
        <f t="shared" si="139"/>
        <v>0.20833333333575865</v>
      </c>
      <c r="C1477">
        <v>0</v>
      </c>
      <c r="D1477">
        <v>489.87599999999998</v>
      </c>
      <c r="E1477">
        <f t="shared" si="138"/>
        <v>489.721</v>
      </c>
      <c r="F1477">
        <v>489.54500000000002</v>
      </c>
      <c r="G1477">
        <f t="shared" si="140"/>
        <v>0.17599999999998772</v>
      </c>
      <c r="H1477">
        <v>1.82</v>
      </c>
      <c r="I1477">
        <f t="shared" si="141"/>
        <v>4.0314534029499329</v>
      </c>
      <c r="J1477">
        <f t="shared" si="142"/>
        <v>241.88720417699597</v>
      </c>
      <c r="K1477">
        <f t="shared" si="143"/>
        <v>14513.23225061976</v>
      </c>
    </row>
    <row r="1478" spans="1:11" x14ac:dyDescent="0.4">
      <c r="A1478" s="19">
        <v>45896.25</v>
      </c>
      <c r="B1478" s="20">
        <f t="shared" si="139"/>
        <v>0.25</v>
      </c>
      <c r="C1478">
        <v>0</v>
      </c>
      <c r="D1478">
        <v>489.88099999999997</v>
      </c>
      <c r="E1478">
        <f t="shared" si="138"/>
        <v>489.726</v>
      </c>
      <c r="F1478">
        <v>489.54500000000002</v>
      </c>
      <c r="G1478">
        <f t="shared" si="140"/>
        <v>0.18099999999998317</v>
      </c>
      <c r="H1478">
        <v>1.82</v>
      </c>
      <c r="I1478">
        <f t="shared" si="141"/>
        <v>4.2044627099731864</v>
      </c>
      <c r="J1478">
        <f t="shared" si="142"/>
        <v>252.26776259839119</v>
      </c>
      <c r="K1478">
        <f t="shared" si="143"/>
        <v>15136.065755903472</v>
      </c>
    </row>
    <row r="1479" spans="1:11" x14ac:dyDescent="0.4">
      <c r="A1479" s="19">
        <v>45896.291666666664</v>
      </c>
      <c r="B1479" s="20">
        <f t="shared" si="139"/>
        <v>0.29166666666424135</v>
      </c>
      <c r="C1479">
        <v>0</v>
      </c>
      <c r="D1479">
        <v>489.88099999999997</v>
      </c>
      <c r="E1479">
        <f t="shared" si="138"/>
        <v>489.726</v>
      </c>
      <c r="F1479">
        <v>489.54500000000002</v>
      </c>
      <c r="G1479">
        <f t="shared" si="140"/>
        <v>0.18099999999998317</v>
      </c>
      <c r="H1479">
        <v>1.82</v>
      </c>
      <c r="I1479">
        <f t="shared" si="141"/>
        <v>4.2044627099731864</v>
      </c>
      <c r="J1479">
        <f t="shared" si="142"/>
        <v>252.26776259839119</v>
      </c>
      <c r="K1479">
        <f t="shared" si="143"/>
        <v>15136.065755903472</v>
      </c>
    </row>
    <row r="1480" spans="1:11" x14ac:dyDescent="0.4">
      <c r="A1480" s="19">
        <v>45896.333333333336</v>
      </c>
      <c r="B1480" s="20">
        <f t="shared" si="139"/>
        <v>0.33333333333575865</v>
      </c>
      <c r="C1480">
        <v>0</v>
      </c>
      <c r="D1480">
        <v>489.88099999999997</v>
      </c>
      <c r="E1480">
        <f t="shared" si="138"/>
        <v>489.726</v>
      </c>
      <c r="F1480">
        <v>489.54500000000002</v>
      </c>
      <c r="G1480">
        <f t="shared" si="140"/>
        <v>0.18099999999998317</v>
      </c>
      <c r="H1480">
        <v>1.82</v>
      </c>
      <c r="I1480">
        <f t="shared" si="141"/>
        <v>4.2044627099731864</v>
      </c>
      <c r="J1480">
        <f t="shared" si="142"/>
        <v>252.26776259839119</v>
      </c>
      <c r="K1480">
        <f t="shared" si="143"/>
        <v>15136.065755903472</v>
      </c>
    </row>
    <row r="1481" spans="1:11" x14ac:dyDescent="0.4">
      <c r="A1481" s="19">
        <v>45896.375</v>
      </c>
      <c r="B1481" s="20">
        <f t="shared" si="139"/>
        <v>0.375</v>
      </c>
      <c r="C1481">
        <v>0</v>
      </c>
      <c r="D1481">
        <v>489.88099999999997</v>
      </c>
      <c r="E1481">
        <f t="shared" si="138"/>
        <v>489.726</v>
      </c>
      <c r="F1481">
        <v>489.54500000000002</v>
      </c>
      <c r="G1481">
        <f t="shared" si="140"/>
        <v>0.18099999999998317</v>
      </c>
      <c r="H1481">
        <v>1.82</v>
      </c>
      <c r="I1481">
        <f t="shared" si="141"/>
        <v>4.2044627099731864</v>
      </c>
      <c r="J1481">
        <f t="shared" si="142"/>
        <v>252.26776259839119</v>
      </c>
      <c r="K1481">
        <f t="shared" si="143"/>
        <v>15136.065755903472</v>
      </c>
    </row>
    <row r="1482" spans="1:11" x14ac:dyDescent="0.4">
      <c r="A1482" s="19">
        <v>45896.416666666664</v>
      </c>
      <c r="B1482" s="20">
        <f t="shared" si="139"/>
        <v>0.41666666666424135</v>
      </c>
      <c r="C1482">
        <v>0</v>
      </c>
      <c r="D1482">
        <v>489.88099999999997</v>
      </c>
      <c r="E1482">
        <f t="shared" si="138"/>
        <v>489.726</v>
      </c>
      <c r="F1482">
        <v>489.54500000000002</v>
      </c>
      <c r="G1482">
        <f t="shared" si="140"/>
        <v>0.18099999999998317</v>
      </c>
      <c r="H1482">
        <v>1.82</v>
      </c>
      <c r="I1482">
        <f t="shared" si="141"/>
        <v>4.2044627099731864</v>
      </c>
      <c r="J1482">
        <f t="shared" si="142"/>
        <v>252.26776259839119</v>
      </c>
      <c r="K1482">
        <f t="shared" si="143"/>
        <v>15136.065755903472</v>
      </c>
    </row>
    <row r="1483" spans="1:11" x14ac:dyDescent="0.4">
      <c r="A1483" s="19">
        <v>45896.458333333336</v>
      </c>
      <c r="B1483" s="20">
        <f t="shared" si="139"/>
        <v>0.45833333333575865</v>
      </c>
      <c r="C1483">
        <v>0</v>
      </c>
      <c r="D1483">
        <v>489.88099999999997</v>
      </c>
      <c r="E1483">
        <f t="shared" si="138"/>
        <v>489.726</v>
      </c>
      <c r="F1483">
        <v>489.54500000000002</v>
      </c>
      <c r="G1483">
        <f t="shared" si="140"/>
        <v>0.18099999999998317</v>
      </c>
      <c r="H1483">
        <v>1.82</v>
      </c>
      <c r="I1483">
        <f t="shared" si="141"/>
        <v>4.2044627099731864</v>
      </c>
      <c r="J1483">
        <f t="shared" si="142"/>
        <v>252.26776259839119</v>
      </c>
      <c r="K1483">
        <f t="shared" si="143"/>
        <v>15136.065755903472</v>
      </c>
    </row>
    <row r="1484" spans="1:11" x14ac:dyDescent="0.4">
      <c r="A1484" s="19">
        <v>45896.5</v>
      </c>
      <c r="B1484" s="20">
        <f t="shared" si="139"/>
        <v>0.5</v>
      </c>
      <c r="C1484">
        <v>0</v>
      </c>
      <c r="D1484">
        <v>489.88099999999997</v>
      </c>
      <c r="E1484">
        <f t="shared" si="138"/>
        <v>489.726</v>
      </c>
      <c r="F1484">
        <v>489.54500000000002</v>
      </c>
      <c r="G1484">
        <f t="shared" si="140"/>
        <v>0.18099999999998317</v>
      </c>
      <c r="H1484">
        <v>1.82</v>
      </c>
      <c r="I1484">
        <f t="shared" si="141"/>
        <v>4.2044627099731864</v>
      </c>
      <c r="J1484">
        <f t="shared" si="142"/>
        <v>252.26776259839119</v>
      </c>
      <c r="K1484">
        <f t="shared" si="143"/>
        <v>15136.065755903472</v>
      </c>
    </row>
    <row r="1485" spans="1:11" x14ac:dyDescent="0.4">
      <c r="A1485" s="19">
        <v>45896.541666666664</v>
      </c>
      <c r="B1485" s="20">
        <f t="shared" si="139"/>
        <v>0.54166666666424135</v>
      </c>
      <c r="C1485">
        <v>0.4</v>
      </c>
      <c r="D1485">
        <v>489.88099999999997</v>
      </c>
      <c r="E1485">
        <f t="shared" si="138"/>
        <v>489.726</v>
      </c>
      <c r="F1485">
        <v>489.54500000000002</v>
      </c>
      <c r="G1485">
        <f t="shared" si="140"/>
        <v>0.18099999999998317</v>
      </c>
      <c r="H1485">
        <v>1.82</v>
      </c>
      <c r="I1485">
        <f t="shared" si="141"/>
        <v>4.2044627099731864</v>
      </c>
      <c r="J1485">
        <f t="shared" si="142"/>
        <v>252.26776259839119</v>
      </c>
      <c r="K1485">
        <f t="shared" si="143"/>
        <v>15136.065755903472</v>
      </c>
    </row>
    <row r="1486" spans="1:11" x14ac:dyDescent="0.4">
      <c r="A1486" s="19">
        <v>45896.583333333336</v>
      </c>
      <c r="B1486" s="20">
        <f t="shared" si="139"/>
        <v>0.58333333333575865</v>
      </c>
      <c r="C1486">
        <v>0</v>
      </c>
      <c r="D1486">
        <v>489.875</v>
      </c>
      <c r="E1486">
        <f t="shared" si="138"/>
        <v>489.72</v>
      </c>
      <c r="F1486">
        <v>489.54500000000002</v>
      </c>
      <c r="G1486">
        <f t="shared" si="140"/>
        <v>0.17500000000001137</v>
      </c>
      <c r="H1486">
        <v>1.82</v>
      </c>
      <c r="I1486">
        <f t="shared" si="141"/>
        <v>3.9971432767669373</v>
      </c>
      <c r="J1486">
        <f t="shared" si="142"/>
        <v>239.82859660601625</v>
      </c>
      <c r="K1486">
        <f t="shared" si="143"/>
        <v>14389.715796360973</v>
      </c>
    </row>
    <row r="1487" spans="1:11" x14ac:dyDescent="0.4">
      <c r="A1487" s="19">
        <v>45896.625</v>
      </c>
      <c r="B1487" s="20">
        <f t="shared" si="139"/>
        <v>0.625</v>
      </c>
      <c r="C1487">
        <v>0</v>
      </c>
      <c r="D1487">
        <v>489.875</v>
      </c>
      <c r="E1487">
        <f t="shared" si="138"/>
        <v>489.72</v>
      </c>
      <c r="F1487">
        <v>489.54500000000002</v>
      </c>
      <c r="G1487">
        <f t="shared" si="140"/>
        <v>0.17500000000001137</v>
      </c>
      <c r="H1487">
        <v>1.82</v>
      </c>
      <c r="I1487">
        <f t="shared" si="141"/>
        <v>3.9971432767669373</v>
      </c>
      <c r="J1487">
        <f t="shared" si="142"/>
        <v>239.82859660601625</v>
      </c>
      <c r="K1487">
        <f t="shared" si="143"/>
        <v>14389.715796360973</v>
      </c>
    </row>
    <row r="1488" spans="1:11" x14ac:dyDescent="0.4">
      <c r="A1488" s="19">
        <v>45896.666666666664</v>
      </c>
      <c r="B1488" s="20">
        <f t="shared" si="139"/>
        <v>0.66666666666424135</v>
      </c>
      <c r="C1488">
        <v>0</v>
      </c>
      <c r="D1488">
        <v>489.86799999999999</v>
      </c>
      <c r="E1488">
        <f t="shared" si="138"/>
        <v>489.71300000000002</v>
      </c>
      <c r="F1488">
        <v>489.54500000000002</v>
      </c>
      <c r="G1488">
        <f t="shared" si="140"/>
        <v>0.16800000000000637</v>
      </c>
      <c r="H1488">
        <v>1.82</v>
      </c>
      <c r="I1488">
        <f t="shared" si="141"/>
        <v>3.759729199439982</v>
      </c>
      <c r="J1488">
        <f t="shared" si="142"/>
        <v>225.58375196639892</v>
      </c>
      <c r="K1488">
        <f t="shared" si="143"/>
        <v>13535.025117983934</v>
      </c>
    </row>
    <row r="1489" spans="1:11" x14ac:dyDescent="0.4">
      <c r="A1489" s="19">
        <v>45896.708333333336</v>
      </c>
      <c r="B1489" s="20">
        <f t="shared" si="139"/>
        <v>0.70833333333575865</v>
      </c>
      <c r="C1489">
        <v>0.4</v>
      </c>
      <c r="D1489">
        <v>489.88799999999998</v>
      </c>
      <c r="E1489">
        <f t="shared" si="138"/>
        <v>489.733</v>
      </c>
      <c r="F1489">
        <v>489.54500000000002</v>
      </c>
      <c r="G1489">
        <f t="shared" si="140"/>
        <v>0.18799999999998818</v>
      </c>
      <c r="H1489">
        <v>1.82</v>
      </c>
      <c r="I1489">
        <f t="shared" si="141"/>
        <v>4.4507112217617841</v>
      </c>
      <c r="J1489">
        <f t="shared" si="142"/>
        <v>267.04267330570707</v>
      </c>
      <c r="K1489">
        <f t="shared" si="143"/>
        <v>16022.560398342423</v>
      </c>
    </row>
    <row r="1490" spans="1:11" x14ac:dyDescent="0.4">
      <c r="A1490" s="19">
        <v>45896.75</v>
      </c>
      <c r="B1490" s="20">
        <f t="shared" si="139"/>
        <v>0.75</v>
      </c>
      <c r="C1490">
        <v>0</v>
      </c>
      <c r="D1490">
        <v>489.89400000000001</v>
      </c>
      <c r="E1490">
        <f t="shared" si="138"/>
        <v>489.73900000000003</v>
      </c>
      <c r="F1490">
        <v>489.54500000000002</v>
      </c>
      <c r="G1490">
        <f t="shared" si="140"/>
        <v>0.19400000000001683</v>
      </c>
      <c r="H1490">
        <v>1.82</v>
      </c>
      <c r="I1490">
        <f t="shared" si="141"/>
        <v>4.665468242893275</v>
      </c>
      <c r="J1490">
        <f t="shared" si="142"/>
        <v>279.92809457359652</v>
      </c>
      <c r="K1490">
        <f t="shared" si="143"/>
        <v>16795.685674415789</v>
      </c>
    </row>
    <row r="1491" spans="1:11" x14ac:dyDescent="0.4">
      <c r="A1491" s="19">
        <v>45896.791666666664</v>
      </c>
      <c r="B1491" s="20">
        <f t="shared" si="139"/>
        <v>0.79166666666424135</v>
      </c>
      <c r="C1491">
        <v>0.6</v>
      </c>
      <c r="D1491">
        <v>489.88900000000001</v>
      </c>
      <c r="E1491">
        <f t="shared" si="138"/>
        <v>489.73400000000004</v>
      </c>
      <c r="F1491">
        <v>489.54500000000002</v>
      </c>
      <c r="G1491">
        <f t="shared" si="140"/>
        <v>0.18900000000002137</v>
      </c>
      <c r="H1491">
        <v>1.82</v>
      </c>
      <c r="I1491">
        <f t="shared" si="141"/>
        <v>4.486269395839579</v>
      </c>
      <c r="J1491">
        <f t="shared" si="142"/>
        <v>269.17616375037471</v>
      </c>
      <c r="K1491">
        <f t="shared" si="143"/>
        <v>16150.569825022483</v>
      </c>
    </row>
    <row r="1492" spans="1:11" x14ac:dyDescent="0.4">
      <c r="A1492" s="19">
        <v>45896.833333333336</v>
      </c>
      <c r="B1492" s="20">
        <f t="shared" si="139"/>
        <v>0.83333333333575865</v>
      </c>
      <c r="C1492">
        <v>0</v>
      </c>
      <c r="D1492">
        <v>489.88900000000001</v>
      </c>
      <c r="E1492">
        <f t="shared" si="138"/>
        <v>489.73400000000004</v>
      </c>
      <c r="F1492">
        <v>489.54500000000002</v>
      </c>
      <c r="G1492">
        <f t="shared" si="140"/>
        <v>0.18900000000002137</v>
      </c>
      <c r="H1492">
        <v>1.82</v>
      </c>
      <c r="I1492">
        <f t="shared" si="141"/>
        <v>4.486269395839579</v>
      </c>
      <c r="J1492">
        <f t="shared" si="142"/>
        <v>269.17616375037471</v>
      </c>
      <c r="K1492">
        <f t="shared" si="143"/>
        <v>16150.569825022483</v>
      </c>
    </row>
    <row r="1493" spans="1:11" x14ac:dyDescent="0.4">
      <c r="A1493" s="19">
        <v>45896.875</v>
      </c>
      <c r="B1493" s="20">
        <f t="shared" si="139"/>
        <v>0.875</v>
      </c>
      <c r="C1493">
        <v>0</v>
      </c>
      <c r="D1493">
        <v>489.88099999999997</v>
      </c>
      <c r="E1493">
        <f t="shared" si="138"/>
        <v>489.726</v>
      </c>
      <c r="F1493">
        <v>489.54500000000002</v>
      </c>
      <c r="G1493">
        <f t="shared" si="140"/>
        <v>0.18099999999998317</v>
      </c>
      <c r="H1493">
        <v>1.82</v>
      </c>
      <c r="I1493">
        <f t="shared" si="141"/>
        <v>4.2044627099731864</v>
      </c>
      <c r="J1493">
        <f t="shared" si="142"/>
        <v>252.26776259839119</v>
      </c>
      <c r="K1493">
        <f t="shared" si="143"/>
        <v>15136.065755903472</v>
      </c>
    </row>
    <row r="1494" spans="1:11" x14ac:dyDescent="0.4">
      <c r="A1494" s="19">
        <v>45896.916666666664</v>
      </c>
      <c r="B1494" s="20">
        <f t="shared" si="139"/>
        <v>0.91666666666424135</v>
      </c>
      <c r="C1494">
        <v>0</v>
      </c>
      <c r="D1494">
        <v>489.87599999999998</v>
      </c>
      <c r="E1494">
        <f t="shared" si="138"/>
        <v>489.721</v>
      </c>
      <c r="F1494">
        <v>489.54500000000002</v>
      </c>
      <c r="G1494">
        <f t="shared" si="140"/>
        <v>0.17599999999998772</v>
      </c>
      <c r="H1494">
        <v>1.82</v>
      </c>
      <c r="I1494">
        <f t="shared" si="141"/>
        <v>4.0314534029499329</v>
      </c>
      <c r="J1494">
        <f t="shared" si="142"/>
        <v>241.88720417699597</v>
      </c>
      <c r="K1494">
        <f t="shared" si="143"/>
        <v>14513.23225061976</v>
      </c>
    </row>
    <row r="1495" spans="1:11" x14ac:dyDescent="0.4">
      <c r="A1495" s="19">
        <v>45896.958333333336</v>
      </c>
      <c r="B1495" s="20">
        <f t="shared" si="139"/>
        <v>0.95833333333575865</v>
      </c>
      <c r="C1495">
        <v>0</v>
      </c>
      <c r="D1495">
        <v>489.87599999999998</v>
      </c>
      <c r="E1495">
        <f t="shared" si="138"/>
        <v>489.721</v>
      </c>
      <c r="F1495">
        <v>489.54500000000002</v>
      </c>
      <c r="G1495">
        <f t="shared" si="140"/>
        <v>0.17599999999998772</v>
      </c>
      <c r="H1495">
        <v>1.82</v>
      </c>
      <c r="I1495">
        <f t="shared" si="141"/>
        <v>4.0314534029499329</v>
      </c>
      <c r="J1495">
        <f t="shared" si="142"/>
        <v>241.88720417699597</v>
      </c>
      <c r="K1495">
        <f t="shared" si="143"/>
        <v>14513.23225061976</v>
      </c>
    </row>
    <row r="1496" spans="1:11" x14ac:dyDescent="0.4">
      <c r="A1496" s="19">
        <v>45897</v>
      </c>
      <c r="B1496" s="20">
        <f t="shared" si="139"/>
        <v>0</v>
      </c>
      <c r="C1496">
        <v>0</v>
      </c>
      <c r="D1496">
        <v>489.86900000000003</v>
      </c>
      <c r="E1496">
        <f t="shared" si="138"/>
        <v>489.71400000000006</v>
      </c>
      <c r="F1496">
        <v>489.54500000000002</v>
      </c>
      <c r="G1496">
        <f t="shared" si="140"/>
        <v>0.16900000000003956</v>
      </c>
      <c r="H1496">
        <v>1.82</v>
      </c>
      <c r="I1496">
        <f t="shared" si="141"/>
        <v>3.7933481145882335</v>
      </c>
      <c r="J1496">
        <f t="shared" si="142"/>
        <v>227.60088687529401</v>
      </c>
      <c r="K1496">
        <f t="shared" si="143"/>
        <v>13656.05321251764</v>
      </c>
    </row>
    <row r="1497" spans="1:11" x14ac:dyDescent="0.4">
      <c r="A1497" s="19">
        <v>45897.041666666664</v>
      </c>
      <c r="B1497" s="20">
        <f t="shared" si="139"/>
        <v>4.1666666664241347E-2</v>
      </c>
      <c r="C1497">
        <v>0</v>
      </c>
      <c r="D1497">
        <v>489.86900000000003</v>
      </c>
      <c r="E1497">
        <f t="shared" si="138"/>
        <v>489.71400000000006</v>
      </c>
      <c r="F1497">
        <v>489.54500000000002</v>
      </c>
      <c r="G1497">
        <f t="shared" si="140"/>
        <v>0.16900000000003956</v>
      </c>
      <c r="H1497">
        <v>1.82</v>
      </c>
      <c r="I1497">
        <f t="shared" si="141"/>
        <v>3.7933481145882335</v>
      </c>
      <c r="J1497">
        <f t="shared" si="142"/>
        <v>227.60088687529401</v>
      </c>
      <c r="K1497">
        <f t="shared" si="143"/>
        <v>13656.05321251764</v>
      </c>
    </row>
    <row r="1498" spans="1:11" x14ac:dyDescent="0.4">
      <c r="A1498" s="19">
        <v>45897.083333333336</v>
      </c>
      <c r="B1498" s="20">
        <f t="shared" si="139"/>
        <v>8.3333333335758653E-2</v>
      </c>
      <c r="C1498">
        <v>0</v>
      </c>
      <c r="D1498">
        <v>489.86200000000002</v>
      </c>
      <c r="E1498">
        <f t="shared" si="138"/>
        <v>489.70700000000005</v>
      </c>
      <c r="F1498">
        <v>489.54500000000002</v>
      </c>
      <c r="G1498">
        <f t="shared" si="140"/>
        <v>0.16200000000003456</v>
      </c>
      <c r="H1498">
        <v>1.82</v>
      </c>
      <c r="I1498">
        <f t="shared" si="141"/>
        <v>3.560124325425746</v>
      </c>
      <c r="J1498">
        <f t="shared" si="142"/>
        <v>213.60745952554475</v>
      </c>
      <c r="K1498">
        <f t="shared" si="143"/>
        <v>12816.447571532684</v>
      </c>
    </row>
    <row r="1499" spans="1:11" x14ac:dyDescent="0.4">
      <c r="A1499" s="19">
        <v>45897.125</v>
      </c>
      <c r="B1499" s="20">
        <f t="shared" si="139"/>
        <v>0.125</v>
      </c>
      <c r="C1499">
        <v>0</v>
      </c>
      <c r="D1499">
        <v>489.86200000000002</v>
      </c>
      <c r="E1499">
        <f t="shared" si="138"/>
        <v>489.70700000000005</v>
      </c>
      <c r="F1499">
        <v>489.54500000000002</v>
      </c>
      <c r="G1499">
        <f t="shared" si="140"/>
        <v>0.16200000000003456</v>
      </c>
      <c r="H1499">
        <v>1.82</v>
      </c>
      <c r="I1499">
        <f t="shared" si="141"/>
        <v>3.560124325425746</v>
      </c>
      <c r="J1499">
        <f t="shared" si="142"/>
        <v>213.60745952554475</v>
      </c>
      <c r="K1499">
        <f t="shared" si="143"/>
        <v>12816.447571532684</v>
      </c>
    </row>
    <row r="1500" spans="1:11" x14ac:dyDescent="0.4">
      <c r="A1500" s="19">
        <v>45897.166666666664</v>
      </c>
      <c r="B1500" s="20">
        <f t="shared" si="139"/>
        <v>0.16666666666424135</v>
      </c>
      <c r="C1500">
        <v>0</v>
      </c>
      <c r="D1500">
        <v>489.85500000000002</v>
      </c>
      <c r="E1500">
        <f t="shared" si="138"/>
        <v>489.70000000000005</v>
      </c>
      <c r="F1500">
        <v>489.54500000000002</v>
      </c>
      <c r="G1500">
        <f t="shared" si="140"/>
        <v>0.15500000000002956</v>
      </c>
      <c r="H1500">
        <v>1.82</v>
      </c>
      <c r="I1500">
        <f t="shared" si="141"/>
        <v>3.3318864318890511</v>
      </c>
      <c r="J1500">
        <f t="shared" si="142"/>
        <v>199.91318591334306</v>
      </c>
      <c r="K1500">
        <f t="shared" si="143"/>
        <v>11994.791154800585</v>
      </c>
    </row>
    <row r="1501" spans="1:11" x14ac:dyDescent="0.4">
      <c r="A1501" s="19">
        <v>45897.208333333336</v>
      </c>
      <c r="B1501" s="20">
        <f t="shared" si="139"/>
        <v>0.20833333333575865</v>
      </c>
      <c r="C1501">
        <v>0</v>
      </c>
      <c r="D1501">
        <v>489.84800000000001</v>
      </c>
      <c r="E1501">
        <f t="shared" si="138"/>
        <v>489.69300000000004</v>
      </c>
      <c r="F1501">
        <v>489.54500000000002</v>
      </c>
      <c r="G1501">
        <f t="shared" si="140"/>
        <v>0.14800000000002456</v>
      </c>
      <c r="H1501">
        <v>1.82</v>
      </c>
      <c r="I1501">
        <f t="shared" si="141"/>
        <v>3.1087458305118498</v>
      </c>
      <c r="J1501">
        <f t="shared" si="142"/>
        <v>186.52474983071099</v>
      </c>
      <c r="K1501">
        <f t="shared" si="143"/>
        <v>11191.48498984266</v>
      </c>
    </row>
    <row r="1502" spans="1:11" x14ac:dyDescent="0.4">
      <c r="A1502" s="19">
        <v>45897.25</v>
      </c>
      <c r="B1502" s="20">
        <f t="shared" si="139"/>
        <v>0.25</v>
      </c>
      <c r="C1502">
        <v>0</v>
      </c>
      <c r="D1502">
        <v>489.84800000000001</v>
      </c>
      <c r="E1502">
        <f t="shared" si="138"/>
        <v>489.69300000000004</v>
      </c>
      <c r="F1502">
        <v>489.54500000000002</v>
      </c>
      <c r="G1502">
        <f t="shared" si="140"/>
        <v>0.14800000000002456</v>
      </c>
      <c r="H1502">
        <v>1.82</v>
      </c>
      <c r="I1502">
        <f t="shared" si="141"/>
        <v>3.1087458305118498</v>
      </c>
      <c r="J1502">
        <f t="shared" si="142"/>
        <v>186.52474983071099</v>
      </c>
      <c r="K1502">
        <f t="shared" si="143"/>
        <v>11191.48498984266</v>
      </c>
    </row>
    <row r="1503" spans="1:11" x14ac:dyDescent="0.4">
      <c r="A1503" s="19">
        <v>45897.291666666664</v>
      </c>
      <c r="B1503" s="20">
        <f t="shared" si="139"/>
        <v>0.29166666666424135</v>
      </c>
      <c r="C1503">
        <v>0</v>
      </c>
      <c r="D1503">
        <v>489.84800000000001</v>
      </c>
      <c r="E1503">
        <f t="shared" si="138"/>
        <v>489.69300000000004</v>
      </c>
      <c r="F1503">
        <v>489.54500000000002</v>
      </c>
      <c r="G1503">
        <f t="shared" si="140"/>
        <v>0.14800000000002456</v>
      </c>
      <c r="H1503">
        <v>1.82</v>
      </c>
      <c r="I1503">
        <f t="shared" si="141"/>
        <v>3.1087458305118498</v>
      </c>
      <c r="J1503">
        <f t="shared" si="142"/>
        <v>186.52474983071099</v>
      </c>
      <c r="K1503">
        <f t="shared" si="143"/>
        <v>11191.48498984266</v>
      </c>
    </row>
    <row r="1504" spans="1:11" x14ac:dyDescent="0.4">
      <c r="A1504" s="19">
        <v>45897.333333333336</v>
      </c>
      <c r="B1504" s="20">
        <f t="shared" si="139"/>
        <v>0.33333333333575865</v>
      </c>
      <c r="C1504">
        <v>0</v>
      </c>
      <c r="D1504">
        <v>489.84199999999998</v>
      </c>
      <c r="E1504">
        <f t="shared" si="138"/>
        <v>489.68700000000001</v>
      </c>
      <c r="F1504">
        <v>489.54500000000002</v>
      </c>
      <c r="G1504">
        <f t="shared" si="140"/>
        <v>0.14199999999999591</v>
      </c>
      <c r="H1504">
        <v>1.82</v>
      </c>
      <c r="I1504">
        <f t="shared" si="141"/>
        <v>2.9216296230150851</v>
      </c>
      <c r="J1504">
        <f t="shared" si="142"/>
        <v>175.2977773809051</v>
      </c>
      <c r="K1504">
        <f t="shared" si="143"/>
        <v>10517.866642854306</v>
      </c>
    </row>
    <row r="1505" spans="1:11" x14ac:dyDescent="0.4">
      <c r="A1505" s="19">
        <v>45897.375</v>
      </c>
      <c r="B1505" s="20">
        <f t="shared" si="139"/>
        <v>0.375</v>
      </c>
      <c r="C1505">
        <v>0</v>
      </c>
      <c r="D1505">
        <v>489.84100000000001</v>
      </c>
      <c r="E1505">
        <f t="shared" si="138"/>
        <v>489.68600000000004</v>
      </c>
      <c r="F1505">
        <v>489.54500000000002</v>
      </c>
      <c r="G1505">
        <f t="shared" si="140"/>
        <v>0.14100000000001955</v>
      </c>
      <c r="H1505">
        <v>1.82</v>
      </c>
      <c r="I1505">
        <f t="shared" si="141"/>
        <v>2.8908217372165095</v>
      </c>
      <c r="J1505">
        <f t="shared" si="142"/>
        <v>173.44930423299056</v>
      </c>
      <c r="K1505">
        <f t="shared" si="143"/>
        <v>10406.958253979434</v>
      </c>
    </row>
    <row r="1506" spans="1:11" x14ac:dyDescent="0.4">
      <c r="A1506" s="19">
        <v>45897.416666666664</v>
      </c>
      <c r="B1506" s="20">
        <f t="shared" si="139"/>
        <v>0.41666666666424135</v>
      </c>
      <c r="C1506">
        <v>0</v>
      </c>
      <c r="D1506">
        <v>489.83499999999998</v>
      </c>
      <c r="E1506">
        <f t="shared" si="138"/>
        <v>489.68</v>
      </c>
      <c r="F1506">
        <v>489.54500000000002</v>
      </c>
      <c r="G1506">
        <f t="shared" si="140"/>
        <v>0.13499999999999091</v>
      </c>
      <c r="H1506">
        <v>1.82</v>
      </c>
      <c r="I1506">
        <f t="shared" si="141"/>
        <v>2.7082783341079475</v>
      </c>
      <c r="J1506">
        <f t="shared" si="142"/>
        <v>162.49670004647686</v>
      </c>
      <c r="K1506">
        <f t="shared" si="143"/>
        <v>9749.8020027886105</v>
      </c>
    </row>
    <row r="1507" spans="1:11" x14ac:dyDescent="0.4">
      <c r="A1507" s="19">
        <v>45897.458333333336</v>
      </c>
      <c r="B1507" s="20">
        <f t="shared" si="139"/>
        <v>0.45833333333575865</v>
      </c>
      <c r="C1507">
        <v>0</v>
      </c>
      <c r="D1507">
        <v>489.83499999999998</v>
      </c>
      <c r="E1507">
        <f t="shared" si="138"/>
        <v>489.68</v>
      </c>
      <c r="F1507">
        <v>489.54500000000002</v>
      </c>
      <c r="G1507">
        <f t="shared" si="140"/>
        <v>0.13499999999999091</v>
      </c>
      <c r="H1507">
        <v>1.82</v>
      </c>
      <c r="I1507">
        <f t="shared" si="141"/>
        <v>2.7082783341079475</v>
      </c>
      <c r="J1507">
        <f t="shared" si="142"/>
        <v>162.49670004647686</v>
      </c>
      <c r="K1507">
        <f t="shared" si="143"/>
        <v>9749.8020027886105</v>
      </c>
    </row>
    <row r="1508" spans="1:11" x14ac:dyDescent="0.4">
      <c r="A1508" s="19">
        <v>45897.5</v>
      </c>
      <c r="B1508" s="20">
        <f t="shared" si="139"/>
        <v>0.5</v>
      </c>
      <c r="C1508">
        <v>0</v>
      </c>
      <c r="D1508">
        <v>489.82799999999997</v>
      </c>
      <c r="E1508">
        <f t="shared" si="138"/>
        <v>489.673</v>
      </c>
      <c r="F1508">
        <v>489.54500000000002</v>
      </c>
      <c r="G1508">
        <f t="shared" si="140"/>
        <v>0.1279999999999859</v>
      </c>
      <c r="H1508">
        <v>1.82</v>
      </c>
      <c r="I1508">
        <f t="shared" si="141"/>
        <v>2.5003891009836718</v>
      </c>
      <c r="J1508">
        <f t="shared" si="142"/>
        <v>150.0233460590203</v>
      </c>
      <c r="K1508">
        <f t="shared" si="143"/>
        <v>9001.4007635412181</v>
      </c>
    </row>
    <row r="1509" spans="1:11" x14ac:dyDescent="0.4">
      <c r="A1509" s="19">
        <v>45897.541666666664</v>
      </c>
      <c r="B1509" s="20">
        <f t="shared" si="139"/>
        <v>0.54166666666424135</v>
      </c>
      <c r="C1509">
        <v>0</v>
      </c>
      <c r="D1509">
        <v>489.82799999999997</v>
      </c>
      <c r="E1509">
        <f t="shared" si="138"/>
        <v>489.673</v>
      </c>
      <c r="F1509">
        <v>489.54500000000002</v>
      </c>
      <c r="G1509">
        <f t="shared" si="140"/>
        <v>0.1279999999999859</v>
      </c>
      <c r="H1509">
        <v>1.82</v>
      </c>
      <c r="I1509">
        <f t="shared" si="141"/>
        <v>2.5003891009836718</v>
      </c>
      <c r="J1509">
        <f t="shared" si="142"/>
        <v>150.0233460590203</v>
      </c>
      <c r="K1509">
        <f t="shared" si="143"/>
        <v>9001.4007635412181</v>
      </c>
    </row>
    <row r="1510" spans="1:11" x14ac:dyDescent="0.4">
      <c r="A1510" s="19">
        <v>45897.583333333336</v>
      </c>
      <c r="B1510" s="20">
        <f t="shared" si="139"/>
        <v>0.58333333333575865</v>
      </c>
      <c r="C1510">
        <v>0</v>
      </c>
      <c r="D1510">
        <v>489.822</v>
      </c>
      <c r="E1510">
        <f t="shared" si="138"/>
        <v>489.66700000000003</v>
      </c>
      <c r="F1510">
        <v>489.54500000000002</v>
      </c>
      <c r="G1510">
        <f t="shared" si="140"/>
        <v>0.1220000000000141</v>
      </c>
      <c r="H1510">
        <v>1.82</v>
      </c>
      <c r="I1510">
        <f t="shared" si="141"/>
        <v>2.3266571349646425</v>
      </c>
      <c r="J1510">
        <f t="shared" si="142"/>
        <v>139.59942809787856</v>
      </c>
      <c r="K1510">
        <f t="shared" si="143"/>
        <v>8375.9656858727121</v>
      </c>
    </row>
    <row r="1511" spans="1:11" x14ac:dyDescent="0.4">
      <c r="A1511" s="19">
        <v>45897.625</v>
      </c>
      <c r="B1511" s="20">
        <f t="shared" si="139"/>
        <v>0.625</v>
      </c>
      <c r="C1511">
        <v>0</v>
      </c>
      <c r="D1511">
        <v>489.822</v>
      </c>
      <c r="E1511">
        <f t="shared" si="138"/>
        <v>489.66700000000003</v>
      </c>
      <c r="F1511">
        <v>489.54500000000002</v>
      </c>
      <c r="G1511">
        <f t="shared" si="140"/>
        <v>0.1220000000000141</v>
      </c>
      <c r="H1511">
        <v>1.82</v>
      </c>
      <c r="I1511">
        <f t="shared" si="141"/>
        <v>2.3266571349646425</v>
      </c>
      <c r="J1511">
        <f t="shared" si="142"/>
        <v>139.59942809787856</v>
      </c>
      <c r="K1511">
        <f t="shared" si="143"/>
        <v>8375.9656858727121</v>
      </c>
    </row>
    <row r="1512" spans="1:11" x14ac:dyDescent="0.4">
      <c r="A1512" s="19">
        <v>45897.666666666664</v>
      </c>
      <c r="B1512" s="20">
        <f t="shared" si="139"/>
        <v>0.66666666666424135</v>
      </c>
      <c r="C1512">
        <v>0</v>
      </c>
      <c r="D1512">
        <v>489.81599999999997</v>
      </c>
      <c r="E1512">
        <f t="shared" si="138"/>
        <v>489.661</v>
      </c>
      <c r="F1512">
        <v>489.54500000000002</v>
      </c>
      <c r="G1512">
        <f t="shared" si="140"/>
        <v>0.11599999999998545</v>
      </c>
      <c r="H1512">
        <v>1.82</v>
      </c>
      <c r="I1512">
        <f t="shared" si="141"/>
        <v>2.1571464297442224</v>
      </c>
      <c r="J1512">
        <f t="shared" si="142"/>
        <v>129.42878578465334</v>
      </c>
      <c r="K1512">
        <f t="shared" si="143"/>
        <v>7765.7271470792002</v>
      </c>
    </row>
    <row r="1513" spans="1:11" x14ac:dyDescent="0.4">
      <c r="A1513" s="19">
        <v>45897.708333333336</v>
      </c>
      <c r="B1513" s="20">
        <f t="shared" si="139"/>
        <v>0.70833333333575865</v>
      </c>
      <c r="C1513">
        <v>0</v>
      </c>
      <c r="D1513">
        <v>489.81599999999997</v>
      </c>
      <c r="E1513">
        <f t="shared" si="138"/>
        <v>489.661</v>
      </c>
      <c r="F1513">
        <v>489.54500000000002</v>
      </c>
      <c r="G1513">
        <f t="shared" si="140"/>
        <v>0.11599999999998545</v>
      </c>
      <c r="H1513">
        <v>1.82</v>
      </c>
      <c r="I1513">
        <f t="shared" si="141"/>
        <v>2.1571464297442224</v>
      </c>
      <c r="J1513">
        <f t="shared" si="142"/>
        <v>129.42878578465334</v>
      </c>
      <c r="K1513">
        <f t="shared" si="143"/>
        <v>7765.7271470792002</v>
      </c>
    </row>
    <row r="1514" spans="1:11" x14ac:dyDescent="0.4">
      <c r="A1514" s="19">
        <v>45897.75</v>
      </c>
      <c r="B1514" s="20">
        <f t="shared" si="139"/>
        <v>0.75</v>
      </c>
      <c r="C1514">
        <v>0</v>
      </c>
      <c r="D1514">
        <v>489.81</v>
      </c>
      <c r="E1514">
        <f t="shared" si="138"/>
        <v>489.65500000000003</v>
      </c>
      <c r="F1514">
        <v>489.54500000000002</v>
      </c>
      <c r="G1514">
        <f t="shared" si="140"/>
        <v>0.11000000000001364</v>
      </c>
      <c r="H1514">
        <v>1.82</v>
      </c>
      <c r="I1514">
        <f t="shared" si="141"/>
        <v>1.9919648490878239</v>
      </c>
      <c r="J1514">
        <f t="shared" si="142"/>
        <v>119.51789094526943</v>
      </c>
      <c r="K1514">
        <f t="shared" si="143"/>
        <v>7171.0734567161662</v>
      </c>
    </row>
    <row r="1515" spans="1:11" x14ac:dyDescent="0.4">
      <c r="A1515" s="19">
        <v>45897.791666666664</v>
      </c>
      <c r="B1515" s="20">
        <f t="shared" si="139"/>
        <v>0.79166666666424135</v>
      </c>
      <c r="C1515">
        <v>0</v>
      </c>
      <c r="D1515">
        <v>489.80399999999997</v>
      </c>
      <c r="E1515">
        <f t="shared" si="138"/>
        <v>489.649</v>
      </c>
      <c r="F1515">
        <v>489.54500000000002</v>
      </c>
      <c r="G1515">
        <f t="shared" si="140"/>
        <v>0.10399999999998499</v>
      </c>
      <c r="H1515">
        <v>1.82</v>
      </c>
      <c r="I1515">
        <f t="shared" si="141"/>
        <v>1.8312289759171425</v>
      </c>
      <c r="J1515">
        <f t="shared" si="142"/>
        <v>109.87373855502855</v>
      </c>
      <c r="K1515">
        <f t="shared" si="143"/>
        <v>6592.4243133017126</v>
      </c>
    </row>
    <row r="1516" spans="1:11" x14ac:dyDescent="0.4">
      <c r="A1516" s="19">
        <v>45897.833333333336</v>
      </c>
      <c r="B1516" s="20">
        <f t="shared" si="139"/>
        <v>0.83333333333575865</v>
      </c>
      <c r="C1516">
        <v>0</v>
      </c>
      <c r="D1516">
        <v>489.803</v>
      </c>
      <c r="E1516">
        <f t="shared" si="138"/>
        <v>489.64800000000002</v>
      </c>
      <c r="F1516">
        <v>489.54500000000002</v>
      </c>
      <c r="G1516">
        <f t="shared" si="140"/>
        <v>0.10300000000000864</v>
      </c>
      <c r="H1516">
        <v>1.82</v>
      </c>
      <c r="I1516">
        <f t="shared" si="141"/>
        <v>1.8048806119300023</v>
      </c>
      <c r="J1516">
        <f t="shared" si="142"/>
        <v>108.29283671580014</v>
      </c>
      <c r="K1516">
        <f t="shared" si="143"/>
        <v>6497.570202948008</v>
      </c>
    </row>
    <row r="1517" spans="1:11" x14ac:dyDescent="0.4">
      <c r="A1517" s="19">
        <v>45897.875</v>
      </c>
      <c r="B1517" s="20">
        <f t="shared" si="139"/>
        <v>0.875</v>
      </c>
      <c r="C1517">
        <v>0</v>
      </c>
      <c r="D1517">
        <v>489.803</v>
      </c>
      <c r="E1517">
        <f t="shared" si="138"/>
        <v>489.64800000000002</v>
      </c>
      <c r="F1517">
        <v>489.54500000000002</v>
      </c>
      <c r="G1517">
        <f t="shared" si="140"/>
        <v>0.10300000000000864</v>
      </c>
      <c r="H1517">
        <v>1.82</v>
      </c>
      <c r="I1517">
        <f t="shared" si="141"/>
        <v>1.8048806119300023</v>
      </c>
      <c r="J1517">
        <f t="shared" si="142"/>
        <v>108.29283671580014</v>
      </c>
      <c r="K1517">
        <f t="shared" si="143"/>
        <v>6497.570202948008</v>
      </c>
    </row>
    <row r="1518" spans="1:11" x14ac:dyDescent="0.4">
      <c r="A1518" s="19">
        <v>45897.916666666664</v>
      </c>
      <c r="B1518" s="20">
        <f t="shared" si="139"/>
        <v>0.91666666666424135</v>
      </c>
      <c r="C1518">
        <v>0</v>
      </c>
      <c r="D1518">
        <v>489.798</v>
      </c>
      <c r="E1518">
        <f t="shared" si="138"/>
        <v>489.64300000000003</v>
      </c>
      <c r="F1518">
        <v>489.54500000000002</v>
      </c>
      <c r="G1518">
        <f t="shared" si="140"/>
        <v>9.8000000000013188E-2</v>
      </c>
      <c r="H1518">
        <v>1.82</v>
      </c>
      <c r="I1518">
        <f t="shared" si="141"/>
        <v>1.6750653547611611</v>
      </c>
      <c r="J1518">
        <f t="shared" si="142"/>
        <v>100.50392128566966</v>
      </c>
      <c r="K1518">
        <f t="shared" si="143"/>
        <v>6030.2352771401793</v>
      </c>
    </row>
    <row r="1519" spans="1:11" x14ac:dyDescent="0.4">
      <c r="A1519" s="19">
        <v>45897.958333333336</v>
      </c>
      <c r="B1519" s="20">
        <f t="shared" si="139"/>
        <v>0.95833333333575865</v>
      </c>
      <c r="C1519">
        <v>0</v>
      </c>
      <c r="D1519">
        <v>489.798</v>
      </c>
      <c r="E1519">
        <f t="shared" si="138"/>
        <v>489.64300000000003</v>
      </c>
      <c r="F1519">
        <v>489.54500000000002</v>
      </c>
      <c r="G1519">
        <f t="shared" si="140"/>
        <v>9.8000000000013188E-2</v>
      </c>
      <c r="H1519">
        <v>1.82</v>
      </c>
      <c r="I1519">
        <f t="shared" si="141"/>
        <v>1.6750653547611611</v>
      </c>
      <c r="J1519">
        <f t="shared" si="142"/>
        <v>100.50392128566966</v>
      </c>
      <c r="K1519">
        <f t="shared" si="143"/>
        <v>6030.2352771401793</v>
      </c>
    </row>
    <row r="1520" spans="1:11" x14ac:dyDescent="0.4">
      <c r="A1520" s="19">
        <v>45898</v>
      </c>
      <c r="B1520" s="20">
        <f t="shared" si="139"/>
        <v>0</v>
      </c>
      <c r="C1520">
        <v>0</v>
      </c>
      <c r="D1520">
        <v>489.79199999999997</v>
      </c>
      <c r="E1520">
        <f t="shared" si="138"/>
        <v>489.637</v>
      </c>
      <c r="F1520">
        <v>489.54500000000002</v>
      </c>
      <c r="G1520">
        <f t="shared" si="140"/>
        <v>9.1999999999984539E-2</v>
      </c>
      <c r="H1520">
        <v>1.82</v>
      </c>
      <c r="I1520">
        <f t="shared" si="141"/>
        <v>1.5236119972220066</v>
      </c>
      <c r="J1520">
        <f t="shared" si="142"/>
        <v>91.4167198333204</v>
      </c>
      <c r="K1520">
        <f t="shared" si="143"/>
        <v>5485.0031899992237</v>
      </c>
    </row>
    <row r="1521" spans="1:11" x14ac:dyDescent="0.4">
      <c r="A1521" s="19">
        <v>45898.041666666664</v>
      </c>
      <c r="B1521" s="20">
        <f t="shared" si="139"/>
        <v>4.1666666664241347E-2</v>
      </c>
      <c r="C1521">
        <v>0</v>
      </c>
      <c r="D1521">
        <v>489.79199999999997</v>
      </c>
      <c r="E1521">
        <f t="shared" si="138"/>
        <v>489.637</v>
      </c>
      <c r="F1521">
        <v>489.54500000000002</v>
      </c>
      <c r="G1521">
        <f t="shared" si="140"/>
        <v>9.1999999999984539E-2</v>
      </c>
      <c r="H1521">
        <v>1.82</v>
      </c>
      <c r="I1521">
        <f t="shared" si="141"/>
        <v>1.5236119972220066</v>
      </c>
      <c r="J1521">
        <f t="shared" si="142"/>
        <v>91.4167198333204</v>
      </c>
      <c r="K1521">
        <f t="shared" si="143"/>
        <v>5485.0031899992237</v>
      </c>
    </row>
    <row r="1522" spans="1:11" x14ac:dyDescent="0.4">
      <c r="A1522" s="19">
        <v>45898.083333333336</v>
      </c>
      <c r="B1522" s="20">
        <f t="shared" si="139"/>
        <v>8.3333333335758653E-2</v>
      </c>
      <c r="C1522">
        <v>0</v>
      </c>
      <c r="D1522">
        <v>489.78500000000003</v>
      </c>
      <c r="E1522">
        <f t="shared" si="138"/>
        <v>489.63000000000005</v>
      </c>
      <c r="F1522">
        <v>489.54500000000002</v>
      </c>
      <c r="G1522">
        <f t="shared" si="140"/>
        <v>8.500000000003638E-2</v>
      </c>
      <c r="H1522">
        <v>1.82</v>
      </c>
      <c r="I1522">
        <f t="shared" si="141"/>
        <v>1.3530723871997206</v>
      </c>
      <c r="J1522">
        <f t="shared" si="142"/>
        <v>81.184343231983235</v>
      </c>
      <c r="K1522">
        <f t="shared" si="143"/>
        <v>4871.0605939189945</v>
      </c>
    </row>
    <row r="1523" spans="1:11" x14ac:dyDescent="0.4">
      <c r="A1523" s="19">
        <v>45898.125</v>
      </c>
      <c r="B1523" s="20">
        <f t="shared" si="139"/>
        <v>0.125</v>
      </c>
      <c r="C1523">
        <v>0</v>
      </c>
      <c r="D1523">
        <v>489.78500000000003</v>
      </c>
      <c r="E1523">
        <f t="shared" si="138"/>
        <v>489.63000000000005</v>
      </c>
      <c r="F1523">
        <v>489.54500000000002</v>
      </c>
      <c r="G1523">
        <f t="shared" si="140"/>
        <v>8.500000000003638E-2</v>
      </c>
      <c r="H1523">
        <v>1.82</v>
      </c>
      <c r="I1523">
        <f t="shared" si="141"/>
        <v>1.3530723871997206</v>
      </c>
      <c r="J1523">
        <f t="shared" si="142"/>
        <v>81.184343231983235</v>
      </c>
      <c r="K1523">
        <f t="shared" si="143"/>
        <v>4871.0605939189945</v>
      </c>
    </row>
    <row r="1524" spans="1:11" x14ac:dyDescent="0.4">
      <c r="A1524" s="19">
        <v>45898.166666666664</v>
      </c>
      <c r="B1524" s="20">
        <f t="shared" si="139"/>
        <v>0.16666666666424135</v>
      </c>
      <c r="C1524">
        <v>0</v>
      </c>
      <c r="D1524">
        <v>489.78500000000003</v>
      </c>
      <c r="E1524">
        <f t="shared" si="138"/>
        <v>489.63000000000005</v>
      </c>
      <c r="F1524">
        <v>489.54500000000002</v>
      </c>
      <c r="G1524">
        <f t="shared" si="140"/>
        <v>8.500000000003638E-2</v>
      </c>
      <c r="H1524">
        <v>1.82</v>
      </c>
      <c r="I1524">
        <f t="shared" si="141"/>
        <v>1.3530723871997206</v>
      </c>
      <c r="J1524">
        <f t="shared" si="142"/>
        <v>81.184343231983235</v>
      </c>
      <c r="K1524">
        <f t="shared" si="143"/>
        <v>4871.0605939189945</v>
      </c>
    </row>
    <row r="1525" spans="1:11" x14ac:dyDescent="0.4">
      <c r="A1525" s="19">
        <v>45898.208333333336</v>
      </c>
      <c r="B1525" s="20">
        <f t="shared" si="139"/>
        <v>0.20833333333575865</v>
      </c>
      <c r="C1525">
        <v>0</v>
      </c>
      <c r="D1525">
        <v>489.779</v>
      </c>
      <c r="E1525">
        <f t="shared" si="138"/>
        <v>489.62400000000002</v>
      </c>
      <c r="F1525">
        <v>489.54500000000002</v>
      </c>
      <c r="G1525">
        <f t="shared" si="140"/>
        <v>7.9000000000007731E-2</v>
      </c>
      <c r="H1525">
        <v>1.82</v>
      </c>
      <c r="I1525">
        <f t="shared" si="141"/>
        <v>1.2123646915183699</v>
      </c>
      <c r="J1525">
        <f t="shared" si="142"/>
        <v>72.741881491102191</v>
      </c>
      <c r="K1525">
        <f t="shared" si="143"/>
        <v>4364.5128894661311</v>
      </c>
    </row>
    <row r="1526" spans="1:11" x14ac:dyDescent="0.4">
      <c r="A1526" s="19">
        <v>45898.25</v>
      </c>
      <c r="B1526" s="20">
        <f t="shared" si="139"/>
        <v>0.25</v>
      </c>
      <c r="C1526">
        <v>0</v>
      </c>
      <c r="D1526">
        <v>489.779</v>
      </c>
      <c r="E1526">
        <f t="shared" si="138"/>
        <v>489.62400000000002</v>
      </c>
      <c r="F1526">
        <v>489.54500000000002</v>
      </c>
      <c r="G1526">
        <f t="shared" si="140"/>
        <v>7.9000000000007731E-2</v>
      </c>
      <c r="H1526">
        <v>1.82</v>
      </c>
      <c r="I1526">
        <f t="shared" si="141"/>
        <v>1.2123646915183699</v>
      </c>
      <c r="J1526">
        <f t="shared" si="142"/>
        <v>72.741881491102191</v>
      </c>
      <c r="K1526">
        <f t="shared" si="143"/>
        <v>4364.5128894661311</v>
      </c>
    </row>
    <row r="1527" spans="1:11" x14ac:dyDescent="0.4">
      <c r="A1527" s="19">
        <v>45898.291666666664</v>
      </c>
      <c r="B1527" s="20">
        <f t="shared" si="139"/>
        <v>0.29166666666424135</v>
      </c>
      <c r="C1527">
        <v>0</v>
      </c>
      <c r="D1527">
        <v>489.77199999999999</v>
      </c>
      <c r="E1527">
        <f t="shared" si="138"/>
        <v>489.61700000000002</v>
      </c>
      <c r="F1527">
        <v>489.54500000000002</v>
      </c>
      <c r="G1527">
        <f t="shared" si="140"/>
        <v>7.2000000000002728E-2</v>
      </c>
      <c r="H1527">
        <v>1.82</v>
      </c>
      <c r="I1527">
        <f t="shared" si="141"/>
        <v>1.0548516519777207</v>
      </c>
      <c r="J1527">
        <f t="shared" si="142"/>
        <v>63.29109911866324</v>
      </c>
      <c r="K1527">
        <f t="shared" si="143"/>
        <v>3797.4659471197942</v>
      </c>
    </row>
    <row r="1528" spans="1:11" x14ac:dyDescent="0.4">
      <c r="A1528" s="19">
        <v>45898.333333333336</v>
      </c>
      <c r="B1528" s="20">
        <f t="shared" si="139"/>
        <v>0.33333333333575865</v>
      </c>
      <c r="C1528">
        <v>0</v>
      </c>
      <c r="D1528">
        <v>489.77100000000002</v>
      </c>
      <c r="E1528">
        <f t="shared" si="138"/>
        <v>489.61600000000004</v>
      </c>
      <c r="F1528">
        <v>489.54500000000002</v>
      </c>
      <c r="G1528">
        <f t="shared" si="140"/>
        <v>7.1000000000026375E-2</v>
      </c>
      <c r="H1528">
        <v>1.82</v>
      </c>
      <c r="I1528">
        <f t="shared" si="141"/>
        <v>1.0329520592753516</v>
      </c>
      <c r="J1528">
        <f t="shared" si="142"/>
        <v>61.977123556521093</v>
      </c>
      <c r="K1528">
        <f t="shared" si="143"/>
        <v>3718.6274133912661</v>
      </c>
    </row>
    <row r="1529" spans="1:11" x14ac:dyDescent="0.4">
      <c r="A1529" s="19">
        <v>45898.375</v>
      </c>
      <c r="B1529" s="20">
        <f t="shared" si="139"/>
        <v>0.375</v>
      </c>
      <c r="C1529">
        <v>0</v>
      </c>
      <c r="D1529">
        <v>489.77100000000002</v>
      </c>
      <c r="E1529">
        <f t="shared" si="138"/>
        <v>489.61600000000004</v>
      </c>
      <c r="F1529">
        <v>489.54500000000002</v>
      </c>
      <c r="G1529">
        <f t="shared" si="140"/>
        <v>7.1000000000026375E-2</v>
      </c>
      <c r="H1529">
        <v>1.82</v>
      </c>
      <c r="I1529">
        <f t="shared" si="141"/>
        <v>1.0329520592753516</v>
      </c>
      <c r="J1529">
        <f t="shared" si="142"/>
        <v>61.977123556521093</v>
      </c>
      <c r="K1529">
        <f t="shared" si="143"/>
        <v>3718.6274133912661</v>
      </c>
    </row>
    <row r="1530" spans="1:11" x14ac:dyDescent="0.4">
      <c r="A1530" s="19">
        <v>45898.416666666664</v>
      </c>
      <c r="B1530" s="20">
        <f t="shared" si="139"/>
        <v>0.41666666666424135</v>
      </c>
      <c r="C1530">
        <v>0</v>
      </c>
      <c r="D1530">
        <v>489.77199999999999</v>
      </c>
      <c r="E1530">
        <f t="shared" si="138"/>
        <v>489.61700000000002</v>
      </c>
      <c r="F1530">
        <v>489.54500000000002</v>
      </c>
      <c r="G1530">
        <f t="shared" si="140"/>
        <v>7.2000000000002728E-2</v>
      </c>
      <c r="H1530">
        <v>1.82</v>
      </c>
      <c r="I1530">
        <f t="shared" si="141"/>
        <v>1.0548516519777207</v>
      </c>
      <c r="J1530">
        <f t="shared" si="142"/>
        <v>63.29109911866324</v>
      </c>
      <c r="K1530">
        <f t="shared" si="143"/>
        <v>3797.4659471197942</v>
      </c>
    </row>
    <row r="1531" spans="1:11" x14ac:dyDescent="0.4">
      <c r="A1531" s="19">
        <v>45898.458333333336</v>
      </c>
      <c r="B1531" s="20">
        <f t="shared" si="139"/>
        <v>0.45833333333575865</v>
      </c>
      <c r="C1531">
        <v>0</v>
      </c>
      <c r="D1531">
        <v>489.77100000000002</v>
      </c>
      <c r="E1531">
        <f t="shared" si="138"/>
        <v>489.61600000000004</v>
      </c>
      <c r="F1531">
        <v>489.54500000000002</v>
      </c>
      <c r="G1531">
        <f t="shared" si="140"/>
        <v>7.1000000000026375E-2</v>
      </c>
      <c r="H1531">
        <v>1.82</v>
      </c>
      <c r="I1531">
        <f t="shared" si="141"/>
        <v>1.0329520592753516</v>
      </c>
      <c r="J1531">
        <f t="shared" si="142"/>
        <v>61.977123556521093</v>
      </c>
      <c r="K1531">
        <f t="shared" si="143"/>
        <v>3718.6274133912661</v>
      </c>
    </row>
    <row r="1532" spans="1:11" x14ac:dyDescent="0.4">
      <c r="A1532" s="19">
        <v>45898.5</v>
      </c>
      <c r="B1532" s="20">
        <f t="shared" si="139"/>
        <v>0.5</v>
      </c>
      <c r="C1532">
        <v>0</v>
      </c>
      <c r="D1532">
        <v>489.76499999999999</v>
      </c>
      <c r="E1532">
        <f t="shared" si="138"/>
        <v>489.61</v>
      </c>
      <c r="F1532">
        <v>489.54500000000002</v>
      </c>
      <c r="G1532">
        <f t="shared" si="140"/>
        <v>6.4999999999997726E-2</v>
      </c>
      <c r="H1532">
        <v>1.82</v>
      </c>
      <c r="I1532">
        <f t="shared" si="141"/>
        <v>0.90482101268699189</v>
      </c>
      <c r="J1532">
        <f t="shared" si="142"/>
        <v>54.289260761219516</v>
      </c>
      <c r="K1532">
        <f t="shared" si="143"/>
        <v>3257.3556456731708</v>
      </c>
    </row>
    <row r="1533" spans="1:11" x14ac:dyDescent="0.4">
      <c r="A1533" s="19">
        <v>45898.541666666664</v>
      </c>
      <c r="B1533" s="20">
        <f t="shared" si="139"/>
        <v>0.54166666666424135</v>
      </c>
      <c r="C1533">
        <v>0</v>
      </c>
      <c r="D1533">
        <v>489.76499999999999</v>
      </c>
      <c r="E1533">
        <f t="shared" si="138"/>
        <v>489.61</v>
      </c>
      <c r="F1533">
        <v>489.54500000000002</v>
      </c>
      <c r="G1533">
        <f t="shared" si="140"/>
        <v>6.4999999999997726E-2</v>
      </c>
      <c r="H1533">
        <v>1.82</v>
      </c>
      <c r="I1533">
        <f t="shared" si="141"/>
        <v>0.90482101268699189</v>
      </c>
      <c r="J1533">
        <f t="shared" si="142"/>
        <v>54.289260761219516</v>
      </c>
      <c r="K1533">
        <f t="shared" si="143"/>
        <v>3257.3556456731708</v>
      </c>
    </row>
    <row r="1534" spans="1:11" x14ac:dyDescent="0.4">
      <c r="A1534" s="19">
        <v>45898.583333333336</v>
      </c>
      <c r="B1534" s="20">
        <f t="shared" si="139"/>
        <v>0.58333333333575865</v>
      </c>
      <c r="C1534">
        <v>0</v>
      </c>
      <c r="D1534">
        <v>489.76499999999999</v>
      </c>
      <c r="E1534">
        <f t="shared" si="138"/>
        <v>489.61</v>
      </c>
      <c r="F1534">
        <v>489.54500000000002</v>
      </c>
      <c r="G1534">
        <f t="shared" si="140"/>
        <v>6.4999999999997726E-2</v>
      </c>
      <c r="H1534">
        <v>1.82</v>
      </c>
      <c r="I1534">
        <f t="shared" si="141"/>
        <v>0.90482101268699189</v>
      </c>
      <c r="J1534">
        <f t="shared" si="142"/>
        <v>54.289260761219516</v>
      </c>
      <c r="K1534">
        <f t="shared" si="143"/>
        <v>3257.3556456731708</v>
      </c>
    </row>
    <row r="1535" spans="1:11" x14ac:dyDescent="0.4">
      <c r="A1535" s="19">
        <v>45898.625</v>
      </c>
      <c r="B1535" s="20">
        <f t="shared" si="139"/>
        <v>0.625</v>
      </c>
      <c r="C1535">
        <v>0</v>
      </c>
      <c r="D1535">
        <v>489.75799999999998</v>
      </c>
      <c r="E1535">
        <f t="shared" si="138"/>
        <v>489.60300000000001</v>
      </c>
      <c r="F1535">
        <v>489.54500000000002</v>
      </c>
      <c r="G1535">
        <f t="shared" si="140"/>
        <v>5.7999999999992724E-2</v>
      </c>
      <c r="H1535">
        <v>1.82</v>
      </c>
      <c r="I1535">
        <f t="shared" si="141"/>
        <v>0.76266643424224556</v>
      </c>
      <c r="J1535">
        <f t="shared" si="142"/>
        <v>45.759986054534735</v>
      </c>
      <c r="K1535">
        <f t="shared" si="143"/>
        <v>2745.5991632720838</v>
      </c>
    </row>
    <row r="1536" spans="1:11" x14ac:dyDescent="0.4">
      <c r="A1536" s="19">
        <v>45898.666666666664</v>
      </c>
      <c r="B1536" s="20">
        <f t="shared" si="139"/>
        <v>0.66666666666424135</v>
      </c>
      <c r="C1536">
        <v>0</v>
      </c>
      <c r="D1536">
        <v>489.75200000000001</v>
      </c>
      <c r="E1536">
        <f t="shared" si="138"/>
        <v>489.59700000000004</v>
      </c>
      <c r="F1536">
        <v>489.54500000000002</v>
      </c>
      <c r="G1536">
        <f t="shared" si="140"/>
        <v>5.2000000000020918E-2</v>
      </c>
      <c r="H1536">
        <v>1.82</v>
      </c>
      <c r="I1536">
        <f t="shared" si="141"/>
        <v>0.64743721338868554</v>
      </c>
      <c r="J1536">
        <f t="shared" si="142"/>
        <v>38.846232803321129</v>
      </c>
      <c r="K1536">
        <f t="shared" si="143"/>
        <v>2330.773968199268</v>
      </c>
    </row>
    <row r="1537" spans="1:11" x14ac:dyDescent="0.4">
      <c r="A1537" s="19">
        <v>45898.708333333336</v>
      </c>
      <c r="B1537" s="20">
        <f t="shared" si="139"/>
        <v>0.70833333333575865</v>
      </c>
      <c r="C1537">
        <v>0</v>
      </c>
      <c r="D1537">
        <v>489.75200000000001</v>
      </c>
      <c r="E1537">
        <f t="shared" si="138"/>
        <v>489.59700000000004</v>
      </c>
      <c r="F1537">
        <v>489.54500000000002</v>
      </c>
      <c r="G1537">
        <f t="shared" si="140"/>
        <v>5.2000000000020918E-2</v>
      </c>
      <c r="H1537">
        <v>1.82</v>
      </c>
      <c r="I1537">
        <f t="shared" si="141"/>
        <v>0.64743721338868554</v>
      </c>
      <c r="J1537">
        <f t="shared" si="142"/>
        <v>38.846232803321129</v>
      </c>
      <c r="K1537">
        <f t="shared" si="143"/>
        <v>2330.773968199268</v>
      </c>
    </row>
    <row r="1538" spans="1:11" x14ac:dyDescent="0.4">
      <c r="A1538" s="19">
        <v>45898.75</v>
      </c>
      <c r="B1538" s="20">
        <f t="shared" si="139"/>
        <v>0.75</v>
      </c>
      <c r="C1538">
        <v>0</v>
      </c>
      <c r="D1538">
        <v>489.75200000000001</v>
      </c>
      <c r="E1538">
        <f t="shared" ref="E1538:E1553" si="144">D1538-0.155</f>
        <v>489.59700000000004</v>
      </c>
      <c r="F1538">
        <v>489.54500000000002</v>
      </c>
      <c r="G1538">
        <f t="shared" si="140"/>
        <v>5.2000000000020918E-2</v>
      </c>
      <c r="H1538">
        <v>1.82</v>
      </c>
      <c r="I1538">
        <f t="shared" si="141"/>
        <v>0.64743721338868554</v>
      </c>
      <c r="J1538">
        <f t="shared" si="142"/>
        <v>38.846232803321129</v>
      </c>
      <c r="K1538">
        <f t="shared" si="143"/>
        <v>2330.773968199268</v>
      </c>
    </row>
    <row r="1539" spans="1:11" x14ac:dyDescent="0.4">
      <c r="A1539" s="19">
        <v>45898.791666666664</v>
      </c>
      <c r="B1539" s="20">
        <f t="shared" ref="B1539:B1602" si="145">MOD(A1539,1)</f>
        <v>0.79166666666424135</v>
      </c>
      <c r="C1539">
        <v>0</v>
      </c>
      <c r="D1539">
        <v>489.745</v>
      </c>
      <c r="E1539">
        <f t="shared" si="144"/>
        <v>489.59000000000003</v>
      </c>
      <c r="F1539">
        <v>489.54500000000002</v>
      </c>
      <c r="G1539">
        <f t="shared" ref="G1539:G1602" si="146">IF(E1539 - F1539 &lt; 0, 0, E1539 - F1539)</f>
        <v>4.5000000000015916E-2</v>
      </c>
      <c r="H1539">
        <v>1.82</v>
      </c>
      <c r="I1539">
        <f t="shared" ref="I1539:I1602" si="147">1.82*30*(G1539^1.5)</f>
        <v>0.52120840841288063</v>
      </c>
      <c r="J1539">
        <f t="shared" ref="J1539:J1602" si="148">I1539*60</f>
        <v>31.272504504772836</v>
      </c>
      <c r="K1539">
        <f t="shared" ref="K1539:K1602" si="149">(I1539*86400)/24</f>
        <v>1876.3502702863705</v>
      </c>
    </row>
    <row r="1540" spans="1:11" x14ac:dyDescent="0.4">
      <c r="A1540" s="19">
        <v>45898.833333333336</v>
      </c>
      <c r="B1540" s="20">
        <f t="shared" si="145"/>
        <v>0.83333333333575865</v>
      </c>
      <c r="C1540">
        <v>0</v>
      </c>
      <c r="D1540">
        <v>489.745</v>
      </c>
      <c r="E1540">
        <f t="shared" si="144"/>
        <v>489.59000000000003</v>
      </c>
      <c r="F1540">
        <v>489.54500000000002</v>
      </c>
      <c r="G1540">
        <f t="shared" si="146"/>
        <v>4.5000000000015916E-2</v>
      </c>
      <c r="H1540">
        <v>1.82</v>
      </c>
      <c r="I1540">
        <f t="shared" si="147"/>
        <v>0.52120840841288063</v>
      </c>
      <c r="J1540">
        <f t="shared" si="148"/>
        <v>31.272504504772836</v>
      </c>
      <c r="K1540">
        <f t="shared" si="149"/>
        <v>1876.3502702863705</v>
      </c>
    </row>
    <row r="1541" spans="1:11" x14ac:dyDescent="0.4">
      <c r="A1541" s="19">
        <v>45898.875</v>
      </c>
      <c r="B1541" s="20">
        <f t="shared" si="145"/>
        <v>0.875</v>
      </c>
      <c r="C1541">
        <v>0</v>
      </c>
      <c r="D1541">
        <v>489.745</v>
      </c>
      <c r="E1541">
        <f t="shared" si="144"/>
        <v>489.59000000000003</v>
      </c>
      <c r="F1541">
        <v>489.54500000000002</v>
      </c>
      <c r="G1541">
        <f t="shared" si="146"/>
        <v>4.5000000000015916E-2</v>
      </c>
      <c r="H1541">
        <v>1.82</v>
      </c>
      <c r="I1541">
        <f t="shared" si="147"/>
        <v>0.52120840841288063</v>
      </c>
      <c r="J1541">
        <f t="shared" si="148"/>
        <v>31.272504504772836</v>
      </c>
      <c r="K1541">
        <f t="shared" si="149"/>
        <v>1876.3502702863705</v>
      </c>
    </row>
    <row r="1542" spans="1:11" x14ac:dyDescent="0.4">
      <c r="A1542" s="19">
        <v>45898.916666666664</v>
      </c>
      <c r="B1542" s="20">
        <f t="shared" si="145"/>
        <v>0.91666666666424135</v>
      </c>
      <c r="C1542">
        <v>0</v>
      </c>
      <c r="D1542">
        <v>489.73899999999998</v>
      </c>
      <c r="E1542">
        <f t="shared" si="144"/>
        <v>489.584</v>
      </c>
      <c r="F1542">
        <v>489.54500000000002</v>
      </c>
      <c r="G1542">
        <f t="shared" si="146"/>
        <v>3.8999999999987267E-2</v>
      </c>
      <c r="H1542">
        <v>1.82</v>
      </c>
      <c r="I1542">
        <f t="shared" si="147"/>
        <v>0.42052280561204625</v>
      </c>
      <c r="J1542">
        <f t="shared" si="148"/>
        <v>25.231368336722774</v>
      </c>
      <c r="K1542">
        <f t="shared" si="149"/>
        <v>1513.8821002033665</v>
      </c>
    </row>
    <row r="1543" spans="1:11" x14ac:dyDescent="0.4">
      <c r="A1543" s="19">
        <v>45898.958333333336</v>
      </c>
      <c r="B1543" s="20">
        <f t="shared" si="145"/>
        <v>0.95833333333575865</v>
      </c>
      <c r="C1543">
        <v>0</v>
      </c>
      <c r="D1543">
        <v>489.73899999999998</v>
      </c>
      <c r="E1543">
        <f t="shared" si="144"/>
        <v>489.584</v>
      </c>
      <c r="F1543">
        <v>489.54500000000002</v>
      </c>
      <c r="G1543">
        <f t="shared" si="146"/>
        <v>3.8999999999987267E-2</v>
      </c>
      <c r="H1543">
        <v>1.82</v>
      </c>
      <c r="I1543">
        <f t="shared" si="147"/>
        <v>0.42052280561204625</v>
      </c>
      <c r="J1543">
        <f t="shared" si="148"/>
        <v>25.231368336722774</v>
      </c>
      <c r="K1543">
        <f t="shared" si="149"/>
        <v>1513.8821002033665</v>
      </c>
    </row>
    <row r="1544" spans="1:11" x14ac:dyDescent="0.4">
      <c r="A1544" s="19">
        <v>45899</v>
      </c>
      <c r="B1544" s="20">
        <f t="shared" si="145"/>
        <v>0</v>
      </c>
      <c r="C1544">
        <v>0</v>
      </c>
      <c r="D1544">
        <v>489.73899999999998</v>
      </c>
      <c r="E1544">
        <f t="shared" si="144"/>
        <v>489.584</v>
      </c>
      <c r="F1544">
        <v>489.54500000000002</v>
      </c>
      <c r="G1544">
        <f t="shared" si="146"/>
        <v>3.8999999999987267E-2</v>
      </c>
      <c r="H1544">
        <v>1.82</v>
      </c>
      <c r="I1544">
        <f t="shared" si="147"/>
        <v>0.42052280561204625</v>
      </c>
      <c r="J1544">
        <f t="shared" si="148"/>
        <v>25.231368336722774</v>
      </c>
      <c r="K1544">
        <f t="shared" si="149"/>
        <v>1513.8821002033665</v>
      </c>
    </row>
    <row r="1545" spans="1:11" x14ac:dyDescent="0.4">
      <c r="A1545" s="19">
        <v>45899.041666666664</v>
      </c>
      <c r="B1545" s="20">
        <f t="shared" si="145"/>
        <v>4.1666666664241347E-2</v>
      </c>
      <c r="C1545">
        <v>0</v>
      </c>
      <c r="D1545">
        <v>489.73899999999998</v>
      </c>
      <c r="E1545">
        <f t="shared" si="144"/>
        <v>489.584</v>
      </c>
      <c r="F1545">
        <v>489.54500000000002</v>
      </c>
      <c r="G1545">
        <f t="shared" si="146"/>
        <v>3.8999999999987267E-2</v>
      </c>
      <c r="H1545">
        <v>1.82</v>
      </c>
      <c r="I1545">
        <f t="shared" si="147"/>
        <v>0.42052280561204625</v>
      </c>
      <c r="J1545">
        <f t="shared" si="148"/>
        <v>25.231368336722774</v>
      </c>
      <c r="K1545">
        <f t="shared" si="149"/>
        <v>1513.8821002033665</v>
      </c>
    </row>
    <row r="1546" spans="1:11" x14ac:dyDescent="0.4">
      <c r="A1546" s="19">
        <v>45899.083333333336</v>
      </c>
      <c r="B1546" s="20">
        <f t="shared" si="145"/>
        <v>8.3333333335758653E-2</v>
      </c>
      <c r="C1546">
        <v>0</v>
      </c>
      <c r="D1546">
        <v>489.733</v>
      </c>
      <c r="E1546">
        <f t="shared" si="144"/>
        <v>489.57800000000003</v>
      </c>
      <c r="F1546">
        <v>489.54500000000002</v>
      </c>
      <c r="G1546">
        <f t="shared" si="146"/>
        <v>3.3000000000015461E-2</v>
      </c>
      <c r="H1546">
        <v>1.82</v>
      </c>
      <c r="I1546">
        <f t="shared" si="147"/>
        <v>0.32731322448100175</v>
      </c>
      <c r="J1546">
        <f t="shared" si="148"/>
        <v>19.638793468860104</v>
      </c>
      <c r="K1546">
        <f t="shared" si="149"/>
        <v>1178.3276081316064</v>
      </c>
    </row>
    <row r="1547" spans="1:11" x14ac:dyDescent="0.4">
      <c r="A1547" s="19">
        <v>45899.125</v>
      </c>
      <c r="B1547" s="20">
        <f t="shared" si="145"/>
        <v>0.125</v>
      </c>
      <c r="C1547">
        <v>0</v>
      </c>
      <c r="D1547">
        <v>489.733</v>
      </c>
      <c r="E1547">
        <f t="shared" si="144"/>
        <v>489.57800000000003</v>
      </c>
      <c r="F1547">
        <v>489.54500000000002</v>
      </c>
      <c r="G1547">
        <f t="shared" si="146"/>
        <v>3.3000000000015461E-2</v>
      </c>
      <c r="H1547">
        <v>1.82</v>
      </c>
      <c r="I1547">
        <f t="shared" si="147"/>
        <v>0.32731322448100175</v>
      </c>
      <c r="J1547">
        <f t="shared" si="148"/>
        <v>19.638793468860104</v>
      </c>
      <c r="K1547">
        <f t="shared" si="149"/>
        <v>1178.3276081316064</v>
      </c>
    </row>
    <row r="1548" spans="1:11" x14ac:dyDescent="0.4">
      <c r="A1548" s="19">
        <v>45899.166666666664</v>
      </c>
      <c r="B1548" s="20">
        <f t="shared" si="145"/>
        <v>0.16666666666424135</v>
      </c>
      <c r="C1548">
        <v>0</v>
      </c>
      <c r="D1548">
        <v>489.733</v>
      </c>
      <c r="E1548">
        <f t="shared" si="144"/>
        <v>489.57800000000003</v>
      </c>
      <c r="F1548">
        <v>489.54500000000002</v>
      </c>
      <c r="G1548">
        <f t="shared" si="146"/>
        <v>3.3000000000015461E-2</v>
      </c>
      <c r="H1548">
        <v>1.82</v>
      </c>
      <c r="I1548">
        <f t="shared" si="147"/>
        <v>0.32731322448100175</v>
      </c>
      <c r="J1548">
        <f t="shared" si="148"/>
        <v>19.638793468860104</v>
      </c>
      <c r="K1548">
        <f t="shared" si="149"/>
        <v>1178.3276081316064</v>
      </c>
    </row>
    <row r="1549" spans="1:11" x14ac:dyDescent="0.4">
      <c r="A1549" s="19">
        <v>45899.208333333336</v>
      </c>
      <c r="B1549" s="20">
        <f t="shared" si="145"/>
        <v>0.20833333333575865</v>
      </c>
      <c r="C1549">
        <v>0</v>
      </c>
      <c r="D1549">
        <v>489.726</v>
      </c>
      <c r="E1549">
        <f t="shared" si="144"/>
        <v>489.57100000000003</v>
      </c>
      <c r="F1549">
        <v>489.54500000000002</v>
      </c>
      <c r="G1549">
        <f t="shared" si="146"/>
        <v>2.6000000000010459E-2</v>
      </c>
      <c r="H1549">
        <v>1.82</v>
      </c>
      <c r="I1549">
        <f t="shared" si="147"/>
        <v>0.22890362198983044</v>
      </c>
      <c r="J1549">
        <f t="shared" si="148"/>
        <v>13.734217319389826</v>
      </c>
      <c r="K1549">
        <f t="shared" si="149"/>
        <v>824.0530391633896</v>
      </c>
    </row>
    <row r="1550" spans="1:11" x14ac:dyDescent="0.4">
      <c r="A1550" s="19">
        <v>45899.25</v>
      </c>
      <c r="B1550" s="20">
        <f t="shared" si="145"/>
        <v>0.25</v>
      </c>
      <c r="C1550">
        <v>0</v>
      </c>
      <c r="D1550">
        <v>489.726</v>
      </c>
      <c r="E1550">
        <f t="shared" si="144"/>
        <v>489.57100000000003</v>
      </c>
      <c r="F1550">
        <v>489.54500000000002</v>
      </c>
      <c r="G1550">
        <f t="shared" si="146"/>
        <v>2.6000000000010459E-2</v>
      </c>
      <c r="H1550">
        <v>1.82</v>
      </c>
      <c r="I1550">
        <f t="shared" si="147"/>
        <v>0.22890362198983044</v>
      </c>
      <c r="J1550">
        <f t="shared" si="148"/>
        <v>13.734217319389826</v>
      </c>
      <c r="K1550">
        <f t="shared" si="149"/>
        <v>824.0530391633896</v>
      </c>
    </row>
    <row r="1551" spans="1:11" x14ac:dyDescent="0.4">
      <c r="A1551" s="19">
        <v>45899.291666666664</v>
      </c>
      <c r="B1551" s="20">
        <f t="shared" si="145"/>
        <v>0.29166666666424135</v>
      </c>
      <c r="C1551">
        <v>0</v>
      </c>
      <c r="D1551">
        <v>489.726</v>
      </c>
      <c r="E1551">
        <f t="shared" si="144"/>
        <v>489.57100000000003</v>
      </c>
      <c r="F1551">
        <v>489.54500000000002</v>
      </c>
      <c r="G1551">
        <f t="shared" si="146"/>
        <v>2.6000000000010459E-2</v>
      </c>
      <c r="H1551">
        <v>1.82</v>
      </c>
      <c r="I1551">
        <f t="shared" si="147"/>
        <v>0.22890362198983044</v>
      </c>
      <c r="J1551">
        <f t="shared" si="148"/>
        <v>13.734217319389826</v>
      </c>
      <c r="K1551">
        <f t="shared" si="149"/>
        <v>824.0530391633896</v>
      </c>
    </row>
    <row r="1552" spans="1:11" x14ac:dyDescent="0.4">
      <c r="A1552" s="19">
        <v>45899.333333333336</v>
      </c>
      <c r="B1552" s="20">
        <f t="shared" si="145"/>
        <v>0.33333333333575865</v>
      </c>
      <c r="C1552">
        <v>0</v>
      </c>
      <c r="D1552">
        <v>489.726</v>
      </c>
      <c r="E1552">
        <f t="shared" si="144"/>
        <v>489.57100000000003</v>
      </c>
      <c r="F1552">
        <v>489.54500000000002</v>
      </c>
      <c r="G1552">
        <f t="shared" si="146"/>
        <v>2.6000000000010459E-2</v>
      </c>
      <c r="H1552">
        <v>1.82</v>
      </c>
      <c r="I1552">
        <f t="shared" si="147"/>
        <v>0.22890362198983044</v>
      </c>
      <c r="J1552">
        <f t="shared" si="148"/>
        <v>13.734217319389826</v>
      </c>
      <c r="K1552">
        <f t="shared" si="149"/>
        <v>824.0530391633896</v>
      </c>
    </row>
    <row r="1553" spans="1:11" x14ac:dyDescent="0.4">
      <c r="A1553" s="19">
        <v>45899.375</v>
      </c>
      <c r="B1553" s="20">
        <f t="shared" si="145"/>
        <v>0.375</v>
      </c>
      <c r="C1553">
        <v>0</v>
      </c>
      <c r="D1553">
        <v>489.72500000000002</v>
      </c>
      <c r="E1553">
        <f t="shared" si="144"/>
        <v>489.57000000000005</v>
      </c>
      <c r="F1553">
        <v>489.54500000000002</v>
      </c>
      <c r="G1553">
        <f t="shared" si="146"/>
        <v>2.5000000000034106E-2</v>
      </c>
      <c r="H1553">
        <v>1.82</v>
      </c>
      <c r="I1553">
        <f t="shared" si="147"/>
        <v>0.21582545030693354</v>
      </c>
      <c r="J1553">
        <f t="shared" si="148"/>
        <v>12.949527018416012</v>
      </c>
      <c r="K1553">
        <f t="shared" si="149"/>
        <v>776.97162110496072</v>
      </c>
    </row>
    <row r="1554" spans="1:11" x14ac:dyDescent="0.4">
      <c r="A1554" s="19">
        <v>45899.416666666664</v>
      </c>
      <c r="B1554" s="20">
        <f t="shared" si="145"/>
        <v>0.41666666666424135</v>
      </c>
      <c r="C1554">
        <v>0</v>
      </c>
      <c r="D1554">
        <v>489.72500000000002</v>
      </c>
      <c r="E1554">
        <f>D1554-0.155</f>
        <v>489.57000000000005</v>
      </c>
      <c r="F1554">
        <v>489.54500000000002</v>
      </c>
      <c r="G1554">
        <f t="shared" si="146"/>
        <v>2.5000000000034106E-2</v>
      </c>
      <c r="H1554">
        <v>1.82</v>
      </c>
      <c r="I1554">
        <f t="shared" si="147"/>
        <v>0.21582545030693354</v>
      </c>
      <c r="J1554">
        <f t="shared" si="148"/>
        <v>12.949527018416012</v>
      </c>
      <c r="K1554">
        <f t="shared" si="149"/>
        <v>776.97162110496072</v>
      </c>
    </row>
    <row r="1555" spans="1:11" x14ac:dyDescent="0.4">
      <c r="A1555" s="19">
        <v>45899.458333333336</v>
      </c>
      <c r="B1555" s="20">
        <f t="shared" si="145"/>
        <v>0.45833333333575865</v>
      </c>
      <c r="C1555">
        <v>0</v>
      </c>
      <c r="D1555">
        <v>489.72</v>
      </c>
      <c r="E1555">
        <f t="shared" ref="E1555:E1618" si="150">D1555-0.155</f>
        <v>489.56500000000005</v>
      </c>
      <c r="F1555">
        <v>489.54500000000002</v>
      </c>
      <c r="G1555">
        <f t="shared" si="146"/>
        <v>2.0000000000038654E-2</v>
      </c>
      <c r="H1555">
        <v>1.82</v>
      </c>
      <c r="I1555">
        <f t="shared" si="147"/>
        <v>0.15443212101158976</v>
      </c>
      <c r="J1555">
        <f t="shared" si="148"/>
        <v>9.2659272606953849</v>
      </c>
      <c r="K1555">
        <f t="shared" si="149"/>
        <v>555.95563564172312</v>
      </c>
    </row>
    <row r="1556" spans="1:11" x14ac:dyDescent="0.4">
      <c r="A1556" s="19">
        <v>45899.5</v>
      </c>
      <c r="B1556" s="20">
        <f t="shared" si="145"/>
        <v>0.5</v>
      </c>
      <c r="C1556">
        <v>0</v>
      </c>
      <c r="D1556">
        <v>489.71899999999999</v>
      </c>
      <c r="E1556">
        <f t="shared" si="150"/>
        <v>489.56400000000002</v>
      </c>
      <c r="F1556">
        <v>489.54500000000002</v>
      </c>
      <c r="G1556">
        <f t="shared" si="146"/>
        <v>1.9000000000005457E-2</v>
      </c>
      <c r="H1556">
        <v>1.82</v>
      </c>
      <c r="I1556">
        <f t="shared" si="147"/>
        <v>0.14299572175424557</v>
      </c>
      <c r="J1556">
        <f t="shared" si="148"/>
        <v>8.5797433052547341</v>
      </c>
      <c r="K1556">
        <f t="shared" si="149"/>
        <v>514.78459831528414</v>
      </c>
    </row>
    <row r="1557" spans="1:11" x14ac:dyDescent="0.4">
      <c r="A1557" s="19">
        <v>45899.541666666664</v>
      </c>
      <c r="B1557" s="20">
        <f t="shared" si="145"/>
        <v>0.54166666666424135</v>
      </c>
      <c r="C1557">
        <v>0</v>
      </c>
      <c r="D1557">
        <v>489.71899999999999</v>
      </c>
      <c r="E1557">
        <f t="shared" si="150"/>
        <v>489.56400000000002</v>
      </c>
      <c r="F1557">
        <v>489.54500000000002</v>
      </c>
      <c r="G1557">
        <f t="shared" si="146"/>
        <v>1.9000000000005457E-2</v>
      </c>
      <c r="H1557">
        <v>1.82</v>
      </c>
      <c r="I1557">
        <f t="shared" si="147"/>
        <v>0.14299572175424557</v>
      </c>
      <c r="J1557">
        <f t="shared" si="148"/>
        <v>8.5797433052547341</v>
      </c>
      <c r="K1557">
        <f t="shared" si="149"/>
        <v>514.78459831528414</v>
      </c>
    </row>
    <row r="1558" spans="1:11" x14ac:dyDescent="0.4">
      <c r="A1558" s="19">
        <v>45899.583333333336</v>
      </c>
      <c r="B1558" s="20">
        <f t="shared" si="145"/>
        <v>0.58333333333575865</v>
      </c>
      <c r="C1558">
        <v>0</v>
      </c>
      <c r="D1558">
        <v>489.71899999999999</v>
      </c>
      <c r="E1558">
        <f t="shared" si="150"/>
        <v>489.56400000000002</v>
      </c>
      <c r="F1558">
        <v>489.54500000000002</v>
      </c>
      <c r="G1558">
        <f t="shared" si="146"/>
        <v>1.9000000000005457E-2</v>
      </c>
      <c r="H1558">
        <v>1.82</v>
      </c>
      <c r="I1558">
        <f t="shared" si="147"/>
        <v>0.14299572175424557</v>
      </c>
      <c r="J1558">
        <f t="shared" si="148"/>
        <v>8.5797433052547341</v>
      </c>
      <c r="K1558">
        <f t="shared" si="149"/>
        <v>514.78459831528414</v>
      </c>
    </row>
    <row r="1559" spans="1:11" x14ac:dyDescent="0.4">
      <c r="A1559" s="19">
        <v>45899.625</v>
      </c>
      <c r="B1559" s="20">
        <f t="shared" si="145"/>
        <v>0.625</v>
      </c>
      <c r="C1559">
        <v>0</v>
      </c>
      <c r="D1559">
        <v>489.72</v>
      </c>
      <c r="E1559">
        <f t="shared" si="150"/>
        <v>489.56500000000005</v>
      </c>
      <c r="F1559">
        <v>489.54500000000002</v>
      </c>
      <c r="G1559">
        <f t="shared" si="146"/>
        <v>2.0000000000038654E-2</v>
      </c>
      <c r="H1559">
        <v>1.82</v>
      </c>
      <c r="I1559">
        <f t="shared" si="147"/>
        <v>0.15443212101158976</v>
      </c>
      <c r="J1559">
        <f t="shared" si="148"/>
        <v>9.2659272606953849</v>
      </c>
      <c r="K1559">
        <f t="shared" si="149"/>
        <v>555.95563564172312</v>
      </c>
    </row>
    <row r="1560" spans="1:11" x14ac:dyDescent="0.4">
      <c r="A1560" s="19">
        <v>45899.666666666664</v>
      </c>
      <c r="B1560" s="20">
        <f t="shared" si="145"/>
        <v>0.66666666666424135</v>
      </c>
      <c r="C1560">
        <v>5</v>
      </c>
      <c r="D1560">
        <v>489.726</v>
      </c>
      <c r="E1560">
        <f t="shared" si="150"/>
        <v>489.57100000000003</v>
      </c>
      <c r="F1560">
        <v>489.54500000000002</v>
      </c>
      <c r="G1560">
        <f t="shared" si="146"/>
        <v>2.6000000000010459E-2</v>
      </c>
      <c r="H1560">
        <v>1.82</v>
      </c>
      <c r="I1560">
        <f t="shared" si="147"/>
        <v>0.22890362198983044</v>
      </c>
      <c r="J1560">
        <f t="shared" si="148"/>
        <v>13.734217319389826</v>
      </c>
      <c r="K1560">
        <f t="shared" si="149"/>
        <v>824.0530391633896</v>
      </c>
    </row>
    <row r="1561" spans="1:11" x14ac:dyDescent="0.4">
      <c r="A1561" s="19">
        <v>45899.708333333336</v>
      </c>
      <c r="B1561" s="20">
        <f t="shared" si="145"/>
        <v>0.70833333333575865</v>
      </c>
      <c r="C1561">
        <v>0</v>
      </c>
      <c r="D1561">
        <v>489.73200000000003</v>
      </c>
      <c r="E1561">
        <f t="shared" si="150"/>
        <v>489.57700000000006</v>
      </c>
      <c r="F1561">
        <v>489.54500000000002</v>
      </c>
      <c r="G1561">
        <f t="shared" si="146"/>
        <v>3.2000000000039108E-2</v>
      </c>
      <c r="H1561">
        <v>1.82</v>
      </c>
      <c r="I1561">
        <f t="shared" si="147"/>
        <v>0.31254863762358359</v>
      </c>
      <c r="J1561">
        <f t="shared" si="148"/>
        <v>18.752918257415015</v>
      </c>
      <c r="K1561">
        <f t="shared" si="149"/>
        <v>1125.175095444901</v>
      </c>
    </row>
    <row r="1562" spans="1:11" x14ac:dyDescent="0.4">
      <c r="A1562" s="19">
        <v>45899.75</v>
      </c>
      <c r="B1562" s="20">
        <f t="shared" si="145"/>
        <v>0.75</v>
      </c>
      <c r="C1562">
        <v>0</v>
      </c>
      <c r="D1562">
        <v>489.73200000000003</v>
      </c>
      <c r="E1562">
        <f t="shared" si="150"/>
        <v>489.57700000000006</v>
      </c>
      <c r="F1562">
        <v>489.54500000000002</v>
      </c>
      <c r="G1562">
        <f t="shared" si="146"/>
        <v>3.2000000000039108E-2</v>
      </c>
      <c r="H1562">
        <v>1.82</v>
      </c>
      <c r="I1562">
        <f t="shared" si="147"/>
        <v>0.31254863762358359</v>
      </c>
      <c r="J1562">
        <f t="shared" si="148"/>
        <v>18.752918257415015</v>
      </c>
      <c r="K1562">
        <f t="shared" si="149"/>
        <v>1125.175095444901</v>
      </c>
    </row>
    <row r="1563" spans="1:11" x14ac:dyDescent="0.4">
      <c r="A1563" s="19">
        <v>45899.791666666664</v>
      </c>
      <c r="B1563" s="20">
        <f t="shared" si="145"/>
        <v>0.79166666666424135</v>
      </c>
      <c r="C1563">
        <v>0</v>
      </c>
      <c r="D1563">
        <v>489.73200000000003</v>
      </c>
      <c r="E1563">
        <f t="shared" si="150"/>
        <v>489.57700000000006</v>
      </c>
      <c r="F1563">
        <v>489.54500000000002</v>
      </c>
      <c r="G1563">
        <f t="shared" si="146"/>
        <v>3.2000000000039108E-2</v>
      </c>
      <c r="H1563">
        <v>1.82</v>
      </c>
      <c r="I1563">
        <f t="shared" si="147"/>
        <v>0.31254863762358359</v>
      </c>
      <c r="J1563">
        <f t="shared" si="148"/>
        <v>18.752918257415015</v>
      </c>
      <c r="K1563">
        <f t="shared" si="149"/>
        <v>1125.175095444901</v>
      </c>
    </row>
    <row r="1564" spans="1:11" x14ac:dyDescent="0.4">
      <c r="A1564" s="19">
        <v>45899.833333333336</v>
      </c>
      <c r="B1564" s="20">
        <f t="shared" si="145"/>
        <v>0.83333333333575865</v>
      </c>
      <c r="C1564">
        <v>0</v>
      </c>
      <c r="D1564">
        <v>489.726</v>
      </c>
      <c r="E1564">
        <f t="shared" si="150"/>
        <v>489.57100000000003</v>
      </c>
      <c r="F1564">
        <v>489.54500000000002</v>
      </c>
      <c r="G1564">
        <f t="shared" si="146"/>
        <v>2.6000000000010459E-2</v>
      </c>
      <c r="H1564">
        <v>1.82</v>
      </c>
      <c r="I1564">
        <f t="shared" si="147"/>
        <v>0.22890362198983044</v>
      </c>
      <c r="J1564">
        <f t="shared" si="148"/>
        <v>13.734217319389826</v>
      </c>
      <c r="K1564">
        <f t="shared" si="149"/>
        <v>824.0530391633896</v>
      </c>
    </row>
    <row r="1565" spans="1:11" x14ac:dyDescent="0.4">
      <c r="A1565" s="19">
        <v>45899.875</v>
      </c>
      <c r="B1565" s="20">
        <f t="shared" si="145"/>
        <v>0.875</v>
      </c>
      <c r="C1565">
        <v>0</v>
      </c>
      <c r="D1565">
        <v>489.726</v>
      </c>
      <c r="E1565">
        <f t="shared" si="150"/>
        <v>489.57100000000003</v>
      </c>
      <c r="F1565">
        <v>489.54500000000002</v>
      </c>
      <c r="G1565">
        <f t="shared" si="146"/>
        <v>2.6000000000010459E-2</v>
      </c>
      <c r="H1565">
        <v>1.82</v>
      </c>
      <c r="I1565">
        <f t="shared" si="147"/>
        <v>0.22890362198983044</v>
      </c>
      <c r="J1565">
        <f t="shared" si="148"/>
        <v>13.734217319389826</v>
      </c>
      <c r="K1565">
        <f t="shared" si="149"/>
        <v>824.0530391633896</v>
      </c>
    </row>
    <row r="1566" spans="1:11" x14ac:dyDescent="0.4">
      <c r="A1566" s="19">
        <v>45899.916666666664</v>
      </c>
      <c r="B1566" s="20">
        <f t="shared" si="145"/>
        <v>0.91666666666424135</v>
      </c>
      <c r="C1566">
        <v>0</v>
      </c>
      <c r="D1566">
        <v>489.726</v>
      </c>
      <c r="E1566">
        <f t="shared" si="150"/>
        <v>489.57100000000003</v>
      </c>
      <c r="F1566">
        <v>489.54500000000002</v>
      </c>
      <c r="G1566">
        <f t="shared" si="146"/>
        <v>2.6000000000010459E-2</v>
      </c>
      <c r="H1566">
        <v>1.82</v>
      </c>
      <c r="I1566">
        <f t="shared" si="147"/>
        <v>0.22890362198983044</v>
      </c>
      <c r="J1566">
        <f t="shared" si="148"/>
        <v>13.734217319389826</v>
      </c>
      <c r="K1566">
        <f t="shared" si="149"/>
        <v>824.0530391633896</v>
      </c>
    </row>
    <row r="1567" spans="1:11" x14ac:dyDescent="0.4">
      <c r="A1567" s="19">
        <v>45899.958333333336</v>
      </c>
      <c r="B1567" s="20">
        <f t="shared" si="145"/>
        <v>0.95833333333575865</v>
      </c>
      <c r="C1567">
        <v>0</v>
      </c>
      <c r="D1567">
        <v>489.726</v>
      </c>
      <c r="E1567">
        <f t="shared" si="150"/>
        <v>489.57100000000003</v>
      </c>
      <c r="F1567">
        <v>489.54500000000002</v>
      </c>
      <c r="G1567">
        <f t="shared" si="146"/>
        <v>2.6000000000010459E-2</v>
      </c>
      <c r="H1567">
        <v>1.82</v>
      </c>
      <c r="I1567">
        <f t="shared" si="147"/>
        <v>0.22890362198983044</v>
      </c>
      <c r="J1567">
        <f t="shared" si="148"/>
        <v>13.734217319389826</v>
      </c>
      <c r="K1567">
        <f t="shared" si="149"/>
        <v>824.0530391633896</v>
      </c>
    </row>
    <row r="1568" spans="1:11" x14ac:dyDescent="0.4">
      <c r="A1568" s="19">
        <v>45900</v>
      </c>
      <c r="B1568" s="20">
        <f t="shared" si="145"/>
        <v>0</v>
      </c>
      <c r="C1568">
        <v>0</v>
      </c>
      <c r="D1568">
        <v>489.726</v>
      </c>
      <c r="E1568">
        <f t="shared" si="150"/>
        <v>489.57100000000003</v>
      </c>
      <c r="F1568">
        <v>489.54500000000002</v>
      </c>
      <c r="G1568">
        <f t="shared" si="146"/>
        <v>2.6000000000010459E-2</v>
      </c>
      <c r="H1568">
        <v>1.82</v>
      </c>
      <c r="I1568">
        <f t="shared" si="147"/>
        <v>0.22890362198983044</v>
      </c>
      <c r="J1568">
        <f t="shared" si="148"/>
        <v>13.734217319389826</v>
      </c>
      <c r="K1568">
        <f t="shared" si="149"/>
        <v>824.0530391633896</v>
      </c>
    </row>
    <row r="1569" spans="1:11" x14ac:dyDescent="0.4">
      <c r="A1569" s="19">
        <v>45900.041666666664</v>
      </c>
      <c r="B1569" s="20">
        <f t="shared" si="145"/>
        <v>4.1666666664241347E-2</v>
      </c>
      <c r="C1569">
        <v>0.2</v>
      </c>
      <c r="D1569">
        <v>489.72</v>
      </c>
      <c r="E1569">
        <f t="shared" si="150"/>
        <v>489.56500000000005</v>
      </c>
      <c r="F1569">
        <v>489.54500000000002</v>
      </c>
      <c r="G1569">
        <f t="shared" si="146"/>
        <v>2.0000000000038654E-2</v>
      </c>
      <c r="H1569">
        <v>1.82</v>
      </c>
      <c r="I1569">
        <f t="shared" si="147"/>
        <v>0.15443212101158976</v>
      </c>
      <c r="J1569">
        <f t="shared" si="148"/>
        <v>9.2659272606953849</v>
      </c>
      <c r="K1569">
        <f t="shared" si="149"/>
        <v>555.95563564172312</v>
      </c>
    </row>
    <row r="1570" spans="1:11" x14ac:dyDescent="0.4">
      <c r="A1570" s="19">
        <v>45900.083333333336</v>
      </c>
      <c r="B1570" s="20">
        <f t="shared" si="145"/>
        <v>8.3333333335758653E-2</v>
      </c>
      <c r="C1570">
        <v>0</v>
      </c>
      <c r="D1570">
        <v>489.72</v>
      </c>
      <c r="E1570">
        <f t="shared" si="150"/>
        <v>489.56500000000005</v>
      </c>
      <c r="F1570">
        <v>489.54500000000002</v>
      </c>
      <c r="G1570">
        <f t="shared" si="146"/>
        <v>2.0000000000038654E-2</v>
      </c>
      <c r="H1570">
        <v>1.82</v>
      </c>
      <c r="I1570">
        <f t="shared" si="147"/>
        <v>0.15443212101158976</v>
      </c>
      <c r="J1570">
        <f t="shared" si="148"/>
        <v>9.2659272606953849</v>
      </c>
      <c r="K1570">
        <f t="shared" si="149"/>
        <v>555.95563564172312</v>
      </c>
    </row>
    <row r="1571" spans="1:11" x14ac:dyDescent="0.4">
      <c r="A1571" s="19">
        <v>45900.125</v>
      </c>
      <c r="B1571" s="20">
        <f t="shared" si="145"/>
        <v>0.125</v>
      </c>
      <c r="C1571">
        <v>0</v>
      </c>
      <c r="D1571">
        <v>489.72</v>
      </c>
      <c r="E1571">
        <f t="shared" si="150"/>
        <v>489.56500000000005</v>
      </c>
      <c r="F1571">
        <v>489.54500000000002</v>
      </c>
      <c r="G1571">
        <f t="shared" si="146"/>
        <v>2.0000000000038654E-2</v>
      </c>
      <c r="H1571">
        <v>1.82</v>
      </c>
      <c r="I1571">
        <f t="shared" si="147"/>
        <v>0.15443212101158976</v>
      </c>
      <c r="J1571">
        <f t="shared" si="148"/>
        <v>9.2659272606953849</v>
      </c>
      <c r="K1571">
        <f t="shared" si="149"/>
        <v>555.95563564172312</v>
      </c>
    </row>
    <row r="1572" spans="1:11" x14ac:dyDescent="0.4">
      <c r="A1572" s="19">
        <v>45900.166666666664</v>
      </c>
      <c r="B1572" s="20">
        <f t="shared" si="145"/>
        <v>0.16666666666424135</v>
      </c>
      <c r="C1572">
        <v>0</v>
      </c>
      <c r="D1572">
        <v>489.721</v>
      </c>
      <c r="E1572">
        <f t="shared" si="150"/>
        <v>489.56600000000003</v>
      </c>
      <c r="F1572">
        <v>489.54500000000002</v>
      </c>
      <c r="G1572">
        <f t="shared" si="146"/>
        <v>2.1000000000015007E-2</v>
      </c>
      <c r="H1572">
        <v>1.82</v>
      </c>
      <c r="I1572">
        <f t="shared" si="147"/>
        <v>0.16615812577198635</v>
      </c>
      <c r="J1572">
        <f t="shared" si="148"/>
        <v>9.969487546319181</v>
      </c>
      <c r="K1572">
        <f t="shared" si="149"/>
        <v>598.16925277915084</v>
      </c>
    </row>
    <row r="1573" spans="1:11" x14ac:dyDescent="0.4">
      <c r="A1573" s="19">
        <v>45900.208333333336</v>
      </c>
      <c r="B1573" s="20">
        <f t="shared" si="145"/>
        <v>0.20833333333575865</v>
      </c>
      <c r="C1573">
        <v>0</v>
      </c>
      <c r="D1573">
        <v>489.714</v>
      </c>
      <c r="E1573">
        <f t="shared" si="150"/>
        <v>489.55900000000003</v>
      </c>
      <c r="F1573">
        <v>489.54500000000002</v>
      </c>
      <c r="G1573">
        <f t="shared" si="146"/>
        <v>1.4000000000010004E-2</v>
      </c>
      <c r="H1573">
        <v>1.82</v>
      </c>
      <c r="I1573">
        <f t="shared" si="147"/>
        <v>9.0445027724123869E-2</v>
      </c>
      <c r="J1573">
        <f t="shared" si="148"/>
        <v>5.4267016634474325</v>
      </c>
      <c r="K1573">
        <f t="shared" si="149"/>
        <v>325.60209980684596</v>
      </c>
    </row>
    <row r="1574" spans="1:11" x14ac:dyDescent="0.4">
      <c r="A1574" s="19">
        <v>45900.25</v>
      </c>
      <c r="B1574" s="20">
        <f t="shared" si="145"/>
        <v>0.25</v>
      </c>
      <c r="C1574">
        <v>0</v>
      </c>
      <c r="D1574">
        <v>489.714</v>
      </c>
      <c r="E1574">
        <f t="shared" si="150"/>
        <v>489.55900000000003</v>
      </c>
      <c r="F1574">
        <v>489.54500000000002</v>
      </c>
      <c r="G1574">
        <f t="shared" si="146"/>
        <v>1.4000000000010004E-2</v>
      </c>
      <c r="H1574">
        <v>1.82</v>
      </c>
      <c r="I1574">
        <f t="shared" si="147"/>
        <v>9.0445027724123869E-2</v>
      </c>
      <c r="J1574">
        <f t="shared" si="148"/>
        <v>5.4267016634474325</v>
      </c>
      <c r="K1574">
        <f t="shared" si="149"/>
        <v>325.60209980684596</v>
      </c>
    </row>
    <row r="1575" spans="1:11" x14ac:dyDescent="0.4">
      <c r="A1575" s="19">
        <v>45900.291666666664</v>
      </c>
      <c r="B1575" s="20">
        <f t="shared" si="145"/>
        <v>0.29166666666424135</v>
      </c>
      <c r="C1575">
        <v>0</v>
      </c>
      <c r="D1575">
        <v>489.714</v>
      </c>
      <c r="E1575">
        <f t="shared" si="150"/>
        <v>489.55900000000003</v>
      </c>
      <c r="F1575">
        <v>489.54500000000002</v>
      </c>
      <c r="G1575">
        <f t="shared" si="146"/>
        <v>1.4000000000010004E-2</v>
      </c>
      <c r="H1575">
        <v>1.82</v>
      </c>
      <c r="I1575">
        <f t="shared" si="147"/>
        <v>9.0445027724123869E-2</v>
      </c>
      <c r="J1575">
        <f t="shared" si="148"/>
        <v>5.4267016634474325</v>
      </c>
      <c r="K1575">
        <f t="shared" si="149"/>
        <v>325.60209980684596</v>
      </c>
    </row>
    <row r="1576" spans="1:11" x14ac:dyDescent="0.4">
      <c r="A1576" s="19">
        <v>45900.333333333336</v>
      </c>
      <c r="B1576" s="20">
        <f t="shared" si="145"/>
        <v>0.33333333333575865</v>
      </c>
      <c r="C1576">
        <v>0</v>
      </c>
      <c r="D1576">
        <v>489.71300000000002</v>
      </c>
      <c r="E1576">
        <f t="shared" si="150"/>
        <v>489.55800000000005</v>
      </c>
      <c r="F1576">
        <v>489.54500000000002</v>
      </c>
      <c r="G1576">
        <f t="shared" si="146"/>
        <v>1.3000000000033651E-2</v>
      </c>
      <c r="H1576">
        <v>1.82</v>
      </c>
      <c r="I1576">
        <f t="shared" si="147"/>
        <v>8.092965167385105E-2</v>
      </c>
      <c r="J1576">
        <f t="shared" si="148"/>
        <v>4.8557791004310626</v>
      </c>
      <c r="K1576">
        <f t="shared" si="149"/>
        <v>291.34674602586375</v>
      </c>
    </row>
    <row r="1577" spans="1:11" x14ac:dyDescent="0.4">
      <c r="A1577" s="19">
        <v>45900.375</v>
      </c>
      <c r="B1577" s="20">
        <f t="shared" si="145"/>
        <v>0.375</v>
      </c>
      <c r="C1577">
        <v>0</v>
      </c>
      <c r="D1577">
        <v>489.71300000000002</v>
      </c>
      <c r="E1577">
        <f t="shared" si="150"/>
        <v>489.55800000000005</v>
      </c>
      <c r="F1577">
        <v>489.54500000000002</v>
      </c>
      <c r="G1577">
        <f t="shared" si="146"/>
        <v>1.3000000000033651E-2</v>
      </c>
      <c r="H1577">
        <v>1.82</v>
      </c>
      <c r="I1577">
        <f t="shared" si="147"/>
        <v>8.092965167385105E-2</v>
      </c>
      <c r="J1577">
        <f t="shared" si="148"/>
        <v>4.8557791004310626</v>
      </c>
      <c r="K1577">
        <f t="shared" si="149"/>
        <v>291.34674602586375</v>
      </c>
    </row>
    <row r="1578" spans="1:11" x14ac:dyDescent="0.4">
      <c r="A1578" s="19">
        <v>45900.416666666664</v>
      </c>
      <c r="B1578" s="20">
        <f t="shared" si="145"/>
        <v>0.41666666666424135</v>
      </c>
      <c r="C1578">
        <v>0</v>
      </c>
      <c r="D1578">
        <v>489.70699999999999</v>
      </c>
      <c r="E1578">
        <f t="shared" si="150"/>
        <v>489.55200000000002</v>
      </c>
      <c r="F1578">
        <v>489.54500000000002</v>
      </c>
      <c r="G1578">
        <f t="shared" si="146"/>
        <v>7.0000000000050022E-3</v>
      </c>
      <c r="H1578">
        <v>1.82</v>
      </c>
      <c r="I1578">
        <f t="shared" si="147"/>
        <v>3.1977146214166641E-2</v>
      </c>
      <c r="J1578">
        <f t="shared" si="148"/>
        <v>1.9186287728499984</v>
      </c>
      <c r="K1578">
        <f t="shared" si="149"/>
        <v>115.1177263709999</v>
      </c>
    </row>
    <row r="1579" spans="1:11" x14ac:dyDescent="0.4">
      <c r="A1579" s="19">
        <v>45900.458333333336</v>
      </c>
      <c r="B1579" s="20">
        <f t="shared" si="145"/>
        <v>0.45833333333575865</v>
      </c>
      <c r="C1579">
        <v>0</v>
      </c>
      <c r="D1579">
        <v>489.70699999999999</v>
      </c>
      <c r="E1579">
        <f t="shared" si="150"/>
        <v>489.55200000000002</v>
      </c>
      <c r="F1579">
        <v>489.54500000000002</v>
      </c>
      <c r="G1579">
        <f t="shared" si="146"/>
        <v>7.0000000000050022E-3</v>
      </c>
      <c r="H1579">
        <v>1.82</v>
      </c>
      <c r="I1579">
        <f t="shared" si="147"/>
        <v>3.1977146214166641E-2</v>
      </c>
      <c r="J1579">
        <f t="shared" si="148"/>
        <v>1.9186287728499984</v>
      </c>
      <c r="K1579">
        <f t="shared" si="149"/>
        <v>115.1177263709999</v>
      </c>
    </row>
    <row r="1580" spans="1:11" x14ac:dyDescent="0.4">
      <c r="A1580" s="19">
        <v>45900.5</v>
      </c>
      <c r="B1580" s="20">
        <f t="shared" si="145"/>
        <v>0.5</v>
      </c>
      <c r="C1580">
        <v>0</v>
      </c>
      <c r="D1580">
        <v>489.70699999999999</v>
      </c>
      <c r="E1580">
        <f t="shared" si="150"/>
        <v>489.55200000000002</v>
      </c>
      <c r="F1580">
        <v>489.54500000000002</v>
      </c>
      <c r="G1580">
        <f t="shared" si="146"/>
        <v>7.0000000000050022E-3</v>
      </c>
      <c r="H1580">
        <v>1.82</v>
      </c>
      <c r="I1580">
        <f t="shared" si="147"/>
        <v>3.1977146214166641E-2</v>
      </c>
      <c r="J1580">
        <f t="shared" si="148"/>
        <v>1.9186287728499984</v>
      </c>
      <c r="K1580">
        <f t="shared" si="149"/>
        <v>115.1177263709999</v>
      </c>
    </row>
    <row r="1581" spans="1:11" x14ac:dyDescent="0.4">
      <c r="A1581" s="19">
        <v>45900.541666666664</v>
      </c>
      <c r="B1581" s="20">
        <f t="shared" si="145"/>
        <v>0.54166666666424135</v>
      </c>
      <c r="C1581">
        <v>1.6</v>
      </c>
      <c r="D1581">
        <v>489.70699999999999</v>
      </c>
      <c r="E1581">
        <f t="shared" si="150"/>
        <v>489.55200000000002</v>
      </c>
      <c r="F1581">
        <v>489.54500000000002</v>
      </c>
      <c r="G1581">
        <f t="shared" si="146"/>
        <v>7.0000000000050022E-3</v>
      </c>
      <c r="H1581">
        <v>1.82</v>
      </c>
      <c r="I1581">
        <f t="shared" si="147"/>
        <v>3.1977146214166641E-2</v>
      </c>
      <c r="J1581">
        <f t="shared" si="148"/>
        <v>1.9186287728499984</v>
      </c>
      <c r="K1581">
        <f t="shared" si="149"/>
        <v>115.1177263709999</v>
      </c>
    </row>
    <row r="1582" spans="1:11" x14ac:dyDescent="0.4">
      <c r="A1582" s="19">
        <v>45900.583333333336</v>
      </c>
      <c r="B1582" s="20">
        <f t="shared" si="145"/>
        <v>0.58333333333575865</v>
      </c>
      <c r="C1582">
        <v>0.2</v>
      </c>
      <c r="D1582">
        <v>489.70699999999999</v>
      </c>
      <c r="E1582">
        <f t="shared" si="150"/>
        <v>489.55200000000002</v>
      </c>
      <c r="F1582">
        <v>489.54500000000002</v>
      </c>
      <c r="G1582">
        <f t="shared" si="146"/>
        <v>7.0000000000050022E-3</v>
      </c>
      <c r="H1582">
        <v>1.82</v>
      </c>
      <c r="I1582">
        <f t="shared" si="147"/>
        <v>3.1977146214166641E-2</v>
      </c>
      <c r="J1582">
        <f t="shared" si="148"/>
        <v>1.9186287728499984</v>
      </c>
      <c r="K1582">
        <f t="shared" si="149"/>
        <v>115.1177263709999</v>
      </c>
    </row>
    <row r="1583" spans="1:11" x14ac:dyDescent="0.4">
      <c r="A1583" s="19">
        <v>45900.625</v>
      </c>
      <c r="B1583" s="20">
        <f t="shared" si="145"/>
        <v>0.625</v>
      </c>
      <c r="C1583">
        <v>0</v>
      </c>
      <c r="D1583">
        <v>489.70699999999999</v>
      </c>
      <c r="E1583">
        <f t="shared" si="150"/>
        <v>489.55200000000002</v>
      </c>
      <c r="F1583">
        <v>489.54500000000002</v>
      </c>
      <c r="G1583">
        <f t="shared" si="146"/>
        <v>7.0000000000050022E-3</v>
      </c>
      <c r="H1583">
        <v>1.82</v>
      </c>
      <c r="I1583">
        <f t="shared" si="147"/>
        <v>3.1977146214166641E-2</v>
      </c>
      <c r="J1583">
        <f t="shared" si="148"/>
        <v>1.9186287728499984</v>
      </c>
      <c r="K1583">
        <f t="shared" si="149"/>
        <v>115.1177263709999</v>
      </c>
    </row>
    <row r="1584" spans="1:11" x14ac:dyDescent="0.4">
      <c r="A1584" s="19">
        <v>45900.666666666664</v>
      </c>
      <c r="B1584" s="20">
        <f t="shared" si="145"/>
        <v>0.66666666666424135</v>
      </c>
      <c r="C1584">
        <v>0</v>
      </c>
      <c r="D1584">
        <v>489.70699999999999</v>
      </c>
      <c r="E1584">
        <f t="shared" si="150"/>
        <v>489.55200000000002</v>
      </c>
      <c r="F1584">
        <v>489.54500000000002</v>
      </c>
      <c r="G1584">
        <f t="shared" si="146"/>
        <v>7.0000000000050022E-3</v>
      </c>
      <c r="H1584">
        <v>1.82</v>
      </c>
      <c r="I1584">
        <f t="shared" si="147"/>
        <v>3.1977146214166641E-2</v>
      </c>
      <c r="J1584">
        <f t="shared" si="148"/>
        <v>1.9186287728499984</v>
      </c>
      <c r="K1584">
        <f t="shared" si="149"/>
        <v>115.1177263709999</v>
      </c>
    </row>
    <row r="1585" spans="1:11" x14ac:dyDescent="0.4">
      <c r="A1585" s="19">
        <v>45900.708333333336</v>
      </c>
      <c r="B1585" s="20">
        <f t="shared" si="145"/>
        <v>0.70833333333575865</v>
      </c>
      <c r="C1585">
        <v>0</v>
      </c>
      <c r="D1585">
        <v>489.70699999999999</v>
      </c>
      <c r="E1585">
        <f t="shared" si="150"/>
        <v>489.55200000000002</v>
      </c>
      <c r="F1585">
        <v>489.54500000000002</v>
      </c>
      <c r="G1585">
        <f t="shared" si="146"/>
        <v>7.0000000000050022E-3</v>
      </c>
      <c r="H1585">
        <v>1.82</v>
      </c>
      <c r="I1585">
        <f t="shared" si="147"/>
        <v>3.1977146214166641E-2</v>
      </c>
      <c r="J1585">
        <f t="shared" si="148"/>
        <v>1.9186287728499984</v>
      </c>
      <c r="K1585">
        <f t="shared" si="149"/>
        <v>115.1177263709999</v>
      </c>
    </row>
    <row r="1586" spans="1:11" x14ac:dyDescent="0.4">
      <c r="A1586" s="19">
        <v>45900.75</v>
      </c>
      <c r="B1586" s="20">
        <f t="shared" si="145"/>
        <v>0.75</v>
      </c>
      <c r="C1586">
        <v>0</v>
      </c>
      <c r="D1586">
        <v>489.70699999999999</v>
      </c>
      <c r="E1586">
        <f t="shared" si="150"/>
        <v>489.55200000000002</v>
      </c>
      <c r="F1586">
        <v>489.54500000000002</v>
      </c>
      <c r="G1586">
        <f t="shared" si="146"/>
        <v>7.0000000000050022E-3</v>
      </c>
      <c r="H1586">
        <v>1.82</v>
      </c>
      <c r="I1586">
        <f t="shared" si="147"/>
        <v>3.1977146214166641E-2</v>
      </c>
      <c r="J1586">
        <f t="shared" si="148"/>
        <v>1.9186287728499984</v>
      </c>
      <c r="K1586">
        <f t="shared" si="149"/>
        <v>115.1177263709999</v>
      </c>
    </row>
    <row r="1587" spans="1:11" x14ac:dyDescent="0.4">
      <c r="A1587" s="19">
        <v>45900.791666666664</v>
      </c>
      <c r="B1587" s="20">
        <f t="shared" si="145"/>
        <v>0.79166666666424135</v>
      </c>
      <c r="C1587">
        <v>0</v>
      </c>
      <c r="D1587">
        <v>489.70699999999999</v>
      </c>
      <c r="E1587">
        <f t="shared" si="150"/>
        <v>489.55200000000002</v>
      </c>
      <c r="F1587">
        <v>489.54500000000002</v>
      </c>
      <c r="G1587">
        <f t="shared" si="146"/>
        <v>7.0000000000050022E-3</v>
      </c>
      <c r="H1587">
        <v>1.82</v>
      </c>
      <c r="I1587">
        <f t="shared" si="147"/>
        <v>3.1977146214166641E-2</v>
      </c>
      <c r="J1587">
        <f t="shared" si="148"/>
        <v>1.9186287728499984</v>
      </c>
      <c r="K1587">
        <f t="shared" si="149"/>
        <v>115.1177263709999</v>
      </c>
    </row>
    <row r="1588" spans="1:11" x14ac:dyDescent="0.4">
      <c r="A1588" s="19">
        <v>45900.833333333336</v>
      </c>
      <c r="B1588" s="20">
        <f t="shared" si="145"/>
        <v>0.83333333333575865</v>
      </c>
      <c r="C1588">
        <v>0</v>
      </c>
      <c r="D1588">
        <v>489.70100000000002</v>
      </c>
      <c r="E1588">
        <f t="shared" si="150"/>
        <v>489.54600000000005</v>
      </c>
      <c r="F1588">
        <v>489.54500000000002</v>
      </c>
      <c r="G1588">
        <f t="shared" si="146"/>
        <v>1.0000000000331966E-3</v>
      </c>
      <c r="H1588">
        <v>1.82</v>
      </c>
      <c r="I1588">
        <f t="shared" si="147"/>
        <v>1.7266036025379119E-3</v>
      </c>
      <c r="J1588">
        <f t="shared" si="148"/>
        <v>0.10359621615227471</v>
      </c>
      <c r="K1588">
        <f t="shared" si="149"/>
        <v>6.2157729691364834</v>
      </c>
    </row>
    <row r="1589" spans="1:11" x14ac:dyDescent="0.4">
      <c r="A1589" s="19">
        <v>45900.875</v>
      </c>
      <c r="B1589" s="20">
        <f t="shared" si="145"/>
        <v>0.875</v>
      </c>
      <c r="C1589">
        <v>0</v>
      </c>
      <c r="D1589">
        <v>489.70100000000002</v>
      </c>
      <c r="E1589">
        <f t="shared" si="150"/>
        <v>489.54600000000005</v>
      </c>
      <c r="F1589">
        <v>489.54500000000002</v>
      </c>
      <c r="G1589">
        <f t="shared" si="146"/>
        <v>1.0000000000331966E-3</v>
      </c>
      <c r="H1589">
        <v>1.82</v>
      </c>
      <c r="I1589">
        <f t="shared" si="147"/>
        <v>1.7266036025379119E-3</v>
      </c>
      <c r="J1589">
        <f t="shared" si="148"/>
        <v>0.10359621615227471</v>
      </c>
      <c r="K1589">
        <f t="shared" si="149"/>
        <v>6.2157729691364834</v>
      </c>
    </row>
    <row r="1590" spans="1:11" x14ac:dyDescent="0.4">
      <c r="A1590" s="19">
        <v>45900.916666666664</v>
      </c>
      <c r="B1590" s="20">
        <f t="shared" si="145"/>
        <v>0.91666666666424135</v>
      </c>
      <c r="C1590">
        <v>0</v>
      </c>
      <c r="D1590">
        <v>489.70100000000002</v>
      </c>
      <c r="E1590">
        <f t="shared" si="150"/>
        <v>489.54600000000005</v>
      </c>
      <c r="F1590">
        <v>489.54500000000002</v>
      </c>
      <c r="G1590">
        <f t="shared" si="146"/>
        <v>1.0000000000331966E-3</v>
      </c>
      <c r="H1590">
        <v>1.82</v>
      </c>
      <c r="I1590">
        <f t="shared" si="147"/>
        <v>1.7266036025379119E-3</v>
      </c>
      <c r="J1590">
        <f t="shared" si="148"/>
        <v>0.10359621615227471</v>
      </c>
      <c r="K1590">
        <f t="shared" si="149"/>
        <v>6.2157729691364834</v>
      </c>
    </row>
    <row r="1591" spans="1:11" x14ac:dyDescent="0.4">
      <c r="A1591" s="19">
        <v>45900.958333333336</v>
      </c>
      <c r="B1591" s="20">
        <f t="shared" si="145"/>
        <v>0.95833333333575865</v>
      </c>
      <c r="C1591">
        <v>0</v>
      </c>
      <c r="D1591">
        <v>489.70100000000002</v>
      </c>
      <c r="E1591">
        <f t="shared" si="150"/>
        <v>489.54600000000005</v>
      </c>
      <c r="F1591">
        <v>489.54500000000002</v>
      </c>
      <c r="G1591">
        <f t="shared" si="146"/>
        <v>1.0000000000331966E-3</v>
      </c>
      <c r="H1591">
        <v>1.82</v>
      </c>
      <c r="I1591">
        <f t="shared" si="147"/>
        <v>1.7266036025379119E-3</v>
      </c>
      <c r="J1591">
        <f t="shared" si="148"/>
        <v>0.10359621615227471</v>
      </c>
      <c r="K1591">
        <f t="shared" si="149"/>
        <v>6.2157729691364834</v>
      </c>
    </row>
    <row r="1592" spans="1:11" x14ac:dyDescent="0.4">
      <c r="A1592" s="19">
        <v>45901</v>
      </c>
      <c r="B1592" s="20">
        <f t="shared" si="145"/>
        <v>0</v>
      </c>
      <c r="C1592">
        <v>0</v>
      </c>
      <c r="D1592">
        <v>489.702</v>
      </c>
      <c r="E1592">
        <f t="shared" si="150"/>
        <v>489.54700000000003</v>
      </c>
      <c r="F1592">
        <v>489.54500000000002</v>
      </c>
      <c r="G1592">
        <f t="shared" si="146"/>
        <v>2.0000000000095497E-3</v>
      </c>
      <c r="H1592">
        <v>1.82</v>
      </c>
      <c r="I1592">
        <f t="shared" si="147"/>
        <v>4.8835724628945162E-3</v>
      </c>
      <c r="J1592">
        <f t="shared" si="148"/>
        <v>0.29301434777367097</v>
      </c>
      <c r="K1592">
        <f t="shared" si="149"/>
        <v>17.580860866420259</v>
      </c>
    </row>
    <row r="1593" spans="1:11" x14ac:dyDescent="0.4">
      <c r="A1593" s="19">
        <v>45901.041666666664</v>
      </c>
      <c r="B1593" s="20">
        <f t="shared" si="145"/>
        <v>4.1666666664241347E-2</v>
      </c>
      <c r="C1593">
        <v>0</v>
      </c>
      <c r="D1593">
        <v>489.69400000000002</v>
      </c>
      <c r="E1593">
        <f t="shared" si="150"/>
        <v>489.53900000000004</v>
      </c>
      <c r="F1593">
        <v>489.54500000000002</v>
      </c>
      <c r="G1593">
        <f t="shared" si="146"/>
        <v>0</v>
      </c>
      <c r="H1593">
        <v>1.82</v>
      </c>
      <c r="I1593">
        <f t="shared" si="147"/>
        <v>0</v>
      </c>
      <c r="J1593">
        <f t="shared" si="148"/>
        <v>0</v>
      </c>
      <c r="K1593">
        <f t="shared" si="149"/>
        <v>0</v>
      </c>
    </row>
    <row r="1594" spans="1:11" x14ac:dyDescent="0.4">
      <c r="A1594" s="19">
        <v>45901.083333333336</v>
      </c>
      <c r="B1594" s="20">
        <f t="shared" si="145"/>
        <v>8.3333333335758653E-2</v>
      </c>
      <c r="C1594">
        <v>0</v>
      </c>
      <c r="D1594">
        <v>489.69499999999999</v>
      </c>
      <c r="E1594">
        <f t="shared" si="150"/>
        <v>489.54</v>
      </c>
      <c r="F1594">
        <v>489.54500000000002</v>
      </c>
      <c r="G1594">
        <f t="shared" si="146"/>
        <v>0</v>
      </c>
      <c r="H1594">
        <v>1.82</v>
      </c>
      <c r="I1594">
        <f t="shared" si="147"/>
        <v>0</v>
      </c>
      <c r="J1594">
        <f t="shared" si="148"/>
        <v>0</v>
      </c>
      <c r="K1594">
        <f t="shared" si="149"/>
        <v>0</v>
      </c>
    </row>
    <row r="1595" spans="1:11" x14ac:dyDescent="0.4">
      <c r="A1595" s="19">
        <v>45901.125</v>
      </c>
      <c r="B1595" s="20">
        <f t="shared" si="145"/>
        <v>0.125</v>
      </c>
      <c r="C1595">
        <v>0</v>
      </c>
      <c r="D1595">
        <v>489.69400000000002</v>
      </c>
      <c r="E1595">
        <f t="shared" si="150"/>
        <v>489.53900000000004</v>
      </c>
      <c r="F1595">
        <v>489.54500000000002</v>
      </c>
      <c r="G1595">
        <f t="shared" si="146"/>
        <v>0</v>
      </c>
      <c r="H1595">
        <v>1.82</v>
      </c>
      <c r="I1595">
        <f t="shared" si="147"/>
        <v>0</v>
      </c>
      <c r="J1595">
        <f t="shared" si="148"/>
        <v>0</v>
      </c>
      <c r="K1595">
        <f t="shared" si="149"/>
        <v>0</v>
      </c>
    </row>
    <row r="1596" spans="1:11" x14ac:dyDescent="0.4">
      <c r="A1596" s="19">
        <v>45901.166666666664</v>
      </c>
      <c r="B1596" s="20">
        <f t="shared" si="145"/>
        <v>0.16666666666424135</v>
      </c>
      <c r="C1596">
        <v>0</v>
      </c>
      <c r="D1596">
        <v>489.69499999999999</v>
      </c>
      <c r="E1596">
        <f t="shared" si="150"/>
        <v>489.54</v>
      </c>
      <c r="F1596">
        <v>489.54500000000002</v>
      </c>
      <c r="G1596">
        <f t="shared" si="146"/>
        <v>0</v>
      </c>
      <c r="H1596">
        <v>1.82</v>
      </c>
      <c r="I1596">
        <f t="shared" si="147"/>
        <v>0</v>
      </c>
      <c r="J1596">
        <f t="shared" si="148"/>
        <v>0</v>
      </c>
      <c r="K1596">
        <f t="shared" si="149"/>
        <v>0</v>
      </c>
    </row>
    <row r="1597" spans="1:11" x14ac:dyDescent="0.4">
      <c r="A1597" s="19">
        <v>45901.208333333336</v>
      </c>
      <c r="B1597" s="20">
        <f t="shared" si="145"/>
        <v>0.20833333333575865</v>
      </c>
      <c r="C1597">
        <v>0</v>
      </c>
      <c r="D1597">
        <v>489.69499999999999</v>
      </c>
      <c r="E1597">
        <f t="shared" si="150"/>
        <v>489.54</v>
      </c>
      <c r="F1597">
        <v>489.54500000000002</v>
      </c>
      <c r="G1597">
        <f t="shared" si="146"/>
        <v>0</v>
      </c>
      <c r="H1597">
        <v>1.82</v>
      </c>
      <c r="I1597">
        <f t="shared" si="147"/>
        <v>0</v>
      </c>
      <c r="J1597">
        <f t="shared" si="148"/>
        <v>0</v>
      </c>
      <c r="K1597">
        <f t="shared" si="149"/>
        <v>0</v>
      </c>
    </row>
    <row r="1598" spans="1:11" x14ac:dyDescent="0.4">
      <c r="A1598" s="19">
        <v>45901.25</v>
      </c>
      <c r="B1598" s="20">
        <f t="shared" si="145"/>
        <v>0.25</v>
      </c>
      <c r="C1598">
        <v>0</v>
      </c>
      <c r="D1598">
        <v>489.68900000000002</v>
      </c>
      <c r="E1598">
        <f t="shared" si="150"/>
        <v>489.53400000000005</v>
      </c>
      <c r="F1598">
        <v>489.54500000000002</v>
      </c>
      <c r="G1598">
        <f t="shared" si="146"/>
        <v>0</v>
      </c>
      <c r="H1598">
        <v>1.82</v>
      </c>
      <c r="I1598">
        <f t="shared" si="147"/>
        <v>0</v>
      </c>
      <c r="J1598">
        <f t="shared" si="148"/>
        <v>0</v>
      </c>
      <c r="K1598">
        <f t="shared" si="149"/>
        <v>0</v>
      </c>
    </row>
    <row r="1599" spans="1:11" x14ac:dyDescent="0.4">
      <c r="A1599" s="19">
        <v>45901.291666666664</v>
      </c>
      <c r="B1599" s="20">
        <f t="shared" si="145"/>
        <v>0.29166666666424135</v>
      </c>
      <c r="C1599">
        <v>0</v>
      </c>
      <c r="D1599">
        <v>489.68900000000002</v>
      </c>
      <c r="E1599">
        <f t="shared" si="150"/>
        <v>489.53400000000005</v>
      </c>
      <c r="F1599">
        <v>489.54500000000002</v>
      </c>
      <c r="G1599">
        <f t="shared" si="146"/>
        <v>0</v>
      </c>
      <c r="H1599">
        <v>1.82</v>
      </c>
      <c r="I1599">
        <f t="shared" si="147"/>
        <v>0</v>
      </c>
      <c r="J1599">
        <f t="shared" si="148"/>
        <v>0</v>
      </c>
      <c r="K1599">
        <f t="shared" si="149"/>
        <v>0</v>
      </c>
    </row>
    <row r="1600" spans="1:11" x14ac:dyDescent="0.4">
      <c r="A1600" s="19">
        <v>45901.333333333336</v>
      </c>
      <c r="B1600" s="20">
        <f t="shared" si="145"/>
        <v>0.33333333333575865</v>
      </c>
      <c r="C1600">
        <v>0</v>
      </c>
      <c r="D1600">
        <v>489.68900000000002</v>
      </c>
      <c r="E1600">
        <f t="shared" si="150"/>
        <v>489.53400000000005</v>
      </c>
      <c r="F1600">
        <v>489.54500000000002</v>
      </c>
      <c r="G1600">
        <f t="shared" si="146"/>
        <v>0</v>
      </c>
      <c r="H1600">
        <v>1.82</v>
      </c>
      <c r="I1600">
        <f t="shared" si="147"/>
        <v>0</v>
      </c>
      <c r="J1600">
        <f t="shared" si="148"/>
        <v>0</v>
      </c>
      <c r="K1600">
        <f t="shared" si="149"/>
        <v>0</v>
      </c>
    </row>
    <row r="1601" spans="1:11" x14ac:dyDescent="0.4">
      <c r="A1601" s="19">
        <v>45901.375</v>
      </c>
      <c r="B1601" s="20">
        <f t="shared" si="145"/>
        <v>0.375</v>
      </c>
      <c r="C1601">
        <v>0</v>
      </c>
      <c r="D1601">
        <v>489.68799999999999</v>
      </c>
      <c r="E1601">
        <f t="shared" si="150"/>
        <v>489.53300000000002</v>
      </c>
      <c r="F1601">
        <v>489.54500000000002</v>
      </c>
      <c r="G1601">
        <f t="shared" si="146"/>
        <v>0</v>
      </c>
      <c r="H1601">
        <v>1.82</v>
      </c>
      <c r="I1601">
        <f t="shared" si="147"/>
        <v>0</v>
      </c>
      <c r="J1601">
        <f t="shared" si="148"/>
        <v>0</v>
      </c>
      <c r="K1601">
        <f t="shared" si="149"/>
        <v>0</v>
      </c>
    </row>
    <row r="1602" spans="1:11" x14ac:dyDescent="0.4">
      <c r="A1602" s="19">
        <v>45901.416666666664</v>
      </c>
      <c r="B1602" s="20">
        <f t="shared" si="145"/>
        <v>0.41666666666424135</v>
      </c>
      <c r="C1602">
        <v>0</v>
      </c>
      <c r="D1602">
        <v>489.68799999999999</v>
      </c>
      <c r="E1602">
        <f t="shared" si="150"/>
        <v>489.53300000000002</v>
      </c>
      <c r="F1602">
        <v>489.54500000000002</v>
      </c>
      <c r="G1602">
        <f t="shared" si="146"/>
        <v>0</v>
      </c>
      <c r="H1602">
        <v>1.82</v>
      </c>
      <c r="I1602">
        <f t="shared" si="147"/>
        <v>0</v>
      </c>
      <c r="J1602">
        <f t="shared" si="148"/>
        <v>0</v>
      </c>
      <c r="K1602">
        <f t="shared" si="149"/>
        <v>0</v>
      </c>
    </row>
    <row r="1603" spans="1:11" x14ac:dyDescent="0.4">
      <c r="A1603" s="19">
        <v>45901.458333333336</v>
      </c>
      <c r="B1603" s="20">
        <f t="shared" ref="B1603:B1666" si="151">MOD(A1603,1)</f>
        <v>0.45833333333575865</v>
      </c>
      <c r="C1603">
        <v>0</v>
      </c>
      <c r="D1603">
        <v>489.68200000000002</v>
      </c>
      <c r="E1603">
        <f t="shared" si="150"/>
        <v>489.52700000000004</v>
      </c>
      <c r="F1603">
        <v>489.54500000000002</v>
      </c>
      <c r="G1603">
        <f t="shared" ref="G1603:G1666" si="152">IF(E1603 - F1603 &lt; 0, 0, E1603 - F1603)</f>
        <v>0</v>
      </c>
      <c r="H1603">
        <v>1.82</v>
      </c>
      <c r="I1603">
        <f t="shared" ref="I1603:I1666" si="153">1.82*30*(G1603^1.5)</f>
        <v>0</v>
      </c>
      <c r="J1603">
        <f t="shared" ref="J1603:J1666" si="154">I1603*60</f>
        <v>0</v>
      </c>
      <c r="K1603">
        <f t="shared" ref="K1603:K1666" si="155">(I1603*86400)/24</f>
        <v>0</v>
      </c>
    </row>
    <row r="1604" spans="1:11" x14ac:dyDescent="0.4">
      <c r="A1604" s="19">
        <v>45901.5</v>
      </c>
      <c r="B1604" s="20">
        <f t="shared" si="151"/>
        <v>0.5</v>
      </c>
      <c r="C1604">
        <v>0.2</v>
      </c>
      <c r="D1604">
        <v>489.68900000000002</v>
      </c>
      <c r="E1604">
        <f t="shared" si="150"/>
        <v>489.53400000000005</v>
      </c>
      <c r="F1604">
        <v>489.54500000000002</v>
      </c>
      <c r="G1604">
        <f t="shared" si="152"/>
        <v>0</v>
      </c>
      <c r="H1604">
        <v>1.82</v>
      </c>
      <c r="I1604">
        <f t="shared" si="153"/>
        <v>0</v>
      </c>
      <c r="J1604">
        <f t="shared" si="154"/>
        <v>0</v>
      </c>
      <c r="K1604">
        <f t="shared" si="155"/>
        <v>0</v>
      </c>
    </row>
    <row r="1605" spans="1:11" x14ac:dyDescent="0.4">
      <c r="A1605" s="19">
        <v>45901.541666666664</v>
      </c>
      <c r="B1605" s="20">
        <f t="shared" si="151"/>
        <v>0.54166666666424135</v>
      </c>
      <c r="C1605">
        <v>0</v>
      </c>
      <c r="D1605">
        <v>489.68900000000002</v>
      </c>
      <c r="E1605">
        <f t="shared" si="150"/>
        <v>489.53400000000005</v>
      </c>
      <c r="F1605">
        <v>489.54500000000002</v>
      </c>
      <c r="G1605">
        <f t="shared" si="152"/>
        <v>0</v>
      </c>
      <c r="H1605">
        <v>1.82</v>
      </c>
      <c r="I1605">
        <f t="shared" si="153"/>
        <v>0</v>
      </c>
      <c r="J1605">
        <f t="shared" si="154"/>
        <v>0</v>
      </c>
      <c r="K1605">
        <f t="shared" si="155"/>
        <v>0</v>
      </c>
    </row>
    <row r="1606" spans="1:11" x14ac:dyDescent="0.4">
      <c r="A1606" s="19">
        <v>45901.583333333336</v>
      </c>
      <c r="B1606" s="20">
        <f t="shared" si="151"/>
        <v>0.58333333333575865</v>
      </c>
      <c r="C1606">
        <v>0</v>
      </c>
      <c r="D1606">
        <v>489.68799999999999</v>
      </c>
      <c r="E1606">
        <f t="shared" si="150"/>
        <v>489.53300000000002</v>
      </c>
      <c r="F1606">
        <v>489.54500000000002</v>
      </c>
      <c r="G1606">
        <f t="shared" si="152"/>
        <v>0</v>
      </c>
      <c r="H1606">
        <v>1.82</v>
      </c>
      <c r="I1606">
        <f t="shared" si="153"/>
        <v>0</v>
      </c>
      <c r="J1606">
        <f t="shared" si="154"/>
        <v>0</v>
      </c>
      <c r="K1606">
        <f t="shared" si="155"/>
        <v>0</v>
      </c>
    </row>
    <row r="1607" spans="1:11" x14ac:dyDescent="0.4">
      <c r="A1607" s="19">
        <v>45901.625</v>
      </c>
      <c r="B1607" s="20">
        <f t="shared" si="151"/>
        <v>0.625</v>
      </c>
      <c r="C1607">
        <v>0</v>
      </c>
      <c r="D1607">
        <v>489.68200000000002</v>
      </c>
      <c r="E1607">
        <f t="shared" si="150"/>
        <v>489.52700000000004</v>
      </c>
      <c r="F1607">
        <v>489.54500000000002</v>
      </c>
      <c r="G1607">
        <f t="shared" si="152"/>
        <v>0</v>
      </c>
      <c r="H1607">
        <v>1.82</v>
      </c>
      <c r="I1607">
        <f t="shared" si="153"/>
        <v>0</v>
      </c>
      <c r="J1607">
        <f t="shared" si="154"/>
        <v>0</v>
      </c>
      <c r="K1607">
        <f t="shared" si="155"/>
        <v>0</v>
      </c>
    </row>
    <row r="1608" spans="1:11" x14ac:dyDescent="0.4">
      <c r="A1608" s="19">
        <v>45901.666666666664</v>
      </c>
      <c r="B1608" s="20">
        <f t="shared" si="151"/>
        <v>0.66666666666424135</v>
      </c>
      <c r="C1608">
        <v>0</v>
      </c>
      <c r="D1608">
        <v>489.68200000000002</v>
      </c>
      <c r="E1608">
        <f t="shared" si="150"/>
        <v>489.52700000000004</v>
      </c>
      <c r="F1608">
        <v>489.54500000000002</v>
      </c>
      <c r="G1608">
        <f t="shared" si="152"/>
        <v>0</v>
      </c>
      <c r="H1608">
        <v>1.82</v>
      </c>
      <c r="I1608">
        <f t="shared" si="153"/>
        <v>0</v>
      </c>
      <c r="J1608">
        <f t="shared" si="154"/>
        <v>0</v>
      </c>
      <c r="K1608">
        <f t="shared" si="155"/>
        <v>0</v>
      </c>
    </row>
    <row r="1609" spans="1:11" x14ac:dyDescent="0.4">
      <c r="A1609" s="19">
        <v>45901.708333333336</v>
      </c>
      <c r="B1609" s="20">
        <f t="shared" si="151"/>
        <v>0.70833333333575865</v>
      </c>
      <c r="C1609">
        <v>0</v>
      </c>
      <c r="D1609">
        <v>489.68200000000002</v>
      </c>
      <c r="E1609">
        <f t="shared" si="150"/>
        <v>489.52700000000004</v>
      </c>
      <c r="F1609">
        <v>489.54500000000002</v>
      </c>
      <c r="G1609">
        <f t="shared" si="152"/>
        <v>0</v>
      </c>
      <c r="H1609">
        <v>1.82</v>
      </c>
      <c r="I1609">
        <f t="shared" si="153"/>
        <v>0</v>
      </c>
      <c r="J1609">
        <f t="shared" si="154"/>
        <v>0</v>
      </c>
      <c r="K1609">
        <f t="shared" si="155"/>
        <v>0</v>
      </c>
    </row>
    <row r="1610" spans="1:11" x14ac:dyDescent="0.4">
      <c r="A1610" s="19">
        <v>45901.75</v>
      </c>
      <c r="B1610" s="20">
        <f t="shared" si="151"/>
        <v>0.75</v>
      </c>
      <c r="C1610">
        <v>0</v>
      </c>
      <c r="D1610">
        <v>489.68200000000002</v>
      </c>
      <c r="E1610">
        <f t="shared" si="150"/>
        <v>489.52700000000004</v>
      </c>
      <c r="F1610">
        <v>489.54500000000002</v>
      </c>
      <c r="G1610">
        <f t="shared" si="152"/>
        <v>0</v>
      </c>
      <c r="H1610">
        <v>1.82</v>
      </c>
      <c r="I1610">
        <f t="shared" si="153"/>
        <v>0</v>
      </c>
      <c r="J1610">
        <f t="shared" si="154"/>
        <v>0</v>
      </c>
      <c r="K1610">
        <f t="shared" si="155"/>
        <v>0</v>
      </c>
    </row>
    <row r="1611" spans="1:11" x14ac:dyDescent="0.4">
      <c r="A1611" s="19">
        <v>45901.791666666664</v>
      </c>
      <c r="B1611" s="20">
        <f t="shared" si="151"/>
        <v>0.79166666666424135</v>
      </c>
      <c r="C1611">
        <v>0</v>
      </c>
      <c r="D1611">
        <v>489.68200000000002</v>
      </c>
      <c r="E1611">
        <f t="shared" si="150"/>
        <v>489.52700000000004</v>
      </c>
      <c r="F1611">
        <v>489.54500000000002</v>
      </c>
      <c r="G1611">
        <f t="shared" si="152"/>
        <v>0</v>
      </c>
      <c r="H1611">
        <v>1.82</v>
      </c>
      <c r="I1611">
        <f t="shared" si="153"/>
        <v>0</v>
      </c>
      <c r="J1611">
        <f t="shared" si="154"/>
        <v>0</v>
      </c>
      <c r="K1611">
        <f t="shared" si="155"/>
        <v>0</v>
      </c>
    </row>
    <row r="1612" spans="1:11" x14ac:dyDescent="0.4">
      <c r="A1612" s="19">
        <v>45901.833333333336</v>
      </c>
      <c r="B1612" s="20">
        <f t="shared" si="151"/>
        <v>0.83333333333575865</v>
      </c>
      <c r="C1612">
        <v>0</v>
      </c>
      <c r="D1612">
        <v>489.67500000000001</v>
      </c>
      <c r="E1612">
        <f t="shared" si="150"/>
        <v>489.52000000000004</v>
      </c>
      <c r="F1612">
        <v>489.54500000000002</v>
      </c>
      <c r="G1612">
        <f t="shared" si="152"/>
        <v>0</v>
      </c>
      <c r="H1612">
        <v>1.82</v>
      </c>
      <c r="I1612">
        <f t="shared" si="153"/>
        <v>0</v>
      </c>
      <c r="J1612">
        <f t="shared" si="154"/>
        <v>0</v>
      </c>
      <c r="K1612">
        <f t="shared" si="155"/>
        <v>0</v>
      </c>
    </row>
    <row r="1613" spans="1:11" x14ac:dyDescent="0.4">
      <c r="A1613" s="19">
        <v>45901.875</v>
      </c>
      <c r="B1613" s="20">
        <f t="shared" si="151"/>
        <v>0.875</v>
      </c>
      <c r="C1613">
        <v>0</v>
      </c>
      <c r="D1613">
        <v>489.67500000000001</v>
      </c>
      <c r="E1613">
        <f t="shared" si="150"/>
        <v>489.52000000000004</v>
      </c>
      <c r="F1613">
        <v>489.54500000000002</v>
      </c>
      <c r="G1613">
        <f t="shared" si="152"/>
        <v>0</v>
      </c>
      <c r="H1613">
        <v>1.82</v>
      </c>
      <c r="I1613">
        <f t="shared" si="153"/>
        <v>0</v>
      </c>
      <c r="J1613">
        <f t="shared" si="154"/>
        <v>0</v>
      </c>
      <c r="K1613">
        <f t="shared" si="155"/>
        <v>0</v>
      </c>
    </row>
    <row r="1614" spans="1:11" x14ac:dyDescent="0.4">
      <c r="A1614" s="19">
        <v>45901.916666666664</v>
      </c>
      <c r="B1614" s="20">
        <f t="shared" si="151"/>
        <v>0.91666666666424135</v>
      </c>
      <c r="C1614">
        <v>0</v>
      </c>
      <c r="D1614">
        <v>489.67500000000001</v>
      </c>
      <c r="E1614">
        <f t="shared" si="150"/>
        <v>489.52000000000004</v>
      </c>
      <c r="F1614">
        <v>489.54500000000002</v>
      </c>
      <c r="G1614">
        <f t="shared" si="152"/>
        <v>0</v>
      </c>
      <c r="H1614">
        <v>1.82</v>
      </c>
      <c r="I1614">
        <f t="shared" si="153"/>
        <v>0</v>
      </c>
      <c r="J1614">
        <f t="shared" si="154"/>
        <v>0</v>
      </c>
      <c r="K1614">
        <f t="shared" si="155"/>
        <v>0</v>
      </c>
    </row>
    <row r="1615" spans="1:11" x14ac:dyDescent="0.4">
      <c r="A1615" s="19">
        <v>45901.958333333336</v>
      </c>
      <c r="B1615" s="20">
        <f t="shared" si="151"/>
        <v>0.95833333333575865</v>
      </c>
      <c r="C1615">
        <v>0</v>
      </c>
      <c r="D1615">
        <v>489.67500000000001</v>
      </c>
      <c r="E1615">
        <f t="shared" si="150"/>
        <v>489.52000000000004</v>
      </c>
      <c r="F1615">
        <v>489.54500000000002</v>
      </c>
      <c r="G1615">
        <f t="shared" si="152"/>
        <v>0</v>
      </c>
      <c r="H1615">
        <v>1.82</v>
      </c>
      <c r="I1615">
        <f t="shared" si="153"/>
        <v>0</v>
      </c>
      <c r="J1615">
        <f t="shared" si="154"/>
        <v>0</v>
      </c>
      <c r="K1615">
        <f t="shared" si="155"/>
        <v>0</v>
      </c>
    </row>
    <row r="1616" spans="1:11" x14ac:dyDescent="0.4">
      <c r="A1616" s="19">
        <v>45902</v>
      </c>
      <c r="B1616" s="20">
        <f t="shared" si="151"/>
        <v>0</v>
      </c>
      <c r="C1616">
        <v>0</v>
      </c>
      <c r="D1616">
        <v>489.67500000000001</v>
      </c>
      <c r="E1616">
        <f t="shared" si="150"/>
        <v>489.52000000000004</v>
      </c>
      <c r="F1616">
        <v>489.54500000000002</v>
      </c>
      <c r="G1616">
        <f t="shared" si="152"/>
        <v>0</v>
      </c>
      <c r="H1616">
        <v>1.82</v>
      </c>
      <c r="I1616">
        <f t="shared" si="153"/>
        <v>0</v>
      </c>
      <c r="J1616">
        <f t="shared" si="154"/>
        <v>0</v>
      </c>
      <c r="K1616">
        <f t="shared" si="155"/>
        <v>0</v>
      </c>
    </row>
    <row r="1617" spans="1:11" x14ac:dyDescent="0.4">
      <c r="A1617" s="19">
        <v>45902.041666666664</v>
      </c>
      <c r="B1617" s="20">
        <f t="shared" si="151"/>
        <v>4.1666666664241347E-2</v>
      </c>
      <c r="C1617">
        <v>0</v>
      </c>
      <c r="D1617">
        <v>489.67500000000001</v>
      </c>
      <c r="E1617">
        <f t="shared" si="150"/>
        <v>489.52000000000004</v>
      </c>
      <c r="F1617">
        <v>489.54500000000002</v>
      </c>
      <c r="G1617">
        <f t="shared" si="152"/>
        <v>0</v>
      </c>
      <c r="H1617">
        <v>1.82</v>
      </c>
      <c r="I1617">
        <f t="shared" si="153"/>
        <v>0</v>
      </c>
      <c r="J1617">
        <f t="shared" si="154"/>
        <v>0</v>
      </c>
      <c r="K1617">
        <f t="shared" si="155"/>
        <v>0</v>
      </c>
    </row>
    <row r="1618" spans="1:11" x14ac:dyDescent="0.4">
      <c r="A1618" s="19">
        <v>45902.083333333336</v>
      </c>
      <c r="B1618" s="20">
        <f t="shared" si="151"/>
        <v>8.3333333335758653E-2</v>
      </c>
      <c r="C1618">
        <v>0</v>
      </c>
      <c r="D1618">
        <v>489.67500000000001</v>
      </c>
      <c r="E1618">
        <f t="shared" si="150"/>
        <v>489.52000000000004</v>
      </c>
      <c r="F1618">
        <v>489.54500000000002</v>
      </c>
      <c r="G1618">
        <f t="shared" si="152"/>
        <v>0</v>
      </c>
      <c r="H1618">
        <v>1.82</v>
      </c>
      <c r="I1618">
        <f t="shared" si="153"/>
        <v>0</v>
      </c>
      <c r="J1618">
        <f t="shared" si="154"/>
        <v>0</v>
      </c>
      <c r="K1618">
        <f t="shared" si="155"/>
        <v>0</v>
      </c>
    </row>
    <row r="1619" spans="1:11" x14ac:dyDescent="0.4">
      <c r="A1619" s="19">
        <v>45902.125</v>
      </c>
      <c r="B1619" s="20">
        <f t="shared" si="151"/>
        <v>0.125</v>
      </c>
      <c r="C1619">
        <v>0</v>
      </c>
      <c r="D1619">
        <v>489.67</v>
      </c>
      <c r="E1619">
        <f t="shared" ref="E1619:E1682" si="156">D1619-0.155</f>
        <v>489.51500000000004</v>
      </c>
      <c r="F1619">
        <v>489.54500000000002</v>
      </c>
      <c r="G1619">
        <f t="shared" si="152"/>
        <v>0</v>
      </c>
      <c r="H1619">
        <v>1.82</v>
      </c>
      <c r="I1619">
        <f t="shared" si="153"/>
        <v>0</v>
      </c>
      <c r="J1619">
        <f t="shared" si="154"/>
        <v>0</v>
      </c>
      <c r="K1619">
        <f t="shared" si="155"/>
        <v>0</v>
      </c>
    </row>
    <row r="1620" spans="1:11" x14ac:dyDescent="0.4">
      <c r="A1620" s="19">
        <v>45902.166666666664</v>
      </c>
      <c r="B1620" s="20">
        <f t="shared" si="151"/>
        <v>0.16666666666424135</v>
      </c>
      <c r="C1620">
        <v>0</v>
      </c>
      <c r="D1620">
        <v>489.67</v>
      </c>
      <c r="E1620">
        <f t="shared" si="156"/>
        <v>489.51500000000004</v>
      </c>
      <c r="F1620">
        <v>489.54500000000002</v>
      </c>
      <c r="G1620">
        <f t="shared" si="152"/>
        <v>0</v>
      </c>
      <c r="H1620">
        <v>1.82</v>
      </c>
      <c r="I1620">
        <f t="shared" si="153"/>
        <v>0</v>
      </c>
      <c r="J1620">
        <f t="shared" si="154"/>
        <v>0</v>
      </c>
      <c r="K1620">
        <f t="shared" si="155"/>
        <v>0</v>
      </c>
    </row>
    <row r="1621" spans="1:11" x14ac:dyDescent="0.4">
      <c r="A1621" s="19">
        <v>45902.208333333336</v>
      </c>
      <c r="B1621" s="20">
        <f t="shared" si="151"/>
        <v>0.20833333333575865</v>
      </c>
      <c r="C1621">
        <v>0</v>
      </c>
      <c r="D1621">
        <v>489.67</v>
      </c>
      <c r="E1621">
        <f t="shared" si="156"/>
        <v>489.51500000000004</v>
      </c>
      <c r="F1621">
        <v>489.54500000000002</v>
      </c>
      <c r="G1621">
        <f t="shared" si="152"/>
        <v>0</v>
      </c>
      <c r="H1621">
        <v>1.82</v>
      </c>
      <c r="I1621">
        <f t="shared" si="153"/>
        <v>0</v>
      </c>
      <c r="J1621">
        <f t="shared" si="154"/>
        <v>0</v>
      </c>
      <c r="K1621">
        <f t="shared" si="155"/>
        <v>0</v>
      </c>
    </row>
    <row r="1622" spans="1:11" x14ac:dyDescent="0.4">
      <c r="A1622" s="19">
        <v>45902.25</v>
      </c>
      <c r="B1622" s="20">
        <f t="shared" si="151"/>
        <v>0.25</v>
      </c>
      <c r="C1622">
        <v>0</v>
      </c>
      <c r="D1622">
        <v>489.66300000000001</v>
      </c>
      <c r="E1622">
        <f t="shared" si="156"/>
        <v>489.50800000000004</v>
      </c>
      <c r="F1622">
        <v>489.54500000000002</v>
      </c>
      <c r="G1622">
        <f t="shared" si="152"/>
        <v>0</v>
      </c>
      <c r="H1622">
        <v>1.82</v>
      </c>
      <c r="I1622">
        <f t="shared" si="153"/>
        <v>0</v>
      </c>
      <c r="J1622">
        <f t="shared" si="154"/>
        <v>0</v>
      </c>
      <c r="K1622">
        <f t="shared" si="155"/>
        <v>0</v>
      </c>
    </row>
    <row r="1623" spans="1:11" x14ac:dyDescent="0.4">
      <c r="A1623" s="19">
        <v>45902.291666666664</v>
      </c>
      <c r="B1623" s="20">
        <f t="shared" si="151"/>
        <v>0.29166666666424135</v>
      </c>
      <c r="C1623">
        <v>0</v>
      </c>
      <c r="D1623">
        <v>489.66899999999998</v>
      </c>
      <c r="E1623">
        <f t="shared" si="156"/>
        <v>489.51400000000001</v>
      </c>
      <c r="F1623">
        <v>489.54500000000002</v>
      </c>
      <c r="G1623">
        <f t="shared" si="152"/>
        <v>0</v>
      </c>
      <c r="H1623">
        <v>1.82</v>
      </c>
      <c r="I1623">
        <f t="shared" si="153"/>
        <v>0</v>
      </c>
      <c r="J1623">
        <f t="shared" si="154"/>
        <v>0</v>
      </c>
      <c r="K1623">
        <f t="shared" si="155"/>
        <v>0</v>
      </c>
    </row>
    <row r="1624" spans="1:11" x14ac:dyDescent="0.4">
      <c r="A1624" s="19">
        <v>45902.333333333336</v>
      </c>
      <c r="B1624" s="20">
        <f t="shared" si="151"/>
        <v>0.33333333333575865</v>
      </c>
      <c r="C1624">
        <v>0</v>
      </c>
      <c r="D1624">
        <v>489.66899999999998</v>
      </c>
      <c r="E1624">
        <f t="shared" si="156"/>
        <v>489.51400000000001</v>
      </c>
      <c r="F1624">
        <v>489.54500000000002</v>
      </c>
      <c r="G1624">
        <f t="shared" si="152"/>
        <v>0</v>
      </c>
      <c r="H1624">
        <v>1.82</v>
      </c>
      <c r="I1624">
        <f t="shared" si="153"/>
        <v>0</v>
      </c>
      <c r="J1624">
        <f t="shared" si="154"/>
        <v>0</v>
      </c>
      <c r="K1624">
        <f t="shared" si="155"/>
        <v>0</v>
      </c>
    </row>
    <row r="1625" spans="1:11" x14ac:dyDescent="0.4">
      <c r="A1625" s="19">
        <v>45902.375</v>
      </c>
      <c r="B1625" s="20">
        <f t="shared" si="151"/>
        <v>0.375</v>
      </c>
      <c r="C1625">
        <v>0</v>
      </c>
      <c r="D1625">
        <v>489.66899999999998</v>
      </c>
      <c r="E1625">
        <f t="shared" si="156"/>
        <v>489.51400000000001</v>
      </c>
      <c r="F1625">
        <v>489.54500000000002</v>
      </c>
      <c r="G1625">
        <f t="shared" si="152"/>
        <v>0</v>
      </c>
      <c r="H1625">
        <v>1.82</v>
      </c>
      <c r="I1625">
        <f t="shared" si="153"/>
        <v>0</v>
      </c>
      <c r="J1625">
        <f t="shared" si="154"/>
        <v>0</v>
      </c>
      <c r="K1625">
        <f t="shared" si="155"/>
        <v>0</v>
      </c>
    </row>
    <row r="1626" spans="1:11" x14ac:dyDescent="0.4">
      <c r="A1626" s="19">
        <v>45902.416666666664</v>
      </c>
      <c r="B1626" s="20">
        <f t="shared" si="151"/>
        <v>0.41666666666424135</v>
      </c>
      <c r="C1626">
        <v>0</v>
      </c>
      <c r="D1626">
        <v>489.66199999999998</v>
      </c>
      <c r="E1626">
        <f t="shared" si="156"/>
        <v>489.50700000000001</v>
      </c>
      <c r="F1626">
        <v>489.54500000000002</v>
      </c>
      <c r="G1626">
        <f t="shared" si="152"/>
        <v>0</v>
      </c>
      <c r="H1626">
        <v>1.82</v>
      </c>
      <c r="I1626">
        <f t="shared" si="153"/>
        <v>0</v>
      </c>
      <c r="J1626">
        <f t="shared" si="154"/>
        <v>0</v>
      </c>
      <c r="K1626">
        <f t="shared" si="155"/>
        <v>0</v>
      </c>
    </row>
    <row r="1627" spans="1:11" x14ac:dyDescent="0.4">
      <c r="A1627" s="19">
        <v>45902.458333333336</v>
      </c>
      <c r="B1627" s="20">
        <f t="shared" si="151"/>
        <v>0.45833333333575865</v>
      </c>
      <c r="C1627">
        <v>0</v>
      </c>
      <c r="D1627">
        <v>489.66199999999998</v>
      </c>
      <c r="E1627">
        <f t="shared" si="156"/>
        <v>489.50700000000001</v>
      </c>
      <c r="F1627">
        <v>489.54500000000002</v>
      </c>
      <c r="G1627">
        <f t="shared" si="152"/>
        <v>0</v>
      </c>
      <c r="H1627">
        <v>1.82</v>
      </c>
      <c r="I1627">
        <f t="shared" si="153"/>
        <v>0</v>
      </c>
      <c r="J1627">
        <f t="shared" si="154"/>
        <v>0</v>
      </c>
      <c r="K1627">
        <f t="shared" si="155"/>
        <v>0</v>
      </c>
    </row>
    <row r="1628" spans="1:11" x14ac:dyDescent="0.4">
      <c r="A1628" s="19">
        <v>45902.5</v>
      </c>
      <c r="B1628" s="20">
        <f t="shared" si="151"/>
        <v>0.5</v>
      </c>
      <c r="C1628">
        <v>0</v>
      </c>
      <c r="D1628">
        <v>489.66199999999998</v>
      </c>
      <c r="E1628">
        <f t="shared" si="156"/>
        <v>489.50700000000001</v>
      </c>
      <c r="F1628">
        <v>489.54500000000002</v>
      </c>
      <c r="G1628">
        <f t="shared" si="152"/>
        <v>0</v>
      </c>
      <c r="H1628">
        <v>1.82</v>
      </c>
      <c r="I1628">
        <f t="shared" si="153"/>
        <v>0</v>
      </c>
      <c r="J1628">
        <f t="shared" si="154"/>
        <v>0</v>
      </c>
      <c r="K1628">
        <f t="shared" si="155"/>
        <v>0</v>
      </c>
    </row>
    <row r="1629" spans="1:11" x14ac:dyDescent="0.4">
      <c r="A1629" s="19">
        <v>45902.541666666664</v>
      </c>
      <c r="B1629" s="20">
        <f t="shared" si="151"/>
        <v>0.54166666666424135</v>
      </c>
      <c r="C1629">
        <v>0</v>
      </c>
      <c r="D1629">
        <v>489.66199999999998</v>
      </c>
      <c r="E1629">
        <f t="shared" si="156"/>
        <v>489.50700000000001</v>
      </c>
      <c r="F1629">
        <v>489.54500000000002</v>
      </c>
      <c r="G1629">
        <f t="shared" si="152"/>
        <v>0</v>
      </c>
      <c r="H1629">
        <v>1.82</v>
      </c>
      <c r="I1629">
        <f t="shared" si="153"/>
        <v>0</v>
      </c>
      <c r="J1629">
        <f t="shared" si="154"/>
        <v>0</v>
      </c>
      <c r="K1629">
        <f t="shared" si="155"/>
        <v>0</v>
      </c>
    </row>
    <row r="1630" spans="1:11" x14ac:dyDescent="0.4">
      <c r="A1630" s="19">
        <v>45902.583333333336</v>
      </c>
      <c r="B1630" s="20">
        <f t="shared" si="151"/>
        <v>0.58333333333575865</v>
      </c>
      <c r="C1630">
        <v>1.2</v>
      </c>
      <c r="D1630">
        <v>489.66199999999998</v>
      </c>
      <c r="E1630">
        <f t="shared" si="156"/>
        <v>489.50700000000001</v>
      </c>
      <c r="F1630">
        <v>489.54500000000002</v>
      </c>
      <c r="G1630">
        <f t="shared" si="152"/>
        <v>0</v>
      </c>
      <c r="H1630">
        <v>1.82</v>
      </c>
      <c r="I1630">
        <f t="shared" si="153"/>
        <v>0</v>
      </c>
      <c r="J1630">
        <f t="shared" si="154"/>
        <v>0</v>
      </c>
      <c r="K1630">
        <f t="shared" si="155"/>
        <v>0</v>
      </c>
    </row>
    <row r="1631" spans="1:11" x14ac:dyDescent="0.4">
      <c r="A1631" s="19">
        <v>45902.625</v>
      </c>
      <c r="B1631" s="20">
        <f t="shared" si="151"/>
        <v>0.625</v>
      </c>
      <c r="C1631">
        <v>0</v>
      </c>
      <c r="D1631">
        <v>489.66899999999998</v>
      </c>
      <c r="E1631">
        <f t="shared" si="156"/>
        <v>489.51400000000001</v>
      </c>
      <c r="F1631">
        <v>489.54500000000002</v>
      </c>
      <c r="G1631">
        <f t="shared" si="152"/>
        <v>0</v>
      </c>
      <c r="H1631">
        <v>1.82</v>
      </c>
      <c r="I1631">
        <f t="shared" si="153"/>
        <v>0</v>
      </c>
      <c r="J1631">
        <f t="shared" si="154"/>
        <v>0</v>
      </c>
      <c r="K1631">
        <f t="shared" si="155"/>
        <v>0</v>
      </c>
    </row>
    <row r="1632" spans="1:11" x14ac:dyDescent="0.4">
      <c r="A1632" s="19">
        <v>45902.666666666664</v>
      </c>
      <c r="B1632" s="20">
        <f t="shared" si="151"/>
        <v>0.66666666666424135</v>
      </c>
      <c r="C1632">
        <v>0</v>
      </c>
      <c r="D1632">
        <v>489.67500000000001</v>
      </c>
      <c r="E1632">
        <f t="shared" si="156"/>
        <v>489.52000000000004</v>
      </c>
      <c r="F1632">
        <v>489.54500000000002</v>
      </c>
      <c r="G1632">
        <f t="shared" si="152"/>
        <v>0</v>
      </c>
      <c r="H1632">
        <v>1.82</v>
      </c>
      <c r="I1632">
        <f t="shared" si="153"/>
        <v>0</v>
      </c>
      <c r="J1632">
        <f t="shared" si="154"/>
        <v>0</v>
      </c>
      <c r="K1632">
        <f t="shared" si="155"/>
        <v>0</v>
      </c>
    </row>
    <row r="1633" spans="1:11" x14ac:dyDescent="0.4">
      <c r="A1633" s="19">
        <v>45902.708333333336</v>
      </c>
      <c r="B1633" s="20">
        <f t="shared" si="151"/>
        <v>0.70833333333575865</v>
      </c>
      <c r="C1633">
        <v>0.2</v>
      </c>
      <c r="D1633">
        <v>489.67500000000001</v>
      </c>
      <c r="E1633">
        <f t="shared" si="156"/>
        <v>489.52000000000004</v>
      </c>
      <c r="F1633">
        <v>489.54500000000002</v>
      </c>
      <c r="G1633">
        <f t="shared" si="152"/>
        <v>0</v>
      </c>
      <c r="H1633">
        <v>1.82</v>
      </c>
      <c r="I1633">
        <f t="shared" si="153"/>
        <v>0</v>
      </c>
      <c r="J1633">
        <f t="shared" si="154"/>
        <v>0</v>
      </c>
      <c r="K1633">
        <f t="shared" si="155"/>
        <v>0</v>
      </c>
    </row>
    <row r="1634" spans="1:11" x14ac:dyDescent="0.4">
      <c r="A1634" s="19">
        <v>45902.75</v>
      </c>
      <c r="B1634" s="20">
        <f t="shared" si="151"/>
        <v>0.75</v>
      </c>
      <c r="C1634">
        <v>0</v>
      </c>
      <c r="D1634">
        <v>489.67500000000001</v>
      </c>
      <c r="E1634">
        <f t="shared" si="156"/>
        <v>489.52000000000004</v>
      </c>
      <c r="F1634">
        <v>489.54500000000002</v>
      </c>
      <c r="G1634">
        <f t="shared" si="152"/>
        <v>0</v>
      </c>
      <c r="H1634">
        <v>1.82</v>
      </c>
      <c r="I1634">
        <f t="shared" si="153"/>
        <v>0</v>
      </c>
      <c r="J1634">
        <f t="shared" si="154"/>
        <v>0</v>
      </c>
      <c r="K1634">
        <f t="shared" si="155"/>
        <v>0</v>
      </c>
    </row>
    <row r="1635" spans="1:11" x14ac:dyDescent="0.4">
      <c r="A1635" s="19">
        <v>45902.791666666664</v>
      </c>
      <c r="B1635" s="20">
        <f t="shared" si="151"/>
        <v>0.79166666666424135</v>
      </c>
      <c r="C1635">
        <v>0</v>
      </c>
      <c r="D1635">
        <v>489.67500000000001</v>
      </c>
      <c r="E1635">
        <f t="shared" si="156"/>
        <v>489.52000000000004</v>
      </c>
      <c r="F1635">
        <v>489.54500000000002</v>
      </c>
      <c r="G1635">
        <f t="shared" si="152"/>
        <v>0</v>
      </c>
      <c r="H1635">
        <v>1.82</v>
      </c>
      <c r="I1635">
        <f t="shared" si="153"/>
        <v>0</v>
      </c>
      <c r="J1635">
        <f t="shared" si="154"/>
        <v>0</v>
      </c>
      <c r="K1635">
        <f t="shared" si="155"/>
        <v>0</v>
      </c>
    </row>
    <row r="1636" spans="1:11" x14ac:dyDescent="0.4">
      <c r="A1636" s="19">
        <v>45902.833333333336</v>
      </c>
      <c r="B1636" s="20">
        <f t="shared" si="151"/>
        <v>0.83333333333575865</v>
      </c>
      <c r="C1636">
        <v>0</v>
      </c>
      <c r="D1636">
        <v>489.67500000000001</v>
      </c>
      <c r="E1636">
        <f t="shared" si="156"/>
        <v>489.52000000000004</v>
      </c>
      <c r="F1636">
        <v>489.54500000000002</v>
      </c>
      <c r="G1636">
        <f t="shared" si="152"/>
        <v>0</v>
      </c>
      <c r="H1636">
        <v>1.82</v>
      </c>
      <c r="I1636">
        <f t="shared" si="153"/>
        <v>0</v>
      </c>
      <c r="J1636">
        <f t="shared" si="154"/>
        <v>0</v>
      </c>
      <c r="K1636">
        <f t="shared" si="155"/>
        <v>0</v>
      </c>
    </row>
    <row r="1637" spans="1:11" x14ac:dyDescent="0.4">
      <c r="A1637" s="19">
        <v>45902.875</v>
      </c>
      <c r="B1637" s="20">
        <f t="shared" si="151"/>
        <v>0.875</v>
      </c>
      <c r="C1637">
        <v>0</v>
      </c>
      <c r="D1637">
        <v>489.67500000000001</v>
      </c>
      <c r="E1637">
        <f t="shared" si="156"/>
        <v>489.52000000000004</v>
      </c>
      <c r="F1637">
        <v>489.54500000000002</v>
      </c>
      <c r="G1637">
        <f t="shared" si="152"/>
        <v>0</v>
      </c>
      <c r="H1637">
        <v>1.82</v>
      </c>
      <c r="I1637">
        <f t="shared" si="153"/>
        <v>0</v>
      </c>
      <c r="J1637">
        <f t="shared" si="154"/>
        <v>0</v>
      </c>
      <c r="K1637">
        <f t="shared" si="155"/>
        <v>0</v>
      </c>
    </row>
    <row r="1638" spans="1:11" x14ac:dyDescent="0.4">
      <c r="A1638" s="19">
        <v>45902.916666666664</v>
      </c>
      <c r="B1638" s="20">
        <f t="shared" si="151"/>
        <v>0.91666666666424135</v>
      </c>
      <c r="C1638">
        <v>0</v>
      </c>
      <c r="D1638">
        <v>489.67500000000001</v>
      </c>
      <c r="E1638">
        <f t="shared" si="156"/>
        <v>489.52000000000004</v>
      </c>
      <c r="F1638">
        <v>489.54500000000002</v>
      </c>
      <c r="G1638">
        <f t="shared" si="152"/>
        <v>0</v>
      </c>
      <c r="H1638">
        <v>1.82</v>
      </c>
      <c r="I1638">
        <f t="shared" si="153"/>
        <v>0</v>
      </c>
      <c r="J1638">
        <f t="shared" si="154"/>
        <v>0</v>
      </c>
      <c r="K1638">
        <f t="shared" si="155"/>
        <v>0</v>
      </c>
    </row>
    <row r="1639" spans="1:11" x14ac:dyDescent="0.4">
      <c r="A1639" s="19">
        <v>45902.958333333336</v>
      </c>
      <c r="B1639" s="20">
        <f t="shared" si="151"/>
        <v>0.95833333333575865</v>
      </c>
      <c r="C1639">
        <v>0</v>
      </c>
      <c r="D1639">
        <v>489.67500000000001</v>
      </c>
      <c r="E1639">
        <f t="shared" si="156"/>
        <v>489.52000000000004</v>
      </c>
      <c r="F1639">
        <v>489.54500000000002</v>
      </c>
      <c r="G1639">
        <f t="shared" si="152"/>
        <v>0</v>
      </c>
      <c r="H1639">
        <v>1.82</v>
      </c>
      <c r="I1639">
        <f t="shared" si="153"/>
        <v>0</v>
      </c>
      <c r="J1639">
        <f t="shared" si="154"/>
        <v>0</v>
      </c>
      <c r="K1639">
        <f t="shared" si="155"/>
        <v>0</v>
      </c>
    </row>
    <row r="1640" spans="1:11" x14ac:dyDescent="0.4">
      <c r="A1640" s="19">
        <v>45903</v>
      </c>
      <c r="B1640" s="20">
        <f t="shared" si="151"/>
        <v>0</v>
      </c>
      <c r="C1640">
        <v>0</v>
      </c>
      <c r="D1640">
        <v>489.67599999999999</v>
      </c>
      <c r="E1640">
        <f t="shared" si="156"/>
        <v>489.52100000000002</v>
      </c>
      <c r="F1640">
        <v>489.54500000000002</v>
      </c>
      <c r="G1640">
        <f t="shared" si="152"/>
        <v>0</v>
      </c>
      <c r="H1640">
        <v>1.82</v>
      </c>
      <c r="I1640">
        <f t="shared" si="153"/>
        <v>0</v>
      </c>
      <c r="J1640">
        <f t="shared" si="154"/>
        <v>0</v>
      </c>
      <c r="K1640">
        <f t="shared" si="155"/>
        <v>0</v>
      </c>
    </row>
    <row r="1641" spans="1:11" x14ac:dyDescent="0.4">
      <c r="A1641" s="19">
        <v>45903.041666666664</v>
      </c>
      <c r="B1641" s="20">
        <f t="shared" si="151"/>
        <v>4.1666666664241347E-2</v>
      </c>
      <c r="C1641">
        <v>0</v>
      </c>
      <c r="D1641">
        <v>489.67500000000001</v>
      </c>
      <c r="E1641">
        <f t="shared" si="156"/>
        <v>489.52000000000004</v>
      </c>
      <c r="F1641">
        <v>489.54500000000002</v>
      </c>
      <c r="G1641">
        <f t="shared" si="152"/>
        <v>0</v>
      </c>
      <c r="H1641">
        <v>1.82</v>
      </c>
      <c r="I1641">
        <f t="shared" si="153"/>
        <v>0</v>
      </c>
      <c r="J1641">
        <f t="shared" si="154"/>
        <v>0</v>
      </c>
      <c r="K1641">
        <f t="shared" si="155"/>
        <v>0</v>
      </c>
    </row>
    <row r="1642" spans="1:11" x14ac:dyDescent="0.4">
      <c r="A1642" s="19">
        <v>45903.083333333336</v>
      </c>
      <c r="B1642" s="20">
        <f t="shared" si="151"/>
        <v>8.3333333335758653E-2</v>
      </c>
      <c r="C1642">
        <v>0</v>
      </c>
      <c r="D1642">
        <v>489.67599999999999</v>
      </c>
      <c r="E1642">
        <f t="shared" si="156"/>
        <v>489.52100000000002</v>
      </c>
      <c r="F1642">
        <v>489.54500000000002</v>
      </c>
      <c r="G1642">
        <f t="shared" si="152"/>
        <v>0</v>
      </c>
      <c r="H1642">
        <v>1.82</v>
      </c>
      <c r="I1642">
        <f t="shared" si="153"/>
        <v>0</v>
      </c>
      <c r="J1642">
        <f t="shared" si="154"/>
        <v>0</v>
      </c>
      <c r="K1642">
        <f t="shared" si="155"/>
        <v>0</v>
      </c>
    </row>
    <row r="1643" spans="1:11" x14ac:dyDescent="0.4">
      <c r="A1643" s="19">
        <v>45903.125</v>
      </c>
      <c r="B1643" s="20">
        <f t="shared" si="151"/>
        <v>0.125</v>
      </c>
      <c r="C1643">
        <v>0</v>
      </c>
      <c r="D1643">
        <v>489.67500000000001</v>
      </c>
      <c r="E1643">
        <f t="shared" si="156"/>
        <v>489.52000000000004</v>
      </c>
      <c r="F1643">
        <v>489.54500000000002</v>
      </c>
      <c r="G1643">
        <f t="shared" si="152"/>
        <v>0</v>
      </c>
      <c r="H1643">
        <v>1.82</v>
      </c>
      <c r="I1643">
        <f t="shared" si="153"/>
        <v>0</v>
      </c>
      <c r="J1643">
        <f t="shared" si="154"/>
        <v>0</v>
      </c>
      <c r="K1643">
        <f t="shared" si="155"/>
        <v>0</v>
      </c>
    </row>
    <row r="1644" spans="1:11" x14ac:dyDescent="0.4">
      <c r="A1644" s="19">
        <v>45903.166666666664</v>
      </c>
      <c r="B1644" s="20">
        <f t="shared" si="151"/>
        <v>0.16666666666424135</v>
      </c>
      <c r="C1644">
        <v>0</v>
      </c>
      <c r="D1644">
        <v>489.66899999999998</v>
      </c>
      <c r="E1644">
        <f t="shared" si="156"/>
        <v>489.51400000000001</v>
      </c>
      <c r="F1644">
        <v>489.54500000000002</v>
      </c>
      <c r="G1644">
        <f t="shared" si="152"/>
        <v>0</v>
      </c>
      <c r="H1644">
        <v>1.82</v>
      </c>
      <c r="I1644">
        <f t="shared" si="153"/>
        <v>0</v>
      </c>
      <c r="J1644">
        <f t="shared" si="154"/>
        <v>0</v>
      </c>
      <c r="K1644">
        <f t="shared" si="155"/>
        <v>0</v>
      </c>
    </row>
    <row r="1645" spans="1:11" x14ac:dyDescent="0.4">
      <c r="A1645" s="19">
        <v>45903.208333333336</v>
      </c>
      <c r="B1645" s="20">
        <f t="shared" si="151"/>
        <v>0.20833333333575865</v>
      </c>
      <c r="C1645">
        <v>0</v>
      </c>
      <c r="D1645">
        <v>489.67</v>
      </c>
      <c r="E1645">
        <f t="shared" si="156"/>
        <v>489.51500000000004</v>
      </c>
      <c r="F1645">
        <v>489.54500000000002</v>
      </c>
      <c r="G1645">
        <f t="shared" si="152"/>
        <v>0</v>
      </c>
      <c r="H1645">
        <v>1.82</v>
      </c>
      <c r="I1645">
        <f t="shared" si="153"/>
        <v>0</v>
      </c>
      <c r="J1645">
        <f t="shared" si="154"/>
        <v>0</v>
      </c>
      <c r="K1645">
        <f t="shared" si="155"/>
        <v>0</v>
      </c>
    </row>
    <row r="1646" spans="1:11" x14ac:dyDescent="0.4">
      <c r="A1646" s="19">
        <v>45903.25</v>
      </c>
      <c r="B1646" s="20">
        <f t="shared" si="151"/>
        <v>0.25</v>
      </c>
      <c r="C1646">
        <v>0</v>
      </c>
      <c r="D1646">
        <v>489.66899999999998</v>
      </c>
      <c r="E1646">
        <f t="shared" si="156"/>
        <v>489.51400000000001</v>
      </c>
      <c r="F1646">
        <v>489.54500000000002</v>
      </c>
      <c r="G1646">
        <f t="shared" si="152"/>
        <v>0</v>
      </c>
      <c r="H1646">
        <v>1.82</v>
      </c>
      <c r="I1646">
        <f t="shared" si="153"/>
        <v>0</v>
      </c>
      <c r="J1646">
        <f t="shared" si="154"/>
        <v>0</v>
      </c>
      <c r="K1646">
        <f t="shared" si="155"/>
        <v>0</v>
      </c>
    </row>
    <row r="1647" spans="1:11" x14ac:dyDescent="0.4">
      <c r="A1647" s="19">
        <v>45903.291666666664</v>
      </c>
      <c r="B1647" s="20">
        <f t="shared" si="151"/>
        <v>0.29166666666424135</v>
      </c>
      <c r="C1647">
        <v>0</v>
      </c>
      <c r="D1647">
        <v>489.67</v>
      </c>
      <c r="E1647">
        <f t="shared" si="156"/>
        <v>489.51500000000004</v>
      </c>
      <c r="F1647">
        <v>489.54500000000002</v>
      </c>
      <c r="G1647">
        <f t="shared" si="152"/>
        <v>0</v>
      </c>
      <c r="H1647">
        <v>1.82</v>
      </c>
      <c r="I1647">
        <f t="shared" si="153"/>
        <v>0</v>
      </c>
      <c r="J1647">
        <f t="shared" si="154"/>
        <v>0</v>
      </c>
      <c r="K1647">
        <f t="shared" si="155"/>
        <v>0</v>
      </c>
    </row>
    <row r="1648" spans="1:11" x14ac:dyDescent="0.4">
      <c r="A1648" s="19">
        <v>45903.333333333336</v>
      </c>
      <c r="B1648" s="20">
        <f t="shared" si="151"/>
        <v>0.33333333333575865</v>
      </c>
      <c r="C1648">
        <v>0</v>
      </c>
      <c r="D1648">
        <v>489.66899999999998</v>
      </c>
      <c r="E1648">
        <f t="shared" si="156"/>
        <v>489.51400000000001</v>
      </c>
      <c r="F1648">
        <v>489.54500000000002</v>
      </c>
      <c r="G1648">
        <f t="shared" si="152"/>
        <v>0</v>
      </c>
      <c r="H1648">
        <v>1.82</v>
      </c>
      <c r="I1648">
        <f t="shared" si="153"/>
        <v>0</v>
      </c>
      <c r="J1648">
        <f t="shared" si="154"/>
        <v>0</v>
      </c>
      <c r="K1648">
        <f t="shared" si="155"/>
        <v>0</v>
      </c>
    </row>
    <row r="1649" spans="1:11" x14ac:dyDescent="0.4">
      <c r="A1649" s="19">
        <v>45903.375</v>
      </c>
      <c r="B1649" s="20">
        <f t="shared" si="151"/>
        <v>0.375</v>
      </c>
      <c r="C1649">
        <v>0</v>
      </c>
      <c r="D1649">
        <v>489.67500000000001</v>
      </c>
      <c r="E1649">
        <f t="shared" si="156"/>
        <v>489.52000000000004</v>
      </c>
      <c r="F1649">
        <v>489.54500000000002</v>
      </c>
      <c r="G1649">
        <f t="shared" si="152"/>
        <v>0</v>
      </c>
      <c r="H1649">
        <v>1.82</v>
      </c>
      <c r="I1649">
        <f t="shared" si="153"/>
        <v>0</v>
      </c>
      <c r="J1649">
        <f t="shared" si="154"/>
        <v>0</v>
      </c>
      <c r="K1649">
        <f t="shared" si="155"/>
        <v>0</v>
      </c>
    </row>
    <row r="1650" spans="1:11" x14ac:dyDescent="0.4">
      <c r="A1650" s="19">
        <v>45903.416666666664</v>
      </c>
      <c r="B1650" s="20">
        <f t="shared" si="151"/>
        <v>0.41666666666424135</v>
      </c>
      <c r="C1650">
        <v>0</v>
      </c>
      <c r="D1650">
        <v>489.66899999999998</v>
      </c>
      <c r="E1650">
        <f t="shared" si="156"/>
        <v>489.51400000000001</v>
      </c>
      <c r="F1650">
        <v>489.54500000000002</v>
      </c>
      <c r="G1650">
        <f t="shared" si="152"/>
        <v>0</v>
      </c>
      <c r="H1650">
        <v>1.82</v>
      </c>
      <c r="I1650">
        <f t="shared" si="153"/>
        <v>0</v>
      </c>
      <c r="J1650">
        <f t="shared" si="154"/>
        <v>0</v>
      </c>
      <c r="K1650">
        <f t="shared" si="155"/>
        <v>0</v>
      </c>
    </row>
    <row r="1651" spans="1:11" x14ac:dyDescent="0.4">
      <c r="A1651" s="19">
        <v>45903.458333333336</v>
      </c>
      <c r="B1651" s="20">
        <f t="shared" si="151"/>
        <v>0.45833333333575865</v>
      </c>
      <c r="C1651">
        <v>0</v>
      </c>
      <c r="D1651">
        <v>489.66800000000001</v>
      </c>
      <c r="E1651">
        <f t="shared" si="156"/>
        <v>489.51300000000003</v>
      </c>
      <c r="F1651">
        <v>489.54500000000002</v>
      </c>
      <c r="G1651">
        <f t="shared" si="152"/>
        <v>0</v>
      </c>
      <c r="H1651">
        <v>1.82</v>
      </c>
      <c r="I1651">
        <f t="shared" si="153"/>
        <v>0</v>
      </c>
      <c r="J1651">
        <f t="shared" si="154"/>
        <v>0</v>
      </c>
      <c r="K1651">
        <f t="shared" si="155"/>
        <v>0</v>
      </c>
    </row>
    <row r="1652" spans="1:11" x14ac:dyDescent="0.4">
      <c r="A1652" s="19">
        <v>45903.5</v>
      </c>
      <c r="B1652" s="20">
        <f t="shared" si="151"/>
        <v>0.5</v>
      </c>
      <c r="C1652">
        <v>0</v>
      </c>
      <c r="D1652">
        <v>489.67500000000001</v>
      </c>
      <c r="E1652">
        <f t="shared" si="156"/>
        <v>489.52000000000004</v>
      </c>
      <c r="F1652">
        <v>489.54500000000002</v>
      </c>
      <c r="G1652">
        <f t="shared" si="152"/>
        <v>0</v>
      </c>
      <c r="H1652">
        <v>1.82</v>
      </c>
      <c r="I1652">
        <f t="shared" si="153"/>
        <v>0</v>
      </c>
      <c r="J1652">
        <f t="shared" si="154"/>
        <v>0</v>
      </c>
      <c r="K1652">
        <f t="shared" si="155"/>
        <v>0</v>
      </c>
    </row>
    <row r="1653" spans="1:11" x14ac:dyDescent="0.4">
      <c r="A1653" s="19">
        <v>45903.541666666664</v>
      </c>
      <c r="B1653" s="20">
        <f t="shared" si="151"/>
        <v>0.54166666666424135</v>
      </c>
      <c r="C1653">
        <v>0</v>
      </c>
      <c r="D1653">
        <v>489.66899999999998</v>
      </c>
      <c r="E1653">
        <f t="shared" si="156"/>
        <v>489.51400000000001</v>
      </c>
      <c r="F1653">
        <v>489.54500000000002</v>
      </c>
      <c r="G1653">
        <f t="shared" si="152"/>
        <v>0</v>
      </c>
      <c r="H1653">
        <v>1.82</v>
      </c>
      <c r="I1653">
        <f t="shared" si="153"/>
        <v>0</v>
      </c>
      <c r="J1653">
        <f t="shared" si="154"/>
        <v>0</v>
      </c>
      <c r="K1653">
        <f t="shared" si="155"/>
        <v>0</v>
      </c>
    </row>
    <row r="1654" spans="1:11" x14ac:dyDescent="0.4">
      <c r="A1654" s="19">
        <v>45903.583333333336</v>
      </c>
      <c r="B1654" s="20">
        <f t="shared" si="151"/>
        <v>0.58333333333575865</v>
      </c>
      <c r="C1654">
        <v>0</v>
      </c>
      <c r="D1654">
        <v>489.66800000000001</v>
      </c>
      <c r="E1654">
        <f t="shared" si="156"/>
        <v>489.51300000000003</v>
      </c>
      <c r="F1654">
        <v>489.54500000000002</v>
      </c>
      <c r="G1654">
        <f t="shared" si="152"/>
        <v>0</v>
      </c>
      <c r="H1654">
        <v>1.82</v>
      </c>
      <c r="I1654">
        <f t="shared" si="153"/>
        <v>0</v>
      </c>
      <c r="J1654">
        <f t="shared" si="154"/>
        <v>0</v>
      </c>
      <c r="K1654">
        <f t="shared" si="155"/>
        <v>0</v>
      </c>
    </row>
    <row r="1655" spans="1:11" x14ac:dyDescent="0.4">
      <c r="A1655" s="19">
        <v>45903.625</v>
      </c>
      <c r="B1655" s="20">
        <f t="shared" si="151"/>
        <v>0.625</v>
      </c>
      <c r="C1655">
        <v>0</v>
      </c>
      <c r="D1655">
        <v>489.66899999999998</v>
      </c>
      <c r="E1655">
        <f t="shared" si="156"/>
        <v>489.51400000000001</v>
      </c>
      <c r="F1655">
        <v>489.54500000000002</v>
      </c>
      <c r="G1655">
        <f t="shared" si="152"/>
        <v>0</v>
      </c>
      <c r="H1655">
        <v>1.82</v>
      </c>
      <c r="I1655">
        <f t="shared" si="153"/>
        <v>0</v>
      </c>
      <c r="J1655">
        <f t="shared" si="154"/>
        <v>0</v>
      </c>
      <c r="K1655">
        <f t="shared" si="155"/>
        <v>0</v>
      </c>
    </row>
    <row r="1656" spans="1:11" x14ac:dyDescent="0.4">
      <c r="A1656" s="19">
        <v>45903.666666666664</v>
      </c>
      <c r="B1656" s="20">
        <f t="shared" si="151"/>
        <v>0.66666666666424135</v>
      </c>
      <c r="C1656">
        <v>0</v>
      </c>
      <c r="D1656">
        <v>489.66199999999998</v>
      </c>
      <c r="E1656">
        <f t="shared" si="156"/>
        <v>489.50700000000001</v>
      </c>
      <c r="F1656">
        <v>489.54500000000002</v>
      </c>
      <c r="G1656">
        <f t="shared" si="152"/>
        <v>0</v>
      </c>
      <c r="H1656">
        <v>1.82</v>
      </c>
      <c r="I1656">
        <f t="shared" si="153"/>
        <v>0</v>
      </c>
      <c r="J1656">
        <f t="shared" si="154"/>
        <v>0</v>
      </c>
      <c r="K1656">
        <f t="shared" si="155"/>
        <v>0</v>
      </c>
    </row>
    <row r="1657" spans="1:11" x14ac:dyDescent="0.4">
      <c r="A1657" s="19">
        <v>45903.708333333336</v>
      </c>
      <c r="B1657" s="20">
        <f t="shared" si="151"/>
        <v>0.70833333333575865</v>
      </c>
      <c r="C1657">
        <v>0</v>
      </c>
      <c r="D1657">
        <v>489.66199999999998</v>
      </c>
      <c r="E1657">
        <f t="shared" si="156"/>
        <v>489.50700000000001</v>
      </c>
      <c r="F1657">
        <v>489.54500000000002</v>
      </c>
      <c r="G1657">
        <f t="shared" si="152"/>
        <v>0</v>
      </c>
      <c r="H1657">
        <v>1.82</v>
      </c>
      <c r="I1657">
        <f t="shared" si="153"/>
        <v>0</v>
      </c>
      <c r="J1657">
        <f t="shared" si="154"/>
        <v>0</v>
      </c>
      <c r="K1657">
        <f t="shared" si="155"/>
        <v>0</v>
      </c>
    </row>
    <row r="1658" spans="1:11" x14ac:dyDescent="0.4">
      <c r="A1658" s="19">
        <v>45903.75</v>
      </c>
      <c r="B1658" s="20">
        <f t="shared" si="151"/>
        <v>0.75</v>
      </c>
      <c r="C1658">
        <v>0</v>
      </c>
      <c r="D1658">
        <v>489.66300000000001</v>
      </c>
      <c r="E1658">
        <f t="shared" si="156"/>
        <v>489.50800000000004</v>
      </c>
      <c r="F1658">
        <v>489.54500000000002</v>
      </c>
      <c r="G1658">
        <f t="shared" si="152"/>
        <v>0</v>
      </c>
      <c r="H1658">
        <v>1.82</v>
      </c>
      <c r="I1658">
        <f t="shared" si="153"/>
        <v>0</v>
      </c>
      <c r="J1658">
        <f t="shared" si="154"/>
        <v>0</v>
      </c>
      <c r="K1658">
        <f t="shared" si="155"/>
        <v>0</v>
      </c>
    </row>
    <row r="1659" spans="1:11" x14ac:dyDescent="0.4">
      <c r="A1659" s="19">
        <v>45903.791666666664</v>
      </c>
      <c r="B1659" s="20">
        <f t="shared" si="151"/>
        <v>0.79166666666424135</v>
      </c>
      <c r="C1659">
        <v>0</v>
      </c>
      <c r="D1659">
        <v>489.66300000000001</v>
      </c>
      <c r="E1659">
        <f t="shared" si="156"/>
        <v>489.50800000000004</v>
      </c>
      <c r="F1659">
        <v>489.54500000000002</v>
      </c>
      <c r="G1659">
        <f t="shared" si="152"/>
        <v>0</v>
      </c>
      <c r="H1659">
        <v>1.82</v>
      </c>
      <c r="I1659">
        <f t="shared" si="153"/>
        <v>0</v>
      </c>
      <c r="J1659">
        <f t="shared" si="154"/>
        <v>0</v>
      </c>
      <c r="K1659">
        <f t="shared" si="155"/>
        <v>0</v>
      </c>
    </row>
    <row r="1660" spans="1:11" x14ac:dyDescent="0.4">
      <c r="A1660" s="19">
        <v>45903.833333333336</v>
      </c>
      <c r="B1660" s="20">
        <f t="shared" si="151"/>
        <v>0.83333333333575865</v>
      </c>
      <c r="C1660">
        <v>0</v>
      </c>
      <c r="D1660">
        <v>489.65600000000001</v>
      </c>
      <c r="E1660">
        <f t="shared" si="156"/>
        <v>489.50100000000003</v>
      </c>
      <c r="F1660">
        <v>489.54500000000002</v>
      </c>
      <c r="G1660">
        <f t="shared" si="152"/>
        <v>0</v>
      </c>
      <c r="H1660">
        <v>1.82</v>
      </c>
      <c r="I1660">
        <f t="shared" si="153"/>
        <v>0</v>
      </c>
      <c r="J1660">
        <f t="shared" si="154"/>
        <v>0</v>
      </c>
      <c r="K1660">
        <f t="shared" si="155"/>
        <v>0</v>
      </c>
    </row>
    <row r="1661" spans="1:11" x14ac:dyDescent="0.4">
      <c r="A1661" s="19">
        <v>45903.875</v>
      </c>
      <c r="B1661" s="20">
        <f t="shared" si="151"/>
        <v>0.875</v>
      </c>
      <c r="C1661">
        <v>0</v>
      </c>
      <c r="D1661">
        <v>489.65600000000001</v>
      </c>
      <c r="E1661">
        <f t="shared" si="156"/>
        <v>489.50100000000003</v>
      </c>
      <c r="F1661">
        <v>489.54500000000002</v>
      </c>
      <c r="G1661">
        <f t="shared" si="152"/>
        <v>0</v>
      </c>
      <c r="H1661">
        <v>1.82</v>
      </c>
      <c r="I1661">
        <f t="shared" si="153"/>
        <v>0</v>
      </c>
      <c r="J1661">
        <f t="shared" si="154"/>
        <v>0</v>
      </c>
      <c r="K1661">
        <f t="shared" si="155"/>
        <v>0</v>
      </c>
    </row>
    <row r="1662" spans="1:11" x14ac:dyDescent="0.4">
      <c r="A1662" s="19">
        <v>45903.916666666664</v>
      </c>
      <c r="B1662" s="20">
        <f t="shared" si="151"/>
        <v>0.91666666666424135</v>
      </c>
      <c r="C1662">
        <v>0</v>
      </c>
      <c r="D1662">
        <v>489.65600000000001</v>
      </c>
      <c r="E1662">
        <f t="shared" si="156"/>
        <v>489.50100000000003</v>
      </c>
      <c r="F1662">
        <v>489.54500000000002</v>
      </c>
      <c r="G1662">
        <f t="shared" si="152"/>
        <v>0</v>
      </c>
      <c r="H1662">
        <v>1.82</v>
      </c>
      <c r="I1662">
        <f t="shared" si="153"/>
        <v>0</v>
      </c>
      <c r="J1662">
        <f t="shared" si="154"/>
        <v>0</v>
      </c>
      <c r="K1662">
        <f t="shared" si="155"/>
        <v>0</v>
      </c>
    </row>
    <row r="1663" spans="1:11" x14ac:dyDescent="0.4">
      <c r="A1663" s="19">
        <v>45903.958333333336</v>
      </c>
      <c r="B1663" s="20">
        <f t="shared" si="151"/>
        <v>0.95833333333575865</v>
      </c>
      <c r="C1663">
        <v>0</v>
      </c>
      <c r="D1663">
        <v>489.65600000000001</v>
      </c>
      <c r="E1663">
        <f t="shared" si="156"/>
        <v>489.50100000000003</v>
      </c>
      <c r="F1663">
        <v>489.54500000000002</v>
      </c>
      <c r="G1663">
        <f t="shared" si="152"/>
        <v>0</v>
      </c>
      <c r="H1663">
        <v>1.82</v>
      </c>
      <c r="I1663">
        <f t="shared" si="153"/>
        <v>0</v>
      </c>
      <c r="J1663">
        <f t="shared" si="154"/>
        <v>0</v>
      </c>
      <c r="K1663">
        <f t="shared" si="155"/>
        <v>0</v>
      </c>
    </row>
    <row r="1664" spans="1:11" x14ac:dyDescent="0.4">
      <c r="A1664" s="19">
        <v>45904</v>
      </c>
      <c r="B1664" s="20">
        <f t="shared" si="151"/>
        <v>0</v>
      </c>
      <c r="C1664">
        <v>0</v>
      </c>
      <c r="D1664">
        <v>489.65699999999998</v>
      </c>
      <c r="E1664">
        <f t="shared" si="156"/>
        <v>489.50200000000001</v>
      </c>
      <c r="F1664">
        <v>489.54500000000002</v>
      </c>
      <c r="G1664">
        <f t="shared" si="152"/>
        <v>0</v>
      </c>
      <c r="H1664">
        <v>1.82</v>
      </c>
      <c r="I1664">
        <f t="shared" si="153"/>
        <v>0</v>
      </c>
      <c r="J1664">
        <f t="shared" si="154"/>
        <v>0</v>
      </c>
      <c r="K1664">
        <f t="shared" si="155"/>
        <v>0</v>
      </c>
    </row>
    <row r="1665" spans="1:11" x14ac:dyDescent="0.4">
      <c r="A1665" s="19">
        <v>45904.041666666664</v>
      </c>
      <c r="B1665" s="20">
        <f t="shared" si="151"/>
        <v>4.1666666664241347E-2</v>
      </c>
      <c r="C1665">
        <v>0</v>
      </c>
      <c r="D1665">
        <v>489.649</v>
      </c>
      <c r="E1665">
        <f t="shared" si="156"/>
        <v>489.49400000000003</v>
      </c>
      <c r="F1665">
        <v>489.54500000000002</v>
      </c>
      <c r="G1665">
        <f t="shared" si="152"/>
        <v>0</v>
      </c>
      <c r="H1665">
        <v>1.82</v>
      </c>
      <c r="I1665">
        <f t="shared" si="153"/>
        <v>0</v>
      </c>
      <c r="J1665">
        <f t="shared" si="154"/>
        <v>0</v>
      </c>
      <c r="K1665">
        <f t="shared" si="155"/>
        <v>0</v>
      </c>
    </row>
    <row r="1666" spans="1:11" x14ac:dyDescent="0.4">
      <c r="A1666" s="19">
        <v>45904.083333333336</v>
      </c>
      <c r="B1666" s="20">
        <f t="shared" si="151"/>
        <v>8.3333333335758653E-2</v>
      </c>
      <c r="C1666">
        <v>0</v>
      </c>
      <c r="D1666">
        <v>489.649</v>
      </c>
      <c r="E1666">
        <f t="shared" si="156"/>
        <v>489.49400000000003</v>
      </c>
      <c r="F1666">
        <v>489.54500000000002</v>
      </c>
      <c r="G1666">
        <f t="shared" si="152"/>
        <v>0</v>
      </c>
      <c r="H1666">
        <v>1.82</v>
      </c>
      <c r="I1666">
        <f t="shared" si="153"/>
        <v>0</v>
      </c>
      <c r="J1666">
        <f t="shared" si="154"/>
        <v>0</v>
      </c>
      <c r="K1666">
        <f t="shared" si="155"/>
        <v>0</v>
      </c>
    </row>
    <row r="1667" spans="1:11" x14ac:dyDescent="0.4">
      <c r="A1667" s="19">
        <v>45904.125</v>
      </c>
      <c r="B1667" s="20">
        <f t="shared" ref="B1667:B1730" si="157">MOD(A1667,1)</f>
        <v>0.125</v>
      </c>
      <c r="C1667">
        <v>0</v>
      </c>
      <c r="D1667">
        <v>489.649</v>
      </c>
      <c r="E1667">
        <f t="shared" si="156"/>
        <v>489.49400000000003</v>
      </c>
      <c r="F1667">
        <v>489.54500000000002</v>
      </c>
      <c r="G1667">
        <f t="shared" ref="G1667:G1730" si="158">IF(E1667 - F1667 &lt; 0, 0, E1667 - F1667)</f>
        <v>0</v>
      </c>
      <c r="H1667">
        <v>1.82</v>
      </c>
      <c r="I1667">
        <f t="shared" ref="I1667:I1730" si="159">1.82*30*(G1667^1.5)</f>
        <v>0</v>
      </c>
      <c r="J1667">
        <f t="shared" ref="J1667:J1730" si="160">I1667*60</f>
        <v>0</v>
      </c>
      <c r="K1667">
        <f t="shared" ref="K1667:K1730" si="161">(I1667*86400)/24</f>
        <v>0</v>
      </c>
    </row>
    <row r="1668" spans="1:11" x14ac:dyDescent="0.4">
      <c r="A1668" s="19">
        <v>45904.166666666664</v>
      </c>
      <c r="B1668" s="20">
        <f t="shared" si="157"/>
        <v>0.16666666666424135</v>
      </c>
      <c r="C1668">
        <v>0</v>
      </c>
      <c r="D1668">
        <v>489.65</v>
      </c>
      <c r="E1668">
        <f t="shared" si="156"/>
        <v>489.495</v>
      </c>
      <c r="F1668">
        <v>489.54500000000002</v>
      </c>
      <c r="G1668">
        <f t="shared" si="158"/>
        <v>0</v>
      </c>
      <c r="H1668">
        <v>1.82</v>
      </c>
      <c r="I1668">
        <f t="shared" si="159"/>
        <v>0</v>
      </c>
      <c r="J1668">
        <f t="shared" si="160"/>
        <v>0</v>
      </c>
      <c r="K1668">
        <f t="shared" si="161"/>
        <v>0</v>
      </c>
    </row>
    <row r="1669" spans="1:11" x14ac:dyDescent="0.4">
      <c r="A1669" s="19">
        <v>45904.208333333336</v>
      </c>
      <c r="B1669" s="20">
        <f t="shared" si="157"/>
        <v>0.20833333333575865</v>
      </c>
      <c r="C1669">
        <v>0</v>
      </c>
      <c r="D1669">
        <v>489.65</v>
      </c>
      <c r="E1669">
        <f t="shared" si="156"/>
        <v>489.495</v>
      </c>
      <c r="F1669">
        <v>489.54500000000002</v>
      </c>
      <c r="G1669">
        <f t="shared" si="158"/>
        <v>0</v>
      </c>
      <c r="H1669">
        <v>1.82</v>
      </c>
      <c r="I1669">
        <f t="shared" si="159"/>
        <v>0</v>
      </c>
      <c r="J1669">
        <f t="shared" si="160"/>
        <v>0</v>
      </c>
      <c r="K1669">
        <f t="shared" si="161"/>
        <v>0</v>
      </c>
    </row>
    <row r="1670" spans="1:11" x14ac:dyDescent="0.4">
      <c r="A1670" s="19">
        <v>45904.25</v>
      </c>
      <c r="B1670" s="20">
        <f t="shared" si="157"/>
        <v>0.25</v>
      </c>
      <c r="C1670">
        <v>0</v>
      </c>
      <c r="D1670">
        <v>489.65</v>
      </c>
      <c r="E1670">
        <f t="shared" si="156"/>
        <v>489.495</v>
      </c>
      <c r="F1670">
        <v>489.54500000000002</v>
      </c>
      <c r="G1670">
        <f t="shared" si="158"/>
        <v>0</v>
      </c>
      <c r="H1670">
        <v>1.82</v>
      </c>
      <c r="I1670">
        <f t="shared" si="159"/>
        <v>0</v>
      </c>
      <c r="J1670">
        <f t="shared" si="160"/>
        <v>0</v>
      </c>
      <c r="K1670">
        <f t="shared" si="161"/>
        <v>0</v>
      </c>
    </row>
    <row r="1671" spans="1:11" x14ac:dyDescent="0.4">
      <c r="A1671" s="19">
        <v>45904.291666666664</v>
      </c>
      <c r="B1671" s="20">
        <f t="shared" si="157"/>
        <v>0.29166666666424135</v>
      </c>
      <c r="C1671">
        <v>0</v>
      </c>
      <c r="D1671">
        <v>489.64299999999997</v>
      </c>
      <c r="E1671">
        <f t="shared" si="156"/>
        <v>489.488</v>
      </c>
      <c r="F1671">
        <v>489.54500000000002</v>
      </c>
      <c r="G1671">
        <f t="shared" si="158"/>
        <v>0</v>
      </c>
      <c r="H1671">
        <v>1.82</v>
      </c>
      <c r="I1671">
        <f t="shared" si="159"/>
        <v>0</v>
      </c>
      <c r="J1671">
        <f t="shared" si="160"/>
        <v>0</v>
      </c>
      <c r="K1671">
        <f t="shared" si="161"/>
        <v>0</v>
      </c>
    </row>
    <row r="1672" spans="1:11" x14ac:dyDescent="0.4">
      <c r="A1672" s="19">
        <v>45904.333333333336</v>
      </c>
      <c r="B1672" s="20">
        <f t="shared" si="157"/>
        <v>0.33333333333575865</v>
      </c>
      <c r="C1672">
        <v>0</v>
      </c>
      <c r="D1672">
        <v>489.64800000000002</v>
      </c>
      <c r="E1672">
        <f t="shared" si="156"/>
        <v>489.49300000000005</v>
      </c>
      <c r="F1672">
        <v>489.54500000000002</v>
      </c>
      <c r="G1672">
        <f t="shared" si="158"/>
        <v>0</v>
      </c>
      <c r="H1672">
        <v>1.82</v>
      </c>
      <c r="I1672">
        <f t="shared" si="159"/>
        <v>0</v>
      </c>
      <c r="J1672">
        <f t="shared" si="160"/>
        <v>0</v>
      </c>
      <c r="K1672">
        <f t="shared" si="161"/>
        <v>0</v>
      </c>
    </row>
    <row r="1673" spans="1:11" x14ac:dyDescent="0.4">
      <c r="A1673" s="19">
        <v>45904.375</v>
      </c>
      <c r="B1673" s="20">
        <f t="shared" si="157"/>
        <v>0.375</v>
      </c>
      <c r="C1673">
        <v>0</v>
      </c>
      <c r="D1673">
        <v>489.64800000000002</v>
      </c>
      <c r="E1673">
        <f t="shared" si="156"/>
        <v>489.49300000000005</v>
      </c>
      <c r="F1673">
        <v>489.54500000000002</v>
      </c>
      <c r="G1673">
        <f t="shared" si="158"/>
        <v>0</v>
      </c>
      <c r="H1673">
        <v>1.82</v>
      </c>
      <c r="I1673">
        <f t="shared" si="159"/>
        <v>0</v>
      </c>
      <c r="J1673">
        <f t="shared" si="160"/>
        <v>0</v>
      </c>
      <c r="K1673">
        <f t="shared" si="161"/>
        <v>0</v>
      </c>
    </row>
    <row r="1674" spans="1:11" x14ac:dyDescent="0.4">
      <c r="A1674" s="19">
        <v>45904.416666666664</v>
      </c>
      <c r="B1674" s="20">
        <f t="shared" si="157"/>
        <v>0.41666666666424135</v>
      </c>
      <c r="C1674">
        <v>0</v>
      </c>
      <c r="D1674">
        <v>489.649</v>
      </c>
      <c r="E1674">
        <f t="shared" si="156"/>
        <v>489.49400000000003</v>
      </c>
      <c r="F1674">
        <v>489.54500000000002</v>
      </c>
      <c r="G1674">
        <f t="shared" si="158"/>
        <v>0</v>
      </c>
      <c r="H1674">
        <v>1.82</v>
      </c>
      <c r="I1674">
        <f t="shared" si="159"/>
        <v>0</v>
      </c>
      <c r="J1674">
        <f t="shared" si="160"/>
        <v>0</v>
      </c>
      <c r="K1674">
        <f t="shared" si="161"/>
        <v>0</v>
      </c>
    </row>
    <row r="1675" spans="1:11" x14ac:dyDescent="0.4">
      <c r="A1675" s="19">
        <v>45904.458333333336</v>
      </c>
      <c r="B1675" s="20">
        <f t="shared" si="157"/>
        <v>0.45833333333575865</v>
      </c>
      <c r="C1675">
        <v>0</v>
      </c>
      <c r="D1675">
        <v>489.642</v>
      </c>
      <c r="E1675">
        <f t="shared" si="156"/>
        <v>489.48700000000002</v>
      </c>
      <c r="F1675">
        <v>489.54500000000002</v>
      </c>
      <c r="G1675">
        <f t="shared" si="158"/>
        <v>0</v>
      </c>
      <c r="H1675">
        <v>1.82</v>
      </c>
      <c r="I1675">
        <f t="shared" si="159"/>
        <v>0</v>
      </c>
      <c r="J1675">
        <f t="shared" si="160"/>
        <v>0</v>
      </c>
      <c r="K1675">
        <f t="shared" si="161"/>
        <v>0</v>
      </c>
    </row>
    <row r="1676" spans="1:11" x14ac:dyDescent="0.4">
      <c r="A1676" s="19">
        <v>45904.5</v>
      </c>
      <c r="B1676" s="20">
        <f t="shared" si="157"/>
        <v>0.5</v>
      </c>
      <c r="C1676">
        <v>0</v>
      </c>
      <c r="D1676">
        <v>489.642</v>
      </c>
      <c r="E1676">
        <f t="shared" si="156"/>
        <v>489.48700000000002</v>
      </c>
      <c r="F1676">
        <v>489.54500000000002</v>
      </c>
      <c r="G1676">
        <f t="shared" si="158"/>
        <v>0</v>
      </c>
      <c r="H1676">
        <v>1.82</v>
      </c>
      <c r="I1676">
        <f t="shared" si="159"/>
        <v>0</v>
      </c>
      <c r="J1676">
        <f t="shared" si="160"/>
        <v>0</v>
      </c>
      <c r="K1676">
        <f t="shared" si="161"/>
        <v>0</v>
      </c>
    </row>
    <row r="1677" spans="1:11" x14ac:dyDescent="0.4">
      <c r="A1677" s="19">
        <v>45904.541666666664</v>
      </c>
      <c r="B1677" s="20">
        <f t="shared" si="157"/>
        <v>0.54166666666424135</v>
      </c>
      <c r="C1677">
        <v>0</v>
      </c>
      <c r="D1677">
        <v>489.642</v>
      </c>
      <c r="E1677">
        <f t="shared" si="156"/>
        <v>489.48700000000002</v>
      </c>
      <c r="F1677">
        <v>489.54500000000002</v>
      </c>
      <c r="G1677">
        <f t="shared" si="158"/>
        <v>0</v>
      </c>
      <c r="H1677">
        <v>1.82</v>
      </c>
      <c r="I1677">
        <f t="shared" si="159"/>
        <v>0</v>
      </c>
      <c r="J1677">
        <f t="shared" si="160"/>
        <v>0</v>
      </c>
      <c r="K1677">
        <f t="shared" si="161"/>
        <v>0</v>
      </c>
    </row>
    <row r="1678" spans="1:11" x14ac:dyDescent="0.4">
      <c r="A1678" s="19">
        <v>45904.583333333336</v>
      </c>
      <c r="B1678" s="20">
        <f t="shared" si="157"/>
        <v>0.58333333333575865</v>
      </c>
      <c r="C1678">
        <v>0</v>
      </c>
      <c r="D1678">
        <v>489.63499999999999</v>
      </c>
      <c r="E1678">
        <f t="shared" si="156"/>
        <v>489.48</v>
      </c>
      <c r="F1678">
        <v>489.54500000000002</v>
      </c>
      <c r="G1678">
        <f t="shared" si="158"/>
        <v>0</v>
      </c>
      <c r="H1678">
        <v>1.82</v>
      </c>
      <c r="I1678">
        <f t="shared" si="159"/>
        <v>0</v>
      </c>
      <c r="J1678">
        <f t="shared" si="160"/>
        <v>0</v>
      </c>
      <c r="K1678">
        <f t="shared" si="161"/>
        <v>0</v>
      </c>
    </row>
    <row r="1679" spans="1:11" x14ac:dyDescent="0.4">
      <c r="A1679" s="19">
        <v>45904.625</v>
      </c>
      <c r="B1679" s="20">
        <f t="shared" si="157"/>
        <v>0.625</v>
      </c>
      <c r="C1679">
        <v>0</v>
      </c>
      <c r="D1679">
        <v>489.642</v>
      </c>
      <c r="E1679">
        <f t="shared" si="156"/>
        <v>489.48700000000002</v>
      </c>
      <c r="F1679">
        <v>489.54500000000002</v>
      </c>
      <c r="G1679">
        <f t="shared" si="158"/>
        <v>0</v>
      </c>
      <c r="H1679">
        <v>1.82</v>
      </c>
      <c r="I1679">
        <f t="shared" si="159"/>
        <v>0</v>
      </c>
      <c r="J1679">
        <f t="shared" si="160"/>
        <v>0</v>
      </c>
      <c r="K1679">
        <f t="shared" si="161"/>
        <v>0</v>
      </c>
    </row>
    <row r="1680" spans="1:11" x14ac:dyDescent="0.4">
      <c r="A1680" s="19">
        <v>45904.666666666664</v>
      </c>
      <c r="B1680" s="20">
        <f t="shared" si="157"/>
        <v>0.66666666666424135</v>
      </c>
      <c r="C1680">
        <v>0</v>
      </c>
      <c r="D1680">
        <v>489.63600000000002</v>
      </c>
      <c r="E1680">
        <f t="shared" si="156"/>
        <v>489.48100000000005</v>
      </c>
      <c r="F1680">
        <v>489.54500000000002</v>
      </c>
      <c r="G1680">
        <f t="shared" si="158"/>
        <v>0</v>
      </c>
      <c r="H1680">
        <v>1.82</v>
      </c>
      <c r="I1680">
        <f t="shared" si="159"/>
        <v>0</v>
      </c>
      <c r="J1680">
        <f t="shared" si="160"/>
        <v>0</v>
      </c>
      <c r="K1680">
        <f t="shared" si="161"/>
        <v>0</v>
      </c>
    </row>
    <row r="1681" spans="1:11" x14ac:dyDescent="0.4">
      <c r="A1681" s="19">
        <v>45904.708333333336</v>
      </c>
      <c r="B1681" s="20">
        <f t="shared" si="157"/>
        <v>0.70833333333575865</v>
      </c>
      <c r="C1681">
        <v>0</v>
      </c>
      <c r="D1681">
        <v>489.63600000000002</v>
      </c>
      <c r="E1681">
        <f t="shared" si="156"/>
        <v>489.48100000000005</v>
      </c>
      <c r="F1681">
        <v>489.54500000000002</v>
      </c>
      <c r="G1681">
        <f t="shared" si="158"/>
        <v>0</v>
      </c>
      <c r="H1681">
        <v>1.82</v>
      </c>
      <c r="I1681">
        <f t="shared" si="159"/>
        <v>0</v>
      </c>
      <c r="J1681">
        <f t="shared" si="160"/>
        <v>0</v>
      </c>
      <c r="K1681">
        <f t="shared" si="161"/>
        <v>0</v>
      </c>
    </row>
    <row r="1682" spans="1:11" x14ac:dyDescent="0.4">
      <c r="A1682" s="19">
        <v>45904.75</v>
      </c>
      <c r="B1682" s="20">
        <f t="shared" si="157"/>
        <v>0.75</v>
      </c>
      <c r="C1682">
        <v>0</v>
      </c>
      <c r="D1682">
        <v>489.63600000000002</v>
      </c>
      <c r="E1682">
        <f t="shared" si="156"/>
        <v>489.48100000000005</v>
      </c>
      <c r="F1682">
        <v>489.54500000000002</v>
      </c>
      <c r="G1682">
        <f t="shared" si="158"/>
        <v>0</v>
      </c>
      <c r="H1682">
        <v>1.82</v>
      </c>
      <c r="I1682">
        <f t="shared" si="159"/>
        <v>0</v>
      </c>
      <c r="J1682">
        <f t="shared" si="160"/>
        <v>0</v>
      </c>
      <c r="K1682">
        <f t="shared" si="161"/>
        <v>0</v>
      </c>
    </row>
    <row r="1683" spans="1:11" x14ac:dyDescent="0.4">
      <c r="A1683" s="19">
        <v>45904.791666666664</v>
      </c>
      <c r="B1683" s="20">
        <f t="shared" si="157"/>
        <v>0.79166666666424135</v>
      </c>
      <c r="C1683">
        <v>0</v>
      </c>
      <c r="D1683">
        <v>489.62900000000002</v>
      </c>
      <c r="E1683">
        <f t="shared" ref="E1683:E1746" si="162">D1683-0.155</f>
        <v>489.47400000000005</v>
      </c>
      <c r="F1683">
        <v>489.54500000000002</v>
      </c>
      <c r="G1683">
        <f t="shared" si="158"/>
        <v>0</v>
      </c>
      <c r="H1683">
        <v>1.82</v>
      </c>
      <c r="I1683">
        <f t="shared" si="159"/>
        <v>0</v>
      </c>
      <c r="J1683">
        <f t="shared" si="160"/>
        <v>0</v>
      </c>
      <c r="K1683">
        <f t="shared" si="161"/>
        <v>0</v>
      </c>
    </row>
    <row r="1684" spans="1:11" x14ac:dyDescent="0.4">
      <c r="A1684" s="19">
        <v>45904.833333333336</v>
      </c>
      <c r="B1684" s="20">
        <f t="shared" si="157"/>
        <v>0.83333333333575865</v>
      </c>
      <c r="C1684">
        <v>0</v>
      </c>
      <c r="D1684">
        <v>489.62900000000002</v>
      </c>
      <c r="E1684">
        <f t="shared" si="162"/>
        <v>489.47400000000005</v>
      </c>
      <c r="F1684">
        <v>489.54500000000002</v>
      </c>
      <c r="G1684">
        <f t="shared" si="158"/>
        <v>0</v>
      </c>
      <c r="H1684">
        <v>1.82</v>
      </c>
      <c r="I1684">
        <f t="shared" si="159"/>
        <v>0</v>
      </c>
      <c r="J1684">
        <f t="shared" si="160"/>
        <v>0</v>
      </c>
      <c r="K1684">
        <f t="shared" si="161"/>
        <v>0</v>
      </c>
    </row>
    <row r="1685" spans="1:11" x14ac:dyDescent="0.4">
      <c r="A1685" s="19">
        <v>45904.875</v>
      </c>
      <c r="B1685" s="20">
        <f t="shared" si="157"/>
        <v>0.875</v>
      </c>
      <c r="C1685">
        <v>0</v>
      </c>
      <c r="D1685">
        <v>489.62900000000002</v>
      </c>
      <c r="E1685">
        <f t="shared" si="162"/>
        <v>489.47400000000005</v>
      </c>
      <c r="F1685">
        <v>489.54500000000002</v>
      </c>
      <c r="G1685">
        <f t="shared" si="158"/>
        <v>0</v>
      </c>
      <c r="H1685">
        <v>1.82</v>
      </c>
      <c r="I1685">
        <f t="shared" si="159"/>
        <v>0</v>
      </c>
      <c r="J1685">
        <f t="shared" si="160"/>
        <v>0</v>
      </c>
      <c r="K1685">
        <f t="shared" si="161"/>
        <v>0</v>
      </c>
    </row>
    <row r="1686" spans="1:11" x14ac:dyDescent="0.4">
      <c r="A1686" s="19">
        <v>45904.916666666664</v>
      </c>
      <c r="B1686" s="20">
        <f t="shared" si="157"/>
        <v>0.91666666666424135</v>
      </c>
      <c r="C1686">
        <v>0</v>
      </c>
      <c r="D1686">
        <v>489.62900000000002</v>
      </c>
      <c r="E1686">
        <f t="shared" si="162"/>
        <v>489.47400000000005</v>
      </c>
      <c r="F1686">
        <v>489.54500000000002</v>
      </c>
      <c r="G1686">
        <f t="shared" si="158"/>
        <v>0</v>
      </c>
      <c r="H1686">
        <v>1.82</v>
      </c>
      <c r="I1686">
        <f t="shared" si="159"/>
        <v>0</v>
      </c>
      <c r="J1686">
        <f t="shared" si="160"/>
        <v>0</v>
      </c>
      <c r="K1686">
        <f t="shared" si="161"/>
        <v>0</v>
      </c>
    </row>
    <row r="1687" spans="1:11" x14ac:dyDescent="0.4">
      <c r="A1687" s="19">
        <v>45904.958333333336</v>
      </c>
      <c r="B1687" s="20">
        <f t="shared" si="157"/>
        <v>0.95833333333575865</v>
      </c>
      <c r="C1687">
        <v>0</v>
      </c>
      <c r="D1687">
        <v>489.63</v>
      </c>
      <c r="E1687">
        <f t="shared" si="162"/>
        <v>489.47500000000002</v>
      </c>
      <c r="F1687">
        <v>489.54500000000002</v>
      </c>
      <c r="G1687">
        <f t="shared" si="158"/>
        <v>0</v>
      </c>
      <c r="H1687">
        <v>1.82</v>
      </c>
      <c r="I1687">
        <f t="shared" si="159"/>
        <v>0</v>
      </c>
      <c r="J1687">
        <f t="shared" si="160"/>
        <v>0</v>
      </c>
      <c r="K1687">
        <f t="shared" si="161"/>
        <v>0</v>
      </c>
    </row>
    <row r="1688" spans="1:11" x14ac:dyDescent="0.4">
      <c r="A1688" s="19">
        <v>45905</v>
      </c>
      <c r="B1688" s="20">
        <f t="shared" si="157"/>
        <v>0</v>
      </c>
      <c r="C1688">
        <v>0</v>
      </c>
      <c r="D1688">
        <v>489.62400000000002</v>
      </c>
      <c r="E1688">
        <f t="shared" si="162"/>
        <v>489.46900000000005</v>
      </c>
      <c r="F1688">
        <v>489.54500000000002</v>
      </c>
      <c r="G1688">
        <f t="shared" si="158"/>
        <v>0</v>
      </c>
      <c r="H1688">
        <v>1.82</v>
      </c>
      <c r="I1688">
        <f t="shared" si="159"/>
        <v>0</v>
      </c>
      <c r="J1688">
        <f t="shared" si="160"/>
        <v>0</v>
      </c>
      <c r="K1688">
        <f t="shared" si="161"/>
        <v>0</v>
      </c>
    </row>
    <row r="1689" spans="1:11" x14ac:dyDescent="0.4">
      <c r="A1689" s="19">
        <v>45905.041666666664</v>
      </c>
      <c r="B1689" s="20">
        <f t="shared" si="157"/>
        <v>4.1666666664241347E-2</v>
      </c>
      <c r="C1689">
        <v>0</v>
      </c>
      <c r="D1689">
        <v>489.62400000000002</v>
      </c>
      <c r="E1689">
        <f t="shared" si="162"/>
        <v>489.46900000000005</v>
      </c>
      <c r="F1689">
        <v>489.54500000000002</v>
      </c>
      <c r="G1689">
        <f t="shared" si="158"/>
        <v>0</v>
      </c>
      <c r="H1689">
        <v>1.82</v>
      </c>
      <c r="I1689">
        <f t="shared" si="159"/>
        <v>0</v>
      </c>
      <c r="J1689">
        <f t="shared" si="160"/>
        <v>0</v>
      </c>
      <c r="K1689">
        <f t="shared" si="161"/>
        <v>0</v>
      </c>
    </row>
    <row r="1690" spans="1:11" x14ac:dyDescent="0.4">
      <c r="A1690" s="19">
        <v>45905.083333333336</v>
      </c>
      <c r="B1690" s="20">
        <f t="shared" si="157"/>
        <v>8.3333333335758653E-2</v>
      </c>
      <c r="C1690">
        <v>0</v>
      </c>
      <c r="D1690">
        <v>489.62400000000002</v>
      </c>
      <c r="E1690">
        <f t="shared" si="162"/>
        <v>489.46900000000005</v>
      </c>
      <c r="F1690">
        <v>489.54500000000002</v>
      </c>
      <c r="G1690">
        <f t="shared" si="158"/>
        <v>0</v>
      </c>
      <c r="H1690">
        <v>1.82</v>
      </c>
      <c r="I1690">
        <f t="shared" si="159"/>
        <v>0</v>
      </c>
      <c r="J1690">
        <f t="shared" si="160"/>
        <v>0</v>
      </c>
      <c r="K1690">
        <f t="shared" si="161"/>
        <v>0</v>
      </c>
    </row>
    <row r="1691" spans="1:11" x14ac:dyDescent="0.4">
      <c r="A1691" s="19">
        <v>45905.125</v>
      </c>
      <c r="B1691" s="20">
        <f t="shared" si="157"/>
        <v>0.125</v>
      </c>
      <c r="C1691">
        <v>0</v>
      </c>
      <c r="D1691">
        <v>489.62400000000002</v>
      </c>
      <c r="E1691">
        <f t="shared" si="162"/>
        <v>489.46900000000005</v>
      </c>
      <c r="F1691">
        <v>489.54500000000002</v>
      </c>
      <c r="G1691">
        <f t="shared" si="158"/>
        <v>0</v>
      </c>
      <c r="H1691">
        <v>1.82</v>
      </c>
      <c r="I1691">
        <f t="shared" si="159"/>
        <v>0</v>
      </c>
      <c r="J1691">
        <f t="shared" si="160"/>
        <v>0</v>
      </c>
      <c r="K1691">
        <f t="shared" si="161"/>
        <v>0</v>
      </c>
    </row>
    <row r="1692" spans="1:11" x14ac:dyDescent="0.4">
      <c r="A1692" s="19">
        <v>45905.166666666664</v>
      </c>
      <c r="B1692" s="20">
        <f t="shared" si="157"/>
        <v>0.16666666666424135</v>
      </c>
      <c r="C1692">
        <v>0</v>
      </c>
      <c r="D1692">
        <v>489.62400000000002</v>
      </c>
      <c r="E1692">
        <f t="shared" si="162"/>
        <v>489.46900000000005</v>
      </c>
      <c r="F1692">
        <v>489.54500000000002</v>
      </c>
      <c r="G1692">
        <f t="shared" si="158"/>
        <v>0</v>
      </c>
      <c r="H1692">
        <v>1.82</v>
      </c>
      <c r="I1692">
        <f t="shared" si="159"/>
        <v>0</v>
      </c>
      <c r="J1692">
        <f t="shared" si="160"/>
        <v>0</v>
      </c>
      <c r="K1692">
        <f t="shared" si="161"/>
        <v>0</v>
      </c>
    </row>
    <row r="1693" spans="1:11" x14ac:dyDescent="0.4">
      <c r="A1693" s="19">
        <v>45905.208333333336</v>
      </c>
      <c r="B1693" s="20">
        <f t="shared" si="157"/>
        <v>0.20833333333575865</v>
      </c>
      <c r="C1693">
        <v>0</v>
      </c>
      <c r="D1693">
        <v>489.62400000000002</v>
      </c>
      <c r="E1693">
        <f t="shared" si="162"/>
        <v>489.46900000000005</v>
      </c>
      <c r="F1693">
        <v>489.54500000000002</v>
      </c>
      <c r="G1693">
        <f t="shared" si="158"/>
        <v>0</v>
      </c>
      <c r="H1693">
        <v>1.82</v>
      </c>
      <c r="I1693">
        <f t="shared" si="159"/>
        <v>0</v>
      </c>
      <c r="J1693">
        <f t="shared" si="160"/>
        <v>0</v>
      </c>
      <c r="K1693">
        <f t="shared" si="161"/>
        <v>0</v>
      </c>
    </row>
    <row r="1694" spans="1:11" x14ac:dyDescent="0.4">
      <c r="A1694" s="19">
        <v>45905.25</v>
      </c>
      <c r="B1694" s="20">
        <f t="shared" si="157"/>
        <v>0.25</v>
      </c>
      <c r="C1694">
        <v>0</v>
      </c>
      <c r="D1694">
        <v>489.62400000000002</v>
      </c>
      <c r="E1694">
        <f t="shared" si="162"/>
        <v>489.46900000000005</v>
      </c>
      <c r="F1694">
        <v>489.54500000000002</v>
      </c>
      <c r="G1694">
        <f t="shared" si="158"/>
        <v>0</v>
      </c>
      <c r="H1694">
        <v>1.82</v>
      </c>
      <c r="I1694">
        <f t="shared" si="159"/>
        <v>0</v>
      </c>
      <c r="J1694">
        <f t="shared" si="160"/>
        <v>0</v>
      </c>
      <c r="K1694">
        <f t="shared" si="161"/>
        <v>0</v>
      </c>
    </row>
    <row r="1695" spans="1:11" x14ac:dyDescent="0.4">
      <c r="A1695" s="19">
        <v>45905.291666666664</v>
      </c>
      <c r="B1695" s="20">
        <f t="shared" si="157"/>
        <v>0.29166666666424135</v>
      </c>
      <c r="C1695">
        <v>0</v>
      </c>
      <c r="D1695">
        <v>489.61700000000002</v>
      </c>
      <c r="E1695">
        <f t="shared" si="162"/>
        <v>489.46200000000005</v>
      </c>
      <c r="F1695">
        <v>489.54500000000002</v>
      </c>
      <c r="G1695">
        <f t="shared" si="158"/>
        <v>0</v>
      </c>
      <c r="H1695">
        <v>1.82</v>
      </c>
      <c r="I1695">
        <f t="shared" si="159"/>
        <v>0</v>
      </c>
      <c r="J1695">
        <f t="shared" si="160"/>
        <v>0</v>
      </c>
      <c r="K1695">
        <f t="shared" si="161"/>
        <v>0</v>
      </c>
    </row>
    <row r="1696" spans="1:11" x14ac:dyDescent="0.4">
      <c r="A1696" s="19">
        <v>45905.333333333336</v>
      </c>
      <c r="B1696" s="20">
        <f t="shared" si="157"/>
        <v>0.33333333333575865</v>
      </c>
      <c r="C1696">
        <v>0</v>
      </c>
      <c r="D1696">
        <v>489.62299999999999</v>
      </c>
      <c r="E1696">
        <f t="shared" si="162"/>
        <v>489.46800000000002</v>
      </c>
      <c r="F1696">
        <v>489.54500000000002</v>
      </c>
      <c r="G1696">
        <f t="shared" si="158"/>
        <v>0</v>
      </c>
      <c r="H1696">
        <v>1.82</v>
      </c>
      <c r="I1696">
        <f t="shared" si="159"/>
        <v>0</v>
      </c>
      <c r="J1696">
        <f t="shared" si="160"/>
        <v>0</v>
      </c>
      <c r="K1696">
        <f t="shared" si="161"/>
        <v>0</v>
      </c>
    </row>
    <row r="1697" spans="1:11" x14ac:dyDescent="0.4">
      <c r="A1697" s="19">
        <v>45905.375</v>
      </c>
      <c r="B1697" s="20">
        <f t="shared" si="157"/>
        <v>0.375</v>
      </c>
      <c r="C1697">
        <v>0</v>
      </c>
      <c r="D1697">
        <v>489.62299999999999</v>
      </c>
      <c r="E1697">
        <f t="shared" si="162"/>
        <v>489.46800000000002</v>
      </c>
      <c r="F1697">
        <v>489.54500000000002</v>
      </c>
      <c r="G1697">
        <f t="shared" si="158"/>
        <v>0</v>
      </c>
      <c r="H1697">
        <v>1.82</v>
      </c>
      <c r="I1697">
        <f t="shared" si="159"/>
        <v>0</v>
      </c>
      <c r="J1697">
        <f t="shared" si="160"/>
        <v>0</v>
      </c>
      <c r="K1697">
        <f t="shared" si="161"/>
        <v>0</v>
      </c>
    </row>
    <row r="1698" spans="1:11" x14ac:dyDescent="0.4">
      <c r="A1698" s="19">
        <v>45905.416666666664</v>
      </c>
      <c r="B1698" s="20">
        <f t="shared" si="157"/>
        <v>0.41666666666424135</v>
      </c>
      <c r="C1698">
        <v>0</v>
      </c>
      <c r="D1698">
        <v>489.62299999999999</v>
      </c>
      <c r="E1698">
        <f t="shared" si="162"/>
        <v>489.46800000000002</v>
      </c>
      <c r="F1698">
        <v>489.54500000000002</v>
      </c>
      <c r="G1698">
        <f t="shared" si="158"/>
        <v>0</v>
      </c>
      <c r="H1698">
        <v>1.82</v>
      </c>
      <c r="I1698">
        <f t="shared" si="159"/>
        <v>0</v>
      </c>
      <c r="J1698">
        <f t="shared" si="160"/>
        <v>0</v>
      </c>
      <c r="K1698">
        <f t="shared" si="161"/>
        <v>0</v>
      </c>
    </row>
    <row r="1699" spans="1:11" x14ac:dyDescent="0.4">
      <c r="A1699" s="19">
        <v>45905.458333333336</v>
      </c>
      <c r="B1699" s="20">
        <f t="shared" si="157"/>
        <v>0.45833333333575865</v>
      </c>
      <c r="C1699">
        <v>0</v>
      </c>
      <c r="D1699">
        <v>489.61599999999999</v>
      </c>
      <c r="E1699">
        <f t="shared" si="162"/>
        <v>489.46100000000001</v>
      </c>
      <c r="F1699">
        <v>489.54500000000002</v>
      </c>
      <c r="G1699">
        <f t="shared" si="158"/>
        <v>0</v>
      </c>
      <c r="H1699">
        <v>1.82</v>
      </c>
      <c r="I1699">
        <f t="shared" si="159"/>
        <v>0</v>
      </c>
      <c r="J1699">
        <f t="shared" si="160"/>
        <v>0</v>
      </c>
      <c r="K1699">
        <f t="shared" si="161"/>
        <v>0</v>
      </c>
    </row>
    <row r="1700" spans="1:11" x14ac:dyDescent="0.4">
      <c r="A1700" s="19">
        <v>45905.5</v>
      </c>
      <c r="B1700" s="20">
        <f t="shared" si="157"/>
        <v>0.5</v>
      </c>
      <c r="C1700">
        <v>0</v>
      </c>
      <c r="D1700">
        <v>489.61599999999999</v>
      </c>
      <c r="E1700">
        <f t="shared" si="162"/>
        <v>489.46100000000001</v>
      </c>
      <c r="F1700">
        <v>489.54500000000002</v>
      </c>
      <c r="G1700">
        <f t="shared" si="158"/>
        <v>0</v>
      </c>
      <c r="H1700">
        <v>1.82</v>
      </c>
      <c r="I1700">
        <f t="shared" si="159"/>
        <v>0</v>
      </c>
      <c r="J1700">
        <f t="shared" si="160"/>
        <v>0</v>
      </c>
      <c r="K1700">
        <f t="shared" si="161"/>
        <v>0</v>
      </c>
    </row>
    <row r="1701" spans="1:11" x14ac:dyDescent="0.4">
      <c r="A1701" s="19">
        <v>45905.541666666664</v>
      </c>
      <c r="B1701" s="20">
        <f t="shared" si="157"/>
        <v>0.54166666666424135</v>
      </c>
      <c r="C1701">
        <v>0</v>
      </c>
      <c r="D1701">
        <v>489.61599999999999</v>
      </c>
      <c r="E1701">
        <f t="shared" si="162"/>
        <v>489.46100000000001</v>
      </c>
      <c r="F1701">
        <v>489.54500000000002</v>
      </c>
      <c r="G1701">
        <f t="shared" si="158"/>
        <v>0</v>
      </c>
      <c r="H1701">
        <v>1.82</v>
      </c>
      <c r="I1701">
        <f t="shared" si="159"/>
        <v>0</v>
      </c>
      <c r="J1701">
        <f t="shared" si="160"/>
        <v>0</v>
      </c>
      <c r="K1701">
        <f t="shared" si="161"/>
        <v>0</v>
      </c>
    </row>
    <row r="1702" spans="1:11" x14ac:dyDescent="0.4">
      <c r="A1702" s="19">
        <v>45905.583333333336</v>
      </c>
      <c r="B1702" s="20">
        <f t="shared" si="157"/>
        <v>0.58333333333575865</v>
      </c>
      <c r="C1702">
        <v>0</v>
      </c>
      <c r="D1702">
        <v>489.61700000000002</v>
      </c>
      <c r="E1702">
        <f t="shared" si="162"/>
        <v>489.46200000000005</v>
      </c>
      <c r="F1702">
        <v>489.54500000000002</v>
      </c>
      <c r="G1702">
        <f t="shared" si="158"/>
        <v>0</v>
      </c>
      <c r="H1702">
        <v>1.82</v>
      </c>
      <c r="I1702">
        <f t="shared" si="159"/>
        <v>0</v>
      </c>
      <c r="J1702">
        <f t="shared" si="160"/>
        <v>0</v>
      </c>
      <c r="K1702">
        <f t="shared" si="161"/>
        <v>0</v>
      </c>
    </row>
    <row r="1703" spans="1:11" x14ac:dyDescent="0.4">
      <c r="A1703" s="19">
        <v>45905.625</v>
      </c>
      <c r="B1703" s="20">
        <f t="shared" si="157"/>
        <v>0.625</v>
      </c>
      <c r="C1703">
        <v>0</v>
      </c>
      <c r="D1703">
        <v>489.61599999999999</v>
      </c>
      <c r="E1703">
        <f t="shared" si="162"/>
        <v>489.46100000000001</v>
      </c>
      <c r="F1703">
        <v>489.54500000000002</v>
      </c>
      <c r="G1703">
        <f t="shared" si="158"/>
        <v>0</v>
      </c>
      <c r="H1703">
        <v>1.82</v>
      </c>
      <c r="I1703">
        <f t="shared" si="159"/>
        <v>0</v>
      </c>
      <c r="J1703">
        <f t="shared" si="160"/>
        <v>0</v>
      </c>
      <c r="K1703">
        <f t="shared" si="161"/>
        <v>0</v>
      </c>
    </row>
    <row r="1704" spans="1:11" x14ac:dyDescent="0.4">
      <c r="A1704" s="19">
        <v>45905.666666666664</v>
      </c>
      <c r="B1704" s="20">
        <f t="shared" si="157"/>
        <v>0.66666666666424135</v>
      </c>
      <c r="C1704">
        <v>0</v>
      </c>
      <c r="D1704">
        <v>489.61099999999999</v>
      </c>
      <c r="E1704">
        <f t="shared" si="162"/>
        <v>489.45600000000002</v>
      </c>
      <c r="F1704">
        <v>489.54500000000002</v>
      </c>
      <c r="G1704">
        <f t="shared" si="158"/>
        <v>0</v>
      </c>
      <c r="H1704">
        <v>1.82</v>
      </c>
      <c r="I1704">
        <f t="shared" si="159"/>
        <v>0</v>
      </c>
      <c r="J1704">
        <f t="shared" si="160"/>
        <v>0</v>
      </c>
      <c r="K1704">
        <f t="shared" si="161"/>
        <v>0</v>
      </c>
    </row>
    <row r="1705" spans="1:11" x14ac:dyDescent="0.4">
      <c r="A1705" s="19">
        <v>45905.708333333336</v>
      </c>
      <c r="B1705" s="20">
        <f t="shared" si="157"/>
        <v>0.70833333333575865</v>
      </c>
      <c r="C1705">
        <v>0</v>
      </c>
      <c r="D1705">
        <v>489.61099999999999</v>
      </c>
      <c r="E1705">
        <f t="shared" si="162"/>
        <v>489.45600000000002</v>
      </c>
      <c r="F1705">
        <v>489.54500000000002</v>
      </c>
      <c r="G1705">
        <f t="shared" si="158"/>
        <v>0</v>
      </c>
      <c r="H1705">
        <v>1.82</v>
      </c>
      <c r="I1705">
        <f t="shared" si="159"/>
        <v>0</v>
      </c>
      <c r="J1705">
        <f t="shared" si="160"/>
        <v>0</v>
      </c>
      <c r="K1705">
        <f t="shared" si="161"/>
        <v>0</v>
      </c>
    </row>
    <row r="1706" spans="1:11" x14ac:dyDescent="0.4">
      <c r="A1706" s="19">
        <v>45905.75</v>
      </c>
      <c r="B1706" s="20">
        <f t="shared" si="157"/>
        <v>0.75</v>
      </c>
      <c r="C1706">
        <v>0</v>
      </c>
      <c r="D1706">
        <v>489.60399999999998</v>
      </c>
      <c r="E1706">
        <f t="shared" si="162"/>
        <v>489.44900000000001</v>
      </c>
      <c r="F1706">
        <v>489.54500000000002</v>
      </c>
      <c r="G1706">
        <f t="shared" si="158"/>
        <v>0</v>
      </c>
      <c r="H1706">
        <v>1.82</v>
      </c>
      <c r="I1706">
        <f t="shared" si="159"/>
        <v>0</v>
      </c>
      <c r="J1706">
        <f t="shared" si="160"/>
        <v>0</v>
      </c>
      <c r="K1706">
        <f t="shared" si="161"/>
        <v>0</v>
      </c>
    </row>
    <row r="1707" spans="1:11" x14ac:dyDescent="0.4">
      <c r="A1707" s="19">
        <v>45905.791666666664</v>
      </c>
      <c r="B1707" s="20">
        <f t="shared" si="157"/>
        <v>0.79166666666424135</v>
      </c>
      <c r="C1707">
        <v>0</v>
      </c>
      <c r="D1707">
        <v>489.60399999999998</v>
      </c>
      <c r="E1707">
        <f t="shared" si="162"/>
        <v>489.44900000000001</v>
      </c>
      <c r="F1707">
        <v>489.54500000000002</v>
      </c>
      <c r="G1707">
        <f t="shared" si="158"/>
        <v>0</v>
      </c>
      <c r="H1707">
        <v>1.82</v>
      </c>
      <c r="I1707">
        <f t="shared" si="159"/>
        <v>0</v>
      </c>
      <c r="J1707">
        <f t="shared" si="160"/>
        <v>0</v>
      </c>
      <c r="K1707">
        <f t="shared" si="161"/>
        <v>0</v>
      </c>
    </row>
    <row r="1708" spans="1:11" x14ac:dyDescent="0.4">
      <c r="A1708" s="19">
        <v>45905.833333333336</v>
      </c>
      <c r="B1708" s="20">
        <f t="shared" si="157"/>
        <v>0.83333333333575865</v>
      </c>
      <c r="C1708">
        <v>0</v>
      </c>
      <c r="D1708">
        <v>489.60399999999998</v>
      </c>
      <c r="E1708">
        <f t="shared" si="162"/>
        <v>489.44900000000001</v>
      </c>
      <c r="F1708">
        <v>489.54500000000002</v>
      </c>
      <c r="G1708">
        <f t="shared" si="158"/>
        <v>0</v>
      </c>
      <c r="H1708">
        <v>1.82</v>
      </c>
      <c r="I1708">
        <f t="shared" si="159"/>
        <v>0</v>
      </c>
      <c r="J1708">
        <f t="shared" si="160"/>
        <v>0</v>
      </c>
      <c r="K1708">
        <f t="shared" si="161"/>
        <v>0</v>
      </c>
    </row>
    <row r="1709" spans="1:11" x14ac:dyDescent="0.4">
      <c r="A1709" s="19">
        <v>45905.875</v>
      </c>
      <c r="B1709" s="20">
        <f t="shared" si="157"/>
        <v>0.875</v>
      </c>
      <c r="C1709">
        <v>0</v>
      </c>
      <c r="D1709">
        <v>489.60399999999998</v>
      </c>
      <c r="E1709">
        <f t="shared" si="162"/>
        <v>489.44900000000001</v>
      </c>
      <c r="F1709">
        <v>489.54500000000002</v>
      </c>
      <c r="G1709">
        <f t="shared" si="158"/>
        <v>0</v>
      </c>
      <c r="H1709">
        <v>1.82</v>
      </c>
      <c r="I1709">
        <f t="shared" si="159"/>
        <v>0</v>
      </c>
      <c r="J1709">
        <f t="shared" si="160"/>
        <v>0</v>
      </c>
      <c r="K1709">
        <f t="shared" si="161"/>
        <v>0</v>
      </c>
    </row>
    <row r="1710" spans="1:11" x14ac:dyDescent="0.4">
      <c r="A1710" s="19">
        <v>45905.916666666664</v>
      </c>
      <c r="B1710" s="20">
        <f t="shared" si="157"/>
        <v>0.91666666666424135</v>
      </c>
      <c r="C1710">
        <v>0</v>
      </c>
      <c r="D1710">
        <v>489.60399999999998</v>
      </c>
      <c r="E1710">
        <f t="shared" si="162"/>
        <v>489.44900000000001</v>
      </c>
      <c r="F1710">
        <v>489.54500000000002</v>
      </c>
      <c r="G1710">
        <f t="shared" si="158"/>
        <v>0</v>
      </c>
      <c r="H1710">
        <v>1.82</v>
      </c>
      <c r="I1710">
        <f t="shared" si="159"/>
        <v>0</v>
      </c>
      <c r="J1710">
        <f t="shared" si="160"/>
        <v>0</v>
      </c>
      <c r="K1710">
        <f t="shared" si="161"/>
        <v>0</v>
      </c>
    </row>
    <row r="1711" spans="1:11" x14ac:dyDescent="0.4">
      <c r="A1711" s="19">
        <v>45905.958333333336</v>
      </c>
      <c r="B1711" s="20">
        <f t="shared" si="157"/>
        <v>0.95833333333575865</v>
      </c>
      <c r="C1711">
        <v>0</v>
      </c>
      <c r="D1711">
        <v>489.60399999999998</v>
      </c>
      <c r="E1711">
        <f t="shared" si="162"/>
        <v>489.44900000000001</v>
      </c>
      <c r="F1711">
        <v>489.54500000000002</v>
      </c>
      <c r="G1711">
        <f t="shared" si="158"/>
        <v>0</v>
      </c>
      <c r="H1711">
        <v>1.82</v>
      </c>
      <c r="I1711">
        <f t="shared" si="159"/>
        <v>0</v>
      </c>
      <c r="J1711">
        <f t="shared" si="160"/>
        <v>0</v>
      </c>
      <c r="K1711">
        <f t="shared" si="161"/>
        <v>0</v>
      </c>
    </row>
    <row r="1712" spans="1:11" x14ac:dyDescent="0.4">
      <c r="A1712" s="19">
        <v>45906</v>
      </c>
      <c r="B1712" s="20">
        <f t="shared" si="157"/>
        <v>0</v>
      </c>
      <c r="C1712">
        <v>0</v>
      </c>
      <c r="D1712">
        <v>489.60399999999998</v>
      </c>
      <c r="E1712">
        <f t="shared" si="162"/>
        <v>489.44900000000001</v>
      </c>
      <c r="F1712">
        <v>489.54500000000002</v>
      </c>
      <c r="G1712">
        <f t="shared" si="158"/>
        <v>0</v>
      </c>
      <c r="H1712">
        <v>1.82</v>
      </c>
      <c r="I1712">
        <f t="shared" si="159"/>
        <v>0</v>
      </c>
      <c r="J1712">
        <f t="shared" si="160"/>
        <v>0</v>
      </c>
      <c r="K1712">
        <f t="shared" si="161"/>
        <v>0</v>
      </c>
    </row>
    <row r="1713" spans="1:11" x14ac:dyDescent="0.4">
      <c r="A1713" s="19">
        <v>45906.041666666664</v>
      </c>
      <c r="B1713" s="20">
        <f t="shared" si="157"/>
        <v>4.1666666664241347E-2</v>
      </c>
      <c r="C1713">
        <v>0</v>
      </c>
      <c r="D1713">
        <v>489.59800000000001</v>
      </c>
      <c r="E1713">
        <f t="shared" si="162"/>
        <v>489.44300000000004</v>
      </c>
      <c r="F1713">
        <v>489.54500000000002</v>
      </c>
      <c r="G1713">
        <f t="shared" si="158"/>
        <v>0</v>
      </c>
      <c r="H1713">
        <v>1.82</v>
      </c>
      <c r="I1713">
        <f t="shared" si="159"/>
        <v>0</v>
      </c>
      <c r="J1713">
        <f t="shared" si="160"/>
        <v>0</v>
      </c>
      <c r="K1713">
        <f t="shared" si="161"/>
        <v>0</v>
      </c>
    </row>
    <row r="1714" spans="1:11" x14ac:dyDescent="0.4">
      <c r="A1714" s="19">
        <v>45906.083333333336</v>
      </c>
      <c r="B1714" s="20">
        <f t="shared" si="157"/>
        <v>8.3333333335758653E-2</v>
      </c>
      <c r="C1714">
        <v>0</v>
      </c>
      <c r="D1714">
        <v>489.59800000000001</v>
      </c>
      <c r="E1714">
        <f t="shared" si="162"/>
        <v>489.44300000000004</v>
      </c>
      <c r="F1714">
        <v>489.54500000000002</v>
      </c>
      <c r="G1714">
        <f t="shared" si="158"/>
        <v>0</v>
      </c>
      <c r="H1714">
        <v>1.82</v>
      </c>
      <c r="I1714">
        <f t="shared" si="159"/>
        <v>0</v>
      </c>
      <c r="J1714">
        <f t="shared" si="160"/>
        <v>0</v>
      </c>
      <c r="K1714">
        <f t="shared" si="161"/>
        <v>0</v>
      </c>
    </row>
    <row r="1715" spans="1:11" x14ac:dyDescent="0.4">
      <c r="A1715" s="19">
        <v>45906.125</v>
      </c>
      <c r="B1715" s="20">
        <f t="shared" si="157"/>
        <v>0.125</v>
      </c>
      <c r="C1715">
        <v>0</v>
      </c>
      <c r="D1715">
        <v>489.60500000000002</v>
      </c>
      <c r="E1715">
        <f t="shared" si="162"/>
        <v>489.45000000000005</v>
      </c>
      <c r="F1715">
        <v>489.54500000000002</v>
      </c>
      <c r="G1715">
        <f t="shared" si="158"/>
        <v>0</v>
      </c>
      <c r="H1715">
        <v>1.82</v>
      </c>
      <c r="I1715">
        <f t="shared" si="159"/>
        <v>0</v>
      </c>
      <c r="J1715">
        <f t="shared" si="160"/>
        <v>0</v>
      </c>
      <c r="K1715">
        <f t="shared" si="161"/>
        <v>0</v>
      </c>
    </row>
    <row r="1716" spans="1:11" x14ac:dyDescent="0.4">
      <c r="A1716" s="19">
        <v>45906.166666666664</v>
      </c>
      <c r="B1716" s="20">
        <f t="shared" si="157"/>
        <v>0.16666666666424135</v>
      </c>
      <c r="C1716">
        <v>0</v>
      </c>
      <c r="D1716">
        <v>489.59800000000001</v>
      </c>
      <c r="E1716">
        <f t="shared" si="162"/>
        <v>489.44300000000004</v>
      </c>
      <c r="F1716">
        <v>489.54500000000002</v>
      </c>
      <c r="G1716">
        <f t="shared" si="158"/>
        <v>0</v>
      </c>
      <c r="H1716">
        <v>1.82</v>
      </c>
      <c r="I1716">
        <f t="shared" si="159"/>
        <v>0</v>
      </c>
      <c r="J1716">
        <f t="shared" si="160"/>
        <v>0</v>
      </c>
      <c r="K1716">
        <f t="shared" si="161"/>
        <v>0</v>
      </c>
    </row>
    <row r="1717" spans="1:11" x14ac:dyDescent="0.4">
      <c r="A1717" s="19">
        <v>45906.208333333336</v>
      </c>
      <c r="B1717" s="20">
        <f t="shared" si="157"/>
        <v>0.20833333333575865</v>
      </c>
      <c r="C1717">
        <v>0</v>
      </c>
      <c r="D1717">
        <v>489.59800000000001</v>
      </c>
      <c r="E1717">
        <f t="shared" si="162"/>
        <v>489.44300000000004</v>
      </c>
      <c r="F1717">
        <v>489.54500000000002</v>
      </c>
      <c r="G1717">
        <f t="shared" si="158"/>
        <v>0</v>
      </c>
      <c r="H1717">
        <v>1.82</v>
      </c>
      <c r="I1717">
        <f t="shared" si="159"/>
        <v>0</v>
      </c>
      <c r="J1717">
        <f t="shared" si="160"/>
        <v>0</v>
      </c>
      <c r="K1717">
        <f t="shared" si="161"/>
        <v>0</v>
      </c>
    </row>
    <row r="1718" spans="1:11" x14ac:dyDescent="0.4">
      <c r="A1718" s="19">
        <v>45906.25</v>
      </c>
      <c r="B1718" s="20">
        <f t="shared" si="157"/>
        <v>0.25</v>
      </c>
      <c r="C1718">
        <v>0</v>
      </c>
      <c r="D1718">
        <v>489.59800000000001</v>
      </c>
      <c r="E1718">
        <f t="shared" si="162"/>
        <v>489.44300000000004</v>
      </c>
      <c r="F1718">
        <v>489.54500000000002</v>
      </c>
      <c r="G1718">
        <f t="shared" si="158"/>
        <v>0</v>
      </c>
      <c r="H1718">
        <v>1.82</v>
      </c>
      <c r="I1718">
        <f t="shared" si="159"/>
        <v>0</v>
      </c>
      <c r="J1718">
        <f t="shared" si="160"/>
        <v>0</v>
      </c>
      <c r="K1718">
        <f t="shared" si="161"/>
        <v>0</v>
      </c>
    </row>
    <row r="1719" spans="1:11" x14ac:dyDescent="0.4">
      <c r="A1719" s="19">
        <v>45906.291666666664</v>
      </c>
      <c r="B1719" s="20">
        <f t="shared" si="157"/>
        <v>0.29166666666424135</v>
      </c>
      <c r="C1719">
        <v>0</v>
      </c>
      <c r="D1719">
        <v>489.59800000000001</v>
      </c>
      <c r="E1719">
        <f t="shared" si="162"/>
        <v>489.44300000000004</v>
      </c>
      <c r="F1719">
        <v>489.54500000000002</v>
      </c>
      <c r="G1719">
        <f t="shared" si="158"/>
        <v>0</v>
      </c>
      <c r="H1719">
        <v>1.82</v>
      </c>
      <c r="I1719">
        <f t="shared" si="159"/>
        <v>0</v>
      </c>
      <c r="J1719">
        <f t="shared" si="160"/>
        <v>0</v>
      </c>
      <c r="K1719">
        <f t="shared" si="161"/>
        <v>0</v>
      </c>
    </row>
    <row r="1720" spans="1:11" x14ac:dyDescent="0.4">
      <c r="A1720" s="19">
        <v>45906.333333333336</v>
      </c>
      <c r="B1720" s="20">
        <f t="shared" si="157"/>
        <v>0.33333333333575865</v>
      </c>
      <c r="C1720">
        <v>0</v>
      </c>
      <c r="D1720">
        <v>489.59699999999998</v>
      </c>
      <c r="E1720">
        <f t="shared" si="162"/>
        <v>489.44200000000001</v>
      </c>
      <c r="F1720">
        <v>489.54500000000002</v>
      </c>
      <c r="G1720">
        <f t="shared" si="158"/>
        <v>0</v>
      </c>
      <c r="H1720">
        <v>1.82</v>
      </c>
      <c r="I1720">
        <f t="shared" si="159"/>
        <v>0</v>
      </c>
      <c r="J1720">
        <f t="shared" si="160"/>
        <v>0</v>
      </c>
      <c r="K1720">
        <f t="shared" si="161"/>
        <v>0</v>
      </c>
    </row>
    <row r="1721" spans="1:11" x14ac:dyDescent="0.4">
      <c r="A1721" s="19">
        <v>45906.375</v>
      </c>
      <c r="B1721" s="20">
        <f t="shared" si="157"/>
        <v>0.375</v>
      </c>
      <c r="C1721">
        <v>0</v>
      </c>
      <c r="D1721">
        <v>489.59800000000001</v>
      </c>
      <c r="E1721">
        <f t="shared" si="162"/>
        <v>489.44300000000004</v>
      </c>
      <c r="F1721">
        <v>489.54500000000002</v>
      </c>
      <c r="G1721">
        <f t="shared" si="158"/>
        <v>0</v>
      </c>
      <c r="H1721">
        <v>1.82</v>
      </c>
      <c r="I1721">
        <f t="shared" si="159"/>
        <v>0</v>
      </c>
      <c r="J1721">
        <f t="shared" si="160"/>
        <v>0</v>
      </c>
      <c r="K1721">
        <f t="shared" si="161"/>
        <v>0</v>
      </c>
    </row>
    <row r="1722" spans="1:11" x14ac:dyDescent="0.4">
      <c r="A1722" s="19">
        <v>45906.416666666664</v>
      </c>
      <c r="B1722" s="20">
        <f t="shared" si="157"/>
        <v>0.41666666666424135</v>
      </c>
      <c r="C1722">
        <v>0</v>
      </c>
      <c r="D1722">
        <v>489.59699999999998</v>
      </c>
      <c r="E1722">
        <f t="shared" si="162"/>
        <v>489.44200000000001</v>
      </c>
      <c r="F1722">
        <v>489.54500000000002</v>
      </c>
      <c r="G1722">
        <f t="shared" si="158"/>
        <v>0</v>
      </c>
      <c r="H1722">
        <v>1.82</v>
      </c>
      <c r="I1722">
        <f t="shared" si="159"/>
        <v>0</v>
      </c>
      <c r="J1722">
        <f t="shared" si="160"/>
        <v>0</v>
      </c>
      <c r="K1722">
        <f t="shared" si="161"/>
        <v>0</v>
      </c>
    </row>
    <row r="1723" spans="1:11" x14ac:dyDescent="0.4">
      <c r="A1723" s="19">
        <v>45906.458333333336</v>
      </c>
      <c r="B1723" s="20">
        <f t="shared" si="157"/>
        <v>0.45833333333575865</v>
      </c>
      <c r="C1723">
        <v>0</v>
      </c>
      <c r="D1723">
        <v>489.59699999999998</v>
      </c>
      <c r="E1723">
        <f t="shared" si="162"/>
        <v>489.44200000000001</v>
      </c>
      <c r="F1723">
        <v>489.54500000000002</v>
      </c>
      <c r="G1723">
        <f t="shared" si="158"/>
        <v>0</v>
      </c>
      <c r="H1723">
        <v>1.82</v>
      </c>
      <c r="I1723">
        <f t="shared" si="159"/>
        <v>0</v>
      </c>
      <c r="J1723">
        <f t="shared" si="160"/>
        <v>0</v>
      </c>
      <c r="K1723">
        <f t="shared" si="161"/>
        <v>0</v>
      </c>
    </row>
    <row r="1724" spans="1:11" x14ac:dyDescent="0.4">
      <c r="A1724" s="19">
        <v>45906.5</v>
      </c>
      <c r="B1724" s="20">
        <f t="shared" si="157"/>
        <v>0.5</v>
      </c>
      <c r="C1724">
        <v>0</v>
      </c>
      <c r="D1724">
        <v>489.59199999999998</v>
      </c>
      <c r="E1724">
        <f t="shared" si="162"/>
        <v>489.43700000000001</v>
      </c>
      <c r="F1724">
        <v>489.54500000000002</v>
      </c>
      <c r="G1724">
        <f t="shared" si="158"/>
        <v>0</v>
      </c>
      <c r="H1724">
        <v>1.82</v>
      </c>
      <c r="I1724">
        <f t="shared" si="159"/>
        <v>0</v>
      </c>
      <c r="J1724">
        <f t="shared" si="160"/>
        <v>0</v>
      </c>
      <c r="K1724">
        <f t="shared" si="161"/>
        <v>0</v>
      </c>
    </row>
    <row r="1725" spans="1:11" x14ac:dyDescent="0.4">
      <c r="A1725" s="19">
        <v>45906.541666666664</v>
      </c>
      <c r="B1725" s="20">
        <f t="shared" si="157"/>
        <v>0.54166666666424135</v>
      </c>
      <c r="C1725">
        <v>0</v>
      </c>
      <c r="D1725">
        <v>489.59199999999998</v>
      </c>
      <c r="E1725">
        <f t="shared" si="162"/>
        <v>489.43700000000001</v>
      </c>
      <c r="F1725">
        <v>489.54500000000002</v>
      </c>
      <c r="G1725">
        <f t="shared" si="158"/>
        <v>0</v>
      </c>
      <c r="H1725">
        <v>1.82</v>
      </c>
      <c r="I1725">
        <f t="shared" si="159"/>
        <v>0</v>
      </c>
      <c r="J1725">
        <f t="shared" si="160"/>
        <v>0</v>
      </c>
      <c r="K1725">
        <f t="shared" si="161"/>
        <v>0</v>
      </c>
    </row>
    <row r="1726" spans="1:11" x14ac:dyDescent="0.4">
      <c r="A1726" s="19">
        <v>45906.583333333336</v>
      </c>
      <c r="B1726" s="20">
        <f t="shared" si="157"/>
        <v>0.58333333333575865</v>
      </c>
      <c r="C1726">
        <v>0</v>
      </c>
      <c r="D1726">
        <v>489.59199999999998</v>
      </c>
      <c r="E1726">
        <f t="shared" si="162"/>
        <v>489.43700000000001</v>
      </c>
      <c r="F1726">
        <v>489.54500000000002</v>
      </c>
      <c r="G1726">
        <f t="shared" si="158"/>
        <v>0</v>
      </c>
      <c r="H1726">
        <v>1.82</v>
      </c>
      <c r="I1726">
        <f t="shared" si="159"/>
        <v>0</v>
      </c>
      <c r="J1726">
        <f t="shared" si="160"/>
        <v>0</v>
      </c>
      <c r="K1726">
        <f t="shared" si="161"/>
        <v>0</v>
      </c>
    </row>
    <row r="1727" spans="1:11" x14ac:dyDescent="0.4">
      <c r="A1727" s="19">
        <v>45906.625</v>
      </c>
      <c r="B1727" s="20">
        <f t="shared" si="157"/>
        <v>0.625</v>
      </c>
      <c r="C1727">
        <v>0</v>
      </c>
      <c r="D1727">
        <v>489.58600000000001</v>
      </c>
      <c r="E1727">
        <f t="shared" si="162"/>
        <v>489.43100000000004</v>
      </c>
      <c r="F1727">
        <v>489.54500000000002</v>
      </c>
      <c r="G1727">
        <f t="shared" si="158"/>
        <v>0</v>
      </c>
      <c r="H1727">
        <v>1.82</v>
      </c>
      <c r="I1727">
        <f t="shared" si="159"/>
        <v>0</v>
      </c>
      <c r="J1727">
        <f t="shared" si="160"/>
        <v>0</v>
      </c>
      <c r="K1727">
        <f t="shared" si="161"/>
        <v>0</v>
      </c>
    </row>
    <row r="1728" spans="1:11" x14ac:dyDescent="0.4">
      <c r="A1728" s="19">
        <v>45906.666666666664</v>
      </c>
      <c r="B1728" s="20">
        <f t="shared" si="157"/>
        <v>0.66666666666424135</v>
      </c>
      <c r="C1728">
        <v>0</v>
      </c>
      <c r="D1728">
        <v>489.58499999999998</v>
      </c>
      <c r="E1728">
        <f t="shared" si="162"/>
        <v>489.43</v>
      </c>
      <c r="F1728">
        <v>489.54500000000002</v>
      </c>
      <c r="G1728">
        <f t="shared" si="158"/>
        <v>0</v>
      </c>
      <c r="H1728">
        <v>1.82</v>
      </c>
      <c r="I1728">
        <f t="shared" si="159"/>
        <v>0</v>
      </c>
      <c r="J1728">
        <f t="shared" si="160"/>
        <v>0</v>
      </c>
      <c r="K1728">
        <f t="shared" si="161"/>
        <v>0</v>
      </c>
    </row>
    <row r="1729" spans="1:11" x14ac:dyDescent="0.4">
      <c r="A1729" s="19">
        <v>45906.708333333336</v>
      </c>
      <c r="B1729" s="20">
        <f t="shared" si="157"/>
        <v>0.70833333333575865</v>
      </c>
      <c r="C1729">
        <v>0</v>
      </c>
      <c r="D1729">
        <v>489.58499999999998</v>
      </c>
      <c r="E1729">
        <f t="shared" si="162"/>
        <v>489.43</v>
      </c>
      <c r="F1729">
        <v>489.54500000000002</v>
      </c>
      <c r="G1729">
        <f t="shared" si="158"/>
        <v>0</v>
      </c>
      <c r="H1729">
        <v>1.82</v>
      </c>
      <c r="I1729">
        <f t="shared" si="159"/>
        <v>0</v>
      </c>
      <c r="J1729">
        <f t="shared" si="160"/>
        <v>0</v>
      </c>
      <c r="K1729">
        <f t="shared" si="161"/>
        <v>0</v>
      </c>
    </row>
    <row r="1730" spans="1:11" x14ac:dyDescent="0.4">
      <c r="A1730" s="19">
        <v>45906.75</v>
      </c>
      <c r="B1730" s="20">
        <f t="shared" si="157"/>
        <v>0.75</v>
      </c>
      <c r="C1730">
        <v>0</v>
      </c>
      <c r="D1730">
        <v>489.58499999999998</v>
      </c>
      <c r="E1730">
        <f t="shared" si="162"/>
        <v>489.43</v>
      </c>
      <c r="F1730">
        <v>489.54500000000002</v>
      </c>
      <c r="G1730">
        <f t="shared" si="158"/>
        <v>0</v>
      </c>
      <c r="H1730">
        <v>1.82</v>
      </c>
      <c r="I1730">
        <f t="shared" si="159"/>
        <v>0</v>
      </c>
      <c r="J1730">
        <f t="shared" si="160"/>
        <v>0</v>
      </c>
      <c r="K1730">
        <f t="shared" si="161"/>
        <v>0</v>
      </c>
    </row>
    <row r="1731" spans="1:11" x14ac:dyDescent="0.4">
      <c r="A1731" s="19">
        <v>45906.791666666664</v>
      </c>
      <c r="B1731" s="20">
        <f t="shared" ref="B1731:B1758" si="163">MOD(A1731,1)</f>
        <v>0.79166666666424135</v>
      </c>
      <c r="C1731">
        <v>0</v>
      </c>
      <c r="D1731">
        <v>489.58600000000001</v>
      </c>
      <c r="E1731">
        <f t="shared" si="162"/>
        <v>489.43100000000004</v>
      </c>
      <c r="F1731">
        <v>489.54500000000002</v>
      </c>
      <c r="G1731">
        <f t="shared" ref="G1731:G1758" si="164">IF(E1731 - F1731 &lt; 0, 0, E1731 - F1731)</f>
        <v>0</v>
      </c>
      <c r="H1731">
        <v>1.82</v>
      </c>
      <c r="I1731">
        <f t="shared" ref="I1731:I1758" si="165">1.82*30*(G1731^1.5)</f>
        <v>0</v>
      </c>
      <c r="J1731">
        <f t="shared" ref="J1731:J1758" si="166">I1731*60</f>
        <v>0</v>
      </c>
      <c r="K1731">
        <f t="shared" ref="K1731:K1758" si="167">(I1731*86400)/24</f>
        <v>0</v>
      </c>
    </row>
    <row r="1732" spans="1:11" x14ac:dyDescent="0.4">
      <c r="A1732" s="19">
        <v>45906.833333333336</v>
      </c>
      <c r="B1732" s="20">
        <f t="shared" si="163"/>
        <v>0.83333333333575865</v>
      </c>
      <c r="C1732">
        <v>0</v>
      </c>
      <c r="D1732">
        <v>489.57900000000001</v>
      </c>
      <c r="E1732">
        <f t="shared" si="162"/>
        <v>489.42400000000004</v>
      </c>
      <c r="F1732">
        <v>489.54500000000002</v>
      </c>
      <c r="G1732">
        <f t="shared" si="164"/>
        <v>0</v>
      </c>
      <c r="H1732">
        <v>1.82</v>
      </c>
      <c r="I1732">
        <f t="shared" si="165"/>
        <v>0</v>
      </c>
      <c r="J1732">
        <f t="shared" si="166"/>
        <v>0</v>
      </c>
      <c r="K1732">
        <f t="shared" si="167"/>
        <v>0</v>
      </c>
    </row>
    <row r="1733" spans="1:11" x14ac:dyDescent="0.4">
      <c r="A1733" s="19">
        <v>45906.875</v>
      </c>
      <c r="B1733" s="20">
        <f t="shared" si="163"/>
        <v>0.875</v>
      </c>
      <c r="C1733">
        <v>0</v>
      </c>
      <c r="D1733">
        <v>489.57900000000001</v>
      </c>
      <c r="E1733">
        <f t="shared" si="162"/>
        <v>489.42400000000004</v>
      </c>
      <c r="F1733">
        <v>489.54500000000002</v>
      </c>
      <c r="G1733">
        <f t="shared" si="164"/>
        <v>0</v>
      </c>
      <c r="H1733">
        <v>1.82</v>
      </c>
      <c r="I1733">
        <f t="shared" si="165"/>
        <v>0</v>
      </c>
      <c r="J1733">
        <f t="shared" si="166"/>
        <v>0</v>
      </c>
      <c r="K1733">
        <f t="shared" si="167"/>
        <v>0</v>
      </c>
    </row>
    <row r="1734" spans="1:11" x14ac:dyDescent="0.4">
      <c r="A1734" s="19">
        <v>45906.916666666664</v>
      </c>
      <c r="B1734" s="20">
        <f t="shared" si="163"/>
        <v>0.91666666666424135</v>
      </c>
      <c r="C1734">
        <v>0</v>
      </c>
      <c r="D1734">
        <v>489.57900000000001</v>
      </c>
      <c r="E1734">
        <f t="shared" si="162"/>
        <v>489.42400000000004</v>
      </c>
      <c r="F1734">
        <v>489.54500000000002</v>
      </c>
      <c r="G1734">
        <f t="shared" si="164"/>
        <v>0</v>
      </c>
      <c r="H1734">
        <v>1.82</v>
      </c>
      <c r="I1734">
        <f t="shared" si="165"/>
        <v>0</v>
      </c>
      <c r="J1734">
        <f t="shared" si="166"/>
        <v>0</v>
      </c>
      <c r="K1734">
        <f t="shared" si="167"/>
        <v>0</v>
      </c>
    </row>
    <row r="1735" spans="1:11" x14ac:dyDescent="0.4">
      <c r="A1735" s="19">
        <v>45906.958333333336</v>
      </c>
      <c r="B1735" s="20">
        <f t="shared" si="163"/>
        <v>0.95833333333575865</v>
      </c>
      <c r="C1735">
        <v>0</v>
      </c>
      <c r="D1735">
        <v>489.57900000000001</v>
      </c>
      <c r="E1735">
        <f t="shared" si="162"/>
        <v>489.42400000000004</v>
      </c>
      <c r="F1735">
        <v>489.54500000000002</v>
      </c>
      <c r="G1735">
        <f t="shared" si="164"/>
        <v>0</v>
      </c>
      <c r="H1735">
        <v>1.82</v>
      </c>
      <c r="I1735">
        <f t="shared" si="165"/>
        <v>0</v>
      </c>
      <c r="J1735">
        <f t="shared" si="166"/>
        <v>0</v>
      </c>
      <c r="K1735">
        <f t="shared" si="167"/>
        <v>0</v>
      </c>
    </row>
    <row r="1736" spans="1:11" x14ac:dyDescent="0.4">
      <c r="A1736" s="19">
        <v>45907</v>
      </c>
      <c r="B1736" s="20">
        <f t="shared" si="163"/>
        <v>0</v>
      </c>
      <c r="C1736">
        <v>0</v>
      </c>
      <c r="D1736">
        <v>489.57900000000001</v>
      </c>
      <c r="E1736">
        <f t="shared" si="162"/>
        <v>489.42400000000004</v>
      </c>
      <c r="F1736">
        <v>489.54500000000002</v>
      </c>
      <c r="G1736">
        <f t="shared" si="164"/>
        <v>0</v>
      </c>
      <c r="H1736">
        <v>1.82</v>
      </c>
      <c r="I1736">
        <f t="shared" si="165"/>
        <v>0</v>
      </c>
      <c r="J1736">
        <f t="shared" si="166"/>
        <v>0</v>
      </c>
      <c r="K1736">
        <f t="shared" si="167"/>
        <v>0</v>
      </c>
    </row>
    <row r="1737" spans="1:11" x14ac:dyDescent="0.4">
      <c r="A1737" s="19">
        <v>45907.041666666664</v>
      </c>
      <c r="B1737" s="20">
        <f t="shared" si="163"/>
        <v>4.1666666664241347E-2</v>
      </c>
      <c r="C1737">
        <v>0</v>
      </c>
      <c r="D1737">
        <v>489.57299999999998</v>
      </c>
      <c r="E1737">
        <f t="shared" si="162"/>
        <v>489.41800000000001</v>
      </c>
      <c r="F1737">
        <v>489.54500000000002</v>
      </c>
      <c r="G1737">
        <f t="shared" si="164"/>
        <v>0</v>
      </c>
      <c r="H1737">
        <v>1.82</v>
      </c>
      <c r="I1737">
        <f t="shared" si="165"/>
        <v>0</v>
      </c>
      <c r="J1737">
        <f t="shared" si="166"/>
        <v>0</v>
      </c>
      <c r="K1737">
        <f t="shared" si="167"/>
        <v>0</v>
      </c>
    </row>
    <row r="1738" spans="1:11" x14ac:dyDescent="0.4">
      <c r="A1738" s="19">
        <v>45907.083333333336</v>
      </c>
      <c r="B1738" s="20">
        <f t="shared" si="163"/>
        <v>8.3333333335758653E-2</v>
      </c>
      <c r="C1738">
        <v>0</v>
      </c>
      <c r="D1738">
        <v>489.57299999999998</v>
      </c>
      <c r="E1738">
        <f t="shared" si="162"/>
        <v>489.41800000000001</v>
      </c>
      <c r="F1738">
        <v>489.54500000000002</v>
      </c>
      <c r="G1738">
        <f t="shared" si="164"/>
        <v>0</v>
      </c>
      <c r="H1738">
        <v>1.82</v>
      </c>
      <c r="I1738">
        <f t="shared" si="165"/>
        <v>0</v>
      </c>
      <c r="J1738">
        <f t="shared" si="166"/>
        <v>0</v>
      </c>
      <c r="K1738">
        <f t="shared" si="167"/>
        <v>0</v>
      </c>
    </row>
    <row r="1739" spans="1:11" x14ac:dyDescent="0.4">
      <c r="A1739" s="19">
        <v>45907.125</v>
      </c>
      <c r="B1739" s="20">
        <f t="shared" si="163"/>
        <v>0.125</v>
      </c>
      <c r="C1739">
        <v>0</v>
      </c>
      <c r="D1739">
        <v>489.57299999999998</v>
      </c>
      <c r="E1739">
        <f t="shared" si="162"/>
        <v>489.41800000000001</v>
      </c>
      <c r="F1739">
        <v>489.54500000000002</v>
      </c>
      <c r="G1739">
        <f t="shared" si="164"/>
        <v>0</v>
      </c>
      <c r="H1739">
        <v>1.82</v>
      </c>
      <c r="I1739">
        <f t="shared" si="165"/>
        <v>0</v>
      </c>
      <c r="J1739">
        <f t="shared" si="166"/>
        <v>0</v>
      </c>
      <c r="K1739">
        <f t="shared" si="167"/>
        <v>0</v>
      </c>
    </row>
    <row r="1740" spans="1:11" x14ac:dyDescent="0.4">
      <c r="A1740" s="19">
        <v>45907.166666666664</v>
      </c>
      <c r="B1740" s="20">
        <f t="shared" si="163"/>
        <v>0.16666666666424135</v>
      </c>
      <c r="C1740">
        <v>0</v>
      </c>
      <c r="D1740">
        <v>489.57299999999998</v>
      </c>
      <c r="E1740">
        <f t="shared" si="162"/>
        <v>489.41800000000001</v>
      </c>
      <c r="F1740">
        <v>489.54500000000002</v>
      </c>
      <c r="G1740">
        <f t="shared" si="164"/>
        <v>0</v>
      </c>
      <c r="H1740">
        <v>1.82</v>
      </c>
      <c r="I1740">
        <f t="shared" si="165"/>
        <v>0</v>
      </c>
      <c r="J1740">
        <f t="shared" si="166"/>
        <v>0</v>
      </c>
      <c r="K1740">
        <f t="shared" si="167"/>
        <v>0</v>
      </c>
    </row>
    <row r="1741" spans="1:11" x14ac:dyDescent="0.4">
      <c r="A1741" s="19">
        <v>45907.208333333336</v>
      </c>
      <c r="B1741" s="20">
        <f t="shared" si="163"/>
        <v>0.20833333333575865</v>
      </c>
      <c r="C1741">
        <v>0</v>
      </c>
      <c r="D1741">
        <v>489.57299999999998</v>
      </c>
      <c r="E1741">
        <f t="shared" si="162"/>
        <v>489.41800000000001</v>
      </c>
      <c r="F1741">
        <v>489.54500000000002</v>
      </c>
      <c r="G1741">
        <f t="shared" si="164"/>
        <v>0</v>
      </c>
      <c r="H1741">
        <v>1.82</v>
      </c>
      <c r="I1741">
        <f t="shared" si="165"/>
        <v>0</v>
      </c>
      <c r="J1741">
        <f t="shared" si="166"/>
        <v>0</v>
      </c>
      <c r="K1741">
        <f t="shared" si="167"/>
        <v>0</v>
      </c>
    </row>
    <row r="1742" spans="1:11" x14ac:dyDescent="0.4">
      <c r="A1742" s="19">
        <v>45907.25</v>
      </c>
      <c r="B1742" s="20">
        <f t="shared" si="163"/>
        <v>0.25</v>
      </c>
      <c r="C1742">
        <v>0</v>
      </c>
      <c r="D1742">
        <v>489.57299999999998</v>
      </c>
      <c r="E1742">
        <f t="shared" si="162"/>
        <v>489.41800000000001</v>
      </c>
      <c r="F1742">
        <v>489.54500000000002</v>
      </c>
      <c r="G1742">
        <f t="shared" si="164"/>
        <v>0</v>
      </c>
      <c r="H1742">
        <v>1.82</v>
      </c>
      <c r="I1742">
        <f t="shared" si="165"/>
        <v>0</v>
      </c>
      <c r="J1742">
        <f t="shared" si="166"/>
        <v>0</v>
      </c>
      <c r="K1742">
        <f t="shared" si="167"/>
        <v>0</v>
      </c>
    </row>
    <row r="1743" spans="1:11" x14ac:dyDescent="0.4">
      <c r="A1743" s="19">
        <v>45907.291666666664</v>
      </c>
      <c r="B1743" s="20">
        <f t="shared" si="163"/>
        <v>0.29166666666424135</v>
      </c>
      <c r="C1743">
        <v>0.2</v>
      </c>
      <c r="D1743">
        <v>489.57299999999998</v>
      </c>
      <c r="E1743">
        <f t="shared" si="162"/>
        <v>489.41800000000001</v>
      </c>
      <c r="F1743">
        <v>489.54500000000002</v>
      </c>
      <c r="G1743">
        <f t="shared" si="164"/>
        <v>0</v>
      </c>
      <c r="H1743">
        <v>1.82</v>
      </c>
      <c r="I1743">
        <f t="shared" si="165"/>
        <v>0</v>
      </c>
      <c r="J1743">
        <f t="shared" si="166"/>
        <v>0</v>
      </c>
      <c r="K1743">
        <f t="shared" si="167"/>
        <v>0</v>
      </c>
    </row>
    <row r="1744" spans="1:11" x14ac:dyDescent="0.4">
      <c r="A1744" s="19">
        <v>45907.333333333336</v>
      </c>
      <c r="B1744" s="20">
        <f t="shared" si="163"/>
        <v>0.33333333333575865</v>
      </c>
      <c r="C1744">
        <v>0.4</v>
      </c>
      <c r="D1744">
        <v>489.57299999999998</v>
      </c>
      <c r="E1744">
        <f t="shared" si="162"/>
        <v>489.41800000000001</v>
      </c>
      <c r="F1744">
        <v>489.54500000000002</v>
      </c>
      <c r="G1744">
        <f t="shared" si="164"/>
        <v>0</v>
      </c>
      <c r="H1744">
        <v>1.82</v>
      </c>
      <c r="I1744">
        <f t="shared" si="165"/>
        <v>0</v>
      </c>
      <c r="J1744">
        <f t="shared" si="166"/>
        <v>0</v>
      </c>
      <c r="K1744">
        <f t="shared" si="167"/>
        <v>0</v>
      </c>
    </row>
    <row r="1745" spans="1:11" x14ac:dyDescent="0.4">
      <c r="A1745" s="19">
        <v>45907.375</v>
      </c>
      <c r="B1745" s="20">
        <f t="shared" si="163"/>
        <v>0.375</v>
      </c>
      <c r="C1745">
        <v>2.4</v>
      </c>
      <c r="D1745">
        <v>489.57299999999998</v>
      </c>
      <c r="E1745">
        <f t="shared" si="162"/>
        <v>489.41800000000001</v>
      </c>
      <c r="F1745">
        <v>489.54500000000002</v>
      </c>
      <c r="G1745">
        <f t="shared" si="164"/>
        <v>0</v>
      </c>
      <c r="H1745">
        <v>1.82</v>
      </c>
      <c r="I1745">
        <f t="shared" si="165"/>
        <v>0</v>
      </c>
      <c r="J1745">
        <f t="shared" si="166"/>
        <v>0</v>
      </c>
      <c r="K1745">
        <f t="shared" si="167"/>
        <v>0</v>
      </c>
    </row>
    <row r="1746" spans="1:11" x14ac:dyDescent="0.4">
      <c r="A1746" s="19">
        <v>45907.416666666664</v>
      </c>
      <c r="B1746" s="20">
        <f t="shared" si="163"/>
        <v>0.41666666666424135</v>
      </c>
      <c r="C1746">
        <v>0</v>
      </c>
      <c r="D1746">
        <v>489.57900000000001</v>
      </c>
      <c r="E1746">
        <f t="shared" si="162"/>
        <v>489.42400000000004</v>
      </c>
      <c r="F1746">
        <v>489.54500000000002</v>
      </c>
      <c r="G1746">
        <f t="shared" si="164"/>
        <v>0</v>
      </c>
      <c r="H1746">
        <v>1.82</v>
      </c>
      <c r="I1746">
        <f t="shared" si="165"/>
        <v>0</v>
      </c>
      <c r="J1746">
        <f t="shared" si="166"/>
        <v>0</v>
      </c>
      <c r="K1746">
        <f t="shared" si="167"/>
        <v>0</v>
      </c>
    </row>
    <row r="1747" spans="1:11" x14ac:dyDescent="0.4">
      <c r="A1747" s="19">
        <v>45907.458333333336</v>
      </c>
      <c r="B1747" s="20">
        <f t="shared" si="163"/>
        <v>0.45833333333575865</v>
      </c>
      <c r="C1747">
        <v>0</v>
      </c>
      <c r="D1747">
        <v>489.572</v>
      </c>
      <c r="E1747">
        <f t="shared" ref="E1747:E1758" si="168">D1747-0.155</f>
        <v>489.41700000000003</v>
      </c>
      <c r="F1747">
        <v>489.54500000000002</v>
      </c>
      <c r="G1747">
        <f t="shared" si="164"/>
        <v>0</v>
      </c>
      <c r="H1747">
        <v>1.82</v>
      </c>
      <c r="I1747">
        <f t="shared" si="165"/>
        <v>0</v>
      </c>
      <c r="J1747">
        <f t="shared" si="166"/>
        <v>0</v>
      </c>
      <c r="K1747">
        <f t="shared" si="167"/>
        <v>0</v>
      </c>
    </row>
    <row r="1748" spans="1:11" x14ac:dyDescent="0.4">
      <c r="A1748" s="19">
        <v>45907.5</v>
      </c>
      <c r="B1748" s="20">
        <f t="shared" si="163"/>
        <v>0.5</v>
      </c>
      <c r="C1748">
        <v>0</v>
      </c>
      <c r="D1748">
        <v>489.57900000000001</v>
      </c>
      <c r="E1748">
        <f t="shared" si="168"/>
        <v>489.42400000000004</v>
      </c>
      <c r="F1748">
        <v>489.54500000000002</v>
      </c>
      <c r="G1748">
        <f t="shared" si="164"/>
        <v>0</v>
      </c>
      <c r="H1748">
        <v>1.82</v>
      </c>
      <c r="I1748">
        <f t="shared" si="165"/>
        <v>0</v>
      </c>
      <c r="J1748">
        <f t="shared" si="166"/>
        <v>0</v>
      </c>
      <c r="K1748">
        <f t="shared" si="167"/>
        <v>0</v>
      </c>
    </row>
    <row r="1749" spans="1:11" x14ac:dyDescent="0.4">
      <c r="A1749" s="19">
        <v>45907.541666666664</v>
      </c>
      <c r="B1749" s="20">
        <f t="shared" si="163"/>
        <v>0.54166666666424135</v>
      </c>
      <c r="C1749">
        <v>0</v>
      </c>
      <c r="D1749">
        <v>489.572</v>
      </c>
      <c r="E1749">
        <f t="shared" si="168"/>
        <v>489.41700000000003</v>
      </c>
      <c r="F1749">
        <v>489.54500000000002</v>
      </c>
      <c r="G1749">
        <f t="shared" si="164"/>
        <v>0</v>
      </c>
      <c r="H1749">
        <v>1.82</v>
      </c>
      <c r="I1749">
        <f t="shared" si="165"/>
        <v>0</v>
      </c>
      <c r="J1749">
        <f t="shared" si="166"/>
        <v>0</v>
      </c>
      <c r="K1749">
        <f t="shared" si="167"/>
        <v>0</v>
      </c>
    </row>
    <row r="1750" spans="1:11" x14ac:dyDescent="0.4">
      <c r="A1750" s="19">
        <v>45907.583333333336</v>
      </c>
      <c r="B1750" s="20">
        <f t="shared" si="163"/>
        <v>0.58333333333575865</v>
      </c>
      <c r="C1750">
        <v>0</v>
      </c>
      <c r="D1750">
        <v>489.572</v>
      </c>
      <c r="E1750">
        <f t="shared" si="168"/>
        <v>489.41700000000003</v>
      </c>
      <c r="F1750">
        <v>489.54500000000002</v>
      </c>
      <c r="G1750">
        <f t="shared" si="164"/>
        <v>0</v>
      </c>
      <c r="H1750">
        <v>1.82</v>
      </c>
      <c r="I1750">
        <f t="shared" si="165"/>
        <v>0</v>
      </c>
      <c r="J1750">
        <f t="shared" si="166"/>
        <v>0</v>
      </c>
      <c r="K1750">
        <f t="shared" si="167"/>
        <v>0</v>
      </c>
    </row>
    <row r="1751" spans="1:11" x14ac:dyDescent="0.4">
      <c r="A1751" s="19">
        <v>45907.625</v>
      </c>
      <c r="B1751" s="20">
        <f t="shared" si="163"/>
        <v>0.625</v>
      </c>
      <c r="C1751">
        <v>0</v>
      </c>
      <c r="D1751">
        <v>489.565</v>
      </c>
      <c r="E1751">
        <f t="shared" si="168"/>
        <v>489.41</v>
      </c>
      <c r="F1751">
        <v>489.54500000000002</v>
      </c>
      <c r="G1751">
        <f t="shared" si="164"/>
        <v>0</v>
      </c>
      <c r="H1751">
        <v>1.82</v>
      </c>
      <c r="I1751">
        <f t="shared" si="165"/>
        <v>0</v>
      </c>
      <c r="J1751">
        <f t="shared" si="166"/>
        <v>0</v>
      </c>
      <c r="K1751">
        <f t="shared" si="167"/>
        <v>0</v>
      </c>
    </row>
    <row r="1752" spans="1:11" x14ac:dyDescent="0.4">
      <c r="A1752" s="19">
        <v>45907.666666666664</v>
      </c>
      <c r="B1752" s="20">
        <f t="shared" si="163"/>
        <v>0.66666666666424135</v>
      </c>
      <c r="C1752">
        <v>0</v>
      </c>
      <c r="D1752">
        <v>489.56599999999997</v>
      </c>
      <c r="E1752">
        <f t="shared" si="168"/>
        <v>489.411</v>
      </c>
      <c r="F1752">
        <v>489.54500000000002</v>
      </c>
      <c r="G1752">
        <f t="shared" si="164"/>
        <v>0</v>
      </c>
      <c r="H1752">
        <v>1.82</v>
      </c>
      <c r="I1752">
        <f t="shared" si="165"/>
        <v>0</v>
      </c>
      <c r="J1752">
        <f t="shared" si="166"/>
        <v>0</v>
      </c>
      <c r="K1752">
        <f t="shared" si="167"/>
        <v>0</v>
      </c>
    </row>
    <row r="1753" spans="1:11" x14ac:dyDescent="0.4">
      <c r="A1753" s="19">
        <v>45907.708333333336</v>
      </c>
      <c r="B1753" s="20">
        <f t="shared" si="163"/>
        <v>0.70833333333575865</v>
      </c>
      <c r="C1753">
        <v>0</v>
      </c>
      <c r="D1753">
        <v>489.56599999999997</v>
      </c>
      <c r="E1753">
        <f t="shared" si="168"/>
        <v>489.411</v>
      </c>
      <c r="F1753">
        <v>489.54500000000002</v>
      </c>
      <c r="G1753">
        <f t="shared" si="164"/>
        <v>0</v>
      </c>
      <c r="H1753">
        <v>1.82</v>
      </c>
      <c r="I1753">
        <f t="shared" si="165"/>
        <v>0</v>
      </c>
      <c r="J1753">
        <f t="shared" si="166"/>
        <v>0</v>
      </c>
      <c r="K1753">
        <f t="shared" si="167"/>
        <v>0</v>
      </c>
    </row>
    <row r="1754" spans="1:11" x14ac:dyDescent="0.4">
      <c r="A1754" s="19">
        <v>45907.75</v>
      </c>
      <c r="B1754" s="20">
        <f t="shared" si="163"/>
        <v>0.75</v>
      </c>
      <c r="C1754">
        <v>0</v>
      </c>
      <c r="D1754">
        <v>489.56599999999997</v>
      </c>
      <c r="E1754">
        <f t="shared" si="168"/>
        <v>489.411</v>
      </c>
      <c r="F1754">
        <v>489.54500000000002</v>
      </c>
      <c r="G1754">
        <f t="shared" si="164"/>
        <v>0</v>
      </c>
      <c r="H1754">
        <v>1.82</v>
      </c>
      <c r="I1754">
        <f t="shared" si="165"/>
        <v>0</v>
      </c>
      <c r="J1754">
        <f t="shared" si="166"/>
        <v>0</v>
      </c>
      <c r="K1754">
        <f t="shared" si="167"/>
        <v>0</v>
      </c>
    </row>
    <row r="1755" spans="1:11" x14ac:dyDescent="0.4">
      <c r="A1755" s="19">
        <v>45907.791666666664</v>
      </c>
      <c r="B1755" s="20">
        <f t="shared" si="163"/>
        <v>0.79166666666424135</v>
      </c>
      <c r="C1755">
        <v>0</v>
      </c>
      <c r="D1755">
        <v>489.56599999999997</v>
      </c>
      <c r="E1755">
        <f t="shared" si="168"/>
        <v>489.411</v>
      </c>
      <c r="F1755">
        <v>489.54500000000002</v>
      </c>
      <c r="G1755">
        <f t="shared" si="164"/>
        <v>0</v>
      </c>
      <c r="H1755">
        <v>1.82</v>
      </c>
      <c r="I1755">
        <f t="shared" si="165"/>
        <v>0</v>
      </c>
      <c r="J1755">
        <f t="shared" si="166"/>
        <v>0</v>
      </c>
      <c r="K1755">
        <f t="shared" si="167"/>
        <v>0</v>
      </c>
    </row>
    <row r="1756" spans="1:11" x14ac:dyDescent="0.4">
      <c r="A1756" s="19">
        <v>45907.833333333336</v>
      </c>
      <c r="B1756" s="20">
        <f t="shared" si="163"/>
        <v>0.83333333333575865</v>
      </c>
      <c r="C1756">
        <v>0</v>
      </c>
      <c r="D1756">
        <v>489.56599999999997</v>
      </c>
      <c r="E1756">
        <f t="shared" si="168"/>
        <v>489.411</v>
      </c>
      <c r="F1756">
        <v>489.54500000000002</v>
      </c>
      <c r="G1756">
        <f t="shared" si="164"/>
        <v>0</v>
      </c>
      <c r="H1756">
        <v>1.82</v>
      </c>
      <c r="I1756">
        <f t="shared" si="165"/>
        <v>0</v>
      </c>
      <c r="J1756">
        <f t="shared" si="166"/>
        <v>0</v>
      </c>
      <c r="K1756">
        <f t="shared" si="167"/>
        <v>0</v>
      </c>
    </row>
    <row r="1757" spans="1:11" x14ac:dyDescent="0.4">
      <c r="A1757" s="19">
        <v>45907.875</v>
      </c>
      <c r="B1757" s="20">
        <f t="shared" si="163"/>
        <v>0.875</v>
      </c>
      <c r="C1757">
        <v>0</v>
      </c>
      <c r="D1757">
        <v>489.56</v>
      </c>
      <c r="E1757">
        <f t="shared" si="168"/>
        <v>489.40500000000003</v>
      </c>
      <c r="F1757">
        <v>489.54500000000002</v>
      </c>
      <c r="G1757">
        <f t="shared" si="164"/>
        <v>0</v>
      </c>
      <c r="H1757">
        <v>1.82</v>
      </c>
      <c r="I1757">
        <f t="shared" si="165"/>
        <v>0</v>
      </c>
      <c r="J1757">
        <f t="shared" si="166"/>
        <v>0</v>
      </c>
      <c r="K1757">
        <f t="shared" si="167"/>
        <v>0</v>
      </c>
    </row>
    <row r="1758" spans="1:11" x14ac:dyDescent="0.4">
      <c r="A1758" s="19">
        <v>45907.916666666664</v>
      </c>
      <c r="B1758" s="20">
        <f t="shared" si="163"/>
        <v>0.91666666666424135</v>
      </c>
      <c r="C1758">
        <v>0</v>
      </c>
      <c r="D1758">
        <v>489.56</v>
      </c>
      <c r="E1758">
        <f t="shared" si="168"/>
        <v>489.40500000000003</v>
      </c>
      <c r="F1758">
        <v>489.54500000000002</v>
      </c>
      <c r="G1758">
        <f t="shared" si="164"/>
        <v>0</v>
      </c>
      <c r="H1758">
        <v>1.82</v>
      </c>
      <c r="I1758">
        <f t="shared" si="165"/>
        <v>0</v>
      </c>
      <c r="J1758">
        <f t="shared" si="166"/>
        <v>0</v>
      </c>
      <c r="K1758">
        <f t="shared" si="167"/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815AA-195F-48CE-8A69-CC9A80833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บัญชีน้ำ</vt:lpstr>
      <vt:lpstr>Area_Terrain</vt:lpstr>
      <vt:lpstr>Rating Curve 1 CM</vt:lpstr>
      <vt:lpstr>อัตราการไหล ท่อฝั่งspillway</vt:lpstr>
      <vt:lpstr>อัตราการไหลท่อฝั่งทางเข้าอ่าง</vt:lpstr>
      <vt:lpstr>ตารางปล่อยน้ำ</vt:lpstr>
      <vt:lpstr>น้ำล้นสปิลเวย์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MONTREE PINKAEO</cp:lastModifiedBy>
  <dcterms:created xsi:type="dcterms:W3CDTF">2025-02-18T08:01:43Z</dcterms:created>
  <dcterms:modified xsi:type="dcterms:W3CDTF">2026-02-06T02:13:13Z</dcterms:modified>
</cp:coreProperties>
</file>