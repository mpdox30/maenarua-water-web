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niversity of Phayao\เอกสารการเรียน\Paper 3\Daily water data table\"/>
    </mc:Choice>
  </mc:AlternateContent>
  <xr:revisionPtr revIDLastSave="0" documentId="13_ncr:1_{8AF73F34-D806-49FD-A5CB-26BF1A19103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nfig" sheetId="1" r:id="rId1"/>
    <sheet name="Daily_Input" sheetId="2" r:id="rId2"/>
    <sheet name="Training_Ready" sheetId="3" r:id="rId3"/>
    <sheet name="Training_value" sheetId="5" r:id="rId4"/>
    <sheet name="Data_Dictionary" sheetId="4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 a="1"/>
  <c r="E4" i="3"/>
  <c r="E5" i="3" a="1"/>
  <c r="E5" i="3"/>
  <c r="E6" i="3" a="1"/>
  <c r="E6" i="3"/>
  <c r="E7" i="3" a="1"/>
  <c r="E7" i="3"/>
  <c r="E8" i="3" a="1"/>
  <c r="E8" i="3"/>
  <c r="E9" i="3" a="1"/>
  <c r="E9" i="3"/>
  <c r="E10" i="3" a="1"/>
  <c r="E10" i="3"/>
  <c r="E11" i="3" a="1"/>
  <c r="E11" i="3"/>
  <c r="E12" i="3" a="1"/>
  <c r="E12" i="3"/>
  <c r="E13" i="3" a="1"/>
  <c r="E13" i="3"/>
  <c r="E14" i="3" a="1"/>
  <c r="E14" i="3"/>
  <c r="E15" i="3" a="1"/>
  <c r="E15" i="3"/>
  <c r="E16" i="3" a="1"/>
  <c r="E16" i="3"/>
  <c r="E17" i="3" a="1"/>
  <c r="E17" i="3"/>
  <c r="E18" i="3" a="1"/>
  <c r="E18" i="3"/>
  <c r="E19" i="3" a="1"/>
  <c r="E19" i="3"/>
  <c r="E20" i="3" a="1"/>
  <c r="E20" i="3"/>
  <c r="E21" i="3" a="1"/>
  <c r="E21" i="3"/>
  <c r="E22" i="3" a="1"/>
  <c r="E22" i="3"/>
  <c r="E23" i="3" a="1"/>
  <c r="E23" i="3"/>
  <c r="E24" i="3" a="1"/>
  <c r="E24" i="3"/>
  <c r="E25" i="3" a="1"/>
  <c r="E25" i="3"/>
  <c r="E26" i="3" a="1"/>
  <c r="E26" i="3"/>
  <c r="E27" i="3" a="1"/>
  <c r="E27" i="3"/>
  <c r="E28" i="3" a="1"/>
  <c r="E28" i="3"/>
  <c r="E29" i="3" a="1"/>
  <c r="E29" i="3"/>
  <c r="E30" i="3" a="1"/>
  <c r="E30" i="3"/>
  <c r="E31" i="3" a="1"/>
  <c r="E31" i="3"/>
  <c r="E32" i="3" a="1"/>
  <c r="E32" i="3"/>
  <c r="E33" i="3" a="1"/>
  <c r="E33" i="3"/>
  <c r="E34" i="3" a="1"/>
  <c r="E34" i="3"/>
  <c r="E35" i="3" a="1"/>
  <c r="E35" i="3"/>
  <c r="E36" i="3" a="1"/>
  <c r="E36" i="3"/>
  <c r="E37" i="3" a="1"/>
  <c r="E37" i="3"/>
  <c r="E38" i="3" a="1"/>
  <c r="E38" i="3"/>
  <c r="E39" i="3" a="1"/>
  <c r="E39" i="3"/>
  <c r="E40" i="3" a="1"/>
  <c r="E40" i="3"/>
  <c r="E41" i="3" a="1"/>
  <c r="E41" i="3"/>
  <c r="E42" i="3" a="1"/>
  <c r="E42" i="3"/>
  <c r="E43" i="3" a="1"/>
  <c r="E43" i="3"/>
  <c r="E44" i="3" a="1"/>
  <c r="E44" i="3"/>
  <c r="E45" i="3" a="1"/>
  <c r="E45" i="3"/>
  <c r="E46" i="3" a="1"/>
  <c r="E46" i="3"/>
  <c r="E47" i="3" a="1"/>
  <c r="E47" i="3"/>
  <c r="E48" i="3" a="1"/>
  <c r="E48" i="3"/>
  <c r="E49" i="3" a="1"/>
  <c r="E49" i="3"/>
  <c r="E50" i="3" a="1"/>
  <c r="E50" i="3"/>
  <c r="E51" i="3" a="1"/>
  <c r="E51" i="3"/>
  <c r="E52" i="3" a="1"/>
  <c r="E52" i="3"/>
  <c r="E53" i="3" a="1"/>
  <c r="E53" i="3"/>
  <c r="E54" i="3" a="1"/>
  <c r="E54" i="3"/>
  <c r="E55" i="3" a="1"/>
  <c r="E55" i="3"/>
  <c r="E56" i="3" a="1"/>
  <c r="E56" i="3"/>
  <c r="E57" i="3" a="1"/>
  <c r="E57" i="3"/>
  <c r="E58" i="3" a="1"/>
  <c r="E58" i="3"/>
  <c r="E59" i="3" a="1"/>
  <c r="E59" i="3"/>
  <c r="E60" i="3" a="1"/>
  <c r="E60" i="3"/>
  <c r="E61" i="3" a="1"/>
  <c r="E61" i="3"/>
  <c r="E62" i="3" a="1"/>
  <c r="E62" i="3"/>
  <c r="E63" i="3" a="1"/>
  <c r="E63" i="3"/>
  <c r="E64" i="3" a="1"/>
  <c r="E64" i="3"/>
  <c r="E65" i="3" a="1"/>
  <c r="E65" i="3"/>
  <c r="E66" i="3" a="1"/>
  <c r="E66" i="3"/>
  <c r="E67" i="3" a="1"/>
  <c r="E67" i="3"/>
  <c r="E68" i="3" a="1"/>
  <c r="E68" i="3"/>
  <c r="E69" i="3" a="1"/>
  <c r="E69" i="3"/>
  <c r="E70" i="3" a="1"/>
  <c r="E70" i="3"/>
  <c r="E71" i="3" a="1"/>
  <c r="E71" i="3"/>
  <c r="E72" i="3" a="1"/>
  <c r="E72" i="3"/>
  <c r="E73" i="3" a="1"/>
  <c r="E73" i="3"/>
  <c r="E74" i="3" a="1"/>
  <c r="E74" i="3"/>
  <c r="E75" i="3" a="1"/>
  <c r="E75" i="3"/>
  <c r="E76" i="3" a="1"/>
  <c r="E76" i="3"/>
  <c r="E77" i="3" a="1"/>
  <c r="E77" i="3"/>
  <c r="E78" i="3" a="1"/>
  <c r="E78" i="3"/>
  <c r="E79" i="3" a="1"/>
  <c r="E79" i="3"/>
  <c r="E80" i="3" a="1"/>
  <c r="E80" i="3"/>
  <c r="E81" i="3" a="1"/>
  <c r="E81" i="3"/>
  <c r="E82" i="3" a="1"/>
  <c r="E82" i="3"/>
  <c r="E83" i="3" a="1"/>
  <c r="E83" i="3"/>
  <c r="E84" i="3" a="1"/>
  <c r="E84" i="3"/>
  <c r="E85" i="3" a="1"/>
  <c r="E85" i="3"/>
  <c r="E86" i="3" a="1"/>
  <c r="E86" i="3"/>
  <c r="E87" i="3" a="1"/>
  <c r="E87" i="3"/>
  <c r="E88" i="3" a="1"/>
  <c r="E88" i="3"/>
  <c r="E89" i="3" a="1"/>
  <c r="E89" i="3"/>
  <c r="E90" i="3" a="1"/>
  <c r="E90" i="3"/>
  <c r="E91" i="3" a="1"/>
  <c r="E91" i="3"/>
  <c r="E92" i="3" a="1"/>
  <c r="E92" i="3"/>
  <c r="E93" i="3" a="1"/>
  <c r="E93" i="3"/>
  <c r="E94" i="3" a="1"/>
  <c r="E94" i="3"/>
  <c r="E95" i="3" a="1"/>
  <c r="E95" i="3"/>
  <c r="E96" i="3" a="1"/>
  <c r="E96" i="3"/>
  <c r="E97" i="3" a="1"/>
  <c r="E97" i="3"/>
  <c r="E98" i="3" a="1"/>
  <c r="E98" i="3"/>
  <c r="E99" i="3" a="1"/>
  <c r="E99" i="3"/>
  <c r="E100" i="3" a="1"/>
  <c r="E100" i="3"/>
  <c r="E101" i="3" a="1"/>
  <c r="E101" i="3"/>
  <c r="E102" i="3" a="1"/>
  <c r="E102" i="3"/>
  <c r="E103" i="3" a="1"/>
  <c r="E103" i="3"/>
  <c r="E104" i="3" a="1"/>
  <c r="E104" i="3"/>
  <c r="E105" i="3" a="1"/>
  <c r="E105" i="3"/>
  <c r="E106" i="3" a="1"/>
  <c r="E106" i="3"/>
  <c r="E107" i="3" a="1"/>
  <c r="E107" i="3"/>
  <c r="E108" i="3" a="1"/>
  <c r="E108" i="3"/>
  <c r="E109" i="3" a="1"/>
  <c r="E109" i="3"/>
  <c r="E110" i="3" a="1"/>
  <c r="E110" i="3"/>
  <c r="E111" i="3" a="1"/>
  <c r="E111" i="3"/>
  <c r="E112" i="3" a="1"/>
  <c r="E112" i="3"/>
  <c r="E113" i="3" a="1"/>
  <c r="E113" i="3"/>
  <c r="E114" i="3" a="1"/>
  <c r="E114" i="3"/>
  <c r="E115" i="3" a="1"/>
  <c r="E115" i="3"/>
  <c r="E116" i="3" a="1"/>
  <c r="E116" i="3"/>
  <c r="E117" i="3" a="1"/>
  <c r="E117" i="3"/>
  <c r="E118" i="3" a="1"/>
  <c r="E118" i="3"/>
  <c r="E119" i="3" a="1"/>
  <c r="E119" i="3"/>
  <c r="E120" i="3" a="1"/>
  <c r="E120" i="3"/>
  <c r="E121" i="3" a="1"/>
  <c r="E121" i="3"/>
  <c r="E122" i="3" a="1"/>
  <c r="E122" i="3"/>
  <c r="E123" i="3" a="1"/>
  <c r="E123" i="3"/>
  <c r="E124" i="3" a="1"/>
  <c r="E124" i="3"/>
  <c r="E125" i="3" a="1"/>
  <c r="E125" i="3"/>
  <c r="E126" i="3" a="1"/>
  <c r="E126" i="3"/>
  <c r="E127" i="3" a="1"/>
  <c r="E127" i="3"/>
  <c r="E128" i="3" a="1"/>
  <c r="E128" i="3"/>
  <c r="E129" i="3" a="1"/>
  <c r="E129" i="3"/>
  <c r="E130" i="3" a="1"/>
  <c r="E130" i="3"/>
  <c r="E131" i="3" a="1"/>
  <c r="E131" i="3"/>
  <c r="E132" i="3" a="1"/>
  <c r="E132" i="3"/>
  <c r="E133" i="3" a="1"/>
  <c r="E133" i="3"/>
  <c r="E134" i="3" a="1"/>
  <c r="E134" i="3"/>
  <c r="E135" i="3" a="1"/>
  <c r="E135" i="3"/>
  <c r="E136" i="3" a="1"/>
  <c r="E136" i="3"/>
  <c r="E137" i="3" a="1"/>
  <c r="E137" i="3"/>
  <c r="E138" i="3" a="1"/>
  <c r="E138" i="3"/>
  <c r="E139" i="3" a="1"/>
  <c r="E139" i="3"/>
  <c r="E140" i="3" a="1"/>
  <c r="E140" i="3"/>
  <c r="E141" i="3" a="1"/>
  <c r="E141" i="3"/>
  <c r="E142" i="3" a="1"/>
  <c r="E142" i="3"/>
  <c r="E143" i="3" a="1"/>
  <c r="E143" i="3"/>
  <c r="E144" i="3" a="1"/>
  <c r="E144" i="3"/>
  <c r="E145" i="3" a="1"/>
  <c r="E145" i="3"/>
  <c r="E146" i="3" a="1"/>
  <c r="E146" i="3"/>
  <c r="E147" i="3" a="1"/>
  <c r="E147" i="3"/>
  <c r="E148" i="3" a="1"/>
  <c r="E148" i="3"/>
  <c r="E149" i="3" a="1"/>
  <c r="E149" i="3"/>
  <c r="E150" i="3" a="1"/>
  <c r="E150" i="3"/>
  <c r="E151" i="3" a="1"/>
  <c r="E151" i="3"/>
  <c r="E152" i="3" a="1"/>
  <c r="E152" i="3"/>
  <c r="E153" i="3" a="1"/>
  <c r="E153" i="3"/>
  <c r="E154" i="3" a="1"/>
  <c r="E154" i="3"/>
  <c r="E155" i="3" a="1"/>
  <c r="E155" i="3"/>
  <c r="E156" i="3" a="1"/>
  <c r="E156" i="3"/>
  <c r="E157" i="3" a="1"/>
  <c r="E157" i="3"/>
  <c r="E158" i="3" a="1"/>
  <c r="E158" i="3"/>
  <c r="E159" i="3" a="1"/>
  <c r="E159" i="3"/>
  <c r="E160" i="3" a="1"/>
  <c r="E160" i="3"/>
  <c r="E161" i="3" a="1"/>
  <c r="E161" i="3"/>
  <c r="E162" i="3" a="1"/>
  <c r="E162" i="3"/>
  <c r="E163" i="3" a="1"/>
  <c r="E163" i="3"/>
  <c r="E164" i="3" a="1"/>
  <c r="E164" i="3"/>
  <c r="E165" i="3" a="1"/>
  <c r="E165" i="3"/>
  <c r="E166" i="3" a="1"/>
  <c r="E166" i="3"/>
  <c r="E167" i="3" a="1"/>
  <c r="E167" i="3"/>
  <c r="E168" i="3" a="1"/>
  <c r="E168" i="3"/>
  <c r="E169" i="3" a="1"/>
  <c r="E169" i="3"/>
  <c r="E170" i="3" a="1"/>
  <c r="E170" i="3"/>
  <c r="E171" i="3" a="1"/>
  <c r="E171" i="3"/>
  <c r="E172" i="3" a="1"/>
  <c r="E172" i="3"/>
  <c r="E173" i="3" a="1"/>
  <c r="E173" i="3"/>
  <c r="E174" i="3" a="1"/>
  <c r="E174" i="3"/>
  <c r="E175" i="3" a="1"/>
  <c r="E175" i="3"/>
  <c r="E176" i="3" a="1"/>
  <c r="E176" i="3"/>
  <c r="E177" i="3" a="1"/>
  <c r="E177" i="3"/>
  <c r="E178" i="3" a="1"/>
  <c r="E178" i="3"/>
  <c r="E179" i="3" a="1"/>
  <c r="E179" i="3"/>
  <c r="E180" i="3" a="1"/>
  <c r="E180" i="3"/>
  <c r="E181" i="3" a="1"/>
  <c r="E181" i="3"/>
  <c r="E182" i="3" a="1"/>
  <c r="E182" i="3"/>
  <c r="E183" i="3" a="1"/>
  <c r="E183" i="3"/>
  <c r="E184" i="3" a="1"/>
  <c r="E184" i="3"/>
  <c r="E185" i="3" a="1"/>
  <c r="E185" i="3"/>
  <c r="E186" i="3" a="1"/>
  <c r="E186" i="3"/>
  <c r="E187" i="3" a="1"/>
  <c r="E187" i="3"/>
  <c r="E188" i="3" a="1"/>
  <c r="E188" i="3"/>
  <c r="E189" i="3" a="1"/>
  <c r="E189" i="3"/>
  <c r="E190" i="3" a="1"/>
  <c r="E190" i="3"/>
  <c r="E191" i="3" a="1"/>
  <c r="E191" i="3"/>
  <c r="E192" i="3" a="1"/>
  <c r="E192" i="3"/>
  <c r="E193" i="3" a="1"/>
  <c r="E193" i="3"/>
  <c r="E194" i="3" a="1"/>
  <c r="E194" i="3"/>
  <c r="E195" i="3" a="1"/>
  <c r="E195" i="3"/>
  <c r="E196" i="3" a="1"/>
  <c r="E196" i="3"/>
  <c r="E197" i="3" a="1"/>
  <c r="E197" i="3"/>
  <c r="E198" i="3" a="1"/>
  <c r="E198" i="3"/>
  <c r="E199" i="3" a="1"/>
  <c r="E199" i="3"/>
  <c r="E200" i="3" a="1"/>
  <c r="E200" i="3"/>
  <c r="E201" i="3" a="1"/>
  <c r="E201" i="3"/>
  <c r="E202" i="3" a="1"/>
  <c r="E202" i="3"/>
  <c r="E203" i="3" a="1"/>
  <c r="E203" i="3"/>
  <c r="E204" i="3" a="1"/>
  <c r="E204" i="3"/>
  <c r="E205" i="3" a="1"/>
  <c r="E205" i="3"/>
  <c r="E206" i="3" a="1"/>
  <c r="E206" i="3"/>
  <c r="E207" i="3" a="1"/>
  <c r="E207" i="3"/>
  <c r="E208" i="3" a="1"/>
  <c r="E208" i="3"/>
  <c r="E209" i="3" a="1"/>
  <c r="E209" i="3"/>
  <c r="E210" i="3" a="1"/>
  <c r="E210" i="3"/>
  <c r="E211" i="3" a="1"/>
  <c r="E211" i="3"/>
  <c r="E212" i="3" a="1"/>
  <c r="E212" i="3"/>
  <c r="E213" i="3" a="1"/>
  <c r="E213" i="3"/>
  <c r="E214" i="3" a="1"/>
  <c r="E214" i="3"/>
  <c r="E215" i="3" a="1"/>
  <c r="E215" i="3"/>
  <c r="E216" i="3" a="1"/>
  <c r="E216" i="3"/>
  <c r="E3" i="3" a="1"/>
  <c r="E3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5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16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5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16" i="3"/>
  <c r="S15" i="3"/>
  <c r="S14" i="3"/>
  <c r="S13" i="3"/>
  <c r="S12" i="3"/>
  <c r="S11" i="3"/>
  <c r="S10" i="3"/>
  <c r="S9" i="3"/>
  <c r="S8" i="3"/>
  <c r="R8" i="3"/>
  <c r="S7" i="3"/>
  <c r="R7" i="3"/>
  <c r="S6" i="3"/>
  <c r="R6" i="3"/>
  <c r="S5" i="3"/>
  <c r="R5" i="3"/>
  <c r="S4" i="3"/>
  <c r="R4" i="3"/>
  <c r="S3" i="3"/>
  <c r="R3" i="3"/>
  <c r="S2" i="3"/>
  <c r="R2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O8" i="3"/>
  <c r="O7" i="3"/>
  <c r="O6" i="3"/>
  <c r="O5" i="3"/>
  <c r="O4" i="3"/>
  <c r="O3" i="3"/>
  <c r="O2" i="3"/>
  <c r="AC3" i="3" l="1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M33" i="3" l="1"/>
  <c r="M13" i="3"/>
  <c r="N3" i="3"/>
  <c r="N4" i="3"/>
  <c r="N11" i="3"/>
  <c r="N12" i="3"/>
  <c r="N13" i="3"/>
  <c r="N14" i="3"/>
  <c r="N15" i="3"/>
  <c r="N19" i="3"/>
  <c r="N20" i="3"/>
  <c r="N21" i="3"/>
  <c r="N22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M3" i="3"/>
  <c r="M4" i="3"/>
  <c r="M5" i="3"/>
  <c r="M6" i="3"/>
  <c r="M7" i="3"/>
  <c r="M8" i="3"/>
  <c r="M9" i="3"/>
  <c r="M10" i="3"/>
  <c r="M11" i="3"/>
  <c r="M12" i="3"/>
  <c r="M14" i="3"/>
  <c r="M26" i="3"/>
  <c r="M27" i="3"/>
  <c r="M28" i="3"/>
  <c r="M29" i="3"/>
  <c r="M30" i="3"/>
  <c r="M31" i="3"/>
  <c r="M32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L2" i="3"/>
  <c r="M16" i="3" l="1"/>
  <c r="M17" i="3"/>
  <c r="M15" i="3"/>
  <c r="N18" i="3"/>
  <c r="N17" i="3"/>
  <c r="N16" i="3"/>
  <c r="M25" i="3"/>
  <c r="N7" i="3"/>
  <c r="N27" i="3"/>
  <c r="M24" i="3"/>
  <c r="N6" i="3"/>
  <c r="N8" i="3"/>
  <c r="N28" i="3"/>
  <c r="M23" i="3"/>
  <c r="N5" i="3"/>
  <c r="N9" i="3"/>
  <c r="N29" i="3"/>
  <c r="M22" i="3"/>
  <c r="M21" i="3"/>
  <c r="M20" i="3"/>
  <c r="N26" i="3"/>
  <c r="M19" i="3"/>
  <c r="N25" i="3"/>
  <c r="M18" i="3"/>
  <c r="N24" i="3"/>
  <c r="N23" i="3"/>
  <c r="N30" i="3"/>
  <c r="N10" i="3"/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I166" i="3" l="1"/>
  <c r="AH166" i="3"/>
  <c r="AF166" i="3"/>
  <c r="AG166" i="3"/>
  <c r="AE166" i="3"/>
  <c r="AD166" i="3"/>
  <c r="I26" i="3"/>
  <c r="K26" i="3" s="1"/>
  <c r="AH26" i="3"/>
  <c r="AF26" i="3"/>
  <c r="AD26" i="3"/>
  <c r="AG26" i="3"/>
  <c r="AE26" i="3"/>
  <c r="I205" i="3"/>
  <c r="J205" i="3" s="1"/>
  <c r="AH205" i="3"/>
  <c r="AF205" i="3"/>
  <c r="AG205" i="3"/>
  <c r="AD205" i="3"/>
  <c r="AE205" i="3"/>
  <c r="I125" i="3"/>
  <c r="J125" i="3" s="1"/>
  <c r="AH125" i="3"/>
  <c r="AF125" i="3"/>
  <c r="AG125" i="3"/>
  <c r="AD125" i="3"/>
  <c r="AE125" i="3"/>
  <c r="I65" i="3"/>
  <c r="J65" i="3" s="1"/>
  <c r="AH65" i="3"/>
  <c r="AF65" i="3"/>
  <c r="AG65" i="3"/>
  <c r="AD65" i="3"/>
  <c r="AE65" i="3"/>
  <c r="I164" i="3"/>
  <c r="J164" i="3" s="1"/>
  <c r="AG164" i="3"/>
  <c r="AF164" i="3"/>
  <c r="AH164" i="3"/>
  <c r="AD164" i="3"/>
  <c r="AE164" i="3"/>
  <c r="I163" i="3"/>
  <c r="K163" i="3" s="1"/>
  <c r="AG163" i="3"/>
  <c r="AF163" i="3"/>
  <c r="AH163" i="3"/>
  <c r="AE163" i="3"/>
  <c r="AD163" i="3"/>
  <c r="I63" i="3"/>
  <c r="K63" i="3" s="1"/>
  <c r="AG63" i="3"/>
  <c r="AF63" i="3"/>
  <c r="AH63" i="3"/>
  <c r="AD63" i="3"/>
  <c r="AE63" i="3"/>
  <c r="I202" i="3"/>
  <c r="J202" i="3" s="1"/>
  <c r="AF202" i="3"/>
  <c r="AG202" i="3"/>
  <c r="AH202" i="3"/>
  <c r="AD202" i="3"/>
  <c r="AE202" i="3"/>
  <c r="I102" i="3"/>
  <c r="K102" i="3" s="1"/>
  <c r="AF102" i="3"/>
  <c r="AG102" i="3"/>
  <c r="AH102" i="3"/>
  <c r="AD102" i="3"/>
  <c r="AE102" i="3"/>
  <c r="I101" i="3"/>
  <c r="AF101" i="3"/>
  <c r="AG101" i="3"/>
  <c r="AH101" i="3"/>
  <c r="AE101" i="3"/>
  <c r="AD101" i="3"/>
  <c r="I160" i="3"/>
  <c r="AF160" i="3"/>
  <c r="AG160" i="3"/>
  <c r="AH160" i="3"/>
  <c r="AD160" i="3"/>
  <c r="AE160" i="3"/>
  <c r="I100" i="3"/>
  <c r="K100" i="3" s="1"/>
  <c r="AF100" i="3"/>
  <c r="AG100" i="3"/>
  <c r="AH100" i="3"/>
  <c r="AD100" i="3"/>
  <c r="AE100" i="3"/>
  <c r="I20" i="3"/>
  <c r="K20" i="3" s="1"/>
  <c r="AF20" i="3"/>
  <c r="AG20" i="3"/>
  <c r="AH20" i="3"/>
  <c r="AE20" i="3"/>
  <c r="AD20" i="3"/>
  <c r="I119" i="3"/>
  <c r="J119" i="3" s="1"/>
  <c r="AF119" i="3"/>
  <c r="AG119" i="3"/>
  <c r="AH119" i="3"/>
  <c r="AD119" i="3"/>
  <c r="AE119" i="3"/>
  <c r="I158" i="3"/>
  <c r="J158" i="3" s="1"/>
  <c r="AF158" i="3"/>
  <c r="AH158" i="3"/>
  <c r="AG158" i="3"/>
  <c r="AD158" i="3"/>
  <c r="AE158" i="3"/>
  <c r="I58" i="3"/>
  <c r="K58" i="3" s="1"/>
  <c r="AF58" i="3"/>
  <c r="AH58" i="3"/>
  <c r="AG58" i="3"/>
  <c r="AD58" i="3"/>
  <c r="AE58" i="3"/>
  <c r="I177" i="3"/>
  <c r="AF177" i="3"/>
  <c r="AH177" i="3"/>
  <c r="AG177" i="3"/>
  <c r="AD177" i="3"/>
  <c r="AE177" i="3"/>
  <c r="I77" i="3"/>
  <c r="J77" i="3" s="1"/>
  <c r="AF77" i="3"/>
  <c r="AG77" i="3"/>
  <c r="AH77" i="3"/>
  <c r="AE77" i="3"/>
  <c r="AD77" i="3"/>
  <c r="I156" i="3"/>
  <c r="J156" i="3" s="1"/>
  <c r="AG156" i="3"/>
  <c r="AH156" i="3"/>
  <c r="AF156" i="3"/>
  <c r="AE156" i="3"/>
  <c r="AD156" i="3"/>
  <c r="I76" i="3"/>
  <c r="J76" i="3" s="1"/>
  <c r="AG76" i="3"/>
  <c r="AH76" i="3"/>
  <c r="AF76" i="3"/>
  <c r="AE76" i="3"/>
  <c r="AD76" i="3"/>
  <c r="I215" i="3"/>
  <c r="J215" i="3" s="1"/>
  <c r="AG215" i="3"/>
  <c r="AE215" i="3"/>
  <c r="AH215" i="3"/>
  <c r="AD215" i="3"/>
  <c r="AF215" i="3"/>
  <c r="I115" i="3"/>
  <c r="J115" i="3" s="1"/>
  <c r="AG115" i="3"/>
  <c r="AH115" i="3"/>
  <c r="AF115" i="3"/>
  <c r="AD115" i="3"/>
  <c r="AE115" i="3"/>
  <c r="I15" i="3"/>
  <c r="J15" i="3" s="1"/>
  <c r="AG15" i="3"/>
  <c r="AH15" i="3"/>
  <c r="AF15" i="3"/>
  <c r="AD15" i="3"/>
  <c r="AE15" i="3"/>
  <c r="I214" i="3"/>
  <c r="J214" i="3" s="1"/>
  <c r="AG214" i="3"/>
  <c r="AE214" i="3"/>
  <c r="AH214" i="3"/>
  <c r="AD214" i="3"/>
  <c r="AF214" i="3"/>
  <c r="I134" i="3"/>
  <c r="J134" i="3" s="1"/>
  <c r="AG134" i="3"/>
  <c r="AH134" i="3"/>
  <c r="AF134" i="3"/>
  <c r="AD134" i="3"/>
  <c r="AE134" i="3"/>
  <c r="I74" i="3"/>
  <c r="J74" i="3" s="1"/>
  <c r="AG74" i="3"/>
  <c r="AH74" i="3"/>
  <c r="AF74" i="3"/>
  <c r="AD74" i="3"/>
  <c r="AE74" i="3"/>
  <c r="I14" i="3"/>
  <c r="AG14" i="3"/>
  <c r="AH14" i="3"/>
  <c r="AF14" i="3"/>
  <c r="AE14" i="3"/>
  <c r="AD14" i="3"/>
  <c r="I173" i="3"/>
  <c r="J173" i="3" s="1"/>
  <c r="AG173" i="3"/>
  <c r="AH173" i="3"/>
  <c r="AF173" i="3"/>
  <c r="AE173" i="3"/>
  <c r="AD173" i="3"/>
  <c r="I53" i="3"/>
  <c r="K53" i="3" s="1"/>
  <c r="AG53" i="3"/>
  <c r="AH53" i="3"/>
  <c r="AF53" i="3"/>
  <c r="AD53" i="3"/>
  <c r="AE53" i="3"/>
  <c r="I212" i="3"/>
  <c r="J212" i="3" s="1"/>
  <c r="AG212" i="3"/>
  <c r="AE212" i="3"/>
  <c r="AH212" i="3"/>
  <c r="AD212" i="3"/>
  <c r="AF212" i="3"/>
  <c r="I192" i="3"/>
  <c r="K192" i="3" s="1"/>
  <c r="AG192" i="3"/>
  <c r="AH192" i="3"/>
  <c r="AF192" i="3"/>
  <c r="AD192" i="3"/>
  <c r="AE192" i="3"/>
  <c r="I172" i="3"/>
  <c r="K172" i="3" s="1"/>
  <c r="AG172" i="3"/>
  <c r="AH172" i="3"/>
  <c r="AF172" i="3"/>
  <c r="AD172" i="3"/>
  <c r="AE172" i="3"/>
  <c r="I152" i="3"/>
  <c r="K152" i="3" s="1"/>
  <c r="AG152" i="3"/>
  <c r="AH152" i="3"/>
  <c r="AF152" i="3"/>
  <c r="AD152" i="3"/>
  <c r="AE152" i="3"/>
  <c r="I132" i="3"/>
  <c r="K132" i="3" s="1"/>
  <c r="AG132" i="3"/>
  <c r="AH132" i="3"/>
  <c r="AF132" i="3"/>
  <c r="AD132" i="3"/>
  <c r="AE132" i="3"/>
  <c r="I112" i="3"/>
  <c r="K112" i="3" s="1"/>
  <c r="AG112" i="3"/>
  <c r="AH112" i="3"/>
  <c r="AF112" i="3"/>
  <c r="AE112" i="3"/>
  <c r="AD112" i="3"/>
  <c r="I92" i="3"/>
  <c r="K92" i="3" s="1"/>
  <c r="AG92" i="3"/>
  <c r="AH92" i="3"/>
  <c r="AF92" i="3"/>
  <c r="AD92" i="3"/>
  <c r="AE92" i="3"/>
  <c r="I72" i="3"/>
  <c r="J72" i="3" s="1"/>
  <c r="AG72" i="3"/>
  <c r="AH72" i="3"/>
  <c r="AF72" i="3"/>
  <c r="AD72" i="3"/>
  <c r="AE72" i="3"/>
  <c r="I52" i="3"/>
  <c r="J52" i="3" s="1"/>
  <c r="AG52" i="3"/>
  <c r="AH52" i="3"/>
  <c r="AF52" i="3"/>
  <c r="AD52" i="3"/>
  <c r="AE52" i="3"/>
  <c r="I32" i="3"/>
  <c r="K32" i="3" s="1"/>
  <c r="AG32" i="3"/>
  <c r="AH32" i="3"/>
  <c r="AF32" i="3"/>
  <c r="AD32" i="3"/>
  <c r="AE32" i="3"/>
  <c r="I12" i="3"/>
  <c r="K12" i="3" s="1"/>
  <c r="AG12" i="3"/>
  <c r="AH12" i="3"/>
  <c r="AF12" i="3"/>
  <c r="AE12" i="3"/>
  <c r="AD12" i="3"/>
  <c r="I146" i="3"/>
  <c r="AH146" i="3"/>
  <c r="AF146" i="3"/>
  <c r="AG146" i="3"/>
  <c r="AD146" i="3"/>
  <c r="AE146" i="3"/>
  <c r="I85" i="3"/>
  <c r="J85" i="3" s="1"/>
  <c r="AH85" i="3"/>
  <c r="AF85" i="3"/>
  <c r="AG85" i="3"/>
  <c r="AD85" i="3"/>
  <c r="AE85" i="3"/>
  <c r="I84" i="3"/>
  <c r="J84" i="3" s="1"/>
  <c r="AG84" i="3"/>
  <c r="AF84" i="3"/>
  <c r="AH84" i="3"/>
  <c r="AD84" i="3"/>
  <c r="AE84" i="3"/>
  <c r="I103" i="3"/>
  <c r="AF103" i="3"/>
  <c r="AG103" i="3"/>
  <c r="AH103" i="3"/>
  <c r="AE103" i="3"/>
  <c r="AD103" i="3"/>
  <c r="I182" i="3"/>
  <c r="J182" i="3" s="1"/>
  <c r="AF182" i="3"/>
  <c r="AG182" i="3"/>
  <c r="AH182" i="3"/>
  <c r="AE182" i="3"/>
  <c r="AD182" i="3"/>
  <c r="AD42" i="3"/>
  <c r="AF42" i="3"/>
  <c r="AG42" i="3"/>
  <c r="AH42" i="3"/>
  <c r="AE42" i="3"/>
  <c r="I121" i="3"/>
  <c r="AF121" i="3"/>
  <c r="AG121" i="3"/>
  <c r="AH121" i="3"/>
  <c r="AE121" i="3"/>
  <c r="AD121" i="3"/>
  <c r="I60" i="3"/>
  <c r="K60" i="3" s="1"/>
  <c r="AF60" i="3"/>
  <c r="AG60" i="3"/>
  <c r="AH60" i="3"/>
  <c r="AE60" i="3"/>
  <c r="AD60" i="3"/>
  <c r="I79" i="3"/>
  <c r="K79" i="3" s="1"/>
  <c r="AF79" i="3"/>
  <c r="AG79" i="3"/>
  <c r="AH79" i="3"/>
  <c r="AE79" i="3"/>
  <c r="AD79" i="3"/>
  <c r="I138" i="3"/>
  <c r="J138" i="3" s="1"/>
  <c r="AF138" i="3"/>
  <c r="AG138" i="3"/>
  <c r="AH138" i="3"/>
  <c r="AD138" i="3"/>
  <c r="AE138" i="3"/>
  <c r="I66" i="3"/>
  <c r="K66" i="3" s="1"/>
  <c r="AH66" i="3"/>
  <c r="AF66" i="3"/>
  <c r="AG66" i="3"/>
  <c r="AE66" i="3"/>
  <c r="AD66" i="3"/>
  <c r="I165" i="3"/>
  <c r="J165" i="3" s="1"/>
  <c r="AH165" i="3"/>
  <c r="AF165" i="3"/>
  <c r="AG165" i="3"/>
  <c r="AE165" i="3"/>
  <c r="AD165" i="3"/>
  <c r="I105" i="3"/>
  <c r="K105" i="3" s="1"/>
  <c r="AH105" i="3"/>
  <c r="AF105" i="3"/>
  <c r="AG105" i="3"/>
  <c r="AD105" i="3"/>
  <c r="AE105" i="3"/>
  <c r="I45" i="3"/>
  <c r="K45" i="3" s="1"/>
  <c r="AH45" i="3"/>
  <c r="AD45" i="3"/>
  <c r="AF45" i="3"/>
  <c r="AG45" i="3"/>
  <c r="AE45" i="3"/>
  <c r="I104" i="3"/>
  <c r="J104" i="3" s="1"/>
  <c r="AF104" i="3"/>
  <c r="AG104" i="3"/>
  <c r="AH104" i="3"/>
  <c r="AD104" i="3"/>
  <c r="AE104" i="3"/>
  <c r="I143" i="3"/>
  <c r="J143" i="3" s="1"/>
  <c r="AG143" i="3"/>
  <c r="AF143" i="3"/>
  <c r="AH143" i="3"/>
  <c r="AD143" i="3"/>
  <c r="AE143" i="3"/>
  <c r="I83" i="3"/>
  <c r="AG83" i="3"/>
  <c r="AF83" i="3"/>
  <c r="AH83" i="3"/>
  <c r="AE83" i="3"/>
  <c r="AD83" i="3"/>
  <c r="AH3" i="3"/>
  <c r="AG3" i="3"/>
  <c r="AF3" i="3"/>
  <c r="AE3" i="3"/>
  <c r="AD3" i="3"/>
  <c r="I62" i="3"/>
  <c r="J62" i="3" s="1"/>
  <c r="AF62" i="3"/>
  <c r="AG62" i="3"/>
  <c r="AH62" i="3"/>
  <c r="AD62" i="3"/>
  <c r="AE62" i="3"/>
  <c r="I141" i="3"/>
  <c r="K141" i="3" s="1"/>
  <c r="AF141" i="3"/>
  <c r="AG141" i="3"/>
  <c r="AH141" i="3"/>
  <c r="AD141" i="3"/>
  <c r="AE141" i="3"/>
  <c r="I41" i="3"/>
  <c r="J41" i="3" s="1"/>
  <c r="AF41" i="3"/>
  <c r="AG41" i="3"/>
  <c r="AH41" i="3"/>
  <c r="AD41" i="3"/>
  <c r="AE41" i="3"/>
  <c r="I140" i="3"/>
  <c r="J140" i="3" s="1"/>
  <c r="AF140" i="3"/>
  <c r="AG140" i="3"/>
  <c r="AH140" i="3"/>
  <c r="AE140" i="3"/>
  <c r="AD140" i="3"/>
  <c r="I139" i="3"/>
  <c r="K139" i="3" s="1"/>
  <c r="AE139" i="3"/>
  <c r="AF139" i="3"/>
  <c r="AG139" i="3"/>
  <c r="AH139" i="3"/>
  <c r="AD139" i="3"/>
  <c r="I99" i="3"/>
  <c r="J99" i="3" s="1"/>
  <c r="AF99" i="3"/>
  <c r="AG99" i="3"/>
  <c r="AH99" i="3"/>
  <c r="AD99" i="3"/>
  <c r="AE99" i="3"/>
  <c r="I78" i="3"/>
  <c r="K78" i="3" s="1"/>
  <c r="AF78" i="3"/>
  <c r="AG78" i="3"/>
  <c r="AH78" i="3"/>
  <c r="AE78" i="3"/>
  <c r="AD78" i="3"/>
  <c r="I197" i="3"/>
  <c r="K197" i="3" s="1"/>
  <c r="AF197" i="3"/>
  <c r="AH197" i="3"/>
  <c r="AG197" i="3"/>
  <c r="AE197" i="3"/>
  <c r="AD197" i="3"/>
  <c r="I157" i="3"/>
  <c r="AF157" i="3"/>
  <c r="AH157" i="3"/>
  <c r="AG157" i="3"/>
  <c r="AD157" i="3"/>
  <c r="AE157" i="3"/>
  <c r="I97" i="3"/>
  <c r="AF97" i="3"/>
  <c r="AG97" i="3"/>
  <c r="AH97" i="3"/>
  <c r="AD97" i="3"/>
  <c r="AE97" i="3"/>
  <c r="I216" i="3"/>
  <c r="J216" i="3" s="1"/>
  <c r="AG216" i="3"/>
  <c r="AE216" i="3"/>
  <c r="AH216" i="3"/>
  <c r="AD216" i="3"/>
  <c r="AF216" i="3"/>
  <c r="I176" i="3"/>
  <c r="K176" i="3" s="1"/>
  <c r="AG176" i="3"/>
  <c r="AH176" i="3"/>
  <c r="AF176" i="3"/>
  <c r="AE176" i="3"/>
  <c r="AD176" i="3"/>
  <c r="I116" i="3"/>
  <c r="J116" i="3" s="1"/>
  <c r="AG116" i="3"/>
  <c r="AH116" i="3"/>
  <c r="AF116" i="3"/>
  <c r="AD116" i="3"/>
  <c r="AE116" i="3"/>
  <c r="I56" i="3"/>
  <c r="J56" i="3" s="1"/>
  <c r="AG56" i="3"/>
  <c r="AH56" i="3"/>
  <c r="AF56" i="3"/>
  <c r="AD56" i="3"/>
  <c r="AE56" i="3"/>
  <c r="I155" i="3"/>
  <c r="J155" i="3" s="1"/>
  <c r="AG155" i="3"/>
  <c r="AH155" i="3"/>
  <c r="AF155" i="3"/>
  <c r="AD155" i="3"/>
  <c r="AE155" i="3"/>
  <c r="I95" i="3"/>
  <c r="K95" i="3" s="1"/>
  <c r="AG95" i="3"/>
  <c r="AH95" i="3"/>
  <c r="AF95" i="3"/>
  <c r="AD95" i="3"/>
  <c r="AE95" i="3"/>
  <c r="I35" i="3"/>
  <c r="K35" i="3" s="1"/>
  <c r="AG35" i="3"/>
  <c r="AH35" i="3"/>
  <c r="AD35" i="3"/>
  <c r="AF35" i="3"/>
  <c r="AE35" i="3"/>
  <c r="I194" i="3"/>
  <c r="K194" i="3" s="1"/>
  <c r="AG194" i="3"/>
  <c r="AH194" i="3"/>
  <c r="AF194" i="3"/>
  <c r="AE194" i="3"/>
  <c r="AD194" i="3"/>
  <c r="I94" i="3"/>
  <c r="J94" i="3" s="1"/>
  <c r="AG94" i="3"/>
  <c r="AH94" i="3"/>
  <c r="AF94" i="3"/>
  <c r="AE94" i="3"/>
  <c r="AD94" i="3"/>
  <c r="I211" i="3"/>
  <c r="AG211" i="3"/>
  <c r="AE211" i="3"/>
  <c r="AH211" i="3"/>
  <c r="AD211" i="3"/>
  <c r="AF211" i="3"/>
  <c r="I191" i="3"/>
  <c r="K191" i="3" s="1"/>
  <c r="AG191" i="3"/>
  <c r="AH191" i="3"/>
  <c r="AF191" i="3"/>
  <c r="AE191" i="3"/>
  <c r="AD191" i="3"/>
  <c r="I171" i="3"/>
  <c r="K171" i="3" s="1"/>
  <c r="AG171" i="3"/>
  <c r="AH171" i="3"/>
  <c r="AF171" i="3"/>
  <c r="AE171" i="3"/>
  <c r="AD171" i="3"/>
  <c r="I151" i="3"/>
  <c r="AG151" i="3"/>
  <c r="AH151" i="3"/>
  <c r="AF151" i="3"/>
  <c r="AE151" i="3"/>
  <c r="AD151" i="3"/>
  <c r="I131" i="3"/>
  <c r="K131" i="3" s="1"/>
  <c r="AG131" i="3"/>
  <c r="AH131" i="3"/>
  <c r="AF131" i="3"/>
  <c r="AE131" i="3"/>
  <c r="AD131" i="3"/>
  <c r="I111" i="3"/>
  <c r="K111" i="3" s="1"/>
  <c r="AG111" i="3"/>
  <c r="AH111" i="3"/>
  <c r="AF111" i="3"/>
  <c r="AD111" i="3"/>
  <c r="AE111" i="3"/>
  <c r="I91" i="3"/>
  <c r="AG91" i="3"/>
  <c r="AH91" i="3"/>
  <c r="AF91" i="3"/>
  <c r="AD91" i="3"/>
  <c r="AE91" i="3"/>
  <c r="I71" i="3"/>
  <c r="J71" i="3" s="1"/>
  <c r="AG71" i="3"/>
  <c r="AH71" i="3"/>
  <c r="AF71" i="3"/>
  <c r="AD71" i="3"/>
  <c r="AE71" i="3"/>
  <c r="I51" i="3"/>
  <c r="J51" i="3" s="1"/>
  <c r="AG51" i="3"/>
  <c r="AH51" i="3"/>
  <c r="AF51" i="3"/>
  <c r="AD51" i="3"/>
  <c r="AE51" i="3"/>
  <c r="I31" i="3"/>
  <c r="AG31" i="3"/>
  <c r="AH31" i="3"/>
  <c r="AF31" i="3"/>
  <c r="AD31" i="3"/>
  <c r="AE31" i="3"/>
  <c r="I11" i="3"/>
  <c r="K11" i="3" s="1"/>
  <c r="AG11" i="3"/>
  <c r="AH11" i="3"/>
  <c r="AF11" i="3"/>
  <c r="AD11" i="3"/>
  <c r="AE11" i="3"/>
  <c r="I210" i="3"/>
  <c r="K210" i="3" s="1"/>
  <c r="AE210" i="3"/>
  <c r="AH210" i="3"/>
  <c r="AD210" i="3"/>
  <c r="AF210" i="3"/>
  <c r="AG210" i="3"/>
  <c r="I190" i="3"/>
  <c r="K190" i="3" s="1"/>
  <c r="AH190" i="3"/>
  <c r="AG190" i="3"/>
  <c r="AF190" i="3"/>
  <c r="AD190" i="3"/>
  <c r="AE190" i="3"/>
  <c r="I170" i="3"/>
  <c r="AH170" i="3"/>
  <c r="AF170" i="3"/>
  <c r="AG170" i="3"/>
  <c r="AD170" i="3"/>
  <c r="AE170" i="3"/>
  <c r="I150" i="3"/>
  <c r="K150" i="3" s="1"/>
  <c r="AH150" i="3"/>
  <c r="AG150" i="3"/>
  <c r="AF150" i="3"/>
  <c r="AE150" i="3"/>
  <c r="AD150" i="3"/>
  <c r="I130" i="3"/>
  <c r="J130" i="3" s="1"/>
  <c r="AH130" i="3"/>
  <c r="AF130" i="3"/>
  <c r="AG130" i="3"/>
  <c r="AD130" i="3"/>
  <c r="AE130" i="3"/>
  <c r="I110" i="3"/>
  <c r="K110" i="3" s="1"/>
  <c r="AH110" i="3"/>
  <c r="AF110" i="3"/>
  <c r="AG110" i="3"/>
  <c r="AD110" i="3"/>
  <c r="AE110" i="3"/>
  <c r="I90" i="3"/>
  <c r="J90" i="3" s="1"/>
  <c r="AH90" i="3"/>
  <c r="AF90" i="3"/>
  <c r="AG90" i="3"/>
  <c r="AE90" i="3"/>
  <c r="AD90" i="3"/>
  <c r="I70" i="3"/>
  <c r="K70" i="3" s="1"/>
  <c r="AH70" i="3"/>
  <c r="AF70" i="3"/>
  <c r="AG70" i="3"/>
  <c r="AE70" i="3"/>
  <c r="AD70" i="3"/>
  <c r="I50" i="3"/>
  <c r="K50" i="3" s="1"/>
  <c r="AH50" i="3"/>
  <c r="AF50" i="3"/>
  <c r="AG50" i="3"/>
  <c r="AE50" i="3"/>
  <c r="AD50" i="3"/>
  <c r="I30" i="3"/>
  <c r="K30" i="3" s="1"/>
  <c r="AH30" i="3"/>
  <c r="AG30" i="3"/>
  <c r="AF30" i="3"/>
  <c r="AD30" i="3"/>
  <c r="AE30" i="3"/>
  <c r="I10" i="3"/>
  <c r="K10" i="3" s="1"/>
  <c r="AH10" i="3"/>
  <c r="AF10" i="3"/>
  <c r="AG10" i="3"/>
  <c r="AE10" i="3"/>
  <c r="AD10" i="3"/>
  <c r="I186" i="3"/>
  <c r="J186" i="3" s="1"/>
  <c r="AH186" i="3"/>
  <c r="AF186" i="3"/>
  <c r="AG186" i="3"/>
  <c r="AE186" i="3"/>
  <c r="AD186" i="3"/>
  <c r="I126" i="3"/>
  <c r="K126" i="3" s="1"/>
  <c r="AH126" i="3"/>
  <c r="AF126" i="3"/>
  <c r="AG126" i="3"/>
  <c r="AE126" i="3"/>
  <c r="AD126" i="3"/>
  <c r="I46" i="3"/>
  <c r="J46" i="3" s="1"/>
  <c r="AH46" i="3"/>
  <c r="AF46" i="3"/>
  <c r="AG46" i="3"/>
  <c r="AE46" i="3"/>
  <c r="AD46" i="3"/>
  <c r="I145" i="3"/>
  <c r="J145" i="3" s="1"/>
  <c r="AH145" i="3"/>
  <c r="AF145" i="3"/>
  <c r="AG145" i="3"/>
  <c r="AE145" i="3"/>
  <c r="AD145" i="3"/>
  <c r="I124" i="3"/>
  <c r="J124" i="3" s="1"/>
  <c r="AF124" i="3"/>
  <c r="AG124" i="3"/>
  <c r="AH124" i="3"/>
  <c r="AE124" i="3"/>
  <c r="AD124" i="3"/>
  <c r="I4" i="3"/>
  <c r="J4" i="3" s="1"/>
  <c r="AH4" i="3"/>
  <c r="AG4" i="3"/>
  <c r="AF4" i="3"/>
  <c r="AE4" i="3"/>
  <c r="AD4" i="3"/>
  <c r="I183" i="3"/>
  <c r="K183" i="3" s="1"/>
  <c r="AF183" i="3"/>
  <c r="AG183" i="3"/>
  <c r="AH183" i="3"/>
  <c r="AD183" i="3"/>
  <c r="AE183" i="3"/>
  <c r="I43" i="3"/>
  <c r="AG43" i="3"/>
  <c r="AF43" i="3"/>
  <c r="AH43" i="3"/>
  <c r="AE43" i="3"/>
  <c r="AD43" i="3"/>
  <c r="I122" i="3"/>
  <c r="K122" i="3" s="1"/>
  <c r="AF122" i="3"/>
  <c r="AG122" i="3"/>
  <c r="AH122" i="3"/>
  <c r="AE122" i="3"/>
  <c r="AD122" i="3"/>
  <c r="I181" i="3"/>
  <c r="J181" i="3" s="1"/>
  <c r="AF181" i="3"/>
  <c r="AG181" i="3"/>
  <c r="AH181" i="3"/>
  <c r="AE181" i="3"/>
  <c r="AD181" i="3"/>
  <c r="I81" i="3"/>
  <c r="J81" i="3" s="1"/>
  <c r="AF81" i="3"/>
  <c r="AG81" i="3"/>
  <c r="AH81" i="3"/>
  <c r="AD81" i="3"/>
  <c r="AE81" i="3"/>
  <c r="I200" i="3"/>
  <c r="AF200" i="3"/>
  <c r="AG200" i="3"/>
  <c r="AH200" i="3"/>
  <c r="AD200" i="3"/>
  <c r="AE200" i="3"/>
  <c r="I80" i="3"/>
  <c r="K80" i="3" s="1"/>
  <c r="AE80" i="3"/>
  <c r="AF80" i="3"/>
  <c r="AG80" i="3"/>
  <c r="AH80" i="3"/>
  <c r="AD80" i="3"/>
  <c r="I199" i="3"/>
  <c r="J199" i="3" s="1"/>
  <c r="AF199" i="3"/>
  <c r="AG199" i="3"/>
  <c r="AH199" i="3"/>
  <c r="AE199" i="3"/>
  <c r="AD199" i="3"/>
  <c r="I19" i="3"/>
  <c r="K19" i="3" s="1"/>
  <c r="AF19" i="3"/>
  <c r="AG19" i="3"/>
  <c r="AH19" i="3"/>
  <c r="AD19" i="3"/>
  <c r="AE19" i="3"/>
  <c r="I98" i="3"/>
  <c r="J98" i="3" s="1"/>
  <c r="AF98" i="3"/>
  <c r="AH98" i="3"/>
  <c r="AG98" i="3"/>
  <c r="AE98" i="3"/>
  <c r="AD98" i="3"/>
  <c r="I57" i="3"/>
  <c r="J57" i="3" s="1"/>
  <c r="AF57" i="3"/>
  <c r="AH57" i="3"/>
  <c r="AG57" i="3"/>
  <c r="AE57" i="3"/>
  <c r="AD57" i="3"/>
  <c r="I16" i="3"/>
  <c r="AG16" i="3"/>
  <c r="AH16" i="3"/>
  <c r="AF16" i="3"/>
  <c r="AE16" i="3"/>
  <c r="AD16" i="3"/>
  <c r="I206" i="3"/>
  <c r="J206" i="3" s="1"/>
  <c r="AH206" i="3"/>
  <c r="AF206" i="3"/>
  <c r="AG206" i="3"/>
  <c r="AD206" i="3"/>
  <c r="AE206" i="3"/>
  <c r="I86" i="3"/>
  <c r="J86" i="3" s="1"/>
  <c r="AH86" i="3"/>
  <c r="AF86" i="3"/>
  <c r="AG86" i="3"/>
  <c r="AE86" i="3"/>
  <c r="AD86" i="3"/>
  <c r="I25" i="3"/>
  <c r="J25" i="3" s="1"/>
  <c r="AH25" i="3"/>
  <c r="AF25" i="3"/>
  <c r="AD25" i="3"/>
  <c r="AG25" i="3"/>
  <c r="AE25" i="3"/>
  <c r="I204" i="3"/>
  <c r="K204" i="3" s="1"/>
  <c r="AF204" i="3"/>
  <c r="AG204" i="3"/>
  <c r="AH204" i="3"/>
  <c r="AD204" i="3"/>
  <c r="AE204" i="3"/>
  <c r="I144" i="3"/>
  <c r="J144" i="3" s="1"/>
  <c r="AF144" i="3"/>
  <c r="AG144" i="3"/>
  <c r="AH144" i="3"/>
  <c r="AD144" i="3"/>
  <c r="AE144" i="3"/>
  <c r="I64" i="3"/>
  <c r="K64" i="3" s="1"/>
  <c r="AG64" i="3"/>
  <c r="AF64" i="3"/>
  <c r="AH64" i="3"/>
  <c r="AE64" i="3"/>
  <c r="AD64" i="3"/>
  <c r="I24" i="3"/>
  <c r="AG24" i="3"/>
  <c r="AF24" i="3"/>
  <c r="AH24" i="3"/>
  <c r="AD24" i="3"/>
  <c r="AE24" i="3"/>
  <c r="I203" i="3"/>
  <c r="J203" i="3" s="1"/>
  <c r="AG203" i="3"/>
  <c r="AF203" i="3"/>
  <c r="AH203" i="3"/>
  <c r="AE203" i="3"/>
  <c r="AD203" i="3"/>
  <c r="I23" i="3"/>
  <c r="J23" i="3" s="1"/>
  <c r="AF23" i="3"/>
  <c r="AG23" i="3"/>
  <c r="AH23" i="3"/>
  <c r="AD23" i="3"/>
  <c r="AE23" i="3"/>
  <c r="I162" i="3"/>
  <c r="K162" i="3" s="1"/>
  <c r="AF162" i="3"/>
  <c r="AG162" i="3"/>
  <c r="AH162" i="3"/>
  <c r="AE162" i="3"/>
  <c r="AD162" i="3"/>
  <c r="I82" i="3"/>
  <c r="J82" i="3" s="1"/>
  <c r="AF82" i="3"/>
  <c r="AG82" i="3"/>
  <c r="AH82" i="3"/>
  <c r="AE82" i="3"/>
  <c r="AD82" i="3"/>
  <c r="I201" i="3"/>
  <c r="K201" i="3" s="1"/>
  <c r="AF201" i="3"/>
  <c r="AG201" i="3"/>
  <c r="AH201" i="3"/>
  <c r="AE201" i="3"/>
  <c r="AD201" i="3"/>
  <c r="I61" i="3"/>
  <c r="K61" i="3" s="1"/>
  <c r="AF61" i="3"/>
  <c r="AG61" i="3"/>
  <c r="AH61" i="3"/>
  <c r="AE61" i="3"/>
  <c r="AD61" i="3"/>
  <c r="I120" i="3"/>
  <c r="K120" i="3" s="1"/>
  <c r="AF120" i="3"/>
  <c r="AG120" i="3"/>
  <c r="AH120" i="3"/>
  <c r="AD120" i="3"/>
  <c r="AE120" i="3"/>
  <c r="I159" i="3"/>
  <c r="K159" i="3" s="1"/>
  <c r="AF159" i="3"/>
  <c r="AG159" i="3"/>
  <c r="AH159" i="3"/>
  <c r="AE159" i="3"/>
  <c r="AD159" i="3"/>
  <c r="I39" i="3"/>
  <c r="K39" i="3" s="1"/>
  <c r="AF39" i="3"/>
  <c r="AG39" i="3"/>
  <c r="AH39" i="3"/>
  <c r="AD39" i="3"/>
  <c r="AE39" i="3"/>
  <c r="I178" i="3"/>
  <c r="AF178" i="3"/>
  <c r="AG178" i="3"/>
  <c r="AH178" i="3"/>
  <c r="AD178" i="3"/>
  <c r="AE178" i="3"/>
  <c r="I18" i="3"/>
  <c r="J18" i="3" s="1"/>
  <c r="AF18" i="3"/>
  <c r="AG18" i="3"/>
  <c r="AH18" i="3"/>
  <c r="AD18" i="3"/>
  <c r="AE18" i="3"/>
  <c r="I137" i="3"/>
  <c r="K137" i="3" s="1"/>
  <c r="AF137" i="3"/>
  <c r="AG137" i="3"/>
  <c r="AH137" i="3"/>
  <c r="AD137" i="3"/>
  <c r="AE137" i="3"/>
  <c r="I37" i="3"/>
  <c r="AF37" i="3"/>
  <c r="AH37" i="3"/>
  <c r="AG37" i="3"/>
  <c r="AD37" i="3"/>
  <c r="AE37" i="3"/>
  <c r="I136" i="3"/>
  <c r="J136" i="3" s="1"/>
  <c r="AG136" i="3"/>
  <c r="AH136" i="3"/>
  <c r="AF136" i="3"/>
  <c r="AE136" i="3"/>
  <c r="AD136" i="3"/>
  <c r="I36" i="3"/>
  <c r="K36" i="3" s="1"/>
  <c r="AG36" i="3"/>
  <c r="AH36" i="3"/>
  <c r="AF36" i="3"/>
  <c r="AD36" i="3"/>
  <c r="AE36" i="3"/>
  <c r="I195" i="3"/>
  <c r="K195" i="3" s="1"/>
  <c r="AG195" i="3"/>
  <c r="AH195" i="3"/>
  <c r="AF195" i="3"/>
  <c r="AE195" i="3"/>
  <c r="AD195" i="3"/>
  <c r="I135" i="3"/>
  <c r="K135" i="3" s="1"/>
  <c r="AG135" i="3"/>
  <c r="AH135" i="3"/>
  <c r="AF135" i="3"/>
  <c r="AD135" i="3"/>
  <c r="AE135" i="3"/>
  <c r="I55" i="3"/>
  <c r="J55" i="3" s="1"/>
  <c r="AG55" i="3"/>
  <c r="AH55" i="3"/>
  <c r="AF55" i="3"/>
  <c r="AD55" i="3"/>
  <c r="AE55" i="3"/>
  <c r="I154" i="3"/>
  <c r="K154" i="3" s="1"/>
  <c r="AG154" i="3"/>
  <c r="AH154" i="3"/>
  <c r="AF154" i="3"/>
  <c r="AD154" i="3"/>
  <c r="AE154" i="3"/>
  <c r="I34" i="3"/>
  <c r="K34" i="3" s="1"/>
  <c r="AG34" i="3"/>
  <c r="AH34" i="3"/>
  <c r="AF34" i="3"/>
  <c r="AD34" i="3"/>
  <c r="AE34" i="3"/>
  <c r="I193" i="3"/>
  <c r="J193" i="3" s="1"/>
  <c r="AG193" i="3"/>
  <c r="AH193" i="3"/>
  <c r="AF193" i="3"/>
  <c r="AE193" i="3"/>
  <c r="AD193" i="3"/>
  <c r="I153" i="3"/>
  <c r="K153" i="3" s="1"/>
  <c r="AG153" i="3"/>
  <c r="AH153" i="3"/>
  <c r="AF153" i="3"/>
  <c r="AE153" i="3"/>
  <c r="AD153" i="3"/>
  <c r="I133" i="3"/>
  <c r="J133" i="3" s="1"/>
  <c r="AG133" i="3"/>
  <c r="AH133" i="3"/>
  <c r="AF133" i="3"/>
  <c r="AE133" i="3"/>
  <c r="AD133" i="3"/>
  <c r="I93" i="3"/>
  <c r="J93" i="3" s="1"/>
  <c r="AG93" i="3"/>
  <c r="AH93" i="3"/>
  <c r="AF93" i="3"/>
  <c r="AE93" i="3"/>
  <c r="AD93" i="3"/>
  <c r="I73" i="3"/>
  <c r="K73" i="3" s="1"/>
  <c r="AG73" i="3"/>
  <c r="AH73" i="3"/>
  <c r="AF73" i="3"/>
  <c r="AE73" i="3"/>
  <c r="AD73" i="3"/>
  <c r="I33" i="3"/>
  <c r="K33" i="3" s="1"/>
  <c r="AG33" i="3"/>
  <c r="AH33" i="3"/>
  <c r="AF33" i="3"/>
  <c r="AE33" i="3"/>
  <c r="AD33" i="3"/>
  <c r="I209" i="3"/>
  <c r="K209" i="3" s="1"/>
  <c r="AH209" i="3"/>
  <c r="AD209" i="3"/>
  <c r="AF209" i="3"/>
  <c r="AG209" i="3"/>
  <c r="AE209" i="3"/>
  <c r="I169" i="3"/>
  <c r="K169" i="3" s="1"/>
  <c r="AH169" i="3"/>
  <c r="AF169" i="3"/>
  <c r="AG169" i="3"/>
  <c r="AE169" i="3"/>
  <c r="AD169" i="3"/>
  <c r="I129" i="3"/>
  <c r="K129" i="3" s="1"/>
  <c r="AH129" i="3"/>
  <c r="AF129" i="3"/>
  <c r="AG129" i="3"/>
  <c r="AD129" i="3"/>
  <c r="AE129" i="3"/>
  <c r="I89" i="3"/>
  <c r="J89" i="3" s="1"/>
  <c r="AH89" i="3"/>
  <c r="AF89" i="3"/>
  <c r="AG89" i="3"/>
  <c r="AE89" i="3"/>
  <c r="AD89" i="3"/>
  <c r="I49" i="3"/>
  <c r="K49" i="3" s="1"/>
  <c r="AH49" i="3"/>
  <c r="AF49" i="3"/>
  <c r="AG49" i="3"/>
  <c r="AE49" i="3"/>
  <c r="AD49" i="3"/>
  <c r="I9" i="3"/>
  <c r="K9" i="3" s="1"/>
  <c r="AH9" i="3"/>
  <c r="AF9" i="3"/>
  <c r="AG9" i="3"/>
  <c r="AE9" i="3"/>
  <c r="AD9" i="3"/>
  <c r="I48" i="3"/>
  <c r="AH48" i="3"/>
  <c r="AF48" i="3"/>
  <c r="AG48" i="3"/>
  <c r="AE48" i="3"/>
  <c r="AD48" i="3"/>
  <c r="I106" i="3"/>
  <c r="K106" i="3" s="1"/>
  <c r="AH106" i="3"/>
  <c r="AF106" i="3"/>
  <c r="AG106" i="3"/>
  <c r="AE106" i="3"/>
  <c r="AD106" i="3"/>
  <c r="I6" i="3"/>
  <c r="J6" i="3" s="1"/>
  <c r="AH6" i="3"/>
  <c r="AF6" i="3"/>
  <c r="AG6" i="3"/>
  <c r="AD6" i="3"/>
  <c r="AE6" i="3"/>
  <c r="I185" i="3"/>
  <c r="J185" i="3" s="1"/>
  <c r="AH185" i="3"/>
  <c r="AF185" i="3"/>
  <c r="AG185" i="3"/>
  <c r="AE185" i="3"/>
  <c r="AD185" i="3"/>
  <c r="I5" i="3"/>
  <c r="K5" i="3" s="1"/>
  <c r="AH5" i="3"/>
  <c r="AF5" i="3"/>
  <c r="AG5" i="3"/>
  <c r="AD5" i="3"/>
  <c r="AE5" i="3"/>
  <c r="I184" i="3"/>
  <c r="J184" i="3" s="1"/>
  <c r="AF184" i="3"/>
  <c r="AG184" i="3"/>
  <c r="AH184" i="3"/>
  <c r="AE184" i="3"/>
  <c r="AD184" i="3"/>
  <c r="I44" i="3"/>
  <c r="K44" i="3" s="1"/>
  <c r="AF44" i="3"/>
  <c r="AG44" i="3"/>
  <c r="AH44" i="3"/>
  <c r="AD44" i="3"/>
  <c r="AE44" i="3"/>
  <c r="I123" i="3"/>
  <c r="AG123" i="3"/>
  <c r="AF123" i="3"/>
  <c r="AH123" i="3"/>
  <c r="AD123" i="3"/>
  <c r="AE123" i="3"/>
  <c r="I142" i="3"/>
  <c r="J142" i="3" s="1"/>
  <c r="AF142" i="3"/>
  <c r="AG142" i="3"/>
  <c r="AH142" i="3"/>
  <c r="AE142" i="3"/>
  <c r="AD142" i="3"/>
  <c r="AH22" i="3"/>
  <c r="AF22" i="3"/>
  <c r="AD22" i="3"/>
  <c r="AG22" i="3"/>
  <c r="AE22" i="3"/>
  <c r="I161" i="3"/>
  <c r="J161" i="3" s="1"/>
  <c r="AF161" i="3"/>
  <c r="AG161" i="3"/>
  <c r="AH161" i="3"/>
  <c r="AE161" i="3"/>
  <c r="AD161" i="3"/>
  <c r="I21" i="3"/>
  <c r="AH21" i="3"/>
  <c r="AF21" i="3"/>
  <c r="AG21" i="3"/>
  <c r="AD21" i="3"/>
  <c r="AE21" i="3"/>
  <c r="I180" i="3"/>
  <c r="K180" i="3" s="1"/>
  <c r="AF180" i="3"/>
  <c r="AG180" i="3"/>
  <c r="AH180" i="3"/>
  <c r="AD180" i="3"/>
  <c r="AE180" i="3"/>
  <c r="I40" i="3"/>
  <c r="K40" i="3" s="1"/>
  <c r="AF40" i="3"/>
  <c r="AG40" i="3"/>
  <c r="AD40" i="3"/>
  <c r="AH40" i="3"/>
  <c r="AE40" i="3"/>
  <c r="I179" i="3"/>
  <c r="K179" i="3" s="1"/>
  <c r="AF179" i="3"/>
  <c r="AG179" i="3"/>
  <c r="AH179" i="3"/>
  <c r="AD179" i="3"/>
  <c r="AE179" i="3"/>
  <c r="I59" i="3"/>
  <c r="K59" i="3" s="1"/>
  <c r="AF59" i="3"/>
  <c r="AG59" i="3"/>
  <c r="AH59" i="3"/>
  <c r="AE59" i="3"/>
  <c r="AD59" i="3"/>
  <c r="I198" i="3"/>
  <c r="J198" i="3" s="1"/>
  <c r="AF198" i="3"/>
  <c r="AG198" i="3"/>
  <c r="AH198" i="3"/>
  <c r="AD198" i="3"/>
  <c r="AE198" i="3"/>
  <c r="I118" i="3"/>
  <c r="AF118" i="3"/>
  <c r="AH118" i="3"/>
  <c r="AG118" i="3"/>
  <c r="AE118" i="3"/>
  <c r="AD118" i="3"/>
  <c r="I38" i="3"/>
  <c r="J38" i="3" s="1"/>
  <c r="AF38" i="3"/>
  <c r="AH38" i="3"/>
  <c r="AG38" i="3"/>
  <c r="AD38" i="3"/>
  <c r="AE38" i="3"/>
  <c r="I117" i="3"/>
  <c r="J117" i="3" s="1"/>
  <c r="AF117" i="3"/>
  <c r="AH117" i="3"/>
  <c r="AG117" i="3"/>
  <c r="AD117" i="3"/>
  <c r="AE117" i="3"/>
  <c r="I17" i="3"/>
  <c r="J17" i="3" s="1"/>
  <c r="AF17" i="3"/>
  <c r="AH17" i="3"/>
  <c r="AG17" i="3"/>
  <c r="AE17" i="3"/>
  <c r="AD17" i="3"/>
  <c r="I196" i="3"/>
  <c r="J196" i="3" s="1"/>
  <c r="AG196" i="3"/>
  <c r="AH196" i="3"/>
  <c r="AF196" i="3"/>
  <c r="AE196" i="3"/>
  <c r="AD196" i="3"/>
  <c r="I96" i="3"/>
  <c r="J96" i="3" s="1"/>
  <c r="AG96" i="3"/>
  <c r="AH96" i="3"/>
  <c r="AF96" i="3"/>
  <c r="AD96" i="3"/>
  <c r="AE96" i="3"/>
  <c r="I175" i="3"/>
  <c r="J175" i="3" s="1"/>
  <c r="AG175" i="3"/>
  <c r="AH175" i="3"/>
  <c r="AF175" i="3"/>
  <c r="AE175" i="3"/>
  <c r="AD175" i="3"/>
  <c r="I75" i="3"/>
  <c r="J75" i="3" s="1"/>
  <c r="AG75" i="3"/>
  <c r="AH75" i="3"/>
  <c r="AF75" i="3"/>
  <c r="AD75" i="3"/>
  <c r="AE75" i="3"/>
  <c r="I174" i="3"/>
  <c r="J174" i="3" s="1"/>
  <c r="AG174" i="3"/>
  <c r="AH174" i="3"/>
  <c r="AF174" i="3"/>
  <c r="AD174" i="3"/>
  <c r="AE174" i="3"/>
  <c r="I114" i="3"/>
  <c r="K114" i="3" s="1"/>
  <c r="AG114" i="3"/>
  <c r="AH114" i="3"/>
  <c r="AF114" i="3"/>
  <c r="AD114" i="3"/>
  <c r="AE114" i="3"/>
  <c r="I54" i="3"/>
  <c r="AG54" i="3"/>
  <c r="AH54" i="3"/>
  <c r="AF54" i="3"/>
  <c r="AE54" i="3"/>
  <c r="AD54" i="3"/>
  <c r="I213" i="3"/>
  <c r="K213" i="3" s="1"/>
  <c r="AG213" i="3"/>
  <c r="AE213" i="3"/>
  <c r="AH213" i="3"/>
  <c r="AD213" i="3"/>
  <c r="AF213" i="3"/>
  <c r="I113" i="3"/>
  <c r="J113" i="3" s="1"/>
  <c r="AG113" i="3"/>
  <c r="AH113" i="3"/>
  <c r="AF113" i="3"/>
  <c r="AE113" i="3"/>
  <c r="AD113" i="3"/>
  <c r="I13" i="3"/>
  <c r="K13" i="3" s="1"/>
  <c r="AG13" i="3"/>
  <c r="AH13" i="3"/>
  <c r="AF13" i="3"/>
  <c r="AD13" i="3"/>
  <c r="AE13" i="3"/>
  <c r="I189" i="3"/>
  <c r="K189" i="3" s="1"/>
  <c r="AF189" i="3"/>
  <c r="AH189" i="3"/>
  <c r="AG189" i="3"/>
  <c r="AE189" i="3"/>
  <c r="AD189" i="3"/>
  <c r="I149" i="3"/>
  <c r="J149" i="3" s="1"/>
  <c r="AF149" i="3"/>
  <c r="AH149" i="3"/>
  <c r="AG149" i="3"/>
  <c r="AD149" i="3"/>
  <c r="AE149" i="3"/>
  <c r="I109" i="3"/>
  <c r="K109" i="3" s="1"/>
  <c r="AF109" i="3"/>
  <c r="AH109" i="3"/>
  <c r="AG109" i="3"/>
  <c r="AE109" i="3"/>
  <c r="AD109" i="3"/>
  <c r="I69" i="3"/>
  <c r="K69" i="3" s="1"/>
  <c r="AF69" i="3"/>
  <c r="AH69" i="3"/>
  <c r="AG69" i="3"/>
  <c r="AD69" i="3"/>
  <c r="AE69" i="3"/>
  <c r="I29" i="3"/>
  <c r="AF29" i="3"/>
  <c r="AH29" i="3"/>
  <c r="AG29" i="3"/>
  <c r="AE29" i="3"/>
  <c r="AD29" i="3"/>
  <c r="I208" i="3"/>
  <c r="J208" i="3" s="1"/>
  <c r="AH208" i="3"/>
  <c r="AE208" i="3"/>
  <c r="AD208" i="3"/>
  <c r="AF208" i="3"/>
  <c r="AG208" i="3"/>
  <c r="I188" i="3"/>
  <c r="AH188" i="3"/>
  <c r="AF188" i="3"/>
  <c r="AG188" i="3"/>
  <c r="AD188" i="3"/>
  <c r="AE188" i="3"/>
  <c r="I168" i="3"/>
  <c r="K168" i="3" s="1"/>
  <c r="AH168" i="3"/>
  <c r="AF168" i="3"/>
  <c r="AG168" i="3"/>
  <c r="AE168" i="3"/>
  <c r="AD168" i="3"/>
  <c r="I148" i="3"/>
  <c r="K148" i="3" s="1"/>
  <c r="AH148" i="3"/>
  <c r="AF148" i="3"/>
  <c r="AG148" i="3"/>
  <c r="AE148" i="3"/>
  <c r="AD148" i="3"/>
  <c r="I128" i="3"/>
  <c r="K128" i="3" s="1"/>
  <c r="AH128" i="3"/>
  <c r="AF128" i="3"/>
  <c r="AG128" i="3"/>
  <c r="AD128" i="3"/>
  <c r="AE128" i="3"/>
  <c r="I108" i="3"/>
  <c r="K108" i="3" s="1"/>
  <c r="AH108" i="3"/>
  <c r="AF108" i="3"/>
  <c r="AG108" i="3"/>
  <c r="AE108" i="3"/>
  <c r="AD108" i="3"/>
  <c r="I88" i="3"/>
  <c r="J88" i="3" s="1"/>
  <c r="AH88" i="3"/>
  <c r="AF88" i="3"/>
  <c r="AG88" i="3"/>
  <c r="AE88" i="3"/>
  <c r="AD88" i="3"/>
  <c r="I68" i="3"/>
  <c r="K68" i="3" s="1"/>
  <c r="AH68" i="3"/>
  <c r="AF68" i="3"/>
  <c r="AG68" i="3"/>
  <c r="AD68" i="3"/>
  <c r="AE68" i="3"/>
  <c r="I28" i="3"/>
  <c r="K28" i="3" s="1"/>
  <c r="AH28" i="3"/>
  <c r="AF28" i="3"/>
  <c r="AG28" i="3"/>
  <c r="AE28" i="3"/>
  <c r="AD28" i="3"/>
  <c r="I8" i="3"/>
  <c r="J8" i="3" s="1"/>
  <c r="AH8" i="3"/>
  <c r="AF8" i="3"/>
  <c r="AG8" i="3"/>
  <c r="AD8" i="3"/>
  <c r="AE8" i="3"/>
  <c r="I207" i="3"/>
  <c r="J207" i="3" s="1"/>
  <c r="AH207" i="3"/>
  <c r="AE207" i="3"/>
  <c r="AD207" i="3"/>
  <c r="AF207" i="3"/>
  <c r="AG207" i="3"/>
  <c r="I187" i="3"/>
  <c r="AH187" i="3"/>
  <c r="AF187" i="3"/>
  <c r="AG187" i="3"/>
  <c r="AD187" i="3"/>
  <c r="AE187" i="3"/>
  <c r="I167" i="3"/>
  <c r="J167" i="3" s="1"/>
  <c r="AH167" i="3"/>
  <c r="AF167" i="3"/>
  <c r="AG167" i="3"/>
  <c r="AD167" i="3"/>
  <c r="AE167" i="3"/>
  <c r="I147" i="3"/>
  <c r="K147" i="3" s="1"/>
  <c r="AH147" i="3"/>
  <c r="AF147" i="3"/>
  <c r="AG147" i="3"/>
  <c r="AE147" i="3"/>
  <c r="AD147" i="3"/>
  <c r="I127" i="3"/>
  <c r="J127" i="3" s="1"/>
  <c r="AH127" i="3"/>
  <c r="AF127" i="3"/>
  <c r="AG127" i="3"/>
  <c r="AD127" i="3"/>
  <c r="AE127" i="3"/>
  <c r="I107" i="3"/>
  <c r="K107" i="3" s="1"/>
  <c r="AH107" i="3"/>
  <c r="AF107" i="3"/>
  <c r="AG107" i="3"/>
  <c r="AE107" i="3"/>
  <c r="AD107" i="3"/>
  <c r="I87" i="3"/>
  <c r="K87" i="3" s="1"/>
  <c r="AH87" i="3"/>
  <c r="AF87" i="3"/>
  <c r="AG87" i="3"/>
  <c r="AD87" i="3"/>
  <c r="AE87" i="3"/>
  <c r="I67" i="3"/>
  <c r="J67" i="3" s="1"/>
  <c r="AH67" i="3"/>
  <c r="AF67" i="3"/>
  <c r="AG67" i="3"/>
  <c r="AD67" i="3"/>
  <c r="AE67" i="3"/>
  <c r="I47" i="3"/>
  <c r="K47" i="3" s="1"/>
  <c r="AH47" i="3"/>
  <c r="AF47" i="3"/>
  <c r="AG47" i="3"/>
  <c r="AE47" i="3"/>
  <c r="AD47" i="3"/>
  <c r="I27" i="3"/>
  <c r="J27" i="3" s="1"/>
  <c r="AH27" i="3"/>
  <c r="AF27" i="3"/>
  <c r="AG27" i="3"/>
  <c r="AE27" i="3"/>
  <c r="AD27" i="3"/>
  <c r="I7" i="3"/>
  <c r="J7" i="3" s="1"/>
  <c r="AH7" i="3"/>
  <c r="AF7" i="3"/>
  <c r="AG7" i="3"/>
  <c r="AD7" i="3"/>
  <c r="AE7" i="3"/>
  <c r="J30" i="3"/>
  <c r="K188" i="3"/>
  <c r="J188" i="3"/>
  <c r="J28" i="3"/>
  <c r="J166" i="3"/>
  <c r="K166" i="3"/>
  <c r="J43" i="3"/>
  <c r="K43" i="3"/>
  <c r="J162" i="3"/>
  <c r="J101" i="3"/>
  <c r="K101" i="3"/>
  <c r="K200" i="3"/>
  <c r="J200" i="3"/>
  <c r="J120" i="3"/>
  <c r="J60" i="3"/>
  <c r="J179" i="3"/>
  <c r="K119" i="3"/>
  <c r="J118" i="3"/>
  <c r="K118" i="3"/>
  <c r="J177" i="3"/>
  <c r="K177" i="3"/>
  <c r="K196" i="3"/>
  <c r="K116" i="3"/>
  <c r="K76" i="3"/>
  <c r="J16" i="3"/>
  <c r="K16" i="3"/>
  <c r="J49" i="3"/>
  <c r="J168" i="3"/>
  <c r="J106" i="3"/>
  <c r="J5" i="3"/>
  <c r="J103" i="3"/>
  <c r="K103" i="3"/>
  <c r="I3" i="3"/>
  <c r="J122" i="3"/>
  <c r="I42" i="3"/>
  <c r="J135" i="3"/>
  <c r="K214" i="3"/>
  <c r="K94" i="3"/>
  <c r="J54" i="3"/>
  <c r="K54" i="3"/>
  <c r="K14" i="3"/>
  <c r="J14" i="3"/>
  <c r="K170" i="3"/>
  <c r="J170" i="3"/>
  <c r="K90" i="3"/>
  <c r="J209" i="3"/>
  <c r="K29" i="3"/>
  <c r="J29" i="3"/>
  <c r="K187" i="3"/>
  <c r="J187" i="3"/>
  <c r="J107" i="3"/>
  <c r="J146" i="3"/>
  <c r="K146" i="3"/>
  <c r="J66" i="3"/>
  <c r="K65" i="3"/>
  <c r="J121" i="3"/>
  <c r="K121" i="3"/>
  <c r="K41" i="3"/>
  <c r="K160" i="3"/>
  <c r="J160" i="3"/>
  <c r="J80" i="3"/>
  <c r="K99" i="3"/>
  <c r="J19" i="3"/>
  <c r="J197" i="3"/>
  <c r="J37" i="3"/>
  <c r="K37" i="3"/>
  <c r="J213" i="3"/>
  <c r="J48" i="3"/>
  <c r="K48" i="3"/>
  <c r="J126" i="3"/>
  <c r="J45" i="3"/>
  <c r="J204" i="3"/>
  <c r="J24" i="3"/>
  <c r="K24" i="3"/>
  <c r="J123" i="3"/>
  <c r="K123" i="3"/>
  <c r="J83" i="3"/>
  <c r="K83" i="3"/>
  <c r="I22" i="3"/>
  <c r="J21" i="3"/>
  <c r="K21" i="3"/>
  <c r="J178" i="3"/>
  <c r="K178" i="3"/>
  <c r="J157" i="3"/>
  <c r="K157" i="3"/>
  <c r="J97" i="3"/>
  <c r="K97" i="3"/>
  <c r="J12" i="3"/>
  <c r="K211" i="3"/>
  <c r="J211" i="3"/>
  <c r="K151" i="3"/>
  <c r="J151" i="3"/>
  <c r="K91" i="3"/>
  <c r="J91" i="3"/>
  <c r="K71" i="3"/>
  <c r="K31" i="3"/>
  <c r="J31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AC2" i="3"/>
  <c r="AB2" i="3"/>
  <c r="AA2" i="3"/>
  <c r="Z2" i="3"/>
  <c r="Y2" i="3"/>
  <c r="X2" i="3"/>
  <c r="W2" i="3"/>
  <c r="V2" i="3"/>
  <c r="U2" i="3"/>
  <c r="N2" i="3"/>
  <c r="M2" i="3"/>
  <c r="G2" i="3"/>
  <c r="F2" i="3"/>
  <c r="D2" i="3"/>
  <c r="C2" i="3"/>
  <c r="B2" i="3"/>
  <c r="A2" i="3"/>
  <c r="C2" i="2"/>
  <c r="B2" i="2"/>
  <c r="J111" i="3" l="1"/>
  <c r="J163" i="3"/>
  <c r="J132" i="3"/>
  <c r="K193" i="3"/>
  <c r="J137" i="3"/>
  <c r="K89" i="3"/>
  <c r="J58" i="3"/>
  <c r="K140" i="3"/>
  <c r="J153" i="3"/>
  <c r="K203" i="3"/>
  <c r="J150" i="3"/>
  <c r="K113" i="3"/>
  <c r="J148" i="3"/>
  <c r="J79" i="3"/>
  <c r="J191" i="3"/>
  <c r="K117" i="3"/>
  <c r="J63" i="3"/>
  <c r="K38" i="3"/>
  <c r="J47" i="3"/>
  <c r="K52" i="3"/>
  <c r="K182" i="3"/>
  <c r="K72" i="3"/>
  <c r="K23" i="3"/>
  <c r="J50" i="3"/>
  <c r="K208" i="3"/>
  <c r="J114" i="3"/>
  <c r="K133" i="3"/>
  <c r="K174" i="3"/>
  <c r="J147" i="3"/>
  <c r="K212" i="3"/>
  <c r="J110" i="3"/>
  <c r="K25" i="3"/>
  <c r="K125" i="3"/>
  <c r="K130" i="3"/>
  <c r="J129" i="3"/>
  <c r="J32" i="3"/>
  <c r="J59" i="3"/>
  <c r="J95" i="3"/>
  <c r="J70" i="3"/>
  <c r="J194" i="3"/>
  <c r="J10" i="3"/>
  <c r="J11" i="3"/>
  <c r="J92" i="3"/>
  <c r="J20" i="3"/>
  <c r="K46" i="3"/>
  <c r="K93" i="3"/>
  <c r="J44" i="3"/>
  <c r="J183" i="3"/>
  <c r="J69" i="3"/>
  <c r="K144" i="3"/>
  <c r="K175" i="3"/>
  <c r="K124" i="3"/>
  <c r="K156" i="3"/>
  <c r="J128" i="3"/>
  <c r="K81" i="3"/>
  <c r="K199" i="3"/>
  <c r="J53" i="3"/>
  <c r="K215" i="3"/>
  <c r="K51" i="3"/>
  <c r="K206" i="3"/>
  <c r="J34" i="3"/>
  <c r="J105" i="3"/>
  <c r="J102" i="3"/>
  <c r="J176" i="3"/>
  <c r="K57" i="3"/>
  <c r="K115" i="3"/>
  <c r="K216" i="3"/>
  <c r="K127" i="3"/>
  <c r="J13" i="3"/>
  <c r="K85" i="3"/>
  <c r="K134" i="3"/>
  <c r="K17" i="3"/>
  <c r="K161" i="3"/>
  <c r="K185" i="3"/>
  <c r="J109" i="3"/>
  <c r="K84" i="3"/>
  <c r="J73" i="3"/>
  <c r="J139" i="3"/>
  <c r="K165" i="3"/>
  <c r="J169" i="3"/>
  <c r="K173" i="3"/>
  <c r="K145" i="3"/>
  <c r="J154" i="3"/>
  <c r="K155" i="3"/>
  <c r="K77" i="3"/>
  <c r="K6" i="3"/>
  <c r="J189" i="3"/>
  <c r="K184" i="3"/>
  <c r="J108" i="3"/>
  <c r="K202" i="3"/>
  <c r="J100" i="3"/>
  <c r="K138" i="3"/>
  <c r="K15" i="3"/>
  <c r="K205" i="3"/>
  <c r="J180" i="3"/>
  <c r="K27" i="3"/>
  <c r="J36" i="3"/>
  <c r="K149" i="3"/>
  <c r="K142" i="3"/>
  <c r="K56" i="3"/>
  <c r="K181" i="3"/>
  <c r="J131" i="3"/>
  <c r="J64" i="3"/>
  <c r="J87" i="3"/>
  <c r="J78" i="3"/>
  <c r="J35" i="3"/>
  <c r="J195" i="3"/>
  <c r="J26" i="3"/>
  <c r="J61" i="3"/>
  <c r="K7" i="3"/>
  <c r="K104" i="3"/>
  <c r="K167" i="3"/>
  <c r="J172" i="3"/>
  <c r="K158" i="3"/>
  <c r="K55" i="3"/>
  <c r="K96" i="3"/>
  <c r="J159" i="3"/>
  <c r="K4" i="3"/>
  <c r="K207" i="3"/>
  <c r="K198" i="3"/>
  <c r="K82" i="3"/>
  <c r="K86" i="3"/>
  <c r="J210" i="3"/>
  <c r="J112" i="3"/>
  <c r="K67" i="3"/>
  <c r="K18" i="3"/>
  <c r="K164" i="3"/>
  <c r="K143" i="3"/>
  <c r="K136" i="3"/>
  <c r="J39" i="3"/>
  <c r="J201" i="3"/>
  <c r="K62" i="3"/>
  <c r="J152" i="3"/>
  <c r="J141" i="3"/>
  <c r="J33" i="3"/>
  <c r="J68" i="3"/>
  <c r="K75" i="3"/>
  <c r="K88" i="3"/>
  <c r="J190" i="3"/>
  <c r="J192" i="3"/>
  <c r="K74" i="3"/>
  <c r="K186" i="3"/>
  <c r="K8" i="3"/>
  <c r="J40" i="3"/>
  <c r="J9" i="3"/>
  <c r="J171" i="3"/>
  <c r="K98" i="3"/>
  <c r="AD2" i="3"/>
  <c r="J3" i="3"/>
  <c r="K3" i="3"/>
  <c r="J42" i="3"/>
  <c r="K42" i="3"/>
  <c r="J22" i="3"/>
  <c r="K22" i="3"/>
  <c r="AE2" i="3"/>
  <c r="AF2" i="3"/>
  <c r="AG2" i="3"/>
  <c r="AH2" i="3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H204" i="3" s="1"/>
  <c r="H205" i="3" s="1"/>
  <c r="H206" i="3" s="1"/>
  <c r="H207" i="3" s="1"/>
  <c r="H208" i="3" s="1"/>
  <c r="H209" i="3" s="1"/>
  <c r="H210" i="3" s="1"/>
  <c r="H211" i="3" s="1"/>
  <c r="H212" i="3" s="1"/>
  <c r="H213" i="3" s="1"/>
  <c r="H214" i="3" s="1"/>
  <c r="H215" i="3" s="1"/>
  <c r="H216" i="3" s="1"/>
  <c r="I2" i="3"/>
  <c r="K2" i="3" l="1"/>
  <c r="J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<sst xmlns="http://schemas.openxmlformats.org/spreadsheetml/2006/main" count="195" uniqueCount="91">
  <si>
    <t>Parameter</t>
  </si>
  <si>
    <t>Value</t>
  </si>
  <si>
    <t>Notes</t>
  </si>
  <si>
    <t>Reservoir_Name</t>
  </si>
  <si>
    <t>Mae Na Rua</t>
  </si>
  <si>
    <t>AsOf_Time</t>
  </si>
  <si>
    <t>07:00</t>
  </si>
  <si>
    <t>Reference time for 'Date' row</t>
  </si>
  <si>
    <t>Storage_Max_m3</t>
  </si>
  <si>
    <t>S_max (m³) at full supply level</t>
  </si>
  <si>
    <t>API_k</t>
  </si>
  <si>
    <t>Antecedent Precipitation Index decay (0.90–0.98)</t>
  </si>
  <si>
    <t>Days_in_Year</t>
  </si>
  <si>
    <t>Use 366 if you prefer leap-year handling</t>
  </si>
  <si>
    <t>Date (YYYY-MM-DD)</t>
  </si>
  <si>
    <t>AsOf_Time (HH:MM)</t>
  </si>
  <si>
    <t>Water_Level_MSL (m)</t>
  </si>
  <si>
    <t>Storage_S (m³)</t>
  </si>
  <si>
    <t>Q_in (m³/day) [Observed]</t>
  </si>
  <si>
    <t>Outflow_O (m³/day)</t>
  </si>
  <si>
    <t>Spill (m³/day)</t>
  </si>
  <si>
    <t>Rain_24h (mm) [Observed]</t>
  </si>
  <si>
    <t>Rain_Direct_to_Reservoir (m³/day)</t>
  </si>
  <si>
    <t>Evaporation_E (m³/day)</t>
  </si>
  <si>
    <t>Infiltration (m³/day)</t>
  </si>
  <si>
    <t>Notes / QC Flags</t>
  </si>
  <si>
    <t>Rain_Forecast_d1 (mm) [Issued at t]</t>
  </si>
  <si>
    <t>Rain_Forecast_d2 (mm) [Issued at t]</t>
  </si>
  <si>
    <t>Rain_Forecast_d3 (mm) [Issued at t]</t>
  </si>
  <si>
    <t>Date</t>
  </si>
  <si>
    <t>Q_in_t (m³/day)</t>
  </si>
  <si>
    <t>Water_Level_t (m)</t>
  </si>
  <si>
    <t>Storage_S_t (m³)</t>
  </si>
  <si>
    <t>DeltaS_t (m³/day)</t>
  </si>
  <si>
    <t>%Full_t</t>
  </si>
  <si>
    <t>Rain_obs_t (mm)</t>
  </si>
  <si>
    <t>API_t (mm)</t>
  </si>
  <si>
    <t>DOY</t>
  </si>
  <si>
    <t>DOY_sin</t>
  </si>
  <si>
    <t>DOY_cos</t>
  </si>
  <si>
    <t>Q_lag1 (m³/day)</t>
  </si>
  <si>
    <t>Q_lag2 (m³/day)</t>
  </si>
  <si>
    <t>Q_lag3 (m³/day)</t>
  </si>
  <si>
    <t>Rain_obs_sum3 (mm)</t>
  </si>
  <si>
    <t>Q_mean_3d</t>
  </si>
  <si>
    <t>Outflow_lag1 (m³/day)</t>
  </si>
  <si>
    <t>Spill_lag1 (m³/day)</t>
  </si>
  <si>
    <t>Outflow_lag2 (m³/day)</t>
  </si>
  <si>
    <t>Spill_lag2 (m³/day)</t>
  </si>
  <si>
    <t>Outflow_lag3 (m³/day)</t>
  </si>
  <si>
    <t>Spill_lag3 (m³/day)</t>
  </si>
  <si>
    <t>Rain_fcst_d1 (mm)</t>
  </si>
  <si>
    <t>Rain_fcst_d2 (mm)</t>
  </si>
  <si>
    <t>Rain_fcst_d3 (mm)</t>
  </si>
  <si>
    <t>Rain_fcst_sum1_3 (mm)</t>
  </si>
  <si>
    <t>y1=Q_in_t+1 (m³/day)</t>
  </si>
  <si>
    <t>y2=Q_in_t+2 (m³/day)</t>
  </si>
  <si>
    <t>y3=Q_in_t+3 (m³/day)</t>
  </si>
  <si>
    <t>Sheet</t>
  </si>
  <si>
    <t>Column / Block</t>
  </si>
  <si>
    <t>Type</t>
  </si>
  <si>
    <t>Units</t>
  </si>
  <si>
    <t>Who fills</t>
  </si>
  <si>
    <t>How to use</t>
  </si>
  <si>
    <t>Daily_Input</t>
  </si>
  <si>
    <t>A:M</t>
  </si>
  <si>
    <t>Inputs</t>
  </si>
  <si>
    <t>-</t>
  </si>
  <si>
    <t>User</t>
  </si>
  <si>
    <t>Fill 1 row per day (as-of Config!AsOf_Time).</t>
  </si>
  <si>
    <t>N:AA</t>
  </si>
  <si>
    <t>mm</t>
  </si>
  <si>
    <t>Training_Ready</t>
  </si>
  <si>
    <t>Row 2 formulas</t>
  </si>
  <si>
    <t>Derived</t>
  </si>
  <si>
    <t>Excel</t>
  </si>
  <si>
    <t>After filling Daily_Input, copy row 2 down for the full length of your dataset.</t>
  </si>
  <si>
    <t>API_t</t>
  </si>
  <si>
    <t>API uses self-initializing formula: first row = Rain_obs, later rows = k*API_prev + Rain_obs.</t>
  </si>
  <si>
    <t>Targets</t>
  </si>
  <si>
    <t>m³/day</t>
  </si>
  <si>
    <t>ตัวแทนความชื้นลุ่มน้ำ</t>
  </si>
  <si>
    <t>Rain_fcst_max1_3 (mm)</t>
  </si>
  <si>
    <t>y1..y3</t>
  </si>
  <si>
    <t>Direct multi-horizon targets: Q_in(t+1..t+3).</t>
  </si>
  <si>
    <t>Rain_Forecast_d1..d3 issued at day t (same row).</t>
  </si>
  <si>
    <t>Q_lag7 (m³/day)</t>
  </si>
  <si>
    <t>Q_lag14 (m³/day)</t>
  </si>
  <si>
    <t>Rain_obs_sum7 (mm)</t>
  </si>
  <si>
    <t>Rain_obs_sum14 (mm)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</si>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</sst>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/>
    <xf numFmtId="0" fontId="2" fillId="0" borderId="1" xfId="0" applyFont="1" applyBorder="1" applyAlignment="1">
      <alignment vertical="center"/>
    </xf>
    <xf numFmtId="164" fontId="0" fillId="0" borderId="0" xfId="0" applyNumberFormat="1"/>
    <xf numFmtId="165" fontId="0" fillId="0" borderId="0" xfId="0" applyNumberFormat="1"/>
    <xf numFmtId="165" fontId="4" fillId="0" borderId="0" xfId="1" applyNumberFormat="1"/>
    <xf numFmtId="165" fontId="6" fillId="0" borderId="0" xfId="0" applyNumberFormat="1" applyFont="1"/>
    <xf numFmtId="0" fontId="5" fillId="0" borderId="0" xfId="0" applyFont="1"/>
    <xf numFmtId="165" fontId="5" fillId="0" borderId="0" xfId="0" applyNumberFormat="1" applyFont="1"/>
  </cellXfs>
  <cellStyles count="2">
    <cellStyle name="Normal" xfId="0" builtinId="0"/>
    <cellStyle name="Normal 2" xfId="1" xr:uid="{8389C160-B2A4-4683-A905-564A64563C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niversity%20of%20Phayao\&#3648;&#3629;&#3585;&#3626;&#3634;&#3619;&#3585;&#3634;&#3619;&#3648;&#3619;&#3637;&#3618;&#3609;\Paper%203\Daily%20water%20data%20table\inflow_ml_training_template_14d.xlsx" TargetMode="External"/><Relationship Id="rId1" Type="http://schemas.openxmlformats.org/officeDocument/2006/relationships/externalLinkPath" Target="inflow_ml_training_template_14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Daily_Input"/>
      <sheetName val="Training_Ready"/>
      <sheetName val="Data_Dictionary"/>
    </sheetNames>
    <sheetDataSet>
      <sheetData sheetId="0" refreshError="1"/>
      <sheetData sheetId="1">
        <row r="1">
          <cell r="F1" t="str">
            <v>Q_in (m³/day) [Observed]</v>
          </cell>
        </row>
        <row r="2">
          <cell r="F2">
            <v>15833.16372921539</v>
          </cell>
        </row>
        <row r="3">
          <cell r="F3">
            <v>17695.812745538056</v>
          </cell>
        </row>
        <row r="4">
          <cell r="F4">
            <v>16246.517975131314</v>
          </cell>
        </row>
        <row r="5">
          <cell r="F5">
            <v>21645.220712065402</v>
          </cell>
        </row>
        <row r="6">
          <cell r="F6">
            <v>22384.726030446494</v>
          </cell>
        </row>
        <row r="7">
          <cell r="F7">
            <v>41409.761774343926</v>
          </cell>
        </row>
        <row r="8">
          <cell r="F8">
            <v>41376.630786367386</v>
          </cell>
        </row>
        <row r="9">
          <cell r="F9">
            <v>38399.784596367383</v>
          </cell>
        </row>
        <row r="10">
          <cell r="F10">
            <v>33609.807666367386</v>
          </cell>
        </row>
        <row r="11">
          <cell r="F11">
            <v>16375.721740471887</v>
          </cell>
        </row>
        <row r="12">
          <cell r="F12">
            <v>9394.6861631766424</v>
          </cell>
        </row>
        <row r="13">
          <cell r="F13">
            <v>20229.444597982056</v>
          </cell>
        </row>
        <row r="14">
          <cell r="F14">
            <v>62078.747450664108</v>
          </cell>
        </row>
        <row r="15">
          <cell r="F15">
            <v>48074.294514598987</v>
          </cell>
        </row>
        <row r="16">
          <cell r="F16">
            <v>37913.4925589673</v>
          </cell>
        </row>
        <row r="17">
          <cell r="F17">
            <v>783596.62376326253</v>
          </cell>
        </row>
        <row r="18">
          <cell r="F18">
            <v>420736.40525566263</v>
          </cell>
        </row>
        <row r="19">
          <cell r="F19">
            <v>246843.56846525046</v>
          </cell>
        </row>
        <row r="20">
          <cell r="F20">
            <v>142399.4812738132</v>
          </cell>
        </row>
        <row r="21">
          <cell r="F21">
            <v>99328.010588255012</v>
          </cell>
        </row>
        <row r="22">
          <cell r="F22">
            <v>81419.738400219037</v>
          </cell>
        </row>
        <row r="23">
          <cell r="F23">
            <v>53890.844217598838</v>
          </cell>
        </row>
        <row r="24">
          <cell r="F24">
            <v>1407917.4636137555</v>
          </cell>
        </row>
        <row r="25">
          <cell r="F25">
            <v>1122921.6352246474</v>
          </cell>
        </row>
        <row r="26">
          <cell r="F26">
            <v>618339.96116878954</v>
          </cell>
        </row>
        <row r="27">
          <cell r="F27">
            <v>482245.1187264027</v>
          </cell>
        </row>
        <row r="28">
          <cell r="F28">
            <v>569142.47170705406</v>
          </cell>
        </row>
        <row r="29">
          <cell r="F29">
            <v>1013546.0593323153</v>
          </cell>
        </row>
        <row r="30">
          <cell r="F30">
            <v>692861.00746525498</v>
          </cell>
        </row>
        <row r="31">
          <cell r="F31">
            <v>813878.43053686991</v>
          </cell>
        </row>
        <row r="32">
          <cell r="F32">
            <v>523960.10982635699</v>
          </cell>
        </row>
        <row r="33">
          <cell r="F33">
            <v>376449.80174154462</v>
          </cell>
        </row>
        <row r="34">
          <cell r="F34">
            <v>279106.45961991127</v>
          </cell>
        </row>
        <row r="35">
          <cell r="F35">
            <v>176815.45815023186</v>
          </cell>
        </row>
        <row r="36">
          <cell r="F36">
            <v>95627.562866258872</v>
          </cell>
        </row>
        <row r="37">
          <cell r="F37">
            <v>31783.878141474797</v>
          </cell>
        </row>
        <row r="38">
          <cell r="F38">
            <v>7635.1242850645058</v>
          </cell>
        </row>
        <row r="39">
          <cell r="F39">
            <v>3846.2012694066034</v>
          </cell>
        </row>
        <row r="40">
          <cell r="F40">
            <v>6447.4052380911789</v>
          </cell>
        </row>
        <row r="41">
          <cell r="F41">
            <v>5801.6363530791823</v>
          </cell>
        </row>
        <row r="42">
          <cell r="F42">
            <v>6831.8853462880434</v>
          </cell>
        </row>
        <row r="43">
          <cell r="F43">
            <v>3947.8923826043183</v>
          </cell>
        </row>
        <row r="44">
          <cell r="F44">
            <v>12894.535813435617</v>
          </cell>
        </row>
        <row r="45">
          <cell r="F45">
            <v>57986.6924778705</v>
          </cell>
        </row>
        <row r="46">
          <cell r="F46">
            <v>98688.858359799415</v>
          </cell>
        </row>
        <row r="47">
          <cell r="F47">
            <v>123882.52586460387</v>
          </cell>
        </row>
        <row r="48">
          <cell r="F48">
            <v>677241.19359863247</v>
          </cell>
        </row>
        <row r="49">
          <cell r="F49">
            <v>986251.87556389906</v>
          </cell>
        </row>
        <row r="50">
          <cell r="F50">
            <v>658820.49915628741</v>
          </cell>
        </row>
        <row r="51">
          <cell r="F51">
            <v>412239.01187944028</v>
          </cell>
        </row>
        <row r="52">
          <cell r="F52">
            <v>272728.24658660253</v>
          </cell>
        </row>
        <row r="53">
          <cell r="F53">
            <v>180621.98595023184</v>
          </cell>
        </row>
        <row r="54">
          <cell r="F54">
            <v>165869.35925545922</v>
          </cell>
        </row>
        <row r="55">
          <cell r="F55">
            <v>177778.22355395212</v>
          </cell>
        </row>
        <row r="56">
          <cell r="F56">
            <v>337206.41036553407</v>
          </cell>
        </row>
        <row r="57">
          <cell r="F57">
            <v>215510.0886564416</v>
          </cell>
        </row>
        <row r="58">
          <cell r="F58">
            <v>237223.24894104595</v>
          </cell>
        </row>
        <row r="59">
          <cell r="F59">
            <v>932836.67180179933</v>
          </cell>
        </row>
        <row r="60">
          <cell r="F60">
            <v>682636.01528965402</v>
          </cell>
        </row>
        <row r="61">
          <cell r="F61">
            <v>456831.75149520702</v>
          </cell>
        </row>
        <row r="62">
          <cell r="F62">
            <v>337406.40040267422</v>
          </cell>
        </row>
        <row r="63">
          <cell r="F63">
            <v>298696.60837014229</v>
          </cell>
        </row>
        <row r="64">
          <cell r="F64">
            <v>236821.69637413273</v>
          </cell>
        </row>
        <row r="65">
          <cell r="F65">
            <v>195765.08577595494</v>
          </cell>
        </row>
        <row r="66">
          <cell r="F66">
            <v>192157.25966394474</v>
          </cell>
        </row>
        <row r="67">
          <cell r="F67">
            <v>128441.83921457497</v>
          </cell>
        </row>
        <row r="68">
          <cell r="F68">
            <v>78553.698676224551</v>
          </cell>
        </row>
        <row r="69">
          <cell r="F69">
            <v>43970.58665044907</v>
          </cell>
        </row>
        <row r="70">
          <cell r="F70">
            <v>20959.740382089953</v>
          </cell>
        </row>
        <row r="71">
          <cell r="F71">
            <v>8842.6662384497886</v>
          </cell>
        </row>
        <row r="72">
          <cell r="F72">
            <v>6845.3784573862686</v>
          </cell>
        </row>
        <row r="73">
          <cell r="F73">
            <v>6857.8574685479307</v>
          </cell>
        </row>
        <row r="74">
          <cell r="F74">
            <v>11063.993842065462</v>
          </cell>
        </row>
        <row r="75">
          <cell r="F75">
            <v>6874.1850794153179</v>
          </cell>
        </row>
        <row r="76">
          <cell r="F76">
            <v>3898.785810022036</v>
          </cell>
        </row>
        <row r="77">
          <cell r="F77">
            <v>6948.2052620067643</v>
          </cell>
        </row>
        <row r="78">
          <cell r="F78">
            <v>5363.1104289303385</v>
          </cell>
        </row>
        <row r="79">
          <cell r="F79">
            <v>11172.319293271388</v>
          </cell>
        </row>
        <row r="80">
          <cell r="F80">
            <v>12890.196681399973</v>
          </cell>
        </row>
        <row r="81">
          <cell r="F81">
            <v>1075.8739396307471</v>
          </cell>
        </row>
        <row r="82">
          <cell r="F82">
            <v>2525.2451519868682</v>
          </cell>
        </row>
        <row r="83">
          <cell r="F83">
            <v>672.85565525271102</v>
          </cell>
        </row>
        <row r="84">
          <cell r="F84">
            <v>7983.1569079272103</v>
          </cell>
        </row>
        <row r="85">
          <cell r="F85">
            <v>3594.1671484005728</v>
          </cell>
        </row>
        <row r="86">
          <cell r="F86">
            <v>742.15266772859582</v>
          </cell>
        </row>
        <row r="87">
          <cell r="F87">
            <v>1230.0585265529705</v>
          </cell>
        </row>
        <row r="88">
          <cell r="F88">
            <v>13501.857041101875</v>
          </cell>
        </row>
        <row r="89">
          <cell r="F89">
            <v>7080.4429602318232</v>
          </cell>
        </row>
        <row r="90">
          <cell r="F90">
            <v>7087.0644007301025</v>
          </cell>
        </row>
        <row r="91">
          <cell r="F91">
            <v>6802.3356132536592</v>
          </cell>
        </row>
        <row r="92">
          <cell r="F92">
            <v>4189.4084228156607</v>
          </cell>
        </row>
        <row r="93">
          <cell r="F93">
            <v>5363.4032193394723</v>
          </cell>
        </row>
        <row r="94">
          <cell r="F94">
            <v>15523.391926246441</v>
          </cell>
        </row>
        <row r="95">
          <cell r="F95">
            <v>6624.8544772187824</v>
          </cell>
        </row>
        <row r="96">
          <cell r="F96">
            <v>12849.237245322573</v>
          </cell>
        </row>
        <row r="97">
          <cell r="F97">
            <v>9363.8339853538455</v>
          </cell>
        </row>
        <row r="98">
          <cell r="F98">
            <v>9076.5061747878171</v>
          </cell>
        </row>
        <row r="99">
          <cell r="F99">
            <v>4148.2081998289541</v>
          </cell>
        </row>
        <row r="100">
          <cell r="F100">
            <v>4159.7864014393017</v>
          </cell>
        </row>
        <row r="101">
          <cell r="F101">
            <v>17549.779870020619</v>
          </cell>
        </row>
        <row r="102">
          <cell r="F102">
            <v>61984.570210049686</v>
          </cell>
        </row>
        <row r="103">
          <cell r="F103">
            <v>23791.948615682664</v>
          </cell>
        </row>
        <row r="104">
          <cell r="F104">
            <v>12845.115595709625</v>
          </cell>
        </row>
        <row r="105">
          <cell r="F105">
            <v>9935.1251797613131</v>
          </cell>
        </row>
        <row r="106">
          <cell r="F106">
            <v>9937.922199184015</v>
          </cell>
        </row>
        <row r="107">
          <cell r="F107">
            <v>9301.0968726409028</v>
          </cell>
        </row>
        <row r="108">
          <cell r="F108">
            <v>41543.27817919424</v>
          </cell>
        </row>
        <row r="109">
          <cell r="F109">
            <v>41840.889251495639</v>
          </cell>
        </row>
        <row r="110">
          <cell r="F110">
            <v>72850.244410938816</v>
          </cell>
        </row>
        <row r="111">
          <cell r="F111">
            <v>57272.813048606957</v>
          </cell>
        </row>
        <row r="112">
          <cell r="F112">
            <v>59292.830091829761</v>
          </cell>
        </row>
        <row r="113">
          <cell r="F113">
            <v>159822.0349924381</v>
          </cell>
        </row>
        <row r="114">
          <cell r="F114">
            <v>223890.33393543618</v>
          </cell>
        </row>
        <row r="115">
          <cell r="F115">
            <v>224830.47388327509</v>
          </cell>
        </row>
        <row r="116">
          <cell r="F116">
            <v>172713.5744070363</v>
          </cell>
        </row>
        <row r="117">
          <cell r="F117">
            <v>130466.19541163601</v>
          </cell>
        </row>
        <row r="118">
          <cell r="F118">
            <v>77486.39771545741</v>
          </cell>
        </row>
        <row r="119">
          <cell r="F119">
            <v>44479.341708086838</v>
          </cell>
        </row>
        <row r="120">
          <cell r="F120">
            <v>18262.693376172334</v>
          </cell>
        </row>
        <row r="121">
          <cell r="F121">
            <v>9818.9589260029243</v>
          </cell>
        </row>
        <row r="122">
          <cell r="F122">
            <v>9768.2814577297322</v>
          </cell>
        </row>
        <row r="123">
          <cell r="F123">
            <v>9773.5673833127039</v>
          </cell>
        </row>
        <row r="124">
          <cell r="F124">
            <v>9778.8482989056029</v>
          </cell>
        </row>
        <row r="125">
          <cell r="F125">
            <v>8169.8317956397523</v>
          </cell>
        </row>
        <row r="126">
          <cell r="F126">
            <v>15019.199999999999</v>
          </cell>
        </row>
        <row r="127">
          <cell r="F127">
            <v>6030.0794041997742</v>
          </cell>
        </row>
        <row r="128">
          <cell r="F128">
            <v>9033.854316500061</v>
          </cell>
        </row>
        <row r="129">
          <cell r="F129">
            <v>21004.545683499935</v>
          </cell>
        </row>
        <row r="130">
          <cell r="F130">
            <v>15019.199999999999</v>
          </cell>
        </row>
        <row r="131">
          <cell r="F131">
            <v>3760.1438605002122</v>
          </cell>
        </row>
        <row r="132">
          <cell r="F132">
            <v>40495.864248699872</v>
          </cell>
        </row>
        <row r="133">
          <cell r="F133">
            <v>336206.9549999999</v>
          </cell>
        </row>
        <row r="134">
          <cell r="F134">
            <v>370489.39000490011</v>
          </cell>
        </row>
        <row r="135">
          <cell r="F135">
            <v>322823.09686260013</v>
          </cell>
        </row>
        <row r="136">
          <cell r="F136">
            <v>279242.69406349986</v>
          </cell>
        </row>
        <row r="137">
          <cell r="F137">
            <v>237055.74979460001</v>
          </cell>
        </row>
        <row r="138">
          <cell r="F138">
            <v>212574.47817439996</v>
          </cell>
        </row>
        <row r="139">
          <cell r="F139">
            <v>191472.81453110004</v>
          </cell>
        </row>
        <row r="140">
          <cell r="F140">
            <v>174711.21005079997</v>
          </cell>
        </row>
        <row r="141">
          <cell r="F141">
            <v>176791.29019999999</v>
          </cell>
        </row>
        <row r="142">
          <cell r="F142">
            <v>490057.93412300007</v>
          </cell>
        </row>
        <row r="143">
          <cell r="F143">
            <v>965976.87391570001</v>
          </cell>
        </row>
        <row r="144">
          <cell r="F144">
            <v>897133.89809549996</v>
          </cell>
        </row>
        <row r="145">
          <cell r="F145">
            <v>611821.21786540013</v>
          </cell>
        </row>
        <row r="146">
          <cell r="F146">
            <v>489655.21922529989</v>
          </cell>
        </row>
        <row r="147">
          <cell r="F147">
            <v>432691.32345790009</v>
          </cell>
        </row>
        <row r="148">
          <cell r="F148">
            <v>378472.27843739983</v>
          </cell>
        </row>
        <row r="149">
          <cell r="F149">
            <v>344831.7553028001</v>
          </cell>
        </row>
        <row r="150">
          <cell r="F150">
            <v>309590.22952609992</v>
          </cell>
        </row>
        <row r="151">
          <cell r="F151">
            <v>287840.33389740012</v>
          </cell>
        </row>
        <row r="152">
          <cell r="F152">
            <v>271018.3982</v>
          </cell>
        </row>
        <row r="153">
          <cell r="F153">
            <v>251576.49809719989</v>
          </cell>
        </row>
        <row r="154">
          <cell r="F154">
            <v>243890.5024</v>
          </cell>
        </row>
        <row r="155">
          <cell r="F155">
            <v>233896.28084530271</v>
          </cell>
        </row>
        <row r="156">
          <cell r="F156">
            <v>227983.61859999999</v>
          </cell>
        </row>
        <row r="157">
          <cell r="F157">
            <v>220749.81959999999</v>
          </cell>
        </row>
        <row r="158">
          <cell r="F158">
            <v>208270.49933110006</v>
          </cell>
        </row>
        <row r="159">
          <cell r="F159">
            <v>203382.0877</v>
          </cell>
        </row>
        <row r="160">
          <cell r="F160">
            <v>194228.53700000001</v>
          </cell>
        </row>
        <row r="161">
          <cell r="F161">
            <v>178011.30405079998</v>
          </cell>
        </row>
        <row r="162">
          <cell r="F162">
            <v>175224.21580000001</v>
          </cell>
        </row>
        <row r="163">
          <cell r="F163">
            <v>162847.2046</v>
          </cell>
        </row>
        <row r="164">
          <cell r="F164">
            <v>156282.94311560006</v>
          </cell>
        </row>
        <row r="165">
          <cell r="F165">
            <v>144077.8655225999</v>
          </cell>
        </row>
        <row r="166">
          <cell r="F166">
            <v>160556.59026180004</v>
          </cell>
        </row>
        <row r="167">
          <cell r="F167">
            <v>142703.97903819996</v>
          </cell>
        </row>
        <row r="168">
          <cell r="F168">
            <v>151583.6275774001</v>
          </cell>
        </row>
        <row r="169">
          <cell r="F169">
            <v>147011.24979999999</v>
          </cell>
        </row>
        <row r="170">
          <cell r="F170">
            <v>133506.99842259989</v>
          </cell>
        </row>
        <row r="171">
          <cell r="F171">
            <v>134938.92069999999</v>
          </cell>
        </row>
        <row r="172">
          <cell r="F172">
            <v>125572.8885</v>
          </cell>
        </row>
        <row r="173">
          <cell r="F173">
            <v>114596.90725480005</v>
          </cell>
        </row>
        <row r="174">
          <cell r="F174">
            <v>108443.3858</v>
          </cell>
        </row>
        <row r="175">
          <cell r="F175">
            <v>111252.38430000001</v>
          </cell>
        </row>
        <row r="176">
          <cell r="F176">
            <v>104163.86380000001</v>
          </cell>
        </row>
        <row r="177">
          <cell r="F177">
            <v>97013.389796700081</v>
          </cell>
        </row>
        <row r="178">
          <cell r="F178">
            <v>96713.272689999998</v>
          </cell>
        </row>
        <row r="179">
          <cell r="F179">
            <v>98785.285319999995</v>
          </cell>
        </row>
        <row r="180">
          <cell r="F180">
            <v>97392.949030000003</v>
          </cell>
        </row>
        <row r="181">
          <cell r="F181">
            <v>90527.126170000003</v>
          </cell>
        </row>
        <row r="182">
          <cell r="F182">
            <v>83258.237940000006</v>
          </cell>
        </row>
        <row r="183">
          <cell r="F183">
            <v>75859.2213603001</v>
          </cell>
        </row>
        <row r="184">
          <cell r="F184">
            <v>71967.533649999998</v>
          </cell>
        </row>
        <row r="185">
          <cell r="F185">
            <v>68645.615040000004</v>
          </cell>
        </row>
        <row r="186">
          <cell r="F186">
            <v>78096.91282609367</v>
          </cell>
        </row>
        <row r="187">
          <cell r="F187">
            <v>69605.903878021491</v>
          </cell>
        </row>
        <row r="188">
          <cell r="F188">
            <v>68975.025125621687</v>
          </cell>
        </row>
        <row r="189">
          <cell r="F189">
            <v>66857.844585621686</v>
          </cell>
        </row>
        <row r="190">
          <cell r="F190">
            <v>55365.614115621691</v>
          </cell>
        </row>
        <row r="191">
          <cell r="F191">
            <v>47660.33264337013</v>
          </cell>
        </row>
        <row r="192">
          <cell r="F192">
            <v>21863.172234242826</v>
          </cell>
        </row>
        <row r="193">
          <cell r="F193">
            <v>0</v>
          </cell>
        </row>
        <row r="194">
          <cell r="F194">
            <v>3295.9428019438556</v>
          </cell>
        </row>
        <row r="195">
          <cell r="F195">
            <v>9477.7434247584279</v>
          </cell>
        </row>
        <row r="196">
          <cell r="F196">
            <v>9670.7438592584585</v>
          </cell>
        </row>
        <row r="197">
          <cell r="F197">
            <v>16398.032062075275</v>
          </cell>
        </row>
        <row r="198">
          <cell r="F198">
            <v>15268.1274817753</v>
          </cell>
        </row>
        <row r="199">
          <cell r="F199">
            <v>18926.447071775299</v>
          </cell>
        </row>
        <row r="200">
          <cell r="F200">
            <v>21424.640561775297</v>
          </cell>
        </row>
        <row r="201">
          <cell r="F201">
            <v>21919.954611775298</v>
          </cell>
        </row>
        <row r="202">
          <cell r="F202">
            <v>20765.388931775298</v>
          </cell>
        </row>
        <row r="203">
          <cell r="F203">
            <v>17617.496071775298</v>
          </cell>
        </row>
        <row r="204">
          <cell r="F204">
            <v>17352.360781775296</v>
          </cell>
        </row>
        <row r="205">
          <cell r="F205">
            <v>17498.205981775296</v>
          </cell>
        </row>
        <row r="206">
          <cell r="F206">
            <v>13926.703331775299</v>
          </cell>
        </row>
        <row r="207">
          <cell r="F207">
            <v>12319.036451775301</v>
          </cell>
        </row>
        <row r="208">
          <cell r="F208">
            <v>13947.703351775299</v>
          </cell>
        </row>
        <row r="209">
          <cell r="F209">
            <v>14863.8579017753</v>
          </cell>
        </row>
        <row r="210">
          <cell r="F210">
            <v>17735.328621775298</v>
          </cell>
        </row>
        <row r="211">
          <cell r="F211">
            <v>19450.907621775299</v>
          </cell>
        </row>
        <row r="212">
          <cell r="F212">
            <v>24087.348540442737</v>
          </cell>
        </row>
        <row r="213">
          <cell r="F213">
            <v>18188.771002975471</v>
          </cell>
        </row>
        <row r="214">
          <cell r="F214">
            <v>25758.306680442736</v>
          </cell>
        </row>
        <row r="215">
          <cell r="F215">
            <v>17361.896432975471</v>
          </cell>
        </row>
        <row r="216">
          <cell r="F216">
            <v>20003.431431775298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showGridLines="0" workbookViewId="0">
      <selection activeCell="C11" sqref="C11"/>
    </sheetView>
  </sheetViews>
  <sheetFormatPr defaultRowHeight="14.4"/>
  <cols>
    <col min="1" max="2" width="22" customWidth="1"/>
    <col min="3" max="3" width="44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>
      <c r="A2" s="2" t="s">
        <v>3</v>
      </c>
      <c r="B2" s="3" t="s">
        <v>4</v>
      </c>
      <c r="C2" s="2"/>
    </row>
    <row r="3" spans="1:4">
      <c r="A3" s="2" t="s">
        <v>5</v>
      </c>
      <c r="B3" s="3" t="s">
        <v>6</v>
      </c>
      <c r="C3" s="2" t="s">
        <v>7</v>
      </c>
    </row>
    <row r="4" spans="1:4">
      <c r="A4" s="2" t="s">
        <v>8</v>
      </c>
      <c r="B4" s="3">
        <v>1625463.7590197001</v>
      </c>
      <c r="C4" s="2" t="s">
        <v>9</v>
      </c>
    </row>
    <row r="5" spans="1:4">
      <c r="A5" s="2" t="s">
        <v>10</v>
      </c>
      <c r="B5" s="3">
        <v>0.95</v>
      </c>
      <c r="C5" s="2" t="s">
        <v>11</v>
      </c>
      <c r="D5" t="s">
        <v>81</v>
      </c>
    </row>
    <row r="6" spans="1:4">
      <c r="A6" s="2" t="s">
        <v>12</v>
      </c>
      <c r="B6" s="3">
        <v>365</v>
      </c>
      <c r="C6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6"/>
  <sheetViews>
    <sheetView showGridLines="0" topLeftCell="F1" workbookViewId="0">
      <selection activeCell="I8" sqref="I8"/>
    </sheetView>
  </sheetViews>
  <sheetFormatPr defaultRowHeight="14.4"/>
  <cols>
    <col min="1" max="1" width="16" customWidth="1"/>
    <col min="2" max="2" width="14" customWidth="1"/>
    <col min="3" max="4" width="18" customWidth="1"/>
    <col min="5" max="5" width="16" customWidth="1"/>
    <col min="6" max="6" width="20" customWidth="1"/>
    <col min="7" max="7" width="16" customWidth="1"/>
    <col min="8" max="8" width="14" customWidth="1"/>
    <col min="9" max="9" width="18" customWidth="1"/>
    <col min="10" max="10" width="24" customWidth="1"/>
    <col min="11" max="12" width="18" customWidth="1"/>
    <col min="13" max="13" width="22" customWidth="1"/>
    <col min="14" max="16" width="18" customWidth="1"/>
  </cols>
  <sheetData>
    <row r="1" spans="1:16" ht="28.8">
      <c r="A1" s="1" t="s">
        <v>14</v>
      </c>
      <c r="B1" s="1" t="s">
        <v>15</v>
      </c>
      <c r="C1" s="1" t="s">
        <v>3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</row>
    <row r="2" spans="1:16">
      <c r="A2" s="6">
        <v>45839</v>
      </c>
      <c r="B2" s="4" t="str">
        <f>Config!$B$3</f>
        <v>07:00</v>
      </c>
      <c r="C2" s="4" t="str">
        <f>Config!$B$2</f>
        <v>Mae Na Rua</v>
      </c>
      <c r="D2" s="7">
        <v>489.51799999999997</v>
      </c>
      <c r="E2" s="7">
        <v>1616447.3000027</v>
      </c>
      <c r="F2" s="7">
        <v>16137.621087533549</v>
      </c>
      <c r="G2" s="7">
        <v>15019.2</v>
      </c>
      <c r="H2" s="7">
        <v>0</v>
      </c>
      <c r="I2">
        <v>0</v>
      </c>
      <c r="J2" s="7">
        <v>0</v>
      </c>
      <c r="K2" s="7">
        <v>813.96372651548461</v>
      </c>
      <c r="L2" s="7">
        <v>304.45735831816</v>
      </c>
      <c r="N2" s="7">
        <v>13.673</v>
      </c>
      <c r="O2" s="7">
        <v>6.6989999999999998</v>
      </c>
      <c r="P2" s="7">
        <v>4.3280000000000003</v>
      </c>
    </row>
    <row r="3" spans="1:16">
      <c r="A3" s="6">
        <v>45840</v>
      </c>
      <c r="B3" s="4" t="str">
        <f>Config!$B$3</f>
        <v>07:00</v>
      </c>
      <c r="C3" s="4" t="str">
        <f>Config!$B$2</f>
        <v>Mae Na Rua</v>
      </c>
      <c r="D3" s="7">
        <v>489.524</v>
      </c>
      <c r="E3" s="7">
        <v>1619451.3170382001</v>
      </c>
      <c r="F3" s="7">
        <v>18000.430324119316</v>
      </c>
      <c r="G3" s="7">
        <v>15019.2</v>
      </c>
      <c r="H3" s="7">
        <v>0</v>
      </c>
      <c r="I3">
        <v>3.8</v>
      </c>
      <c r="J3" s="7">
        <v>1141.7811467934062</v>
      </c>
      <c r="K3" s="7">
        <v>814.37685683131394</v>
      </c>
      <c r="L3" s="7">
        <v>304.61757858125998</v>
      </c>
      <c r="N3" s="7">
        <v>6.6989999999999998</v>
      </c>
      <c r="O3" s="7">
        <v>4.3280000000000003</v>
      </c>
      <c r="P3" s="7">
        <v>10.32</v>
      </c>
    </row>
    <row r="4" spans="1:16">
      <c r="A4" s="6">
        <v>45841</v>
      </c>
      <c r="B4" s="4" t="str">
        <f>Config!$B$3</f>
        <v>07:00</v>
      </c>
      <c r="C4" s="4" t="str">
        <f>Config!$B$2</f>
        <v>Mae Na Rua</v>
      </c>
      <c r="D4" s="7">
        <v>489.524</v>
      </c>
      <c r="E4" s="7">
        <v>1619451.3170382001</v>
      </c>
      <c r="F4" s="7">
        <v>16551.135553712575</v>
      </c>
      <c r="G4" s="7">
        <v>15019.2</v>
      </c>
      <c r="H4" s="7">
        <v>412.94111830000003</v>
      </c>
      <c r="I4">
        <v>0</v>
      </c>
      <c r="J4" s="7">
        <v>0</v>
      </c>
      <c r="K4" s="7">
        <v>814.37685683131394</v>
      </c>
      <c r="L4" s="7">
        <v>304.61757858125998</v>
      </c>
      <c r="N4" s="7">
        <v>4.3280000000000003</v>
      </c>
      <c r="O4" s="7">
        <v>10.32</v>
      </c>
      <c r="P4" s="7">
        <v>4.29</v>
      </c>
    </row>
    <row r="5" spans="1:16">
      <c r="A5" s="6">
        <v>45842</v>
      </c>
      <c r="B5" s="4" t="str">
        <f>Config!$B$3</f>
        <v>07:00</v>
      </c>
      <c r="C5" s="4" t="str">
        <f>Config!$B$2</f>
        <v>Mae Na Rua</v>
      </c>
      <c r="D5" s="7">
        <v>489.55700000000002</v>
      </c>
      <c r="E5" s="7">
        <v>1628472.3057532001</v>
      </c>
      <c r="F5" s="7">
        <v>21950.322284900692</v>
      </c>
      <c r="G5" s="7">
        <v>15019.2</v>
      </c>
      <c r="H5" s="7">
        <v>5877.4745650000004</v>
      </c>
      <c r="I5">
        <v>30.2</v>
      </c>
      <c r="J5" s="7">
        <v>9088.0680374667263</v>
      </c>
      <c r="K5" s="7">
        <v>815.62546953214246</v>
      </c>
      <c r="L5" s="7">
        <v>305.10157283528997</v>
      </c>
      <c r="N5" s="7">
        <v>10.32</v>
      </c>
      <c r="O5" s="7">
        <v>4.29</v>
      </c>
      <c r="P5" s="7">
        <v>1.1379999999999999</v>
      </c>
    </row>
    <row r="6" spans="1:16">
      <c r="A6" s="6">
        <v>45843</v>
      </c>
      <c r="B6" s="4" t="str">
        <f>Config!$B$3</f>
        <v>07:00</v>
      </c>
      <c r="C6" s="4" t="str">
        <f>Config!$B$2</f>
        <v>Mae Na Rua</v>
      </c>
      <c r="D6" s="7">
        <v>489.55700000000002</v>
      </c>
      <c r="E6" s="7">
        <v>1628472.3057532001</v>
      </c>
      <c r="F6" s="7">
        <v>22689.827603281785</v>
      </c>
      <c r="G6" s="7">
        <v>15019.2</v>
      </c>
      <c r="H6" s="7">
        <v>6670.2723230000001</v>
      </c>
      <c r="I6">
        <v>0.4</v>
      </c>
      <c r="J6" s="7">
        <v>120.37176208565201</v>
      </c>
      <c r="K6" s="7">
        <v>815.62546953214246</v>
      </c>
      <c r="L6" s="7">
        <v>305.10157283528997</v>
      </c>
      <c r="N6" s="7">
        <v>4.29</v>
      </c>
      <c r="O6" s="7">
        <v>1.1379999999999999</v>
      </c>
      <c r="P6" s="7">
        <v>13.004</v>
      </c>
    </row>
    <row r="7" spans="1:16">
      <c r="A7" s="6">
        <v>45844</v>
      </c>
      <c r="B7" s="4" t="str">
        <f>Config!$B$3</f>
        <v>07:00</v>
      </c>
      <c r="C7" s="4" t="str">
        <f>Config!$B$2</f>
        <v>Mae Na Rua</v>
      </c>
      <c r="D7" s="7">
        <v>489.577</v>
      </c>
      <c r="E7" s="7">
        <v>1634494.0165122999</v>
      </c>
      <c r="F7" s="7">
        <v>41715.18892187145</v>
      </c>
      <c r="G7" s="7">
        <v>15019.2</v>
      </c>
      <c r="H7" s="7">
        <v>24733.703730000001</v>
      </c>
      <c r="I7">
        <v>17.2</v>
      </c>
      <c r="J7" s="7">
        <v>5181.3185111232642</v>
      </c>
      <c r="K7" s="7">
        <v>816.46579636738136</v>
      </c>
      <c r="L7" s="7">
        <v>305.42714752752005</v>
      </c>
      <c r="N7" s="7">
        <v>1.1379999999999999</v>
      </c>
      <c r="O7" s="7">
        <v>13.004</v>
      </c>
      <c r="P7" s="7">
        <v>9.3940000000000001</v>
      </c>
    </row>
    <row r="8" spans="1:16">
      <c r="A8" s="6">
        <v>45845</v>
      </c>
      <c r="B8" s="4" t="str">
        <f>Config!$B$3</f>
        <v>07:00</v>
      </c>
      <c r="C8" s="4" t="str">
        <f>Config!$B$2</f>
        <v>Mae Na Rua</v>
      </c>
      <c r="D8" s="7">
        <v>489.577</v>
      </c>
      <c r="E8" s="7">
        <v>1634494.0165122999</v>
      </c>
      <c r="F8" s="7">
        <v>41682.05793389491</v>
      </c>
      <c r="G8" s="7">
        <v>15019.2</v>
      </c>
      <c r="H8" s="7">
        <v>25540.96499</v>
      </c>
      <c r="I8">
        <v>0</v>
      </c>
      <c r="J8" s="7">
        <v>0</v>
      </c>
      <c r="K8" s="7">
        <v>816.46579636738136</v>
      </c>
      <c r="L8" s="7">
        <v>305.42714752752005</v>
      </c>
      <c r="N8" s="7">
        <v>13.004</v>
      </c>
      <c r="O8" s="7">
        <v>9.3940000000000001</v>
      </c>
      <c r="P8" s="7">
        <v>1.67</v>
      </c>
    </row>
    <row r="9" spans="1:16">
      <c r="A9" s="6">
        <v>45846</v>
      </c>
      <c r="B9" s="4" t="str">
        <f>Config!$B$3</f>
        <v>07:00</v>
      </c>
      <c r="C9" s="4" t="str">
        <f>Config!$B$2</f>
        <v>Mae Na Rua</v>
      </c>
      <c r="D9" s="7">
        <v>489.577</v>
      </c>
      <c r="E9" s="7">
        <v>1634494.0165122999</v>
      </c>
      <c r="F9" s="7">
        <v>38705.211743894906</v>
      </c>
      <c r="G9" s="7">
        <v>15019.2</v>
      </c>
      <c r="H9" s="7">
        <v>22564.1188</v>
      </c>
      <c r="I9">
        <v>0</v>
      </c>
      <c r="J9" s="7">
        <v>0</v>
      </c>
      <c r="K9" s="7">
        <v>816.46579636738136</v>
      </c>
      <c r="L9" s="7">
        <v>305.42714752752005</v>
      </c>
      <c r="N9" s="7">
        <v>9.3940000000000001</v>
      </c>
      <c r="O9" s="7">
        <v>1.67</v>
      </c>
      <c r="P9" s="7">
        <v>10.659000000000001</v>
      </c>
    </row>
    <row r="10" spans="1:16">
      <c r="A10" s="6">
        <v>45847</v>
      </c>
      <c r="B10" s="4" t="str">
        <f>Config!$B$3</f>
        <v>07:00</v>
      </c>
      <c r="C10" s="4" t="str">
        <f>Config!$B$2</f>
        <v>Mae Na Rua</v>
      </c>
      <c r="D10" s="7">
        <v>489.57</v>
      </c>
      <c r="E10" s="7">
        <v>1634494.0165122999</v>
      </c>
      <c r="F10" s="7">
        <v>33915.234813894909</v>
      </c>
      <c r="G10" s="7">
        <v>15019.2</v>
      </c>
      <c r="H10" s="7">
        <v>17774.141869999999</v>
      </c>
      <c r="I10">
        <v>0</v>
      </c>
      <c r="J10" s="7">
        <v>0</v>
      </c>
      <c r="K10" s="7">
        <v>816.46579636738136</v>
      </c>
      <c r="L10" s="7">
        <v>305.42714752752005</v>
      </c>
      <c r="N10" s="7">
        <v>1.67</v>
      </c>
      <c r="O10" s="7">
        <v>10.659000000000001</v>
      </c>
      <c r="P10" s="7">
        <v>20.48</v>
      </c>
    </row>
    <row r="11" spans="1:16">
      <c r="A11" s="6">
        <v>45848</v>
      </c>
      <c r="B11" s="4" t="str">
        <f>Config!$B$3</f>
        <v>07:00</v>
      </c>
      <c r="C11" s="4" t="str">
        <f>Config!$B$2</f>
        <v>Mae Na Rua</v>
      </c>
      <c r="D11" s="7">
        <v>489.56400000000002</v>
      </c>
      <c r="E11" s="7">
        <v>1631482.3951735001</v>
      </c>
      <c r="F11" s="7">
        <v>16680.985831774797</v>
      </c>
      <c r="G11" s="7">
        <v>15019.2</v>
      </c>
      <c r="H11" s="7">
        <v>6141.4219579999999</v>
      </c>
      <c r="I11">
        <v>8.6</v>
      </c>
      <c r="J11" s="7">
        <v>2589.323794461362</v>
      </c>
      <c r="K11" s="7">
        <v>816.0449157330761</v>
      </c>
      <c r="L11" s="7">
        <v>305.26409130291</v>
      </c>
      <c r="N11" s="7">
        <v>10.659000000000001</v>
      </c>
      <c r="O11" s="7">
        <v>20.48</v>
      </c>
      <c r="P11" s="7">
        <v>22.463000000000001</v>
      </c>
    </row>
    <row r="12" spans="1:16">
      <c r="A12" s="6">
        <v>45849</v>
      </c>
      <c r="B12" s="4" t="str">
        <f>Config!$B$3</f>
        <v>07:00</v>
      </c>
      <c r="C12" s="4" t="str">
        <f>Config!$B$2</f>
        <v>Mae Na Rua</v>
      </c>
      <c r="D12" s="7">
        <v>489.54399999999998</v>
      </c>
      <c r="E12" s="7">
        <v>1625463.7590197001</v>
      </c>
      <c r="F12" s="7">
        <v>9699.6258287280525</v>
      </c>
      <c r="G12" s="7">
        <v>15019.2</v>
      </c>
      <c r="H12" s="7">
        <v>0</v>
      </c>
      <c r="I12">
        <v>1.4</v>
      </c>
      <c r="J12" s="7">
        <v>421.08536364895002</v>
      </c>
      <c r="K12" s="7">
        <v>815.20768062553987</v>
      </c>
      <c r="L12" s="7">
        <v>304.93966555141003</v>
      </c>
      <c r="N12" s="7">
        <v>20.48</v>
      </c>
      <c r="O12" s="7">
        <v>22.463000000000001</v>
      </c>
      <c r="P12" s="7">
        <v>18.722000000000001</v>
      </c>
    </row>
    <row r="13" spans="1:16">
      <c r="A13" s="6">
        <v>45850</v>
      </c>
      <c r="B13" s="4" t="str">
        <f>Config!$B$3</f>
        <v>07:00</v>
      </c>
      <c r="C13" s="4" t="str">
        <f>Config!$B$2</f>
        <v>Mae Na Rua</v>
      </c>
      <c r="D13" s="7">
        <v>489.53100000000001</v>
      </c>
      <c r="E13" s="7">
        <v>1622456.7729032</v>
      </c>
      <c r="F13" s="7">
        <v>20534.222947390706</v>
      </c>
      <c r="G13" s="7">
        <v>15019.2</v>
      </c>
      <c r="H13" s="7">
        <v>8965.6721089999992</v>
      </c>
      <c r="I13">
        <v>5.2</v>
      </c>
      <c r="J13" s="7">
        <v>1563.2329104584919</v>
      </c>
      <c r="K13" s="7">
        <v>814.79151594065104</v>
      </c>
      <c r="L13" s="7">
        <v>304.77834940865</v>
      </c>
      <c r="N13" s="7">
        <v>22.463000000000001</v>
      </c>
      <c r="O13" s="7">
        <v>18.722000000000001</v>
      </c>
      <c r="P13" s="7">
        <v>18.885999999999999</v>
      </c>
    </row>
    <row r="14" spans="1:16">
      <c r="A14" s="6">
        <v>45851</v>
      </c>
      <c r="B14" s="4" t="str">
        <f>Config!$B$3</f>
        <v>07:00</v>
      </c>
      <c r="C14" s="4" t="str">
        <f>Config!$B$2</f>
        <v>Mae Na Rua</v>
      </c>
      <c r="D14" s="7">
        <v>489.589</v>
      </c>
      <c r="E14" s="7">
        <v>1637507.2197397</v>
      </c>
      <c r="F14" s="7">
        <v>62384.337747241487</v>
      </c>
      <c r="G14" s="7">
        <v>15019.2</v>
      </c>
      <c r="H14" s="7">
        <v>40716.28976</v>
      </c>
      <c r="I14">
        <v>31.6</v>
      </c>
      <c r="J14" s="7">
        <v>9524.0760304348369</v>
      </c>
      <c r="K14" s="7">
        <v>816.88688459898458</v>
      </c>
      <c r="L14" s="7">
        <v>305.59029657738</v>
      </c>
      <c r="N14" s="7">
        <v>18.722000000000001</v>
      </c>
      <c r="O14" s="7">
        <v>18.885999999999999</v>
      </c>
      <c r="P14" s="7">
        <v>8.7219999999999995</v>
      </c>
    </row>
    <row r="15" spans="1:16">
      <c r="A15" s="6">
        <v>45852</v>
      </c>
      <c r="B15" s="4" t="str">
        <f>Config!$B$3</f>
        <v>07:00</v>
      </c>
      <c r="C15" s="4" t="str">
        <f>Config!$B$2</f>
        <v>Mae Na Rua</v>
      </c>
      <c r="D15" s="7">
        <v>489.58300000000003</v>
      </c>
      <c r="E15" s="7">
        <v>1637507.2197397</v>
      </c>
      <c r="F15" s="7">
        <v>48379.884811176365</v>
      </c>
      <c r="G15" s="7">
        <v>15019.2</v>
      </c>
      <c r="H15" s="7">
        <v>32238.207630000001</v>
      </c>
      <c r="I15">
        <v>0</v>
      </c>
      <c r="J15" s="7">
        <v>0</v>
      </c>
      <c r="K15" s="7">
        <v>816.88688459898458</v>
      </c>
      <c r="L15" s="7">
        <v>305.59029657738</v>
      </c>
      <c r="N15" s="7">
        <v>18.885999999999999</v>
      </c>
      <c r="O15" s="7">
        <v>8.7219999999999995</v>
      </c>
      <c r="P15" s="7">
        <v>11.64</v>
      </c>
    </row>
    <row r="16" spans="1:16">
      <c r="A16" s="6">
        <v>45853</v>
      </c>
      <c r="B16" s="4" t="str">
        <f>Config!$B$3</f>
        <v>07:00</v>
      </c>
      <c r="C16" s="4" t="str">
        <f>Config!$B$2</f>
        <v>Mae Na Rua</v>
      </c>
      <c r="D16" s="7">
        <v>489.57</v>
      </c>
      <c r="E16" s="7">
        <v>1634494.0165122999</v>
      </c>
      <c r="F16" s="7">
        <v>38218.919706494824</v>
      </c>
      <c r="G16" s="7">
        <v>15019.2</v>
      </c>
      <c r="H16" s="7">
        <v>25091.029989999999</v>
      </c>
      <c r="I16">
        <v>0</v>
      </c>
      <c r="J16" s="7">
        <v>0</v>
      </c>
      <c r="K16" s="7">
        <v>816.46579636738136</v>
      </c>
      <c r="L16" s="7">
        <v>305.42714752752005</v>
      </c>
      <c r="N16" s="7">
        <v>8.7219999999999995</v>
      </c>
      <c r="O16" s="7">
        <v>11.64</v>
      </c>
      <c r="P16" s="7">
        <v>14.795999999999999</v>
      </c>
    </row>
    <row r="17" spans="1:16">
      <c r="A17" s="6">
        <v>45854</v>
      </c>
      <c r="B17" s="4" t="str">
        <f>Config!$B$3</f>
        <v>07:00</v>
      </c>
      <c r="C17" s="4" t="str">
        <f>Config!$B$2</f>
        <v>Mae Na Rua</v>
      </c>
      <c r="D17" s="7">
        <v>489.85300000000001</v>
      </c>
      <c r="E17" s="7">
        <v>1719668.7023854</v>
      </c>
      <c r="F17" s="7">
        <v>783908.44873235549</v>
      </c>
      <c r="G17" s="7">
        <v>15019.2</v>
      </c>
      <c r="H17" s="7">
        <v>706792.15720000002</v>
      </c>
      <c r="I17">
        <v>78.8</v>
      </c>
      <c r="J17" s="7">
        <v>24222.563237196569</v>
      </c>
      <c r="K17" s="7">
        <v>833.14392735897047</v>
      </c>
      <c r="L17" s="7">
        <v>311.82496909297004</v>
      </c>
      <c r="N17" s="7">
        <v>11.64</v>
      </c>
      <c r="O17" s="7">
        <v>14.795999999999999</v>
      </c>
      <c r="P17" s="7">
        <v>4.4279999999999999</v>
      </c>
    </row>
    <row r="18" spans="1:16">
      <c r="A18" s="6">
        <v>45855</v>
      </c>
      <c r="B18" s="4" t="str">
        <f>Config!$B$3</f>
        <v>07:00</v>
      </c>
      <c r="C18" s="4" t="str">
        <f>Config!$B$2</f>
        <v>Mae Na Rua</v>
      </c>
      <c r="D18" s="7">
        <v>489.76299999999998</v>
      </c>
      <c r="E18" s="7">
        <v>1692113.6615758</v>
      </c>
      <c r="F18" s="7">
        <v>421045.59254760947</v>
      </c>
      <c r="G18" s="7">
        <v>15019.2</v>
      </c>
      <c r="H18" s="7">
        <v>433726.34600000002</v>
      </c>
      <c r="I18">
        <v>4.2</v>
      </c>
      <c r="J18" s="7">
        <v>1280.3181425066762</v>
      </c>
      <c r="K18" s="7">
        <v>826.21820776922743</v>
      </c>
      <c r="L18" s="7">
        <v>309.18729194685005</v>
      </c>
      <c r="N18" s="7">
        <v>14.795999999999999</v>
      </c>
      <c r="O18" s="7">
        <v>4.4279999999999999</v>
      </c>
      <c r="P18" s="7">
        <v>6.2080000000000002</v>
      </c>
    </row>
    <row r="19" spans="1:16">
      <c r="A19" s="6">
        <v>45856</v>
      </c>
      <c r="B19" s="4" t="str">
        <f>Config!$B$3</f>
        <v>07:00</v>
      </c>
      <c r="C19" s="4" t="str">
        <f>Config!$B$2</f>
        <v>Mae Na Rua</v>
      </c>
      <c r="D19" s="7">
        <v>489.69799999999998</v>
      </c>
      <c r="E19" s="7">
        <v>1670813.4823932</v>
      </c>
      <c r="F19" s="7">
        <v>247151.60437672501</v>
      </c>
      <c r="G19" s="7">
        <v>15019.2</v>
      </c>
      <c r="H19" s="7">
        <v>253577.02410000001</v>
      </c>
      <c r="I19">
        <v>4.2</v>
      </c>
      <c r="J19" s="7">
        <v>1275.7407927818401</v>
      </c>
      <c r="K19" s="7">
        <v>823.26434063228089</v>
      </c>
      <c r="L19" s="7">
        <v>308.03591147454</v>
      </c>
      <c r="N19" s="7">
        <v>4.4279999999999999</v>
      </c>
      <c r="O19" s="7">
        <v>6.2080000000000002</v>
      </c>
      <c r="P19" s="7">
        <v>33.033999999999999</v>
      </c>
    </row>
    <row r="20" spans="1:16">
      <c r="A20" s="6">
        <v>45857</v>
      </c>
      <c r="B20" s="4" t="str">
        <f>Config!$B$3</f>
        <v>07:00</v>
      </c>
      <c r="C20" s="4" t="str">
        <f>Config!$B$2</f>
        <v>Mae Na Rua</v>
      </c>
      <c r="D20" s="7">
        <v>489.64800000000002</v>
      </c>
      <c r="E20" s="7">
        <v>1655645.1614623</v>
      </c>
      <c r="F20" s="7">
        <v>142706.71852408364</v>
      </c>
      <c r="G20" s="7">
        <v>15019.2</v>
      </c>
      <c r="H20" s="7">
        <v>141727.3849</v>
      </c>
      <c r="I20">
        <v>0</v>
      </c>
      <c r="J20" s="7">
        <v>0</v>
      </c>
      <c r="K20" s="7">
        <v>821.21730471323463</v>
      </c>
      <c r="L20" s="7">
        <v>307.23725027043002</v>
      </c>
      <c r="N20" s="7">
        <v>6.2080000000000002</v>
      </c>
      <c r="O20" s="7">
        <v>33.033999999999999</v>
      </c>
      <c r="P20" s="7">
        <v>3.5449999999999999</v>
      </c>
    </row>
    <row r="21" spans="1:16">
      <c r="A21" s="6">
        <v>45858</v>
      </c>
      <c r="B21" s="4" t="str">
        <f>Config!$B$3</f>
        <v>07:00</v>
      </c>
      <c r="C21" s="4" t="str">
        <f>Config!$B$2</f>
        <v>Mae Na Rua</v>
      </c>
      <c r="D21" s="7">
        <v>489.608</v>
      </c>
      <c r="E21" s="7">
        <v>1643538.2164867001</v>
      </c>
      <c r="F21" s="7">
        <v>99633.96164875057</v>
      </c>
      <c r="G21" s="7">
        <v>15019.2</v>
      </c>
      <c r="H21" s="7">
        <v>95597.933390000006</v>
      </c>
      <c r="I21">
        <v>0</v>
      </c>
      <c r="J21" s="7">
        <v>0</v>
      </c>
      <c r="K21" s="7">
        <v>817.82217385488468</v>
      </c>
      <c r="L21" s="7">
        <v>305.95106049556</v>
      </c>
      <c r="N21" s="7">
        <v>33.033999999999999</v>
      </c>
      <c r="O21" s="7">
        <v>3.5449999999999999</v>
      </c>
      <c r="P21" s="7">
        <v>12.694000000000001</v>
      </c>
    </row>
    <row r="22" spans="1:16">
      <c r="A22" s="6">
        <v>45859</v>
      </c>
      <c r="B22" s="4" t="str">
        <f>Config!$B$3</f>
        <v>07:00</v>
      </c>
      <c r="C22" s="4" t="str">
        <f>Config!$B$2</f>
        <v>Mae Na Rua</v>
      </c>
      <c r="D22" s="7">
        <v>489.608</v>
      </c>
      <c r="E22" s="7">
        <v>1643538.2164867001</v>
      </c>
      <c r="F22" s="7">
        <v>81725.689460714595</v>
      </c>
      <c r="G22" s="7">
        <v>15019.2</v>
      </c>
      <c r="H22" s="7">
        <v>71557.166070000007</v>
      </c>
      <c r="I22">
        <v>19.8</v>
      </c>
      <c r="J22" s="7">
        <v>5974.4498436358563</v>
      </c>
      <c r="K22" s="7">
        <v>817.82217385488468</v>
      </c>
      <c r="L22" s="7">
        <v>305.95106049556</v>
      </c>
      <c r="N22" s="7">
        <v>3.5449999999999999</v>
      </c>
      <c r="O22" s="7">
        <v>12.694000000000001</v>
      </c>
      <c r="P22" s="7">
        <v>6.008</v>
      </c>
    </row>
    <row r="23" spans="1:16">
      <c r="A23" s="6">
        <v>45860</v>
      </c>
      <c r="B23" s="4" t="str">
        <f>Config!$B$3</f>
        <v>07:00</v>
      </c>
      <c r="C23" s="4" t="str">
        <f>Config!$B$2</f>
        <v>Mae Na Rua</v>
      </c>
      <c r="D23" s="7">
        <v>489.589</v>
      </c>
      <c r="E23" s="7">
        <v>1637507.2197397</v>
      </c>
      <c r="F23" s="7">
        <v>54196.434514176217</v>
      </c>
      <c r="G23" s="7">
        <v>15019.2</v>
      </c>
      <c r="H23" s="7">
        <v>44085.754079999999</v>
      </c>
      <c r="I23">
        <v>0</v>
      </c>
      <c r="J23" s="7">
        <v>0</v>
      </c>
      <c r="K23" s="7">
        <v>816.88688459898458</v>
      </c>
      <c r="L23" s="7">
        <v>305.59029657738</v>
      </c>
      <c r="N23" s="7">
        <v>12.694000000000001</v>
      </c>
      <c r="O23" s="7">
        <v>6.008</v>
      </c>
      <c r="P23" s="7">
        <v>4.7039999999999997</v>
      </c>
    </row>
    <row r="24" spans="1:16">
      <c r="A24" s="6">
        <v>45861</v>
      </c>
      <c r="B24" s="4" t="str">
        <f>Config!$B$3</f>
        <v>07:00</v>
      </c>
      <c r="C24" s="4" t="str">
        <f>Config!$B$2</f>
        <v>Mae Na Rua</v>
      </c>
      <c r="D24" s="7">
        <v>489.80099999999999</v>
      </c>
      <c r="E24" s="7">
        <v>1704320.2680112</v>
      </c>
      <c r="F24" s="7">
        <v>1408228.320329851</v>
      </c>
      <c r="G24" s="7">
        <v>15019.2</v>
      </c>
      <c r="H24" s="7">
        <v>1343213.8</v>
      </c>
      <c r="I24">
        <v>58.6</v>
      </c>
      <c r="J24" s="7">
        <v>17959.231232318467</v>
      </c>
      <c r="K24" s="7">
        <v>830.64657457372562</v>
      </c>
      <c r="L24" s="7">
        <v>310.85671609545</v>
      </c>
      <c r="N24" s="7">
        <v>6.008</v>
      </c>
      <c r="O24" s="7">
        <v>4.7039999999999997</v>
      </c>
      <c r="P24" s="7">
        <v>4.0060000000000002</v>
      </c>
    </row>
    <row r="25" spans="1:16">
      <c r="A25" s="6">
        <v>45862</v>
      </c>
      <c r="B25" s="4" t="str">
        <f>Config!$B$3</f>
        <v>07:00</v>
      </c>
      <c r="C25" s="4" t="str">
        <f>Config!$B$2</f>
        <v>Mae Na Rua</v>
      </c>
      <c r="D25" s="7">
        <v>489.94299999999998</v>
      </c>
      <c r="E25" s="7">
        <v>1747400.294549</v>
      </c>
      <c r="F25" s="7">
        <v>1123235.0312024173</v>
      </c>
      <c r="G25" s="7">
        <v>15019.2</v>
      </c>
      <c r="H25" s="7">
        <v>1076278.5260000001</v>
      </c>
      <c r="I25">
        <v>39.799999999999997</v>
      </c>
      <c r="J25" s="7">
        <v>12293.282048957022</v>
      </c>
      <c r="K25" s="7">
        <v>837.164735804359</v>
      </c>
      <c r="L25" s="7">
        <v>313.39597776987</v>
      </c>
      <c r="N25" s="7">
        <v>4.7039999999999997</v>
      </c>
      <c r="O25" s="7">
        <v>4.0060000000000002</v>
      </c>
      <c r="P25" s="7">
        <v>21.497</v>
      </c>
    </row>
    <row r="26" spans="1:16">
      <c r="A26" s="6">
        <v>45863</v>
      </c>
      <c r="B26" s="4" t="str">
        <f>Config!$B$3</f>
        <v>07:00</v>
      </c>
      <c r="C26" s="4" t="str">
        <f>Config!$B$2</f>
        <v>Mae Na Rua</v>
      </c>
      <c r="D26" s="7">
        <v>489.82098000000002</v>
      </c>
      <c r="E26" s="7">
        <v>1710454.4363392999</v>
      </c>
      <c r="F26" s="7">
        <v>618651.26273834216</v>
      </c>
      <c r="G26" s="7">
        <v>15019.2</v>
      </c>
      <c r="H26" s="7">
        <v>642135.51919999998</v>
      </c>
      <c r="I26">
        <v>8.8000000000000007</v>
      </c>
      <c r="J26" s="7">
        <v>2700.7022566494084</v>
      </c>
      <c r="K26" s="7">
        <v>831.80243513907601</v>
      </c>
      <c r="L26" s="7">
        <v>311.30156955260998</v>
      </c>
      <c r="N26" s="7">
        <v>4.0060000000000002</v>
      </c>
      <c r="O26" s="7">
        <v>21.497</v>
      </c>
      <c r="P26" s="7">
        <v>5.9610000000000003</v>
      </c>
    </row>
    <row r="27" spans="1:16">
      <c r="A27" s="6">
        <v>45864</v>
      </c>
      <c r="B27" s="4" t="str">
        <f>Config!$B$3</f>
        <v>07:00</v>
      </c>
      <c r="C27" s="4" t="str">
        <f>Config!$B$2</f>
        <v>Mae Na Rua</v>
      </c>
      <c r="D27" s="7">
        <v>489.76900000000001</v>
      </c>
      <c r="E27" s="7">
        <v>1692113.6615758</v>
      </c>
      <c r="F27" s="7">
        <v>482554.30601834954</v>
      </c>
      <c r="G27" s="7">
        <v>15019.2</v>
      </c>
      <c r="H27" s="7">
        <v>486569.5012</v>
      </c>
      <c r="I27">
        <v>6</v>
      </c>
      <c r="J27" s="7">
        <v>1829.0259178666799</v>
      </c>
      <c r="K27" s="7">
        <v>826.21820776922743</v>
      </c>
      <c r="L27" s="7">
        <v>309.18729194685005</v>
      </c>
      <c r="N27" s="7">
        <v>21.497</v>
      </c>
      <c r="O27" s="7">
        <v>5.9610000000000003</v>
      </c>
      <c r="P27" s="7">
        <v>12.932</v>
      </c>
    </row>
    <row r="28" spans="1:16">
      <c r="A28" s="6">
        <v>45865</v>
      </c>
      <c r="B28" s="4" t="str">
        <f>Config!$B$3</f>
        <v>07:00</v>
      </c>
      <c r="C28" s="4" t="str">
        <f>Config!$B$2</f>
        <v>Mae Na Rua</v>
      </c>
      <c r="D28" s="7">
        <v>489.73</v>
      </c>
      <c r="E28" s="7">
        <v>1682975.6527668999</v>
      </c>
      <c r="F28" s="7">
        <v>569451.16057343001</v>
      </c>
      <c r="G28" s="7">
        <v>15019.2</v>
      </c>
      <c r="H28" s="7">
        <v>562436.34149999998</v>
      </c>
      <c r="I28">
        <v>0</v>
      </c>
      <c r="J28" s="7">
        <v>0</v>
      </c>
      <c r="K28" s="7">
        <v>824.93901595426905</v>
      </c>
      <c r="L28" s="7">
        <v>308.68886637588997</v>
      </c>
      <c r="N28" s="7">
        <v>5.9610000000000003</v>
      </c>
      <c r="O28" s="7">
        <v>12.932</v>
      </c>
      <c r="P28" s="7">
        <v>28.989000000000001</v>
      </c>
    </row>
    <row r="29" spans="1:16">
      <c r="A29" s="6">
        <v>45866</v>
      </c>
      <c r="B29" s="4" t="str">
        <f>Config!$B$3</f>
        <v>07:00</v>
      </c>
      <c r="C29" s="4" t="str">
        <f>Config!$B$2</f>
        <v>Mae Na Rua</v>
      </c>
      <c r="D29" s="7">
        <v>489.911</v>
      </c>
      <c r="E29" s="7">
        <v>1738141.5165156999</v>
      </c>
      <c r="F29" s="7">
        <v>1013858.9276642874</v>
      </c>
      <c r="G29" s="7">
        <v>15019.2</v>
      </c>
      <c r="H29" s="7">
        <v>958067.44099999999</v>
      </c>
      <c r="I29">
        <v>50.4</v>
      </c>
      <c r="J29" s="7">
        <v>15542.259676791624</v>
      </c>
      <c r="K29" s="7">
        <v>835.81426030703346</v>
      </c>
      <c r="L29" s="7">
        <v>312.86833197205004</v>
      </c>
      <c r="N29" s="7">
        <v>12.932</v>
      </c>
      <c r="O29" s="7">
        <v>28.989000000000001</v>
      </c>
      <c r="P29" s="7">
        <v>15.487</v>
      </c>
    </row>
    <row r="30" spans="1:16">
      <c r="A30" s="6">
        <v>45867</v>
      </c>
      <c r="B30" s="4" t="str">
        <f>Config!$B$3</f>
        <v>07:00</v>
      </c>
      <c r="C30" s="4" t="str">
        <f>Config!$B$2</f>
        <v>Mae Na Rua</v>
      </c>
      <c r="D30" s="7">
        <v>489.82</v>
      </c>
      <c r="E30" s="7">
        <v>1710454.4363392999</v>
      </c>
      <c r="F30" s="7">
        <v>693172.30903480761</v>
      </c>
      <c r="G30" s="7">
        <v>15019.2</v>
      </c>
      <c r="H30" s="7">
        <v>704819.84439999994</v>
      </c>
      <c r="I30">
        <v>0.4</v>
      </c>
      <c r="J30" s="7">
        <v>122.75919348406401</v>
      </c>
      <c r="K30" s="7">
        <v>831.80243513907601</v>
      </c>
      <c r="L30" s="7">
        <v>311.30156955260998</v>
      </c>
      <c r="N30" s="7">
        <v>28.989000000000001</v>
      </c>
      <c r="O30" s="7">
        <v>15.487</v>
      </c>
      <c r="P30" s="7">
        <v>5.3029999999999999</v>
      </c>
    </row>
    <row r="31" spans="1:16">
      <c r="A31" s="6">
        <v>45868</v>
      </c>
      <c r="B31" s="4" t="str">
        <f>Config!$B$3</f>
        <v>07:00</v>
      </c>
      <c r="C31" s="4" t="str">
        <f>Config!$B$2</f>
        <v>Mae Na Rua</v>
      </c>
      <c r="D31" s="7">
        <v>489.86</v>
      </c>
      <c r="E31" s="7">
        <v>1722743.3880805001</v>
      </c>
      <c r="F31" s="7">
        <v>814190.42860791693</v>
      </c>
      <c r="G31" s="7">
        <v>15019.2</v>
      </c>
      <c r="H31" s="7">
        <v>793364.09120000002</v>
      </c>
      <c r="I31">
        <v>24.8</v>
      </c>
      <c r="J31" s="7">
        <v>7627.3994623800636</v>
      </c>
      <c r="K31" s="7">
        <v>833.58705804973374</v>
      </c>
      <c r="L31" s="7">
        <v>311.99807104698999</v>
      </c>
      <c r="N31" s="7">
        <v>15.487</v>
      </c>
      <c r="O31" s="7">
        <v>5.3029999999999999</v>
      </c>
      <c r="P31" s="7">
        <v>3.6779999999999999</v>
      </c>
    </row>
    <row r="32" spans="1:16">
      <c r="A32" s="6">
        <v>45869</v>
      </c>
      <c r="B32" s="4" t="str">
        <f>Config!$B$3</f>
        <v>07:00</v>
      </c>
      <c r="C32" s="4" t="str">
        <f>Config!$B$2</f>
        <v>Mae Na Rua</v>
      </c>
      <c r="D32" s="7">
        <v>489.78899999999999</v>
      </c>
      <c r="E32" s="7">
        <v>1698213.6426939999</v>
      </c>
      <c r="F32" s="7">
        <v>524269.63406137016</v>
      </c>
      <c r="G32" s="7">
        <v>15019.2</v>
      </c>
      <c r="H32" s="7">
        <v>532765.63459999999</v>
      </c>
      <c r="I32">
        <v>0.4</v>
      </c>
      <c r="J32" s="7">
        <v>122.06274136675601</v>
      </c>
      <c r="K32" s="7">
        <v>827.08335422388768</v>
      </c>
      <c r="L32" s="7">
        <v>309.52423501320004</v>
      </c>
      <c r="N32" s="7">
        <v>5.3029999999999999</v>
      </c>
      <c r="O32" s="7">
        <v>3.6779999999999999</v>
      </c>
      <c r="P32" s="7">
        <v>9.6340000000000003</v>
      </c>
    </row>
    <row r="33" spans="1:16">
      <c r="A33" s="6">
        <v>45870</v>
      </c>
      <c r="B33" s="4" t="str">
        <f>Config!$B$3</f>
        <v>07:00</v>
      </c>
      <c r="C33" s="4" t="str">
        <f>Config!$B$2</f>
        <v>Mae Na Rua</v>
      </c>
      <c r="D33" s="7">
        <v>489.73599999999999</v>
      </c>
      <c r="E33" s="7">
        <v>1682975.6527668999</v>
      </c>
      <c r="F33" s="7">
        <v>376758.49060792051</v>
      </c>
      <c r="G33" s="7">
        <v>15019.2</v>
      </c>
      <c r="H33" s="7">
        <v>376292.07880000002</v>
      </c>
      <c r="I33">
        <v>1.6</v>
      </c>
      <c r="J33" s="7">
        <v>486.98510124054405</v>
      </c>
      <c r="K33" s="7">
        <v>863.49527588514843</v>
      </c>
      <c r="L33" s="7">
        <v>308.68886637588997</v>
      </c>
      <c r="N33" s="7">
        <v>3.6779999999999999</v>
      </c>
      <c r="O33" s="7">
        <v>9.6340000000000003</v>
      </c>
      <c r="P33" s="7">
        <v>12.491</v>
      </c>
    </row>
    <row r="34" spans="1:16">
      <c r="A34" s="6">
        <v>45871</v>
      </c>
      <c r="B34" s="4" t="str">
        <f>Config!$B$3</f>
        <v>07:00</v>
      </c>
      <c r="C34" s="4" t="str">
        <f>Config!$B$2</f>
        <v>Mae Na Rua</v>
      </c>
      <c r="D34" s="7">
        <v>489.70400000000001</v>
      </c>
      <c r="E34" s="7">
        <v>1673851.7406957999</v>
      </c>
      <c r="F34" s="7">
        <v>279414.65755679697</v>
      </c>
      <c r="G34" s="7">
        <v>15019.2</v>
      </c>
      <c r="H34" s="7">
        <v>272348.99449999997</v>
      </c>
      <c r="I34">
        <v>0</v>
      </c>
      <c r="J34" s="7">
        <v>0</v>
      </c>
      <c r="K34" s="7">
        <v>862.17719101123146</v>
      </c>
      <c r="L34" s="7">
        <v>308.19793688568001</v>
      </c>
      <c r="N34" s="7">
        <v>9.6340000000000003</v>
      </c>
      <c r="O34" s="7">
        <v>12.491</v>
      </c>
      <c r="P34" s="7">
        <v>6.6740000000000004</v>
      </c>
    </row>
    <row r="35" spans="1:16">
      <c r="A35" s="6">
        <v>45872</v>
      </c>
      <c r="B35" s="4" t="str">
        <f>Config!$B$3</f>
        <v>07:00</v>
      </c>
      <c r="C35" s="4" t="str">
        <f>Config!$B$2</f>
        <v>Mae Na Rua</v>
      </c>
      <c r="D35" s="7">
        <v>489.66</v>
      </c>
      <c r="E35" s="7">
        <v>1661708.0167959</v>
      </c>
      <c r="F35" s="7">
        <v>177123.0132425187</v>
      </c>
      <c r="G35" s="7">
        <v>15019.2</v>
      </c>
      <c r="H35" s="7">
        <v>173079.52970000001</v>
      </c>
      <c r="I35">
        <v>0</v>
      </c>
      <c r="J35" s="7">
        <v>0</v>
      </c>
      <c r="K35" s="7">
        <v>860.45235013182912</v>
      </c>
      <c r="L35" s="7">
        <v>307.55509228684002</v>
      </c>
      <c r="N35" s="7">
        <v>12.491</v>
      </c>
      <c r="O35" s="7">
        <v>6.6740000000000004</v>
      </c>
      <c r="P35" s="7">
        <v>5.9420000000000002</v>
      </c>
    </row>
    <row r="36" spans="1:16">
      <c r="A36" s="6">
        <v>45873</v>
      </c>
      <c r="B36" s="4" t="str">
        <f>Config!$B$3</f>
        <v>07:00</v>
      </c>
      <c r="C36" s="4" t="str">
        <f>Config!$B$2</f>
        <v>Mae Na Rua</v>
      </c>
      <c r="D36" s="7">
        <v>489.62</v>
      </c>
      <c r="E36" s="7">
        <v>1649588.4715396999</v>
      </c>
      <c r="F36" s="7">
        <v>95934.478331860097</v>
      </c>
      <c r="G36" s="7">
        <v>15019.2</v>
      </c>
      <c r="H36" s="7">
        <v>91869.173120000007</v>
      </c>
      <c r="I36">
        <v>0</v>
      </c>
      <c r="J36" s="7">
        <v>0</v>
      </c>
      <c r="K36" s="7">
        <v>858.7350024588801</v>
      </c>
      <c r="L36" s="7">
        <v>306.91546560122998</v>
      </c>
      <c r="N36" s="7">
        <v>6.6740000000000004</v>
      </c>
      <c r="O36" s="7">
        <v>5.9420000000000002</v>
      </c>
      <c r="P36" s="7">
        <v>9.8949999999999996</v>
      </c>
    </row>
    <row r="37" spans="1:16">
      <c r="A37" s="6">
        <v>45874</v>
      </c>
      <c r="B37" s="4" t="str">
        <f>Config!$B$3</f>
        <v>07:00</v>
      </c>
      <c r="C37" s="4" t="str">
        <f>Config!$B$2</f>
        <v>Mae Na Rua</v>
      </c>
      <c r="D37" s="7">
        <v>489.58300000000003</v>
      </c>
      <c r="E37" s="7">
        <v>1637507.2197397</v>
      </c>
      <c r="F37" s="7">
        <v>32089.468438052176</v>
      </c>
      <c r="G37" s="7">
        <v>15019.2</v>
      </c>
      <c r="H37" s="7">
        <v>27990.863140000001</v>
      </c>
      <c r="I37">
        <v>0</v>
      </c>
      <c r="J37" s="7">
        <v>0</v>
      </c>
      <c r="K37" s="7">
        <v>855.06680147476811</v>
      </c>
      <c r="L37" s="7">
        <v>305.59029657738</v>
      </c>
      <c r="N37" s="7">
        <v>5.9420000000000002</v>
      </c>
      <c r="O37" s="7">
        <v>9.8949999999999996</v>
      </c>
      <c r="P37" s="7">
        <v>4.4790000000000001</v>
      </c>
    </row>
    <row r="38" spans="1:16">
      <c r="A38" s="6">
        <v>45875</v>
      </c>
      <c r="B38" s="4" t="str">
        <f>Config!$B$3</f>
        <v>07:00</v>
      </c>
      <c r="C38" s="4" t="str">
        <f>Config!$B$2</f>
        <v>Mae Na Rua</v>
      </c>
      <c r="D38" s="7">
        <v>489.55099999999999</v>
      </c>
      <c r="E38" s="7">
        <v>1628472.3057532001</v>
      </c>
      <c r="F38" s="7">
        <v>7940.2258578997953</v>
      </c>
      <c r="G38" s="7">
        <v>15019.2</v>
      </c>
      <c r="H38" s="7">
        <v>1398.950652</v>
      </c>
      <c r="I38">
        <v>2</v>
      </c>
      <c r="J38" s="7">
        <v>601.85881042825997</v>
      </c>
      <c r="K38" s="7">
        <v>853.74642999265495</v>
      </c>
      <c r="L38" s="7">
        <v>305.10157283528997</v>
      </c>
      <c r="N38" s="7">
        <v>9.8949999999999996</v>
      </c>
      <c r="O38" s="7">
        <v>4.4790000000000001</v>
      </c>
      <c r="P38" s="7">
        <v>30.931999999999999</v>
      </c>
    </row>
    <row r="39" spans="1:16">
      <c r="A39" s="6">
        <v>45876</v>
      </c>
      <c r="B39" s="4" t="str">
        <f>Config!$B$3</f>
        <v>07:00</v>
      </c>
      <c r="C39" s="4" t="str">
        <f>Config!$B$2</f>
        <v>Mae Na Rua</v>
      </c>
      <c r="D39" s="7">
        <v>489.517</v>
      </c>
      <c r="E39" s="7">
        <v>1616447.3000027</v>
      </c>
      <c r="F39" s="7">
        <v>4150.6586277247634</v>
      </c>
      <c r="G39" s="7">
        <v>15019.2</v>
      </c>
      <c r="H39" s="7">
        <v>0</v>
      </c>
      <c r="I39">
        <v>0</v>
      </c>
      <c r="J39" s="7">
        <v>0</v>
      </c>
      <c r="K39" s="7">
        <v>852.00701990673565</v>
      </c>
      <c r="L39" s="7">
        <v>304.45735831816</v>
      </c>
      <c r="N39" s="7">
        <v>4.4790000000000001</v>
      </c>
      <c r="O39" s="7">
        <v>30.931999999999999</v>
      </c>
      <c r="P39" s="7">
        <v>6.6890000000000001</v>
      </c>
    </row>
    <row r="40" spans="1:16">
      <c r="A40" s="6">
        <v>45877</v>
      </c>
      <c r="B40" s="4" t="str">
        <f>Config!$B$3</f>
        <v>07:00</v>
      </c>
      <c r="C40" s="4" t="str">
        <f>Config!$B$2</f>
        <v>Mae Na Rua</v>
      </c>
      <c r="D40" s="7">
        <v>489.48599999999999</v>
      </c>
      <c r="E40" s="7">
        <v>1607444.5930314001</v>
      </c>
      <c r="F40" s="7">
        <v>6751.3854260954186</v>
      </c>
      <c r="G40" s="7">
        <v>15019.2</v>
      </c>
      <c r="H40" s="7">
        <v>0</v>
      </c>
      <c r="I40">
        <v>1.4</v>
      </c>
      <c r="J40" s="7">
        <v>419.80762071406201</v>
      </c>
      <c r="K40" s="7">
        <v>850.71983010507654</v>
      </c>
      <c r="L40" s="7">
        <v>303.98018800424001</v>
      </c>
      <c r="N40" s="7">
        <v>30.931999999999999</v>
      </c>
      <c r="O40" s="7">
        <v>6.6890000000000001</v>
      </c>
      <c r="P40" s="7">
        <v>6.0970000000000004</v>
      </c>
    </row>
    <row r="41" spans="1:16">
      <c r="A41" s="6">
        <v>45878</v>
      </c>
      <c r="B41" s="4" t="str">
        <f>Config!$B$3</f>
        <v>07:00</v>
      </c>
      <c r="C41" s="4" t="str">
        <f>Config!$B$2</f>
        <v>Mae Na Rua</v>
      </c>
      <c r="D41" s="7">
        <v>489.45400000000001</v>
      </c>
      <c r="E41" s="7">
        <v>1598455.4724355999</v>
      </c>
      <c r="F41" s="7">
        <v>6105.1441541046324</v>
      </c>
      <c r="G41" s="7">
        <v>15019.2</v>
      </c>
      <c r="H41" s="7">
        <v>0</v>
      </c>
      <c r="I41">
        <v>3.6</v>
      </c>
      <c r="J41" s="7">
        <v>1077.8895867181679</v>
      </c>
      <c r="K41" s="7">
        <v>849.44653559757546</v>
      </c>
      <c r="L41" s="7">
        <v>303.50780102545002</v>
      </c>
      <c r="N41" s="7">
        <v>6.6890000000000001</v>
      </c>
      <c r="O41" s="7">
        <v>6.0970000000000004</v>
      </c>
      <c r="P41" s="7">
        <v>3.68</v>
      </c>
    </row>
    <row r="42" spans="1:16">
      <c r="A42" s="6">
        <v>45879</v>
      </c>
      <c r="B42" s="4" t="str">
        <f>Config!$B$3</f>
        <v>07:00</v>
      </c>
      <c r="C42" s="4" t="str">
        <f>Config!$B$2</f>
        <v>Mae Na Rua</v>
      </c>
      <c r="D42" s="7">
        <v>489.42099999999999</v>
      </c>
      <c r="E42" s="7">
        <v>1589479.7778056001</v>
      </c>
      <c r="F42" s="7">
        <v>7134.9206135948634</v>
      </c>
      <c r="G42" s="7">
        <v>15019.2</v>
      </c>
      <c r="H42" s="7">
        <v>0</v>
      </c>
      <c r="I42">
        <v>0.2</v>
      </c>
      <c r="J42" s="7">
        <v>59.792971730008006</v>
      </c>
      <c r="K42" s="7">
        <v>848.1729480178617</v>
      </c>
      <c r="L42" s="7">
        <v>303.03526730682</v>
      </c>
      <c r="N42" s="7">
        <v>6.0970000000000004</v>
      </c>
      <c r="O42" s="7">
        <v>3.68</v>
      </c>
      <c r="P42" s="7">
        <v>8.3989999999999991</v>
      </c>
    </row>
    <row r="43" spans="1:16">
      <c r="A43" s="6">
        <v>45880</v>
      </c>
      <c r="B43" s="4" t="str">
        <f>Config!$B$3</f>
        <v>07:00</v>
      </c>
      <c r="C43" s="4" t="str">
        <f>Config!$B$2</f>
        <v>Mae Na Rua</v>
      </c>
      <c r="D43" s="7">
        <v>489.38299999999998</v>
      </c>
      <c r="E43" s="7">
        <v>1577566.834908</v>
      </c>
      <c r="F43" s="7">
        <v>4248.5923766174883</v>
      </c>
      <c r="G43" s="7">
        <v>15019.2</v>
      </c>
      <c r="H43" s="7">
        <v>0</v>
      </c>
      <c r="I43">
        <v>0</v>
      </c>
      <c r="J43" s="7">
        <v>0</v>
      </c>
      <c r="K43" s="7">
        <v>841.63528020444096</v>
      </c>
      <c r="L43" s="7">
        <v>300.69999401317</v>
      </c>
      <c r="N43" s="7">
        <v>3.68</v>
      </c>
      <c r="O43" s="7">
        <v>8.3989999999999991</v>
      </c>
      <c r="P43" s="7">
        <v>10.891999999999999</v>
      </c>
    </row>
    <row r="44" spans="1:16">
      <c r="A44" s="6">
        <v>45881</v>
      </c>
      <c r="B44" s="4" t="str">
        <f>Config!$B$3</f>
        <v>07:00</v>
      </c>
      <c r="C44" s="4" t="str">
        <f>Config!$B$2</f>
        <v>Mae Na Rua</v>
      </c>
      <c r="D44" s="7">
        <v>489.37099999999998</v>
      </c>
      <c r="E44" s="7">
        <v>1574601.0268989</v>
      </c>
      <c r="F44" s="7">
        <v>13195.054832284008</v>
      </c>
      <c r="G44" s="7">
        <v>15019.2</v>
      </c>
      <c r="H44" s="7">
        <v>0</v>
      </c>
      <c r="I44">
        <v>0</v>
      </c>
      <c r="J44" s="7">
        <v>0</v>
      </c>
      <c r="K44" s="7">
        <v>841.14382253553151</v>
      </c>
      <c r="L44" s="7">
        <v>300.51901884839003</v>
      </c>
      <c r="N44" s="7">
        <v>8.3989999999999991</v>
      </c>
      <c r="O44" s="7">
        <v>10.891999999999999</v>
      </c>
      <c r="P44" s="7">
        <v>14.71</v>
      </c>
    </row>
    <row r="45" spans="1:16">
      <c r="A45" s="6">
        <v>45882</v>
      </c>
      <c r="B45" s="4" t="str">
        <f>Config!$B$3</f>
        <v>07:00</v>
      </c>
      <c r="C45" s="4" t="str">
        <f>Config!$B$2</f>
        <v>Mae Na Rua</v>
      </c>
      <c r="D45" s="7">
        <v>489.49200000000002</v>
      </c>
      <c r="E45" s="7">
        <v>1610444.0173448001</v>
      </c>
      <c r="F45" s="7">
        <v>58290.831188900927</v>
      </c>
      <c r="G45" s="7">
        <v>15019.2</v>
      </c>
      <c r="H45" s="7">
        <v>14373.71314</v>
      </c>
      <c r="I45">
        <v>27</v>
      </c>
      <c r="J45" s="7">
        <v>8100.3584496412795</v>
      </c>
      <c r="K45" s="7">
        <v>851.14734161176966</v>
      </c>
      <c r="L45" s="7">
        <v>304.13871103042999</v>
      </c>
      <c r="N45" s="7">
        <v>10.891999999999999</v>
      </c>
      <c r="O45" s="7">
        <v>14.71</v>
      </c>
      <c r="P45" s="7">
        <v>5.7759999999999998</v>
      </c>
    </row>
    <row r="46" spans="1:16">
      <c r="A46" s="6">
        <v>45883</v>
      </c>
      <c r="B46" s="4" t="str">
        <f>Config!$B$3</f>
        <v>07:00</v>
      </c>
      <c r="C46" s="4" t="str">
        <f>Config!$B$2</f>
        <v>Mae Na Rua</v>
      </c>
      <c r="D46" s="7">
        <v>489.60199999999998</v>
      </c>
      <c r="E46" s="7">
        <v>1643538.2164867001</v>
      </c>
      <c r="F46" s="7">
        <v>98994.809420294972</v>
      </c>
      <c r="G46" s="7">
        <v>15019.2</v>
      </c>
      <c r="H46" s="7">
        <v>53219.596149999998</v>
      </c>
      <c r="I46">
        <v>11.6</v>
      </c>
      <c r="J46" s="7">
        <v>3500.1827366755515</v>
      </c>
      <c r="K46" s="7">
        <v>856.04580457492045</v>
      </c>
      <c r="L46" s="7">
        <v>305.95106049556</v>
      </c>
      <c r="N46" s="7">
        <v>14.71</v>
      </c>
      <c r="O46" s="7">
        <v>5.7759999999999998</v>
      </c>
      <c r="P46" s="7">
        <v>3.8290000000000002</v>
      </c>
    </row>
    <row r="47" spans="1:16">
      <c r="A47" s="6">
        <v>45884</v>
      </c>
      <c r="B47" s="4" t="str">
        <f>Config!$B$3</f>
        <v>07:00</v>
      </c>
      <c r="C47" s="4" t="str">
        <f>Config!$B$2</f>
        <v>Mae Na Rua</v>
      </c>
      <c r="D47" s="7">
        <v>489.577</v>
      </c>
      <c r="E47" s="7">
        <v>1634494.0165122999</v>
      </c>
      <c r="F47" s="7">
        <v>124187.95301213139</v>
      </c>
      <c r="G47" s="7">
        <v>15019.2</v>
      </c>
      <c r="H47" s="7">
        <v>118257.8576</v>
      </c>
      <c r="I47">
        <v>4</v>
      </c>
      <c r="J47" s="7">
        <v>1204.95779328448</v>
      </c>
      <c r="K47" s="7">
        <v>854.62603228857608</v>
      </c>
      <c r="L47" s="7">
        <v>305.42714752752005</v>
      </c>
      <c r="N47" s="7">
        <v>5.7759999999999998</v>
      </c>
      <c r="O47" s="7">
        <v>3.8290000000000002</v>
      </c>
      <c r="P47" s="7">
        <v>11.381</v>
      </c>
    </row>
    <row r="48" spans="1:16">
      <c r="A48" s="6">
        <v>45885</v>
      </c>
      <c r="B48" s="4" t="str">
        <f>Config!$B$3</f>
        <v>07:00</v>
      </c>
      <c r="C48" s="4" t="str">
        <f>Config!$B$2</f>
        <v>Mae Na Rua</v>
      </c>
      <c r="D48" s="7">
        <v>489.69200000000001</v>
      </c>
      <c r="E48" s="7">
        <v>1670813.4823932</v>
      </c>
      <c r="F48" s="7">
        <v>677549.22951010696</v>
      </c>
      <c r="G48" s="7">
        <v>15019.2</v>
      </c>
      <c r="H48" s="7">
        <v>634821.46479999996</v>
      </c>
      <c r="I48">
        <v>32.200000000000003</v>
      </c>
      <c r="J48" s="7">
        <v>9780.6794113274391</v>
      </c>
      <c r="K48" s="7">
        <v>861.74232905973304</v>
      </c>
      <c r="L48" s="7">
        <v>308.03591147454</v>
      </c>
      <c r="N48" s="7">
        <v>3.8290000000000002</v>
      </c>
      <c r="O48" s="7">
        <v>11.381</v>
      </c>
      <c r="P48" s="7">
        <v>5.992</v>
      </c>
    </row>
    <row r="49" spans="1:16">
      <c r="A49" s="6">
        <v>45886</v>
      </c>
      <c r="B49" s="4" t="str">
        <f>Config!$B$3</f>
        <v>07:00</v>
      </c>
      <c r="C49" s="4" t="str">
        <f>Config!$B$2</f>
        <v>Mae Na Rua</v>
      </c>
      <c r="D49" s="7">
        <v>489.88</v>
      </c>
      <c r="E49" s="7">
        <v>1728897.6614808999</v>
      </c>
      <c r="F49" s="7">
        <v>986564.22054553858</v>
      </c>
      <c r="G49" s="7">
        <v>15019.2</v>
      </c>
      <c r="H49" s="7">
        <v>926807.14509999997</v>
      </c>
      <c r="I49">
        <v>47.2</v>
      </c>
      <c r="J49" s="7">
        <v>14532.125505976539</v>
      </c>
      <c r="K49" s="7">
        <v>873.47688217579571</v>
      </c>
      <c r="L49" s="7">
        <v>312.34498163951997</v>
      </c>
      <c r="N49" s="7">
        <v>11.381</v>
      </c>
      <c r="O49" s="7">
        <v>5.992</v>
      </c>
      <c r="P49" s="7">
        <v>17.663</v>
      </c>
    </row>
    <row r="50" spans="1:16">
      <c r="A50" s="6">
        <v>45887</v>
      </c>
      <c r="B50" s="4" t="str">
        <f>Config!$B$3</f>
        <v>07:00</v>
      </c>
      <c r="C50" s="4" t="str">
        <f>Config!$B$2</f>
        <v>Mae Na Rua</v>
      </c>
      <c r="D50" s="7">
        <v>489.83300000000003</v>
      </c>
      <c r="E50" s="7">
        <v>1713524.2337388999</v>
      </c>
      <c r="F50" s="7">
        <v>659131.97695436364</v>
      </c>
      <c r="G50" s="7">
        <v>15019.2</v>
      </c>
      <c r="H50" s="7">
        <v>661558.46109999996</v>
      </c>
      <c r="I50">
        <v>10.6</v>
      </c>
      <c r="J50" s="7">
        <v>3254.8869682477562</v>
      </c>
      <c r="K50" s="7">
        <v>871.15276653516014</v>
      </c>
      <c r="L50" s="7">
        <v>311.47779807628001</v>
      </c>
      <c r="N50" s="7">
        <v>5.992</v>
      </c>
      <c r="O50" s="7">
        <v>17.663</v>
      </c>
      <c r="P50" s="7">
        <v>4.5309999999999997</v>
      </c>
    </row>
    <row r="51" spans="1:16">
      <c r="A51" s="6">
        <v>45888</v>
      </c>
      <c r="B51" s="4" t="str">
        <f>Config!$B$3</f>
        <v>07:00</v>
      </c>
      <c r="C51" s="4" t="str">
        <f>Config!$B$2</f>
        <v>Mae Na Rua</v>
      </c>
      <c r="D51" s="7">
        <v>489.75700000000001</v>
      </c>
      <c r="E51" s="7">
        <v>1689066.0691295001</v>
      </c>
      <c r="F51" s="7">
        <v>412548.03222377884</v>
      </c>
      <c r="G51" s="7">
        <v>15019.2</v>
      </c>
      <c r="H51" s="7">
        <v>420813.59080000001</v>
      </c>
      <c r="I51">
        <v>0</v>
      </c>
      <c r="J51" s="7">
        <v>0</v>
      </c>
      <c r="K51" s="7">
        <v>864.38568884012807</v>
      </c>
      <c r="L51" s="7">
        <v>309.02034433858</v>
      </c>
      <c r="N51" s="7">
        <v>17.663</v>
      </c>
      <c r="O51" s="7">
        <v>4.5309999999999997</v>
      </c>
      <c r="P51" s="7">
        <v>6.98</v>
      </c>
    </row>
    <row r="52" spans="1:16">
      <c r="A52" s="6">
        <v>45889</v>
      </c>
      <c r="B52" s="4" t="str">
        <f>Config!$B$3</f>
        <v>07:00</v>
      </c>
      <c r="C52" s="4" t="str">
        <f>Config!$B$2</f>
        <v>Mae Na Rua</v>
      </c>
      <c r="D52" s="7">
        <v>489.70499999999998</v>
      </c>
      <c r="E52" s="7">
        <v>1673851.7406957999</v>
      </c>
      <c r="F52" s="7">
        <v>273036.44452348823</v>
      </c>
      <c r="G52" s="7">
        <v>15019.2</v>
      </c>
      <c r="H52" s="7">
        <v>272304.3187</v>
      </c>
      <c r="I52">
        <v>0.8</v>
      </c>
      <c r="J52" s="7">
        <v>243.12087070858399</v>
      </c>
      <c r="K52" s="7">
        <v>862.17719101123146</v>
      </c>
      <c r="L52" s="7">
        <v>308.19793688568001</v>
      </c>
      <c r="N52" s="7">
        <v>4.5309999999999997</v>
      </c>
      <c r="O52" s="7">
        <v>6.98</v>
      </c>
      <c r="P52" s="7">
        <v>8.3119999999999994</v>
      </c>
    </row>
    <row r="53" spans="1:16">
      <c r="A53" s="6">
        <v>45890</v>
      </c>
      <c r="B53" s="4" t="str">
        <f>Config!$B$3</f>
        <v>07:00</v>
      </c>
      <c r="C53" s="4" t="str">
        <f>Config!$B$2</f>
        <v>Mae Na Rua</v>
      </c>
      <c r="D53" s="7">
        <v>489.666</v>
      </c>
      <c r="E53" s="7">
        <v>1661708.0167959</v>
      </c>
      <c r="F53" s="7">
        <v>180929.54104251869</v>
      </c>
      <c r="G53" s="7">
        <v>15019.2</v>
      </c>
      <c r="H53" s="7">
        <v>176886.0575</v>
      </c>
      <c r="I53">
        <v>0</v>
      </c>
      <c r="J53" s="7">
        <v>0</v>
      </c>
      <c r="K53" s="7">
        <v>860.45235013182912</v>
      </c>
      <c r="L53" s="7">
        <v>307.55509228684002</v>
      </c>
      <c r="N53" s="7">
        <v>6.98</v>
      </c>
      <c r="O53" s="7">
        <v>8.3119999999999994</v>
      </c>
      <c r="P53" s="7">
        <v>15.516</v>
      </c>
    </row>
    <row r="54" spans="1:16">
      <c r="A54" s="6">
        <v>45891</v>
      </c>
      <c r="B54" s="4" t="str">
        <f>Config!$B$3</f>
        <v>07:00</v>
      </c>
      <c r="C54" s="4" t="str">
        <f>Config!$B$2</f>
        <v>Mae Na Rua</v>
      </c>
      <c r="D54" s="7">
        <v>489.654</v>
      </c>
      <c r="E54" s="7">
        <v>1658675.7961466999</v>
      </c>
      <c r="F54" s="7">
        <v>166176.7553640838</v>
      </c>
      <c r="G54" s="7">
        <v>15019.2</v>
      </c>
      <c r="H54" s="7">
        <v>157630.1244</v>
      </c>
      <c r="I54">
        <v>15.2</v>
      </c>
      <c r="J54" s="7">
        <v>4607.7703605057768</v>
      </c>
      <c r="K54" s="7">
        <v>860.0258651650297</v>
      </c>
      <c r="L54" s="7">
        <v>307.39610862457005</v>
      </c>
      <c r="N54" s="7">
        <v>8.3119999999999994</v>
      </c>
      <c r="O54" s="7">
        <v>15.516</v>
      </c>
      <c r="P54" s="7">
        <v>12.992000000000001</v>
      </c>
    </row>
    <row r="55" spans="1:16">
      <c r="A55" s="6">
        <v>45892</v>
      </c>
      <c r="B55" s="4" t="str">
        <f>Config!$B$3</f>
        <v>07:00</v>
      </c>
      <c r="C55" s="4" t="str">
        <f>Config!$B$2</f>
        <v>Mae Na Rua</v>
      </c>
      <c r="D55" s="7">
        <v>489.63400000000001</v>
      </c>
      <c r="E55" s="7">
        <v>1652616.0060848999</v>
      </c>
      <c r="F55" s="7">
        <v>178085.30122443952</v>
      </c>
      <c r="G55" s="7">
        <v>15019.2</v>
      </c>
      <c r="H55" s="7">
        <v>172017.7188</v>
      </c>
      <c r="I55">
        <v>13.4</v>
      </c>
      <c r="J55" s="7">
        <v>4058.0763395445638</v>
      </c>
      <c r="K55" s="7">
        <v>859.17115529673868</v>
      </c>
      <c r="L55" s="7">
        <v>307.07767048739004</v>
      </c>
      <c r="N55" s="7">
        <v>15.516</v>
      </c>
      <c r="O55" s="7">
        <v>12.992000000000001</v>
      </c>
      <c r="P55" s="7">
        <v>28.321000000000002</v>
      </c>
    </row>
    <row r="56" spans="1:16">
      <c r="A56" s="6">
        <v>45893</v>
      </c>
      <c r="B56" s="4" t="str">
        <f>Config!$B$3</f>
        <v>07:00</v>
      </c>
      <c r="C56" s="4" t="str">
        <f>Config!$B$2</f>
        <v>Mae Na Rua</v>
      </c>
      <c r="D56" s="7">
        <v>489.70499999999998</v>
      </c>
      <c r="E56" s="7">
        <v>1673851.7406957999</v>
      </c>
      <c r="F56" s="7">
        <v>337514.60830241977</v>
      </c>
      <c r="G56" s="7">
        <v>15019.2</v>
      </c>
      <c r="H56" s="7">
        <v>302277.38640000002</v>
      </c>
      <c r="I56">
        <v>7.2</v>
      </c>
      <c r="J56" s="7">
        <v>2188.0878363772558</v>
      </c>
      <c r="K56" s="7">
        <v>862.17719101123146</v>
      </c>
      <c r="L56" s="7">
        <v>308.19793688568001</v>
      </c>
      <c r="N56" s="7">
        <v>12.992000000000001</v>
      </c>
      <c r="O56" s="7">
        <v>28.321000000000002</v>
      </c>
      <c r="P56" s="7">
        <v>7.79</v>
      </c>
    </row>
    <row r="57" spans="1:16">
      <c r="A57" s="6">
        <v>45894</v>
      </c>
      <c r="B57" s="4" t="str">
        <f>Config!$B$3</f>
        <v>07:00</v>
      </c>
      <c r="C57" s="4" t="str">
        <f>Config!$B$2</f>
        <v>Mae Na Rua</v>
      </c>
      <c r="D57" s="7">
        <v>489.68599999999998</v>
      </c>
      <c r="E57" s="7">
        <v>1667776.8298903999</v>
      </c>
      <c r="F57" s="7">
        <v>215817.96342063436</v>
      </c>
      <c r="G57" s="7">
        <v>15019.2</v>
      </c>
      <c r="H57" s="7">
        <v>209954.82500000001</v>
      </c>
      <c r="I57">
        <v>14</v>
      </c>
      <c r="J57" s="7">
        <v>4250.3354512060405</v>
      </c>
      <c r="K57" s="7">
        <v>861.30991304762392</v>
      </c>
      <c r="L57" s="7">
        <v>307.87476419276999</v>
      </c>
      <c r="N57" s="7">
        <v>28.321000000000002</v>
      </c>
      <c r="O57" s="7">
        <v>7.79</v>
      </c>
      <c r="P57" s="7">
        <v>8.4710000000000001</v>
      </c>
    </row>
    <row r="58" spans="1:16">
      <c r="A58" s="6">
        <v>45895</v>
      </c>
      <c r="B58" s="4" t="str">
        <f>Config!$B$3</f>
        <v>07:00</v>
      </c>
      <c r="C58" s="4" t="str">
        <f>Config!$B$2</f>
        <v>Mae Na Rua</v>
      </c>
      <c r="D58" s="7">
        <v>489.64800000000002</v>
      </c>
      <c r="E58" s="7">
        <v>1655645.1614623</v>
      </c>
      <c r="F58" s="7">
        <v>237530.48619131639</v>
      </c>
      <c r="G58" s="7">
        <v>15019.2</v>
      </c>
      <c r="H58" s="7">
        <v>237354.42230000001</v>
      </c>
      <c r="I58">
        <v>12.8</v>
      </c>
      <c r="J58" s="7">
        <v>3878.3045489843198</v>
      </c>
      <c r="K58" s="7">
        <v>859.59961813022403</v>
      </c>
      <c r="L58" s="7">
        <v>307.23725027043002</v>
      </c>
      <c r="N58" s="7">
        <v>7.79</v>
      </c>
      <c r="O58" s="7">
        <v>8.4710000000000001</v>
      </c>
      <c r="P58" s="7">
        <v>3.2040000000000002</v>
      </c>
    </row>
    <row r="59" spans="1:16">
      <c r="A59" s="6">
        <v>45896</v>
      </c>
      <c r="B59" s="4" t="str">
        <f>Config!$B$3</f>
        <v>07:00</v>
      </c>
      <c r="C59" s="4" t="str">
        <f>Config!$B$2</f>
        <v>Mae Na Rua</v>
      </c>
      <c r="D59" s="7">
        <v>489.87200000000001</v>
      </c>
      <c r="E59" s="7">
        <v>1725819.6938243001</v>
      </c>
      <c r="F59" s="7">
        <v>933148.84322041948</v>
      </c>
      <c r="G59" s="7">
        <v>15019.2</v>
      </c>
      <c r="H59" s="7">
        <v>857970.94030000002</v>
      </c>
      <c r="I59">
        <v>36.4</v>
      </c>
      <c r="J59" s="7">
        <v>11201.012800831308</v>
      </c>
      <c r="K59" s="7">
        <v>873.01194063054925</v>
      </c>
      <c r="L59" s="7">
        <v>312.17141862011005</v>
      </c>
      <c r="N59" s="7">
        <v>8.4710000000000001</v>
      </c>
      <c r="O59" s="7">
        <v>3.2040000000000002</v>
      </c>
      <c r="P59" s="7">
        <v>6.0037000000000003</v>
      </c>
    </row>
    <row r="60" spans="1:16">
      <c r="A60" s="6">
        <v>45897</v>
      </c>
      <c r="B60" s="4" t="str">
        <f>Config!$B$3</f>
        <v>07:00</v>
      </c>
      <c r="C60" s="4" t="str">
        <f>Config!$B$2</f>
        <v>Mae Na Rua</v>
      </c>
      <c r="D60" s="7">
        <v>489.839</v>
      </c>
      <c r="E60" s="7">
        <v>1713524.2337388999</v>
      </c>
      <c r="F60" s="7">
        <v>682947.49308773025</v>
      </c>
      <c r="G60" s="7">
        <v>15019.2</v>
      </c>
      <c r="H60" s="7">
        <v>686103.61320000002</v>
      </c>
      <c r="I60">
        <v>23</v>
      </c>
      <c r="J60" s="7">
        <v>7062.4905914809797</v>
      </c>
      <c r="K60" s="7">
        <v>871.15276653516014</v>
      </c>
      <c r="L60" s="7">
        <v>311.47779807628001</v>
      </c>
      <c r="N60" s="7">
        <v>3.2040000000000002</v>
      </c>
      <c r="O60" s="7">
        <v>6.0037000000000003</v>
      </c>
      <c r="P60" s="7">
        <v>4.5449999999999999</v>
      </c>
    </row>
    <row r="61" spans="1:16">
      <c r="A61" s="6">
        <v>45898</v>
      </c>
      <c r="B61" s="4" t="str">
        <f>Config!$B$3</f>
        <v>07:00</v>
      </c>
      <c r="C61" s="4" t="str">
        <f>Config!$B$2</f>
        <v>Mae Na Rua</v>
      </c>
      <c r="D61" s="7">
        <v>489.77</v>
      </c>
      <c r="E61" s="7">
        <v>1695162.8519716</v>
      </c>
      <c r="F61" s="7">
        <v>457141.1065816881</v>
      </c>
      <c r="G61" s="7">
        <v>15019.2</v>
      </c>
      <c r="H61" s="7">
        <v>459308.64809999999</v>
      </c>
      <c r="I61">
        <v>0</v>
      </c>
      <c r="J61" s="7">
        <v>0</v>
      </c>
      <c r="K61" s="7">
        <v>865.28516250696384</v>
      </c>
      <c r="L61" s="7">
        <v>309.35508648107998</v>
      </c>
      <c r="N61" s="7">
        <v>6.0037000000000003</v>
      </c>
      <c r="O61" s="7">
        <v>4.5449999999999999</v>
      </c>
      <c r="P61" s="7">
        <v>3.915</v>
      </c>
    </row>
    <row r="62" spans="1:16">
      <c r="A62" s="6">
        <v>45899</v>
      </c>
      <c r="B62" s="4" t="str">
        <f>Config!$B$3</f>
        <v>07:00</v>
      </c>
      <c r="C62" s="4" t="str">
        <f>Config!$B$2</f>
        <v>Mae Na Rua</v>
      </c>
      <c r="D62" s="7">
        <v>489.71699999999998</v>
      </c>
      <c r="E62" s="7">
        <v>1676891.4600323001</v>
      </c>
      <c r="F62" s="7">
        <v>337714.76111845404</v>
      </c>
      <c r="G62" s="7">
        <v>15019.2</v>
      </c>
      <c r="H62" s="7">
        <v>339795.97820000001</v>
      </c>
      <c r="I62">
        <v>0</v>
      </c>
      <c r="J62" s="7">
        <v>0</v>
      </c>
      <c r="K62" s="7">
        <v>862.61414197406953</v>
      </c>
      <c r="L62" s="7">
        <v>308.36071577983</v>
      </c>
      <c r="N62" s="7">
        <v>4.5449999999999999</v>
      </c>
      <c r="O62" s="7">
        <v>3.915</v>
      </c>
      <c r="P62" s="7">
        <v>7.0170000000000003</v>
      </c>
    </row>
    <row r="63" spans="1:16">
      <c r="A63" s="6">
        <v>45900</v>
      </c>
      <c r="B63" s="4" t="str">
        <f>Config!$B$3</f>
        <v>07:00</v>
      </c>
      <c r="C63" s="4" t="str">
        <f>Config!$B$2</f>
        <v>Mae Na Rua</v>
      </c>
      <c r="D63" s="7">
        <v>489.70499999999998</v>
      </c>
      <c r="E63" s="7">
        <v>1673851.7406957999</v>
      </c>
      <c r="F63" s="7">
        <v>299004.80630702799</v>
      </c>
      <c r="G63" s="7">
        <v>15019.2</v>
      </c>
      <c r="H63" s="7">
        <v>289927.22509999998</v>
      </c>
      <c r="I63">
        <v>13.4</v>
      </c>
      <c r="J63" s="7">
        <v>4072.2745843687821</v>
      </c>
      <c r="K63" s="7">
        <v>862.17719101123146</v>
      </c>
      <c r="L63" s="7">
        <v>308.19793688568001</v>
      </c>
      <c r="N63" s="7">
        <v>3.915</v>
      </c>
      <c r="O63" s="7">
        <v>7.0170000000000003</v>
      </c>
      <c r="P63" s="7">
        <v>2.2290000000000001</v>
      </c>
    </row>
    <row r="64" spans="1:16">
      <c r="A64" s="6">
        <v>45901</v>
      </c>
      <c r="B64" s="4" t="str">
        <f>Config!$B$3</f>
        <v>07:00</v>
      </c>
      <c r="C64" s="4" t="str">
        <f>Config!$B$2</f>
        <v>Mae Na Rua</v>
      </c>
      <c r="D64" s="7">
        <v>489.68</v>
      </c>
      <c r="E64" s="7">
        <v>1667776.8298903999</v>
      </c>
      <c r="F64" s="7">
        <v>237129.5711383255</v>
      </c>
      <c r="G64" s="7">
        <v>15019.199999999999</v>
      </c>
      <c r="H64" s="7">
        <v>228179.2309</v>
      </c>
      <c r="I64">
        <v>3.8</v>
      </c>
      <c r="J64" s="7">
        <v>1153.6624796130679</v>
      </c>
      <c r="K64" s="7">
        <v>851.83806334587734</v>
      </c>
      <c r="L64" s="7">
        <v>307.87476419276999</v>
      </c>
      <c r="N64" s="7">
        <v>7.0170000000000003</v>
      </c>
      <c r="O64" s="7">
        <v>2.2290000000000001</v>
      </c>
      <c r="P64" s="7">
        <v>3.9769999999999999</v>
      </c>
    </row>
    <row r="65" spans="1:16">
      <c r="A65" s="6">
        <v>45902</v>
      </c>
      <c r="B65" s="4" t="str">
        <f>Config!$B$3</f>
        <v>07:00</v>
      </c>
      <c r="C65" s="4" t="str">
        <f>Config!$B$2</f>
        <v>Mae Na Rua</v>
      </c>
      <c r="D65" s="7">
        <v>489.661</v>
      </c>
      <c r="E65" s="7">
        <v>1661708.0167959</v>
      </c>
      <c r="F65" s="7">
        <v>196072.64086824178</v>
      </c>
      <c r="G65" s="7">
        <v>15019.199999999999</v>
      </c>
      <c r="H65" s="7">
        <v>186388.3193</v>
      </c>
      <c r="I65">
        <v>1.4</v>
      </c>
      <c r="J65" s="7">
        <v>424.61036061901797</v>
      </c>
      <c r="K65" s="7">
        <v>850.98993107394858</v>
      </c>
      <c r="L65" s="7">
        <v>307.55509228684002</v>
      </c>
      <c r="N65" s="7">
        <v>2.2290000000000001</v>
      </c>
      <c r="O65" s="7">
        <v>3.9769999999999999</v>
      </c>
      <c r="P65" s="7">
        <v>19.172999999999998</v>
      </c>
    </row>
    <row r="66" spans="1:16">
      <c r="A66" s="6">
        <v>45903</v>
      </c>
      <c r="B66" s="4" t="str">
        <f>Config!$B$3</f>
        <v>07:00</v>
      </c>
      <c r="C66" s="4" t="str">
        <f>Config!$B$2</f>
        <v>Mae Na Rua</v>
      </c>
      <c r="D66" s="7">
        <v>489.661</v>
      </c>
      <c r="E66" s="7">
        <v>1661708.0167959</v>
      </c>
      <c r="F66" s="7">
        <v>192464.81475623159</v>
      </c>
      <c r="G66" s="7">
        <v>15019.199999999999</v>
      </c>
      <c r="H66" s="7">
        <v>177257.60769999999</v>
      </c>
      <c r="I66">
        <v>3.2</v>
      </c>
      <c r="J66" s="7">
        <v>970.53796712918393</v>
      </c>
      <c r="K66" s="7">
        <v>850.98993107394858</v>
      </c>
      <c r="L66" s="7">
        <v>307.55509228684002</v>
      </c>
      <c r="N66" s="7">
        <v>3.9769999999999999</v>
      </c>
      <c r="O66" s="7">
        <v>19.172999999999998</v>
      </c>
      <c r="P66" s="7">
        <v>20.103000000000002</v>
      </c>
    </row>
    <row r="67" spans="1:16">
      <c r="A67" s="6">
        <v>45904</v>
      </c>
      <c r="B67" s="4" t="str">
        <f>Config!$B$3</f>
        <v>07:00</v>
      </c>
      <c r="C67" s="4" t="str">
        <f>Config!$B$2</f>
        <v>Mae Na Rua</v>
      </c>
      <c r="D67" s="7">
        <v>489.63997999999998</v>
      </c>
      <c r="E67" s="7">
        <v>1652616.0060848999</v>
      </c>
      <c r="F67" s="7">
        <v>128748.91688506235</v>
      </c>
      <c r="G67" s="7">
        <v>15019.199999999999</v>
      </c>
      <c r="H67" s="7">
        <v>121664.9271</v>
      </c>
      <c r="I67">
        <v>0</v>
      </c>
      <c r="J67" s="7">
        <v>0</v>
      </c>
      <c r="K67" s="7">
        <v>849.72282557503399</v>
      </c>
      <c r="L67" s="7">
        <v>307.07767048739004</v>
      </c>
      <c r="N67" s="7">
        <v>19.172999999999998</v>
      </c>
      <c r="O67" s="7">
        <v>20.103000000000002</v>
      </c>
      <c r="P67" s="7">
        <v>2.8490000000000002</v>
      </c>
    </row>
    <row r="68" spans="1:16">
      <c r="A68" s="6">
        <v>45905</v>
      </c>
      <c r="B68" s="4" t="str">
        <f>Config!$B$3</f>
        <v>07:00</v>
      </c>
      <c r="C68" s="4" t="str">
        <f>Config!$B$2</f>
        <v>Mae Na Rua</v>
      </c>
      <c r="D68" s="7">
        <v>489.608</v>
      </c>
      <c r="E68" s="7">
        <v>1643538.2164867001</v>
      </c>
      <c r="F68" s="7">
        <v>78859.649736720108</v>
      </c>
      <c r="G68" s="7">
        <v>15019.199999999999</v>
      </c>
      <c r="H68" s="7">
        <v>71765.656430000003</v>
      </c>
      <c r="I68">
        <v>0</v>
      </c>
      <c r="J68" s="7">
        <v>0</v>
      </c>
      <c r="K68" s="7">
        <v>846.6318444243235</v>
      </c>
      <c r="L68" s="7">
        <v>305.95106049556</v>
      </c>
      <c r="N68" s="7">
        <v>20.103000000000002</v>
      </c>
      <c r="O68" s="7">
        <v>2.8490000000000002</v>
      </c>
      <c r="P68" s="7">
        <v>9.7469999999999999</v>
      </c>
    </row>
    <row r="69" spans="1:16">
      <c r="A69" s="6">
        <v>45906</v>
      </c>
      <c r="B69" s="4" t="str">
        <f>Config!$B$3</f>
        <v>07:00</v>
      </c>
      <c r="C69" s="4" t="str">
        <f>Config!$B$2</f>
        <v>Mae Na Rua</v>
      </c>
      <c r="D69" s="7">
        <v>489.589</v>
      </c>
      <c r="E69" s="7">
        <v>1637507.2197397</v>
      </c>
      <c r="F69" s="7">
        <v>44276.176947026448</v>
      </c>
      <c r="G69" s="7">
        <v>15019.199999999999</v>
      </c>
      <c r="H69" s="7">
        <v>34136.719790000003</v>
      </c>
      <c r="I69">
        <v>0</v>
      </c>
      <c r="J69" s="7">
        <v>0</v>
      </c>
      <c r="K69" s="7">
        <v>845.66360744921133</v>
      </c>
      <c r="L69" s="7">
        <v>305.59029657738</v>
      </c>
      <c r="N69" s="7">
        <v>2.8490000000000002</v>
      </c>
      <c r="O69" s="7">
        <v>9.7469999999999999</v>
      </c>
      <c r="P69" s="7">
        <v>6.5410000000000004</v>
      </c>
    </row>
    <row r="70" spans="1:16">
      <c r="A70" s="6">
        <v>45907</v>
      </c>
      <c r="B70" s="4" t="str">
        <f>Config!$B$3</f>
        <v>07:00</v>
      </c>
      <c r="C70" s="4" t="str">
        <f>Config!$B$2</f>
        <v>Mae Na Rua</v>
      </c>
      <c r="D70" s="7">
        <v>489.56400000000002</v>
      </c>
      <c r="E70" s="7">
        <v>1631482.3951735001</v>
      </c>
      <c r="F70" s="7">
        <v>21265.004473392863</v>
      </c>
      <c r="G70" s="7">
        <v>15019.199999999999</v>
      </c>
      <c r="H70" s="7">
        <v>11120.572969999999</v>
      </c>
      <c r="I70">
        <v>0</v>
      </c>
      <c r="J70" s="7">
        <v>0</v>
      </c>
      <c r="K70" s="7">
        <v>844.79197828986491</v>
      </c>
      <c r="L70" s="7">
        <v>305.26409130291</v>
      </c>
      <c r="N70" s="7">
        <v>9.7469999999999999</v>
      </c>
      <c r="O70" s="7">
        <v>6.5410000000000004</v>
      </c>
      <c r="P70" s="7">
        <v>38.929000000000002</v>
      </c>
    </row>
    <row r="71" spans="1:16">
      <c r="A71" s="6">
        <v>45908</v>
      </c>
      <c r="B71" s="4" t="str">
        <f>Config!$B$3</f>
        <v>07:00</v>
      </c>
      <c r="C71" s="4" t="str">
        <f>Config!$B$2</f>
        <v>Mae Na Rua</v>
      </c>
      <c r="D71" s="7">
        <v>489.54399999999998</v>
      </c>
      <c r="E71" s="7">
        <v>1625463.7590197001</v>
      </c>
      <c r="F71" s="7">
        <v>9147.6059040011987</v>
      </c>
      <c r="G71" s="7">
        <v>15019.199999999999</v>
      </c>
      <c r="H71" s="7">
        <v>321.58828549999998</v>
      </c>
      <c r="I71">
        <v>4.4000000000000004</v>
      </c>
      <c r="J71" s="7">
        <v>1323.4111428967001</v>
      </c>
      <c r="K71" s="7">
        <v>843.92524964643746</v>
      </c>
      <c r="L71" s="7">
        <v>304.93966555141003</v>
      </c>
      <c r="N71" s="7">
        <v>6.5410000000000004</v>
      </c>
      <c r="O71" s="7">
        <v>38.929000000000002</v>
      </c>
      <c r="P71" s="7">
        <v>13.03</v>
      </c>
    </row>
    <row r="72" spans="1:16">
      <c r="A72" s="6">
        <v>45909</v>
      </c>
      <c r="B72" s="4" t="str">
        <f>Config!$B$3</f>
        <v>07:00</v>
      </c>
      <c r="C72" s="4" t="str">
        <f>Config!$B$2</f>
        <v>Mae Na Rua</v>
      </c>
      <c r="D72" s="7">
        <v>489.51799999999997</v>
      </c>
      <c r="E72" s="7">
        <v>1616447.3000027</v>
      </c>
      <c r="F72" s="7">
        <v>7149.8358157044286</v>
      </c>
      <c r="G72" s="7">
        <v>15019.199999999999</v>
      </c>
      <c r="H72" s="7">
        <v>0</v>
      </c>
      <c r="I72">
        <v>0</v>
      </c>
      <c r="J72" s="7">
        <v>0</v>
      </c>
      <c r="K72" s="7">
        <v>842.63747438643054</v>
      </c>
      <c r="L72" s="7">
        <v>304.45735831816</v>
      </c>
      <c r="N72" s="7">
        <v>38.929000000000002</v>
      </c>
      <c r="O72" s="7">
        <v>13.03</v>
      </c>
      <c r="P72" s="7">
        <v>15.541</v>
      </c>
    </row>
    <row r="73" spans="1:16">
      <c r="A73" s="6">
        <v>45910</v>
      </c>
      <c r="B73" s="4" t="str">
        <f>Config!$B$3</f>
        <v>07:00</v>
      </c>
      <c r="C73" s="4" t="str">
        <f>Config!$B$2</f>
        <v>Mae Na Rua</v>
      </c>
      <c r="D73" s="7">
        <v>489.48599999999999</v>
      </c>
      <c r="E73" s="7">
        <v>1607444.5930314001</v>
      </c>
      <c r="F73" s="7">
        <v>7161.8376565521703</v>
      </c>
      <c r="G73" s="7">
        <v>15019.199999999999</v>
      </c>
      <c r="H73" s="7">
        <v>0</v>
      </c>
      <c r="I73">
        <v>0</v>
      </c>
      <c r="J73" s="7">
        <v>0</v>
      </c>
      <c r="K73" s="7">
        <v>841.36443984776611</v>
      </c>
      <c r="L73" s="7">
        <v>303.98018800424001</v>
      </c>
      <c r="N73" s="7">
        <v>13.03</v>
      </c>
      <c r="O73" s="7">
        <v>15.541</v>
      </c>
      <c r="P73" s="7">
        <v>3.63</v>
      </c>
    </row>
    <row r="74" spans="1:16">
      <c r="A74" s="6">
        <v>45911</v>
      </c>
      <c r="B74" s="4" t="str">
        <f>Config!$B$3</f>
        <v>07:00</v>
      </c>
      <c r="C74" s="4" t="str">
        <f>Config!$B$2</f>
        <v>Mae Na Rua</v>
      </c>
      <c r="D74" s="7">
        <v>489.47399999999999</v>
      </c>
      <c r="E74" s="7">
        <v>1604446.7185589999</v>
      </c>
      <c r="F74" s="7">
        <v>11367.816099604432</v>
      </c>
      <c r="G74" s="7">
        <v>15019.199999999999</v>
      </c>
      <c r="H74" s="7">
        <v>0</v>
      </c>
      <c r="I74">
        <v>6</v>
      </c>
      <c r="J74" s="7">
        <v>1798.2750158746198</v>
      </c>
      <c r="K74" s="7">
        <v>840.94333034025635</v>
      </c>
      <c r="L74" s="7">
        <v>303.82225753897001</v>
      </c>
      <c r="N74" s="7">
        <v>15.541</v>
      </c>
      <c r="O74" s="7">
        <v>3.63</v>
      </c>
      <c r="P74" s="7">
        <v>1.3680000000000001</v>
      </c>
    </row>
    <row r="75" spans="1:16">
      <c r="A75" s="6">
        <v>45912</v>
      </c>
      <c r="B75" s="4" t="str">
        <f>Config!$B$3</f>
        <v>07:00</v>
      </c>
      <c r="C75" s="4" t="str">
        <f>Config!$B$2</f>
        <v>Mae Na Rua</v>
      </c>
      <c r="D75" s="7">
        <v>489.44799999999998</v>
      </c>
      <c r="E75" s="7">
        <v>1595462.0162961001</v>
      </c>
      <c r="F75" s="7">
        <v>7177.536098438658</v>
      </c>
      <c r="G75" s="7">
        <v>15019.199999999999</v>
      </c>
      <c r="H75" s="7">
        <v>0</v>
      </c>
      <c r="I75">
        <v>0</v>
      </c>
      <c r="J75" s="7">
        <v>0</v>
      </c>
      <c r="K75" s="7">
        <v>839.68734231515691</v>
      </c>
      <c r="L75" s="7">
        <v>303.35101902334003</v>
      </c>
      <c r="N75" s="7">
        <v>3.63</v>
      </c>
      <c r="O75" s="7">
        <v>1.3680000000000001</v>
      </c>
      <c r="P75" s="7">
        <v>2.5950000000000002</v>
      </c>
    </row>
    <row r="76" spans="1:16">
      <c r="A76" s="6">
        <v>45913</v>
      </c>
      <c r="B76" s="4" t="str">
        <f>Config!$B$3</f>
        <v>07:00</v>
      </c>
      <c r="C76" s="4" t="str">
        <f>Config!$B$2</f>
        <v>Mae Na Rua</v>
      </c>
      <c r="D76" s="7">
        <v>489.40899999999999</v>
      </c>
      <c r="E76" s="7">
        <v>1583503.9153768001</v>
      </c>
      <c r="F76" s="7">
        <v>4201.3925110004157</v>
      </c>
      <c r="G76" s="7">
        <v>15019.199999999999</v>
      </c>
      <c r="H76" s="7">
        <v>0</v>
      </c>
      <c r="I76">
        <v>0</v>
      </c>
      <c r="J76" s="7">
        <v>0</v>
      </c>
      <c r="K76" s="7">
        <v>837.68672932202901</v>
      </c>
      <c r="L76" s="7">
        <v>302.60670097837999</v>
      </c>
      <c r="N76" s="7">
        <v>1.3680000000000001</v>
      </c>
      <c r="O76" s="7">
        <v>2.5950000000000002</v>
      </c>
      <c r="P76" s="7">
        <v>8.984</v>
      </c>
    </row>
    <row r="77" spans="1:16">
      <c r="A77" s="6">
        <v>45914</v>
      </c>
      <c r="B77" s="4" t="str">
        <f>Config!$B$3</f>
        <v>07:00</v>
      </c>
      <c r="C77" s="4" t="str">
        <f>Config!$B$2</f>
        <v>Mae Na Rua</v>
      </c>
      <c r="D77" s="7">
        <v>489.37200000000001</v>
      </c>
      <c r="E77" s="7">
        <v>1574601.0268989</v>
      </c>
      <c r="F77" s="7">
        <v>7248.7242808551546</v>
      </c>
      <c r="G77" s="7">
        <v>15019.199999999999</v>
      </c>
      <c r="H77" s="7">
        <v>0</v>
      </c>
      <c r="I77">
        <v>0</v>
      </c>
      <c r="J77" s="7">
        <v>0</v>
      </c>
      <c r="K77" s="7">
        <v>831.89373990683123</v>
      </c>
      <c r="L77" s="7">
        <v>300.51901884839003</v>
      </c>
      <c r="N77" s="7">
        <v>2.5950000000000002</v>
      </c>
      <c r="O77" s="7">
        <v>8.984</v>
      </c>
      <c r="P77" s="7">
        <v>5.7530000000000001</v>
      </c>
    </row>
    <row r="78" spans="1:16">
      <c r="A78" s="6">
        <v>45915</v>
      </c>
      <c r="B78" s="4" t="str">
        <f>Config!$B$3</f>
        <v>07:00</v>
      </c>
      <c r="C78" s="4" t="str">
        <f>Config!$B$2</f>
        <v>Mae Na Rua</v>
      </c>
      <c r="D78" s="7">
        <v>489.35899999999998</v>
      </c>
      <c r="E78" s="7">
        <v>1568674.6777429001</v>
      </c>
      <c r="F78" s="7">
        <v>5663.2748590990486</v>
      </c>
      <c r="G78" s="7">
        <v>15019.199999999999</v>
      </c>
      <c r="H78" s="7">
        <v>0</v>
      </c>
      <c r="I78">
        <v>15.4</v>
      </c>
      <c r="J78" s="7">
        <v>4560.6830457545284</v>
      </c>
      <c r="K78" s="7">
        <v>830.94263068482132</v>
      </c>
      <c r="L78" s="7">
        <v>300.16443016871</v>
      </c>
      <c r="N78" s="7">
        <v>8.984</v>
      </c>
      <c r="O78" s="7">
        <v>5.7530000000000001</v>
      </c>
      <c r="P78" s="7">
        <v>0.13200000000000001</v>
      </c>
    </row>
    <row r="79" spans="1:16">
      <c r="A79" s="6">
        <v>45916</v>
      </c>
      <c r="B79" s="4" t="str">
        <f>Config!$B$3</f>
        <v>07:00</v>
      </c>
      <c r="C79" s="4" t="str">
        <f>Config!$B$2</f>
        <v>Mae Na Rua</v>
      </c>
      <c r="D79" s="7">
        <v>489.34300000000002</v>
      </c>
      <c r="E79" s="7">
        <v>1565714.0163252</v>
      </c>
      <c r="F79" s="7">
        <v>11472.309566763399</v>
      </c>
      <c r="G79" s="7">
        <v>15019.199999999999</v>
      </c>
      <c r="H79" s="7">
        <v>0</v>
      </c>
      <c r="I79">
        <v>5.8</v>
      </c>
      <c r="J79" s="7">
        <v>1716.695310781608</v>
      </c>
      <c r="K79" s="7">
        <v>830.4760217531142</v>
      </c>
      <c r="L79" s="7">
        <v>299.99027349201003</v>
      </c>
      <c r="N79" s="7">
        <v>5.7530000000000001</v>
      </c>
      <c r="O79" s="7">
        <v>0.13200000000000001</v>
      </c>
      <c r="P79" s="7">
        <v>3.5000000000000003E-2</v>
      </c>
    </row>
    <row r="80" spans="1:16">
      <c r="A80" s="6">
        <v>45917</v>
      </c>
      <c r="B80" s="4" t="str">
        <f>Config!$B$3</f>
        <v>07:00</v>
      </c>
      <c r="C80" s="4" t="str">
        <f>Config!$B$2</f>
        <v>Mae Na Rua</v>
      </c>
      <c r="D80" s="7">
        <v>489.33699999999999</v>
      </c>
      <c r="E80" s="7">
        <v>1562754.9976601</v>
      </c>
      <c r="F80" s="7">
        <v>13190.014880184803</v>
      </c>
      <c r="G80" s="7">
        <v>15019.199999999999</v>
      </c>
      <c r="H80" s="7">
        <v>0</v>
      </c>
      <c r="I80">
        <v>0</v>
      </c>
      <c r="J80" s="7">
        <v>0</v>
      </c>
      <c r="K80" s="7">
        <v>830.0153464999571</v>
      </c>
      <c r="L80" s="7">
        <v>299.81819878482997</v>
      </c>
      <c r="N80" s="7">
        <v>0.13200000000000001</v>
      </c>
      <c r="O80" s="7">
        <v>3.5000000000000003E-2</v>
      </c>
      <c r="P80" s="7">
        <v>1.5469999999999999</v>
      </c>
    </row>
    <row r="81" spans="1:16">
      <c r="A81" s="6">
        <v>45918</v>
      </c>
      <c r="B81" s="4" t="str">
        <f>Config!$B$3</f>
        <v>07:00</v>
      </c>
      <c r="C81" s="4" t="str">
        <f>Config!$B$2</f>
        <v>Mae Na Rua</v>
      </c>
      <c r="D81" s="7">
        <v>489.28399999999999</v>
      </c>
      <c r="E81" s="7">
        <v>1547983.8767252001</v>
      </c>
      <c r="F81" s="7">
        <v>1374.8609051012572</v>
      </c>
      <c r="G81" s="7">
        <v>15019.199999999999</v>
      </c>
      <c r="H81" s="7">
        <v>0</v>
      </c>
      <c r="I81">
        <v>0</v>
      </c>
      <c r="J81" s="7">
        <v>0</v>
      </c>
      <c r="K81" s="7">
        <v>827.79487453064462</v>
      </c>
      <c r="L81" s="7">
        <v>298.98696547051003</v>
      </c>
      <c r="N81" s="7">
        <v>3.5000000000000003E-2</v>
      </c>
      <c r="O81" s="7">
        <v>1.5469999999999999</v>
      </c>
      <c r="P81" s="7">
        <v>8.423</v>
      </c>
    </row>
    <row r="82" spans="1:16">
      <c r="A82" s="6">
        <v>45919</v>
      </c>
      <c r="B82" s="4" t="str">
        <f>Config!$B$3</f>
        <v>07:00</v>
      </c>
      <c r="C82" s="4" t="str">
        <f>Config!$B$2</f>
        <v>Mae Na Rua</v>
      </c>
      <c r="D82" s="7">
        <v>489.24599999999998</v>
      </c>
      <c r="E82" s="7">
        <v>1536194.8351113</v>
      </c>
      <c r="F82" s="7">
        <v>2823.6028583486882</v>
      </c>
      <c r="G82" s="7">
        <v>15019.199999999999</v>
      </c>
      <c r="H82" s="7">
        <v>0</v>
      </c>
      <c r="I82">
        <v>5.2</v>
      </c>
      <c r="J82" s="7">
        <v>1531.0332686617799</v>
      </c>
      <c r="K82" s="7">
        <v>826.12003454875219</v>
      </c>
      <c r="L82" s="7">
        <v>298.35770636182002</v>
      </c>
      <c r="N82" s="7">
        <v>1.5469999999999999</v>
      </c>
      <c r="O82" s="7">
        <v>8.423</v>
      </c>
      <c r="P82" s="7">
        <v>2.5350000000000001</v>
      </c>
    </row>
    <row r="83" spans="1:16">
      <c r="A83" s="6">
        <v>45920</v>
      </c>
      <c r="B83" s="4" t="str">
        <f>Config!$B$3</f>
        <v>07:00</v>
      </c>
      <c r="C83" s="4" t="str">
        <f>Config!$B$2</f>
        <v>Mae Na Rua</v>
      </c>
      <c r="D83" s="7">
        <v>489.19799999999998</v>
      </c>
      <c r="E83" s="7">
        <v>1521494.7669134</v>
      </c>
      <c r="F83" s="7">
        <v>970.08652436549107</v>
      </c>
      <c r="G83" s="7">
        <v>15019.199999999999</v>
      </c>
      <c r="H83" s="7">
        <v>0</v>
      </c>
      <c r="I83">
        <v>1.6</v>
      </c>
      <c r="J83" s="7">
        <v>469.35024053430402</v>
      </c>
      <c r="K83" s="7">
        <v>823.07409368698006</v>
      </c>
      <c r="L83" s="7">
        <v>297.23086911278006</v>
      </c>
      <c r="N83" s="7">
        <v>8.423</v>
      </c>
      <c r="O83" s="7">
        <v>2.5350000000000001</v>
      </c>
      <c r="P83" s="7">
        <v>1.0329999999999999</v>
      </c>
    </row>
    <row r="84" spans="1:16">
      <c r="A84" s="6">
        <v>45921</v>
      </c>
      <c r="B84" s="4" t="str">
        <f>Config!$B$3</f>
        <v>07:00</v>
      </c>
      <c r="C84" s="4" t="str">
        <f>Config!$B$2</f>
        <v>Mae Na Rua</v>
      </c>
      <c r="D84" s="7">
        <v>489.173</v>
      </c>
      <c r="E84" s="7">
        <v>1515629.6565953</v>
      </c>
      <c r="F84" s="7">
        <v>8280.18768312879</v>
      </c>
      <c r="G84" s="7">
        <v>15019.199999999999</v>
      </c>
      <c r="H84" s="7">
        <v>0</v>
      </c>
      <c r="I84">
        <v>6.8</v>
      </c>
      <c r="J84" s="7">
        <v>1993.4928928890679</v>
      </c>
      <c r="K84" s="7">
        <v>822.56011891635933</v>
      </c>
      <c r="L84" s="7">
        <v>297.03077520158001</v>
      </c>
      <c r="N84" s="7">
        <v>2.5350000000000001</v>
      </c>
      <c r="O84" s="7">
        <v>1.0329999999999999</v>
      </c>
      <c r="P84" s="7">
        <v>3.4990000000000001</v>
      </c>
    </row>
    <row r="85" spans="1:16">
      <c r="A85" s="6">
        <v>45922</v>
      </c>
      <c r="B85" s="4" t="str">
        <f>Config!$B$3</f>
        <v>07:00</v>
      </c>
      <c r="C85" s="4" t="str">
        <f>Config!$B$2</f>
        <v>Mae Na Rua</v>
      </c>
      <c r="D85" s="7">
        <v>489.13499999999999</v>
      </c>
      <c r="E85" s="7">
        <v>1503910.109441</v>
      </c>
      <c r="F85" s="7">
        <v>3890.8091359720329</v>
      </c>
      <c r="G85" s="7">
        <v>15019.199999999999</v>
      </c>
      <c r="H85" s="7">
        <v>0</v>
      </c>
      <c r="I85">
        <v>1.8</v>
      </c>
      <c r="J85" s="7">
        <v>527.05127906632799</v>
      </c>
      <c r="K85" s="7">
        <v>821.56558176681779</v>
      </c>
      <c r="L85" s="7">
        <v>296.64198757146005</v>
      </c>
      <c r="N85" s="7">
        <v>1.0329999999999999</v>
      </c>
      <c r="O85" s="7">
        <v>3.4990000000000001</v>
      </c>
      <c r="P85" s="7">
        <v>0.82199999999999995</v>
      </c>
    </row>
    <row r="86" spans="1:16">
      <c r="A86" s="6">
        <v>45923</v>
      </c>
      <c r="B86" s="4" t="str">
        <f>Config!$B$3</f>
        <v>07:00</v>
      </c>
      <c r="C86" s="4" t="str">
        <f>Config!$B$2</f>
        <v>Mae Na Rua</v>
      </c>
      <c r="D86" s="7">
        <v>489.089</v>
      </c>
      <c r="E86" s="7">
        <v>1489280.5058130999</v>
      </c>
      <c r="F86" s="7">
        <v>1038.3203905585058</v>
      </c>
      <c r="G86" s="7">
        <v>15019.199999999999</v>
      </c>
      <c r="H86" s="7">
        <v>0</v>
      </c>
      <c r="I86">
        <v>1.6</v>
      </c>
      <c r="J86" s="7">
        <v>467.80102806299203</v>
      </c>
      <c r="K86" s="7">
        <v>820.35732369171569</v>
      </c>
      <c r="L86" s="7">
        <v>296.16772282991002</v>
      </c>
      <c r="N86" s="7">
        <v>3.4990000000000001</v>
      </c>
      <c r="O86" s="7">
        <v>0.82199999999999995</v>
      </c>
      <c r="P86" s="7">
        <v>10.321</v>
      </c>
    </row>
    <row r="87" spans="1:16">
      <c r="A87" s="6">
        <v>45924</v>
      </c>
      <c r="B87" s="4" t="str">
        <f>Config!$B$3</f>
        <v>07:00</v>
      </c>
      <c r="C87" s="4" t="str">
        <f>Config!$B$2</f>
        <v>Mae Na Rua</v>
      </c>
      <c r="D87" s="7">
        <v>489.03197999999998</v>
      </c>
      <c r="E87" s="7">
        <v>1474672.1813453001</v>
      </c>
      <c r="F87" s="7">
        <v>1525.7634288202905</v>
      </c>
      <c r="G87" s="7">
        <v>15019.199999999999</v>
      </c>
      <c r="H87" s="7">
        <v>0</v>
      </c>
      <c r="I87">
        <v>0</v>
      </c>
      <c r="J87" s="7">
        <v>0</v>
      </c>
      <c r="K87" s="7">
        <v>819.18299435283075</v>
      </c>
      <c r="L87" s="7">
        <v>295.70490226732005</v>
      </c>
      <c r="N87" s="7">
        <v>0.82199999999999995</v>
      </c>
      <c r="O87" s="7">
        <v>10.321</v>
      </c>
      <c r="P87" s="7">
        <v>2.36</v>
      </c>
    </row>
    <row r="88" spans="1:16">
      <c r="A88" s="6">
        <v>45925</v>
      </c>
      <c r="B88" s="4" t="str">
        <f>Config!$B$3</f>
        <v>07:00</v>
      </c>
      <c r="C88" s="4" t="str">
        <f>Config!$B$2</f>
        <v>Mae Na Rua</v>
      </c>
      <c r="D88" s="7">
        <v>489.04399999999998</v>
      </c>
      <c r="E88" s="7">
        <v>1477592.1420386999</v>
      </c>
      <c r="F88" s="7">
        <v>13797.653686861006</v>
      </c>
      <c r="G88" s="7">
        <v>15019.199999999999</v>
      </c>
      <c r="H88" s="7">
        <v>0</v>
      </c>
      <c r="I88">
        <v>18</v>
      </c>
      <c r="J88" s="7">
        <v>5256.7190747346594</v>
      </c>
      <c r="K88" s="7">
        <v>819.41542243664833</v>
      </c>
      <c r="L88" s="7">
        <v>295.79664575913</v>
      </c>
      <c r="N88" s="7">
        <v>10.321</v>
      </c>
      <c r="O88" s="7">
        <v>2.36</v>
      </c>
      <c r="P88" s="7">
        <v>3.7850000000000001</v>
      </c>
    </row>
    <row r="89" spans="1:16">
      <c r="A89" s="6">
        <v>45926</v>
      </c>
      <c r="B89" s="4" t="str">
        <f>Config!$B$3</f>
        <v>07:00</v>
      </c>
      <c r="C89" s="4" t="str">
        <f>Config!$B$2</f>
        <v>Mae Na Rua</v>
      </c>
      <c r="D89" s="7">
        <v>489.01799999999997</v>
      </c>
      <c r="E89" s="7">
        <v>1468834.6627917001</v>
      </c>
      <c r="F89" s="7">
        <v>7375.9657542117529</v>
      </c>
      <c r="G89" s="7">
        <v>15019.199999999999</v>
      </c>
      <c r="H89" s="7">
        <v>0</v>
      </c>
      <c r="I89">
        <v>0</v>
      </c>
      <c r="J89" s="7">
        <v>0</v>
      </c>
      <c r="K89" s="7">
        <v>818.72220723165992</v>
      </c>
      <c r="L89" s="7">
        <v>295.52279397992999</v>
      </c>
      <c r="N89" s="7">
        <v>2.36</v>
      </c>
      <c r="O89" s="7">
        <v>3.7850000000000001</v>
      </c>
      <c r="P89" s="7">
        <v>0.38900000000000001</v>
      </c>
    </row>
    <row r="90" spans="1:16">
      <c r="A90" s="6">
        <v>45927</v>
      </c>
      <c r="B90" s="4" t="str">
        <f>Config!$B$3</f>
        <v>07:00</v>
      </c>
      <c r="C90" s="4" t="str">
        <f>Config!$B$2</f>
        <v>Mae Na Rua</v>
      </c>
      <c r="D90" s="7">
        <v>488.98599999999999</v>
      </c>
      <c r="E90" s="7">
        <v>1460084.4867827999</v>
      </c>
      <c r="F90" s="7">
        <v>7382.3171617782627</v>
      </c>
      <c r="G90" s="7">
        <v>15019.199999999999</v>
      </c>
      <c r="H90" s="7">
        <v>0</v>
      </c>
      <c r="I90">
        <v>0</v>
      </c>
      <c r="J90" s="7">
        <v>0</v>
      </c>
      <c r="K90" s="7">
        <v>818.04040963026512</v>
      </c>
      <c r="L90" s="7">
        <v>295.25276104816004</v>
      </c>
      <c r="N90" s="7">
        <v>3.7850000000000001</v>
      </c>
      <c r="O90" s="7">
        <v>0.38900000000000001</v>
      </c>
      <c r="P90" s="7">
        <v>0</v>
      </c>
    </row>
    <row r="91" spans="1:16">
      <c r="A91" s="6">
        <v>45928</v>
      </c>
      <c r="B91" s="4" t="str">
        <f>Config!$B$3</f>
        <v>07:00</v>
      </c>
      <c r="C91" s="4" t="str">
        <f>Config!$B$2</f>
        <v>Mae Na Rua</v>
      </c>
      <c r="D91" s="7">
        <v>488.95600000000002</v>
      </c>
      <c r="E91" s="7">
        <v>1451341.5620411001</v>
      </c>
      <c r="F91" s="7">
        <v>7097.3228930266096</v>
      </c>
      <c r="G91" s="7">
        <v>15019.199999999999</v>
      </c>
      <c r="H91" s="7">
        <v>0</v>
      </c>
      <c r="I91">
        <v>1</v>
      </c>
      <c r="J91" s="7">
        <v>291.3116870993</v>
      </c>
      <c r="K91" s="7">
        <v>817.37204205278601</v>
      </c>
      <c r="L91" s="7">
        <v>294.98727977294999</v>
      </c>
      <c r="N91" s="7">
        <v>0.38900000000000001</v>
      </c>
      <c r="O91" s="7">
        <v>0</v>
      </c>
      <c r="P91" s="7">
        <v>3.258</v>
      </c>
    </row>
    <row r="92" spans="1:16">
      <c r="A92" s="6">
        <v>45929</v>
      </c>
      <c r="B92" s="4" t="str">
        <f>Config!$B$3</f>
        <v>07:00</v>
      </c>
      <c r="C92" s="4" t="str">
        <f>Config!$B$2</f>
        <v>Mae Na Rua</v>
      </c>
      <c r="D92" s="7">
        <v>488.91</v>
      </c>
      <c r="E92" s="7">
        <v>1439695.2819463999</v>
      </c>
      <c r="F92" s="7">
        <v>4484.044160908431</v>
      </c>
      <c r="G92" s="7">
        <v>15019.199999999999</v>
      </c>
      <c r="H92" s="7">
        <v>0</v>
      </c>
      <c r="I92">
        <v>0</v>
      </c>
      <c r="J92" s="7">
        <v>0</v>
      </c>
      <c r="K92" s="7">
        <v>816.48851751582868</v>
      </c>
      <c r="L92" s="7">
        <v>294.63573809277</v>
      </c>
      <c r="N92" s="7">
        <v>0</v>
      </c>
      <c r="O92" s="7">
        <v>3.258</v>
      </c>
      <c r="P92" s="7">
        <v>4.5060000000000002</v>
      </c>
    </row>
    <row r="93" spans="1:16">
      <c r="A93" s="6">
        <v>45930</v>
      </c>
      <c r="B93" s="4" t="str">
        <f>Config!$B$3</f>
        <v>07:00</v>
      </c>
      <c r="C93" s="4" t="str">
        <f>Config!$B$2</f>
        <v>Mae Na Rua</v>
      </c>
      <c r="D93" s="7">
        <v>488.892</v>
      </c>
      <c r="E93" s="7">
        <v>1433876.8830075001</v>
      </c>
      <c r="F93" s="7">
        <v>5657.864205080682</v>
      </c>
      <c r="G93" s="7">
        <v>15019.199999999999</v>
      </c>
      <c r="H93" s="7">
        <v>0</v>
      </c>
      <c r="I93">
        <v>16</v>
      </c>
      <c r="J93" s="7">
        <v>4653.44777122496</v>
      </c>
      <c r="K93" s="7">
        <v>816.04992946429377</v>
      </c>
      <c r="L93" s="7">
        <v>294.46098574120998</v>
      </c>
      <c r="N93" s="7">
        <v>3.258</v>
      </c>
      <c r="O93" s="7">
        <v>4.5060000000000002</v>
      </c>
      <c r="P93" s="7">
        <v>7.7629999999999999</v>
      </c>
    </row>
    <row r="94" spans="1:16">
      <c r="A94" s="6">
        <v>45931</v>
      </c>
      <c r="B94" s="4" t="str">
        <f>Config!$B$3</f>
        <v>07:00</v>
      </c>
      <c r="C94" s="4" t="str">
        <f>Config!$B$2</f>
        <v>Mae Na Rua</v>
      </c>
      <c r="D94" s="7">
        <v>488.904</v>
      </c>
      <c r="E94" s="7">
        <v>1436785.6733039999</v>
      </c>
      <c r="F94" s="7">
        <v>15817.94020789491</v>
      </c>
      <c r="G94" s="7">
        <v>15019.199999999999</v>
      </c>
      <c r="H94" s="7">
        <v>0</v>
      </c>
      <c r="I94">
        <v>10.8</v>
      </c>
      <c r="J94" s="7">
        <v>3141.9203740044481</v>
      </c>
      <c r="K94" s="7">
        <v>737.31899625084077</v>
      </c>
      <c r="L94" s="7">
        <v>294.54828164846998</v>
      </c>
      <c r="N94" s="7">
        <v>4.5060000000000002</v>
      </c>
      <c r="O94" s="7">
        <v>7.7629999999999999</v>
      </c>
      <c r="P94" s="7">
        <v>6.7880000000000003</v>
      </c>
    </row>
    <row r="95" spans="1:16">
      <c r="A95" s="6">
        <v>45932</v>
      </c>
      <c r="B95" s="4" t="str">
        <f>Config!$B$3</f>
        <v>07:00</v>
      </c>
      <c r="C95" s="4" t="str">
        <f>Config!$B$2</f>
        <v>Mae Na Rua</v>
      </c>
      <c r="D95" s="7">
        <v>488.87900000000002</v>
      </c>
      <c r="E95" s="7">
        <v>1428061.5598544001</v>
      </c>
      <c r="F95" s="7">
        <v>6919.1413482762027</v>
      </c>
      <c r="G95" s="7">
        <v>15019.199999999999</v>
      </c>
      <c r="H95" s="7">
        <v>0</v>
      </c>
      <c r="I95">
        <v>1.4</v>
      </c>
      <c r="J95" s="7">
        <v>406.95882688602404</v>
      </c>
      <c r="K95" s="7">
        <v>736.72675370463446</v>
      </c>
      <c r="L95" s="7">
        <v>294.28687105742</v>
      </c>
      <c r="N95" s="7">
        <v>7.7629999999999999</v>
      </c>
      <c r="O95" s="7">
        <v>6.7880000000000003</v>
      </c>
      <c r="P95" s="7">
        <v>8.6340000000000003</v>
      </c>
    </row>
    <row r="96" spans="1:16">
      <c r="A96" s="6">
        <v>45933</v>
      </c>
      <c r="B96" s="4" t="str">
        <f>Config!$B$3</f>
        <v>07:00</v>
      </c>
      <c r="C96" s="4" t="str">
        <f>Config!$B$2</f>
        <v>Mae Na Rua</v>
      </c>
      <c r="D96" s="7">
        <v>488.86599999999999</v>
      </c>
      <c r="E96" s="7">
        <v>1425155.0669104999</v>
      </c>
      <c r="F96" s="7">
        <v>13143.437283754383</v>
      </c>
      <c r="G96" s="7">
        <v>15019.199999999999</v>
      </c>
      <c r="H96" s="7">
        <v>0</v>
      </c>
      <c r="I96">
        <v>0</v>
      </c>
      <c r="J96" s="7">
        <v>0</v>
      </c>
      <c r="K96" s="7">
        <v>736.53018922274566</v>
      </c>
      <c r="L96" s="7">
        <v>294.20003843181001</v>
      </c>
      <c r="N96" s="7">
        <v>6.7880000000000003</v>
      </c>
      <c r="O96" s="7">
        <v>8.6340000000000003</v>
      </c>
      <c r="P96" s="7">
        <v>2.278</v>
      </c>
    </row>
    <row r="97" spans="1:16">
      <c r="A97" s="6">
        <v>45934</v>
      </c>
      <c r="B97" s="4" t="str">
        <f>Config!$B$3</f>
        <v>07:00</v>
      </c>
      <c r="C97" s="4" t="str">
        <f>Config!$B$2</f>
        <v>Mae Na Rua</v>
      </c>
      <c r="D97" s="7">
        <v>488.84800000000001</v>
      </c>
      <c r="E97" s="7">
        <v>1419344.4679610999</v>
      </c>
      <c r="F97" s="7">
        <v>9657.860847183736</v>
      </c>
      <c r="G97" s="7">
        <v>15019.199999999999</v>
      </c>
      <c r="H97" s="7">
        <v>0</v>
      </c>
      <c r="I97">
        <v>2</v>
      </c>
      <c r="J97" s="7">
        <v>580.90547771240006</v>
      </c>
      <c r="K97" s="7">
        <v>736.13841246625555</v>
      </c>
      <c r="L97" s="7">
        <v>294.02686182988998</v>
      </c>
      <c r="N97" s="7">
        <v>8.6340000000000003</v>
      </c>
      <c r="O97" s="7">
        <v>2.278</v>
      </c>
      <c r="P97" s="7">
        <v>1.2110000000000001</v>
      </c>
    </row>
    <row r="98" spans="1:16">
      <c r="A98" s="6">
        <v>45935</v>
      </c>
      <c r="B98" s="4" t="str">
        <f>Config!$B$3</f>
        <v>07:00</v>
      </c>
      <c r="C98" s="4" t="str">
        <f>Config!$B$2</f>
        <v>Mae Na Rua</v>
      </c>
      <c r="D98" s="7">
        <v>488.82098000000002</v>
      </c>
      <c r="E98" s="7">
        <v>1413536.9222839</v>
      </c>
      <c r="F98" s="7">
        <v>9370.3604702878874</v>
      </c>
      <c r="G98" s="7">
        <v>15019.199999999999</v>
      </c>
      <c r="H98" s="7">
        <v>0</v>
      </c>
      <c r="I98">
        <v>3</v>
      </c>
      <c r="J98" s="7">
        <v>870.89646377054999</v>
      </c>
      <c r="K98" s="7">
        <v>735.74831575832866</v>
      </c>
      <c r="L98" s="7">
        <v>293.85429550006995</v>
      </c>
      <c r="N98" s="7">
        <v>2.278</v>
      </c>
      <c r="O98" s="7">
        <v>1.2110000000000001</v>
      </c>
      <c r="P98" s="7">
        <v>7.19</v>
      </c>
    </row>
    <row r="99" spans="1:16">
      <c r="A99" s="6">
        <v>45936</v>
      </c>
      <c r="B99" s="4" t="str">
        <f>Config!$B$3</f>
        <v>07:00</v>
      </c>
      <c r="C99" s="4" t="str">
        <f>Config!$B$2</f>
        <v>Mae Na Rua</v>
      </c>
      <c r="D99" s="7">
        <v>488.78899999999999</v>
      </c>
      <c r="E99" s="7">
        <v>1401930.9575960001</v>
      </c>
      <c r="F99" s="7">
        <v>4441.7191053469041</v>
      </c>
      <c r="G99" s="7">
        <v>15019.199999999999</v>
      </c>
      <c r="H99" s="7">
        <v>0</v>
      </c>
      <c r="I99">
        <v>0</v>
      </c>
      <c r="J99" s="7">
        <v>0</v>
      </c>
      <c r="K99" s="7">
        <v>734.97288772887441</v>
      </c>
      <c r="L99" s="7">
        <v>293.51090551794999</v>
      </c>
      <c r="N99" s="7">
        <v>1.2110000000000001</v>
      </c>
      <c r="O99" s="7">
        <v>7.19</v>
      </c>
      <c r="P99" s="7">
        <v>0.81899999999999995</v>
      </c>
    </row>
    <row r="100" spans="1:16">
      <c r="A100" s="6">
        <v>45937</v>
      </c>
      <c r="B100" s="4" t="str">
        <f>Config!$B$3</f>
        <v>07:00</v>
      </c>
      <c r="C100" s="4" t="str">
        <f>Config!$B$2</f>
        <v>Mae Na Rua</v>
      </c>
      <c r="D100" s="7">
        <v>488.745</v>
      </c>
      <c r="E100" s="7">
        <v>1390337.3398593001</v>
      </c>
      <c r="F100" s="7">
        <v>4452.9563767526815</v>
      </c>
      <c r="G100" s="7">
        <v>15019.199999999999</v>
      </c>
      <c r="H100" s="7">
        <v>0</v>
      </c>
      <c r="I100">
        <v>0</v>
      </c>
      <c r="J100" s="7">
        <v>0</v>
      </c>
      <c r="K100" s="7">
        <v>734.20413813929338</v>
      </c>
      <c r="L100" s="7">
        <v>293.16997531338001</v>
      </c>
      <c r="N100" s="7">
        <v>7.19</v>
      </c>
      <c r="O100" s="7">
        <v>0.81899999999999995</v>
      </c>
      <c r="P100" s="7">
        <v>2.3860000000000001</v>
      </c>
    </row>
    <row r="101" spans="1:16">
      <c r="A101" s="6">
        <v>45938</v>
      </c>
      <c r="B101" s="4" t="str">
        <f>Config!$B$3</f>
        <v>07:00</v>
      </c>
      <c r="C101" s="4" t="str">
        <f>Config!$B$2</f>
        <v>Mae Na Rua</v>
      </c>
      <c r="D101" s="7">
        <v>488.75198</v>
      </c>
      <c r="E101" s="7">
        <v>1393234.6316031001</v>
      </c>
      <c r="F101" s="7">
        <v>17843.03491368231</v>
      </c>
      <c r="G101" s="7">
        <v>15019.199999999999</v>
      </c>
      <c r="H101" s="7">
        <v>0</v>
      </c>
      <c r="I101">
        <v>3.8</v>
      </c>
      <c r="J101" s="7">
        <v>1101.107736827486</v>
      </c>
      <c r="K101" s="7">
        <v>734.3958630480638</v>
      </c>
      <c r="L101" s="7">
        <v>293.25504366169002</v>
      </c>
      <c r="N101" s="7">
        <v>0.81899999999999995</v>
      </c>
      <c r="O101" s="7">
        <v>2.3860000000000001</v>
      </c>
      <c r="P101" s="7">
        <v>1.1839999999999999</v>
      </c>
    </row>
    <row r="102" spans="1:16">
      <c r="A102" s="6">
        <v>45939</v>
      </c>
      <c r="B102" s="4" t="str">
        <f>Config!$B$3</f>
        <v>07:00</v>
      </c>
      <c r="C102" s="4" t="str">
        <f>Config!$B$2</f>
        <v>Mae Na Rua</v>
      </c>
      <c r="D102" s="7">
        <v>488.91</v>
      </c>
      <c r="E102" s="7">
        <v>1439695.2819463999</v>
      </c>
      <c r="F102" s="7">
        <v>62279.205948142459</v>
      </c>
      <c r="G102" s="7">
        <v>15019.199999999999</v>
      </c>
      <c r="H102" s="7">
        <v>0</v>
      </c>
      <c r="I102">
        <v>0.8</v>
      </c>
      <c r="J102" s="7">
        <v>232.79743891155201</v>
      </c>
      <c r="K102" s="7">
        <v>737.51730566140384</v>
      </c>
      <c r="L102" s="7">
        <v>294.63573809277</v>
      </c>
      <c r="N102" s="7">
        <v>2.3860000000000001</v>
      </c>
      <c r="O102" s="7">
        <v>1.1839999999999999</v>
      </c>
      <c r="P102" s="7">
        <v>11.846</v>
      </c>
    </row>
    <row r="103" spans="1:16">
      <c r="A103" s="6">
        <v>45940</v>
      </c>
      <c r="B103" s="4" t="str">
        <f>Config!$B$3</f>
        <v>07:00</v>
      </c>
      <c r="C103" s="4" t="str">
        <f>Config!$B$2</f>
        <v>Mae Na Rua</v>
      </c>
      <c r="D103" s="7">
        <v>488.94299999999998</v>
      </c>
      <c r="E103" s="7">
        <v>1448428.8738585</v>
      </c>
      <c r="F103" s="7">
        <v>24086.847755427094</v>
      </c>
      <c r="G103" s="7">
        <v>15019.199999999999</v>
      </c>
      <c r="H103" s="7">
        <v>0</v>
      </c>
      <c r="I103">
        <v>2.4</v>
      </c>
      <c r="J103" s="7">
        <v>698.95843247205596</v>
      </c>
      <c r="K103" s="7">
        <v>738.1151360546304</v>
      </c>
      <c r="L103" s="7">
        <v>294.89913974443004</v>
      </c>
      <c r="N103" s="7">
        <v>1.1839999999999999</v>
      </c>
      <c r="O103" s="7">
        <v>11.846</v>
      </c>
      <c r="P103" s="7">
        <v>5.1669999999999998</v>
      </c>
    </row>
    <row r="104" spans="1:16">
      <c r="A104" s="6">
        <v>45941</v>
      </c>
      <c r="B104" s="4" t="str">
        <f>Config!$B$3</f>
        <v>07:00</v>
      </c>
      <c r="C104" s="4" t="str">
        <f>Config!$B$2</f>
        <v>Mae Na Rua</v>
      </c>
      <c r="D104" s="7">
        <v>488.93599999999998</v>
      </c>
      <c r="E104" s="7">
        <v>1445516.8740723</v>
      </c>
      <c r="F104" s="7">
        <v>13139.926765396176</v>
      </c>
      <c r="G104" s="7">
        <v>15019.199999999999</v>
      </c>
      <c r="H104" s="7">
        <v>0</v>
      </c>
      <c r="I104">
        <v>0</v>
      </c>
      <c r="J104" s="7">
        <v>0</v>
      </c>
      <c r="K104" s="7">
        <v>737.91538190962888</v>
      </c>
      <c r="L104" s="7">
        <v>294.81116968654999</v>
      </c>
      <c r="N104" s="7">
        <v>11.846</v>
      </c>
      <c r="O104" s="7">
        <v>5.1669999999999998</v>
      </c>
      <c r="P104" s="7">
        <v>0.60699999999999998</v>
      </c>
    </row>
    <row r="105" spans="1:16">
      <c r="A105" s="6">
        <v>45942</v>
      </c>
      <c r="B105" s="4" t="str">
        <f>Config!$B$3</f>
        <v>07:00</v>
      </c>
      <c r="C105" s="4" t="str">
        <f>Config!$B$2</f>
        <v>Mae Na Rua</v>
      </c>
      <c r="D105" s="7">
        <v>488.91699999999997</v>
      </c>
      <c r="E105" s="7">
        <v>1439695.2819463999</v>
      </c>
      <c r="F105" s="7">
        <v>10229.760917854082</v>
      </c>
      <c r="G105" s="7">
        <v>15019.199999999999</v>
      </c>
      <c r="H105" s="7">
        <v>0</v>
      </c>
      <c r="I105">
        <v>0</v>
      </c>
      <c r="J105" s="7">
        <v>0</v>
      </c>
      <c r="K105" s="7">
        <v>737.51730566140384</v>
      </c>
      <c r="L105" s="7">
        <v>294.63573809277</v>
      </c>
      <c r="N105" s="7">
        <v>5.1669999999999998</v>
      </c>
      <c r="O105" s="7">
        <v>0.60699999999999998</v>
      </c>
      <c r="P105" s="7">
        <v>0.8</v>
      </c>
    </row>
    <row r="106" spans="1:16">
      <c r="A106" s="6">
        <v>45943</v>
      </c>
      <c r="B106" s="4" t="str">
        <f>Config!$B$3</f>
        <v>07:00</v>
      </c>
      <c r="C106" s="4" t="str">
        <f>Config!$B$2</f>
        <v>Mae Na Rua</v>
      </c>
      <c r="D106" s="7">
        <v>488.89100000000002</v>
      </c>
      <c r="E106" s="7">
        <v>1433876.8830075001</v>
      </c>
      <c r="F106" s="7">
        <v>10232.383184925226</v>
      </c>
      <c r="G106" s="7">
        <v>15019.199999999999</v>
      </c>
      <c r="H106" s="7">
        <v>0</v>
      </c>
      <c r="I106">
        <v>0</v>
      </c>
      <c r="J106" s="7">
        <v>0</v>
      </c>
      <c r="K106" s="7">
        <v>737.12113808387619</v>
      </c>
      <c r="L106" s="7">
        <v>294.46098574120998</v>
      </c>
      <c r="N106" s="7">
        <v>0.60699999999999998</v>
      </c>
      <c r="O106" s="7">
        <v>0.8</v>
      </c>
      <c r="P106" s="7">
        <v>6.9999999999999999E-4</v>
      </c>
    </row>
    <row r="107" spans="1:16">
      <c r="A107" s="6">
        <v>45944</v>
      </c>
      <c r="B107" s="4" t="str">
        <f>Config!$B$3</f>
        <v>07:00</v>
      </c>
      <c r="C107" s="4" t="str">
        <f>Config!$B$2</f>
        <v>Mae Na Rua</v>
      </c>
      <c r="D107" s="7">
        <v>488.87200000000001</v>
      </c>
      <c r="E107" s="7">
        <v>1428061.5598544001</v>
      </c>
      <c r="F107" s="7">
        <v>9595.3837436983231</v>
      </c>
      <c r="G107" s="7">
        <v>15019.199999999999</v>
      </c>
      <c r="H107" s="7">
        <v>0</v>
      </c>
      <c r="I107">
        <v>2.2000000000000002</v>
      </c>
      <c r="J107" s="7">
        <v>639.50672796375204</v>
      </c>
      <c r="K107" s="7">
        <v>736.72675370463446</v>
      </c>
      <c r="L107" s="7">
        <v>294.28687105742</v>
      </c>
      <c r="N107" s="7">
        <v>0.8</v>
      </c>
      <c r="O107" s="7">
        <v>6.9999999999999999E-4</v>
      </c>
      <c r="P107" s="7">
        <v>0</v>
      </c>
    </row>
    <row r="108" spans="1:16">
      <c r="A108" s="6">
        <v>45945</v>
      </c>
      <c r="B108" s="4" t="str">
        <f>Config!$B$3</f>
        <v>07:00</v>
      </c>
      <c r="C108" s="4" t="str">
        <f>Config!$B$2</f>
        <v>Mae Na Rua</v>
      </c>
      <c r="D108" s="7">
        <v>488.96100000000001</v>
      </c>
      <c r="E108" s="7">
        <v>1454255.0691730001</v>
      </c>
      <c r="F108" s="7">
        <v>41838.353770982081</v>
      </c>
      <c r="G108" s="7">
        <v>15019.199999999999</v>
      </c>
      <c r="H108" s="7">
        <v>0</v>
      </c>
      <c r="I108">
        <v>1.4</v>
      </c>
      <c r="J108" s="7">
        <v>407.947240383088</v>
      </c>
      <c r="K108" s="7">
        <v>738.51610097738376</v>
      </c>
      <c r="L108" s="7">
        <v>295.07559178784004</v>
      </c>
      <c r="N108" s="7">
        <v>6.9999999999999999E-4</v>
      </c>
      <c r="O108" s="7">
        <v>0</v>
      </c>
      <c r="P108" s="7">
        <v>0</v>
      </c>
    </row>
    <row r="109" spans="1:16">
      <c r="A109" s="6">
        <v>45946</v>
      </c>
      <c r="B109" s="4" t="str">
        <f>Config!$B$3</f>
        <v>07:00</v>
      </c>
      <c r="C109" s="4" t="str">
        <f>Config!$B$2</f>
        <v>Mae Na Rua</v>
      </c>
      <c r="D109" s="7">
        <v>489.07</v>
      </c>
      <c r="E109" s="7">
        <v>1486357.15604</v>
      </c>
      <c r="F109" s="7">
        <v>42136.963545253326</v>
      </c>
      <c r="G109" s="7">
        <v>15019.199999999999</v>
      </c>
      <c r="H109" s="7">
        <v>0</v>
      </c>
      <c r="I109">
        <v>20.6</v>
      </c>
      <c r="J109" s="7">
        <v>6021.195069676498</v>
      </c>
      <c r="K109" s="7">
        <v>740.7974541721627</v>
      </c>
      <c r="L109" s="7">
        <v>296.07429375768999</v>
      </c>
      <c r="N109" s="7">
        <v>0</v>
      </c>
      <c r="O109" s="7">
        <v>0</v>
      </c>
      <c r="P109" s="7">
        <v>2.4E-2</v>
      </c>
    </row>
    <row r="110" spans="1:16">
      <c r="A110" s="6">
        <v>45947</v>
      </c>
      <c r="B110" s="4" t="str">
        <f>Config!$B$3</f>
        <v>07:00</v>
      </c>
      <c r="C110" s="4" t="str">
        <f>Config!$B$2</f>
        <v>Mae Na Rua</v>
      </c>
      <c r="D110" s="7">
        <v>489.28500000000003</v>
      </c>
      <c r="E110" s="7">
        <v>1547983.8767252001</v>
      </c>
      <c r="F110" s="7">
        <v>73149.231376409327</v>
      </c>
      <c r="G110" s="7">
        <v>15019.199999999999</v>
      </c>
      <c r="H110" s="7">
        <v>0</v>
      </c>
      <c r="I110">
        <v>15.4</v>
      </c>
      <c r="J110" s="7">
        <v>4543.4063799602945</v>
      </c>
      <c r="K110" s="7">
        <v>747.73010569903715</v>
      </c>
      <c r="L110" s="7">
        <v>298.98696547051003</v>
      </c>
      <c r="N110" s="7">
        <v>0</v>
      </c>
      <c r="O110" s="7">
        <v>2.4E-2</v>
      </c>
      <c r="P110" s="7">
        <v>0</v>
      </c>
    </row>
    <row r="111" spans="1:16">
      <c r="A111" s="6">
        <v>45948</v>
      </c>
      <c r="B111" s="4" t="str">
        <f>Config!$B$3</f>
        <v>07:00</v>
      </c>
      <c r="C111" s="4" t="str">
        <f>Config!$B$2</f>
        <v>Mae Na Rua</v>
      </c>
      <c r="D111" s="7">
        <v>489.42399999999998</v>
      </c>
      <c r="E111" s="7">
        <v>1589479.7778056001</v>
      </c>
      <c r="F111" s="7">
        <v>57575.848315913776</v>
      </c>
      <c r="G111" s="7">
        <v>15019.199999999999</v>
      </c>
      <c r="H111" s="7">
        <v>0</v>
      </c>
      <c r="I111">
        <v>0</v>
      </c>
      <c r="J111" s="7">
        <v>0</v>
      </c>
      <c r="K111" s="7">
        <v>757.71196820697878</v>
      </c>
      <c r="L111" s="7">
        <v>303.03526730682</v>
      </c>
      <c r="N111" s="7">
        <v>2.4E-2</v>
      </c>
      <c r="O111" s="7">
        <v>0</v>
      </c>
      <c r="P111" s="7">
        <v>0</v>
      </c>
    </row>
    <row r="112" spans="1:16">
      <c r="A112" s="6">
        <v>45949</v>
      </c>
      <c r="B112" s="4" t="str">
        <f>Config!$B$3</f>
        <v>07:00</v>
      </c>
      <c r="C112" s="4" t="str">
        <f>Config!$B$2</f>
        <v>Mae Na Rua</v>
      </c>
      <c r="D112" s="7">
        <v>489.52798000000001</v>
      </c>
      <c r="E112" s="7">
        <v>1619451.3170382001</v>
      </c>
      <c r="F112" s="7">
        <v>59597.44767041102</v>
      </c>
      <c r="G112" s="7">
        <v>15019.199999999999</v>
      </c>
      <c r="H112" s="7">
        <v>13540.567419999999</v>
      </c>
      <c r="I112">
        <v>0</v>
      </c>
      <c r="J112" s="7">
        <v>0</v>
      </c>
      <c r="K112" s="7">
        <v>761.52343922974808</v>
      </c>
      <c r="L112" s="7">
        <v>304.61757858125998</v>
      </c>
      <c r="N112" s="7">
        <v>0</v>
      </c>
      <c r="O112" s="7">
        <v>0</v>
      </c>
      <c r="P112" s="7">
        <v>0</v>
      </c>
    </row>
    <row r="113" spans="1:16">
      <c r="A113" s="6">
        <v>45950</v>
      </c>
      <c r="B113" s="4" t="str">
        <f>Config!$B$3</f>
        <v>07:00</v>
      </c>
      <c r="C113" s="4" t="str">
        <f>Config!$B$2</f>
        <v>Mae Na Rua</v>
      </c>
      <c r="D113" s="7">
        <v>489.61799999999999</v>
      </c>
      <c r="E113" s="7">
        <v>1646562.4785364</v>
      </c>
      <c r="F113" s="7">
        <v>160128.78104252563</v>
      </c>
      <c r="G113" s="7">
        <v>15019.199999999999</v>
      </c>
      <c r="H113" s="7">
        <v>118498.07309999999</v>
      </c>
      <c r="I113">
        <v>5.2</v>
      </c>
      <c r="J113" s="7">
        <v>1573.138934659708</v>
      </c>
      <c r="K113" s="7">
        <v>766.73932889791536</v>
      </c>
      <c r="L113" s="7">
        <v>306.74605008754003</v>
      </c>
      <c r="N113" s="7">
        <v>0</v>
      </c>
      <c r="O113" s="7">
        <v>0</v>
      </c>
      <c r="P113" s="7">
        <v>0</v>
      </c>
    </row>
    <row r="114" spans="1:16">
      <c r="A114" s="6">
        <v>45951</v>
      </c>
      <c r="B114" s="4" t="str">
        <f>Config!$B$3</f>
        <v>07:00</v>
      </c>
      <c r="C114" s="4" t="str">
        <f>Config!$B$2</f>
        <v>Mae Na Rua</v>
      </c>
      <c r="D114" s="7">
        <v>489.65697999999998</v>
      </c>
      <c r="E114" s="7">
        <v>1658675.7961466999</v>
      </c>
      <c r="F114" s="7">
        <v>224197.73004406077</v>
      </c>
      <c r="G114" s="7">
        <v>15019.199999999999</v>
      </c>
      <c r="H114" s="7">
        <v>195989.51560000001</v>
      </c>
      <c r="I114">
        <v>0</v>
      </c>
      <c r="J114" s="7">
        <v>0</v>
      </c>
      <c r="K114" s="7">
        <v>768.30072513628579</v>
      </c>
      <c r="L114" s="7">
        <v>307.39610862457005</v>
      </c>
      <c r="N114" s="7">
        <v>0</v>
      </c>
      <c r="O114" s="7">
        <v>0</v>
      </c>
      <c r="P114" s="7">
        <v>0</v>
      </c>
    </row>
    <row r="115" spans="1:16">
      <c r="A115" s="6">
        <v>45952</v>
      </c>
      <c r="B115" s="4" t="str">
        <f>Config!$B$3</f>
        <v>07:00</v>
      </c>
      <c r="C115" s="4" t="str">
        <f>Config!$B$2</f>
        <v>Mae Na Rua</v>
      </c>
      <c r="D115" s="7">
        <v>489.67099999999999</v>
      </c>
      <c r="E115" s="7">
        <v>1664741.6725647999</v>
      </c>
      <c r="F115" s="7">
        <v>225138.18840221464</v>
      </c>
      <c r="G115" s="7">
        <v>15019.199999999999</v>
      </c>
      <c r="H115" s="7">
        <v>202976.33369999999</v>
      </c>
      <c r="I115">
        <v>0</v>
      </c>
      <c r="J115" s="7">
        <v>0</v>
      </c>
      <c r="K115" s="7">
        <v>769.06376517513922</v>
      </c>
      <c r="L115" s="7">
        <v>307.71451893954998</v>
      </c>
      <c r="N115" s="7">
        <v>0</v>
      </c>
      <c r="O115" s="7">
        <v>0</v>
      </c>
      <c r="P115" s="7">
        <v>0</v>
      </c>
    </row>
    <row r="116" spans="1:16">
      <c r="A116" s="6">
        <v>45953</v>
      </c>
      <c r="B116" s="4" t="str">
        <f>Config!$B$3</f>
        <v>07:00</v>
      </c>
      <c r="C116" s="4" t="str">
        <f>Config!$B$2</f>
        <v>Mae Na Rua</v>
      </c>
      <c r="D116" s="7">
        <v>489.65697999999998</v>
      </c>
      <c r="E116" s="7">
        <v>1658675.7961466999</v>
      </c>
      <c r="F116" s="7">
        <v>173020.97051566088</v>
      </c>
      <c r="G116" s="7">
        <v>15019.199999999999</v>
      </c>
      <c r="H116" s="7">
        <v>162991.95009999999</v>
      </c>
      <c r="I116">
        <v>0</v>
      </c>
      <c r="J116" s="7">
        <v>0</v>
      </c>
      <c r="K116" s="7">
        <v>768.30072513628579</v>
      </c>
      <c r="L116" s="7">
        <v>307.39610862457005</v>
      </c>
      <c r="N116" s="7">
        <v>0</v>
      </c>
      <c r="O116" s="7">
        <v>0</v>
      </c>
      <c r="P116" s="7">
        <v>3.5000000000000003E-2</v>
      </c>
    </row>
    <row r="117" spans="1:16">
      <c r="A117" s="6">
        <v>45954</v>
      </c>
      <c r="B117" s="4" t="str">
        <f>Config!$B$3</f>
        <v>07:00</v>
      </c>
      <c r="C117" s="4" t="str">
        <f>Config!$B$2</f>
        <v>Mae Na Rua</v>
      </c>
      <c r="D117" s="7">
        <v>489.63799999999998</v>
      </c>
      <c r="E117" s="7">
        <v>1652616.0060848999</v>
      </c>
      <c r="F117" s="7">
        <v>130773.2730821234</v>
      </c>
      <c r="G117" s="7">
        <v>15019.199999999999</v>
      </c>
      <c r="H117" s="7">
        <v>120739.24830000001</v>
      </c>
      <c r="I117">
        <v>0</v>
      </c>
      <c r="J117" s="7">
        <v>0</v>
      </c>
      <c r="K117" s="7">
        <v>767.53717343605513</v>
      </c>
      <c r="L117" s="7">
        <v>307.07767048739004</v>
      </c>
      <c r="N117" s="7">
        <v>0</v>
      </c>
      <c r="O117" s="7">
        <v>3.5000000000000003E-2</v>
      </c>
      <c r="P117" s="7">
        <v>1.1659999999999999</v>
      </c>
    </row>
    <row r="118" spans="1:16">
      <c r="A118" s="6">
        <v>45955</v>
      </c>
      <c r="B118" s="4" t="str">
        <f>Config!$B$3</f>
        <v>07:00</v>
      </c>
      <c r="C118" s="4" t="str">
        <f>Config!$B$2</f>
        <v>Mae Na Rua</v>
      </c>
      <c r="D118" s="7">
        <v>489.60599999999999</v>
      </c>
      <c r="E118" s="7">
        <v>1643538.2164867001</v>
      </c>
      <c r="F118" s="7">
        <v>77792.348775952967</v>
      </c>
      <c r="G118" s="7">
        <v>15019.199999999999</v>
      </c>
      <c r="H118" s="7">
        <v>70780.242159999994</v>
      </c>
      <c r="I118">
        <v>0</v>
      </c>
      <c r="J118" s="7">
        <v>0</v>
      </c>
      <c r="K118" s="7">
        <v>764.74515365718787</v>
      </c>
      <c r="L118" s="7">
        <v>305.95106049556</v>
      </c>
      <c r="N118" s="7">
        <v>3.5000000000000003E-2</v>
      </c>
      <c r="O118" s="7">
        <v>1.1659999999999999</v>
      </c>
      <c r="P118" s="7">
        <v>0.56899999999999995</v>
      </c>
    </row>
    <row r="119" spans="1:16">
      <c r="A119" s="6">
        <v>45956</v>
      </c>
      <c r="B119" s="4" t="str">
        <f>Config!$B$3</f>
        <v>07:00</v>
      </c>
      <c r="C119" s="4" t="str">
        <f>Config!$B$2</f>
        <v>Mae Na Rua</v>
      </c>
      <c r="D119" s="7">
        <v>489.58699999999999</v>
      </c>
      <c r="E119" s="7">
        <v>1637507.2197397</v>
      </c>
      <c r="F119" s="7">
        <v>44784.932004664217</v>
      </c>
      <c r="G119" s="7">
        <v>15019.199999999999</v>
      </c>
      <c r="H119" s="7">
        <v>34727.267890000003</v>
      </c>
      <c r="I119">
        <v>0</v>
      </c>
      <c r="J119" s="7">
        <v>0</v>
      </c>
      <c r="K119" s="7">
        <v>763.87056508697844</v>
      </c>
      <c r="L119" s="7">
        <v>305.59029657738</v>
      </c>
      <c r="N119" s="7">
        <v>1.1659999999999999</v>
      </c>
      <c r="O119" s="7">
        <v>0.56899999999999995</v>
      </c>
      <c r="P119" s="7">
        <v>4.3999999999999997E-2</v>
      </c>
    </row>
    <row r="120" spans="1:16">
      <c r="A120" s="6">
        <v>45957</v>
      </c>
      <c r="B120" s="4" t="str">
        <f>Config!$B$3</f>
        <v>07:00</v>
      </c>
      <c r="C120" s="4" t="str">
        <f>Config!$B$2</f>
        <v>Mae Na Rua</v>
      </c>
      <c r="D120" s="7">
        <v>489.56099999999998</v>
      </c>
      <c r="E120" s="7">
        <v>1631482.3951735001</v>
      </c>
      <c r="F120" s="7">
        <v>18567.957467475244</v>
      </c>
      <c r="G120" s="7">
        <v>15019.199999999999</v>
      </c>
      <c r="H120" s="7">
        <v>8505.2347019999997</v>
      </c>
      <c r="I120">
        <v>0</v>
      </c>
      <c r="J120" s="7">
        <v>0</v>
      </c>
      <c r="K120" s="7">
        <v>763.08324037224406</v>
      </c>
      <c r="L120" s="7">
        <v>305.26409130291</v>
      </c>
      <c r="N120" s="7">
        <v>0.56899999999999995</v>
      </c>
      <c r="O120" s="7">
        <v>4.3999999999999997E-2</v>
      </c>
      <c r="P120" s="7">
        <v>8.9999999999999993E-3</v>
      </c>
    </row>
    <row r="121" spans="1:16">
      <c r="A121" s="6">
        <v>45958</v>
      </c>
      <c r="B121" s="4" t="str">
        <f>Config!$B$3</f>
        <v>07:00</v>
      </c>
      <c r="C121" s="4" t="str">
        <f>Config!$B$2</f>
        <v>Mae Na Rua</v>
      </c>
      <c r="D121" s="7">
        <v>489.54199999999997</v>
      </c>
      <c r="E121" s="7">
        <v>1625463.7590197001</v>
      </c>
      <c r="F121" s="7">
        <v>10123.898591554334</v>
      </c>
      <c r="G121" s="7">
        <v>15019.199999999999</v>
      </c>
      <c r="H121" s="7">
        <v>56.094737610000003</v>
      </c>
      <c r="I121">
        <v>0</v>
      </c>
      <c r="J121" s="7">
        <v>0</v>
      </c>
      <c r="K121" s="7">
        <v>762.30034219287336</v>
      </c>
      <c r="L121" s="7">
        <v>304.93966555141003</v>
      </c>
      <c r="N121" s="7">
        <v>4.3999999999999997E-2</v>
      </c>
      <c r="O121" s="7">
        <v>8.9999999999999993E-3</v>
      </c>
      <c r="P121" s="7">
        <v>0.21099999999999999</v>
      </c>
    </row>
    <row r="122" spans="1:16">
      <c r="A122" s="6">
        <v>45959</v>
      </c>
      <c r="B122" s="4" t="str">
        <f>Config!$B$3</f>
        <v>07:00</v>
      </c>
      <c r="C122" s="4" t="str">
        <f>Config!$B$2</f>
        <v>Mae Na Rua</v>
      </c>
      <c r="D122" s="7">
        <v>489.52100000000002</v>
      </c>
      <c r="E122" s="7">
        <v>1619451.3170382001</v>
      </c>
      <c r="F122" s="7">
        <v>10072.899036310992</v>
      </c>
      <c r="G122" s="7">
        <v>15019.199999999999</v>
      </c>
      <c r="H122" s="7">
        <v>0</v>
      </c>
      <c r="I122">
        <v>0</v>
      </c>
      <c r="J122" s="7">
        <v>0</v>
      </c>
      <c r="K122" s="7">
        <v>761.52343922974808</v>
      </c>
      <c r="L122" s="7">
        <v>304.61757858125998</v>
      </c>
      <c r="N122" s="7">
        <v>8.9999999999999993E-3</v>
      </c>
      <c r="O122" s="7">
        <v>0.21099999999999999</v>
      </c>
      <c r="P122" s="7">
        <v>0.84799999999999998</v>
      </c>
    </row>
    <row r="123" spans="1:16">
      <c r="A123" s="6">
        <v>45960</v>
      </c>
      <c r="B123" s="4" t="str">
        <f>Config!$B$3</f>
        <v>07:00</v>
      </c>
      <c r="C123" s="4" t="str">
        <f>Config!$B$2</f>
        <v>Mae Na Rua</v>
      </c>
      <c r="D123" s="7">
        <v>489.50198</v>
      </c>
      <c r="E123" s="7">
        <v>1613444.9319478001</v>
      </c>
      <c r="F123" s="7">
        <v>10077.865167052254</v>
      </c>
      <c r="G123" s="7">
        <v>15019.199999999999</v>
      </c>
      <c r="H123" s="7">
        <v>0</v>
      </c>
      <c r="I123">
        <v>0</v>
      </c>
      <c r="J123" s="7">
        <v>0</v>
      </c>
      <c r="K123" s="7">
        <v>760.75247371270495</v>
      </c>
      <c r="L123" s="7">
        <v>304.29778373954997</v>
      </c>
      <c r="N123" s="7">
        <v>0.21099999999999999</v>
      </c>
      <c r="O123" s="7">
        <v>0.84799999999999998</v>
      </c>
      <c r="P123" s="7">
        <v>0.105</v>
      </c>
    </row>
    <row r="124" spans="1:16">
      <c r="A124" s="6">
        <v>45961</v>
      </c>
      <c r="B124" s="4" t="str">
        <f>Config!$B$3</f>
        <v>07:00</v>
      </c>
      <c r="C124" s="4" t="str">
        <f>Config!$B$2</f>
        <v>Mae Na Rua</v>
      </c>
      <c r="D124" s="7">
        <v>489.483</v>
      </c>
      <c r="E124" s="7">
        <v>1607444.5930314001</v>
      </c>
      <c r="F124" s="7">
        <v>10082.828486909842</v>
      </c>
      <c r="G124" s="7">
        <v>15019.199999999999</v>
      </c>
      <c r="H124" s="7">
        <v>0</v>
      </c>
      <c r="I124">
        <v>0</v>
      </c>
      <c r="J124" s="7">
        <v>0</v>
      </c>
      <c r="K124" s="7">
        <v>759.98721530558578</v>
      </c>
      <c r="L124" s="7">
        <v>303.98018800424001</v>
      </c>
      <c r="N124" s="7">
        <v>0.84799999999999998</v>
      </c>
      <c r="O124" s="7">
        <v>0.105</v>
      </c>
      <c r="P124" s="7">
        <v>5.0000000000000001E-4</v>
      </c>
    </row>
    <row r="125" spans="1:16">
      <c r="A125" s="6">
        <v>45962</v>
      </c>
      <c r="B125" s="4" t="str">
        <f>Config!$B$3</f>
        <v>07:00</v>
      </c>
      <c r="C125" s="4" t="str">
        <f>Config!$B$2</f>
        <v>Mae Na Rua</v>
      </c>
      <c r="D125" s="8">
        <v>489.483</v>
      </c>
      <c r="E125" s="7">
        <v>1607444.5930314001</v>
      </c>
      <c r="F125" s="7">
        <v>8473.8119836439928</v>
      </c>
      <c r="G125" s="7">
        <v>15019.199999999999</v>
      </c>
      <c r="H125" s="7">
        <v>0</v>
      </c>
      <c r="I125">
        <v>25.2</v>
      </c>
      <c r="J125" s="7">
        <v>7556.5371728531163</v>
      </c>
      <c r="K125" s="7">
        <v>707.16593709283745</v>
      </c>
      <c r="L125" s="7">
        <v>303.98018800424001</v>
      </c>
      <c r="N125" s="7">
        <v>0.105</v>
      </c>
      <c r="O125" s="7">
        <v>5.0000000000000001E-4</v>
      </c>
      <c r="P125" s="7">
        <v>0</v>
      </c>
    </row>
    <row r="126" spans="1:16">
      <c r="A126" s="6">
        <v>45963</v>
      </c>
      <c r="B126" s="4" t="str">
        <f>Config!$B$3</f>
        <v>07:00</v>
      </c>
      <c r="C126" s="4" t="str">
        <f>Config!$B$2</f>
        <v>Mae Na Rua</v>
      </c>
      <c r="D126" s="8">
        <v>489.483</v>
      </c>
      <c r="E126" s="7">
        <v>1607444.5930314001</v>
      </c>
      <c r="F126" s="7">
        <v>13211.637814588374</v>
      </c>
      <c r="G126" s="7">
        <v>15019.199999999999</v>
      </c>
      <c r="H126" s="7">
        <v>0</v>
      </c>
      <c r="I126">
        <v>9.4</v>
      </c>
      <c r="J126" s="7">
        <v>2818.7083105087022</v>
      </c>
      <c r="K126" s="7">
        <v>707.16593709283745</v>
      </c>
      <c r="L126" s="7">
        <v>303.98018800424001</v>
      </c>
      <c r="N126" s="7">
        <v>5.0000000000000001E-4</v>
      </c>
      <c r="O126" s="7">
        <v>0</v>
      </c>
      <c r="P126" s="7">
        <v>0</v>
      </c>
    </row>
    <row r="127" spans="1:16">
      <c r="A127" s="6">
        <v>45964</v>
      </c>
      <c r="B127" s="4" t="str">
        <f>Config!$B$3</f>
        <v>07:00</v>
      </c>
      <c r="C127" s="4" t="str">
        <f>Config!$B$2</f>
        <v>Mae Na Rua</v>
      </c>
      <c r="D127" s="8">
        <v>489.45100000000002</v>
      </c>
      <c r="E127" s="7">
        <v>1598455.4724355999</v>
      </c>
      <c r="F127" s="7">
        <v>6860.0464442048233</v>
      </c>
      <c r="G127" s="7">
        <v>15019.199999999999</v>
      </c>
      <c r="H127" s="7">
        <v>0</v>
      </c>
      <c r="I127">
        <v>0.6</v>
      </c>
      <c r="J127" s="7">
        <v>179.64826445302796</v>
      </c>
      <c r="K127" s="7">
        <v>706.10750343262646</v>
      </c>
      <c r="L127" s="7">
        <v>303.50780102545002</v>
      </c>
      <c r="N127" s="7">
        <v>0</v>
      </c>
      <c r="O127" s="7">
        <v>0</v>
      </c>
      <c r="P127" s="7">
        <v>0</v>
      </c>
    </row>
    <row r="128" spans="1:16">
      <c r="A128" s="6">
        <v>45965</v>
      </c>
      <c r="B128" s="4" t="str">
        <f>Config!$B$3</f>
        <v>07:00</v>
      </c>
      <c r="C128" s="4" t="str">
        <f>Config!$B$2</f>
        <v>Mae Na Rua</v>
      </c>
      <c r="D128" s="8">
        <v>489.43799999999999</v>
      </c>
      <c r="E128" s="7">
        <v>1592470.1267521</v>
      </c>
      <c r="F128" s="7">
        <v>10042.452992125218</v>
      </c>
      <c r="G128" s="7">
        <v>15019.199999999999</v>
      </c>
      <c r="H128" s="7">
        <v>0</v>
      </c>
      <c r="I128">
        <v>0</v>
      </c>
      <c r="J128" s="7">
        <v>0</v>
      </c>
      <c r="K128" s="7">
        <v>705.4046579187368</v>
      </c>
      <c r="L128" s="7">
        <v>303.19401770641997</v>
      </c>
      <c r="N128" s="7">
        <v>0</v>
      </c>
      <c r="O128" s="7">
        <v>0</v>
      </c>
      <c r="P128" s="7">
        <v>0</v>
      </c>
    </row>
    <row r="129" spans="1:16">
      <c r="A129" s="6">
        <v>45966</v>
      </c>
      <c r="B129" s="4" t="str">
        <f>Config!$B$3</f>
        <v>07:00</v>
      </c>
      <c r="C129" s="4" t="str">
        <f>Config!$B$2</f>
        <v>Mae Na Rua</v>
      </c>
      <c r="D129" s="8">
        <v>489.45100000000002</v>
      </c>
      <c r="E129" s="7">
        <v>1598455.4724355999</v>
      </c>
      <c r="F129" s="7">
        <v>16504.947544731822</v>
      </c>
      <c r="G129" s="7">
        <v>15019.199999999999</v>
      </c>
      <c r="H129" s="7">
        <v>0</v>
      </c>
      <c r="I129">
        <v>18.399999999999999</v>
      </c>
      <c r="J129" s="7">
        <v>5509.2134432261919</v>
      </c>
      <c r="K129" s="7">
        <v>706.10750343262646</v>
      </c>
      <c r="L129" s="7">
        <v>303.50780102545002</v>
      </c>
      <c r="M129" s="11">
        <v>1</v>
      </c>
      <c r="N129" s="7">
        <v>0</v>
      </c>
      <c r="O129" s="7">
        <v>0</v>
      </c>
      <c r="P129" s="11">
        <v>7.609</v>
      </c>
    </row>
    <row r="130" spans="1:16">
      <c r="A130" s="6">
        <v>45967</v>
      </c>
      <c r="B130" s="4" t="str">
        <f>Config!$B$3</f>
        <v>07:00</v>
      </c>
      <c r="C130" s="4" t="str">
        <f>Config!$B$2</f>
        <v>Mae Na Rua</v>
      </c>
      <c r="D130" s="8">
        <v>489.45699999999999</v>
      </c>
      <c r="E130" s="7">
        <v>1598455.4724355999</v>
      </c>
      <c r="F130" s="7">
        <v>15909.049794822722</v>
      </c>
      <c r="G130" s="7">
        <v>15019.199999999999</v>
      </c>
      <c r="H130" s="7">
        <v>0</v>
      </c>
      <c r="I130">
        <v>0.4</v>
      </c>
      <c r="J130" s="7">
        <v>119.765509635352</v>
      </c>
      <c r="K130" s="7">
        <v>706.10750343262646</v>
      </c>
      <c r="L130" s="7">
        <v>303.50780102545002</v>
      </c>
      <c r="M130" s="10"/>
      <c r="N130" s="7">
        <v>0</v>
      </c>
      <c r="O130" s="7">
        <v>7.609</v>
      </c>
      <c r="P130" s="7">
        <v>0</v>
      </c>
    </row>
    <row r="131" spans="1:16">
      <c r="A131" s="6">
        <v>45968</v>
      </c>
      <c r="B131" s="4" t="str">
        <f>Config!$B$3</f>
        <v>07:00</v>
      </c>
      <c r="C131" s="4" t="str">
        <f>Config!$B$2</f>
        <v>Mae Na Rua</v>
      </c>
      <c r="D131" s="8">
        <v>489.44499999999999</v>
      </c>
      <c r="E131" s="7">
        <v>1595462.0162961001</v>
      </c>
      <c r="F131" s="7">
        <v>4769.2512178835768</v>
      </c>
      <c r="G131" s="7">
        <v>6753.5999999999995</v>
      </c>
      <c r="H131" s="7">
        <v>0</v>
      </c>
      <c r="I131">
        <v>0</v>
      </c>
      <c r="J131" s="7">
        <v>0</v>
      </c>
      <c r="K131" s="7">
        <v>705.75633836002419</v>
      </c>
      <c r="L131" s="7">
        <v>303.35101902334003</v>
      </c>
      <c r="M131" s="10"/>
      <c r="N131" s="7">
        <v>7.609</v>
      </c>
      <c r="O131" s="7">
        <v>0</v>
      </c>
      <c r="P131" s="7">
        <v>5.0000000000000001E-3</v>
      </c>
    </row>
    <row r="132" spans="1:16">
      <c r="A132" s="6">
        <v>45969</v>
      </c>
      <c r="B132" s="4" t="str">
        <f>Config!$B$3</f>
        <v>07:00</v>
      </c>
      <c r="C132" s="4" t="str">
        <f>Config!$B$2</f>
        <v>Mae Na Rua</v>
      </c>
      <c r="D132" s="8">
        <v>489.464</v>
      </c>
      <c r="E132" s="7">
        <v>1601450.3446648</v>
      </c>
      <c r="F132" s="7">
        <v>41386.163178485738</v>
      </c>
      <c r="G132" s="7">
        <v>696.59999999999991</v>
      </c>
      <c r="H132" s="7">
        <v>33810.935879999997</v>
      </c>
      <c r="I132">
        <v>0.4</v>
      </c>
      <c r="J132" s="7">
        <v>119.825174437708</v>
      </c>
      <c r="K132" s="7">
        <v>706.45927219111684</v>
      </c>
      <c r="L132" s="7">
        <v>303.66483203245002</v>
      </c>
      <c r="M132" s="10"/>
      <c r="N132" s="7">
        <v>0</v>
      </c>
      <c r="O132" s="7">
        <v>5.0000000000000001E-3</v>
      </c>
      <c r="P132" s="7">
        <v>0</v>
      </c>
    </row>
    <row r="133" spans="1:16">
      <c r="A133" s="6">
        <v>45970</v>
      </c>
      <c r="B133" s="4" t="str">
        <f>Config!$B$3</f>
        <v>07:00</v>
      </c>
      <c r="C133" s="4" t="str">
        <f>Config!$B$2</f>
        <v>Mae Na Rua</v>
      </c>
      <c r="D133" s="8">
        <v>489.67700000000002</v>
      </c>
      <c r="E133" s="7">
        <v>1664741.6725647999</v>
      </c>
      <c r="F133" s="7">
        <v>324364.26175055519</v>
      </c>
      <c r="G133" s="7">
        <v>0</v>
      </c>
      <c r="H133" s="7">
        <v>272915.62709999998</v>
      </c>
      <c r="I133">
        <v>42.4</v>
      </c>
      <c r="J133" s="7">
        <v>12866.019409253169</v>
      </c>
      <c r="K133" s="7">
        <v>715.61164086890903</v>
      </c>
      <c r="L133" s="7">
        <v>307.71451893954998</v>
      </c>
      <c r="M133" s="10"/>
      <c r="N133" s="7">
        <v>5.0000000000000001E-3</v>
      </c>
      <c r="O133" s="7">
        <v>0</v>
      </c>
      <c r="P133" s="7">
        <v>0</v>
      </c>
    </row>
    <row r="134" spans="1:16">
      <c r="A134" s="6">
        <v>45971</v>
      </c>
      <c r="B134" s="4" t="str">
        <f>Config!$B$3</f>
        <v>07:00</v>
      </c>
      <c r="C134" s="4" t="str">
        <f>Config!$B$2</f>
        <v>Mae Na Rua</v>
      </c>
      <c r="D134" s="8">
        <v>489.721</v>
      </c>
      <c r="E134" s="7">
        <v>1679932.8392697</v>
      </c>
      <c r="F134" s="7">
        <v>368655.75888458063</v>
      </c>
      <c r="G134" s="7">
        <v>0</v>
      </c>
      <c r="H134" s="7">
        <v>355298.22330000001</v>
      </c>
      <c r="I134">
        <v>9.4</v>
      </c>
      <c r="J134" s="7">
        <v>2859.573923268928</v>
      </c>
      <c r="K134" s="7">
        <v>717.41842374947998</v>
      </c>
      <c r="L134" s="7">
        <v>308.52437919995998</v>
      </c>
      <c r="M134" s="10"/>
      <c r="N134" s="7">
        <v>0</v>
      </c>
      <c r="O134" s="7">
        <v>0</v>
      </c>
      <c r="P134" s="7">
        <v>7.0999999999999994E-2</v>
      </c>
    </row>
    <row r="135" spans="1:16">
      <c r="A135" s="6">
        <v>45972</v>
      </c>
      <c r="B135" s="4" t="str">
        <f>Config!$B$3</f>
        <v>07:00</v>
      </c>
      <c r="C135" s="4" t="str">
        <f>Config!$B$2</f>
        <v>Mae Na Rua</v>
      </c>
      <c r="D135" s="8">
        <v>489.71499999999997</v>
      </c>
      <c r="E135" s="7">
        <v>1676891.4600323001</v>
      </c>
      <c r="F135" s="7">
        <v>323848.51073321624</v>
      </c>
      <c r="G135" s="7">
        <v>0</v>
      </c>
      <c r="H135" s="7">
        <v>325864.47610000003</v>
      </c>
      <c r="I135">
        <v>0</v>
      </c>
      <c r="J135" s="7">
        <v>0</v>
      </c>
      <c r="K135" s="7">
        <v>717.05315483627714</v>
      </c>
      <c r="L135" s="7">
        <v>308.36071577983</v>
      </c>
      <c r="M135" s="10"/>
      <c r="N135" s="7">
        <v>0</v>
      </c>
      <c r="O135" s="7">
        <v>7.0999999999999994E-2</v>
      </c>
      <c r="P135" s="7">
        <v>5.9999999999999995E-4</v>
      </c>
    </row>
    <row r="136" spans="1:16">
      <c r="A136" s="6">
        <v>45973</v>
      </c>
      <c r="B136" s="4" t="str">
        <f>Config!$B$3</f>
        <v>07:00</v>
      </c>
      <c r="C136" s="4" t="str">
        <f>Config!$B$2</f>
        <v>Mae Na Rua</v>
      </c>
      <c r="D136" s="8">
        <v>489.702</v>
      </c>
      <c r="E136" s="7">
        <v>1673851.7406957999</v>
      </c>
      <c r="F136" s="7">
        <v>280267.58193712565</v>
      </c>
      <c r="G136" s="7">
        <v>0</v>
      </c>
      <c r="H136" s="7">
        <v>282282.41340000002</v>
      </c>
      <c r="I136">
        <v>0</v>
      </c>
      <c r="J136" s="7">
        <v>0</v>
      </c>
      <c r="K136" s="7">
        <v>716.68993674006697</v>
      </c>
      <c r="L136" s="7">
        <v>308.19793688568001</v>
      </c>
      <c r="M136" s="11">
        <v>1</v>
      </c>
      <c r="N136" s="7">
        <v>7.0999999999999994E-2</v>
      </c>
      <c r="O136" s="7">
        <v>5.9999999999999995E-4</v>
      </c>
      <c r="P136" s="11">
        <v>2.391</v>
      </c>
    </row>
    <row r="137" spans="1:16">
      <c r="A137" s="6">
        <v>45974</v>
      </c>
      <c r="B137" s="4" t="str">
        <f>Config!$B$3</f>
        <v>07:00</v>
      </c>
      <c r="C137" s="4" t="str">
        <f>Config!$B$2</f>
        <v>Mae Na Rua</v>
      </c>
      <c r="D137" s="8">
        <v>489.68297999999999</v>
      </c>
      <c r="E137" s="7">
        <v>1667776.8298903999</v>
      </c>
      <c r="F137" s="7">
        <v>238079.59356554842</v>
      </c>
      <c r="G137" s="7">
        <v>0</v>
      </c>
      <c r="H137" s="7">
        <v>243130.6606</v>
      </c>
      <c r="I137">
        <v>0</v>
      </c>
      <c r="J137" s="7">
        <v>0</v>
      </c>
      <c r="K137" s="7">
        <v>715.96900675565735</v>
      </c>
      <c r="L137" s="7">
        <v>307.87476419276999</v>
      </c>
      <c r="N137" s="7">
        <v>5.9999999999999995E-4</v>
      </c>
      <c r="O137" s="7">
        <v>2.391</v>
      </c>
      <c r="P137" s="7">
        <v>0</v>
      </c>
    </row>
    <row r="138" spans="1:16">
      <c r="A138" s="6">
        <v>45975</v>
      </c>
      <c r="B138" s="4" t="str">
        <f>Config!$B$3</f>
        <v>07:00</v>
      </c>
      <c r="C138" s="4" t="str">
        <f>Config!$B$2</f>
        <v>Mae Na Rua</v>
      </c>
      <c r="D138" s="8">
        <v>489.67099999999999</v>
      </c>
      <c r="E138" s="7">
        <v>1664741.6725647999</v>
      </c>
      <c r="F138" s="7">
        <v>213597.80433420843</v>
      </c>
      <c r="G138" s="7">
        <v>0</v>
      </c>
      <c r="H138" s="7">
        <v>215609.6355</v>
      </c>
      <c r="I138">
        <v>0</v>
      </c>
      <c r="J138" s="7">
        <v>0</v>
      </c>
      <c r="K138" s="7">
        <v>715.61164086890903</v>
      </c>
      <c r="L138" s="7">
        <v>307.71451893954998</v>
      </c>
      <c r="N138" s="7">
        <v>2.391</v>
      </c>
      <c r="O138" s="7">
        <v>0</v>
      </c>
      <c r="P138" s="7">
        <v>0</v>
      </c>
    </row>
    <row r="139" spans="1:16">
      <c r="A139" s="6">
        <v>45976</v>
      </c>
      <c r="B139" s="4" t="str">
        <f>Config!$B$3</f>
        <v>07:00</v>
      </c>
      <c r="C139" s="4" t="str">
        <f>Config!$B$2</f>
        <v>Mae Na Rua</v>
      </c>
      <c r="D139" s="8">
        <v>489.66399999999999</v>
      </c>
      <c r="E139" s="7">
        <v>1661708.0167959</v>
      </c>
      <c r="F139" s="7">
        <v>192495.62577584962</v>
      </c>
      <c r="G139" s="7">
        <v>0</v>
      </c>
      <c r="H139" s="7">
        <v>194506.47029999999</v>
      </c>
      <c r="I139">
        <v>0</v>
      </c>
      <c r="J139" s="7">
        <v>0</v>
      </c>
      <c r="K139" s="7">
        <v>715.25615246273583</v>
      </c>
      <c r="L139" s="7">
        <v>307.55509228684002</v>
      </c>
      <c r="N139" s="7">
        <v>0</v>
      </c>
      <c r="O139" s="7">
        <v>0</v>
      </c>
      <c r="P139" s="7">
        <v>0</v>
      </c>
    </row>
    <row r="140" spans="1:16">
      <c r="A140" s="6">
        <v>45977</v>
      </c>
      <c r="B140" s="4" t="str">
        <f>Config!$B$3</f>
        <v>07:00</v>
      </c>
      <c r="C140" s="4" t="str">
        <f>Config!$B$2</f>
        <v>Mae Na Rua</v>
      </c>
      <c r="D140" s="8">
        <v>489.65800000000002</v>
      </c>
      <c r="E140" s="7">
        <v>1658675.7961466999</v>
      </c>
      <c r="F140" s="7">
        <v>175733.50779371275</v>
      </c>
      <c r="G140" s="7">
        <v>0</v>
      </c>
      <c r="H140" s="7">
        <v>177743.4307</v>
      </c>
      <c r="I140">
        <v>0</v>
      </c>
      <c r="J140" s="7">
        <v>0</v>
      </c>
      <c r="K140" s="7">
        <v>714.9016342882087</v>
      </c>
      <c r="L140" s="7">
        <v>307.39610862457005</v>
      </c>
      <c r="N140" s="7">
        <v>0</v>
      </c>
      <c r="O140" s="7">
        <v>0</v>
      </c>
      <c r="P140" s="7">
        <v>0</v>
      </c>
    </row>
    <row r="141" spans="1:16">
      <c r="A141" s="6">
        <v>45978</v>
      </c>
      <c r="B141" s="4" t="str">
        <f>Config!$B$3</f>
        <v>07:00</v>
      </c>
      <c r="C141" s="4" t="str">
        <f>Config!$B$2</f>
        <v>Mae Na Rua</v>
      </c>
      <c r="D141" s="8">
        <v>489.65697999999998</v>
      </c>
      <c r="E141" s="7">
        <v>1658675.7961466999</v>
      </c>
      <c r="F141" s="7">
        <v>177813.58794291277</v>
      </c>
      <c r="G141" s="7">
        <v>0</v>
      </c>
      <c r="H141" s="7">
        <v>176791.29019999999</v>
      </c>
      <c r="I141">
        <v>0</v>
      </c>
      <c r="J141" s="7">
        <v>0</v>
      </c>
      <c r="K141" s="7">
        <v>714.9016342882087</v>
      </c>
      <c r="L141" s="7">
        <v>307.39610862457005</v>
      </c>
      <c r="N141" s="7">
        <v>0</v>
      </c>
      <c r="O141" s="7">
        <v>0</v>
      </c>
      <c r="P141" s="7">
        <v>0</v>
      </c>
    </row>
    <row r="142" spans="1:16">
      <c r="A142" s="6">
        <v>45979</v>
      </c>
      <c r="B142" s="4" t="str">
        <f>Config!$B$3</f>
        <v>07:00</v>
      </c>
      <c r="C142" s="4" t="str">
        <f>Config!$B$2</f>
        <v>Mae Na Rua</v>
      </c>
      <c r="D142" s="8">
        <v>489.72699999999998</v>
      </c>
      <c r="E142" s="7">
        <v>1679932.8392697</v>
      </c>
      <c r="F142" s="7">
        <v>478550.42526226019</v>
      </c>
      <c r="G142" s="7">
        <v>0</v>
      </c>
      <c r="H142" s="7">
        <v>468800.891</v>
      </c>
      <c r="I142">
        <v>41.2</v>
      </c>
      <c r="J142" s="7">
        <v>12533.451663689342</v>
      </c>
      <c r="K142" s="7">
        <v>717.41842374947998</v>
      </c>
      <c r="L142" s="7">
        <v>308.52437919995998</v>
      </c>
      <c r="N142" s="7">
        <v>0</v>
      </c>
      <c r="O142" s="7">
        <v>0</v>
      </c>
      <c r="P142" s="7">
        <v>0</v>
      </c>
    </row>
    <row r="143" spans="1:16">
      <c r="A143" s="6">
        <v>45980</v>
      </c>
      <c r="B143" s="4" t="str">
        <f>Config!$B$3</f>
        <v>07:00</v>
      </c>
      <c r="C143" s="4" t="str">
        <f>Config!$B$2</f>
        <v>Mae Na Rua</v>
      </c>
      <c r="D143" s="8">
        <v>489.85700000000003</v>
      </c>
      <c r="E143" s="7">
        <v>1719668.7023854</v>
      </c>
      <c r="F143" s="7">
        <v>957422.96408633795</v>
      </c>
      <c r="G143" s="7">
        <v>0</v>
      </c>
      <c r="H143" s="7">
        <v>926241.01080000005</v>
      </c>
      <c r="I143">
        <v>31.2</v>
      </c>
      <c r="J143" s="7">
        <v>9590.6595558443278</v>
      </c>
      <c r="K143" s="7">
        <v>724.92475738934854</v>
      </c>
      <c r="L143" s="7">
        <v>311.82496909297004</v>
      </c>
      <c r="N143" s="7">
        <v>0</v>
      </c>
      <c r="O143" s="7">
        <v>0</v>
      </c>
      <c r="P143" s="7">
        <v>0</v>
      </c>
    </row>
    <row r="144" spans="1:16">
      <c r="A144" s="6">
        <v>45981</v>
      </c>
      <c r="B144" s="4" t="str">
        <f>Config!$B$3</f>
        <v>07:00</v>
      </c>
      <c r="C144" s="4" t="str">
        <f>Config!$B$2</f>
        <v>Mae Na Rua</v>
      </c>
      <c r="D144" s="8">
        <v>489.88997999999998</v>
      </c>
      <c r="E144" s="7">
        <v>1728897.6614808999</v>
      </c>
      <c r="F144" s="7">
        <v>893123.02810431598</v>
      </c>
      <c r="G144" s="7">
        <v>0</v>
      </c>
      <c r="H144" s="7">
        <v>887904.93900000001</v>
      </c>
      <c r="I144">
        <v>16.399999999999999</v>
      </c>
      <c r="J144" s="7">
        <v>5049.2978452969319</v>
      </c>
      <c r="K144" s="7">
        <v>726.08287247339968</v>
      </c>
      <c r="L144" s="7">
        <v>312.34498163951997</v>
      </c>
      <c r="N144" s="7">
        <v>0</v>
      </c>
      <c r="O144" s="7">
        <v>0</v>
      </c>
      <c r="P144" s="7">
        <v>7.5999999999999998E-2</v>
      </c>
    </row>
    <row r="145" spans="1:16">
      <c r="A145" s="6">
        <v>45982</v>
      </c>
      <c r="B145" s="4" t="str">
        <f>Config!$B$3</f>
        <v>07:00</v>
      </c>
      <c r="C145" s="4" t="str">
        <f>Config!$B$2</f>
        <v>Mae Na Rua</v>
      </c>
      <c r="D145" s="8">
        <v>489.81799999999998</v>
      </c>
      <c r="E145" s="7">
        <v>1707386.3914463001</v>
      </c>
      <c r="F145" s="7">
        <v>612855.68405975844</v>
      </c>
      <c r="G145" s="7">
        <v>0</v>
      </c>
      <c r="H145" s="7">
        <v>633332.48789999995</v>
      </c>
      <c r="I145">
        <v>0</v>
      </c>
      <c r="J145" s="7">
        <v>0</v>
      </c>
      <c r="K145" s="7">
        <v>723.34769158349661</v>
      </c>
      <c r="L145" s="7">
        <v>311.11850277486002</v>
      </c>
      <c r="N145" s="7">
        <v>0</v>
      </c>
      <c r="O145" s="7">
        <v>7.5999999999999998E-2</v>
      </c>
      <c r="P145" s="7">
        <v>0.45400000000000001</v>
      </c>
    </row>
    <row r="146" spans="1:16">
      <c r="A146" s="6">
        <v>45983</v>
      </c>
      <c r="B146" s="4" t="str">
        <f>Config!$B$3</f>
        <v>07:00</v>
      </c>
      <c r="C146" s="4" t="str">
        <f>Config!$B$2</f>
        <v>Mae Na Rua</v>
      </c>
      <c r="D146" s="8">
        <v>489.774</v>
      </c>
      <c r="E146" s="7">
        <v>1695162.8519716</v>
      </c>
      <c r="F146" s="7">
        <v>490683.84776837972</v>
      </c>
      <c r="G146" s="7">
        <v>0</v>
      </c>
      <c r="H146" s="7">
        <v>501878.75870000001</v>
      </c>
      <c r="I146">
        <v>0</v>
      </c>
      <c r="J146" s="7">
        <v>0</v>
      </c>
      <c r="K146" s="7">
        <v>719.27345659873299</v>
      </c>
      <c r="L146" s="7">
        <v>309.35508648107998</v>
      </c>
      <c r="N146" s="7">
        <v>7.5999999999999998E-2</v>
      </c>
      <c r="O146" s="7">
        <v>0.45400000000000001</v>
      </c>
      <c r="P146" s="7">
        <v>4.3999999999999997E-2</v>
      </c>
    </row>
    <row r="147" spans="1:16">
      <c r="A147" s="6">
        <v>45984</v>
      </c>
      <c r="B147" s="4" t="str">
        <f>Config!$B$3</f>
        <v>07:00</v>
      </c>
      <c r="C147" s="4" t="str">
        <f>Config!$B$2</f>
        <v>Mae Na Rua</v>
      </c>
      <c r="D147" s="8">
        <v>489.75400000000002</v>
      </c>
      <c r="E147" s="7">
        <v>1689066.0691295001</v>
      </c>
      <c r="F147" s="7">
        <v>433718.86956598249</v>
      </c>
      <c r="G147" s="7">
        <v>0</v>
      </c>
      <c r="H147" s="7">
        <v>438788.10629999998</v>
      </c>
      <c r="I147">
        <v>0</v>
      </c>
      <c r="J147" s="7">
        <v>0</v>
      </c>
      <c r="K147" s="7">
        <v>718.52576374382477</v>
      </c>
      <c r="L147" s="7">
        <v>309.02034433858</v>
      </c>
      <c r="N147" s="7">
        <v>0.45400000000000001</v>
      </c>
      <c r="O147" s="7">
        <v>4.3999999999999997E-2</v>
      </c>
      <c r="P147" s="7">
        <v>0</v>
      </c>
    </row>
    <row r="148" spans="1:16">
      <c r="A148" s="6">
        <v>45985</v>
      </c>
      <c r="B148" s="4" t="str">
        <f>Config!$B$3</f>
        <v>07:00</v>
      </c>
      <c r="C148" s="4" t="str">
        <f>Config!$B$2</f>
        <v>Mae Na Rua</v>
      </c>
      <c r="D148" s="8">
        <v>489.73399999999998</v>
      </c>
      <c r="E148" s="7">
        <v>1682975.6527668999</v>
      </c>
      <c r="F148" s="7">
        <v>379498.75290643546</v>
      </c>
      <c r="G148" s="7">
        <v>0</v>
      </c>
      <c r="H148" s="7">
        <v>384562.6948</v>
      </c>
      <c r="I148">
        <v>0</v>
      </c>
      <c r="J148" s="7">
        <v>0</v>
      </c>
      <c r="K148" s="7">
        <v>717.78560265973431</v>
      </c>
      <c r="L148" s="7">
        <v>308.68886637588997</v>
      </c>
      <c r="N148" s="7">
        <v>4.3999999999999997E-2</v>
      </c>
      <c r="O148" s="7">
        <v>0</v>
      </c>
      <c r="P148" s="7">
        <v>1.4999999999999999E-4</v>
      </c>
    </row>
    <row r="149" spans="1:16">
      <c r="A149" s="6">
        <v>45986</v>
      </c>
      <c r="B149" s="4" t="str">
        <f>Config!$B$3</f>
        <v>07:00</v>
      </c>
      <c r="C149" s="4" t="str">
        <f>Config!$B$2</f>
        <v>Mae Na Rua</v>
      </c>
      <c r="D149" s="8">
        <v>489.721</v>
      </c>
      <c r="E149" s="7">
        <v>1679932.8392697</v>
      </c>
      <c r="F149" s="7">
        <v>345857.69810574956</v>
      </c>
      <c r="G149" s="7">
        <v>0</v>
      </c>
      <c r="H149" s="7">
        <v>347874.56880000001</v>
      </c>
      <c r="I149">
        <v>0</v>
      </c>
      <c r="J149" s="7">
        <v>0</v>
      </c>
      <c r="K149" s="7">
        <v>717.41842374947998</v>
      </c>
      <c r="L149" s="7">
        <v>308.52437919995998</v>
      </c>
      <c r="N149" s="7">
        <v>0</v>
      </c>
      <c r="O149" s="7">
        <v>1.4999999999999999E-4</v>
      </c>
      <c r="P149" s="7">
        <v>6.3E-2</v>
      </c>
    </row>
    <row r="150" spans="1:16">
      <c r="A150" s="6">
        <v>45987</v>
      </c>
      <c r="B150" s="4" t="str">
        <f>Config!$B$3</f>
        <v>07:00</v>
      </c>
      <c r="C150" s="4" t="str">
        <f>Config!$B$2</f>
        <v>Mae Na Rua</v>
      </c>
      <c r="D150" s="8">
        <v>489.70898</v>
      </c>
      <c r="E150" s="7">
        <v>1673851.7406957999</v>
      </c>
      <c r="F150" s="7">
        <v>310615.11739972571</v>
      </c>
      <c r="G150" s="7">
        <v>0</v>
      </c>
      <c r="H150" s="7">
        <v>315671.32809999998</v>
      </c>
      <c r="I150">
        <v>0</v>
      </c>
      <c r="J150" s="7">
        <v>0</v>
      </c>
      <c r="K150" s="7">
        <v>716.68993674006697</v>
      </c>
      <c r="L150" s="7">
        <v>308.19793688568001</v>
      </c>
      <c r="M150" s="11">
        <v>1</v>
      </c>
      <c r="N150" s="7">
        <v>1.4999999999999999E-4</v>
      </c>
      <c r="O150" s="7">
        <v>6.3E-2</v>
      </c>
      <c r="P150" s="11">
        <v>8.9860000000000007</v>
      </c>
    </row>
    <row r="151" spans="1:16">
      <c r="A151" s="6">
        <v>45988</v>
      </c>
      <c r="B151" s="4" t="str">
        <f>Config!$B$3</f>
        <v>07:00</v>
      </c>
      <c r="C151" s="4" t="str">
        <f>Config!$B$2</f>
        <v>Mae Na Rua</v>
      </c>
      <c r="D151" s="8">
        <v>489.697</v>
      </c>
      <c r="E151" s="7">
        <v>1670813.4823932</v>
      </c>
      <c r="F151" s="7">
        <v>288864.69826402166</v>
      </c>
      <c r="G151" s="7">
        <v>0</v>
      </c>
      <c r="H151" s="7">
        <v>290878.59220000001</v>
      </c>
      <c r="I151">
        <v>0</v>
      </c>
      <c r="J151" s="7">
        <v>0</v>
      </c>
      <c r="K151" s="7">
        <v>716.32845514700307</v>
      </c>
      <c r="L151" s="7">
        <v>308.03591147454</v>
      </c>
      <c r="N151" s="7">
        <v>6.3E-2</v>
      </c>
      <c r="O151" s="7">
        <v>8.9860000000000007</v>
      </c>
      <c r="P151" s="7">
        <v>8.1000000000000003E-2</v>
      </c>
    </row>
    <row r="152" spans="1:16">
      <c r="A152" s="6">
        <v>45989</v>
      </c>
      <c r="B152" s="4" t="str">
        <f>Config!$B$3</f>
        <v>07:00</v>
      </c>
      <c r="C152" s="4" t="str">
        <f>Config!$B$2</f>
        <v>Mae Na Rua</v>
      </c>
      <c r="D152" s="8">
        <v>489.69099999999997</v>
      </c>
      <c r="E152" s="7">
        <v>1670813.4823932</v>
      </c>
      <c r="F152" s="7">
        <v>272042.76256662153</v>
      </c>
      <c r="G152" s="7">
        <v>0</v>
      </c>
      <c r="H152" s="7">
        <v>271018.3982</v>
      </c>
      <c r="I152">
        <v>0</v>
      </c>
      <c r="J152" s="7">
        <v>0</v>
      </c>
      <c r="K152" s="7">
        <v>716.32845514700307</v>
      </c>
      <c r="L152" s="7">
        <v>308.03591147454</v>
      </c>
      <c r="N152" s="7">
        <v>8.9860000000000007</v>
      </c>
      <c r="O152" s="7">
        <v>8.1000000000000003E-2</v>
      </c>
      <c r="P152" s="7">
        <v>0</v>
      </c>
    </row>
    <row r="153" spans="1:16">
      <c r="A153" s="6">
        <v>45990</v>
      </c>
      <c r="B153" s="4" t="str">
        <f>Config!$B$3</f>
        <v>07:00</v>
      </c>
      <c r="C153" s="4" t="str">
        <f>Config!$B$2</f>
        <v>Mae Na Rua</v>
      </c>
      <c r="D153" s="8">
        <v>489.68400000000003</v>
      </c>
      <c r="E153" s="7">
        <v>1667776.8298903999</v>
      </c>
      <c r="F153" s="7">
        <v>252600.3418681483</v>
      </c>
      <c r="G153" s="7">
        <v>0</v>
      </c>
      <c r="H153" s="7">
        <v>254613.15059999999</v>
      </c>
      <c r="I153">
        <v>0</v>
      </c>
      <c r="J153" s="7">
        <v>0</v>
      </c>
      <c r="K153" s="7">
        <v>715.96900675565735</v>
      </c>
      <c r="L153" s="7">
        <v>307.87476419276999</v>
      </c>
      <c r="N153" s="7">
        <v>8.1000000000000003E-2</v>
      </c>
      <c r="O153" s="7">
        <v>0</v>
      </c>
      <c r="P153" s="7">
        <v>0</v>
      </c>
    </row>
    <row r="154" spans="1:16">
      <c r="A154" s="6">
        <v>45991</v>
      </c>
      <c r="B154" s="4" t="str">
        <f>Config!$B$3</f>
        <v>07:00</v>
      </c>
      <c r="C154" s="4" t="str">
        <f>Config!$B$2</f>
        <v>Mae Na Rua</v>
      </c>
      <c r="D154" s="8">
        <v>489.68400000000003</v>
      </c>
      <c r="E154" s="7">
        <v>1667776.8298903999</v>
      </c>
      <c r="F154" s="7">
        <v>244914.34617094841</v>
      </c>
      <c r="G154" s="7">
        <v>0</v>
      </c>
      <c r="H154" s="7">
        <v>243890.5024</v>
      </c>
      <c r="I154">
        <v>0</v>
      </c>
      <c r="J154" s="7">
        <v>0</v>
      </c>
      <c r="K154" s="7">
        <v>715.96900675565735</v>
      </c>
      <c r="L154" s="7">
        <v>307.87476419276999</v>
      </c>
      <c r="N154" s="7">
        <v>0</v>
      </c>
      <c r="O154" s="7">
        <v>0</v>
      </c>
      <c r="P154" s="7">
        <v>0</v>
      </c>
    </row>
    <row r="155" spans="1:16">
      <c r="A155" s="6">
        <v>45992</v>
      </c>
      <c r="B155" s="4" t="str">
        <f>Config!$B$3</f>
        <v>07:00</v>
      </c>
      <c r="C155" s="4" t="str">
        <f>Config!$B$2</f>
        <v>Mae Na Rua</v>
      </c>
      <c r="D155" s="7">
        <v>489.678</v>
      </c>
      <c r="E155" s="7">
        <v>1664741.6725647999</v>
      </c>
      <c r="F155" s="7">
        <v>234203.99536424226</v>
      </c>
      <c r="G155" s="7">
        <v>0</v>
      </c>
      <c r="H155" s="7">
        <v>236252.95740000001</v>
      </c>
      <c r="I155">
        <v>0</v>
      </c>
      <c r="J155" s="7">
        <v>0</v>
      </c>
      <c r="K155" s="7">
        <v>678.48088050287129</v>
      </c>
      <c r="L155" s="7">
        <v>307.71451893954998</v>
      </c>
      <c r="N155" s="7">
        <v>0</v>
      </c>
      <c r="O155" s="7">
        <v>0</v>
      </c>
      <c r="P155" s="7">
        <v>0.26</v>
      </c>
    </row>
    <row r="156" spans="1:16">
      <c r="A156" s="6">
        <v>45993</v>
      </c>
      <c r="B156" s="4" t="str">
        <f>Config!$B$3</f>
        <v>07:00</v>
      </c>
      <c r="C156" s="4" t="str">
        <f>Config!$B$2</f>
        <v>Mae Na Rua</v>
      </c>
      <c r="D156" s="7">
        <v>489.67099999999999</v>
      </c>
      <c r="E156" s="7">
        <v>1664741.6725647999</v>
      </c>
      <c r="F156" s="7">
        <v>228969.81399944241</v>
      </c>
      <c r="G156" s="7">
        <v>0</v>
      </c>
      <c r="H156" s="7">
        <v>227983.61859999999</v>
      </c>
      <c r="I156">
        <v>0</v>
      </c>
      <c r="J156" s="7">
        <v>0</v>
      </c>
      <c r="K156" s="7">
        <v>678.48088050287129</v>
      </c>
      <c r="L156" s="7">
        <v>307.71451893954998</v>
      </c>
      <c r="N156" s="7">
        <v>0</v>
      </c>
      <c r="O156" s="7">
        <v>0.26</v>
      </c>
      <c r="P156" s="7">
        <v>0</v>
      </c>
    </row>
    <row r="157" spans="1:16">
      <c r="A157" s="6">
        <v>45994</v>
      </c>
      <c r="B157" s="4" t="str">
        <f>Config!$B$3</f>
        <v>07:00</v>
      </c>
      <c r="C157" s="4" t="str">
        <f>Config!$B$2</f>
        <v>Mae Na Rua</v>
      </c>
      <c r="D157" s="7">
        <v>489.67099999999999</v>
      </c>
      <c r="E157" s="7">
        <v>1664741.6725647999</v>
      </c>
      <c r="F157" s="7">
        <v>221736.01499944241</v>
      </c>
      <c r="G157" s="7">
        <v>0</v>
      </c>
      <c r="H157" s="7">
        <v>220749.81959999999</v>
      </c>
      <c r="I157">
        <v>0</v>
      </c>
      <c r="J157" s="7">
        <v>0</v>
      </c>
      <c r="K157" s="7">
        <v>678.48088050287129</v>
      </c>
      <c r="L157" s="7">
        <v>307.71451893954998</v>
      </c>
      <c r="N157" s="7">
        <v>0.26</v>
      </c>
      <c r="O157" s="7">
        <v>0</v>
      </c>
      <c r="P157" s="7">
        <v>0</v>
      </c>
    </row>
    <row r="158" spans="1:16">
      <c r="A158" s="6">
        <v>45995</v>
      </c>
      <c r="B158" s="4" t="str">
        <f>Config!$B$3</f>
        <v>07:00</v>
      </c>
      <c r="C158" s="4" t="str">
        <f>Config!$B$2</f>
        <v>Mae Na Rua</v>
      </c>
      <c r="D158" s="7">
        <v>489.66399999999999</v>
      </c>
      <c r="E158" s="7">
        <v>1661708.0167959</v>
      </c>
      <c r="F158" s="7">
        <v>209256.1982606207</v>
      </c>
      <c r="G158" s="7">
        <v>0</v>
      </c>
      <c r="H158" s="7">
        <v>211304.1551</v>
      </c>
      <c r="I158">
        <v>0</v>
      </c>
      <c r="J158" s="7">
        <v>0</v>
      </c>
      <c r="K158" s="7">
        <v>678.14383723379274</v>
      </c>
      <c r="L158" s="7">
        <v>307.55509228684002</v>
      </c>
      <c r="N158" s="7">
        <v>0</v>
      </c>
      <c r="O158" s="7">
        <v>0</v>
      </c>
      <c r="P158" s="7">
        <v>0</v>
      </c>
    </row>
    <row r="159" spans="1:16">
      <c r="A159" s="6">
        <v>45996</v>
      </c>
      <c r="B159" s="4" t="str">
        <f>Config!$B$3</f>
        <v>07:00</v>
      </c>
      <c r="C159" s="4" t="str">
        <f>Config!$B$2</f>
        <v>Mae Na Rua</v>
      </c>
      <c r="D159" s="7">
        <v>489.66399999999999</v>
      </c>
      <c r="E159" s="7">
        <v>1661708.0167959</v>
      </c>
      <c r="F159" s="7">
        <v>204367.78662952065</v>
      </c>
      <c r="G159" s="7">
        <v>0</v>
      </c>
      <c r="H159" s="7">
        <v>203382.0877</v>
      </c>
      <c r="I159">
        <v>0</v>
      </c>
      <c r="J159" s="7">
        <v>0</v>
      </c>
      <c r="K159" s="7">
        <v>678.14383723379274</v>
      </c>
      <c r="L159" s="7">
        <v>307.55509228684002</v>
      </c>
      <c r="N159" s="7">
        <v>0</v>
      </c>
      <c r="O159" s="7">
        <v>0</v>
      </c>
      <c r="P159" s="7">
        <v>0</v>
      </c>
    </row>
    <row r="160" spans="1:16">
      <c r="A160" s="6">
        <v>45997</v>
      </c>
      <c r="B160" s="4" t="str">
        <f>Config!$B$3</f>
        <v>07:00</v>
      </c>
      <c r="C160" s="4" t="str">
        <f>Config!$B$2</f>
        <v>Mae Na Rua</v>
      </c>
      <c r="D160" s="7">
        <v>489.66399999999999</v>
      </c>
      <c r="E160" s="7">
        <v>1661708.0167959</v>
      </c>
      <c r="F160" s="7">
        <v>195214.23592952066</v>
      </c>
      <c r="G160" s="7">
        <v>0</v>
      </c>
      <c r="H160" s="7">
        <v>194228.53700000001</v>
      </c>
      <c r="I160">
        <v>0</v>
      </c>
      <c r="J160" s="7">
        <v>0</v>
      </c>
      <c r="K160" s="7">
        <v>678.14383723379274</v>
      </c>
      <c r="L160" s="7">
        <v>307.55509228684002</v>
      </c>
      <c r="N160" s="7">
        <v>0</v>
      </c>
      <c r="O160" s="7">
        <v>0</v>
      </c>
      <c r="P160" s="7">
        <v>0</v>
      </c>
    </row>
    <row r="161" spans="1:16">
      <c r="A161" s="6">
        <v>45998</v>
      </c>
      <c r="B161" s="4" t="str">
        <f>Config!$B$3</f>
        <v>07:00</v>
      </c>
      <c r="C161" s="4" t="str">
        <f>Config!$B$2</f>
        <v>Mae Na Rua</v>
      </c>
      <c r="D161" s="7">
        <v>489.65697999999998</v>
      </c>
      <c r="E161" s="7">
        <v>1658675.7961466999</v>
      </c>
      <c r="F161" s="7">
        <v>178996.50787327875</v>
      </c>
      <c r="G161" s="7">
        <v>0</v>
      </c>
      <c r="H161" s="7">
        <v>181043.52470000001</v>
      </c>
      <c r="I161">
        <v>0</v>
      </c>
      <c r="J161" s="7">
        <v>0</v>
      </c>
      <c r="K161" s="7">
        <v>677.80771385419632</v>
      </c>
      <c r="L161" s="7">
        <v>307.39610862457005</v>
      </c>
      <c r="N161" s="7">
        <v>0</v>
      </c>
      <c r="O161" s="7">
        <v>0</v>
      </c>
      <c r="P161" s="7">
        <v>0</v>
      </c>
    </row>
    <row r="162" spans="1:16">
      <c r="A162" s="6">
        <v>45999</v>
      </c>
      <c r="B162" s="4" t="str">
        <f>Config!$B$3</f>
        <v>07:00</v>
      </c>
      <c r="C162" s="4" t="str">
        <f>Config!$B$2</f>
        <v>Mae Na Rua</v>
      </c>
      <c r="D162" s="7">
        <v>489.65697999999998</v>
      </c>
      <c r="E162" s="7">
        <v>1658675.7961466999</v>
      </c>
      <c r="F162" s="7">
        <v>176209.41962247877</v>
      </c>
      <c r="G162" s="7">
        <v>0</v>
      </c>
      <c r="H162" s="7">
        <v>175224.21580000001</v>
      </c>
      <c r="I162">
        <v>0</v>
      </c>
      <c r="J162" s="7">
        <v>0</v>
      </c>
      <c r="K162" s="7">
        <v>677.80771385419632</v>
      </c>
      <c r="L162" s="7">
        <v>307.39610862457005</v>
      </c>
      <c r="N162" s="7">
        <v>0</v>
      </c>
      <c r="O162" s="7">
        <v>0</v>
      </c>
      <c r="P162" s="7">
        <v>0</v>
      </c>
    </row>
    <row r="163" spans="1:16">
      <c r="A163" s="6">
        <v>46000</v>
      </c>
      <c r="B163" s="4" t="str">
        <f>Config!$B$3</f>
        <v>07:00</v>
      </c>
      <c r="C163" s="4" t="str">
        <f>Config!$B$2</f>
        <v>Mae Na Rua</v>
      </c>
      <c r="D163" s="7">
        <v>489.65100000000001</v>
      </c>
      <c r="E163" s="7">
        <v>1658675.7961466999</v>
      </c>
      <c r="F163" s="7">
        <v>163832.40842247877</v>
      </c>
      <c r="G163" s="7">
        <v>0</v>
      </c>
      <c r="H163" s="7">
        <v>162847.2046</v>
      </c>
      <c r="I163">
        <v>0</v>
      </c>
      <c r="J163" s="7">
        <v>0</v>
      </c>
      <c r="K163" s="7">
        <v>677.80771385419632</v>
      </c>
      <c r="L163" s="7">
        <v>307.39610862457005</v>
      </c>
      <c r="N163" s="7">
        <v>0</v>
      </c>
      <c r="O163" s="7">
        <v>0</v>
      </c>
      <c r="P163" s="7">
        <v>2.641</v>
      </c>
    </row>
    <row r="164" spans="1:16">
      <c r="A164" s="6">
        <v>46001</v>
      </c>
      <c r="B164" s="4" t="str">
        <f>Config!$B$3</f>
        <v>07:00</v>
      </c>
      <c r="C164" s="4" t="str">
        <f>Config!$B$2</f>
        <v>Mae Na Rua</v>
      </c>
      <c r="D164" s="7">
        <v>489.64499999999998</v>
      </c>
      <c r="E164" s="7">
        <v>1655645.1614623</v>
      </c>
      <c r="F164" s="7">
        <v>157267.65214386521</v>
      </c>
      <c r="G164" s="7">
        <v>0</v>
      </c>
      <c r="H164" s="7">
        <v>159313.5778</v>
      </c>
      <c r="I164">
        <v>0</v>
      </c>
      <c r="J164" s="7">
        <v>0</v>
      </c>
      <c r="K164" s="7">
        <v>677.47177799470535</v>
      </c>
      <c r="L164" s="7">
        <v>307.23725027043002</v>
      </c>
      <c r="N164" s="7">
        <v>0</v>
      </c>
      <c r="O164" s="7">
        <v>2.641</v>
      </c>
      <c r="P164" s="7">
        <v>4.2939999999999996</v>
      </c>
    </row>
    <row r="165" spans="1:16">
      <c r="A165" s="6">
        <v>46002</v>
      </c>
      <c r="B165" s="4" t="str">
        <f>Config!$B$3</f>
        <v>07:00</v>
      </c>
      <c r="C165" s="4" t="str">
        <f>Config!$B$2</f>
        <v>Mae Na Rua</v>
      </c>
      <c r="D165" s="7">
        <v>489.63799999999998</v>
      </c>
      <c r="E165" s="7">
        <v>1652616.0060848999</v>
      </c>
      <c r="F165" s="7">
        <v>145062.07728889663</v>
      </c>
      <c r="G165" s="7">
        <v>0</v>
      </c>
      <c r="H165" s="7">
        <v>147107.0209</v>
      </c>
      <c r="I165">
        <v>0</v>
      </c>
      <c r="J165" s="7">
        <v>0</v>
      </c>
      <c r="K165" s="7">
        <v>677.1340958093208</v>
      </c>
      <c r="L165" s="7">
        <v>307.07767048739004</v>
      </c>
      <c r="N165" s="7">
        <v>2.641</v>
      </c>
      <c r="O165" s="7">
        <v>4.2939999999999996</v>
      </c>
      <c r="P165" s="7">
        <v>0.38</v>
      </c>
    </row>
    <row r="166" spans="1:16">
      <c r="A166" s="6">
        <v>46003</v>
      </c>
      <c r="B166" s="4" t="str">
        <f>Config!$B$3</f>
        <v>07:00</v>
      </c>
      <c r="C166" s="4" t="str">
        <f>Config!$B$2</f>
        <v>Mae Na Rua</v>
      </c>
      <c r="D166" s="7">
        <v>489.65100000000001</v>
      </c>
      <c r="E166" s="7">
        <v>1658675.7961466999</v>
      </c>
      <c r="F166" s="7">
        <v>161541.79408427881</v>
      </c>
      <c r="G166" s="7">
        <v>0</v>
      </c>
      <c r="H166" s="7">
        <v>154496.8002</v>
      </c>
      <c r="I166">
        <v>0</v>
      </c>
      <c r="J166" s="7">
        <v>0</v>
      </c>
      <c r="K166" s="7">
        <v>677.80771385419632</v>
      </c>
      <c r="L166" s="7">
        <v>307.39610862457005</v>
      </c>
      <c r="N166" s="7">
        <v>4.2939999999999996</v>
      </c>
      <c r="O166" s="7">
        <v>0.38</v>
      </c>
      <c r="P166" s="7">
        <v>0.36299999999999999</v>
      </c>
    </row>
    <row r="167" spans="1:16">
      <c r="A167" s="6">
        <v>46004</v>
      </c>
      <c r="B167" s="4" t="str">
        <f>Config!$B$3</f>
        <v>07:00</v>
      </c>
      <c r="C167" s="4" t="str">
        <f>Config!$B$2</f>
        <v>Mae Na Rua</v>
      </c>
      <c r="D167" s="7">
        <v>489.63799999999998</v>
      </c>
      <c r="E167" s="7">
        <v>1652616.0060848999</v>
      </c>
      <c r="F167" s="7">
        <v>143688.1908044967</v>
      </c>
      <c r="G167" s="7">
        <v>0</v>
      </c>
      <c r="H167" s="7">
        <v>148763.7691</v>
      </c>
      <c r="I167">
        <v>0</v>
      </c>
      <c r="J167" s="7">
        <v>0</v>
      </c>
      <c r="K167" s="7">
        <v>677.1340958093208</v>
      </c>
      <c r="L167" s="7">
        <v>307.07767048739004</v>
      </c>
      <c r="N167" s="7">
        <v>0.38</v>
      </c>
      <c r="O167" s="7">
        <v>0.36299999999999999</v>
      </c>
      <c r="P167" s="7">
        <v>0.76800000000000002</v>
      </c>
    </row>
    <row r="168" spans="1:16">
      <c r="A168" s="6">
        <v>46005</v>
      </c>
      <c r="B168" s="4" t="str">
        <f>Config!$B$3</f>
        <v>07:00</v>
      </c>
      <c r="C168" s="4" t="str">
        <f>Config!$B$2</f>
        <v>Mae Na Rua</v>
      </c>
      <c r="D168" s="7">
        <v>489.64400000000001</v>
      </c>
      <c r="E168" s="7">
        <v>1655645.1614623</v>
      </c>
      <c r="F168" s="7">
        <v>152568.33660566524</v>
      </c>
      <c r="G168" s="7">
        <v>0</v>
      </c>
      <c r="H168" s="7">
        <v>148554.47219999999</v>
      </c>
      <c r="I168">
        <v>0</v>
      </c>
      <c r="J168" s="7">
        <v>0</v>
      </c>
      <c r="K168" s="7">
        <v>677.47177799470535</v>
      </c>
      <c r="L168" s="7">
        <v>307.23725027043002</v>
      </c>
      <c r="N168" s="7">
        <v>0.36299999999999999</v>
      </c>
      <c r="O168" s="7">
        <v>0.76800000000000002</v>
      </c>
      <c r="P168" s="7">
        <v>7.9000000000000001E-2</v>
      </c>
    </row>
    <row r="169" spans="1:16">
      <c r="A169" s="6">
        <v>46006</v>
      </c>
      <c r="B169" s="4" t="str">
        <f>Config!$B$3</f>
        <v>07:00</v>
      </c>
      <c r="C169" s="4" t="str">
        <f>Config!$B$2</f>
        <v>Mae Na Rua</v>
      </c>
      <c r="D169" s="7">
        <v>489.64400000000001</v>
      </c>
      <c r="E169" s="7">
        <v>1655645.1614623</v>
      </c>
      <c r="F169" s="7">
        <v>147995.95882826514</v>
      </c>
      <c r="G169" s="7">
        <v>0</v>
      </c>
      <c r="H169" s="7">
        <v>147011.24979999999</v>
      </c>
      <c r="I169">
        <v>0</v>
      </c>
      <c r="J169" s="7">
        <v>0</v>
      </c>
      <c r="K169" s="7">
        <v>677.47177799470535</v>
      </c>
      <c r="L169" s="7">
        <v>307.23725027043002</v>
      </c>
      <c r="N169" s="7">
        <v>0.76800000000000002</v>
      </c>
      <c r="O169" s="7">
        <v>7.9000000000000001E-2</v>
      </c>
      <c r="P169" s="7">
        <v>0</v>
      </c>
    </row>
    <row r="170" spans="1:16">
      <c r="A170" s="6">
        <v>46007</v>
      </c>
      <c r="B170" s="4" t="str">
        <f>Config!$B$3</f>
        <v>07:00</v>
      </c>
      <c r="C170" s="4" t="str">
        <f>Config!$B$2</f>
        <v>Mae Na Rua</v>
      </c>
      <c r="D170" s="7">
        <v>489.63799999999998</v>
      </c>
      <c r="E170" s="7">
        <v>1652616.0060848999</v>
      </c>
      <c r="F170" s="7">
        <v>134491.21018889663</v>
      </c>
      <c r="G170" s="7">
        <v>0</v>
      </c>
      <c r="H170" s="7">
        <v>136536.1538</v>
      </c>
      <c r="I170">
        <v>0</v>
      </c>
      <c r="J170" s="7">
        <v>0</v>
      </c>
      <c r="K170" s="7">
        <v>677.1340958093208</v>
      </c>
      <c r="L170" s="7">
        <v>307.07767048739004</v>
      </c>
      <c r="M170" s="11">
        <v>1</v>
      </c>
      <c r="N170" s="7">
        <v>7.9000000000000001E-2</v>
      </c>
      <c r="O170" s="7">
        <v>0</v>
      </c>
      <c r="P170" s="11">
        <v>5.3979999999999997</v>
      </c>
    </row>
    <row r="171" spans="1:16">
      <c r="A171" s="6">
        <v>46008</v>
      </c>
      <c r="B171" s="4" t="str">
        <f>Config!$B$3</f>
        <v>07:00</v>
      </c>
      <c r="C171" s="4" t="str">
        <f>Config!$B$2</f>
        <v>Mae Na Rua</v>
      </c>
      <c r="D171" s="7">
        <v>489.63799999999998</v>
      </c>
      <c r="E171" s="7">
        <v>1652616.0060848999</v>
      </c>
      <c r="F171" s="7">
        <v>135923.13246629672</v>
      </c>
      <c r="G171" s="7">
        <v>0</v>
      </c>
      <c r="H171" s="7">
        <v>134938.92069999999</v>
      </c>
      <c r="I171">
        <v>0</v>
      </c>
      <c r="J171" s="7">
        <v>0</v>
      </c>
      <c r="K171" s="7">
        <v>677.1340958093208</v>
      </c>
      <c r="L171" s="7">
        <v>307.07767048739004</v>
      </c>
      <c r="M171" s="11">
        <v>1</v>
      </c>
      <c r="N171" s="7">
        <v>0</v>
      </c>
      <c r="O171" s="7">
        <v>5.3979999999999997</v>
      </c>
      <c r="P171" s="11">
        <v>1.171</v>
      </c>
    </row>
    <row r="172" spans="1:16">
      <c r="A172" s="6">
        <v>46009</v>
      </c>
      <c r="B172" s="4" t="str">
        <f>Config!$B$3</f>
        <v>07:00</v>
      </c>
      <c r="C172" s="4" t="str">
        <f>Config!$B$2</f>
        <v>Mae Na Rua</v>
      </c>
      <c r="D172" s="7">
        <v>489.63099999999997</v>
      </c>
      <c r="E172" s="7">
        <v>1652616.0060848999</v>
      </c>
      <c r="F172" s="7">
        <v>126557.10026629671</v>
      </c>
      <c r="G172" s="7">
        <v>0</v>
      </c>
      <c r="H172" s="7">
        <v>125572.8885</v>
      </c>
      <c r="I172">
        <v>0</v>
      </c>
      <c r="J172" s="7">
        <v>0</v>
      </c>
      <c r="K172" s="7">
        <v>677.1340958093208</v>
      </c>
      <c r="L172" s="7">
        <v>307.07767048739004</v>
      </c>
      <c r="M172" s="10"/>
      <c r="N172" s="7">
        <v>5.3979999999999997</v>
      </c>
      <c r="O172" s="7">
        <v>1.171</v>
      </c>
      <c r="P172" s="7">
        <v>0</v>
      </c>
    </row>
    <row r="173" spans="1:16">
      <c r="A173" s="6">
        <v>46010</v>
      </c>
      <c r="B173" s="4" t="str">
        <f>Config!$B$3</f>
        <v>07:00</v>
      </c>
      <c r="C173" s="4" t="str">
        <f>Config!$B$2</f>
        <v>Mae Na Rua</v>
      </c>
      <c r="D173" s="7">
        <v>489.625</v>
      </c>
      <c r="E173" s="7">
        <v>1649588.4715396999</v>
      </c>
      <c r="F173" s="7">
        <v>115580.61307334204</v>
      </c>
      <c r="G173" s="7">
        <v>0</v>
      </c>
      <c r="H173" s="7">
        <v>117624.4418</v>
      </c>
      <c r="I173">
        <v>0</v>
      </c>
      <c r="J173" s="7">
        <v>0</v>
      </c>
      <c r="K173" s="7">
        <v>676.79035294076959</v>
      </c>
      <c r="L173" s="7">
        <v>306.91546560122998</v>
      </c>
      <c r="M173" s="10"/>
      <c r="N173" s="7">
        <v>1.171</v>
      </c>
      <c r="O173" s="7">
        <v>0</v>
      </c>
      <c r="P173" s="7">
        <v>0</v>
      </c>
    </row>
    <row r="174" spans="1:16">
      <c r="A174" s="6">
        <v>46011</v>
      </c>
      <c r="B174" s="4" t="str">
        <f>Config!$B$3</f>
        <v>07:00</v>
      </c>
      <c r="C174" s="4" t="str">
        <f>Config!$B$2</f>
        <v>Mae Na Rua</v>
      </c>
      <c r="D174" s="7">
        <v>489.625</v>
      </c>
      <c r="E174" s="7">
        <v>1649588.4715396999</v>
      </c>
      <c r="F174" s="7">
        <v>109427.09161854199</v>
      </c>
      <c r="G174" s="7">
        <v>0</v>
      </c>
      <c r="H174" s="7">
        <v>108443.3858</v>
      </c>
      <c r="I174">
        <v>0</v>
      </c>
      <c r="J174" s="7">
        <v>0</v>
      </c>
      <c r="K174" s="7">
        <v>676.79035294076959</v>
      </c>
      <c r="L174" s="7">
        <v>306.91546560122998</v>
      </c>
      <c r="M174" s="10"/>
      <c r="N174" s="7">
        <v>0</v>
      </c>
      <c r="O174" s="7">
        <v>0</v>
      </c>
      <c r="P174" s="7">
        <v>0</v>
      </c>
    </row>
    <row r="175" spans="1:16">
      <c r="A175" s="6">
        <v>46012</v>
      </c>
      <c r="B175" s="4" t="str">
        <f>Config!$B$3</f>
        <v>07:00</v>
      </c>
      <c r="C175" s="4" t="str">
        <f>Config!$B$2</f>
        <v>Mae Na Rua</v>
      </c>
      <c r="D175" s="7">
        <v>489.625</v>
      </c>
      <c r="E175" s="7">
        <v>1649588.4715396999</v>
      </c>
      <c r="F175" s="7">
        <v>112236.09011854199</v>
      </c>
      <c r="G175" s="7">
        <v>0</v>
      </c>
      <c r="H175" s="7">
        <v>111252.38430000001</v>
      </c>
      <c r="I175">
        <v>0</v>
      </c>
      <c r="J175" s="7">
        <v>0</v>
      </c>
      <c r="K175" s="7">
        <v>676.79035294076959</v>
      </c>
      <c r="L175" s="7">
        <v>306.91546560122998</v>
      </c>
      <c r="M175" s="10"/>
      <c r="N175" s="7">
        <v>0</v>
      </c>
      <c r="O175" s="7">
        <v>0</v>
      </c>
      <c r="P175" s="7">
        <v>0</v>
      </c>
    </row>
    <row r="176" spans="1:16">
      <c r="A176" s="6">
        <v>46013</v>
      </c>
      <c r="B176" s="4" t="str">
        <f>Config!$B$3</f>
        <v>07:00</v>
      </c>
      <c r="C176" s="4" t="str">
        <f>Config!$B$2</f>
        <v>Mae Na Rua</v>
      </c>
      <c r="D176" s="7">
        <v>489.625</v>
      </c>
      <c r="E176" s="7">
        <v>1649588.4715396999</v>
      </c>
      <c r="F176" s="7">
        <v>105147.56961854199</v>
      </c>
      <c r="G176" s="7">
        <v>0</v>
      </c>
      <c r="H176" s="7">
        <v>104163.86380000001</v>
      </c>
      <c r="I176">
        <v>0</v>
      </c>
      <c r="J176" s="7">
        <v>0</v>
      </c>
      <c r="K176" s="7">
        <v>676.79035294076959</v>
      </c>
      <c r="L176" s="7">
        <v>306.91546560122998</v>
      </c>
      <c r="M176" s="10"/>
      <c r="N176" s="7">
        <v>0</v>
      </c>
      <c r="O176" s="7">
        <v>0</v>
      </c>
      <c r="P176" s="7">
        <v>0</v>
      </c>
    </row>
    <row r="177" spans="1:16">
      <c r="A177" s="6">
        <v>46014</v>
      </c>
      <c r="B177" s="4" t="str">
        <f>Config!$B$3</f>
        <v>07:00</v>
      </c>
      <c r="C177" s="4" t="str">
        <f>Config!$B$2</f>
        <v>Mae Na Rua</v>
      </c>
      <c r="D177" s="7">
        <v>489.61799999999999</v>
      </c>
      <c r="E177" s="7">
        <v>1646562.4785364</v>
      </c>
      <c r="F177" s="7">
        <v>97996.566070838511</v>
      </c>
      <c r="G177" s="7">
        <v>0</v>
      </c>
      <c r="H177" s="7">
        <v>100039.38280000001</v>
      </c>
      <c r="I177">
        <v>0</v>
      </c>
      <c r="J177" s="7">
        <v>0</v>
      </c>
      <c r="K177" s="7">
        <v>676.43022405088709</v>
      </c>
      <c r="L177" s="7">
        <v>306.74605008754003</v>
      </c>
      <c r="M177" s="10"/>
      <c r="N177" s="7">
        <v>0</v>
      </c>
      <c r="O177" s="7">
        <v>0</v>
      </c>
      <c r="P177" s="7">
        <v>0</v>
      </c>
    </row>
    <row r="178" spans="1:16">
      <c r="A178" s="6">
        <v>46015</v>
      </c>
      <c r="B178" s="4" t="str">
        <f>Config!$B$3</f>
        <v>07:00</v>
      </c>
      <c r="C178" s="4" t="str">
        <f>Config!$B$2</f>
        <v>Mae Na Rua</v>
      </c>
      <c r="D178" s="7">
        <v>489.61799999999999</v>
      </c>
      <c r="E178" s="7">
        <v>1646562.4785364</v>
      </c>
      <c r="F178" s="7">
        <v>97696.448964138428</v>
      </c>
      <c r="G178" s="7">
        <v>0</v>
      </c>
      <c r="H178" s="7">
        <v>96713.272689999998</v>
      </c>
      <c r="I178">
        <v>0</v>
      </c>
      <c r="J178" s="7">
        <v>0</v>
      </c>
      <c r="K178" s="7">
        <v>676.43022405088709</v>
      </c>
      <c r="L178" s="7">
        <v>306.74605008754003</v>
      </c>
      <c r="M178" s="10"/>
      <c r="N178" s="7">
        <v>0</v>
      </c>
      <c r="O178" s="7">
        <v>0</v>
      </c>
      <c r="P178" s="7">
        <v>1.0999999999999999E-2</v>
      </c>
    </row>
    <row r="179" spans="1:16">
      <c r="A179" s="6">
        <v>46016</v>
      </c>
      <c r="B179" s="4" t="str">
        <f>Config!$B$3</f>
        <v>07:00</v>
      </c>
      <c r="C179" s="4" t="str">
        <f>Config!$B$2</f>
        <v>Mae Na Rua</v>
      </c>
      <c r="D179" s="7">
        <v>489.61799999999999</v>
      </c>
      <c r="E179" s="7">
        <v>1646562.4785364</v>
      </c>
      <c r="F179" s="7">
        <v>99768.461594138425</v>
      </c>
      <c r="G179" s="7">
        <v>0</v>
      </c>
      <c r="H179" s="7">
        <v>98785.285319999995</v>
      </c>
      <c r="I179">
        <v>0</v>
      </c>
      <c r="J179" s="7">
        <v>0</v>
      </c>
      <c r="K179" s="7">
        <v>676.43022405088709</v>
      </c>
      <c r="L179" s="7">
        <v>306.74605008754003</v>
      </c>
      <c r="M179" s="11">
        <v>1</v>
      </c>
      <c r="N179" s="7">
        <v>0</v>
      </c>
      <c r="O179" s="7">
        <v>1.0999999999999999E-2</v>
      </c>
      <c r="P179" s="11">
        <v>1.339</v>
      </c>
    </row>
    <row r="180" spans="1:16">
      <c r="A180" s="6">
        <v>46017</v>
      </c>
      <c r="B180" s="4" t="str">
        <f>Config!$B$3</f>
        <v>07:00</v>
      </c>
      <c r="C180" s="4" t="str">
        <f>Config!$B$2</f>
        <v>Mae Na Rua</v>
      </c>
      <c r="D180" s="7">
        <v>489.61900000000003</v>
      </c>
      <c r="E180" s="7">
        <v>1646562.4785364</v>
      </c>
      <c r="F180" s="7">
        <v>98376.125304138433</v>
      </c>
      <c r="G180" s="7">
        <v>0</v>
      </c>
      <c r="H180" s="7">
        <v>97392.949030000003</v>
      </c>
      <c r="I180">
        <v>0</v>
      </c>
      <c r="J180" s="7">
        <v>0</v>
      </c>
      <c r="K180" s="7">
        <v>676.43022405088709</v>
      </c>
      <c r="L180" s="7">
        <v>306.74605008754003</v>
      </c>
      <c r="M180" s="10"/>
      <c r="N180" s="7">
        <v>1.0999999999999999E-2</v>
      </c>
      <c r="O180" s="7">
        <v>1.339</v>
      </c>
      <c r="P180" s="7">
        <v>0</v>
      </c>
    </row>
    <row r="181" spans="1:16">
      <c r="A181" s="6">
        <v>46018</v>
      </c>
      <c r="B181" s="4" t="str">
        <f>Config!$B$3</f>
        <v>07:00</v>
      </c>
      <c r="C181" s="4" t="str">
        <f>Config!$B$2</f>
        <v>Mae Na Rua</v>
      </c>
      <c r="D181" s="7">
        <v>489.61799999999999</v>
      </c>
      <c r="E181" s="7">
        <v>1646562.4785364</v>
      </c>
      <c r="F181" s="7">
        <v>91510.302444138433</v>
      </c>
      <c r="G181" s="7">
        <v>0</v>
      </c>
      <c r="H181" s="7">
        <v>90527.126170000003</v>
      </c>
      <c r="I181">
        <v>0</v>
      </c>
      <c r="J181" s="7">
        <v>0</v>
      </c>
      <c r="K181" s="7">
        <v>676.43022405088709</v>
      </c>
      <c r="L181" s="7">
        <v>306.74605008754003</v>
      </c>
      <c r="M181" s="10"/>
      <c r="N181" s="7">
        <v>1.339</v>
      </c>
      <c r="O181" s="7">
        <v>0</v>
      </c>
      <c r="P181" s="7">
        <v>0</v>
      </c>
    </row>
    <row r="182" spans="1:16">
      <c r="A182" s="6">
        <v>46019</v>
      </c>
      <c r="B182" s="4" t="str">
        <f>Config!$B$3</f>
        <v>07:00</v>
      </c>
      <c r="C182" s="4" t="str">
        <f>Config!$B$2</f>
        <v>Mae Na Rua</v>
      </c>
      <c r="D182" s="7">
        <v>489.61200000000002</v>
      </c>
      <c r="E182" s="7">
        <v>1646562.4785364</v>
      </c>
      <c r="F182" s="7">
        <v>84241.414214138436</v>
      </c>
      <c r="G182" s="7">
        <v>0</v>
      </c>
      <c r="H182" s="7">
        <v>83258.237940000006</v>
      </c>
      <c r="I182">
        <v>0</v>
      </c>
      <c r="J182" s="7">
        <v>0</v>
      </c>
      <c r="K182" s="7">
        <v>676.43022405088709</v>
      </c>
      <c r="L182" s="7">
        <v>306.74605008754003</v>
      </c>
      <c r="M182" s="10"/>
      <c r="N182" s="7">
        <v>0</v>
      </c>
      <c r="O182" s="7">
        <v>0</v>
      </c>
      <c r="P182" s="7">
        <v>0</v>
      </c>
    </row>
    <row r="183" spans="1:16">
      <c r="A183" s="6">
        <v>46020</v>
      </c>
      <c r="B183" s="4" t="str">
        <f>Config!$B$3</f>
        <v>07:00</v>
      </c>
      <c r="C183" s="4" t="str">
        <f>Config!$B$2</f>
        <v>Mae Na Rua</v>
      </c>
      <c r="D183" s="7">
        <v>489.60599999999999</v>
      </c>
      <c r="E183" s="7">
        <v>1643538.2164867001</v>
      </c>
      <c r="F183" s="7">
        <v>76839.843350189229</v>
      </c>
      <c r="G183" s="7">
        <v>0</v>
      </c>
      <c r="H183" s="7">
        <v>78883.483410000001</v>
      </c>
      <c r="I183">
        <v>0</v>
      </c>
      <c r="J183" s="7">
        <v>0</v>
      </c>
      <c r="K183" s="7">
        <v>674.67092939357383</v>
      </c>
      <c r="L183" s="7">
        <v>305.95106049556</v>
      </c>
      <c r="M183" s="10"/>
      <c r="N183" s="7">
        <v>0</v>
      </c>
      <c r="O183" s="7">
        <v>0</v>
      </c>
      <c r="P183" s="7">
        <v>0</v>
      </c>
    </row>
    <row r="184" spans="1:16">
      <c r="A184" s="6">
        <v>46021</v>
      </c>
      <c r="B184" s="4" t="str">
        <f>Config!$B$3</f>
        <v>07:00</v>
      </c>
      <c r="C184" s="4" t="str">
        <f>Config!$B$2</f>
        <v>Mae Na Rua</v>
      </c>
      <c r="D184" s="7">
        <v>489.60599999999999</v>
      </c>
      <c r="E184" s="7">
        <v>1643538.2164867001</v>
      </c>
      <c r="F184" s="7">
        <v>72948.155639889126</v>
      </c>
      <c r="G184" s="7">
        <v>0</v>
      </c>
      <c r="H184" s="7">
        <v>71967.533649999998</v>
      </c>
      <c r="I184">
        <v>0</v>
      </c>
      <c r="J184" s="7">
        <v>0</v>
      </c>
      <c r="K184" s="7">
        <v>674.67092939357383</v>
      </c>
      <c r="L184" s="7">
        <v>305.95106049556</v>
      </c>
      <c r="M184" s="10"/>
      <c r="N184" s="7">
        <v>0</v>
      </c>
      <c r="O184" s="7">
        <v>0</v>
      </c>
      <c r="P184" s="7">
        <v>0</v>
      </c>
    </row>
    <row r="185" spans="1:16">
      <c r="A185" s="6">
        <v>46022</v>
      </c>
      <c r="B185" s="4" t="str">
        <f>Config!$B$3</f>
        <v>07:00</v>
      </c>
      <c r="C185" s="4" t="str">
        <f>Config!$B$2</f>
        <v>Mae Na Rua</v>
      </c>
      <c r="D185" s="7">
        <v>489.60599999999999</v>
      </c>
      <c r="E185" s="7">
        <v>1643538.2164867001</v>
      </c>
      <c r="F185" s="7">
        <v>69626.237029889133</v>
      </c>
      <c r="G185" s="7">
        <v>0</v>
      </c>
      <c r="H185" s="7">
        <v>68645.615040000004</v>
      </c>
      <c r="I185">
        <v>0</v>
      </c>
      <c r="J185" s="7">
        <v>0</v>
      </c>
      <c r="K185" s="7">
        <v>674.67092939357383</v>
      </c>
      <c r="L185" s="7">
        <v>305.95106049556</v>
      </c>
      <c r="M185" s="10"/>
      <c r="N185" s="7">
        <v>0</v>
      </c>
      <c r="O185" s="7">
        <v>0</v>
      </c>
      <c r="P185" s="7">
        <v>0</v>
      </c>
    </row>
    <row r="186" spans="1:16">
      <c r="A186" s="6">
        <v>46023</v>
      </c>
      <c r="B186" s="4" t="str">
        <f>Config!$B$3</f>
        <v>07:00</v>
      </c>
      <c r="C186" s="4" t="str">
        <f>Config!$B$2</f>
        <v>Mae Na Rua</v>
      </c>
      <c r="D186" s="7">
        <v>489.60599999999999</v>
      </c>
      <c r="E186" s="7">
        <v>1643538.2164867001</v>
      </c>
      <c r="F186" s="9">
        <v>78402.863886589228</v>
      </c>
      <c r="G186" s="7">
        <v>0</v>
      </c>
      <c r="H186" s="7">
        <v>77422.241410000002</v>
      </c>
      <c r="I186">
        <v>0</v>
      </c>
      <c r="J186" s="7">
        <v>0</v>
      </c>
      <c r="K186" s="7">
        <v>674.67092939357383</v>
      </c>
      <c r="L186" s="7">
        <v>305.95106049556</v>
      </c>
      <c r="M186" s="11">
        <v>1</v>
      </c>
      <c r="N186" s="7">
        <v>0</v>
      </c>
      <c r="O186" s="7">
        <v>0</v>
      </c>
      <c r="P186" s="11">
        <v>1.462</v>
      </c>
    </row>
    <row r="187" spans="1:16">
      <c r="A187" s="6">
        <v>46024</v>
      </c>
      <c r="B187" s="4" t="str">
        <f>Config!$B$3</f>
        <v>07:00</v>
      </c>
      <c r="C187" s="4" t="str">
        <f>Config!$B$2</f>
        <v>Mae Na Rua</v>
      </c>
      <c r="D187" s="7">
        <v>489.59899999999999</v>
      </c>
      <c r="E187" s="7">
        <v>1640521.8742390999</v>
      </c>
      <c r="F187" s="9">
        <v>69911.657463295516</v>
      </c>
      <c r="G187" s="7">
        <v>0</v>
      </c>
      <c r="H187" s="7">
        <v>71947.999150000003</v>
      </c>
      <c r="I187">
        <v>0</v>
      </c>
      <c r="J187" s="7">
        <v>0</v>
      </c>
      <c r="K187" s="7">
        <v>674.24697562169081</v>
      </c>
      <c r="L187" s="7">
        <v>305.75358527402</v>
      </c>
      <c r="M187" s="10"/>
      <c r="N187" s="7">
        <v>0</v>
      </c>
      <c r="O187" s="7">
        <v>1.462</v>
      </c>
      <c r="P187" s="7">
        <v>0.51300000000000001</v>
      </c>
    </row>
    <row r="188" spans="1:16">
      <c r="A188" s="6">
        <v>46025</v>
      </c>
      <c r="B188" s="4" t="str">
        <f>Config!$B$3</f>
        <v>07:00</v>
      </c>
      <c r="C188" s="4" t="str">
        <f>Config!$B$2</f>
        <v>Mae Na Rua</v>
      </c>
      <c r="D188" s="7">
        <v>489.59899999999999</v>
      </c>
      <c r="E188" s="7">
        <v>1640521.8742390999</v>
      </c>
      <c r="F188" s="9">
        <v>69280.778710895713</v>
      </c>
      <c r="G188" s="7">
        <v>0</v>
      </c>
      <c r="H188" s="7">
        <v>68300.778149999998</v>
      </c>
      <c r="I188">
        <v>0</v>
      </c>
      <c r="J188" s="7">
        <v>0</v>
      </c>
      <c r="K188" s="7">
        <v>674.24697562169081</v>
      </c>
      <c r="L188" s="7">
        <v>305.75358527402</v>
      </c>
      <c r="N188" s="7">
        <v>1.462</v>
      </c>
      <c r="O188" s="7">
        <v>0.51300000000000001</v>
      </c>
      <c r="P188" s="7">
        <v>0.186</v>
      </c>
    </row>
    <row r="189" spans="1:16">
      <c r="A189" s="6">
        <v>46026</v>
      </c>
      <c r="B189" s="4" t="str">
        <f>Config!$B$3</f>
        <v>07:00</v>
      </c>
      <c r="C189" s="4" t="str">
        <f>Config!$B$2</f>
        <v>Mae Na Rua</v>
      </c>
      <c r="D189" s="7">
        <v>489.59899999999999</v>
      </c>
      <c r="E189" s="7">
        <v>1640521.8742390999</v>
      </c>
      <c r="F189" s="9">
        <v>67163.598170895712</v>
      </c>
      <c r="G189" s="7">
        <v>0</v>
      </c>
      <c r="H189" s="7">
        <v>66183.597609999997</v>
      </c>
      <c r="I189">
        <v>0</v>
      </c>
      <c r="J189" s="7">
        <v>0</v>
      </c>
      <c r="K189" s="7">
        <v>674.24697562169081</v>
      </c>
      <c r="L189" s="7">
        <v>305.75358527402</v>
      </c>
      <c r="N189" s="7">
        <v>0.51300000000000001</v>
      </c>
      <c r="O189" s="7">
        <v>0.186</v>
      </c>
      <c r="P189" s="7">
        <v>1.3520000000000001</v>
      </c>
    </row>
    <row r="190" spans="1:16">
      <c r="A190" s="6">
        <v>46027</v>
      </c>
      <c r="B190" s="4" t="str">
        <f>Config!$B$3</f>
        <v>07:00</v>
      </c>
      <c r="C190" s="4" t="str">
        <f>Config!$B$2</f>
        <v>Mae Na Rua</v>
      </c>
      <c r="D190" s="7">
        <v>489.59300000000002</v>
      </c>
      <c r="E190" s="7">
        <v>1640521.8742390999</v>
      </c>
      <c r="F190" s="9">
        <v>55671.367700895709</v>
      </c>
      <c r="G190" s="7">
        <v>0</v>
      </c>
      <c r="H190" s="7">
        <v>54691.367140000002</v>
      </c>
      <c r="I190">
        <v>0</v>
      </c>
      <c r="J190" s="7">
        <v>0</v>
      </c>
      <c r="K190" s="7">
        <v>674.24697562169081</v>
      </c>
      <c r="L190" s="7">
        <v>305.75358527402</v>
      </c>
      <c r="N190" s="7">
        <v>0.186</v>
      </c>
      <c r="O190" s="7">
        <v>1.3520000000000001</v>
      </c>
      <c r="P190" s="7">
        <v>13.956</v>
      </c>
    </row>
    <row r="191" spans="1:16">
      <c r="A191" s="6">
        <v>46028</v>
      </c>
      <c r="B191" s="4" t="str">
        <f>Config!$B$3</f>
        <v>07:00</v>
      </c>
      <c r="C191" s="4" t="str">
        <f>Config!$B$2</f>
        <v>Mae Na Rua</v>
      </c>
      <c r="D191" s="7">
        <v>489.58699999999999</v>
      </c>
      <c r="E191" s="7">
        <v>1637507.2197397</v>
      </c>
      <c r="F191" s="9">
        <v>47965.922939947508</v>
      </c>
      <c r="G191" s="7">
        <v>3018.6</v>
      </c>
      <c r="H191" s="7">
        <v>46982.487789999999</v>
      </c>
      <c r="I191">
        <v>0</v>
      </c>
      <c r="J191" s="7">
        <v>0</v>
      </c>
      <c r="K191" s="7">
        <v>673.89935277006953</v>
      </c>
      <c r="L191" s="7">
        <v>305.59029657738</v>
      </c>
      <c r="N191" s="7">
        <v>1.3520000000000001</v>
      </c>
      <c r="O191" s="7">
        <v>13.956</v>
      </c>
      <c r="P191" s="7">
        <v>5.415</v>
      </c>
    </row>
    <row r="192" spans="1:16">
      <c r="A192" s="6">
        <v>46029</v>
      </c>
      <c r="B192" s="4" t="str">
        <f>Config!$B$3</f>
        <v>07:00</v>
      </c>
      <c r="C192" s="4" t="str">
        <f>Config!$B$2</f>
        <v>Mae Na Rua</v>
      </c>
      <c r="D192" s="7">
        <v>489.57499999999999</v>
      </c>
      <c r="E192" s="7">
        <v>1634494.0165122999</v>
      </c>
      <c r="F192" s="9">
        <v>22168.599381770346</v>
      </c>
      <c r="G192" s="7">
        <v>5572.7999999999993</v>
      </c>
      <c r="H192" s="7">
        <v>18630.02349</v>
      </c>
      <c r="I192">
        <v>0</v>
      </c>
      <c r="J192" s="7">
        <v>0</v>
      </c>
      <c r="K192" s="7">
        <v>673.55197164290666</v>
      </c>
      <c r="L192" s="7">
        <v>305.42714752752005</v>
      </c>
      <c r="N192" s="7">
        <v>13.956</v>
      </c>
      <c r="O192" s="7">
        <v>5.415</v>
      </c>
      <c r="P192" s="7">
        <v>4.2999999999999997E-2</v>
      </c>
    </row>
    <row r="193" spans="1:16">
      <c r="A193" s="6">
        <v>46030</v>
      </c>
      <c r="B193" s="4" t="str">
        <f>Config!$B$3</f>
        <v>07:00</v>
      </c>
      <c r="C193" s="4" t="str">
        <f>Config!$B$2</f>
        <v>Mae Na Rua</v>
      </c>
      <c r="D193" s="7">
        <v>489.54199999999997</v>
      </c>
      <c r="E193" s="7">
        <v>1625463.7590197001</v>
      </c>
      <c r="F193" s="9">
        <v>0</v>
      </c>
      <c r="G193" s="7">
        <v>2554.1999999999998</v>
      </c>
      <c r="H193" s="7">
        <v>333.7706771</v>
      </c>
      <c r="I193">
        <v>0</v>
      </c>
      <c r="J193" s="7">
        <v>0</v>
      </c>
      <c r="K193" s="7">
        <v>672.51407594385523</v>
      </c>
      <c r="L193" s="7">
        <v>304.93966555141003</v>
      </c>
      <c r="M193" s="11">
        <v>1</v>
      </c>
      <c r="N193" s="7">
        <v>5.415</v>
      </c>
      <c r="O193" s="7">
        <v>4.2999999999999997E-2</v>
      </c>
      <c r="P193" s="7">
        <v>0.39800000000000002</v>
      </c>
    </row>
    <row r="194" spans="1:16">
      <c r="A194" s="6">
        <v>46031</v>
      </c>
      <c r="B194" s="4" t="str">
        <f>Config!$B$3</f>
        <v>07:00</v>
      </c>
      <c r="C194" s="4" t="str">
        <f>Config!$B$2</f>
        <v>Mae Na Rua</v>
      </c>
      <c r="D194" s="7">
        <v>489.54300000000001</v>
      </c>
      <c r="E194" s="7">
        <v>1625463.7590197001</v>
      </c>
      <c r="F194" s="9">
        <v>3600.8824674952657</v>
      </c>
      <c r="G194" s="7">
        <v>0</v>
      </c>
      <c r="H194" s="7">
        <v>2623.4287260000001</v>
      </c>
      <c r="I194">
        <v>0</v>
      </c>
      <c r="J194" s="7">
        <v>0</v>
      </c>
      <c r="K194" s="7">
        <v>672.51407594385523</v>
      </c>
      <c r="L194" s="7">
        <v>304.93966555141003</v>
      </c>
      <c r="N194" s="7">
        <v>4.2999999999999997E-2</v>
      </c>
      <c r="O194" s="7">
        <v>0.39800000000000002</v>
      </c>
      <c r="P194" s="7">
        <v>8.0760000000000005</v>
      </c>
    </row>
    <row r="195" spans="1:16">
      <c r="A195" s="6">
        <v>46032</v>
      </c>
      <c r="B195" s="4" t="str">
        <f>Config!$B$3</f>
        <v>07:00</v>
      </c>
      <c r="C195" s="4" t="str">
        <f>Config!$B$2</f>
        <v>Mae Na Rua</v>
      </c>
      <c r="D195" s="7">
        <v>489.55599999999998</v>
      </c>
      <c r="E195" s="7">
        <v>1628472.3057532001</v>
      </c>
      <c r="F195" s="9">
        <v>9782.8449975937183</v>
      </c>
      <c r="G195" s="7">
        <v>0</v>
      </c>
      <c r="H195" s="7">
        <v>5796.3379560000003</v>
      </c>
      <c r="I195">
        <v>0</v>
      </c>
      <c r="J195" s="7">
        <v>0</v>
      </c>
      <c r="K195" s="7">
        <v>672.85873525845818</v>
      </c>
      <c r="L195" s="7">
        <v>305.10157283528997</v>
      </c>
      <c r="N195" s="7">
        <v>0.39800000000000002</v>
      </c>
      <c r="O195" s="7">
        <v>8.0760000000000005</v>
      </c>
      <c r="P195" s="7">
        <v>1.4E-2</v>
      </c>
    </row>
    <row r="196" spans="1:16">
      <c r="A196" s="6">
        <v>46033</v>
      </c>
      <c r="B196" s="4" t="str">
        <f>Config!$B$3</f>
        <v>07:00</v>
      </c>
      <c r="C196" s="4" t="str">
        <f>Config!$B$2</f>
        <v>Mae Na Rua</v>
      </c>
      <c r="D196" s="7">
        <v>489.55500000000001</v>
      </c>
      <c r="E196" s="7">
        <v>1628472.3057532001</v>
      </c>
      <c r="F196" s="9">
        <v>9975.845432093749</v>
      </c>
      <c r="G196" s="7">
        <v>0</v>
      </c>
      <c r="H196" s="7">
        <v>8997.8851240000004</v>
      </c>
      <c r="I196">
        <v>0</v>
      </c>
      <c r="J196" s="7">
        <v>0</v>
      </c>
      <c r="K196" s="7">
        <v>672.85873525845818</v>
      </c>
      <c r="L196" s="7">
        <v>305.10157283528997</v>
      </c>
      <c r="N196" s="7">
        <v>8.0760000000000005</v>
      </c>
      <c r="O196" s="7">
        <v>1.4E-2</v>
      </c>
      <c r="P196" s="7">
        <v>8.9999999999999998E-4</v>
      </c>
    </row>
    <row r="197" spans="1:16">
      <c r="A197" s="6">
        <v>46034</v>
      </c>
      <c r="B197" s="4" t="str">
        <f>Config!$B$3</f>
        <v>07:00</v>
      </c>
      <c r="C197" s="4" t="str">
        <f>Config!$B$2</f>
        <v>Mae Na Rua</v>
      </c>
      <c r="D197" s="7">
        <v>489.56099999999998</v>
      </c>
      <c r="E197" s="7">
        <v>1631482.3951735001</v>
      </c>
      <c r="F197" s="9">
        <v>16703.296153378185</v>
      </c>
      <c r="G197" s="7">
        <v>0</v>
      </c>
      <c r="H197" s="7">
        <v>12714.737880000001</v>
      </c>
      <c r="I197">
        <v>0</v>
      </c>
      <c r="J197" s="7">
        <v>0</v>
      </c>
      <c r="K197" s="7">
        <v>673.20476177529929</v>
      </c>
      <c r="L197" s="7">
        <v>305.26409130291</v>
      </c>
      <c r="N197" s="7">
        <v>1.4E-2</v>
      </c>
      <c r="O197" s="7">
        <v>8.9999999999999998E-4</v>
      </c>
      <c r="P197" s="7">
        <v>0</v>
      </c>
    </row>
    <row r="198" spans="1:16">
      <c r="A198" s="6">
        <v>46035</v>
      </c>
      <c r="B198" s="4" t="str">
        <f>Config!$B$3</f>
        <v>07:00</v>
      </c>
      <c r="C198" s="4" t="str">
        <f>Config!$B$2</f>
        <v>Mae Na Rua</v>
      </c>
      <c r="D198" s="7">
        <v>489.56099999999998</v>
      </c>
      <c r="E198" s="7">
        <v>1631482.3951735001</v>
      </c>
      <c r="F198" s="9">
        <v>15573.39157307821</v>
      </c>
      <c r="G198" s="7">
        <v>0</v>
      </c>
      <c r="H198" s="7">
        <v>14594.92272</v>
      </c>
      <c r="I198">
        <v>0</v>
      </c>
      <c r="J198" s="7">
        <v>0</v>
      </c>
      <c r="K198" s="7">
        <v>673.20476177529929</v>
      </c>
      <c r="L198" s="7">
        <v>305.26409130291</v>
      </c>
      <c r="N198" s="7">
        <v>8.9999999999999998E-4</v>
      </c>
      <c r="O198" s="7">
        <v>0</v>
      </c>
      <c r="P198" s="7">
        <v>0</v>
      </c>
    </row>
    <row r="199" spans="1:16">
      <c r="A199" s="6">
        <v>46036</v>
      </c>
      <c r="B199" s="4" t="str">
        <f>Config!$B$3</f>
        <v>07:00</v>
      </c>
      <c r="C199" s="4" t="str">
        <f>Config!$B$2</f>
        <v>Mae Na Rua</v>
      </c>
      <c r="D199" s="7">
        <v>489.56799999999998</v>
      </c>
      <c r="E199" s="7">
        <v>1631482.3951735001</v>
      </c>
      <c r="F199" s="9">
        <v>19231.711163078209</v>
      </c>
      <c r="G199" s="7">
        <v>0</v>
      </c>
      <c r="H199" s="7">
        <v>18253.242310000001</v>
      </c>
      <c r="I199">
        <v>0</v>
      </c>
      <c r="J199" s="7">
        <v>0</v>
      </c>
      <c r="K199" s="7">
        <v>673.20476177529929</v>
      </c>
      <c r="L199" s="7">
        <v>305.26409130291</v>
      </c>
      <c r="N199" s="7">
        <v>0</v>
      </c>
      <c r="O199" s="7">
        <v>0</v>
      </c>
      <c r="P199" s="7">
        <v>0</v>
      </c>
    </row>
    <row r="200" spans="1:16">
      <c r="A200" s="6">
        <v>46037</v>
      </c>
      <c r="B200" s="4" t="str">
        <f>Config!$B$3</f>
        <v>07:00</v>
      </c>
      <c r="C200" s="4" t="str">
        <f>Config!$B$2</f>
        <v>Mae Na Rua</v>
      </c>
      <c r="D200" s="7">
        <v>489.56799999999998</v>
      </c>
      <c r="E200" s="7">
        <v>1631482.3951735001</v>
      </c>
      <c r="F200" s="9">
        <v>21729.904653078207</v>
      </c>
      <c r="G200" s="7">
        <v>0</v>
      </c>
      <c r="H200" s="7">
        <v>20751.435799999999</v>
      </c>
      <c r="I200">
        <v>0</v>
      </c>
      <c r="J200" s="7">
        <v>0</v>
      </c>
      <c r="K200" s="7">
        <v>673.20476177529929</v>
      </c>
      <c r="L200" s="7">
        <v>305.26409130291</v>
      </c>
      <c r="N200" s="7">
        <v>0</v>
      </c>
      <c r="O200" s="7">
        <v>0</v>
      </c>
      <c r="P200" s="7">
        <v>0</v>
      </c>
    </row>
    <row r="201" spans="1:16">
      <c r="A201" s="6">
        <v>46038</v>
      </c>
      <c r="B201" s="4" t="str">
        <f>Config!$B$3</f>
        <v>07:00</v>
      </c>
      <c r="C201" s="4" t="str">
        <f>Config!$B$2</f>
        <v>Mae Na Rua</v>
      </c>
      <c r="D201" s="7">
        <v>489.56799999999998</v>
      </c>
      <c r="E201" s="7">
        <v>1631482.3951735001</v>
      </c>
      <c r="F201" s="9">
        <v>22225.218703078208</v>
      </c>
      <c r="G201" s="7">
        <v>0</v>
      </c>
      <c r="H201" s="7">
        <v>21246.74985</v>
      </c>
      <c r="I201">
        <v>0</v>
      </c>
      <c r="J201" s="7">
        <v>0</v>
      </c>
      <c r="K201" s="7">
        <v>673.20476177529929</v>
      </c>
      <c r="L201" s="7">
        <v>305.26409130291</v>
      </c>
      <c r="N201" s="7">
        <v>0</v>
      </c>
      <c r="O201" s="7">
        <v>0</v>
      </c>
      <c r="P201" s="7">
        <v>0</v>
      </c>
    </row>
    <row r="202" spans="1:16">
      <c r="A202" s="6">
        <v>46039</v>
      </c>
      <c r="B202" s="4" t="str">
        <f>Config!$B$3</f>
        <v>07:00</v>
      </c>
      <c r="C202" s="4" t="str">
        <f>Config!$B$2</f>
        <v>Mae Na Rua</v>
      </c>
      <c r="D202" s="7">
        <v>489.56799999999998</v>
      </c>
      <c r="E202" s="7">
        <v>1631482.3951735001</v>
      </c>
      <c r="F202" s="9">
        <v>21070.653023078208</v>
      </c>
      <c r="G202" s="7">
        <v>0</v>
      </c>
      <c r="H202" s="7">
        <v>20092.18417</v>
      </c>
      <c r="I202">
        <v>0</v>
      </c>
      <c r="J202" s="7">
        <v>0</v>
      </c>
      <c r="K202" s="7">
        <v>673.20476177529929</v>
      </c>
      <c r="L202" s="7">
        <v>305.26409130291</v>
      </c>
      <c r="N202" s="7">
        <v>0</v>
      </c>
      <c r="O202" s="7">
        <v>0</v>
      </c>
      <c r="P202" s="7">
        <v>8.9999999999999998E-4</v>
      </c>
    </row>
    <row r="203" spans="1:16">
      <c r="A203" s="6">
        <v>46040</v>
      </c>
      <c r="B203" s="4" t="str">
        <f>Config!$B$3</f>
        <v>07:00</v>
      </c>
      <c r="C203" s="4" t="str">
        <f>Config!$B$2</f>
        <v>Mae Na Rua</v>
      </c>
      <c r="D203" s="7">
        <v>489.56799999999998</v>
      </c>
      <c r="E203" s="7">
        <v>1631482.3951735001</v>
      </c>
      <c r="F203" s="9">
        <v>17922.760163078208</v>
      </c>
      <c r="G203" s="7">
        <v>0</v>
      </c>
      <c r="H203" s="7">
        <v>16944.291310000001</v>
      </c>
      <c r="I203">
        <v>0</v>
      </c>
      <c r="J203" s="7">
        <v>0</v>
      </c>
      <c r="K203" s="7">
        <v>673.20476177529929</v>
      </c>
      <c r="L203" s="7">
        <v>305.26409130291</v>
      </c>
      <c r="N203" s="7">
        <v>0</v>
      </c>
      <c r="O203" s="7">
        <v>8.9999999999999998E-4</v>
      </c>
      <c r="P203" s="7">
        <v>0</v>
      </c>
    </row>
    <row r="204" spans="1:16">
      <c r="A204" s="6">
        <v>46041</v>
      </c>
      <c r="B204" s="4" t="str">
        <f>Config!$B$3</f>
        <v>07:00</v>
      </c>
      <c r="C204" s="4" t="str">
        <f>Config!$B$2</f>
        <v>Mae Na Rua</v>
      </c>
      <c r="D204" s="7">
        <v>489.56799999999998</v>
      </c>
      <c r="E204" s="7">
        <v>1631482.3951735001</v>
      </c>
      <c r="F204" s="9">
        <v>17657.624873078206</v>
      </c>
      <c r="G204" s="7">
        <v>0</v>
      </c>
      <c r="H204" s="7">
        <v>16679.156019999999</v>
      </c>
      <c r="I204">
        <v>0</v>
      </c>
      <c r="J204" s="7">
        <v>0</v>
      </c>
      <c r="K204" s="7">
        <v>673.20476177529929</v>
      </c>
      <c r="L204" s="7">
        <v>305.26409130291</v>
      </c>
      <c r="N204" s="7">
        <v>8.9999999999999998E-4</v>
      </c>
      <c r="O204" s="7">
        <v>0</v>
      </c>
      <c r="P204" s="7">
        <v>0</v>
      </c>
    </row>
    <row r="205" spans="1:16">
      <c r="A205" s="6">
        <v>46042</v>
      </c>
      <c r="B205" s="4" t="str">
        <f>Config!$B$3</f>
        <v>07:00</v>
      </c>
      <c r="C205" s="4" t="str">
        <f>Config!$B$2</f>
        <v>Mae Na Rua</v>
      </c>
      <c r="D205" s="7">
        <v>489.56799999999998</v>
      </c>
      <c r="E205" s="7">
        <v>1631482.3951735001</v>
      </c>
      <c r="F205" s="9">
        <v>17803.470073078206</v>
      </c>
      <c r="G205" s="7">
        <v>0</v>
      </c>
      <c r="H205" s="7">
        <v>16825.001219999998</v>
      </c>
      <c r="I205">
        <v>0</v>
      </c>
      <c r="J205" s="7">
        <v>0</v>
      </c>
      <c r="K205" s="7">
        <v>673.20476177529929</v>
      </c>
      <c r="L205" s="7">
        <v>305.26409130291</v>
      </c>
      <c r="N205" s="7">
        <v>0</v>
      </c>
      <c r="O205" s="7">
        <v>0</v>
      </c>
      <c r="P205" s="7">
        <v>0</v>
      </c>
    </row>
    <row r="206" spans="1:16">
      <c r="A206" s="6">
        <v>46043</v>
      </c>
      <c r="B206" s="4" t="str">
        <f>Config!$B$3</f>
        <v>07:00</v>
      </c>
      <c r="C206" s="4" t="str">
        <f>Config!$B$2</f>
        <v>Mae Na Rua</v>
      </c>
      <c r="D206" s="7">
        <v>489.56799999999998</v>
      </c>
      <c r="E206" s="7">
        <v>1631482.3951735001</v>
      </c>
      <c r="F206" s="9">
        <v>14231.967423078209</v>
      </c>
      <c r="G206" s="7">
        <v>0</v>
      </c>
      <c r="H206" s="7">
        <v>13253.49857</v>
      </c>
      <c r="I206">
        <v>0</v>
      </c>
      <c r="J206" s="7">
        <v>0</v>
      </c>
      <c r="K206" s="7">
        <v>673.20476177529929</v>
      </c>
      <c r="L206" s="7">
        <v>305.26409130291</v>
      </c>
      <c r="N206" s="7">
        <v>0</v>
      </c>
      <c r="O206" s="7">
        <v>0</v>
      </c>
      <c r="P206" s="7">
        <v>0</v>
      </c>
    </row>
    <row r="207" spans="1:16">
      <c r="A207" s="6">
        <v>46044</v>
      </c>
      <c r="B207" s="4" t="str">
        <f>Config!$B$3</f>
        <v>07:00</v>
      </c>
      <c r="C207" s="4" t="str">
        <f>Config!$B$2</f>
        <v>Mae Na Rua</v>
      </c>
      <c r="D207" s="7">
        <v>489.56099999999998</v>
      </c>
      <c r="E207" s="7">
        <v>1631482.3951735001</v>
      </c>
      <c r="F207" s="9">
        <v>12624.30054307821</v>
      </c>
      <c r="G207" s="7">
        <v>0</v>
      </c>
      <c r="H207" s="7">
        <v>11645.831690000001</v>
      </c>
      <c r="I207">
        <v>0</v>
      </c>
      <c r="J207" s="7">
        <v>0</v>
      </c>
      <c r="K207" s="7">
        <v>673.20476177529929</v>
      </c>
      <c r="L207" s="7">
        <v>305.26409130291</v>
      </c>
      <c r="N207" s="7">
        <v>0</v>
      </c>
      <c r="O207" s="7">
        <v>0</v>
      </c>
      <c r="P207" s="7">
        <v>0</v>
      </c>
    </row>
    <row r="208" spans="1:16">
      <c r="A208" s="6">
        <v>46045</v>
      </c>
      <c r="B208" s="4" t="str">
        <f>Config!$B$3</f>
        <v>07:00</v>
      </c>
      <c r="C208" s="4" t="str">
        <f>Config!$B$2</f>
        <v>Mae Na Rua</v>
      </c>
      <c r="D208" s="7">
        <v>489.56</v>
      </c>
      <c r="E208" s="7">
        <v>1631482.3951735001</v>
      </c>
      <c r="F208" s="9">
        <v>14252.967443078209</v>
      </c>
      <c r="G208" s="7">
        <v>0</v>
      </c>
      <c r="H208" s="7">
        <v>13274.498589999999</v>
      </c>
      <c r="I208">
        <v>0</v>
      </c>
      <c r="J208" s="7">
        <v>0</v>
      </c>
      <c r="K208" s="7">
        <v>673.20476177529929</v>
      </c>
      <c r="L208" s="7">
        <v>305.26409130291</v>
      </c>
      <c r="N208" s="7">
        <v>0</v>
      </c>
      <c r="O208" s="7">
        <v>0</v>
      </c>
      <c r="P208" s="7">
        <v>0</v>
      </c>
    </row>
    <row r="209" spans="1:16">
      <c r="A209" s="6">
        <v>46046</v>
      </c>
      <c r="B209" s="4" t="str">
        <f>Config!$B$3</f>
        <v>07:00</v>
      </c>
      <c r="C209" s="4" t="str">
        <f>Config!$B$2</f>
        <v>Mae Na Rua</v>
      </c>
      <c r="D209" s="7">
        <v>489.56700000000001</v>
      </c>
      <c r="E209" s="7">
        <v>1631482.3951735001</v>
      </c>
      <c r="F209" s="9">
        <v>15169.12199307821</v>
      </c>
      <c r="G209" s="7">
        <v>0</v>
      </c>
      <c r="H209" s="7">
        <v>14190.65314</v>
      </c>
      <c r="I209">
        <v>0</v>
      </c>
      <c r="J209" s="7">
        <v>0</v>
      </c>
      <c r="K209" s="7">
        <v>673.20476177529929</v>
      </c>
      <c r="L209" s="7">
        <v>305.26409130291</v>
      </c>
      <c r="N209" s="7">
        <v>0</v>
      </c>
      <c r="O209" s="7">
        <v>0</v>
      </c>
      <c r="P209" s="7">
        <v>0</v>
      </c>
    </row>
    <row r="210" spans="1:16">
      <c r="A210" s="6">
        <v>46047</v>
      </c>
      <c r="B210" s="4" t="str">
        <f>Config!$B$3</f>
        <v>07:00</v>
      </c>
      <c r="C210" s="4" t="str">
        <f>Config!$B$2</f>
        <v>Mae Na Rua</v>
      </c>
      <c r="D210" s="7">
        <v>489.56700000000001</v>
      </c>
      <c r="E210" s="7">
        <v>1631482.3951735001</v>
      </c>
      <c r="F210" s="9">
        <v>18040.592713078207</v>
      </c>
      <c r="G210" s="7">
        <v>0</v>
      </c>
      <c r="H210" s="7">
        <v>17062.12386</v>
      </c>
      <c r="I210">
        <v>0</v>
      </c>
      <c r="J210" s="7">
        <v>0</v>
      </c>
      <c r="K210" s="7">
        <v>673.20476177529929</v>
      </c>
      <c r="L210" s="7">
        <v>305.26409130291</v>
      </c>
      <c r="N210" s="7">
        <v>0</v>
      </c>
      <c r="O210" s="7">
        <v>0</v>
      </c>
      <c r="P210" s="7">
        <v>0</v>
      </c>
    </row>
    <row r="211" spans="1:16">
      <c r="A211" s="6">
        <v>46048</v>
      </c>
      <c r="B211" s="4" t="str">
        <f>Config!$B$3</f>
        <v>07:00</v>
      </c>
      <c r="C211" s="4" t="str">
        <f>Config!$B$2</f>
        <v>Mae Na Rua</v>
      </c>
      <c r="D211" s="7">
        <v>489.56700000000001</v>
      </c>
      <c r="E211" s="7">
        <v>1631482.3951735001</v>
      </c>
      <c r="F211" s="9">
        <v>19756.171713078209</v>
      </c>
      <c r="G211" s="7">
        <v>0</v>
      </c>
      <c r="H211" s="7">
        <v>18777.702860000001</v>
      </c>
      <c r="I211">
        <v>0</v>
      </c>
      <c r="J211" s="7">
        <v>0</v>
      </c>
      <c r="K211" s="7">
        <v>673.20476177529929</v>
      </c>
      <c r="L211" s="7">
        <v>305.26409130291</v>
      </c>
      <c r="N211" s="7">
        <v>0</v>
      </c>
      <c r="O211" s="7">
        <v>0</v>
      </c>
      <c r="P211" s="7">
        <v>0</v>
      </c>
    </row>
    <row r="212" spans="1:16">
      <c r="A212" s="6">
        <v>46049</v>
      </c>
      <c r="B212" s="4" t="str">
        <f>Config!$B$3</f>
        <v>07:00</v>
      </c>
      <c r="C212" s="4" t="str">
        <f>Config!$B$2</f>
        <v>Mae Na Rua</v>
      </c>
      <c r="D212" s="7">
        <v>489.57299999999998</v>
      </c>
      <c r="E212" s="7">
        <v>1634494.0165122999</v>
      </c>
      <c r="F212" s="9">
        <v>24392.775687970257</v>
      </c>
      <c r="G212" s="7">
        <v>0</v>
      </c>
      <c r="H212" s="7">
        <v>20402.175230000001</v>
      </c>
      <c r="I212">
        <v>0</v>
      </c>
      <c r="J212" s="7">
        <v>0</v>
      </c>
      <c r="K212" s="7">
        <v>673.55197164290666</v>
      </c>
      <c r="L212" s="7">
        <v>305.42714752752005</v>
      </c>
      <c r="N212" s="7">
        <v>0</v>
      </c>
      <c r="O212" s="7">
        <v>0</v>
      </c>
      <c r="P212" s="7">
        <v>0</v>
      </c>
    </row>
    <row r="213" spans="1:16">
      <c r="A213" s="6">
        <v>46050</v>
      </c>
      <c r="B213" s="4" t="str">
        <f>Config!$B$3</f>
        <v>07:00</v>
      </c>
      <c r="C213" s="4" t="str">
        <f>Config!$B$2</f>
        <v>Mae Na Rua</v>
      </c>
      <c r="D213" s="7">
        <v>489.56700000000001</v>
      </c>
      <c r="E213" s="7">
        <v>1631482.3951735001</v>
      </c>
      <c r="F213" s="9">
        <v>18494.035094278381</v>
      </c>
      <c r="G213" s="7">
        <v>0</v>
      </c>
      <c r="H213" s="7">
        <v>20527.187580000002</v>
      </c>
      <c r="I213">
        <v>0</v>
      </c>
      <c r="J213" s="7">
        <v>0</v>
      </c>
      <c r="K213" s="7">
        <v>673.20476177529929</v>
      </c>
      <c r="L213" s="7">
        <v>305.26409130291</v>
      </c>
      <c r="N213" s="7">
        <v>0</v>
      </c>
      <c r="O213" s="7">
        <v>0</v>
      </c>
      <c r="P213" s="7">
        <v>0</v>
      </c>
    </row>
    <row r="214" spans="1:16">
      <c r="A214" s="6">
        <v>46051</v>
      </c>
      <c r="B214" s="4" t="str">
        <f>Config!$B$3</f>
        <v>07:00</v>
      </c>
      <c r="C214" s="4" t="str">
        <f>Config!$B$2</f>
        <v>Mae Na Rua</v>
      </c>
      <c r="D214" s="7">
        <v>489.57299999999998</v>
      </c>
      <c r="E214" s="7">
        <v>1634494.0165122999</v>
      </c>
      <c r="F214" s="9">
        <v>26063.733827970256</v>
      </c>
      <c r="G214" s="7">
        <v>0</v>
      </c>
      <c r="H214" s="7">
        <v>22073.13337</v>
      </c>
      <c r="I214">
        <v>0</v>
      </c>
      <c r="J214" s="7">
        <v>0</v>
      </c>
      <c r="K214" s="7">
        <v>673.55197164290666</v>
      </c>
      <c r="L214" s="7">
        <v>305.42714752752005</v>
      </c>
      <c r="N214" s="7">
        <v>0</v>
      </c>
      <c r="O214" s="7">
        <v>0</v>
      </c>
      <c r="P214" s="7">
        <v>0</v>
      </c>
    </row>
    <row r="215" spans="1:16">
      <c r="A215" s="6">
        <v>46052</v>
      </c>
      <c r="B215" s="4" t="str">
        <f>Config!$B$3</f>
        <v>07:00</v>
      </c>
      <c r="C215" s="4" t="str">
        <f>Config!$B$2</f>
        <v>Mae Na Rua</v>
      </c>
      <c r="D215" s="7">
        <v>489.56700000000001</v>
      </c>
      <c r="E215" s="7">
        <v>1631482.3951735001</v>
      </c>
      <c r="F215" s="9">
        <v>17667.160524278381</v>
      </c>
      <c r="G215" s="7">
        <v>0</v>
      </c>
      <c r="H215" s="7">
        <v>19700.313010000002</v>
      </c>
      <c r="I215">
        <v>0</v>
      </c>
      <c r="J215" s="7">
        <v>0</v>
      </c>
      <c r="K215" s="7">
        <v>673.20476177529929</v>
      </c>
      <c r="L215" s="7">
        <v>305.26409130291</v>
      </c>
      <c r="N215" s="7">
        <v>0</v>
      </c>
      <c r="O215" s="7">
        <v>0</v>
      </c>
      <c r="P215" s="7">
        <v>0</v>
      </c>
    </row>
    <row r="216" spans="1:16">
      <c r="A216" s="6">
        <v>46053</v>
      </c>
      <c r="B216" s="4" t="str">
        <f>Config!$B$3</f>
        <v>07:00</v>
      </c>
      <c r="C216" s="4" t="str">
        <f>Config!$B$2</f>
        <v>Mae Na Rua</v>
      </c>
      <c r="D216" s="7">
        <v>489.56700000000001</v>
      </c>
      <c r="E216" s="7">
        <v>1631482.3951735001</v>
      </c>
      <c r="F216" s="9">
        <v>20308.695523078208</v>
      </c>
      <c r="G216" s="7">
        <v>0</v>
      </c>
      <c r="H216" s="7">
        <v>19330.22667</v>
      </c>
      <c r="I216">
        <v>0</v>
      </c>
      <c r="J216" s="7">
        <v>0</v>
      </c>
      <c r="K216" s="7">
        <v>673.20476177529929</v>
      </c>
      <c r="L216" s="7">
        <v>305.26409130291</v>
      </c>
      <c r="N216" s="7">
        <v>0</v>
      </c>
      <c r="O216" s="7">
        <v>0</v>
      </c>
      <c r="P216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16"/>
  <sheetViews>
    <sheetView showGridLines="0" workbookViewId="0">
      <selection activeCell="B10" sqref="A1:AH216"/>
    </sheetView>
  </sheetViews>
  <sheetFormatPr defaultRowHeight="14.4"/>
  <cols>
    <col min="1" max="1" width="16" customWidth="1"/>
    <col min="2" max="34" width="18" customWidth="1"/>
  </cols>
  <sheetData>
    <row r="1" spans="1:34" ht="28.8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86</v>
      </c>
      <c r="P1" s="1" t="s">
        <v>87</v>
      </c>
      <c r="Q1" s="1" t="s">
        <v>43</v>
      </c>
      <c r="R1" s="1" t="s">
        <v>88</v>
      </c>
      <c r="S1" s="1" t="s">
        <v>89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82</v>
      </c>
      <c r="AF1" s="1" t="s">
        <v>55</v>
      </c>
      <c r="AG1" s="1" t="s">
        <v>56</v>
      </c>
      <c r="AH1" s="1" t="s">
        <v>57</v>
      </c>
    </row>
    <row r="2" spans="1:34">
      <c r="A2" s="5">
        <f>Daily_Input!A2</f>
        <v>45839</v>
      </c>
      <c r="B2" s="5">
        <f>Daily_Input!F2</f>
        <v>16137.621087533549</v>
      </c>
      <c r="C2" s="5">
        <f>Daily_Input!D2</f>
        <v>489.51799999999997</v>
      </c>
      <c r="D2" s="5">
        <f>Daily_Input!E2</f>
        <v>1616447.3000027</v>
      </c>
      <c r="E2" s="5"/>
      <c r="F2" s="5">
        <f>IFERROR(Daily_Input!E2/Config!$B$4,"")</f>
        <v>0.99445299289696998</v>
      </c>
      <c r="G2" s="5">
        <f>Daily_Input!I2</f>
        <v>0</v>
      </c>
      <c r="H2" s="5">
        <f>IF(A2="","",IF(ROW()=2,G2,Config!$B$5*H1+G2))</f>
        <v>0</v>
      </c>
      <c r="I2" s="5">
        <f>IF(A2="","",A2-DATE(YEAR(A2),1,0))</f>
        <v>182</v>
      </c>
      <c r="J2" s="5">
        <f>IF(I2="","",SIN(2*PI()*I2/Config!$B$6))</f>
        <v>8.6069968886886977E-3</v>
      </c>
      <c r="K2" s="5">
        <f>IF(I2="","",COS(2*PI()*I2/Config!$B$6))</f>
        <v>-0.99996295911626554</v>
      </c>
      <c r="L2" s="5" t="str">
        <f>IF(ROW()&lt;=2+0,"",INDEX(Daily_Input!$F:$F,ROW()-1))</f>
        <v/>
      </c>
      <c r="M2" s="5" t="str">
        <f>IF(ROW()&lt;=2+1,"",INDEX(Daily_Input!$F:$F,ROW()-2))</f>
        <v/>
      </c>
      <c r="N2" s="5" t="str">
        <f>IF(ROW()&lt;=2+2,"",INDEX(Daily_Input!$F:$F,ROW()-3))</f>
        <v/>
      </c>
      <c r="O2" s="5" t="str">
        <f>IF(ROW()&lt;=2+6,"",INDEX([1]Daily_Input!$F:$F,ROW()-7))</f>
        <v/>
      </c>
      <c r="P2" s="5" t="str">
        <f>IF(ROW()&lt;=2+13,"",INDEX([1]Daily_Input!$F:$F,ROW()-14))</f>
        <v/>
      </c>
      <c r="Q2" s="5"/>
      <c r="R2" s="5" t="str">
        <f>IF(ROW()&lt;=8,"",SUM([1]Daily_Input!#REF!))</f>
        <v/>
      </c>
      <c r="S2" s="5" t="str">
        <f>IF(ROW()&lt;=15,"",SUM([1]Daily_Input!#REF!))</f>
        <v/>
      </c>
      <c r="T2" s="5"/>
      <c r="U2" s="5" t="str">
        <f>IF(ROW()&lt;=2+0,"",INDEX(Daily_Input!$G:$G,ROW()-1))</f>
        <v/>
      </c>
      <c r="V2" s="5" t="str">
        <f>IF(ROW()&lt;=2+0,"",INDEX(Daily_Input!$H:$H,ROW()-1))</f>
        <v/>
      </c>
      <c r="W2" s="5" t="str">
        <f>IF(ROW()&lt;=2+1,"",INDEX(Daily_Input!$G:$G,ROW()-2))</f>
        <v/>
      </c>
      <c r="X2" s="5" t="str">
        <f>IF(ROW()&lt;=2+1,"",INDEX(Daily_Input!$H:$H,ROW()-2))</f>
        <v/>
      </c>
      <c r="Y2" s="5" t="str">
        <f>IF(ROW()&lt;=2+2,"",INDEX(Daily_Input!$G:$G,ROW()-3))</f>
        <v/>
      </c>
      <c r="Z2" s="5" t="str">
        <f>IF(ROW()&lt;=2+2,"",INDEX(Daily_Input!$H:$H,ROW()-3))</f>
        <v/>
      </c>
      <c r="AA2" s="5">
        <f>Daily_Input!N2</f>
        <v>13.673</v>
      </c>
      <c r="AB2" s="5">
        <f>Daily_Input!O2</f>
        <v>6.6989999999999998</v>
      </c>
      <c r="AC2" s="5">
        <f>Daily_Input!P2</f>
        <v>4.3280000000000003</v>
      </c>
      <c r="AD2" s="5">
        <f>IF(A2="","",SUM(AA2:AC2))</f>
        <v>24.7</v>
      </c>
      <c r="AE2" s="5">
        <f>IF(A2="","",MAX(AA2:AC2))</f>
        <v>13.673</v>
      </c>
      <c r="AF2" s="5">
        <f>IF(A2="","",IFERROR(INDEX(Daily_Input!$F:$F,ROW()+1),""))</f>
        <v>18000.430324119316</v>
      </c>
      <c r="AG2" s="5">
        <f>IF(A2="","",IFERROR(INDEX(Daily_Input!$F:$F,ROW()+2),""))</f>
        <v>16551.135553712575</v>
      </c>
      <c r="AH2" s="5">
        <f>IF(A2="","",IFERROR(INDEX(Daily_Input!$F:$F,ROW()+3),""))</f>
        <v>21950.322284900692</v>
      </c>
    </row>
    <row r="3" spans="1:34">
      <c r="A3" s="5">
        <f>Daily_Input!A3</f>
        <v>45840</v>
      </c>
      <c r="B3" s="5">
        <f>Daily_Input!F3</f>
        <v>18000.430324119316</v>
      </c>
      <c r="C3" s="5">
        <f>Daily_Input!D3</f>
        <v>489.524</v>
      </c>
      <c r="D3" s="5">
        <f>Daily_Input!E3</f>
        <v>1619451.3170382001</v>
      </c>
      <c r="E3" s="5" cm="1">
        <f t="array" ref="E3">IF(ROW()=2,"",INDEX(Daily_Input!$E:$E,ROW())-INDEX(Daily_Input!$E:$E,ROW()-1))</f>
        <v>3004.0170355001464</v>
      </c>
      <c r="F3" s="5">
        <f>IFERROR(Daily_Input!E3/Config!$B$4,"")</f>
        <v>0.99630109133584988</v>
      </c>
      <c r="G3" s="5">
        <f>Daily_Input!I3</f>
        <v>3.8</v>
      </c>
      <c r="H3" s="5">
        <f>IF(A3="","",IF(ROW()=2,G3,Config!$B$5*H2+G3))</f>
        <v>3.8</v>
      </c>
      <c r="I3" s="5">
        <f t="shared" ref="I3:I66" si="0">IF(A3="","",A3-DATE(YEAR(A3),1,0))</f>
        <v>183</v>
      </c>
      <c r="J3" s="5">
        <f>IF(I3="","",SIN(2*PI()*I3/Config!$B$6))</f>
        <v>-8.606996888688009E-3</v>
      </c>
      <c r="K3" s="5">
        <f>IF(I3="","",COS(2*PI()*I3/Config!$B$6))</f>
        <v>-0.99996295911626554</v>
      </c>
      <c r="L3" s="5">
        <f>IF(ROW()&lt;=2+0,"",INDEX(Daily_Input!$F:$F,ROW()-1))</f>
        <v>16137.621087533549</v>
      </c>
      <c r="M3" s="5" t="str">
        <f>IF(ROW()&lt;=2+1,"",INDEX(Daily_Input!$F:$F,ROW()-2))</f>
        <v/>
      </c>
      <c r="N3" s="5" t="str">
        <f>IF(ROW()&lt;=2+2,"",INDEX(Daily_Input!$F:$F,ROW()-3))</f>
        <v/>
      </c>
      <c r="O3" s="5" t="str">
        <f>IF(ROW()&lt;=2+6,"",INDEX([1]Daily_Input!$F:$F,ROW()-7))</f>
        <v/>
      </c>
      <c r="P3" s="5" t="str">
        <f>IF(ROW()&lt;=2+13,"",INDEX([1]Daily_Input!$F:$F,ROW()-14))</f>
        <v/>
      </c>
      <c r="Q3" s="5"/>
      <c r="R3" s="5" t="str">
        <f>IF(ROW()&lt;=8,"",SUM([1]Daily_Input!#REF!))</f>
        <v/>
      </c>
      <c r="S3" s="5" t="str">
        <f>IF(ROW()&lt;=15,"",SUM([1]Daily_Input!#REF!))</f>
        <v/>
      </c>
      <c r="T3" s="5"/>
      <c r="U3" s="5">
        <f>IF(ROW()&lt;=2+0,"",INDEX(Daily_Input!$G:$G,ROW()-1))</f>
        <v>15019.2</v>
      </c>
      <c r="V3" s="5">
        <f>IF(ROW()&lt;=2+0,"",INDEX(Daily_Input!$H:$H,ROW()-1))</f>
        <v>0</v>
      </c>
      <c r="W3" s="5" t="str">
        <f>IF(ROW()&lt;=2+1,"",INDEX(Daily_Input!$G:$G,ROW()-2))</f>
        <v/>
      </c>
      <c r="X3" s="5" t="str">
        <f>IF(ROW()&lt;=2+1,"",INDEX(Daily_Input!$H:$H,ROW()-2))</f>
        <v/>
      </c>
      <c r="Y3" s="5" t="str">
        <f>IF(ROW()&lt;=2+2,"",INDEX(Daily_Input!$G:$G,ROW()-3))</f>
        <v/>
      </c>
      <c r="Z3" s="5" t="str">
        <f>IF(ROW()&lt;=2+2,"",INDEX(Daily_Input!$H:$H,ROW()-3))</f>
        <v/>
      </c>
      <c r="AA3" s="5">
        <f>Daily_Input!N3</f>
        <v>6.6989999999999998</v>
      </c>
      <c r="AB3" s="5">
        <f>Daily_Input!O3</f>
        <v>4.3280000000000003</v>
      </c>
      <c r="AC3" s="5">
        <f>Daily_Input!P3</f>
        <v>10.32</v>
      </c>
      <c r="AD3" s="5">
        <f t="shared" ref="AD3:AD66" si="1">IF(A3="","",SUM(AA3:AC3))</f>
        <v>21.347000000000001</v>
      </c>
      <c r="AE3" s="5">
        <f t="shared" ref="AE3:AE66" si="2">IF(A3="","",MAX(AA3:AC3))</f>
        <v>10.32</v>
      </c>
      <c r="AF3" s="5">
        <f>IF(A3="","",IFERROR(INDEX(Daily_Input!$F:$F,ROW()+1),""))</f>
        <v>16551.135553712575</v>
      </c>
      <c r="AG3" s="5">
        <f>IF(A3="","",IFERROR(INDEX(Daily_Input!$F:$F,ROW()+2),""))</f>
        <v>21950.322284900692</v>
      </c>
      <c r="AH3" s="5">
        <f>IF(A3="","",IFERROR(INDEX(Daily_Input!$F:$F,ROW()+3),""))</f>
        <v>22689.827603281785</v>
      </c>
    </row>
    <row r="4" spans="1:34">
      <c r="A4" s="5">
        <f>Daily_Input!A4</f>
        <v>45841</v>
      </c>
      <c r="B4" s="5">
        <f>Daily_Input!F4</f>
        <v>16551.135553712575</v>
      </c>
      <c r="C4" s="5">
        <f>Daily_Input!D4</f>
        <v>489.524</v>
      </c>
      <c r="D4" s="5">
        <f>Daily_Input!E4</f>
        <v>1619451.3170382001</v>
      </c>
      <c r="E4" s="5" cm="1">
        <f t="array" ref="E4">IF(ROW()=2,"",INDEX(Daily_Input!$E:$E,ROW())-INDEX(Daily_Input!$E:$E,ROW()-1))</f>
        <v>0</v>
      </c>
      <c r="F4" s="5">
        <f>IFERROR(Daily_Input!E4/Config!$B$4,"")</f>
        <v>0.99630109133584988</v>
      </c>
      <c r="G4" s="5">
        <f>Daily_Input!I4</f>
        <v>0</v>
      </c>
      <c r="H4" s="5">
        <f>IF(A4="","",IF(ROW()=2,G4,Config!$B$5*H3+G4))</f>
        <v>3.61</v>
      </c>
      <c r="I4" s="5">
        <f t="shared" si="0"/>
        <v>184</v>
      </c>
      <c r="J4" s="5">
        <f>IF(I4="","",SIN(2*PI()*I4/Config!$B$6))</f>
        <v>-2.5818440227132391E-2</v>
      </c>
      <c r="K4" s="5">
        <f>IF(I4="","",COS(2*PI()*I4/Config!$B$6))</f>
        <v>-0.99966664851051124</v>
      </c>
      <c r="L4" s="5">
        <f>IF(ROW()&lt;=2+0,"",INDEX(Daily_Input!$F:$F,ROW()-1))</f>
        <v>18000.430324119316</v>
      </c>
      <c r="M4" s="5">
        <f>IF(ROW()&lt;=2+1,"",INDEX(Daily_Input!$F:$F,ROW()-2))</f>
        <v>16137.621087533549</v>
      </c>
      <c r="N4" s="5" t="str">
        <f>IF(ROW()&lt;=2+2,"",INDEX(Daily_Input!$F:$F,ROW()-3))</f>
        <v/>
      </c>
      <c r="O4" s="5" t="str">
        <f>IF(ROW()&lt;=2+6,"",INDEX([1]Daily_Input!$F:$F,ROW()-7))</f>
        <v/>
      </c>
      <c r="P4" s="5" t="str">
        <f>IF(ROW()&lt;=2+13,"",INDEX([1]Daily_Input!$F:$F,ROW()-14))</f>
        <v/>
      </c>
      <c r="Q4" s="5"/>
      <c r="R4" s="5" t="str">
        <f>IF(ROW()&lt;=8,"",SUM([1]Daily_Input!#REF!))</f>
        <v/>
      </c>
      <c r="S4" s="5" t="str">
        <f>IF(ROW()&lt;=15,"",SUM([1]Daily_Input!#REF!))</f>
        <v/>
      </c>
      <c r="T4" s="5"/>
      <c r="U4" s="5">
        <f>IF(ROW()&lt;=2+0,"",INDEX(Daily_Input!$G:$G,ROW()-1))</f>
        <v>15019.2</v>
      </c>
      <c r="V4" s="5">
        <f>IF(ROW()&lt;=2+0,"",INDEX(Daily_Input!$H:$H,ROW()-1))</f>
        <v>0</v>
      </c>
      <c r="W4" s="5">
        <f>IF(ROW()&lt;=2+1,"",INDEX(Daily_Input!$G:$G,ROW()-2))</f>
        <v>15019.2</v>
      </c>
      <c r="X4" s="5">
        <f>IF(ROW()&lt;=2+1,"",INDEX(Daily_Input!$H:$H,ROW()-2))</f>
        <v>0</v>
      </c>
      <c r="Y4" s="5" t="str">
        <f>IF(ROW()&lt;=2+2,"",INDEX(Daily_Input!$G:$G,ROW()-3))</f>
        <v/>
      </c>
      <c r="Z4" s="5" t="str">
        <f>IF(ROW()&lt;=2+2,"",INDEX(Daily_Input!$H:$H,ROW()-3))</f>
        <v/>
      </c>
      <c r="AA4" s="5">
        <f>Daily_Input!N4</f>
        <v>4.3280000000000003</v>
      </c>
      <c r="AB4" s="5">
        <f>Daily_Input!O4</f>
        <v>10.32</v>
      </c>
      <c r="AC4" s="5">
        <f>Daily_Input!P4</f>
        <v>4.29</v>
      </c>
      <c r="AD4" s="5">
        <f t="shared" si="1"/>
        <v>18.937999999999999</v>
      </c>
      <c r="AE4" s="5">
        <f t="shared" si="2"/>
        <v>10.32</v>
      </c>
      <c r="AF4" s="5">
        <f>IF(A4="","",IFERROR(INDEX(Daily_Input!$F:$F,ROW()+1),""))</f>
        <v>21950.322284900692</v>
      </c>
      <c r="AG4" s="5">
        <f>IF(A4="","",IFERROR(INDEX(Daily_Input!$F:$F,ROW()+2),""))</f>
        <v>22689.827603281785</v>
      </c>
      <c r="AH4" s="5">
        <f>IF(A4="","",IFERROR(INDEX(Daily_Input!$F:$F,ROW()+3),""))</f>
        <v>41715.18892187145</v>
      </c>
    </row>
    <row r="5" spans="1:34">
      <c r="A5" s="5">
        <f>Daily_Input!A5</f>
        <v>45842</v>
      </c>
      <c r="B5" s="5">
        <f>Daily_Input!F5</f>
        <v>21950.322284900692</v>
      </c>
      <c r="C5" s="5">
        <f>Daily_Input!D5</f>
        <v>489.55700000000002</v>
      </c>
      <c r="D5" s="5">
        <f>Daily_Input!E5</f>
        <v>1628472.3057532001</v>
      </c>
      <c r="E5" s="5" cm="1">
        <f t="array" ref="E5">IF(ROW()=2,"",INDEX(Daily_Input!$E:$E,ROW())-INDEX(Daily_Input!$E:$E,ROW()-1))</f>
        <v>9020.9887149999849</v>
      </c>
      <c r="F5" s="5">
        <f>IFERROR(Daily_Input!E5/Config!$B$4,"")</f>
        <v>1.0018508851500414</v>
      </c>
      <c r="G5" s="5">
        <f>Daily_Input!I5</f>
        <v>30.2</v>
      </c>
      <c r="H5" s="5">
        <f>IF(A5="","",IF(ROW()=2,G5,Config!$B$5*H4+G5))</f>
        <v>33.6295</v>
      </c>
      <c r="I5" s="5">
        <f t="shared" si="0"/>
        <v>185</v>
      </c>
      <c r="J5" s="5">
        <f>IF(I5="","",SIN(2*PI()*I5/Config!$B$6))</f>
        <v>-4.3022233004530341E-2</v>
      </c>
      <c r="K5" s="5">
        <f>IF(I5="","",COS(2*PI()*I5/Config!$B$6))</f>
        <v>-0.99907411510222999</v>
      </c>
      <c r="L5" s="5">
        <f>IF(ROW()&lt;=2+0,"",INDEX(Daily_Input!$F:$F,ROW()-1))</f>
        <v>16551.135553712575</v>
      </c>
      <c r="M5" s="5">
        <f>IF(ROW()&lt;=2+1,"",INDEX(Daily_Input!$F:$F,ROW()-2))</f>
        <v>18000.430324119316</v>
      </c>
      <c r="N5" s="5">
        <f>IF(ROW()&lt;=2+2,"",INDEX(Daily_Input!$F:$F,ROW()-3))</f>
        <v>16137.621087533549</v>
      </c>
      <c r="O5" s="5" t="str">
        <f>IF(ROW()&lt;=2+6,"",INDEX([1]Daily_Input!$F:$F,ROW()-7))</f>
        <v/>
      </c>
      <c r="P5" s="5" t="str">
        <f>IF(ROW()&lt;=2+13,"",INDEX([1]Daily_Input!$F:$F,ROW()-14))</f>
        <v/>
      </c>
      <c r="Q5" s="5">
        <f>IF(ROW()&lt;=4,"",SUM(INDEX(Daily_Input!$I:$I,ROW()-2):INDEX(Daily_Input!$I:$I,ROW())))</f>
        <v>34</v>
      </c>
      <c r="R5" s="5" t="str">
        <f>IF(ROW()&lt;=8,"",SUM([1]Daily_Input!#REF!))</f>
        <v/>
      </c>
      <c r="S5" s="5" t="str">
        <f>IF(ROW()&lt;=15,"",SUM([1]Daily_Input!#REF!))</f>
        <v/>
      </c>
      <c r="T5" s="5">
        <f>IF(ROW()&lt;=4,"",AVERAGE(INDEX(Daily_Input!$F:$F,ROW()-2):INDEX(Daily_Input!$F:$F,ROW())))</f>
        <v>18833.962720910862</v>
      </c>
      <c r="U5" s="5">
        <f>IF(ROW()&lt;=2+0,"",INDEX(Daily_Input!$G:$G,ROW()-1))</f>
        <v>15019.2</v>
      </c>
      <c r="V5" s="5">
        <f>IF(ROW()&lt;=2+0,"",INDEX(Daily_Input!$H:$H,ROW()-1))</f>
        <v>412.94111830000003</v>
      </c>
      <c r="W5" s="5">
        <f>IF(ROW()&lt;=2+1,"",INDEX(Daily_Input!$G:$G,ROW()-2))</f>
        <v>15019.2</v>
      </c>
      <c r="X5" s="5">
        <f>IF(ROW()&lt;=2+1,"",INDEX(Daily_Input!$H:$H,ROW()-2))</f>
        <v>0</v>
      </c>
      <c r="Y5" s="5">
        <f>IF(ROW()&lt;=2+2,"",INDEX(Daily_Input!$G:$G,ROW()-3))</f>
        <v>15019.2</v>
      </c>
      <c r="Z5" s="5">
        <f>IF(ROW()&lt;=2+2,"",INDEX(Daily_Input!$H:$H,ROW()-3))</f>
        <v>0</v>
      </c>
      <c r="AA5" s="5">
        <f>Daily_Input!N5</f>
        <v>10.32</v>
      </c>
      <c r="AB5" s="5">
        <f>Daily_Input!O5</f>
        <v>4.29</v>
      </c>
      <c r="AC5" s="5">
        <f>Daily_Input!P5</f>
        <v>1.1379999999999999</v>
      </c>
      <c r="AD5" s="5">
        <f t="shared" si="1"/>
        <v>15.747999999999999</v>
      </c>
      <c r="AE5" s="5">
        <f t="shared" si="2"/>
        <v>10.32</v>
      </c>
      <c r="AF5" s="5">
        <f>IF(A5="","",IFERROR(INDEX(Daily_Input!$F:$F,ROW()+1),""))</f>
        <v>22689.827603281785</v>
      </c>
      <c r="AG5" s="5">
        <f>IF(A5="","",IFERROR(INDEX(Daily_Input!$F:$F,ROW()+2),""))</f>
        <v>41715.18892187145</v>
      </c>
      <c r="AH5" s="5">
        <f>IF(A5="","",IFERROR(INDEX(Daily_Input!$F:$F,ROW()+3),""))</f>
        <v>41682.05793389491</v>
      </c>
    </row>
    <row r="6" spans="1:34">
      <c r="A6" s="5">
        <f>Daily_Input!A6</f>
        <v>45843</v>
      </c>
      <c r="B6" s="5">
        <f>Daily_Input!F6</f>
        <v>22689.827603281785</v>
      </c>
      <c r="C6" s="5">
        <f>Daily_Input!D6</f>
        <v>489.55700000000002</v>
      </c>
      <c r="D6" s="5">
        <f>Daily_Input!E6</f>
        <v>1628472.3057532001</v>
      </c>
      <c r="E6" s="5" cm="1">
        <f t="array" ref="E6">IF(ROW()=2,"",INDEX(Daily_Input!$E:$E,ROW())-INDEX(Daily_Input!$E:$E,ROW()-1))</f>
        <v>0</v>
      </c>
      <c r="F6" s="5">
        <f>IFERROR(Daily_Input!E6/Config!$B$4,"")</f>
        <v>1.0018508851500414</v>
      </c>
      <c r="G6" s="5">
        <f>Daily_Input!I6</f>
        <v>0.4</v>
      </c>
      <c r="H6" s="5">
        <f>IF(A6="","",IF(ROW()=2,G6,Config!$B$5*H5+G6))</f>
        <v>32.348025</v>
      </c>
      <c r="I6" s="5">
        <f t="shared" si="0"/>
        <v>186</v>
      </c>
      <c r="J6" s="5">
        <f>IF(I6="","",SIN(2*PI()*I6/Config!$B$6))</f>
        <v>-6.0213277365792774E-2</v>
      </c>
      <c r="K6" s="5">
        <f>IF(I6="","",COS(2*PI()*I6/Config!$B$6))</f>
        <v>-0.99818553447185865</v>
      </c>
      <c r="L6" s="5">
        <f>IF(ROW()&lt;=2+0,"",INDEX(Daily_Input!$F:$F,ROW()-1))</f>
        <v>21950.322284900692</v>
      </c>
      <c r="M6" s="5">
        <f>IF(ROW()&lt;=2+1,"",INDEX(Daily_Input!$F:$F,ROW()-2))</f>
        <v>16551.135553712575</v>
      </c>
      <c r="N6" s="5">
        <f>IF(ROW()&lt;=2+2,"",INDEX(Daily_Input!$F:$F,ROW()-3))</f>
        <v>18000.430324119316</v>
      </c>
      <c r="O6" s="5" t="str">
        <f>IF(ROW()&lt;=2+6,"",INDEX([1]Daily_Input!$F:$F,ROW()-7))</f>
        <v/>
      </c>
      <c r="P6" s="5" t="str">
        <f>IF(ROW()&lt;=2+13,"",INDEX([1]Daily_Input!$F:$F,ROW()-14))</f>
        <v/>
      </c>
      <c r="Q6" s="5">
        <f>IF(ROW()&lt;=4,"",SUM(INDEX(Daily_Input!$I:$I,ROW()-2):INDEX(Daily_Input!$I:$I,ROW())))</f>
        <v>30.599999999999998</v>
      </c>
      <c r="R6" s="5" t="str">
        <f>IF(ROW()&lt;=8,"",SUM([1]Daily_Input!#REF!))</f>
        <v/>
      </c>
      <c r="S6" s="5" t="str">
        <f>IF(ROW()&lt;=15,"",SUM([1]Daily_Input!#REF!))</f>
        <v/>
      </c>
      <c r="T6" s="5">
        <f>IF(ROW()&lt;=4,"",AVERAGE(INDEX(Daily_Input!$F:$F,ROW()-2):INDEX(Daily_Input!$F:$F,ROW())))</f>
        <v>20397.095147298347</v>
      </c>
      <c r="U6" s="5">
        <f>IF(ROW()&lt;=2+0,"",INDEX(Daily_Input!$G:$G,ROW()-1))</f>
        <v>15019.2</v>
      </c>
      <c r="V6" s="5">
        <f>IF(ROW()&lt;=2+0,"",INDEX(Daily_Input!$H:$H,ROW()-1))</f>
        <v>5877.4745650000004</v>
      </c>
      <c r="W6" s="5">
        <f>IF(ROW()&lt;=2+1,"",INDEX(Daily_Input!$G:$G,ROW()-2))</f>
        <v>15019.2</v>
      </c>
      <c r="X6" s="5">
        <f>IF(ROW()&lt;=2+1,"",INDEX(Daily_Input!$H:$H,ROW()-2))</f>
        <v>412.94111830000003</v>
      </c>
      <c r="Y6" s="5">
        <f>IF(ROW()&lt;=2+2,"",INDEX(Daily_Input!$G:$G,ROW()-3))</f>
        <v>15019.2</v>
      </c>
      <c r="Z6" s="5">
        <f>IF(ROW()&lt;=2+2,"",INDEX(Daily_Input!$H:$H,ROW()-3))</f>
        <v>0</v>
      </c>
      <c r="AA6" s="5">
        <f>Daily_Input!N6</f>
        <v>4.29</v>
      </c>
      <c r="AB6" s="5">
        <f>Daily_Input!O6</f>
        <v>1.1379999999999999</v>
      </c>
      <c r="AC6" s="5">
        <f>Daily_Input!P6</f>
        <v>13.004</v>
      </c>
      <c r="AD6" s="5">
        <f t="shared" si="1"/>
        <v>18.431999999999999</v>
      </c>
      <c r="AE6" s="5">
        <f t="shared" si="2"/>
        <v>13.004</v>
      </c>
      <c r="AF6" s="5">
        <f>IF(A6="","",IFERROR(INDEX(Daily_Input!$F:$F,ROW()+1),""))</f>
        <v>41715.18892187145</v>
      </c>
      <c r="AG6" s="5">
        <f>IF(A6="","",IFERROR(INDEX(Daily_Input!$F:$F,ROW()+2),""))</f>
        <v>41682.05793389491</v>
      </c>
      <c r="AH6" s="5">
        <f>IF(A6="","",IFERROR(INDEX(Daily_Input!$F:$F,ROW()+3),""))</f>
        <v>38705.211743894906</v>
      </c>
    </row>
    <row r="7" spans="1:34">
      <c r="A7" s="5">
        <f>Daily_Input!A7</f>
        <v>45844</v>
      </c>
      <c r="B7" s="5">
        <f>Daily_Input!F7</f>
        <v>41715.18892187145</v>
      </c>
      <c r="C7" s="5">
        <f>Daily_Input!D7</f>
        <v>489.577</v>
      </c>
      <c r="D7" s="5">
        <f>Daily_Input!E7</f>
        <v>1634494.0165122999</v>
      </c>
      <c r="E7" s="5" cm="1">
        <f t="array" ref="E7">IF(ROW()=2,"",INDEX(Daily_Input!$E:$E,ROW())-INDEX(Daily_Input!$E:$E,ROW()-1))</f>
        <v>6021.7107590998057</v>
      </c>
      <c r="F7" s="5">
        <f>IFERROR(Daily_Input!E7/Config!$B$4,"")</f>
        <v>1.0055554960499677</v>
      </c>
      <c r="G7" s="5">
        <f>Daily_Input!I7</f>
        <v>17.2</v>
      </c>
      <c r="H7" s="5">
        <f>IF(A7="","",IF(ROW()=2,G7,Config!$B$5*H6+G7))</f>
        <v>47.930623749999995</v>
      </c>
      <c r="I7" s="5">
        <f t="shared" si="0"/>
        <v>187</v>
      </c>
      <c r="J7" s="5">
        <f>IF(I7="","",SIN(2*PI()*I7/Config!$B$6))</f>
        <v>-7.7386479233463215E-2</v>
      </c>
      <c r="K7" s="5">
        <f>IF(I7="","",COS(2*PI()*I7/Config!$B$6))</f>
        <v>-0.99700116992501508</v>
      </c>
      <c r="L7" s="5">
        <f>IF(ROW()&lt;=2+0,"",INDEX(Daily_Input!$F:$F,ROW()-1))</f>
        <v>22689.827603281785</v>
      </c>
      <c r="M7" s="5">
        <f>IF(ROW()&lt;=2+1,"",INDEX(Daily_Input!$F:$F,ROW()-2))</f>
        <v>21950.322284900692</v>
      </c>
      <c r="N7" s="5">
        <f>IF(ROW()&lt;=2+2,"",INDEX(Daily_Input!$F:$F,ROW()-3))</f>
        <v>16551.135553712575</v>
      </c>
      <c r="O7" s="5" t="str">
        <f>IF(ROW()&lt;=2+6,"",INDEX([1]Daily_Input!$F:$F,ROW()-7))</f>
        <v/>
      </c>
      <c r="P7" s="5" t="str">
        <f>IF(ROW()&lt;=2+13,"",INDEX([1]Daily_Input!$F:$F,ROW()-14))</f>
        <v/>
      </c>
      <c r="Q7" s="5">
        <f>IF(ROW()&lt;=4,"",SUM(INDEX(Daily_Input!$I:$I,ROW()-2):INDEX(Daily_Input!$I:$I,ROW())))</f>
        <v>47.8</v>
      </c>
      <c r="R7" s="5" t="str">
        <f>IF(ROW()&lt;=8,"",SUM([1]Daily_Input!#REF!))</f>
        <v/>
      </c>
      <c r="S7" s="5" t="str">
        <f>IF(ROW()&lt;=15,"",SUM([1]Daily_Input!#REF!))</f>
        <v/>
      </c>
      <c r="T7" s="5">
        <f>IF(ROW()&lt;=4,"",AVERAGE(INDEX(Daily_Input!$F:$F,ROW()-2):INDEX(Daily_Input!$F:$F,ROW())))</f>
        <v>28785.112936684644</v>
      </c>
      <c r="U7" s="5">
        <f>IF(ROW()&lt;=2+0,"",INDEX(Daily_Input!$G:$G,ROW()-1))</f>
        <v>15019.2</v>
      </c>
      <c r="V7" s="5">
        <f>IF(ROW()&lt;=2+0,"",INDEX(Daily_Input!$H:$H,ROW()-1))</f>
        <v>6670.2723230000001</v>
      </c>
      <c r="W7" s="5">
        <f>IF(ROW()&lt;=2+1,"",INDEX(Daily_Input!$G:$G,ROW()-2))</f>
        <v>15019.2</v>
      </c>
      <c r="X7" s="5">
        <f>IF(ROW()&lt;=2+1,"",INDEX(Daily_Input!$H:$H,ROW()-2))</f>
        <v>5877.4745650000004</v>
      </c>
      <c r="Y7" s="5">
        <f>IF(ROW()&lt;=2+2,"",INDEX(Daily_Input!$G:$G,ROW()-3))</f>
        <v>15019.2</v>
      </c>
      <c r="Z7" s="5">
        <f>IF(ROW()&lt;=2+2,"",INDEX(Daily_Input!$H:$H,ROW()-3))</f>
        <v>412.94111830000003</v>
      </c>
      <c r="AA7" s="5">
        <f>Daily_Input!N7</f>
        <v>1.1379999999999999</v>
      </c>
      <c r="AB7" s="5">
        <f>Daily_Input!O7</f>
        <v>13.004</v>
      </c>
      <c r="AC7" s="5">
        <f>Daily_Input!P7</f>
        <v>9.3940000000000001</v>
      </c>
      <c r="AD7" s="5">
        <f t="shared" si="1"/>
        <v>23.536000000000001</v>
      </c>
      <c r="AE7" s="5">
        <f t="shared" si="2"/>
        <v>13.004</v>
      </c>
      <c r="AF7" s="5">
        <f>IF(A7="","",IFERROR(INDEX(Daily_Input!$F:$F,ROW()+1),""))</f>
        <v>41682.05793389491</v>
      </c>
      <c r="AG7" s="5">
        <f>IF(A7="","",IFERROR(INDEX(Daily_Input!$F:$F,ROW()+2),""))</f>
        <v>38705.211743894906</v>
      </c>
      <c r="AH7" s="5">
        <f>IF(A7="","",IFERROR(INDEX(Daily_Input!$F:$F,ROW()+3),""))</f>
        <v>33915.234813894909</v>
      </c>
    </row>
    <row r="8" spans="1:34">
      <c r="A8" s="5">
        <f>Daily_Input!A8</f>
        <v>45845</v>
      </c>
      <c r="B8" s="5">
        <f>Daily_Input!F8</f>
        <v>41682.05793389491</v>
      </c>
      <c r="C8" s="5">
        <f>Daily_Input!D8</f>
        <v>489.577</v>
      </c>
      <c r="D8" s="5">
        <f>Daily_Input!E8</f>
        <v>1634494.0165122999</v>
      </c>
      <c r="E8" s="5" cm="1">
        <f t="array" ref="E8">IF(ROW()=2,"",INDEX(Daily_Input!$E:$E,ROW())-INDEX(Daily_Input!$E:$E,ROW()-1))</f>
        <v>0</v>
      </c>
      <c r="F8" s="5">
        <f>IFERROR(Daily_Input!E8/Config!$B$4,"")</f>
        <v>1.0055554960499677</v>
      </c>
      <c r="G8" s="5">
        <f>Daily_Input!I8</f>
        <v>0</v>
      </c>
      <c r="H8" s="5">
        <f>IF(A8="","",IF(ROW()=2,G8,Config!$B$5*H7+G8))</f>
        <v>45.534092562499993</v>
      </c>
      <c r="I8" s="5">
        <f t="shared" si="0"/>
        <v>188</v>
      </c>
      <c r="J8" s="5">
        <f>IF(I8="","",SIN(2*PI()*I8/Config!$B$6))</f>
        <v>-9.4536749817199325E-2</v>
      </c>
      <c r="K8" s="5">
        <f>IF(I8="","",COS(2*PI()*I8/Config!$B$6))</f>
        <v>-0.99552137241447525</v>
      </c>
      <c r="L8" s="5">
        <f>IF(ROW()&lt;=2+0,"",INDEX(Daily_Input!$F:$F,ROW()-1))</f>
        <v>41715.18892187145</v>
      </c>
      <c r="M8" s="5">
        <f>IF(ROW()&lt;=2+1,"",INDEX(Daily_Input!$F:$F,ROW()-2))</f>
        <v>22689.827603281785</v>
      </c>
      <c r="N8" s="5">
        <f>IF(ROW()&lt;=2+2,"",INDEX(Daily_Input!$F:$F,ROW()-3))</f>
        <v>21950.322284900692</v>
      </c>
      <c r="O8" s="5" t="str">
        <f>IF(ROW()&lt;=2+6,"",INDEX([1]Daily_Input!$F:$F,ROW()-7))</f>
        <v/>
      </c>
      <c r="P8" s="5" t="str">
        <f>IF(ROW()&lt;=2+13,"",INDEX([1]Daily_Input!$F:$F,ROW()-14))</f>
        <v/>
      </c>
      <c r="Q8" s="5">
        <f>IF(ROW()&lt;=4,"",SUM(INDEX(Daily_Input!$I:$I,ROW()-2):INDEX(Daily_Input!$I:$I,ROW())))</f>
        <v>17.599999999999998</v>
      </c>
      <c r="R8" s="5" t="str">
        <f>IF(ROW()&lt;=8,"",SUM([1]Daily_Input!#REF!))</f>
        <v/>
      </c>
      <c r="S8" s="5" t="str">
        <f>IF(ROW()&lt;=15,"",SUM([1]Daily_Input!#REF!))</f>
        <v/>
      </c>
      <c r="T8" s="5">
        <f>IF(ROW()&lt;=4,"",AVERAGE(INDEX(Daily_Input!$F:$F,ROW()-2):INDEX(Daily_Input!$F:$F,ROW())))</f>
        <v>35362.358153016045</v>
      </c>
      <c r="U8" s="5">
        <f>IF(ROW()&lt;=2+0,"",INDEX(Daily_Input!$G:$G,ROW()-1))</f>
        <v>15019.2</v>
      </c>
      <c r="V8" s="5">
        <f>IF(ROW()&lt;=2+0,"",INDEX(Daily_Input!$H:$H,ROW()-1))</f>
        <v>24733.703730000001</v>
      </c>
      <c r="W8" s="5">
        <f>IF(ROW()&lt;=2+1,"",INDEX(Daily_Input!$G:$G,ROW()-2))</f>
        <v>15019.2</v>
      </c>
      <c r="X8" s="5">
        <f>IF(ROW()&lt;=2+1,"",INDEX(Daily_Input!$H:$H,ROW()-2))</f>
        <v>6670.2723230000001</v>
      </c>
      <c r="Y8" s="5">
        <f>IF(ROW()&lt;=2+2,"",INDEX(Daily_Input!$G:$G,ROW()-3))</f>
        <v>15019.2</v>
      </c>
      <c r="Z8" s="5">
        <f>IF(ROW()&lt;=2+2,"",INDEX(Daily_Input!$H:$H,ROW()-3))</f>
        <v>5877.4745650000004</v>
      </c>
      <c r="AA8" s="5">
        <f>Daily_Input!N8</f>
        <v>13.004</v>
      </c>
      <c r="AB8" s="5">
        <f>Daily_Input!O8</f>
        <v>9.3940000000000001</v>
      </c>
      <c r="AC8" s="5">
        <f>Daily_Input!P8</f>
        <v>1.67</v>
      </c>
      <c r="AD8" s="5">
        <f t="shared" si="1"/>
        <v>24.067999999999998</v>
      </c>
      <c r="AE8" s="5">
        <f t="shared" si="2"/>
        <v>13.004</v>
      </c>
      <c r="AF8" s="5">
        <f>IF(A8="","",IFERROR(INDEX(Daily_Input!$F:$F,ROW()+1),""))</f>
        <v>38705.211743894906</v>
      </c>
      <c r="AG8" s="5">
        <f>IF(A8="","",IFERROR(INDEX(Daily_Input!$F:$F,ROW()+2),""))</f>
        <v>33915.234813894909</v>
      </c>
      <c r="AH8" s="5">
        <f>IF(A8="","",IFERROR(INDEX(Daily_Input!$F:$F,ROW()+3),""))</f>
        <v>16680.985831774797</v>
      </c>
    </row>
    <row r="9" spans="1:34">
      <c r="A9" s="5">
        <f>Daily_Input!A9</f>
        <v>45846</v>
      </c>
      <c r="B9" s="5">
        <f>Daily_Input!F9</f>
        <v>38705.211743894906</v>
      </c>
      <c r="C9" s="5">
        <f>Daily_Input!D9</f>
        <v>489.577</v>
      </c>
      <c r="D9" s="5">
        <f>Daily_Input!E9</f>
        <v>1634494.0165122999</v>
      </c>
      <c r="E9" s="5" cm="1">
        <f t="array" ref="E9">IF(ROW()=2,"",INDEX(Daily_Input!$E:$E,ROW())-INDEX(Daily_Input!$E:$E,ROW()-1))</f>
        <v>0</v>
      </c>
      <c r="F9" s="5">
        <f>IFERROR(Daily_Input!E9/Config!$B$4,"")</f>
        <v>1.0055554960499677</v>
      </c>
      <c r="G9" s="5">
        <f>Daily_Input!I9</f>
        <v>0</v>
      </c>
      <c r="H9" s="5">
        <f>IF(A9="","",IF(ROW()=2,G9,Config!$B$5*H8+G9))</f>
        <v>43.257387934374989</v>
      </c>
      <c r="I9" s="5">
        <f t="shared" si="0"/>
        <v>189</v>
      </c>
      <c r="J9" s="5">
        <f>IF(I9="","",SIN(2*PI()*I9/Config!$B$6))</f>
        <v>-0.11165900712169444</v>
      </c>
      <c r="K9" s="5">
        <f>IF(I9="","",COS(2*PI()*I9/Config!$B$6))</f>
        <v>-0.99374658043617814</v>
      </c>
      <c r="L9" s="5">
        <f>IF(ROW()&lt;=2+0,"",INDEX(Daily_Input!$F:$F,ROW()-1))</f>
        <v>41682.05793389491</v>
      </c>
      <c r="M9" s="5">
        <f>IF(ROW()&lt;=2+1,"",INDEX(Daily_Input!$F:$F,ROW()-2))</f>
        <v>41715.18892187145</v>
      </c>
      <c r="N9" s="5">
        <f>IF(ROW()&lt;=2+2,"",INDEX(Daily_Input!$F:$F,ROW()-3))</f>
        <v>22689.827603281785</v>
      </c>
      <c r="O9" s="5">
        <f>IF(ROW()&lt;=2+6,"",INDEX(Daily_Input!$F:$F,ROW()-7))</f>
        <v>16137.621087533549</v>
      </c>
      <c r="P9" s="5" t="str">
        <f>IF(ROW()&lt;=2+13,"",INDEX([1]Daily_Input!$F:$F,ROW()-14))</f>
        <v/>
      </c>
      <c r="Q9" s="5">
        <f>IF(ROW()&lt;=4,"",SUM(INDEX(Daily_Input!$I:$I,ROW()-2):INDEX(Daily_Input!$I:$I,ROW())))</f>
        <v>17.2</v>
      </c>
      <c r="R9" s="5">
        <f>IF(ROW()&lt;=8,"",SUM(INDEX(Daily_Input!$I:$I,ROW()-6):INDEX(Daily_Input!$I:$I,ROW())))</f>
        <v>51.599999999999994</v>
      </c>
      <c r="S9" s="5" t="str">
        <f>IF(ROW()&lt;=15,"",SUM([1]Daily_Input!#REF!))</f>
        <v/>
      </c>
      <c r="T9" s="5">
        <f>IF(ROW()&lt;=4,"",AVERAGE(INDEX(Daily_Input!$F:$F,ROW()-2):INDEX(Daily_Input!$F:$F,ROW())))</f>
        <v>40700.819533220427</v>
      </c>
      <c r="U9" s="5">
        <f>IF(ROW()&lt;=2+0,"",INDEX(Daily_Input!$G:$G,ROW()-1))</f>
        <v>15019.2</v>
      </c>
      <c r="V9" s="5">
        <f>IF(ROW()&lt;=2+0,"",INDEX(Daily_Input!$H:$H,ROW()-1))</f>
        <v>25540.96499</v>
      </c>
      <c r="W9" s="5">
        <f>IF(ROW()&lt;=2+1,"",INDEX(Daily_Input!$G:$G,ROW()-2))</f>
        <v>15019.2</v>
      </c>
      <c r="X9" s="5">
        <f>IF(ROW()&lt;=2+1,"",INDEX(Daily_Input!$H:$H,ROW()-2))</f>
        <v>24733.703730000001</v>
      </c>
      <c r="Y9" s="5">
        <f>IF(ROW()&lt;=2+2,"",INDEX(Daily_Input!$G:$G,ROW()-3))</f>
        <v>15019.2</v>
      </c>
      <c r="Z9" s="5">
        <f>IF(ROW()&lt;=2+2,"",INDEX(Daily_Input!$H:$H,ROW()-3))</f>
        <v>6670.2723230000001</v>
      </c>
      <c r="AA9" s="5">
        <f>Daily_Input!N9</f>
        <v>9.3940000000000001</v>
      </c>
      <c r="AB9" s="5">
        <f>Daily_Input!O9</f>
        <v>1.67</v>
      </c>
      <c r="AC9" s="5">
        <f>Daily_Input!P9</f>
        <v>10.659000000000001</v>
      </c>
      <c r="AD9" s="5">
        <f t="shared" si="1"/>
        <v>21.722999999999999</v>
      </c>
      <c r="AE9" s="5">
        <f t="shared" si="2"/>
        <v>10.659000000000001</v>
      </c>
      <c r="AF9" s="5">
        <f>IF(A9="","",IFERROR(INDEX(Daily_Input!$F:$F,ROW()+1),""))</f>
        <v>33915.234813894909</v>
      </c>
      <c r="AG9" s="5">
        <f>IF(A9="","",IFERROR(INDEX(Daily_Input!$F:$F,ROW()+2),""))</f>
        <v>16680.985831774797</v>
      </c>
      <c r="AH9" s="5">
        <f>IF(A9="","",IFERROR(INDEX(Daily_Input!$F:$F,ROW()+3),""))</f>
        <v>9699.6258287280525</v>
      </c>
    </row>
    <row r="10" spans="1:34">
      <c r="A10" s="5">
        <f>Daily_Input!A10</f>
        <v>45847</v>
      </c>
      <c r="B10" s="5">
        <f>Daily_Input!F10</f>
        <v>33915.234813894909</v>
      </c>
      <c r="C10" s="5">
        <f>Daily_Input!D10</f>
        <v>489.57</v>
      </c>
      <c r="D10" s="5">
        <f>Daily_Input!E10</f>
        <v>1634494.0165122999</v>
      </c>
      <c r="E10" s="5" cm="1">
        <f t="array" ref="E10">IF(ROW()=2,"",INDEX(Daily_Input!$E:$E,ROW())-INDEX(Daily_Input!$E:$E,ROW()-1))</f>
        <v>0</v>
      </c>
      <c r="F10" s="5">
        <f>IFERROR(Daily_Input!E10/Config!$B$4,"")</f>
        <v>1.0055554960499677</v>
      </c>
      <c r="G10" s="5">
        <f>Daily_Input!I10</f>
        <v>0</v>
      </c>
      <c r="H10" s="5">
        <f>IF(A10="","",IF(ROW()=2,G10,Config!$B$5*H9+G10))</f>
        <v>41.094518537656235</v>
      </c>
      <c r="I10" s="5">
        <f t="shared" si="0"/>
        <v>190</v>
      </c>
      <c r="J10" s="5">
        <f>IF(I10="","",SIN(2*PI()*I10/Config!$B$6))</f>
        <v>-0.12874817745258066</v>
      </c>
      <c r="K10" s="5">
        <f>IF(I10="","",COS(2*PI()*I10/Config!$B$6))</f>
        <v>-0.99167731989928998</v>
      </c>
      <c r="L10" s="5">
        <f>IF(ROW()&lt;=2+0,"",INDEX(Daily_Input!$F:$F,ROW()-1))</f>
        <v>38705.211743894906</v>
      </c>
      <c r="M10" s="5">
        <f>IF(ROW()&lt;=2+1,"",INDEX(Daily_Input!$F:$F,ROW()-2))</f>
        <v>41682.05793389491</v>
      </c>
      <c r="N10" s="5">
        <f>IF(ROW()&lt;=2+2,"",INDEX(Daily_Input!$F:$F,ROW()-3))</f>
        <v>41715.18892187145</v>
      </c>
      <c r="O10" s="5">
        <f>IF(ROW()&lt;=2+6,"",INDEX(Daily_Input!$F:$F,ROW()-7))</f>
        <v>18000.430324119316</v>
      </c>
      <c r="P10" s="5" t="str">
        <f>IF(ROW()&lt;=2+13,"",INDEX([1]Daily_Input!$F:$F,ROW()-14))</f>
        <v/>
      </c>
      <c r="Q10" s="5">
        <f>IF(ROW()&lt;=4,"",SUM(INDEX(Daily_Input!$I:$I,ROW()-2):INDEX(Daily_Input!$I:$I,ROW())))</f>
        <v>0</v>
      </c>
      <c r="R10" s="5">
        <f>IF(ROW()&lt;=8,"",SUM(INDEX(Daily_Input!$I:$I,ROW()-6):INDEX(Daily_Input!$I:$I,ROW())))</f>
        <v>47.8</v>
      </c>
      <c r="S10" s="5" t="str">
        <f>IF(ROW()&lt;=15,"",SUM([1]Daily_Input!#REF!))</f>
        <v/>
      </c>
      <c r="T10" s="5">
        <f>IF(ROW()&lt;=4,"",AVERAGE(INDEX(Daily_Input!$F:$F,ROW()-2):INDEX(Daily_Input!$F:$F,ROW())))</f>
        <v>38100.834830561573</v>
      </c>
      <c r="U10" s="5">
        <f>IF(ROW()&lt;=2+0,"",INDEX(Daily_Input!$G:$G,ROW()-1))</f>
        <v>15019.2</v>
      </c>
      <c r="V10" s="5">
        <f>IF(ROW()&lt;=2+0,"",INDEX(Daily_Input!$H:$H,ROW()-1))</f>
        <v>22564.1188</v>
      </c>
      <c r="W10" s="5">
        <f>IF(ROW()&lt;=2+1,"",INDEX(Daily_Input!$G:$G,ROW()-2))</f>
        <v>15019.2</v>
      </c>
      <c r="X10" s="5">
        <f>IF(ROW()&lt;=2+1,"",INDEX(Daily_Input!$H:$H,ROW()-2))</f>
        <v>25540.96499</v>
      </c>
      <c r="Y10" s="5">
        <f>IF(ROW()&lt;=2+2,"",INDEX(Daily_Input!$G:$G,ROW()-3))</f>
        <v>15019.2</v>
      </c>
      <c r="Z10" s="5">
        <f>IF(ROW()&lt;=2+2,"",INDEX(Daily_Input!$H:$H,ROW()-3))</f>
        <v>24733.703730000001</v>
      </c>
      <c r="AA10" s="5">
        <f>Daily_Input!N10</f>
        <v>1.67</v>
      </c>
      <c r="AB10" s="5">
        <f>Daily_Input!O10</f>
        <v>10.659000000000001</v>
      </c>
      <c r="AC10" s="5">
        <f>Daily_Input!P10</f>
        <v>20.48</v>
      </c>
      <c r="AD10" s="5">
        <f t="shared" si="1"/>
        <v>32.808999999999997</v>
      </c>
      <c r="AE10" s="5">
        <f t="shared" si="2"/>
        <v>20.48</v>
      </c>
      <c r="AF10" s="5">
        <f>IF(A10="","",IFERROR(INDEX(Daily_Input!$F:$F,ROW()+1),""))</f>
        <v>16680.985831774797</v>
      </c>
      <c r="AG10" s="5">
        <f>IF(A10="","",IFERROR(INDEX(Daily_Input!$F:$F,ROW()+2),""))</f>
        <v>9699.6258287280525</v>
      </c>
      <c r="AH10" s="5">
        <f>IF(A10="","",IFERROR(INDEX(Daily_Input!$F:$F,ROW()+3),""))</f>
        <v>20534.222947390706</v>
      </c>
    </row>
    <row r="11" spans="1:34">
      <c r="A11" s="5">
        <f>Daily_Input!A11</f>
        <v>45848</v>
      </c>
      <c r="B11" s="5">
        <f>Daily_Input!F11</f>
        <v>16680.985831774797</v>
      </c>
      <c r="C11" s="5">
        <f>Daily_Input!D11</f>
        <v>489.56400000000002</v>
      </c>
      <c r="D11" s="5">
        <f>Daily_Input!E11</f>
        <v>1631482.3951735001</v>
      </c>
      <c r="E11" s="5" cm="1">
        <f t="array" ref="E11">IF(ROW()=2,"",INDEX(Daily_Input!$E:$E,ROW())-INDEX(Daily_Input!$E:$E,ROW()-1))</f>
        <v>-3011.6213387998287</v>
      </c>
      <c r="F11" s="5">
        <f>IFERROR(Daily_Input!E11/Config!$B$4,"")</f>
        <v>1.0037027193749493</v>
      </c>
      <c r="G11" s="5">
        <f>Daily_Input!I11</f>
        <v>8.6</v>
      </c>
      <c r="H11" s="5">
        <f>IF(A11="","",IF(ROW()=2,G11,Config!$B$5*H10+G11))</f>
        <v>47.639792610773419</v>
      </c>
      <c r="I11" s="5">
        <f t="shared" si="0"/>
        <v>191</v>
      </c>
      <c r="J11" s="5">
        <f>IF(I11="","",SIN(2*PI()*I11/Config!$B$6))</f>
        <v>-0.14579919691987442</v>
      </c>
      <c r="K11" s="5">
        <f>IF(I11="","",COS(2*PI()*I11/Config!$B$6))</f>
        <v>-0.9893142039703664</v>
      </c>
      <c r="L11" s="5">
        <f>IF(ROW()&lt;=2+0,"",INDEX(Daily_Input!$F:$F,ROW()-1))</f>
        <v>33915.234813894909</v>
      </c>
      <c r="M11" s="5">
        <f>IF(ROW()&lt;=2+1,"",INDEX(Daily_Input!$F:$F,ROW()-2))</f>
        <v>38705.211743894906</v>
      </c>
      <c r="N11" s="5">
        <f>IF(ROW()&lt;=2+2,"",INDEX(Daily_Input!$F:$F,ROW()-3))</f>
        <v>41682.05793389491</v>
      </c>
      <c r="O11" s="5">
        <f>IF(ROW()&lt;=2+6,"",INDEX(Daily_Input!$F:$F,ROW()-7))</f>
        <v>16551.135553712575</v>
      </c>
      <c r="P11" s="5" t="str">
        <f>IF(ROW()&lt;=2+13,"",INDEX([1]Daily_Input!$F:$F,ROW()-14))</f>
        <v/>
      </c>
      <c r="Q11" s="5">
        <f>IF(ROW()&lt;=4,"",SUM(INDEX(Daily_Input!$I:$I,ROW()-2):INDEX(Daily_Input!$I:$I,ROW())))</f>
        <v>8.6</v>
      </c>
      <c r="R11" s="5">
        <f>IF(ROW()&lt;=8,"",SUM(INDEX(Daily_Input!$I:$I,ROW()-6):INDEX(Daily_Input!$I:$I,ROW())))</f>
        <v>56.4</v>
      </c>
      <c r="S11" s="5" t="str">
        <f>IF(ROW()&lt;=15,"",SUM([1]Daily_Input!#REF!))</f>
        <v/>
      </c>
      <c r="T11" s="5">
        <f>IF(ROW()&lt;=4,"",AVERAGE(INDEX(Daily_Input!$F:$F,ROW()-2):INDEX(Daily_Input!$F:$F,ROW())))</f>
        <v>29767.144129854871</v>
      </c>
      <c r="U11" s="5">
        <f>IF(ROW()&lt;=2+0,"",INDEX(Daily_Input!$G:$G,ROW()-1))</f>
        <v>15019.2</v>
      </c>
      <c r="V11" s="5">
        <f>IF(ROW()&lt;=2+0,"",INDEX(Daily_Input!$H:$H,ROW()-1))</f>
        <v>17774.141869999999</v>
      </c>
      <c r="W11" s="5">
        <f>IF(ROW()&lt;=2+1,"",INDEX(Daily_Input!$G:$G,ROW()-2))</f>
        <v>15019.2</v>
      </c>
      <c r="X11" s="5">
        <f>IF(ROW()&lt;=2+1,"",INDEX(Daily_Input!$H:$H,ROW()-2))</f>
        <v>22564.1188</v>
      </c>
      <c r="Y11" s="5">
        <f>IF(ROW()&lt;=2+2,"",INDEX(Daily_Input!$G:$G,ROW()-3))</f>
        <v>15019.2</v>
      </c>
      <c r="Z11" s="5">
        <f>IF(ROW()&lt;=2+2,"",INDEX(Daily_Input!$H:$H,ROW()-3))</f>
        <v>25540.96499</v>
      </c>
      <c r="AA11" s="5">
        <f>Daily_Input!N11</f>
        <v>10.659000000000001</v>
      </c>
      <c r="AB11" s="5">
        <f>Daily_Input!O11</f>
        <v>20.48</v>
      </c>
      <c r="AC11" s="5">
        <f>Daily_Input!P11</f>
        <v>22.463000000000001</v>
      </c>
      <c r="AD11" s="5">
        <f t="shared" si="1"/>
        <v>53.602000000000004</v>
      </c>
      <c r="AE11" s="5">
        <f t="shared" si="2"/>
        <v>22.463000000000001</v>
      </c>
      <c r="AF11" s="5">
        <f>IF(A11="","",IFERROR(INDEX(Daily_Input!$F:$F,ROW()+1),""))</f>
        <v>9699.6258287280525</v>
      </c>
      <c r="AG11" s="5">
        <f>IF(A11="","",IFERROR(INDEX(Daily_Input!$F:$F,ROW()+2),""))</f>
        <v>20534.222947390706</v>
      </c>
      <c r="AH11" s="5">
        <f>IF(A11="","",IFERROR(INDEX(Daily_Input!$F:$F,ROW()+3),""))</f>
        <v>62384.337747241487</v>
      </c>
    </row>
    <row r="12" spans="1:34">
      <c r="A12" s="5">
        <f>Daily_Input!A12</f>
        <v>45849</v>
      </c>
      <c r="B12" s="5">
        <f>Daily_Input!F12</f>
        <v>9699.6258287280525</v>
      </c>
      <c r="C12" s="5">
        <f>Daily_Input!D12</f>
        <v>489.54399999999998</v>
      </c>
      <c r="D12" s="5">
        <f>Daily_Input!E12</f>
        <v>1625463.7590197001</v>
      </c>
      <c r="E12" s="5" cm="1">
        <f t="array" ref="E12">IF(ROW()=2,"",INDEX(Daily_Input!$E:$E,ROW())-INDEX(Daily_Input!$E:$E,ROW()-1))</f>
        <v>-6018.6361537999474</v>
      </c>
      <c r="F12" s="5">
        <f>IFERROR(Daily_Input!E12/Config!$B$4,"")</f>
        <v>1</v>
      </c>
      <c r="G12" s="5">
        <f>Daily_Input!I12</f>
        <v>1.4</v>
      </c>
      <c r="H12" s="5">
        <f>IF(A12="","",IF(ROW()=2,G12,Config!$B$5*H11+G12))</f>
        <v>46.657802980234742</v>
      </c>
      <c r="I12" s="5">
        <f t="shared" si="0"/>
        <v>192</v>
      </c>
      <c r="J12" s="5">
        <f>IF(I12="","",SIN(2*PI()*I12/Config!$B$6))</f>
        <v>-0.16280701293851646</v>
      </c>
      <c r="K12" s="5">
        <f>IF(I12="","",COS(2*PI()*I12/Config!$B$6))</f>
        <v>-0.98665793289165715</v>
      </c>
      <c r="L12" s="5">
        <f>IF(ROW()&lt;=2+0,"",INDEX(Daily_Input!$F:$F,ROW()-1))</f>
        <v>16680.985831774797</v>
      </c>
      <c r="M12" s="5">
        <f>IF(ROW()&lt;=2+1,"",INDEX(Daily_Input!$F:$F,ROW()-2))</f>
        <v>33915.234813894909</v>
      </c>
      <c r="N12" s="5">
        <f>IF(ROW()&lt;=2+2,"",INDEX(Daily_Input!$F:$F,ROW()-3))</f>
        <v>38705.211743894906</v>
      </c>
      <c r="O12" s="5">
        <f>IF(ROW()&lt;=2+6,"",INDEX(Daily_Input!$F:$F,ROW()-7))</f>
        <v>21950.322284900692</v>
      </c>
      <c r="P12" s="5" t="str">
        <f>IF(ROW()&lt;=2+13,"",INDEX([1]Daily_Input!$F:$F,ROW()-14))</f>
        <v/>
      </c>
      <c r="Q12" s="5">
        <f>IF(ROW()&lt;=4,"",SUM(INDEX(Daily_Input!$I:$I,ROW()-2):INDEX(Daily_Input!$I:$I,ROW())))</f>
        <v>10</v>
      </c>
      <c r="R12" s="5">
        <f>IF(ROW()&lt;=8,"",SUM(INDEX(Daily_Input!$I:$I,ROW()-6):INDEX(Daily_Input!$I:$I,ROW())))</f>
        <v>27.599999999999994</v>
      </c>
      <c r="S12" s="5" t="str">
        <f>IF(ROW()&lt;=15,"",SUM([1]Daily_Input!#REF!))</f>
        <v/>
      </c>
      <c r="T12" s="5">
        <f>IF(ROW()&lt;=4,"",AVERAGE(INDEX(Daily_Input!$F:$F,ROW()-2):INDEX(Daily_Input!$F:$F,ROW())))</f>
        <v>20098.615491465916</v>
      </c>
      <c r="U12" s="5">
        <f>IF(ROW()&lt;=2+0,"",INDEX(Daily_Input!$G:$G,ROW()-1))</f>
        <v>15019.2</v>
      </c>
      <c r="V12" s="5">
        <f>IF(ROW()&lt;=2+0,"",INDEX(Daily_Input!$H:$H,ROW()-1))</f>
        <v>6141.4219579999999</v>
      </c>
      <c r="W12" s="5">
        <f>IF(ROW()&lt;=2+1,"",INDEX(Daily_Input!$G:$G,ROW()-2))</f>
        <v>15019.2</v>
      </c>
      <c r="X12" s="5">
        <f>IF(ROW()&lt;=2+1,"",INDEX(Daily_Input!$H:$H,ROW()-2))</f>
        <v>17774.141869999999</v>
      </c>
      <c r="Y12" s="5">
        <f>IF(ROW()&lt;=2+2,"",INDEX(Daily_Input!$G:$G,ROW()-3))</f>
        <v>15019.2</v>
      </c>
      <c r="Z12" s="5">
        <f>IF(ROW()&lt;=2+2,"",INDEX(Daily_Input!$H:$H,ROW()-3))</f>
        <v>22564.1188</v>
      </c>
      <c r="AA12" s="5">
        <f>Daily_Input!N12</f>
        <v>20.48</v>
      </c>
      <c r="AB12" s="5">
        <f>Daily_Input!O12</f>
        <v>22.463000000000001</v>
      </c>
      <c r="AC12" s="5">
        <f>Daily_Input!P12</f>
        <v>18.722000000000001</v>
      </c>
      <c r="AD12" s="5">
        <f t="shared" si="1"/>
        <v>61.664999999999999</v>
      </c>
      <c r="AE12" s="5">
        <f t="shared" si="2"/>
        <v>22.463000000000001</v>
      </c>
      <c r="AF12" s="5">
        <f>IF(A12="","",IFERROR(INDEX(Daily_Input!$F:$F,ROW()+1),""))</f>
        <v>20534.222947390706</v>
      </c>
      <c r="AG12" s="5">
        <f>IF(A12="","",IFERROR(INDEX(Daily_Input!$F:$F,ROW()+2),""))</f>
        <v>62384.337747241487</v>
      </c>
      <c r="AH12" s="5">
        <f>IF(A12="","",IFERROR(INDEX(Daily_Input!$F:$F,ROW()+3),""))</f>
        <v>48379.884811176365</v>
      </c>
    </row>
    <row r="13" spans="1:34">
      <c r="A13" s="5">
        <f>Daily_Input!A13</f>
        <v>45850</v>
      </c>
      <c r="B13" s="5">
        <f>Daily_Input!F13</f>
        <v>20534.222947390706</v>
      </c>
      <c r="C13" s="5">
        <f>Daily_Input!D13</f>
        <v>489.53100000000001</v>
      </c>
      <c r="D13" s="5">
        <f>Daily_Input!E13</f>
        <v>1622456.7729032</v>
      </c>
      <c r="E13" s="5" cm="1">
        <f t="array" ref="E13">IF(ROW()=2,"",INDEX(Daily_Input!$E:$E,ROW())-INDEX(Daily_Input!$E:$E,ROW()-1))</f>
        <v>-3006.9861165001057</v>
      </c>
      <c r="F13" s="5">
        <f>IFERROR(Daily_Input!E13/Config!$B$4,"")</f>
        <v>0.99815007495564612</v>
      </c>
      <c r="G13" s="5">
        <f>Daily_Input!I13</f>
        <v>5.2</v>
      </c>
      <c r="H13" s="5">
        <f>IF(A13="","",IF(ROW()=2,G13,Config!$B$5*H12+G13))</f>
        <v>49.524912831223006</v>
      </c>
      <c r="I13" s="5">
        <f t="shared" si="0"/>
        <v>193</v>
      </c>
      <c r="J13" s="5">
        <f>IF(I13="","",SIN(2*PI()*I13/Config!$B$6))</f>
        <v>-0.17976658572556214</v>
      </c>
      <c r="K13" s="5">
        <f>IF(I13="","",COS(2*PI()*I13/Config!$B$6))</f>
        <v>-0.98370929377360983</v>
      </c>
      <c r="L13" s="5">
        <f>IF(ROW()&lt;=2+0,"",INDEX(Daily_Input!$F:$F,ROW()-1))</f>
        <v>9699.6258287280525</v>
      </c>
      <c r="M13" s="5">
        <f>IF(ROW()&lt;=2+1,"",INDEX(Daily_Input!$F:$F,ROW()-2))</f>
        <v>16680.985831774797</v>
      </c>
      <c r="N13" s="5">
        <f>IF(ROW()&lt;=2+2,"",INDEX(Daily_Input!$F:$F,ROW()-3))</f>
        <v>33915.234813894909</v>
      </c>
      <c r="O13" s="5">
        <f>IF(ROW()&lt;=2+6,"",INDEX(Daily_Input!$F:$F,ROW()-7))</f>
        <v>22689.827603281785</v>
      </c>
      <c r="P13" s="5" t="str">
        <f>IF(ROW()&lt;=2+13,"",INDEX([1]Daily_Input!$F:$F,ROW()-14))</f>
        <v/>
      </c>
      <c r="Q13" s="5">
        <f>IF(ROW()&lt;=4,"",SUM(INDEX(Daily_Input!$I:$I,ROW()-2):INDEX(Daily_Input!$I:$I,ROW())))</f>
        <v>15.2</v>
      </c>
      <c r="R13" s="5">
        <f>IF(ROW()&lt;=8,"",SUM(INDEX(Daily_Input!$I:$I,ROW()-6):INDEX(Daily_Input!$I:$I,ROW())))</f>
        <v>32.4</v>
      </c>
      <c r="S13" s="5" t="str">
        <f>IF(ROW()&lt;=15,"",SUM([1]Daily_Input!#REF!))</f>
        <v/>
      </c>
      <c r="T13" s="5">
        <f>IF(ROW()&lt;=4,"",AVERAGE(INDEX(Daily_Input!$F:$F,ROW()-2):INDEX(Daily_Input!$F:$F,ROW())))</f>
        <v>15638.278202631185</v>
      </c>
      <c r="U13" s="5">
        <f>IF(ROW()&lt;=2+0,"",INDEX(Daily_Input!$G:$G,ROW()-1))</f>
        <v>15019.2</v>
      </c>
      <c r="V13" s="5">
        <f>IF(ROW()&lt;=2+0,"",INDEX(Daily_Input!$H:$H,ROW()-1))</f>
        <v>0</v>
      </c>
      <c r="W13" s="5">
        <f>IF(ROW()&lt;=2+1,"",INDEX(Daily_Input!$G:$G,ROW()-2))</f>
        <v>15019.2</v>
      </c>
      <c r="X13" s="5">
        <f>IF(ROW()&lt;=2+1,"",INDEX(Daily_Input!$H:$H,ROW()-2))</f>
        <v>6141.4219579999999</v>
      </c>
      <c r="Y13" s="5">
        <f>IF(ROW()&lt;=2+2,"",INDEX(Daily_Input!$G:$G,ROW()-3))</f>
        <v>15019.2</v>
      </c>
      <c r="Z13" s="5">
        <f>IF(ROW()&lt;=2+2,"",INDEX(Daily_Input!$H:$H,ROW()-3))</f>
        <v>17774.141869999999</v>
      </c>
      <c r="AA13" s="5">
        <f>Daily_Input!N13</f>
        <v>22.463000000000001</v>
      </c>
      <c r="AB13" s="5">
        <f>Daily_Input!O13</f>
        <v>18.722000000000001</v>
      </c>
      <c r="AC13" s="5">
        <f>Daily_Input!P13</f>
        <v>18.885999999999999</v>
      </c>
      <c r="AD13" s="5">
        <f t="shared" si="1"/>
        <v>60.070999999999998</v>
      </c>
      <c r="AE13" s="5">
        <f t="shared" si="2"/>
        <v>22.463000000000001</v>
      </c>
      <c r="AF13" s="5">
        <f>IF(A13="","",IFERROR(INDEX(Daily_Input!$F:$F,ROW()+1),""))</f>
        <v>62384.337747241487</v>
      </c>
      <c r="AG13" s="5">
        <f>IF(A13="","",IFERROR(INDEX(Daily_Input!$F:$F,ROW()+2),""))</f>
        <v>48379.884811176365</v>
      </c>
      <c r="AH13" s="5">
        <f>IF(A13="","",IFERROR(INDEX(Daily_Input!$F:$F,ROW()+3),""))</f>
        <v>38218.919706494824</v>
      </c>
    </row>
    <row r="14" spans="1:34">
      <c r="A14" s="5">
        <f>Daily_Input!A14</f>
        <v>45851</v>
      </c>
      <c r="B14" s="5">
        <f>Daily_Input!F14</f>
        <v>62384.337747241487</v>
      </c>
      <c r="C14" s="5">
        <f>Daily_Input!D14</f>
        <v>489.589</v>
      </c>
      <c r="D14" s="5">
        <f>Daily_Input!E14</f>
        <v>1637507.2197397</v>
      </c>
      <c r="E14" s="5" cm="1">
        <f t="array" ref="E14">IF(ROW()=2,"",INDEX(Daily_Input!$E:$E,ROW())-INDEX(Daily_Input!$E:$E,ROW()-1))</f>
        <v>15050.446836499963</v>
      </c>
      <c r="F14" s="5">
        <f>IFERROR(Daily_Input!E14/Config!$B$4,"")</f>
        <v>1.0074092459171549</v>
      </c>
      <c r="G14" s="5">
        <f>Daily_Input!I14</f>
        <v>31.6</v>
      </c>
      <c r="H14" s="5">
        <f>IF(A14="","",IF(ROW()=2,G14,Config!$B$5*H13+G14))</f>
        <v>78.648667189661865</v>
      </c>
      <c r="I14" s="5">
        <f t="shared" si="0"/>
        <v>194</v>
      </c>
      <c r="J14" s="5">
        <f>IF(I14="","",SIN(2*PI()*I14/Config!$B$6))</f>
        <v>-0.19667288979357622</v>
      </c>
      <c r="K14" s="5">
        <f>IF(I14="","",COS(2*PI()*I14/Config!$B$6))</f>
        <v>-0.98046916036163212</v>
      </c>
      <c r="L14" s="5">
        <f>IF(ROW()&lt;=2+0,"",INDEX(Daily_Input!$F:$F,ROW()-1))</f>
        <v>20534.222947390706</v>
      </c>
      <c r="M14" s="5">
        <f>IF(ROW()&lt;=2+1,"",INDEX(Daily_Input!$F:$F,ROW()-2))</f>
        <v>9699.6258287280525</v>
      </c>
      <c r="N14" s="5">
        <f>IF(ROW()&lt;=2+2,"",INDEX(Daily_Input!$F:$F,ROW()-3))</f>
        <v>16680.985831774797</v>
      </c>
      <c r="O14" s="5">
        <f>IF(ROW()&lt;=2+6,"",INDEX(Daily_Input!$F:$F,ROW()-7))</f>
        <v>41715.18892187145</v>
      </c>
      <c r="P14" s="5" t="str">
        <f>IF(ROW()&lt;=2+13,"",INDEX([1]Daily_Input!$F:$F,ROW()-14))</f>
        <v/>
      </c>
      <c r="Q14" s="5">
        <f>IF(ROW()&lt;=4,"",SUM(INDEX(Daily_Input!$I:$I,ROW()-2):INDEX(Daily_Input!$I:$I,ROW())))</f>
        <v>38.200000000000003</v>
      </c>
      <c r="R14" s="5">
        <f>IF(ROW()&lt;=8,"",SUM(INDEX(Daily_Input!$I:$I,ROW()-6):INDEX(Daily_Input!$I:$I,ROW())))</f>
        <v>46.8</v>
      </c>
      <c r="S14" s="5" t="str">
        <f>IF(ROW()&lt;=15,"",SUM([1]Daily_Input!#REF!))</f>
        <v/>
      </c>
      <c r="T14" s="5">
        <f>IF(ROW()&lt;=4,"",AVERAGE(INDEX(Daily_Input!$F:$F,ROW()-2):INDEX(Daily_Input!$F:$F,ROW())))</f>
        <v>30872.728841120083</v>
      </c>
      <c r="U14" s="5">
        <f>IF(ROW()&lt;=2+0,"",INDEX(Daily_Input!$G:$G,ROW()-1))</f>
        <v>15019.2</v>
      </c>
      <c r="V14" s="5">
        <f>IF(ROW()&lt;=2+0,"",INDEX(Daily_Input!$H:$H,ROW()-1))</f>
        <v>8965.6721089999992</v>
      </c>
      <c r="W14" s="5">
        <f>IF(ROW()&lt;=2+1,"",INDEX(Daily_Input!$G:$G,ROW()-2))</f>
        <v>15019.2</v>
      </c>
      <c r="X14" s="5">
        <f>IF(ROW()&lt;=2+1,"",INDEX(Daily_Input!$H:$H,ROW()-2))</f>
        <v>0</v>
      </c>
      <c r="Y14" s="5">
        <f>IF(ROW()&lt;=2+2,"",INDEX(Daily_Input!$G:$G,ROW()-3))</f>
        <v>15019.2</v>
      </c>
      <c r="Z14" s="5">
        <f>IF(ROW()&lt;=2+2,"",INDEX(Daily_Input!$H:$H,ROW()-3))</f>
        <v>6141.4219579999999</v>
      </c>
      <c r="AA14" s="5">
        <f>Daily_Input!N14</f>
        <v>18.722000000000001</v>
      </c>
      <c r="AB14" s="5">
        <f>Daily_Input!O14</f>
        <v>18.885999999999999</v>
      </c>
      <c r="AC14" s="5">
        <f>Daily_Input!P14</f>
        <v>8.7219999999999995</v>
      </c>
      <c r="AD14" s="5">
        <f t="shared" si="1"/>
        <v>46.330000000000005</v>
      </c>
      <c r="AE14" s="5">
        <f t="shared" si="2"/>
        <v>18.885999999999999</v>
      </c>
      <c r="AF14" s="5">
        <f>IF(A14="","",IFERROR(INDEX(Daily_Input!$F:$F,ROW()+1),""))</f>
        <v>48379.884811176365</v>
      </c>
      <c r="AG14" s="5">
        <f>IF(A14="","",IFERROR(INDEX(Daily_Input!$F:$F,ROW()+2),""))</f>
        <v>38218.919706494824</v>
      </c>
      <c r="AH14" s="5">
        <f>IF(A14="","",IFERROR(INDEX(Daily_Input!$F:$F,ROW()+3),""))</f>
        <v>783908.44873235549</v>
      </c>
    </row>
    <row r="15" spans="1:34">
      <c r="A15" s="5">
        <f>Daily_Input!A15</f>
        <v>45852</v>
      </c>
      <c r="B15" s="5">
        <f>Daily_Input!F15</f>
        <v>48379.884811176365</v>
      </c>
      <c r="C15" s="5">
        <f>Daily_Input!D15</f>
        <v>489.58300000000003</v>
      </c>
      <c r="D15" s="5">
        <f>Daily_Input!E15</f>
        <v>1637507.2197397</v>
      </c>
      <c r="E15" s="5" cm="1">
        <f t="array" ref="E15">IF(ROW()=2,"",INDEX(Daily_Input!$E:$E,ROW())-INDEX(Daily_Input!$E:$E,ROW()-1))</f>
        <v>0</v>
      </c>
      <c r="F15" s="5">
        <f>IFERROR(Daily_Input!E15/Config!$B$4,"")</f>
        <v>1.0074092459171549</v>
      </c>
      <c r="G15" s="5">
        <f>Daily_Input!I15</f>
        <v>0</v>
      </c>
      <c r="H15" s="5">
        <f>IF(A15="","",IF(ROW()=2,G15,Config!$B$5*H14+G15))</f>
        <v>74.716233830178766</v>
      </c>
      <c r="I15" s="5">
        <f t="shared" si="0"/>
        <v>195</v>
      </c>
      <c r="J15" s="5">
        <f>IF(I15="","",SIN(2*PI()*I15/Config!$B$6))</f>
        <v>-0.2135209154397959</v>
      </c>
      <c r="K15" s="5">
        <f>IF(I15="","",COS(2*PI()*I15/Config!$B$6))</f>
        <v>-0.9769384927771817</v>
      </c>
      <c r="L15" s="5">
        <f>IF(ROW()&lt;=2+0,"",INDEX(Daily_Input!$F:$F,ROW()-1))</f>
        <v>62384.337747241487</v>
      </c>
      <c r="M15" s="5">
        <f>IF(ROW()&lt;=2+1,"",INDEX(Daily_Input!$F:$F,ROW()-2))</f>
        <v>20534.222947390706</v>
      </c>
      <c r="N15" s="5">
        <f>IF(ROW()&lt;=2+2,"",INDEX(Daily_Input!$F:$F,ROW()-3))</f>
        <v>9699.6258287280525</v>
      </c>
      <c r="O15" s="5">
        <f>IF(ROW()&lt;=2+6,"",INDEX(Daily_Input!$F:$F,ROW()-7))</f>
        <v>41682.05793389491</v>
      </c>
      <c r="P15" s="5" t="str">
        <f>IF(ROW()&lt;=2+13,"",INDEX([1]Daily_Input!$F:$F,ROW()-14))</f>
        <v/>
      </c>
      <c r="Q15" s="5">
        <f>IF(ROW()&lt;=4,"",SUM(INDEX(Daily_Input!$I:$I,ROW()-2):INDEX(Daily_Input!$I:$I,ROW())))</f>
        <v>36.800000000000004</v>
      </c>
      <c r="R15" s="5">
        <f>IF(ROW()&lt;=8,"",SUM(INDEX(Daily_Input!$I:$I,ROW()-6):INDEX(Daily_Input!$I:$I,ROW())))</f>
        <v>46.8</v>
      </c>
      <c r="S15" s="5" t="str">
        <f>IF(ROW()&lt;=15,"",SUM([1]Daily_Input!#REF!))</f>
        <v/>
      </c>
      <c r="T15" s="5">
        <f>IF(ROW()&lt;=4,"",AVERAGE(INDEX(Daily_Input!$F:$F,ROW()-2):INDEX(Daily_Input!$F:$F,ROW())))</f>
        <v>43766.148501936193</v>
      </c>
      <c r="U15" s="5">
        <f>IF(ROW()&lt;=2+0,"",INDEX(Daily_Input!$G:$G,ROW()-1))</f>
        <v>15019.2</v>
      </c>
      <c r="V15" s="5">
        <f>IF(ROW()&lt;=2+0,"",INDEX(Daily_Input!$H:$H,ROW()-1))</f>
        <v>40716.28976</v>
      </c>
      <c r="W15" s="5">
        <f>IF(ROW()&lt;=2+1,"",INDEX(Daily_Input!$G:$G,ROW()-2))</f>
        <v>15019.2</v>
      </c>
      <c r="X15" s="5">
        <f>IF(ROW()&lt;=2+1,"",INDEX(Daily_Input!$H:$H,ROW()-2))</f>
        <v>8965.6721089999992</v>
      </c>
      <c r="Y15" s="5">
        <f>IF(ROW()&lt;=2+2,"",INDEX(Daily_Input!$G:$G,ROW()-3))</f>
        <v>15019.2</v>
      </c>
      <c r="Z15" s="5">
        <f>IF(ROW()&lt;=2+2,"",INDEX(Daily_Input!$H:$H,ROW()-3))</f>
        <v>0</v>
      </c>
      <c r="AA15" s="5">
        <f>Daily_Input!N15</f>
        <v>18.885999999999999</v>
      </c>
      <c r="AB15" s="5">
        <f>Daily_Input!O15</f>
        <v>8.7219999999999995</v>
      </c>
      <c r="AC15" s="5">
        <f>Daily_Input!P15</f>
        <v>11.64</v>
      </c>
      <c r="AD15" s="5">
        <f t="shared" si="1"/>
        <v>39.247999999999998</v>
      </c>
      <c r="AE15" s="5">
        <f t="shared" si="2"/>
        <v>18.885999999999999</v>
      </c>
      <c r="AF15" s="5">
        <f>IF(A15="","",IFERROR(INDEX(Daily_Input!$F:$F,ROW()+1),""))</f>
        <v>38218.919706494824</v>
      </c>
      <c r="AG15" s="5">
        <f>IF(A15="","",IFERROR(INDEX(Daily_Input!$F:$F,ROW()+2),""))</f>
        <v>783908.44873235549</v>
      </c>
      <c r="AH15" s="5">
        <f>IF(A15="","",IFERROR(INDEX(Daily_Input!$F:$F,ROW()+3),""))</f>
        <v>421045.59254760947</v>
      </c>
    </row>
    <row r="16" spans="1:34">
      <c r="A16" s="5">
        <f>Daily_Input!A16</f>
        <v>45853</v>
      </c>
      <c r="B16" s="5">
        <f>Daily_Input!F16</f>
        <v>38218.919706494824</v>
      </c>
      <c r="C16" s="5">
        <f>Daily_Input!D16</f>
        <v>489.57</v>
      </c>
      <c r="D16" s="5">
        <f>Daily_Input!E16</f>
        <v>1634494.0165122999</v>
      </c>
      <c r="E16" s="5" cm="1">
        <f t="array" ref="E16">IF(ROW()=2,"",INDEX(Daily_Input!$E:$E,ROW())-INDEX(Daily_Input!$E:$E,ROW()-1))</f>
        <v>-3013.2032274000812</v>
      </c>
      <c r="F16" s="5">
        <f>IFERROR(Daily_Input!E16/Config!$B$4,"")</f>
        <v>1.0055554960499677</v>
      </c>
      <c r="G16" s="5">
        <f>Daily_Input!I16</f>
        <v>0</v>
      </c>
      <c r="H16" s="5">
        <f>IF(A16="","",IF(ROW()=2,G16,Config!$B$5*H15+G16))</f>
        <v>70.980422138669823</v>
      </c>
      <c r="I16" s="5">
        <f t="shared" si="0"/>
        <v>196</v>
      </c>
      <c r="J16" s="5">
        <f>IF(I16="","",SIN(2*PI()*I16/Config!$B$6))</f>
        <v>-0.23030567023061196</v>
      </c>
      <c r="K16" s="5">
        <f>IF(I16="","",COS(2*PI()*I16/Config!$B$6))</f>
        <v>-0.97311833723326202</v>
      </c>
      <c r="L16" s="5">
        <f>IF(ROW()&lt;=2+0,"",INDEX(Daily_Input!$F:$F,ROW()-1))</f>
        <v>48379.884811176365</v>
      </c>
      <c r="M16" s="5">
        <f>IF(ROW()&lt;=2+1,"",INDEX(Daily_Input!$F:$F,ROW()-2))</f>
        <v>62384.337747241487</v>
      </c>
      <c r="N16" s="5">
        <f>IF(ROW()&lt;=2+2,"",INDEX(Daily_Input!$F:$F,ROW()-3))</f>
        <v>20534.222947390706</v>
      </c>
      <c r="O16" s="5">
        <f>IF(ROW()&lt;=2+6,"",INDEX(Daily_Input!$F:$F,ROW()-7))</f>
        <v>38705.211743894906</v>
      </c>
      <c r="P16" s="5">
        <f>IF(ROW()&lt;=2+13,"",INDEX(Daily_Input!$F:$F,ROW()-14))</f>
        <v>16137.621087533549</v>
      </c>
      <c r="Q16" s="5">
        <f>IF(ROW()&lt;=4,"",SUM(INDEX(Daily_Input!$I:$I,ROW()-2):INDEX(Daily_Input!$I:$I,ROW())))</f>
        <v>31.6</v>
      </c>
      <c r="R16" s="5">
        <f>IF(ROW()&lt;=8,"",SUM(INDEX(Daily_Input!$I:$I,ROW()-6):INDEX(Daily_Input!$I:$I,ROW())))</f>
        <v>46.8</v>
      </c>
      <c r="S16" s="5">
        <f>IF(ROW()&lt;=15,"",SUM(INDEX(Daily_Input!$I:$I,ROW()-13):INDEX(Daily_Input!$I:$I,ROW())))</f>
        <v>98.4</v>
      </c>
      <c r="T16" s="5">
        <f>IF(ROW()&lt;=4,"",AVERAGE(INDEX(Daily_Input!$F:$F,ROW()-2):INDEX(Daily_Input!$F:$F,ROW())))</f>
        <v>49661.047421637551</v>
      </c>
      <c r="U16" s="5">
        <f>IF(ROW()&lt;=2+0,"",INDEX(Daily_Input!$G:$G,ROW()-1))</f>
        <v>15019.2</v>
      </c>
      <c r="V16" s="5">
        <f>IF(ROW()&lt;=2+0,"",INDEX(Daily_Input!$H:$H,ROW()-1))</f>
        <v>32238.207630000001</v>
      </c>
      <c r="W16" s="5">
        <f>IF(ROW()&lt;=2+1,"",INDEX(Daily_Input!$G:$G,ROW()-2))</f>
        <v>15019.2</v>
      </c>
      <c r="X16" s="5">
        <f>IF(ROW()&lt;=2+1,"",INDEX(Daily_Input!$H:$H,ROW()-2))</f>
        <v>40716.28976</v>
      </c>
      <c r="Y16" s="5">
        <f>IF(ROW()&lt;=2+2,"",INDEX(Daily_Input!$G:$G,ROW()-3))</f>
        <v>15019.2</v>
      </c>
      <c r="Z16" s="5">
        <f>IF(ROW()&lt;=2+2,"",INDEX(Daily_Input!$H:$H,ROW()-3))</f>
        <v>8965.6721089999992</v>
      </c>
      <c r="AA16" s="5">
        <f>Daily_Input!N16</f>
        <v>8.7219999999999995</v>
      </c>
      <c r="AB16" s="5">
        <f>Daily_Input!O16</f>
        <v>11.64</v>
      </c>
      <c r="AC16" s="5">
        <f>Daily_Input!P16</f>
        <v>14.795999999999999</v>
      </c>
      <c r="AD16" s="5">
        <f t="shared" si="1"/>
        <v>35.158000000000001</v>
      </c>
      <c r="AE16" s="5">
        <f t="shared" si="2"/>
        <v>14.795999999999999</v>
      </c>
      <c r="AF16" s="5">
        <f>IF(A16="","",IFERROR(INDEX(Daily_Input!$F:$F,ROW()+1),""))</f>
        <v>783908.44873235549</v>
      </c>
      <c r="AG16" s="5">
        <f>IF(A16="","",IFERROR(INDEX(Daily_Input!$F:$F,ROW()+2),""))</f>
        <v>421045.59254760947</v>
      </c>
      <c r="AH16" s="5">
        <f>IF(A16="","",IFERROR(INDEX(Daily_Input!$F:$F,ROW()+3),""))</f>
        <v>247151.60437672501</v>
      </c>
    </row>
    <row r="17" spans="1:34">
      <c r="A17" s="5">
        <f>Daily_Input!A17</f>
        <v>45854</v>
      </c>
      <c r="B17" s="5">
        <f>Daily_Input!F17</f>
        <v>783908.44873235549</v>
      </c>
      <c r="C17" s="5">
        <f>Daily_Input!D17</f>
        <v>489.85300000000001</v>
      </c>
      <c r="D17" s="5">
        <f>Daily_Input!E17</f>
        <v>1719668.7023854</v>
      </c>
      <c r="E17" s="5" cm="1">
        <f t="array" ref="E17">IF(ROW()=2,"",INDEX(Daily_Input!$E:$E,ROW())-INDEX(Daily_Input!$E:$E,ROW()-1))</f>
        <v>85174.685873100068</v>
      </c>
      <c r="F17" s="5">
        <f>IFERROR(Daily_Input!E17/Config!$B$4,"")</f>
        <v>1.0579557328442153</v>
      </c>
      <c r="G17" s="5">
        <f>Daily_Input!I17</f>
        <v>78.8</v>
      </c>
      <c r="H17" s="5">
        <f>IF(A17="","",IF(ROW()=2,G17,Config!$B$5*H16+G17))</f>
        <v>146.23140103173631</v>
      </c>
      <c r="I17" s="5">
        <f t="shared" si="0"/>
        <v>197</v>
      </c>
      <c r="J17" s="5">
        <f>IF(I17="","",SIN(2*PI()*I17/Config!$B$6))</f>
        <v>-0.24702218048093527</v>
      </c>
      <c r="K17" s="5">
        <f>IF(I17="","",COS(2*PI()*I17/Config!$B$6))</f>
        <v>-0.9690098257244063</v>
      </c>
      <c r="L17" s="5">
        <f>IF(ROW()&lt;=2+0,"",INDEX(Daily_Input!$F:$F,ROW()-1))</f>
        <v>38218.919706494824</v>
      </c>
      <c r="M17" s="5">
        <f>IF(ROW()&lt;=2+1,"",INDEX(Daily_Input!$F:$F,ROW()-2))</f>
        <v>48379.884811176365</v>
      </c>
      <c r="N17" s="5">
        <f>IF(ROW()&lt;=2+2,"",INDEX(Daily_Input!$F:$F,ROW()-3))</f>
        <v>62384.337747241487</v>
      </c>
      <c r="O17" s="5">
        <f>IF(ROW()&lt;=2+6,"",INDEX(Daily_Input!$F:$F,ROW()-7))</f>
        <v>33915.234813894909</v>
      </c>
      <c r="P17" s="5">
        <f>IF(ROW()&lt;=2+13,"",INDEX(Daily_Input!$F:$F,ROW()-14))</f>
        <v>18000.430324119316</v>
      </c>
      <c r="Q17" s="5">
        <f>IF(ROW()&lt;=4,"",SUM(INDEX(Daily_Input!$I:$I,ROW()-2):INDEX(Daily_Input!$I:$I,ROW())))</f>
        <v>78.8</v>
      </c>
      <c r="R17" s="5">
        <f>IF(ROW()&lt;=8,"",SUM(INDEX(Daily_Input!$I:$I,ROW()-6):INDEX(Daily_Input!$I:$I,ROW())))</f>
        <v>125.6</v>
      </c>
      <c r="S17" s="5">
        <f>IF(ROW()&lt;=15,"",SUM(INDEX(Daily_Input!$I:$I,ROW()-13):INDEX(Daily_Input!$I:$I,ROW())))</f>
        <v>173.39999999999998</v>
      </c>
      <c r="T17" s="5">
        <f>IF(ROW()&lt;=4,"",AVERAGE(INDEX(Daily_Input!$F:$F,ROW()-2):INDEX(Daily_Input!$F:$F,ROW())))</f>
        <v>290169.08441667556</v>
      </c>
      <c r="U17" s="5">
        <f>IF(ROW()&lt;=2+0,"",INDEX(Daily_Input!$G:$G,ROW()-1))</f>
        <v>15019.2</v>
      </c>
      <c r="V17" s="5">
        <f>IF(ROW()&lt;=2+0,"",INDEX(Daily_Input!$H:$H,ROW()-1))</f>
        <v>25091.029989999999</v>
      </c>
      <c r="W17" s="5">
        <f>IF(ROW()&lt;=2+1,"",INDEX(Daily_Input!$G:$G,ROW()-2))</f>
        <v>15019.2</v>
      </c>
      <c r="X17" s="5">
        <f>IF(ROW()&lt;=2+1,"",INDEX(Daily_Input!$H:$H,ROW()-2))</f>
        <v>32238.207630000001</v>
      </c>
      <c r="Y17" s="5">
        <f>IF(ROW()&lt;=2+2,"",INDEX(Daily_Input!$G:$G,ROW()-3))</f>
        <v>15019.2</v>
      </c>
      <c r="Z17" s="5">
        <f>IF(ROW()&lt;=2+2,"",INDEX(Daily_Input!$H:$H,ROW()-3))</f>
        <v>40716.28976</v>
      </c>
      <c r="AA17" s="5">
        <f>Daily_Input!N17</f>
        <v>11.64</v>
      </c>
      <c r="AB17" s="5">
        <f>Daily_Input!O17</f>
        <v>14.795999999999999</v>
      </c>
      <c r="AC17" s="5">
        <f>Daily_Input!P17</f>
        <v>4.4279999999999999</v>
      </c>
      <c r="AD17" s="5">
        <f t="shared" si="1"/>
        <v>30.864000000000001</v>
      </c>
      <c r="AE17" s="5">
        <f t="shared" si="2"/>
        <v>14.795999999999999</v>
      </c>
      <c r="AF17" s="5">
        <f>IF(A17="","",IFERROR(INDEX(Daily_Input!$F:$F,ROW()+1),""))</f>
        <v>421045.59254760947</v>
      </c>
      <c r="AG17" s="5">
        <f>IF(A17="","",IFERROR(INDEX(Daily_Input!$F:$F,ROW()+2),""))</f>
        <v>247151.60437672501</v>
      </c>
      <c r="AH17" s="5">
        <f>IF(A17="","",IFERROR(INDEX(Daily_Input!$F:$F,ROW()+3),""))</f>
        <v>142706.71852408364</v>
      </c>
    </row>
    <row r="18" spans="1:34">
      <c r="A18" s="5">
        <f>Daily_Input!A18</f>
        <v>45855</v>
      </c>
      <c r="B18" s="5">
        <f>Daily_Input!F18</f>
        <v>421045.59254760947</v>
      </c>
      <c r="C18" s="5">
        <f>Daily_Input!D18</f>
        <v>489.76299999999998</v>
      </c>
      <c r="D18" s="5">
        <f>Daily_Input!E18</f>
        <v>1692113.6615758</v>
      </c>
      <c r="E18" s="5" cm="1">
        <f t="array" ref="E18">IF(ROW()=2,"",INDEX(Daily_Input!$E:$E,ROW())-INDEX(Daily_Input!$E:$E,ROW()-1))</f>
        <v>-27555.040809599916</v>
      </c>
      <c r="F18" s="5">
        <f>IFERROR(Daily_Input!E18/Config!$B$4,"")</f>
        <v>1.041003622619243</v>
      </c>
      <c r="G18" s="5">
        <f>Daily_Input!I18</f>
        <v>4.2</v>
      </c>
      <c r="H18" s="5">
        <f>IF(A18="","",IF(ROW()=2,G18,Config!$B$5*H17+G18))</f>
        <v>143.11983098014949</v>
      </c>
      <c r="I18" s="5">
        <f t="shared" si="0"/>
        <v>198</v>
      </c>
      <c r="J18" s="5">
        <f>IF(I18="","",SIN(2*PI()*I18/Config!$B$6))</f>
        <v>-0.26366549272800721</v>
      </c>
      <c r="K18" s="5">
        <f>IF(I18="","",COS(2*PI()*I18/Config!$B$6))</f>
        <v>-0.96461417569124353</v>
      </c>
      <c r="L18" s="5">
        <f>IF(ROW()&lt;=2+0,"",INDEX(Daily_Input!$F:$F,ROW()-1))</f>
        <v>783908.44873235549</v>
      </c>
      <c r="M18" s="5">
        <f>IF(ROW()&lt;=2+1,"",INDEX(Daily_Input!$F:$F,ROW()-2))</f>
        <v>38218.919706494824</v>
      </c>
      <c r="N18" s="5">
        <f>IF(ROW()&lt;=2+2,"",INDEX(Daily_Input!$F:$F,ROW()-3))</f>
        <v>48379.884811176365</v>
      </c>
      <c r="O18" s="5">
        <f>IF(ROW()&lt;=2+6,"",INDEX(Daily_Input!$F:$F,ROW()-7))</f>
        <v>16680.985831774797</v>
      </c>
      <c r="P18" s="5">
        <f>IF(ROW()&lt;=2+13,"",INDEX(Daily_Input!$F:$F,ROW()-14))</f>
        <v>16551.135553712575</v>
      </c>
      <c r="Q18" s="5">
        <f>IF(ROW()&lt;=4,"",SUM(INDEX(Daily_Input!$I:$I,ROW()-2):INDEX(Daily_Input!$I:$I,ROW())))</f>
        <v>83</v>
      </c>
      <c r="R18" s="5">
        <f>IF(ROW()&lt;=8,"",SUM(INDEX(Daily_Input!$I:$I,ROW()-6):INDEX(Daily_Input!$I:$I,ROW())))</f>
        <v>121.2</v>
      </c>
      <c r="S18" s="5">
        <f>IF(ROW()&lt;=15,"",SUM(INDEX(Daily_Input!$I:$I,ROW()-13):INDEX(Daily_Input!$I:$I,ROW())))</f>
        <v>177.59999999999997</v>
      </c>
      <c r="T18" s="5">
        <f>IF(ROW()&lt;=4,"",AVERAGE(INDEX(Daily_Input!$F:$F,ROW()-2):INDEX(Daily_Input!$F:$F,ROW())))</f>
        <v>414390.98699548654</v>
      </c>
      <c r="U18" s="5">
        <f>IF(ROW()&lt;=2+0,"",INDEX(Daily_Input!$G:$G,ROW()-1))</f>
        <v>15019.2</v>
      </c>
      <c r="V18" s="5">
        <f>IF(ROW()&lt;=2+0,"",INDEX(Daily_Input!$H:$H,ROW()-1))</f>
        <v>706792.15720000002</v>
      </c>
      <c r="W18" s="5">
        <f>IF(ROW()&lt;=2+1,"",INDEX(Daily_Input!$G:$G,ROW()-2))</f>
        <v>15019.2</v>
      </c>
      <c r="X18" s="5">
        <f>IF(ROW()&lt;=2+1,"",INDEX(Daily_Input!$H:$H,ROW()-2))</f>
        <v>25091.029989999999</v>
      </c>
      <c r="Y18" s="5">
        <f>IF(ROW()&lt;=2+2,"",INDEX(Daily_Input!$G:$G,ROW()-3))</f>
        <v>15019.2</v>
      </c>
      <c r="Z18" s="5">
        <f>IF(ROW()&lt;=2+2,"",INDEX(Daily_Input!$H:$H,ROW()-3))</f>
        <v>32238.207630000001</v>
      </c>
      <c r="AA18" s="5">
        <f>Daily_Input!N18</f>
        <v>14.795999999999999</v>
      </c>
      <c r="AB18" s="5">
        <f>Daily_Input!O18</f>
        <v>4.4279999999999999</v>
      </c>
      <c r="AC18" s="5">
        <f>Daily_Input!P18</f>
        <v>6.2080000000000002</v>
      </c>
      <c r="AD18" s="5">
        <f t="shared" si="1"/>
        <v>25.432000000000002</v>
      </c>
      <c r="AE18" s="5">
        <f t="shared" si="2"/>
        <v>14.795999999999999</v>
      </c>
      <c r="AF18" s="5">
        <f>IF(A18="","",IFERROR(INDEX(Daily_Input!$F:$F,ROW()+1),""))</f>
        <v>247151.60437672501</v>
      </c>
      <c r="AG18" s="5">
        <f>IF(A18="","",IFERROR(INDEX(Daily_Input!$F:$F,ROW()+2),""))</f>
        <v>142706.71852408364</v>
      </c>
      <c r="AH18" s="5">
        <f>IF(A18="","",IFERROR(INDEX(Daily_Input!$F:$F,ROW()+3),""))</f>
        <v>99633.96164875057</v>
      </c>
    </row>
    <row r="19" spans="1:34">
      <c r="A19" s="5">
        <f>Daily_Input!A19</f>
        <v>45856</v>
      </c>
      <c r="B19" s="5">
        <f>Daily_Input!F19</f>
        <v>247151.60437672501</v>
      </c>
      <c r="C19" s="5">
        <f>Daily_Input!D19</f>
        <v>489.69799999999998</v>
      </c>
      <c r="D19" s="5">
        <f>Daily_Input!E19</f>
        <v>1670813.4823932</v>
      </c>
      <c r="E19" s="5" cm="1">
        <f t="array" ref="E19">IF(ROW()=2,"",INDEX(Daily_Input!$E:$E,ROW())-INDEX(Daily_Input!$E:$E,ROW()-1))</f>
        <v>-21300.179182599997</v>
      </c>
      <c r="F19" s="5">
        <f>IFERROR(Daily_Input!E19/Config!$B$4,"")</f>
        <v>1.0278995598159937</v>
      </c>
      <c r="G19" s="5">
        <f>Daily_Input!I19</f>
        <v>4.2</v>
      </c>
      <c r="H19" s="5">
        <f>IF(A19="","",IF(ROW()=2,G19,Config!$B$5*H18+G19))</f>
        <v>140.16383943114201</v>
      </c>
      <c r="I19" s="5">
        <f t="shared" si="0"/>
        <v>199</v>
      </c>
      <c r="J19" s="5">
        <f>IF(I19="","",SIN(2*PI()*I19/Config!$B$6))</f>
        <v>-0.28023067519921607</v>
      </c>
      <c r="K19" s="5">
        <f>IF(I19="","",COS(2*PI()*I19/Config!$B$6))</f>
        <v>-0.95993268965974454</v>
      </c>
      <c r="L19" s="5">
        <f>IF(ROW()&lt;=2+0,"",INDEX(Daily_Input!$F:$F,ROW()-1))</f>
        <v>421045.59254760947</v>
      </c>
      <c r="M19" s="5">
        <f>IF(ROW()&lt;=2+1,"",INDEX(Daily_Input!$F:$F,ROW()-2))</f>
        <v>783908.44873235549</v>
      </c>
      <c r="N19" s="5">
        <f>IF(ROW()&lt;=2+2,"",INDEX(Daily_Input!$F:$F,ROW()-3))</f>
        <v>38218.919706494824</v>
      </c>
      <c r="O19" s="5">
        <f>IF(ROW()&lt;=2+6,"",INDEX(Daily_Input!$F:$F,ROW()-7))</f>
        <v>9699.6258287280525</v>
      </c>
      <c r="P19" s="5">
        <f>IF(ROW()&lt;=2+13,"",INDEX(Daily_Input!$F:$F,ROW()-14))</f>
        <v>21950.322284900692</v>
      </c>
      <c r="Q19" s="5">
        <f>IF(ROW()&lt;=4,"",SUM(INDEX(Daily_Input!$I:$I,ROW()-2):INDEX(Daily_Input!$I:$I,ROW())))</f>
        <v>87.2</v>
      </c>
      <c r="R19" s="5">
        <f>IF(ROW()&lt;=8,"",SUM(INDEX(Daily_Input!$I:$I,ROW()-6):INDEX(Daily_Input!$I:$I,ROW())))</f>
        <v>124</v>
      </c>
      <c r="S19" s="5">
        <f>IF(ROW()&lt;=15,"",SUM(INDEX(Daily_Input!$I:$I,ROW()-13):INDEX(Daily_Input!$I:$I,ROW())))</f>
        <v>151.59999999999997</v>
      </c>
      <c r="T19" s="5">
        <f>IF(ROW()&lt;=4,"",AVERAGE(INDEX(Daily_Input!$F:$F,ROW()-2):INDEX(Daily_Input!$F:$F,ROW())))</f>
        <v>484035.21521889669</v>
      </c>
      <c r="U19" s="5">
        <f>IF(ROW()&lt;=2+0,"",INDEX(Daily_Input!$G:$G,ROW()-1))</f>
        <v>15019.2</v>
      </c>
      <c r="V19" s="5">
        <f>IF(ROW()&lt;=2+0,"",INDEX(Daily_Input!$H:$H,ROW()-1))</f>
        <v>433726.34600000002</v>
      </c>
      <c r="W19" s="5">
        <f>IF(ROW()&lt;=2+1,"",INDEX(Daily_Input!$G:$G,ROW()-2))</f>
        <v>15019.2</v>
      </c>
      <c r="X19" s="5">
        <f>IF(ROW()&lt;=2+1,"",INDEX(Daily_Input!$H:$H,ROW()-2))</f>
        <v>706792.15720000002</v>
      </c>
      <c r="Y19" s="5">
        <f>IF(ROW()&lt;=2+2,"",INDEX(Daily_Input!$G:$G,ROW()-3))</f>
        <v>15019.2</v>
      </c>
      <c r="Z19" s="5">
        <f>IF(ROW()&lt;=2+2,"",INDEX(Daily_Input!$H:$H,ROW()-3))</f>
        <v>25091.029989999999</v>
      </c>
      <c r="AA19" s="5">
        <f>Daily_Input!N19</f>
        <v>4.4279999999999999</v>
      </c>
      <c r="AB19" s="5">
        <f>Daily_Input!O19</f>
        <v>6.2080000000000002</v>
      </c>
      <c r="AC19" s="5">
        <f>Daily_Input!P19</f>
        <v>33.033999999999999</v>
      </c>
      <c r="AD19" s="5">
        <f t="shared" si="1"/>
        <v>43.67</v>
      </c>
      <c r="AE19" s="5">
        <f t="shared" si="2"/>
        <v>33.033999999999999</v>
      </c>
      <c r="AF19" s="5">
        <f>IF(A19="","",IFERROR(INDEX(Daily_Input!$F:$F,ROW()+1),""))</f>
        <v>142706.71852408364</v>
      </c>
      <c r="AG19" s="5">
        <f>IF(A19="","",IFERROR(INDEX(Daily_Input!$F:$F,ROW()+2),""))</f>
        <v>99633.96164875057</v>
      </c>
      <c r="AH19" s="5">
        <f>IF(A19="","",IFERROR(INDEX(Daily_Input!$F:$F,ROW()+3),""))</f>
        <v>81725.689460714595</v>
      </c>
    </row>
    <row r="20" spans="1:34">
      <c r="A20" s="5">
        <f>Daily_Input!A20</f>
        <v>45857</v>
      </c>
      <c r="B20" s="5">
        <f>Daily_Input!F20</f>
        <v>142706.71852408364</v>
      </c>
      <c r="C20" s="5">
        <f>Daily_Input!D20</f>
        <v>489.64800000000002</v>
      </c>
      <c r="D20" s="5">
        <f>Daily_Input!E20</f>
        <v>1655645.1614623</v>
      </c>
      <c r="E20" s="5" cm="1">
        <f t="array" ref="E20">IF(ROW()=2,"",INDEX(Daily_Input!$E:$E,ROW())-INDEX(Daily_Input!$E:$E,ROW()-1))</f>
        <v>-15168.320930900052</v>
      </c>
      <c r="F20" s="5">
        <f>IFERROR(Daily_Input!E20/Config!$B$4,"")</f>
        <v>1.018567871645937</v>
      </c>
      <c r="G20" s="5">
        <f>Daily_Input!I20</f>
        <v>0</v>
      </c>
      <c r="H20" s="5">
        <f>IF(A20="","",IF(ROW()=2,G20,Config!$B$5*H19+G20))</f>
        <v>133.15564745958491</v>
      </c>
      <c r="I20" s="5">
        <f t="shared" si="0"/>
        <v>200</v>
      </c>
      <c r="J20" s="5">
        <f>IF(I20="","",SIN(2*PI()*I20/Config!$B$6))</f>
        <v>-0.29671281927349008</v>
      </c>
      <c r="K20" s="5">
        <f>IF(I20="","",COS(2*PI()*I20/Config!$B$6))</f>
        <v>-0.95496675485525528</v>
      </c>
      <c r="L20" s="5">
        <f>IF(ROW()&lt;=2+0,"",INDEX(Daily_Input!$F:$F,ROW()-1))</f>
        <v>247151.60437672501</v>
      </c>
      <c r="M20" s="5">
        <f>IF(ROW()&lt;=2+1,"",INDEX(Daily_Input!$F:$F,ROW()-2))</f>
        <v>421045.59254760947</v>
      </c>
      <c r="N20" s="5">
        <f>IF(ROW()&lt;=2+2,"",INDEX(Daily_Input!$F:$F,ROW()-3))</f>
        <v>783908.44873235549</v>
      </c>
      <c r="O20" s="5">
        <f>IF(ROW()&lt;=2+6,"",INDEX(Daily_Input!$F:$F,ROW()-7))</f>
        <v>20534.222947390706</v>
      </c>
      <c r="P20" s="5">
        <f>IF(ROW()&lt;=2+13,"",INDEX(Daily_Input!$F:$F,ROW()-14))</f>
        <v>22689.827603281785</v>
      </c>
      <c r="Q20" s="5">
        <f>IF(ROW()&lt;=4,"",SUM(INDEX(Daily_Input!$I:$I,ROW()-2):INDEX(Daily_Input!$I:$I,ROW())))</f>
        <v>8.4</v>
      </c>
      <c r="R20" s="5">
        <f>IF(ROW()&lt;=8,"",SUM(INDEX(Daily_Input!$I:$I,ROW()-6):INDEX(Daily_Input!$I:$I,ROW())))</f>
        <v>118.80000000000001</v>
      </c>
      <c r="S20" s="5">
        <f>IF(ROW()&lt;=15,"",SUM(INDEX(Daily_Input!$I:$I,ROW()-13):INDEX(Daily_Input!$I:$I,ROW())))</f>
        <v>151.19999999999999</v>
      </c>
      <c r="T20" s="5">
        <f>IF(ROW()&lt;=4,"",AVERAGE(INDEX(Daily_Input!$F:$F,ROW()-2):INDEX(Daily_Input!$F:$F,ROW())))</f>
        <v>270301.30514947273</v>
      </c>
      <c r="U20" s="5">
        <f>IF(ROW()&lt;=2+0,"",INDEX(Daily_Input!$G:$G,ROW()-1))</f>
        <v>15019.2</v>
      </c>
      <c r="V20" s="5">
        <f>IF(ROW()&lt;=2+0,"",INDEX(Daily_Input!$H:$H,ROW()-1))</f>
        <v>253577.02410000001</v>
      </c>
      <c r="W20" s="5">
        <f>IF(ROW()&lt;=2+1,"",INDEX(Daily_Input!$G:$G,ROW()-2))</f>
        <v>15019.2</v>
      </c>
      <c r="X20" s="5">
        <f>IF(ROW()&lt;=2+1,"",INDEX(Daily_Input!$H:$H,ROW()-2))</f>
        <v>433726.34600000002</v>
      </c>
      <c r="Y20" s="5">
        <f>IF(ROW()&lt;=2+2,"",INDEX(Daily_Input!$G:$G,ROW()-3))</f>
        <v>15019.2</v>
      </c>
      <c r="Z20" s="5">
        <f>IF(ROW()&lt;=2+2,"",INDEX(Daily_Input!$H:$H,ROW()-3))</f>
        <v>706792.15720000002</v>
      </c>
      <c r="AA20" s="5">
        <f>Daily_Input!N20</f>
        <v>6.2080000000000002</v>
      </c>
      <c r="AB20" s="5">
        <f>Daily_Input!O20</f>
        <v>33.033999999999999</v>
      </c>
      <c r="AC20" s="5">
        <f>Daily_Input!P20</f>
        <v>3.5449999999999999</v>
      </c>
      <c r="AD20" s="5">
        <f t="shared" si="1"/>
        <v>42.786999999999999</v>
      </c>
      <c r="AE20" s="5">
        <f t="shared" si="2"/>
        <v>33.033999999999999</v>
      </c>
      <c r="AF20" s="5">
        <f>IF(A20="","",IFERROR(INDEX(Daily_Input!$F:$F,ROW()+1),""))</f>
        <v>99633.96164875057</v>
      </c>
      <c r="AG20" s="5">
        <f>IF(A20="","",IFERROR(INDEX(Daily_Input!$F:$F,ROW()+2),""))</f>
        <v>81725.689460714595</v>
      </c>
      <c r="AH20" s="5">
        <f>IF(A20="","",IFERROR(INDEX(Daily_Input!$F:$F,ROW()+3),""))</f>
        <v>54196.434514176217</v>
      </c>
    </row>
    <row r="21" spans="1:34">
      <c r="A21" s="5">
        <f>Daily_Input!A21</f>
        <v>45858</v>
      </c>
      <c r="B21" s="5">
        <f>Daily_Input!F21</f>
        <v>99633.96164875057</v>
      </c>
      <c r="C21" s="5">
        <f>Daily_Input!D21</f>
        <v>489.608</v>
      </c>
      <c r="D21" s="5">
        <f>Daily_Input!E21</f>
        <v>1643538.2164867001</v>
      </c>
      <c r="E21" s="5" cm="1">
        <f t="array" ref="E21">IF(ROW()=2,"",INDEX(Daily_Input!$E:$E,ROW())-INDEX(Daily_Input!$E:$E,ROW()-1))</f>
        <v>-12106.944975599879</v>
      </c>
      <c r="F21" s="5">
        <f>IFERROR(Daily_Input!E21/Config!$B$4,"")</f>
        <v>1.0111195696407902</v>
      </c>
      <c r="G21" s="5">
        <f>Daily_Input!I21</f>
        <v>0</v>
      </c>
      <c r="H21" s="5">
        <f>IF(A21="","",IF(ROW()=2,G21,Config!$B$5*H20+G21))</f>
        <v>126.49786508660566</v>
      </c>
      <c r="I21" s="5">
        <f t="shared" si="0"/>
        <v>201</v>
      </c>
      <c r="J21" s="5">
        <f>IF(I21="","",SIN(2*PI()*I21/Config!$B$6))</f>
        <v>-0.3131070409358267</v>
      </c>
      <c r="K21" s="5">
        <f>IF(I21="","",COS(2*PI()*I21/Config!$B$6))</f>
        <v>-0.94971784279143168</v>
      </c>
      <c r="L21" s="5">
        <f>IF(ROW()&lt;=2+0,"",INDEX(Daily_Input!$F:$F,ROW()-1))</f>
        <v>142706.71852408364</v>
      </c>
      <c r="M21" s="5">
        <f>IF(ROW()&lt;=2+1,"",INDEX(Daily_Input!$F:$F,ROW()-2))</f>
        <v>247151.60437672501</v>
      </c>
      <c r="N21" s="5">
        <f>IF(ROW()&lt;=2+2,"",INDEX(Daily_Input!$F:$F,ROW()-3))</f>
        <v>421045.59254760947</v>
      </c>
      <c r="O21" s="5">
        <f>IF(ROW()&lt;=2+6,"",INDEX(Daily_Input!$F:$F,ROW()-7))</f>
        <v>62384.337747241487</v>
      </c>
      <c r="P21" s="5">
        <f>IF(ROW()&lt;=2+13,"",INDEX(Daily_Input!$F:$F,ROW()-14))</f>
        <v>41715.18892187145</v>
      </c>
      <c r="Q21" s="5">
        <f>IF(ROW()&lt;=4,"",SUM(INDEX(Daily_Input!$I:$I,ROW()-2):INDEX(Daily_Input!$I:$I,ROW())))</f>
        <v>4.2</v>
      </c>
      <c r="R21" s="5">
        <f>IF(ROW()&lt;=8,"",SUM(INDEX(Daily_Input!$I:$I,ROW()-6):INDEX(Daily_Input!$I:$I,ROW())))</f>
        <v>87.2</v>
      </c>
      <c r="S21" s="5">
        <f>IF(ROW()&lt;=15,"",SUM(INDEX(Daily_Input!$I:$I,ROW()-13):INDEX(Daily_Input!$I:$I,ROW())))</f>
        <v>133.99999999999997</v>
      </c>
      <c r="T21" s="5">
        <f>IF(ROW()&lt;=4,"",AVERAGE(INDEX(Daily_Input!$F:$F,ROW()-2):INDEX(Daily_Input!$F:$F,ROW())))</f>
        <v>163164.09484985308</v>
      </c>
      <c r="U21" s="5">
        <f>IF(ROW()&lt;=2+0,"",INDEX(Daily_Input!$G:$G,ROW()-1))</f>
        <v>15019.2</v>
      </c>
      <c r="V21" s="5">
        <f>IF(ROW()&lt;=2+0,"",INDEX(Daily_Input!$H:$H,ROW()-1))</f>
        <v>141727.3849</v>
      </c>
      <c r="W21" s="5">
        <f>IF(ROW()&lt;=2+1,"",INDEX(Daily_Input!$G:$G,ROW()-2))</f>
        <v>15019.2</v>
      </c>
      <c r="X21" s="5">
        <f>IF(ROW()&lt;=2+1,"",INDEX(Daily_Input!$H:$H,ROW()-2))</f>
        <v>253577.02410000001</v>
      </c>
      <c r="Y21" s="5">
        <f>IF(ROW()&lt;=2+2,"",INDEX(Daily_Input!$G:$G,ROW()-3))</f>
        <v>15019.2</v>
      </c>
      <c r="Z21" s="5">
        <f>IF(ROW()&lt;=2+2,"",INDEX(Daily_Input!$H:$H,ROW()-3))</f>
        <v>433726.34600000002</v>
      </c>
      <c r="AA21" s="5">
        <f>Daily_Input!N21</f>
        <v>33.033999999999999</v>
      </c>
      <c r="AB21" s="5">
        <f>Daily_Input!O21</f>
        <v>3.5449999999999999</v>
      </c>
      <c r="AC21" s="5">
        <f>Daily_Input!P21</f>
        <v>12.694000000000001</v>
      </c>
      <c r="AD21" s="5">
        <f t="shared" si="1"/>
        <v>49.273000000000003</v>
      </c>
      <c r="AE21" s="5">
        <f t="shared" si="2"/>
        <v>33.033999999999999</v>
      </c>
      <c r="AF21" s="5">
        <f>IF(A21="","",IFERROR(INDEX(Daily_Input!$F:$F,ROW()+1),""))</f>
        <v>81725.689460714595</v>
      </c>
      <c r="AG21" s="5">
        <f>IF(A21="","",IFERROR(INDEX(Daily_Input!$F:$F,ROW()+2),""))</f>
        <v>54196.434514176217</v>
      </c>
      <c r="AH21" s="5">
        <f>IF(A21="","",IFERROR(INDEX(Daily_Input!$F:$F,ROW()+3),""))</f>
        <v>1408228.320329851</v>
      </c>
    </row>
    <row r="22" spans="1:34">
      <c r="A22" s="5">
        <f>Daily_Input!A22</f>
        <v>45859</v>
      </c>
      <c r="B22" s="5">
        <f>Daily_Input!F22</f>
        <v>81725.689460714595</v>
      </c>
      <c r="C22" s="5">
        <f>Daily_Input!D22</f>
        <v>489.608</v>
      </c>
      <c r="D22" s="5">
        <f>Daily_Input!E22</f>
        <v>1643538.2164867001</v>
      </c>
      <c r="E22" s="5" cm="1">
        <f t="array" ref="E22">IF(ROW()=2,"",INDEX(Daily_Input!$E:$E,ROW())-INDEX(Daily_Input!$E:$E,ROW()-1))</f>
        <v>0</v>
      </c>
      <c r="F22" s="5">
        <f>IFERROR(Daily_Input!E22/Config!$B$4,"")</f>
        <v>1.0111195696407902</v>
      </c>
      <c r="G22" s="5">
        <f>Daily_Input!I22</f>
        <v>19.8</v>
      </c>
      <c r="H22" s="5">
        <f>IF(A22="","",IF(ROW()=2,G22,Config!$B$5*H21+G22))</f>
        <v>139.97297183227536</v>
      </c>
      <c r="I22" s="5">
        <f t="shared" si="0"/>
        <v>202</v>
      </c>
      <c r="J22" s="5">
        <f>IF(I22="","",SIN(2*PI()*I22/Config!$B$6))</f>
        <v>-0.32940848222453017</v>
      </c>
      <c r="K22" s="5">
        <f>IF(I22="","",COS(2*PI()*I22/Config!$B$6))</f>
        <v>-0.94418750883419944</v>
      </c>
      <c r="L22" s="5">
        <f>IF(ROW()&lt;=2+0,"",INDEX(Daily_Input!$F:$F,ROW()-1))</f>
        <v>99633.96164875057</v>
      </c>
      <c r="M22" s="5">
        <f>IF(ROW()&lt;=2+1,"",INDEX(Daily_Input!$F:$F,ROW()-2))</f>
        <v>142706.71852408364</v>
      </c>
      <c r="N22" s="5">
        <f>IF(ROW()&lt;=2+2,"",INDEX(Daily_Input!$F:$F,ROW()-3))</f>
        <v>247151.60437672501</v>
      </c>
      <c r="O22" s="5">
        <f>IF(ROW()&lt;=2+6,"",INDEX(Daily_Input!$F:$F,ROW()-7))</f>
        <v>48379.884811176365</v>
      </c>
      <c r="P22" s="5">
        <f>IF(ROW()&lt;=2+13,"",INDEX(Daily_Input!$F:$F,ROW()-14))</f>
        <v>41682.05793389491</v>
      </c>
      <c r="Q22" s="5">
        <f>IF(ROW()&lt;=4,"",SUM(INDEX(Daily_Input!$I:$I,ROW()-2):INDEX(Daily_Input!$I:$I,ROW())))</f>
        <v>19.8</v>
      </c>
      <c r="R22" s="5">
        <f>IF(ROW()&lt;=8,"",SUM(INDEX(Daily_Input!$I:$I,ROW()-6):INDEX(Daily_Input!$I:$I,ROW())))</f>
        <v>107</v>
      </c>
      <c r="S22" s="5">
        <f>IF(ROW()&lt;=15,"",SUM(INDEX(Daily_Input!$I:$I,ROW()-13):INDEX(Daily_Input!$I:$I,ROW())))</f>
        <v>153.79999999999998</v>
      </c>
      <c r="T22" s="5">
        <f>IF(ROW()&lt;=4,"",AVERAGE(INDEX(Daily_Input!$F:$F,ROW()-2):INDEX(Daily_Input!$F:$F,ROW())))</f>
        <v>108022.12321118293</v>
      </c>
      <c r="U22" s="5">
        <f>IF(ROW()&lt;=2+0,"",INDEX(Daily_Input!$G:$G,ROW()-1))</f>
        <v>15019.2</v>
      </c>
      <c r="V22" s="5">
        <f>IF(ROW()&lt;=2+0,"",INDEX(Daily_Input!$H:$H,ROW()-1))</f>
        <v>95597.933390000006</v>
      </c>
      <c r="W22" s="5">
        <f>IF(ROW()&lt;=2+1,"",INDEX(Daily_Input!$G:$G,ROW()-2))</f>
        <v>15019.2</v>
      </c>
      <c r="X22" s="5">
        <f>IF(ROW()&lt;=2+1,"",INDEX(Daily_Input!$H:$H,ROW()-2))</f>
        <v>141727.3849</v>
      </c>
      <c r="Y22" s="5">
        <f>IF(ROW()&lt;=2+2,"",INDEX(Daily_Input!$G:$G,ROW()-3))</f>
        <v>15019.2</v>
      </c>
      <c r="Z22" s="5">
        <f>IF(ROW()&lt;=2+2,"",INDEX(Daily_Input!$H:$H,ROW()-3))</f>
        <v>253577.02410000001</v>
      </c>
      <c r="AA22" s="5">
        <f>Daily_Input!N22</f>
        <v>3.5449999999999999</v>
      </c>
      <c r="AB22" s="5">
        <f>Daily_Input!O22</f>
        <v>12.694000000000001</v>
      </c>
      <c r="AC22" s="5">
        <f>Daily_Input!P22</f>
        <v>6.008</v>
      </c>
      <c r="AD22" s="5">
        <f t="shared" si="1"/>
        <v>22.247</v>
      </c>
      <c r="AE22" s="5">
        <f t="shared" si="2"/>
        <v>12.694000000000001</v>
      </c>
      <c r="AF22" s="5">
        <f>IF(A22="","",IFERROR(INDEX(Daily_Input!$F:$F,ROW()+1),""))</f>
        <v>54196.434514176217</v>
      </c>
      <c r="AG22" s="5">
        <f>IF(A22="","",IFERROR(INDEX(Daily_Input!$F:$F,ROW()+2),""))</f>
        <v>1408228.320329851</v>
      </c>
      <c r="AH22" s="5">
        <f>IF(A22="","",IFERROR(INDEX(Daily_Input!$F:$F,ROW()+3),""))</f>
        <v>1123235.0312024173</v>
      </c>
    </row>
    <row r="23" spans="1:34">
      <c r="A23" s="5">
        <f>Daily_Input!A23</f>
        <v>45860</v>
      </c>
      <c r="B23" s="5">
        <f>Daily_Input!F23</f>
        <v>54196.434514176217</v>
      </c>
      <c r="C23" s="5">
        <f>Daily_Input!D23</f>
        <v>489.589</v>
      </c>
      <c r="D23" s="5">
        <f>Daily_Input!E23</f>
        <v>1637507.2197397</v>
      </c>
      <c r="E23" s="5" cm="1">
        <f t="array" ref="E23">IF(ROW()=2,"",INDEX(Daily_Input!$E:$E,ROW())-INDEX(Daily_Input!$E:$E,ROW()-1))</f>
        <v>-6030.9967470001429</v>
      </c>
      <c r="F23" s="5">
        <f>IFERROR(Daily_Input!E23/Config!$B$4,"")</f>
        <v>1.0074092459171549</v>
      </c>
      <c r="G23" s="5">
        <f>Daily_Input!I23</f>
        <v>0</v>
      </c>
      <c r="H23" s="5">
        <f>IF(A23="","",IF(ROW()=2,G23,Config!$B$5*H22+G23))</f>
        <v>132.97432324066159</v>
      </c>
      <c r="I23" s="5">
        <f t="shared" si="0"/>
        <v>203</v>
      </c>
      <c r="J23" s="5">
        <f>IF(I23="","",SIN(2*PI()*I23/Config!$B$6))</f>
        <v>-0.34561231267073328</v>
      </c>
      <c r="K23" s="5">
        <f>IF(I23="","",COS(2*PI()*I23/Config!$B$6))</f>
        <v>-0.93837739174086421</v>
      </c>
      <c r="L23" s="5">
        <f>IF(ROW()&lt;=2+0,"",INDEX(Daily_Input!$F:$F,ROW()-1))</f>
        <v>81725.689460714595</v>
      </c>
      <c r="M23" s="5">
        <f>IF(ROW()&lt;=2+1,"",INDEX(Daily_Input!$F:$F,ROW()-2))</f>
        <v>99633.96164875057</v>
      </c>
      <c r="N23" s="5">
        <f>IF(ROW()&lt;=2+2,"",INDEX(Daily_Input!$F:$F,ROW()-3))</f>
        <v>142706.71852408364</v>
      </c>
      <c r="O23" s="5">
        <f>IF(ROW()&lt;=2+6,"",INDEX(Daily_Input!$F:$F,ROW()-7))</f>
        <v>38218.919706494824</v>
      </c>
      <c r="P23" s="5">
        <f>IF(ROW()&lt;=2+13,"",INDEX(Daily_Input!$F:$F,ROW()-14))</f>
        <v>38705.211743894906</v>
      </c>
      <c r="Q23" s="5">
        <f>IF(ROW()&lt;=4,"",SUM(INDEX(Daily_Input!$I:$I,ROW()-2):INDEX(Daily_Input!$I:$I,ROW())))</f>
        <v>19.8</v>
      </c>
      <c r="R23" s="5">
        <f>IF(ROW()&lt;=8,"",SUM(INDEX(Daily_Input!$I:$I,ROW()-6):INDEX(Daily_Input!$I:$I,ROW())))</f>
        <v>107</v>
      </c>
      <c r="S23" s="5">
        <f>IF(ROW()&lt;=15,"",SUM(INDEX(Daily_Input!$I:$I,ROW()-13):INDEX(Daily_Input!$I:$I,ROW())))</f>
        <v>153.79999999999998</v>
      </c>
      <c r="T23" s="5">
        <f>IF(ROW()&lt;=4,"",AVERAGE(INDEX(Daily_Input!$F:$F,ROW()-2):INDEX(Daily_Input!$F:$F,ROW())))</f>
        <v>78518.695207880461</v>
      </c>
      <c r="U23" s="5">
        <f>IF(ROW()&lt;=2+0,"",INDEX(Daily_Input!$G:$G,ROW()-1))</f>
        <v>15019.2</v>
      </c>
      <c r="V23" s="5">
        <f>IF(ROW()&lt;=2+0,"",INDEX(Daily_Input!$H:$H,ROW()-1))</f>
        <v>71557.166070000007</v>
      </c>
      <c r="W23" s="5">
        <f>IF(ROW()&lt;=2+1,"",INDEX(Daily_Input!$G:$G,ROW()-2))</f>
        <v>15019.2</v>
      </c>
      <c r="X23" s="5">
        <f>IF(ROW()&lt;=2+1,"",INDEX(Daily_Input!$H:$H,ROW()-2))</f>
        <v>95597.933390000006</v>
      </c>
      <c r="Y23" s="5">
        <f>IF(ROW()&lt;=2+2,"",INDEX(Daily_Input!$G:$G,ROW()-3))</f>
        <v>15019.2</v>
      </c>
      <c r="Z23" s="5">
        <f>IF(ROW()&lt;=2+2,"",INDEX(Daily_Input!$H:$H,ROW()-3))</f>
        <v>141727.3849</v>
      </c>
      <c r="AA23" s="5">
        <f>Daily_Input!N23</f>
        <v>12.694000000000001</v>
      </c>
      <c r="AB23" s="5">
        <f>Daily_Input!O23</f>
        <v>6.008</v>
      </c>
      <c r="AC23" s="5">
        <f>Daily_Input!P23</f>
        <v>4.7039999999999997</v>
      </c>
      <c r="AD23" s="5">
        <f t="shared" si="1"/>
        <v>23.406000000000002</v>
      </c>
      <c r="AE23" s="5">
        <f t="shared" si="2"/>
        <v>12.694000000000001</v>
      </c>
      <c r="AF23" s="5">
        <f>IF(A23="","",IFERROR(INDEX(Daily_Input!$F:$F,ROW()+1),""))</f>
        <v>1408228.320329851</v>
      </c>
      <c r="AG23" s="5">
        <f>IF(A23="","",IFERROR(INDEX(Daily_Input!$F:$F,ROW()+2),""))</f>
        <v>1123235.0312024173</v>
      </c>
      <c r="AH23" s="5">
        <f>IF(A23="","",IFERROR(INDEX(Daily_Input!$F:$F,ROW()+3),""))</f>
        <v>618651.26273834216</v>
      </c>
    </row>
    <row r="24" spans="1:34">
      <c r="A24" s="5">
        <f>Daily_Input!A24</f>
        <v>45861</v>
      </c>
      <c r="B24" s="5">
        <f>Daily_Input!F24</f>
        <v>1408228.320329851</v>
      </c>
      <c r="C24" s="5">
        <f>Daily_Input!D24</f>
        <v>489.80099999999999</v>
      </c>
      <c r="D24" s="5">
        <f>Daily_Input!E24</f>
        <v>1704320.2680112</v>
      </c>
      <c r="E24" s="5" cm="1">
        <f t="array" ref="E24">IF(ROW()=2,"",INDEX(Daily_Input!$E:$E,ROW())-INDEX(Daily_Input!$E:$E,ROW()-1))</f>
        <v>66813.04827150004</v>
      </c>
      <c r="F24" s="5">
        <f>IFERROR(Daily_Input!E24/Config!$B$4,"")</f>
        <v>1.0485132372554755</v>
      </c>
      <c r="G24" s="5">
        <f>Daily_Input!I24</f>
        <v>58.6</v>
      </c>
      <c r="H24" s="5">
        <f>IF(A24="","",IF(ROW()=2,G24,Config!$B$5*H23+G24))</f>
        <v>184.9256070786285</v>
      </c>
      <c r="I24" s="5">
        <f t="shared" si="0"/>
        <v>204</v>
      </c>
      <c r="J24" s="5">
        <f>IF(I24="","",SIN(2*PI()*I24/Config!$B$6))</f>
        <v>-0.36171373072976742</v>
      </c>
      <c r="K24" s="5">
        <f>IF(I24="","",COS(2*PI()*I24/Config!$B$6))</f>
        <v>-0.93228921317451341</v>
      </c>
      <c r="L24" s="5">
        <f>IF(ROW()&lt;=2+0,"",INDEX(Daily_Input!$F:$F,ROW()-1))</f>
        <v>54196.434514176217</v>
      </c>
      <c r="M24" s="5">
        <f>IF(ROW()&lt;=2+1,"",INDEX(Daily_Input!$F:$F,ROW()-2))</f>
        <v>81725.689460714595</v>
      </c>
      <c r="N24" s="5">
        <f>IF(ROW()&lt;=2+2,"",INDEX(Daily_Input!$F:$F,ROW()-3))</f>
        <v>99633.96164875057</v>
      </c>
      <c r="O24" s="5">
        <f>IF(ROW()&lt;=2+6,"",INDEX(Daily_Input!$F:$F,ROW()-7))</f>
        <v>783908.44873235549</v>
      </c>
      <c r="P24" s="5">
        <f>IF(ROW()&lt;=2+13,"",INDEX(Daily_Input!$F:$F,ROW()-14))</f>
        <v>33915.234813894909</v>
      </c>
      <c r="Q24" s="5">
        <f>IF(ROW()&lt;=4,"",SUM(INDEX(Daily_Input!$I:$I,ROW()-2):INDEX(Daily_Input!$I:$I,ROW())))</f>
        <v>78.400000000000006</v>
      </c>
      <c r="R24" s="5">
        <f>IF(ROW()&lt;=8,"",SUM(INDEX(Daily_Input!$I:$I,ROW()-6):INDEX(Daily_Input!$I:$I,ROW())))</f>
        <v>86.800000000000011</v>
      </c>
      <c r="S24" s="5">
        <f>IF(ROW()&lt;=15,"",SUM(INDEX(Daily_Input!$I:$I,ROW()-13):INDEX(Daily_Input!$I:$I,ROW())))</f>
        <v>212.39999999999998</v>
      </c>
      <c r="T24" s="5">
        <f>IF(ROW()&lt;=4,"",AVERAGE(INDEX(Daily_Input!$F:$F,ROW()-2):INDEX(Daily_Input!$F:$F,ROW())))</f>
        <v>514716.81476824731</v>
      </c>
      <c r="U24" s="5">
        <f>IF(ROW()&lt;=2+0,"",INDEX(Daily_Input!$G:$G,ROW()-1))</f>
        <v>15019.2</v>
      </c>
      <c r="V24" s="5">
        <f>IF(ROW()&lt;=2+0,"",INDEX(Daily_Input!$H:$H,ROW()-1))</f>
        <v>44085.754079999999</v>
      </c>
      <c r="W24" s="5">
        <f>IF(ROW()&lt;=2+1,"",INDEX(Daily_Input!$G:$G,ROW()-2))</f>
        <v>15019.2</v>
      </c>
      <c r="X24" s="5">
        <f>IF(ROW()&lt;=2+1,"",INDEX(Daily_Input!$H:$H,ROW()-2))</f>
        <v>71557.166070000007</v>
      </c>
      <c r="Y24" s="5">
        <f>IF(ROW()&lt;=2+2,"",INDEX(Daily_Input!$G:$G,ROW()-3))</f>
        <v>15019.2</v>
      </c>
      <c r="Z24" s="5">
        <f>IF(ROW()&lt;=2+2,"",INDEX(Daily_Input!$H:$H,ROW()-3))</f>
        <v>95597.933390000006</v>
      </c>
      <c r="AA24" s="5">
        <f>Daily_Input!N24</f>
        <v>6.008</v>
      </c>
      <c r="AB24" s="5">
        <f>Daily_Input!O24</f>
        <v>4.7039999999999997</v>
      </c>
      <c r="AC24" s="5">
        <f>Daily_Input!P24</f>
        <v>4.0060000000000002</v>
      </c>
      <c r="AD24" s="5">
        <f t="shared" si="1"/>
        <v>14.718</v>
      </c>
      <c r="AE24" s="5">
        <f t="shared" si="2"/>
        <v>6.008</v>
      </c>
      <c r="AF24" s="5">
        <f>IF(A24="","",IFERROR(INDEX(Daily_Input!$F:$F,ROW()+1),""))</f>
        <v>1123235.0312024173</v>
      </c>
      <c r="AG24" s="5">
        <f>IF(A24="","",IFERROR(INDEX(Daily_Input!$F:$F,ROW()+2),""))</f>
        <v>618651.26273834216</v>
      </c>
      <c r="AH24" s="5">
        <f>IF(A24="","",IFERROR(INDEX(Daily_Input!$F:$F,ROW()+3),""))</f>
        <v>482554.30601834954</v>
      </c>
    </row>
    <row r="25" spans="1:34">
      <c r="A25" s="5">
        <f>Daily_Input!A25</f>
        <v>45862</v>
      </c>
      <c r="B25" s="5">
        <f>Daily_Input!F25</f>
        <v>1123235.0312024173</v>
      </c>
      <c r="C25" s="5">
        <f>Daily_Input!D25</f>
        <v>489.94299999999998</v>
      </c>
      <c r="D25" s="5">
        <f>Daily_Input!E25</f>
        <v>1747400.294549</v>
      </c>
      <c r="E25" s="5" cm="1">
        <f t="array" ref="E25">IF(ROW()=2,"",INDEX(Daily_Input!$E:$E,ROW())-INDEX(Daily_Input!$E:$E,ROW()-1))</f>
        <v>43080.026537799975</v>
      </c>
      <c r="F25" s="5">
        <f>IFERROR(Daily_Input!E25/Config!$B$4,"")</f>
        <v>1.0750164590583295</v>
      </c>
      <c r="G25" s="5">
        <f>Daily_Input!I25</f>
        <v>39.799999999999997</v>
      </c>
      <c r="H25" s="5">
        <f>IF(A25="","",IF(ROW()=2,G25,Config!$B$5*H24+G25))</f>
        <v>215.47932672469705</v>
      </c>
      <c r="I25" s="5">
        <f t="shared" si="0"/>
        <v>205</v>
      </c>
      <c r="J25" s="5">
        <f>IF(I25="","",SIN(2*PI()*I25/Config!$B$6))</f>
        <v>-0.37770796520396466</v>
      </c>
      <c r="K25" s="5">
        <f>IF(I25="","",COS(2*PI()*I25/Config!$B$6))</f>
        <v>-0.92592477719384991</v>
      </c>
      <c r="L25" s="5">
        <f>IF(ROW()&lt;=2+0,"",INDEX(Daily_Input!$F:$F,ROW()-1))</f>
        <v>1408228.320329851</v>
      </c>
      <c r="M25" s="5">
        <f>IF(ROW()&lt;=2+1,"",INDEX(Daily_Input!$F:$F,ROW()-2))</f>
        <v>54196.434514176217</v>
      </c>
      <c r="N25" s="5">
        <f>IF(ROW()&lt;=2+2,"",INDEX(Daily_Input!$F:$F,ROW()-3))</f>
        <v>81725.689460714595</v>
      </c>
      <c r="O25" s="5">
        <f>IF(ROW()&lt;=2+6,"",INDEX(Daily_Input!$F:$F,ROW()-7))</f>
        <v>421045.59254760947</v>
      </c>
      <c r="P25" s="5">
        <f>IF(ROW()&lt;=2+13,"",INDEX(Daily_Input!$F:$F,ROW()-14))</f>
        <v>16680.985831774797</v>
      </c>
      <c r="Q25" s="5">
        <f>IF(ROW()&lt;=4,"",SUM(INDEX(Daily_Input!$I:$I,ROW()-2):INDEX(Daily_Input!$I:$I,ROW())))</f>
        <v>98.4</v>
      </c>
      <c r="R25" s="5">
        <f>IF(ROW()&lt;=8,"",SUM(INDEX(Daily_Input!$I:$I,ROW()-6):INDEX(Daily_Input!$I:$I,ROW())))</f>
        <v>122.39999999999999</v>
      </c>
      <c r="S25" s="5">
        <f>IF(ROW()&lt;=15,"",SUM(INDEX(Daily_Input!$I:$I,ROW()-13):INDEX(Daily_Input!$I:$I,ROW())))</f>
        <v>243.60000000000002</v>
      </c>
      <c r="T25" s="5">
        <f>IF(ROW()&lt;=4,"",AVERAGE(INDEX(Daily_Input!$F:$F,ROW()-2):INDEX(Daily_Input!$F:$F,ROW())))</f>
        <v>861886.59534881485</v>
      </c>
      <c r="U25" s="5">
        <f>IF(ROW()&lt;=2+0,"",INDEX(Daily_Input!$G:$G,ROW()-1))</f>
        <v>15019.2</v>
      </c>
      <c r="V25" s="5">
        <f>IF(ROW()&lt;=2+0,"",INDEX(Daily_Input!$H:$H,ROW()-1))</f>
        <v>1343213.8</v>
      </c>
      <c r="W25" s="5">
        <f>IF(ROW()&lt;=2+1,"",INDEX(Daily_Input!$G:$G,ROW()-2))</f>
        <v>15019.2</v>
      </c>
      <c r="X25" s="5">
        <f>IF(ROW()&lt;=2+1,"",INDEX(Daily_Input!$H:$H,ROW()-2))</f>
        <v>44085.754079999999</v>
      </c>
      <c r="Y25" s="5">
        <f>IF(ROW()&lt;=2+2,"",INDEX(Daily_Input!$G:$G,ROW()-3))</f>
        <v>15019.2</v>
      </c>
      <c r="Z25" s="5">
        <f>IF(ROW()&lt;=2+2,"",INDEX(Daily_Input!$H:$H,ROW()-3))</f>
        <v>71557.166070000007</v>
      </c>
      <c r="AA25" s="5">
        <f>Daily_Input!N25</f>
        <v>4.7039999999999997</v>
      </c>
      <c r="AB25" s="5">
        <f>Daily_Input!O25</f>
        <v>4.0060000000000002</v>
      </c>
      <c r="AC25" s="5">
        <f>Daily_Input!P25</f>
        <v>21.497</v>
      </c>
      <c r="AD25" s="5">
        <f t="shared" si="1"/>
        <v>30.207000000000001</v>
      </c>
      <c r="AE25" s="5">
        <f t="shared" si="2"/>
        <v>21.497</v>
      </c>
      <c r="AF25" s="5">
        <f>IF(A25="","",IFERROR(INDEX(Daily_Input!$F:$F,ROW()+1),""))</f>
        <v>618651.26273834216</v>
      </c>
      <c r="AG25" s="5">
        <f>IF(A25="","",IFERROR(INDEX(Daily_Input!$F:$F,ROW()+2),""))</f>
        <v>482554.30601834954</v>
      </c>
      <c r="AH25" s="5">
        <f>IF(A25="","",IFERROR(INDEX(Daily_Input!$F:$F,ROW()+3),""))</f>
        <v>569451.16057343001</v>
      </c>
    </row>
    <row r="26" spans="1:34">
      <c r="A26" s="5">
        <f>Daily_Input!A26</f>
        <v>45863</v>
      </c>
      <c r="B26" s="5">
        <f>Daily_Input!F26</f>
        <v>618651.26273834216</v>
      </c>
      <c r="C26" s="5">
        <f>Daily_Input!D26</f>
        <v>489.82098000000002</v>
      </c>
      <c r="D26" s="5">
        <f>Daily_Input!E26</f>
        <v>1710454.4363392999</v>
      </c>
      <c r="E26" s="5" cm="1">
        <f t="array" ref="E26">IF(ROW()=2,"",INDEX(Daily_Input!$E:$E,ROW())-INDEX(Daily_Input!$E:$E,ROW()-1))</f>
        <v>-36945.858209700091</v>
      </c>
      <c r="F26" s="5">
        <f>IFERROR(Daily_Input!E26/Config!$B$4,"")</f>
        <v>1.0522870330685543</v>
      </c>
      <c r="G26" s="5">
        <f>Daily_Input!I26</f>
        <v>8.8000000000000007</v>
      </c>
      <c r="H26" s="5">
        <f>IF(A26="","",IF(ROW()=2,G26,Config!$B$5*H25+G26))</f>
        <v>213.50536038846221</v>
      </c>
      <c r="I26" s="5">
        <f t="shared" si="0"/>
        <v>206</v>
      </c>
      <c r="J26" s="5">
        <f>IF(I26="","",SIN(2*PI()*I26/Config!$B$6))</f>
        <v>-0.39359027665646645</v>
      </c>
      <c r="K26" s="5">
        <f>IF(I26="","",COS(2*PI()*I26/Config!$B$6))</f>
        <v>-0.91928596971861054</v>
      </c>
      <c r="L26" s="5">
        <f>IF(ROW()&lt;=2+0,"",INDEX(Daily_Input!$F:$F,ROW()-1))</f>
        <v>1123235.0312024173</v>
      </c>
      <c r="M26" s="5">
        <f>IF(ROW()&lt;=2+1,"",INDEX(Daily_Input!$F:$F,ROW()-2))</f>
        <v>1408228.320329851</v>
      </c>
      <c r="N26" s="5">
        <f>IF(ROW()&lt;=2+2,"",INDEX(Daily_Input!$F:$F,ROW()-3))</f>
        <v>54196.434514176217</v>
      </c>
      <c r="O26" s="5">
        <f>IF(ROW()&lt;=2+6,"",INDEX(Daily_Input!$F:$F,ROW()-7))</f>
        <v>247151.60437672501</v>
      </c>
      <c r="P26" s="5">
        <f>IF(ROW()&lt;=2+13,"",INDEX(Daily_Input!$F:$F,ROW()-14))</f>
        <v>9699.6258287280525</v>
      </c>
      <c r="Q26" s="5">
        <f>IF(ROW()&lt;=4,"",SUM(INDEX(Daily_Input!$I:$I,ROW()-2):INDEX(Daily_Input!$I:$I,ROW())))</f>
        <v>107.2</v>
      </c>
      <c r="R26" s="5">
        <f>IF(ROW()&lt;=8,"",SUM(INDEX(Daily_Input!$I:$I,ROW()-6):INDEX(Daily_Input!$I:$I,ROW())))</f>
        <v>127</v>
      </c>
      <c r="S26" s="5">
        <f>IF(ROW()&lt;=15,"",SUM(INDEX(Daily_Input!$I:$I,ROW()-13):INDEX(Daily_Input!$I:$I,ROW())))</f>
        <v>251</v>
      </c>
      <c r="T26" s="5">
        <f>IF(ROW()&lt;=4,"",AVERAGE(INDEX(Daily_Input!$F:$F,ROW()-2):INDEX(Daily_Input!$F:$F,ROW())))</f>
        <v>1050038.2047568702</v>
      </c>
      <c r="U26" s="5">
        <f>IF(ROW()&lt;=2+0,"",INDEX(Daily_Input!$G:$G,ROW()-1))</f>
        <v>15019.2</v>
      </c>
      <c r="V26" s="5">
        <f>IF(ROW()&lt;=2+0,"",INDEX(Daily_Input!$H:$H,ROW()-1))</f>
        <v>1076278.5260000001</v>
      </c>
      <c r="W26" s="5">
        <f>IF(ROW()&lt;=2+1,"",INDEX(Daily_Input!$G:$G,ROW()-2))</f>
        <v>15019.2</v>
      </c>
      <c r="X26" s="5">
        <f>IF(ROW()&lt;=2+1,"",INDEX(Daily_Input!$H:$H,ROW()-2))</f>
        <v>1343213.8</v>
      </c>
      <c r="Y26" s="5">
        <f>IF(ROW()&lt;=2+2,"",INDEX(Daily_Input!$G:$G,ROW()-3))</f>
        <v>15019.2</v>
      </c>
      <c r="Z26" s="5">
        <f>IF(ROW()&lt;=2+2,"",INDEX(Daily_Input!$H:$H,ROW()-3))</f>
        <v>44085.754079999999</v>
      </c>
      <c r="AA26" s="5">
        <f>Daily_Input!N26</f>
        <v>4.0060000000000002</v>
      </c>
      <c r="AB26" s="5">
        <f>Daily_Input!O26</f>
        <v>21.497</v>
      </c>
      <c r="AC26" s="5">
        <f>Daily_Input!P26</f>
        <v>5.9610000000000003</v>
      </c>
      <c r="AD26" s="5">
        <f t="shared" si="1"/>
        <v>31.463999999999999</v>
      </c>
      <c r="AE26" s="5">
        <f t="shared" si="2"/>
        <v>21.497</v>
      </c>
      <c r="AF26" s="5">
        <f>IF(A26="","",IFERROR(INDEX(Daily_Input!$F:$F,ROW()+1),""))</f>
        <v>482554.30601834954</v>
      </c>
      <c r="AG26" s="5">
        <f>IF(A26="","",IFERROR(INDEX(Daily_Input!$F:$F,ROW()+2),""))</f>
        <v>569451.16057343001</v>
      </c>
      <c r="AH26" s="5">
        <f>IF(A26="","",IFERROR(INDEX(Daily_Input!$F:$F,ROW()+3),""))</f>
        <v>1013858.9276642874</v>
      </c>
    </row>
    <row r="27" spans="1:34">
      <c r="A27" s="5">
        <f>Daily_Input!A27</f>
        <v>45864</v>
      </c>
      <c r="B27" s="5">
        <f>Daily_Input!F27</f>
        <v>482554.30601834954</v>
      </c>
      <c r="C27" s="5">
        <f>Daily_Input!D27</f>
        <v>489.76900000000001</v>
      </c>
      <c r="D27" s="5">
        <f>Daily_Input!E27</f>
        <v>1692113.6615758</v>
      </c>
      <c r="E27" s="5" cm="1">
        <f t="array" ref="E27">IF(ROW()=2,"",INDEX(Daily_Input!$E:$E,ROW())-INDEX(Daily_Input!$E:$E,ROW()-1))</f>
        <v>-18340.774763499852</v>
      </c>
      <c r="F27" s="5">
        <f>IFERROR(Daily_Input!E27/Config!$B$4,"")</f>
        <v>1.041003622619243</v>
      </c>
      <c r="G27" s="5">
        <f>Daily_Input!I27</f>
        <v>6</v>
      </c>
      <c r="H27" s="5">
        <f>IF(A27="","",IF(ROW()=2,G27,Config!$B$5*H26+G27))</f>
        <v>208.83009236903908</v>
      </c>
      <c r="I27" s="5">
        <f t="shared" si="0"/>
        <v>207</v>
      </c>
      <c r="J27" s="5">
        <f>IF(I27="","",SIN(2*PI()*I27/Config!$B$6))</f>
        <v>-0.40935595881562109</v>
      </c>
      <c r="K27" s="5">
        <f>IF(I27="","",COS(2*PI()*I27/Config!$B$6))</f>
        <v>-0.91237475797072742</v>
      </c>
      <c r="L27" s="5">
        <f>IF(ROW()&lt;=2+0,"",INDEX(Daily_Input!$F:$F,ROW()-1))</f>
        <v>618651.26273834216</v>
      </c>
      <c r="M27" s="5">
        <f>IF(ROW()&lt;=2+1,"",INDEX(Daily_Input!$F:$F,ROW()-2))</f>
        <v>1123235.0312024173</v>
      </c>
      <c r="N27" s="5">
        <f>IF(ROW()&lt;=2+2,"",INDEX(Daily_Input!$F:$F,ROW()-3))</f>
        <v>1408228.320329851</v>
      </c>
      <c r="O27" s="5">
        <f>IF(ROW()&lt;=2+6,"",INDEX(Daily_Input!$F:$F,ROW()-7))</f>
        <v>142706.71852408364</v>
      </c>
      <c r="P27" s="5">
        <f>IF(ROW()&lt;=2+13,"",INDEX(Daily_Input!$F:$F,ROW()-14))</f>
        <v>20534.222947390706</v>
      </c>
      <c r="Q27" s="5">
        <f>IF(ROW()&lt;=4,"",SUM(INDEX(Daily_Input!$I:$I,ROW()-2):INDEX(Daily_Input!$I:$I,ROW())))</f>
        <v>54.599999999999994</v>
      </c>
      <c r="R27" s="5">
        <f>IF(ROW()&lt;=8,"",SUM(INDEX(Daily_Input!$I:$I,ROW()-6):INDEX(Daily_Input!$I:$I,ROW())))</f>
        <v>133</v>
      </c>
      <c r="S27" s="5">
        <f>IF(ROW()&lt;=15,"",SUM(INDEX(Daily_Input!$I:$I,ROW()-13):INDEX(Daily_Input!$I:$I,ROW())))</f>
        <v>251.8</v>
      </c>
      <c r="T27" s="5">
        <f>IF(ROW()&lt;=4,"",AVERAGE(INDEX(Daily_Input!$F:$F,ROW()-2):INDEX(Daily_Input!$F:$F,ROW())))</f>
        <v>741480.1999863697</v>
      </c>
      <c r="U27" s="5">
        <f>IF(ROW()&lt;=2+0,"",INDEX(Daily_Input!$G:$G,ROW()-1))</f>
        <v>15019.2</v>
      </c>
      <c r="V27" s="5">
        <f>IF(ROW()&lt;=2+0,"",INDEX(Daily_Input!$H:$H,ROW()-1))</f>
        <v>642135.51919999998</v>
      </c>
      <c r="W27" s="5">
        <f>IF(ROW()&lt;=2+1,"",INDEX(Daily_Input!$G:$G,ROW()-2))</f>
        <v>15019.2</v>
      </c>
      <c r="X27" s="5">
        <f>IF(ROW()&lt;=2+1,"",INDEX(Daily_Input!$H:$H,ROW()-2))</f>
        <v>1076278.5260000001</v>
      </c>
      <c r="Y27" s="5">
        <f>IF(ROW()&lt;=2+2,"",INDEX(Daily_Input!$G:$G,ROW()-3))</f>
        <v>15019.2</v>
      </c>
      <c r="Z27" s="5">
        <f>IF(ROW()&lt;=2+2,"",INDEX(Daily_Input!$H:$H,ROW()-3))</f>
        <v>1343213.8</v>
      </c>
      <c r="AA27" s="5">
        <f>Daily_Input!N27</f>
        <v>21.497</v>
      </c>
      <c r="AB27" s="5">
        <f>Daily_Input!O27</f>
        <v>5.9610000000000003</v>
      </c>
      <c r="AC27" s="5">
        <f>Daily_Input!P27</f>
        <v>12.932</v>
      </c>
      <c r="AD27" s="5">
        <f t="shared" si="1"/>
        <v>40.39</v>
      </c>
      <c r="AE27" s="5">
        <f t="shared" si="2"/>
        <v>21.497</v>
      </c>
      <c r="AF27" s="5">
        <f>IF(A27="","",IFERROR(INDEX(Daily_Input!$F:$F,ROW()+1),""))</f>
        <v>569451.16057343001</v>
      </c>
      <c r="AG27" s="5">
        <f>IF(A27="","",IFERROR(INDEX(Daily_Input!$F:$F,ROW()+2),""))</f>
        <v>1013858.9276642874</v>
      </c>
      <c r="AH27" s="5">
        <f>IF(A27="","",IFERROR(INDEX(Daily_Input!$F:$F,ROW()+3),""))</f>
        <v>693172.30903480761</v>
      </c>
    </row>
    <row r="28" spans="1:34">
      <c r="A28" s="5">
        <f>Daily_Input!A28</f>
        <v>45865</v>
      </c>
      <c r="B28" s="5">
        <f>Daily_Input!F28</f>
        <v>569451.16057343001</v>
      </c>
      <c r="C28" s="5">
        <f>Daily_Input!D28</f>
        <v>489.73</v>
      </c>
      <c r="D28" s="5">
        <f>Daily_Input!E28</f>
        <v>1682975.6527668999</v>
      </c>
      <c r="E28" s="5" cm="1">
        <f t="array" ref="E28">IF(ROW()=2,"",INDEX(Daily_Input!$E:$E,ROW())-INDEX(Daily_Input!$E:$E,ROW()-1))</f>
        <v>-9138.0088089001365</v>
      </c>
      <c r="F28" s="5">
        <f>IFERROR(Daily_Input!E28/Config!$B$4,"")</f>
        <v>1.0353818369853318</v>
      </c>
      <c r="G28" s="5">
        <f>Daily_Input!I28</f>
        <v>0</v>
      </c>
      <c r="H28" s="5">
        <f>IF(A28="","",IF(ROW()=2,G28,Config!$B$5*H27+G28))</f>
        <v>198.38858775058711</v>
      </c>
      <c r="I28" s="5">
        <f t="shared" si="0"/>
        <v>208</v>
      </c>
      <c r="J28" s="5">
        <f>IF(I28="","",SIN(2*PI()*I28/Config!$B$6))</f>
        <v>-0.42500033996955394</v>
      </c>
      <c r="K28" s="5">
        <f>IF(I28="","",COS(2*PI()*I28/Config!$B$6))</f>
        <v>-0.90519318989139752</v>
      </c>
      <c r="L28" s="5">
        <f>IF(ROW()&lt;=2+0,"",INDEX(Daily_Input!$F:$F,ROW()-1))</f>
        <v>482554.30601834954</v>
      </c>
      <c r="M28" s="5">
        <f>IF(ROW()&lt;=2+1,"",INDEX(Daily_Input!$F:$F,ROW()-2))</f>
        <v>618651.26273834216</v>
      </c>
      <c r="N28" s="5">
        <f>IF(ROW()&lt;=2+2,"",INDEX(Daily_Input!$F:$F,ROW()-3))</f>
        <v>1123235.0312024173</v>
      </c>
      <c r="O28" s="5">
        <f>IF(ROW()&lt;=2+6,"",INDEX(Daily_Input!$F:$F,ROW()-7))</f>
        <v>99633.96164875057</v>
      </c>
      <c r="P28" s="5">
        <f>IF(ROW()&lt;=2+13,"",INDEX(Daily_Input!$F:$F,ROW()-14))</f>
        <v>62384.337747241487</v>
      </c>
      <c r="Q28" s="5">
        <f>IF(ROW()&lt;=4,"",SUM(INDEX(Daily_Input!$I:$I,ROW()-2):INDEX(Daily_Input!$I:$I,ROW())))</f>
        <v>14.8</v>
      </c>
      <c r="R28" s="5">
        <f>IF(ROW()&lt;=8,"",SUM(INDEX(Daily_Input!$I:$I,ROW()-6):INDEX(Daily_Input!$I:$I,ROW())))</f>
        <v>133</v>
      </c>
      <c r="S28" s="5">
        <f>IF(ROW()&lt;=15,"",SUM(INDEX(Daily_Input!$I:$I,ROW()-13):INDEX(Daily_Input!$I:$I,ROW())))</f>
        <v>220.2</v>
      </c>
      <c r="T28" s="5">
        <f>IF(ROW()&lt;=4,"",AVERAGE(INDEX(Daily_Input!$F:$F,ROW()-2):INDEX(Daily_Input!$F:$F,ROW())))</f>
        <v>556885.57644337381</v>
      </c>
      <c r="U28" s="5">
        <f>IF(ROW()&lt;=2+0,"",INDEX(Daily_Input!$G:$G,ROW()-1))</f>
        <v>15019.2</v>
      </c>
      <c r="V28" s="5">
        <f>IF(ROW()&lt;=2+0,"",INDEX(Daily_Input!$H:$H,ROW()-1))</f>
        <v>486569.5012</v>
      </c>
      <c r="W28" s="5">
        <f>IF(ROW()&lt;=2+1,"",INDEX(Daily_Input!$G:$G,ROW()-2))</f>
        <v>15019.2</v>
      </c>
      <c r="X28" s="5">
        <f>IF(ROW()&lt;=2+1,"",INDEX(Daily_Input!$H:$H,ROW()-2))</f>
        <v>642135.51919999998</v>
      </c>
      <c r="Y28" s="5">
        <f>IF(ROW()&lt;=2+2,"",INDEX(Daily_Input!$G:$G,ROW()-3))</f>
        <v>15019.2</v>
      </c>
      <c r="Z28" s="5">
        <f>IF(ROW()&lt;=2+2,"",INDEX(Daily_Input!$H:$H,ROW()-3))</f>
        <v>1076278.5260000001</v>
      </c>
      <c r="AA28" s="5">
        <f>Daily_Input!N28</f>
        <v>5.9610000000000003</v>
      </c>
      <c r="AB28" s="5">
        <f>Daily_Input!O28</f>
        <v>12.932</v>
      </c>
      <c r="AC28" s="5">
        <f>Daily_Input!P28</f>
        <v>28.989000000000001</v>
      </c>
      <c r="AD28" s="5">
        <f t="shared" si="1"/>
        <v>47.882000000000005</v>
      </c>
      <c r="AE28" s="5">
        <f t="shared" si="2"/>
        <v>28.989000000000001</v>
      </c>
      <c r="AF28" s="5">
        <f>IF(A28="","",IFERROR(INDEX(Daily_Input!$F:$F,ROW()+1),""))</f>
        <v>1013858.9276642874</v>
      </c>
      <c r="AG28" s="5">
        <f>IF(A28="","",IFERROR(INDEX(Daily_Input!$F:$F,ROW()+2),""))</f>
        <v>693172.30903480761</v>
      </c>
      <c r="AH28" s="5">
        <f>IF(A28="","",IFERROR(INDEX(Daily_Input!$F:$F,ROW()+3),""))</f>
        <v>814190.42860791693</v>
      </c>
    </row>
    <row r="29" spans="1:34">
      <c r="A29" s="5">
        <f>Daily_Input!A29</f>
        <v>45866</v>
      </c>
      <c r="B29" s="5">
        <f>Daily_Input!F29</f>
        <v>1013858.9276642874</v>
      </c>
      <c r="C29" s="5">
        <f>Daily_Input!D29</f>
        <v>489.911</v>
      </c>
      <c r="D29" s="5">
        <f>Daily_Input!E29</f>
        <v>1738141.5165156999</v>
      </c>
      <c r="E29" s="5" cm="1">
        <f t="array" ref="E29">IF(ROW()=2,"",INDEX(Daily_Input!$E:$E,ROW())-INDEX(Daily_Input!$E:$E,ROW()-1))</f>
        <v>55165.863748800009</v>
      </c>
      <c r="F29" s="5">
        <f>IFERROR(Daily_Input!E29/Config!$B$4,"")</f>
        <v>1.0693203751057203</v>
      </c>
      <c r="G29" s="5">
        <f>Daily_Input!I29</f>
        <v>50.4</v>
      </c>
      <c r="H29" s="5">
        <f>IF(A29="","",IF(ROW()=2,G29,Config!$B$5*H28+G29))</f>
        <v>238.86915836305775</v>
      </c>
      <c r="I29" s="5">
        <f t="shared" si="0"/>
        <v>209</v>
      </c>
      <c r="J29" s="5">
        <f>IF(I29="","",SIN(2*PI()*I29/Config!$B$6))</f>
        <v>-0.44051878435049519</v>
      </c>
      <c r="K29" s="5">
        <f>IF(I29="","",COS(2*PI()*I29/Config!$B$6))</f>
        <v>-0.8977433935342336</v>
      </c>
      <c r="L29" s="5">
        <f>IF(ROW()&lt;=2+0,"",INDEX(Daily_Input!$F:$F,ROW()-1))</f>
        <v>569451.16057343001</v>
      </c>
      <c r="M29" s="5">
        <f>IF(ROW()&lt;=2+1,"",INDEX(Daily_Input!$F:$F,ROW()-2))</f>
        <v>482554.30601834954</v>
      </c>
      <c r="N29" s="5">
        <f>IF(ROW()&lt;=2+2,"",INDEX(Daily_Input!$F:$F,ROW()-3))</f>
        <v>618651.26273834216</v>
      </c>
      <c r="O29" s="5">
        <f>IF(ROW()&lt;=2+6,"",INDEX(Daily_Input!$F:$F,ROW()-7))</f>
        <v>81725.689460714595</v>
      </c>
      <c r="P29" s="5">
        <f>IF(ROW()&lt;=2+13,"",INDEX(Daily_Input!$F:$F,ROW()-14))</f>
        <v>48379.884811176365</v>
      </c>
      <c r="Q29" s="5">
        <f>IF(ROW()&lt;=4,"",SUM(INDEX(Daily_Input!$I:$I,ROW()-2):INDEX(Daily_Input!$I:$I,ROW())))</f>
        <v>56.4</v>
      </c>
      <c r="R29" s="5">
        <f>IF(ROW()&lt;=8,"",SUM(INDEX(Daily_Input!$I:$I,ROW()-6):INDEX(Daily_Input!$I:$I,ROW())))</f>
        <v>163.6</v>
      </c>
      <c r="S29" s="5">
        <f>IF(ROW()&lt;=15,"",SUM(INDEX(Daily_Input!$I:$I,ROW()-13):INDEX(Daily_Input!$I:$I,ROW())))</f>
        <v>270.59999999999997</v>
      </c>
      <c r="T29" s="5">
        <f>IF(ROW()&lt;=4,"",AVERAGE(INDEX(Daily_Input!$F:$F,ROW()-2):INDEX(Daily_Input!$F:$F,ROW())))</f>
        <v>688621.46475202229</v>
      </c>
      <c r="U29" s="5">
        <f>IF(ROW()&lt;=2+0,"",INDEX(Daily_Input!$G:$G,ROW()-1))</f>
        <v>15019.2</v>
      </c>
      <c r="V29" s="5">
        <f>IF(ROW()&lt;=2+0,"",INDEX(Daily_Input!$H:$H,ROW()-1))</f>
        <v>562436.34149999998</v>
      </c>
      <c r="W29" s="5">
        <f>IF(ROW()&lt;=2+1,"",INDEX(Daily_Input!$G:$G,ROW()-2))</f>
        <v>15019.2</v>
      </c>
      <c r="X29" s="5">
        <f>IF(ROW()&lt;=2+1,"",INDEX(Daily_Input!$H:$H,ROW()-2))</f>
        <v>486569.5012</v>
      </c>
      <c r="Y29" s="5">
        <f>IF(ROW()&lt;=2+2,"",INDEX(Daily_Input!$G:$G,ROW()-3))</f>
        <v>15019.2</v>
      </c>
      <c r="Z29" s="5">
        <f>IF(ROW()&lt;=2+2,"",INDEX(Daily_Input!$H:$H,ROW()-3))</f>
        <v>642135.51919999998</v>
      </c>
      <c r="AA29" s="5">
        <f>Daily_Input!N29</f>
        <v>12.932</v>
      </c>
      <c r="AB29" s="5">
        <f>Daily_Input!O29</f>
        <v>28.989000000000001</v>
      </c>
      <c r="AC29" s="5">
        <f>Daily_Input!P29</f>
        <v>15.487</v>
      </c>
      <c r="AD29" s="5">
        <f t="shared" si="1"/>
        <v>57.408000000000001</v>
      </c>
      <c r="AE29" s="5">
        <f t="shared" si="2"/>
        <v>28.989000000000001</v>
      </c>
      <c r="AF29" s="5">
        <f>IF(A29="","",IFERROR(INDEX(Daily_Input!$F:$F,ROW()+1),""))</f>
        <v>693172.30903480761</v>
      </c>
      <c r="AG29" s="5">
        <f>IF(A29="","",IFERROR(INDEX(Daily_Input!$F:$F,ROW()+2),""))</f>
        <v>814190.42860791693</v>
      </c>
      <c r="AH29" s="5">
        <f>IF(A29="","",IFERROR(INDEX(Daily_Input!$F:$F,ROW()+3),""))</f>
        <v>524269.63406137016</v>
      </c>
    </row>
    <row r="30" spans="1:34">
      <c r="A30" s="5">
        <f>Daily_Input!A30</f>
        <v>45867</v>
      </c>
      <c r="B30" s="5">
        <f>Daily_Input!F30</f>
        <v>693172.30903480761</v>
      </c>
      <c r="C30" s="5">
        <f>Daily_Input!D30</f>
        <v>489.82</v>
      </c>
      <c r="D30" s="5">
        <f>Daily_Input!E30</f>
        <v>1710454.4363392999</v>
      </c>
      <c r="E30" s="5" cm="1">
        <f t="array" ref="E30">IF(ROW()=2,"",INDEX(Daily_Input!$E:$E,ROW())-INDEX(Daily_Input!$E:$E,ROW()-1))</f>
        <v>-27687.080176400021</v>
      </c>
      <c r="F30" s="5">
        <f>IFERROR(Daily_Input!E30/Config!$B$4,"")</f>
        <v>1.0522870330685543</v>
      </c>
      <c r="G30" s="5">
        <f>Daily_Input!I30</f>
        <v>0.4</v>
      </c>
      <c r="H30" s="5">
        <f>IF(A30="","",IF(ROW()=2,G30,Config!$B$5*H29+G30))</f>
        <v>227.32570044490487</v>
      </c>
      <c r="I30" s="5">
        <f t="shared" si="0"/>
        <v>210</v>
      </c>
      <c r="J30" s="5">
        <f>IF(I30="","",SIN(2*PI()*I30/Config!$B$6))</f>
        <v>-0.45590669350845903</v>
      </c>
      <c r="K30" s="5">
        <f>IF(I30="","",COS(2*PI()*I30/Config!$B$6))</f>
        <v>-0.89002757643467656</v>
      </c>
      <c r="L30" s="5">
        <f>IF(ROW()&lt;=2+0,"",INDEX(Daily_Input!$F:$F,ROW()-1))</f>
        <v>1013858.9276642874</v>
      </c>
      <c r="M30" s="5">
        <f>IF(ROW()&lt;=2+1,"",INDEX(Daily_Input!$F:$F,ROW()-2))</f>
        <v>569451.16057343001</v>
      </c>
      <c r="N30" s="5">
        <f>IF(ROW()&lt;=2+2,"",INDEX(Daily_Input!$F:$F,ROW()-3))</f>
        <v>482554.30601834954</v>
      </c>
      <c r="O30" s="5">
        <f>IF(ROW()&lt;=2+6,"",INDEX(Daily_Input!$F:$F,ROW()-7))</f>
        <v>54196.434514176217</v>
      </c>
      <c r="P30" s="5">
        <f>IF(ROW()&lt;=2+13,"",INDEX(Daily_Input!$F:$F,ROW()-14))</f>
        <v>38218.919706494824</v>
      </c>
      <c r="Q30" s="5">
        <f>IF(ROW()&lt;=4,"",SUM(INDEX(Daily_Input!$I:$I,ROW()-2):INDEX(Daily_Input!$I:$I,ROW())))</f>
        <v>50.8</v>
      </c>
      <c r="R30" s="5">
        <f>IF(ROW()&lt;=8,"",SUM(INDEX(Daily_Input!$I:$I,ROW()-6):INDEX(Daily_Input!$I:$I,ROW())))</f>
        <v>164</v>
      </c>
      <c r="S30" s="5">
        <f>IF(ROW()&lt;=15,"",SUM(INDEX(Daily_Input!$I:$I,ROW()-13):INDEX(Daily_Input!$I:$I,ROW())))</f>
        <v>270.99999999999994</v>
      </c>
      <c r="T30" s="5">
        <f>IF(ROW()&lt;=4,"",AVERAGE(INDEX(Daily_Input!$F:$F,ROW()-2):INDEX(Daily_Input!$F:$F,ROW())))</f>
        <v>758827.4657575083</v>
      </c>
      <c r="U30" s="5">
        <f>IF(ROW()&lt;=2+0,"",INDEX(Daily_Input!$G:$G,ROW()-1))</f>
        <v>15019.2</v>
      </c>
      <c r="V30" s="5">
        <f>IF(ROW()&lt;=2+0,"",INDEX(Daily_Input!$H:$H,ROW()-1))</f>
        <v>958067.44099999999</v>
      </c>
      <c r="W30" s="5">
        <f>IF(ROW()&lt;=2+1,"",INDEX(Daily_Input!$G:$G,ROW()-2))</f>
        <v>15019.2</v>
      </c>
      <c r="X30" s="5">
        <f>IF(ROW()&lt;=2+1,"",INDEX(Daily_Input!$H:$H,ROW()-2))</f>
        <v>562436.34149999998</v>
      </c>
      <c r="Y30" s="5">
        <f>IF(ROW()&lt;=2+2,"",INDEX(Daily_Input!$G:$G,ROW()-3))</f>
        <v>15019.2</v>
      </c>
      <c r="Z30" s="5">
        <f>IF(ROW()&lt;=2+2,"",INDEX(Daily_Input!$H:$H,ROW()-3))</f>
        <v>486569.5012</v>
      </c>
      <c r="AA30" s="5">
        <f>Daily_Input!N30</f>
        <v>28.989000000000001</v>
      </c>
      <c r="AB30" s="5">
        <f>Daily_Input!O30</f>
        <v>15.487</v>
      </c>
      <c r="AC30" s="5">
        <f>Daily_Input!P30</f>
        <v>5.3029999999999999</v>
      </c>
      <c r="AD30" s="5">
        <f t="shared" si="1"/>
        <v>49.778999999999996</v>
      </c>
      <c r="AE30" s="5">
        <f t="shared" si="2"/>
        <v>28.989000000000001</v>
      </c>
      <c r="AF30" s="5">
        <f>IF(A30="","",IFERROR(INDEX(Daily_Input!$F:$F,ROW()+1),""))</f>
        <v>814190.42860791693</v>
      </c>
      <c r="AG30" s="5">
        <f>IF(A30="","",IFERROR(INDEX(Daily_Input!$F:$F,ROW()+2),""))</f>
        <v>524269.63406137016</v>
      </c>
      <c r="AH30" s="5">
        <f>IF(A30="","",IFERROR(INDEX(Daily_Input!$F:$F,ROW()+3),""))</f>
        <v>376758.49060792051</v>
      </c>
    </row>
    <row r="31" spans="1:34">
      <c r="A31" s="5">
        <f>Daily_Input!A31</f>
        <v>45868</v>
      </c>
      <c r="B31" s="5">
        <f>Daily_Input!F31</f>
        <v>814190.42860791693</v>
      </c>
      <c r="C31" s="5">
        <f>Daily_Input!D31</f>
        <v>489.86</v>
      </c>
      <c r="D31" s="5">
        <f>Daily_Input!E31</f>
        <v>1722743.3880805001</v>
      </c>
      <c r="E31" s="5" cm="1">
        <f t="array" ref="E31">IF(ROW()=2,"",INDEX(Daily_Input!$E:$E,ROW())-INDEX(Daily_Input!$E:$E,ROW()-1))</f>
        <v>12288.951741200173</v>
      </c>
      <c r="F31" s="5">
        <f>IFERROR(Daily_Input!E31/Config!$B$4,"")</f>
        <v>1.0598473072813805</v>
      </c>
      <c r="G31" s="5">
        <f>Daily_Input!I31</f>
        <v>24.8</v>
      </c>
      <c r="H31" s="5">
        <f>IF(A31="","",IF(ROW()=2,G31,Config!$B$5*H30+G31))</f>
        <v>240.75941542265963</v>
      </c>
      <c r="I31" s="5">
        <f t="shared" si="0"/>
        <v>211</v>
      </c>
      <c r="J31" s="5">
        <f>IF(I31="","",SIN(2*PI()*I31/Config!$B$6))</f>
        <v>-0.47115950767386394</v>
      </c>
      <c r="K31" s="5">
        <f>IF(I31="","",COS(2*PI()*I31/Config!$B$6))</f>
        <v>-0.88204802495585355</v>
      </c>
      <c r="L31" s="5">
        <f>IF(ROW()&lt;=2+0,"",INDEX(Daily_Input!$F:$F,ROW()-1))</f>
        <v>693172.30903480761</v>
      </c>
      <c r="M31" s="5">
        <f>IF(ROW()&lt;=2+1,"",INDEX(Daily_Input!$F:$F,ROW()-2))</f>
        <v>1013858.9276642874</v>
      </c>
      <c r="N31" s="5">
        <f>IF(ROW()&lt;=2+2,"",INDEX(Daily_Input!$F:$F,ROW()-3))</f>
        <v>569451.16057343001</v>
      </c>
      <c r="O31" s="5">
        <f>IF(ROW()&lt;=2+6,"",INDEX(Daily_Input!$F:$F,ROW()-7))</f>
        <v>1408228.320329851</v>
      </c>
      <c r="P31" s="5">
        <f>IF(ROW()&lt;=2+13,"",INDEX(Daily_Input!$F:$F,ROW()-14))</f>
        <v>783908.44873235549</v>
      </c>
      <c r="Q31" s="5">
        <f>IF(ROW()&lt;=4,"",SUM(INDEX(Daily_Input!$I:$I,ROW()-2):INDEX(Daily_Input!$I:$I,ROW())))</f>
        <v>75.599999999999994</v>
      </c>
      <c r="R31" s="5">
        <f>IF(ROW()&lt;=8,"",SUM(INDEX(Daily_Input!$I:$I,ROW()-6):INDEX(Daily_Input!$I:$I,ROW())))</f>
        <v>130.20000000000002</v>
      </c>
      <c r="S31" s="5">
        <f>IF(ROW()&lt;=15,"",SUM(INDEX(Daily_Input!$I:$I,ROW()-13):INDEX(Daily_Input!$I:$I,ROW())))</f>
        <v>217.00000000000003</v>
      </c>
      <c r="T31" s="5">
        <f>IF(ROW()&lt;=4,"",AVERAGE(INDEX(Daily_Input!$F:$F,ROW()-2):INDEX(Daily_Input!$F:$F,ROW())))</f>
        <v>840407.22176900401</v>
      </c>
      <c r="U31" s="5">
        <f>IF(ROW()&lt;=2+0,"",INDEX(Daily_Input!$G:$G,ROW()-1))</f>
        <v>15019.2</v>
      </c>
      <c r="V31" s="5">
        <f>IF(ROW()&lt;=2+0,"",INDEX(Daily_Input!$H:$H,ROW()-1))</f>
        <v>704819.84439999994</v>
      </c>
      <c r="W31" s="5">
        <f>IF(ROW()&lt;=2+1,"",INDEX(Daily_Input!$G:$G,ROW()-2))</f>
        <v>15019.2</v>
      </c>
      <c r="X31" s="5">
        <f>IF(ROW()&lt;=2+1,"",INDEX(Daily_Input!$H:$H,ROW()-2))</f>
        <v>958067.44099999999</v>
      </c>
      <c r="Y31" s="5">
        <f>IF(ROW()&lt;=2+2,"",INDEX(Daily_Input!$G:$G,ROW()-3))</f>
        <v>15019.2</v>
      </c>
      <c r="Z31" s="5">
        <f>IF(ROW()&lt;=2+2,"",INDEX(Daily_Input!$H:$H,ROW()-3))</f>
        <v>562436.34149999998</v>
      </c>
      <c r="AA31" s="5">
        <f>Daily_Input!N31</f>
        <v>15.487</v>
      </c>
      <c r="AB31" s="5">
        <f>Daily_Input!O31</f>
        <v>5.3029999999999999</v>
      </c>
      <c r="AC31" s="5">
        <f>Daily_Input!P31</f>
        <v>3.6779999999999999</v>
      </c>
      <c r="AD31" s="5">
        <f t="shared" si="1"/>
        <v>24.468</v>
      </c>
      <c r="AE31" s="5">
        <f t="shared" si="2"/>
        <v>15.487</v>
      </c>
      <c r="AF31" s="5">
        <f>IF(A31="","",IFERROR(INDEX(Daily_Input!$F:$F,ROW()+1),""))</f>
        <v>524269.63406137016</v>
      </c>
      <c r="AG31" s="5">
        <f>IF(A31="","",IFERROR(INDEX(Daily_Input!$F:$F,ROW()+2),""))</f>
        <v>376758.49060792051</v>
      </c>
      <c r="AH31" s="5">
        <f>IF(A31="","",IFERROR(INDEX(Daily_Input!$F:$F,ROW()+3),""))</f>
        <v>279414.65755679697</v>
      </c>
    </row>
    <row r="32" spans="1:34">
      <c r="A32" s="5">
        <f>Daily_Input!A32</f>
        <v>45869</v>
      </c>
      <c r="B32" s="5">
        <f>Daily_Input!F32</f>
        <v>524269.63406137016</v>
      </c>
      <c r="C32" s="5">
        <f>Daily_Input!D32</f>
        <v>489.78899999999999</v>
      </c>
      <c r="D32" s="5">
        <f>Daily_Input!E32</f>
        <v>1698213.6426939999</v>
      </c>
      <c r="E32" s="5" cm="1">
        <f t="array" ref="E32">IF(ROW()=2,"",INDEX(Daily_Input!$E:$E,ROW())-INDEX(Daily_Input!$E:$E,ROW()-1))</f>
        <v>-24529.745386500144</v>
      </c>
      <c r="F32" s="5">
        <f>IFERROR(Daily_Input!E32/Config!$B$4,"")</f>
        <v>1.0447563861517124</v>
      </c>
      <c r="G32" s="5">
        <f>Daily_Input!I32</f>
        <v>0.4</v>
      </c>
      <c r="H32" s="5">
        <f>IF(A32="","",IF(ROW()=2,G32,Config!$B$5*H31+G32))</f>
        <v>229.12144465152664</v>
      </c>
      <c r="I32" s="5">
        <f t="shared" si="0"/>
        <v>212</v>
      </c>
      <c r="J32" s="5">
        <f>IF(I32="","",SIN(2*PI()*I32/Config!$B$6))</f>
        <v>-0.48627270710869019</v>
      </c>
      <c r="K32" s="5">
        <f>IF(I32="","",COS(2*PI()*I32/Config!$B$6))</f>
        <v>-0.87380710361108072</v>
      </c>
      <c r="L32" s="5">
        <f>IF(ROW()&lt;=2+0,"",INDEX(Daily_Input!$F:$F,ROW()-1))</f>
        <v>814190.42860791693</v>
      </c>
      <c r="M32" s="5">
        <f>IF(ROW()&lt;=2+1,"",INDEX(Daily_Input!$F:$F,ROW()-2))</f>
        <v>693172.30903480761</v>
      </c>
      <c r="N32" s="5">
        <f>IF(ROW()&lt;=2+2,"",INDEX(Daily_Input!$F:$F,ROW()-3))</f>
        <v>1013858.9276642874</v>
      </c>
      <c r="O32" s="5">
        <f>IF(ROW()&lt;=2+6,"",INDEX(Daily_Input!$F:$F,ROW()-7))</f>
        <v>1123235.0312024173</v>
      </c>
      <c r="P32" s="5">
        <f>IF(ROW()&lt;=2+13,"",INDEX(Daily_Input!$F:$F,ROW()-14))</f>
        <v>421045.59254760947</v>
      </c>
      <c r="Q32" s="5">
        <f>IF(ROW()&lt;=4,"",SUM(INDEX(Daily_Input!$I:$I,ROW()-2):INDEX(Daily_Input!$I:$I,ROW())))</f>
        <v>25.599999999999998</v>
      </c>
      <c r="R32" s="5">
        <f>IF(ROW()&lt;=8,"",SUM(INDEX(Daily_Input!$I:$I,ROW()-6):INDEX(Daily_Input!$I:$I,ROW())))</f>
        <v>90.800000000000011</v>
      </c>
      <c r="S32" s="5">
        <f>IF(ROW()&lt;=15,"",SUM(INDEX(Daily_Input!$I:$I,ROW()-13):INDEX(Daily_Input!$I:$I,ROW())))</f>
        <v>213.20000000000002</v>
      </c>
      <c r="T32" s="5">
        <f>IF(ROW()&lt;=4,"",AVERAGE(INDEX(Daily_Input!$F:$F,ROW()-2):INDEX(Daily_Input!$F:$F,ROW())))</f>
        <v>677210.79056803149</v>
      </c>
      <c r="U32" s="5">
        <f>IF(ROW()&lt;=2+0,"",INDEX(Daily_Input!$G:$G,ROW()-1))</f>
        <v>15019.2</v>
      </c>
      <c r="V32" s="5">
        <f>IF(ROW()&lt;=2+0,"",INDEX(Daily_Input!$H:$H,ROW()-1))</f>
        <v>793364.09120000002</v>
      </c>
      <c r="W32" s="5">
        <f>IF(ROW()&lt;=2+1,"",INDEX(Daily_Input!$G:$G,ROW()-2))</f>
        <v>15019.2</v>
      </c>
      <c r="X32" s="5">
        <f>IF(ROW()&lt;=2+1,"",INDEX(Daily_Input!$H:$H,ROW()-2))</f>
        <v>704819.84439999994</v>
      </c>
      <c r="Y32" s="5">
        <f>IF(ROW()&lt;=2+2,"",INDEX(Daily_Input!$G:$G,ROW()-3))</f>
        <v>15019.2</v>
      </c>
      <c r="Z32" s="5">
        <f>IF(ROW()&lt;=2+2,"",INDEX(Daily_Input!$H:$H,ROW()-3))</f>
        <v>958067.44099999999</v>
      </c>
      <c r="AA32" s="5">
        <f>Daily_Input!N32</f>
        <v>5.3029999999999999</v>
      </c>
      <c r="AB32" s="5">
        <f>Daily_Input!O32</f>
        <v>3.6779999999999999</v>
      </c>
      <c r="AC32" s="5">
        <f>Daily_Input!P32</f>
        <v>9.6340000000000003</v>
      </c>
      <c r="AD32" s="5">
        <f t="shared" si="1"/>
        <v>18.615000000000002</v>
      </c>
      <c r="AE32" s="5">
        <f t="shared" si="2"/>
        <v>9.6340000000000003</v>
      </c>
      <c r="AF32" s="5">
        <f>IF(A32="","",IFERROR(INDEX(Daily_Input!$F:$F,ROW()+1),""))</f>
        <v>376758.49060792051</v>
      </c>
      <c r="AG32" s="5">
        <f>IF(A32="","",IFERROR(INDEX(Daily_Input!$F:$F,ROW()+2),""))</f>
        <v>279414.65755679697</v>
      </c>
      <c r="AH32" s="5">
        <f>IF(A32="","",IFERROR(INDEX(Daily_Input!$F:$F,ROW()+3),""))</f>
        <v>177123.0132425187</v>
      </c>
    </row>
    <row r="33" spans="1:34">
      <c r="A33" s="5">
        <f>Daily_Input!A33</f>
        <v>45870</v>
      </c>
      <c r="B33" s="5">
        <f>Daily_Input!F33</f>
        <v>376758.49060792051</v>
      </c>
      <c r="C33" s="5">
        <f>Daily_Input!D33</f>
        <v>489.73599999999999</v>
      </c>
      <c r="D33" s="5">
        <f>Daily_Input!E33</f>
        <v>1682975.6527668999</v>
      </c>
      <c r="E33" s="5" cm="1">
        <f t="array" ref="E33">IF(ROW()=2,"",INDEX(Daily_Input!$E:$E,ROW())-INDEX(Daily_Input!$E:$E,ROW()-1))</f>
        <v>-15237.989927100018</v>
      </c>
      <c r="F33" s="5">
        <f>IFERROR(Daily_Input!E33/Config!$B$4,"")</f>
        <v>1.0353818369853318</v>
      </c>
      <c r="G33" s="5">
        <f>Daily_Input!I33</f>
        <v>1.6</v>
      </c>
      <c r="H33" s="5">
        <f>IF(A33="","",IF(ROW()=2,G33,Config!$B$5*H32+G33))</f>
        <v>219.26537241895031</v>
      </c>
      <c r="I33" s="5">
        <f t="shared" si="0"/>
        <v>213</v>
      </c>
      <c r="J33" s="5">
        <f>IF(I33="","",SIN(2*PI()*I33/Config!$B$6))</f>
        <v>-0.50124181344577556</v>
      </c>
      <c r="K33" s="5">
        <f>IF(I33="","",COS(2*PI()*I33/Config!$B$6))</f>
        <v>-0.8653072543632061</v>
      </c>
      <c r="L33" s="5">
        <f>IF(ROW()&lt;=2+0,"",INDEX(Daily_Input!$F:$F,ROW()-1))</f>
        <v>524269.63406137016</v>
      </c>
      <c r="M33" s="5">
        <f>IF(ROW()&lt;=2+1,"",INDEX(Daily_Input!$F:$F,ROW()-2))</f>
        <v>814190.42860791693</v>
      </c>
      <c r="N33" s="5">
        <f>IF(ROW()&lt;=2+2,"",INDEX(Daily_Input!$F:$F,ROW()-3))</f>
        <v>693172.30903480761</v>
      </c>
      <c r="O33" s="5">
        <f>IF(ROW()&lt;=2+6,"",INDEX(Daily_Input!$F:$F,ROW()-7))</f>
        <v>618651.26273834216</v>
      </c>
      <c r="P33" s="5">
        <f>IF(ROW()&lt;=2+13,"",INDEX(Daily_Input!$F:$F,ROW()-14))</f>
        <v>247151.60437672501</v>
      </c>
      <c r="Q33" s="5">
        <f>IF(ROW()&lt;=4,"",SUM(INDEX(Daily_Input!$I:$I,ROW()-2):INDEX(Daily_Input!$I:$I,ROW())))</f>
        <v>26.8</v>
      </c>
      <c r="R33" s="5">
        <f>IF(ROW()&lt;=8,"",SUM(INDEX(Daily_Input!$I:$I,ROW()-6):INDEX(Daily_Input!$I:$I,ROW())))</f>
        <v>83.6</v>
      </c>
      <c r="S33" s="5">
        <f>IF(ROW()&lt;=15,"",SUM(INDEX(Daily_Input!$I:$I,ROW()-13):INDEX(Daily_Input!$I:$I,ROW())))</f>
        <v>210.60000000000002</v>
      </c>
      <c r="T33" s="5">
        <f>IF(ROW()&lt;=4,"",AVERAGE(INDEX(Daily_Input!$F:$F,ROW()-2):INDEX(Daily_Input!$F:$F,ROW())))</f>
        <v>571739.51775906922</v>
      </c>
      <c r="U33" s="5">
        <f>IF(ROW()&lt;=2+0,"",INDEX(Daily_Input!$G:$G,ROW()-1))</f>
        <v>15019.2</v>
      </c>
      <c r="V33" s="5">
        <f>IF(ROW()&lt;=2+0,"",INDEX(Daily_Input!$H:$H,ROW()-1))</f>
        <v>532765.63459999999</v>
      </c>
      <c r="W33" s="5">
        <f>IF(ROW()&lt;=2+1,"",INDEX(Daily_Input!$G:$G,ROW()-2))</f>
        <v>15019.2</v>
      </c>
      <c r="X33" s="5">
        <f>IF(ROW()&lt;=2+1,"",INDEX(Daily_Input!$H:$H,ROW()-2))</f>
        <v>793364.09120000002</v>
      </c>
      <c r="Y33" s="5">
        <f>IF(ROW()&lt;=2+2,"",INDEX(Daily_Input!$G:$G,ROW()-3))</f>
        <v>15019.2</v>
      </c>
      <c r="Z33" s="5">
        <f>IF(ROW()&lt;=2+2,"",INDEX(Daily_Input!$H:$H,ROW()-3))</f>
        <v>704819.84439999994</v>
      </c>
      <c r="AA33" s="5">
        <f>Daily_Input!N33</f>
        <v>3.6779999999999999</v>
      </c>
      <c r="AB33" s="5">
        <f>Daily_Input!O33</f>
        <v>9.6340000000000003</v>
      </c>
      <c r="AC33" s="5">
        <f>Daily_Input!P33</f>
        <v>12.491</v>
      </c>
      <c r="AD33" s="5">
        <f t="shared" si="1"/>
        <v>25.803000000000001</v>
      </c>
      <c r="AE33" s="5">
        <f t="shared" si="2"/>
        <v>12.491</v>
      </c>
      <c r="AF33" s="5">
        <f>IF(A33="","",IFERROR(INDEX(Daily_Input!$F:$F,ROW()+1),""))</f>
        <v>279414.65755679697</v>
      </c>
      <c r="AG33" s="5">
        <f>IF(A33="","",IFERROR(INDEX(Daily_Input!$F:$F,ROW()+2),""))</f>
        <v>177123.0132425187</v>
      </c>
      <c r="AH33" s="5">
        <f>IF(A33="","",IFERROR(INDEX(Daily_Input!$F:$F,ROW()+3),""))</f>
        <v>95934.478331860097</v>
      </c>
    </row>
    <row r="34" spans="1:34">
      <c r="A34" s="5">
        <f>Daily_Input!A34</f>
        <v>45871</v>
      </c>
      <c r="B34" s="5">
        <f>Daily_Input!F34</f>
        <v>279414.65755679697</v>
      </c>
      <c r="C34" s="5">
        <f>Daily_Input!D34</f>
        <v>489.70400000000001</v>
      </c>
      <c r="D34" s="5">
        <f>Daily_Input!E34</f>
        <v>1673851.7406957999</v>
      </c>
      <c r="E34" s="5" cm="1">
        <f t="array" ref="E34">IF(ROW()=2,"",INDEX(Daily_Input!$E:$E,ROW())-INDEX(Daily_Input!$E:$E,ROW()-1))</f>
        <v>-9123.9120710999705</v>
      </c>
      <c r="F34" s="5">
        <f>IFERROR(Daily_Input!E34/Config!$B$4,"")</f>
        <v>1.0297687237919608</v>
      </c>
      <c r="G34" s="5">
        <f>Daily_Input!I34</f>
        <v>0</v>
      </c>
      <c r="H34" s="5">
        <f>IF(A34="","",IF(ROW()=2,G34,Config!$B$5*H33+G34))</f>
        <v>208.30210379800278</v>
      </c>
      <c r="I34" s="5">
        <f t="shared" si="0"/>
        <v>214</v>
      </c>
      <c r="J34" s="5">
        <f>IF(I34="","",SIN(2*PI()*I34/Config!$B$6))</f>
        <v>-0.51606239101585261</v>
      </c>
      <c r="K34" s="5">
        <f>IF(I34="","",COS(2*PI()*I34/Config!$B$6))</f>
        <v>-0.8565509959010037</v>
      </c>
      <c r="L34" s="5">
        <f>IF(ROW()&lt;=2+0,"",INDEX(Daily_Input!$F:$F,ROW()-1))</f>
        <v>376758.49060792051</v>
      </c>
      <c r="M34" s="5">
        <f>IF(ROW()&lt;=2+1,"",INDEX(Daily_Input!$F:$F,ROW()-2))</f>
        <v>524269.63406137016</v>
      </c>
      <c r="N34" s="5">
        <f>IF(ROW()&lt;=2+2,"",INDEX(Daily_Input!$F:$F,ROW()-3))</f>
        <v>814190.42860791693</v>
      </c>
      <c r="O34" s="5">
        <f>IF(ROW()&lt;=2+6,"",INDEX(Daily_Input!$F:$F,ROW()-7))</f>
        <v>482554.30601834954</v>
      </c>
      <c r="P34" s="5">
        <f>IF(ROW()&lt;=2+13,"",INDEX(Daily_Input!$F:$F,ROW()-14))</f>
        <v>142706.71852408364</v>
      </c>
      <c r="Q34" s="5">
        <f>IF(ROW()&lt;=4,"",SUM(INDEX(Daily_Input!$I:$I,ROW()-2):INDEX(Daily_Input!$I:$I,ROW())))</f>
        <v>2</v>
      </c>
      <c r="R34" s="5">
        <f>IF(ROW()&lt;=8,"",SUM(INDEX(Daily_Input!$I:$I,ROW()-6):INDEX(Daily_Input!$I:$I,ROW())))</f>
        <v>77.599999999999994</v>
      </c>
      <c r="S34" s="5">
        <f>IF(ROW()&lt;=15,"",SUM(INDEX(Daily_Input!$I:$I,ROW()-13):INDEX(Daily_Input!$I:$I,ROW())))</f>
        <v>210.60000000000002</v>
      </c>
      <c r="T34" s="5">
        <f>IF(ROW()&lt;=4,"",AVERAGE(INDEX(Daily_Input!$F:$F,ROW()-2):INDEX(Daily_Input!$F:$F,ROW())))</f>
        <v>393480.92740869586</v>
      </c>
      <c r="U34" s="5">
        <f>IF(ROW()&lt;=2+0,"",INDEX(Daily_Input!$G:$G,ROW()-1))</f>
        <v>15019.2</v>
      </c>
      <c r="V34" s="5">
        <f>IF(ROW()&lt;=2+0,"",INDEX(Daily_Input!$H:$H,ROW()-1))</f>
        <v>376292.07880000002</v>
      </c>
      <c r="W34" s="5">
        <f>IF(ROW()&lt;=2+1,"",INDEX(Daily_Input!$G:$G,ROW()-2))</f>
        <v>15019.2</v>
      </c>
      <c r="X34" s="5">
        <f>IF(ROW()&lt;=2+1,"",INDEX(Daily_Input!$H:$H,ROW()-2))</f>
        <v>532765.63459999999</v>
      </c>
      <c r="Y34" s="5">
        <f>IF(ROW()&lt;=2+2,"",INDEX(Daily_Input!$G:$G,ROW()-3))</f>
        <v>15019.2</v>
      </c>
      <c r="Z34" s="5">
        <f>IF(ROW()&lt;=2+2,"",INDEX(Daily_Input!$H:$H,ROW()-3))</f>
        <v>793364.09120000002</v>
      </c>
      <c r="AA34" s="5">
        <f>Daily_Input!N34</f>
        <v>9.6340000000000003</v>
      </c>
      <c r="AB34" s="5">
        <f>Daily_Input!O34</f>
        <v>12.491</v>
      </c>
      <c r="AC34" s="5">
        <f>Daily_Input!P34</f>
        <v>6.6740000000000004</v>
      </c>
      <c r="AD34" s="5">
        <f t="shared" si="1"/>
        <v>28.798999999999999</v>
      </c>
      <c r="AE34" s="5">
        <f t="shared" si="2"/>
        <v>12.491</v>
      </c>
      <c r="AF34" s="5">
        <f>IF(A34="","",IFERROR(INDEX(Daily_Input!$F:$F,ROW()+1),""))</f>
        <v>177123.0132425187</v>
      </c>
      <c r="AG34" s="5">
        <f>IF(A34="","",IFERROR(INDEX(Daily_Input!$F:$F,ROW()+2),""))</f>
        <v>95934.478331860097</v>
      </c>
      <c r="AH34" s="5">
        <f>IF(A34="","",IFERROR(INDEX(Daily_Input!$F:$F,ROW()+3),""))</f>
        <v>32089.468438052176</v>
      </c>
    </row>
    <row r="35" spans="1:34">
      <c r="A35" s="5">
        <f>Daily_Input!A35</f>
        <v>45872</v>
      </c>
      <c r="B35" s="5">
        <f>Daily_Input!F35</f>
        <v>177123.0132425187</v>
      </c>
      <c r="C35" s="5">
        <f>Daily_Input!D35</f>
        <v>489.66</v>
      </c>
      <c r="D35" s="5">
        <f>Daily_Input!E35</f>
        <v>1661708.0167959</v>
      </c>
      <c r="E35" s="5" cm="1">
        <f t="array" ref="E35">IF(ROW()=2,"",INDEX(Daily_Input!$E:$E,ROW())-INDEX(Daily_Input!$E:$E,ROW()-1))</f>
        <v>-12143.723899899982</v>
      </c>
      <c r="F35" s="5">
        <f>IFERROR(Daily_Input!E35/Config!$B$4,"")</f>
        <v>1.0222977950600747</v>
      </c>
      <c r="G35" s="5">
        <f>Daily_Input!I35</f>
        <v>0</v>
      </c>
      <c r="H35" s="5">
        <f>IF(A35="","",IF(ROW()=2,G35,Config!$B$5*H34+G35))</f>
        <v>197.88699860810263</v>
      </c>
      <c r="I35" s="5">
        <f t="shared" si="0"/>
        <v>215</v>
      </c>
      <c r="J35" s="5">
        <f>IF(I35="","",SIN(2*PI()*I35/Config!$B$6))</f>
        <v>-0.53073004816193314</v>
      </c>
      <c r="K35" s="5">
        <f>IF(I35="","",COS(2*PI()*I35/Config!$B$6))</f>
        <v>-0.84754092289283123</v>
      </c>
      <c r="L35" s="5">
        <f>IF(ROW()&lt;=2+0,"",INDEX(Daily_Input!$F:$F,ROW()-1))</f>
        <v>279414.65755679697</v>
      </c>
      <c r="M35" s="5">
        <f>IF(ROW()&lt;=2+1,"",INDEX(Daily_Input!$F:$F,ROW()-2))</f>
        <v>376758.49060792051</v>
      </c>
      <c r="N35" s="5">
        <f>IF(ROW()&lt;=2+2,"",INDEX(Daily_Input!$F:$F,ROW()-3))</f>
        <v>524269.63406137016</v>
      </c>
      <c r="O35" s="5">
        <f>IF(ROW()&lt;=2+6,"",INDEX(Daily_Input!$F:$F,ROW()-7))</f>
        <v>569451.16057343001</v>
      </c>
      <c r="P35" s="5">
        <f>IF(ROW()&lt;=2+13,"",INDEX(Daily_Input!$F:$F,ROW()-14))</f>
        <v>99633.96164875057</v>
      </c>
      <c r="Q35" s="5">
        <f>IF(ROW()&lt;=4,"",SUM(INDEX(Daily_Input!$I:$I,ROW()-2):INDEX(Daily_Input!$I:$I,ROW())))</f>
        <v>1.6</v>
      </c>
      <c r="R35" s="5">
        <f>IF(ROW()&lt;=8,"",SUM(INDEX(Daily_Input!$I:$I,ROW()-6):INDEX(Daily_Input!$I:$I,ROW())))</f>
        <v>77.599999999999994</v>
      </c>
      <c r="S35" s="5">
        <f>IF(ROW()&lt;=15,"",SUM(INDEX(Daily_Input!$I:$I,ROW()-13):INDEX(Daily_Input!$I:$I,ROW())))</f>
        <v>210.60000000000002</v>
      </c>
      <c r="T35" s="5">
        <f>IF(ROW()&lt;=4,"",AVERAGE(INDEX(Daily_Input!$F:$F,ROW()-2):INDEX(Daily_Input!$F:$F,ROW())))</f>
        <v>277765.38713574543</v>
      </c>
      <c r="U35" s="5">
        <f>IF(ROW()&lt;=2+0,"",INDEX(Daily_Input!$G:$G,ROW()-1))</f>
        <v>15019.2</v>
      </c>
      <c r="V35" s="5">
        <f>IF(ROW()&lt;=2+0,"",INDEX(Daily_Input!$H:$H,ROW()-1))</f>
        <v>272348.99449999997</v>
      </c>
      <c r="W35" s="5">
        <f>IF(ROW()&lt;=2+1,"",INDEX(Daily_Input!$G:$G,ROW()-2))</f>
        <v>15019.2</v>
      </c>
      <c r="X35" s="5">
        <f>IF(ROW()&lt;=2+1,"",INDEX(Daily_Input!$H:$H,ROW()-2))</f>
        <v>376292.07880000002</v>
      </c>
      <c r="Y35" s="5">
        <f>IF(ROW()&lt;=2+2,"",INDEX(Daily_Input!$G:$G,ROW()-3))</f>
        <v>15019.2</v>
      </c>
      <c r="Z35" s="5">
        <f>IF(ROW()&lt;=2+2,"",INDEX(Daily_Input!$H:$H,ROW()-3))</f>
        <v>532765.63459999999</v>
      </c>
      <c r="AA35" s="5">
        <f>Daily_Input!N35</f>
        <v>12.491</v>
      </c>
      <c r="AB35" s="5">
        <f>Daily_Input!O35</f>
        <v>6.6740000000000004</v>
      </c>
      <c r="AC35" s="5">
        <f>Daily_Input!P35</f>
        <v>5.9420000000000002</v>
      </c>
      <c r="AD35" s="5">
        <f t="shared" si="1"/>
        <v>25.106999999999999</v>
      </c>
      <c r="AE35" s="5">
        <f t="shared" si="2"/>
        <v>12.491</v>
      </c>
      <c r="AF35" s="5">
        <f>IF(A35="","",IFERROR(INDEX(Daily_Input!$F:$F,ROW()+1),""))</f>
        <v>95934.478331860097</v>
      </c>
      <c r="AG35" s="5">
        <f>IF(A35="","",IFERROR(INDEX(Daily_Input!$F:$F,ROW()+2),""))</f>
        <v>32089.468438052176</v>
      </c>
      <c r="AH35" s="5">
        <f>IF(A35="","",IFERROR(INDEX(Daily_Input!$F:$F,ROW()+3),""))</f>
        <v>7940.2258578997953</v>
      </c>
    </row>
    <row r="36" spans="1:34">
      <c r="A36" s="5">
        <f>Daily_Input!A36</f>
        <v>45873</v>
      </c>
      <c r="B36" s="5">
        <f>Daily_Input!F36</f>
        <v>95934.478331860097</v>
      </c>
      <c r="C36" s="5">
        <f>Daily_Input!D36</f>
        <v>489.62</v>
      </c>
      <c r="D36" s="5">
        <f>Daily_Input!E36</f>
        <v>1649588.4715396999</v>
      </c>
      <c r="E36" s="5" cm="1">
        <f t="array" ref="E36">IF(ROW()=2,"",INDEX(Daily_Input!$E:$E,ROW())-INDEX(Daily_Input!$E:$E,ROW()-1))</f>
        <v>-12119.545256200014</v>
      </c>
      <c r="F36" s="5">
        <f>IFERROR(Daily_Input!E36/Config!$B$4,"")</f>
        <v>1.0148417412483863</v>
      </c>
      <c r="G36" s="5">
        <f>Daily_Input!I36</f>
        <v>0</v>
      </c>
      <c r="H36" s="5">
        <f>IF(A36="","",IF(ROW()=2,G36,Config!$B$5*H35+G36))</f>
        <v>187.9926486776975</v>
      </c>
      <c r="I36" s="5">
        <f t="shared" si="0"/>
        <v>216</v>
      </c>
      <c r="J36" s="5">
        <f>IF(I36="","",SIN(2*PI()*I36/Config!$B$6))</f>
        <v>-0.54524043854065074</v>
      </c>
      <c r="K36" s="5">
        <f>IF(I36="","",COS(2*PI()*I36/Config!$B$6))</f>
        <v>-0.83827970521777451</v>
      </c>
      <c r="L36" s="5">
        <f>IF(ROW()&lt;=2+0,"",INDEX(Daily_Input!$F:$F,ROW()-1))</f>
        <v>177123.0132425187</v>
      </c>
      <c r="M36" s="5">
        <f>IF(ROW()&lt;=2+1,"",INDEX(Daily_Input!$F:$F,ROW()-2))</f>
        <v>279414.65755679697</v>
      </c>
      <c r="N36" s="5">
        <f>IF(ROW()&lt;=2+2,"",INDEX(Daily_Input!$F:$F,ROW()-3))</f>
        <v>376758.49060792051</v>
      </c>
      <c r="O36" s="5">
        <f>IF(ROW()&lt;=2+6,"",INDEX(Daily_Input!$F:$F,ROW()-7))</f>
        <v>1013858.9276642874</v>
      </c>
      <c r="P36" s="5">
        <f>IF(ROW()&lt;=2+13,"",INDEX(Daily_Input!$F:$F,ROW()-14))</f>
        <v>81725.689460714595</v>
      </c>
      <c r="Q36" s="5">
        <f>IF(ROW()&lt;=4,"",SUM(INDEX(Daily_Input!$I:$I,ROW()-2):INDEX(Daily_Input!$I:$I,ROW())))</f>
        <v>0</v>
      </c>
      <c r="R36" s="5">
        <f>IF(ROW()&lt;=8,"",SUM(INDEX(Daily_Input!$I:$I,ROW()-6):INDEX(Daily_Input!$I:$I,ROW())))</f>
        <v>27.2</v>
      </c>
      <c r="S36" s="5">
        <f>IF(ROW()&lt;=15,"",SUM(INDEX(Daily_Input!$I:$I,ROW()-13):INDEX(Daily_Input!$I:$I,ROW())))</f>
        <v>190.8</v>
      </c>
      <c r="T36" s="5">
        <f>IF(ROW()&lt;=4,"",AVERAGE(INDEX(Daily_Input!$F:$F,ROW()-2):INDEX(Daily_Input!$F:$F,ROW())))</f>
        <v>184157.38304372528</v>
      </c>
      <c r="U36" s="5">
        <f>IF(ROW()&lt;=2+0,"",INDEX(Daily_Input!$G:$G,ROW()-1))</f>
        <v>15019.2</v>
      </c>
      <c r="V36" s="5">
        <f>IF(ROW()&lt;=2+0,"",INDEX(Daily_Input!$H:$H,ROW()-1))</f>
        <v>173079.52970000001</v>
      </c>
      <c r="W36" s="5">
        <f>IF(ROW()&lt;=2+1,"",INDEX(Daily_Input!$G:$G,ROW()-2))</f>
        <v>15019.2</v>
      </c>
      <c r="X36" s="5">
        <f>IF(ROW()&lt;=2+1,"",INDEX(Daily_Input!$H:$H,ROW()-2))</f>
        <v>272348.99449999997</v>
      </c>
      <c r="Y36" s="5">
        <f>IF(ROW()&lt;=2+2,"",INDEX(Daily_Input!$G:$G,ROW()-3))</f>
        <v>15019.2</v>
      </c>
      <c r="Z36" s="5">
        <f>IF(ROW()&lt;=2+2,"",INDEX(Daily_Input!$H:$H,ROW()-3))</f>
        <v>376292.07880000002</v>
      </c>
      <c r="AA36" s="5">
        <f>Daily_Input!N36</f>
        <v>6.6740000000000004</v>
      </c>
      <c r="AB36" s="5">
        <f>Daily_Input!O36</f>
        <v>5.9420000000000002</v>
      </c>
      <c r="AC36" s="5">
        <f>Daily_Input!P36</f>
        <v>9.8949999999999996</v>
      </c>
      <c r="AD36" s="5">
        <f t="shared" si="1"/>
        <v>22.510999999999999</v>
      </c>
      <c r="AE36" s="5">
        <f t="shared" si="2"/>
        <v>9.8949999999999996</v>
      </c>
      <c r="AF36" s="5">
        <f>IF(A36="","",IFERROR(INDEX(Daily_Input!$F:$F,ROW()+1),""))</f>
        <v>32089.468438052176</v>
      </c>
      <c r="AG36" s="5">
        <f>IF(A36="","",IFERROR(INDEX(Daily_Input!$F:$F,ROW()+2),""))</f>
        <v>7940.2258578997953</v>
      </c>
      <c r="AH36" s="5">
        <f>IF(A36="","",IFERROR(INDEX(Daily_Input!$F:$F,ROW()+3),""))</f>
        <v>4150.6586277247634</v>
      </c>
    </row>
    <row r="37" spans="1:34">
      <c r="A37" s="5">
        <f>Daily_Input!A37</f>
        <v>45874</v>
      </c>
      <c r="B37" s="5">
        <f>Daily_Input!F37</f>
        <v>32089.468438052176</v>
      </c>
      <c r="C37" s="5">
        <f>Daily_Input!D37</f>
        <v>489.58300000000003</v>
      </c>
      <c r="D37" s="5">
        <f>Daily_Input!E37</f>
        <v>1637507.2197397</v>
      </c>
      <c r="E37" s="5" cm="1">
        <f t="array" ref="E37">IF(ROW()=2,"",INDEX(Daily_Input!$E:$E,ROW())-INDEX(Daily_Input!$E:$E,ROW()-1))</f>
        <v>-12081.251799999969</v>
      </c>
      <c r="F37" s="5">
        <f>IFERROR(Daily_Input!E37/Config!$B$4,"")</f>
        <v>1.0074092459171549</v>
      </c>
      <c r="G37" s="5">
        <f>Daily_Input!I37</f>
        <v>0</v>
      </c>
      <c r="H37" s="5">
        <f>IF(A37="","",IF(ROW()=2,G37,Config!$B$5*H36+G37))</f>
        <v>178.59301624381263</v>
      </c>
      <c r="I37" s="5">
        <f t="shared" si="0"/>
        <v>217</v>
      </c>
      <c r="J37" s="5">
        <f>IF(I37="","",SIN(2*PI()*I37/Config!$B$6))</f>
        <v>-0.55958926241017626</v>
      </c>
      <c r="K37" s="5">
        <f>IF(I37="","",COS(2*PI()*I37/Config!$B$6))</f>
        <v>-0.82877008717450396</v>
      </c>
      <c r="L37" s="5">
        <f>IF(ROW()&lt;=2+0,"",INDEX(Daily_Input!$F:$F,ROW()-1))</f>
        <v>95934.478331860097</v>
      </c>
      <c r="M37" s="5">
        <f>IF(ROW()&lt;=2+1,"",INDEX(Daily_Input!$F:$F,ROW()-2))</f>
        <v>177123.0132425187</v>
      </c>
      <c r="N37" s="5">
        <f>IF(ROW()&lt;=2+2,"",INDEX(Daily_Input!$F:$F,ROW()-3))</f>
        <v>279414.65755679697</v>
      </c>
      <c r="O37" s="5">
        <f>IF(ROW()&lt;=2+6,"",INDEX(Daily_Input!$F:$F,ROW()-7))</f>
        <v>693172.30903480761</v>
      </c>
      <c r="P37" s="5">
        <f>IF(ROW()&lt;=2+13,"",INDEX(Daily_Input!$F:$F,ROW()-14))</f>
        <v>54196.434514176217</v>
      </c>
      <c r="Q37" s="5">
        <f>IF(ROW()&lt;=4,"",SUM(INDEX(Daily_Input!$I:$I,ROW()-2):INDEX(Daily_Input!$I:$I,ROW())))</f>
        <v>0</v>
      </c>
      <c r="R37" s="5">
        <f>IF(ROW()&lt;=8,"",SUM(INDEX(Daily_Input!$I:$I,ROW()-6):INDEX(Daily_Input!$I:$I,ROW())))</f>
        <v>26.8</v>
      </c>
      <c r="S37" s="5">
        <f>IF(ROW()&lt;=15,"",SUM(INDEX(Daily_Input!$I:$I,ROW()-13):INDEX(Daily_Input!$I:$I,ROW())))</f>
        <v>190.8</v>
      </c>
      <c r="T37" s="5">
        <f>IF(ROW()&lt;=4,"",AVERAGE(INDEX(Daily_Input!$F:$F,ROW()-2):INDEX(Daily_Input!$F:$F,ROW())))</f>
        <v>101715.65333747699</v>
      </c>
      <c r="U37" s="5">
        <f>IF(ROW()&lt;=2+0,"",INDEX(Daily_Input!$G:$G,ROW()-1))</f>
        <v>15019.2</v>
      </c>
      <c r="V37" s="5">
        <f>IF(ROW()&lt;=2+0,"",INDEX(Daily_Input!$H:$H,ROW()-1))</f>
        <v>91869.173120000007</v>
      </c>
      <c r="W37" s="5">
        <f>IF(ROW()&lt;=2+1,"",INDEX(Daily_Input!$G:$G,ROW()-2))</f>
        <v>15019.2</v>
      </c>
      <c r="X37" s="5">
        <f>IF(ROW()&lt;=2+1,"",INDEX(Daily_Input!$H:$H,ROW()-2))</f>
        <v>173079.52970000001</v>
      </c>
      <c r="Y37" s="5">
        <f>IF(ROW()&lt;=2+2,"",INDEX(Daily_Input!$G:$G,ROW()-3))</f>
        <v>15019.2</v>
      </c>
      <c r="Z37" s="5">
        <f>IF(ROW()&lt;=2+2,"",INDEX(Daily_Input!$H:$H,ROW()-3))</f>
        <v>272348.99449999997</v>
      </c>
      <c r="AA37" s="5">
        <f>Daily_Input!N37</f>
        <v>5.9420000000000002</v>
      </c>
      <c r="AB37" s="5">
        <f>Daily_Input!O37</f>
        <v>9.8949999999999996</v>
      </c>
      <c r="AC37" s="5">
        <f>Daily_Input!P37</f>
        <v>4.4790000000000001</v>
      </c>
      <c r="AD37" s="5">
        <f t="shared" si="1"/>
        <v>20.315999999999999</v>
      </c>
      <c r="AE37" s="5">
        <f t="shared" si="2"/>
        <v>9.8949999999999996</v>
      </c>
      <c r="AF37" s="5">
        <f>IF(A37="","",IFERROR(INDEX(Daily_Input!$F:$F,ROW()+1),""))</f>
        <v>7940.2258578997953</v>
      </c>
      <c r="AG37" s="5">
        <f>IF(A37="","",IFERROR(INDEX(Daily_Input!$F:$F,ROW()+2),""))</f>
        <v>4150.6586277247634</v>
      </c>
      <c r="AH37" s="5">
        <f>IF(A37="","",IFERROR(INDEX(Daily_Input!$F:$F,ROW()+3),""))</f>
        <v>6751.3854260954186</v>
      </c>
    </row>
    <row r="38" spans="1:34">
      <c r="A38" s="5">
        <f>Daily_Input!A38</f>
        <v>45875</v>
      </c>
      <c r="B38" s="5">
        <f>Daily_Input!F38</f>
        <v>7940.2258578997953</v>
      </c>
      <c r="C38" s="5">
        <f>Daily_Input!D38</f>
        <v>489.55099999999999</v>
      </c>
      <c r="D38" s="5">
        <f>Daily_Input!E38</f>
        <v>1628472.3057532001</v>
      </c>
      <c r="E38" s="5" cm="1">
        <f t="array" ref="E38">IF(ROW()=2,"",INDEX(Daily_Input!$E:$E,ROW())-INDEX(Daily_Input!$E:$E,ROW()-1))</f>
        <v>-9034.913986499887</v>
      </c>
      <c r="F38" s="5">
        <f>IFERROR(Daily_Input!E38/Config!$B$4,"")</f>
        <v>1.0018508851500414</v>
      </c>
      <c r="G38" s="5">
        <f>Daily_Input!I38</f>
        <v>2</v>
      </c>
      <c r="H38" s="5">
        <f>IF(A38="","",IF(ROW()=2,G38,Config!$B$5*H37+G38))</f>
        <v>171.663365431622</v>
      </c>
      <c r="I38" s="5">
        <f t="shared" si="0"/>
        <v>218</v>
      </c>
      <c r="J38" s="5">
        <f>IF(I38="","",SIN(2*PI()*I38/Config!$B$6))</f>
        <v>-0.57377226790432434</v>
      </c>
      <c r="K38" s="5">
        <f>IF(I38="","",COS(2*PI()*I38/Config!$B$6))</f>
        <v>-0.8190148866680802</v>
      </c>
      <c r="L38" s="5">
        <f>IF(ROW()&lt;=2+0,"",INDEX(Daily_Input!$F:$F,ROW()-1))</f>
        <v>32089.468438052176</v>
      </c>
      <c r="M38" s="5">
        <f>IF(ROW()&lt;=2+1,"",INDEX(Daily_Input!$F:$F,ROW()-2))</f>
        <v>95934.478331860097</v>
      </c>
      <c r="N38" s="5">
        <f>IF(ROW()&lt;=2+2,"",INDEX(Daily_Input!$F:$F,ROW()-3))</f>
        <v>177123.0132425187</v>
      </c>
      <c r="O38" s="5">
        <f>IF(ROW()&lt;=2+6,"",INDEX(Daily_Input!$F:$F,ROW()-7))</f>
        <v>814190.42860791693</v>
      </c>
      <c r="P38" s="5">
        <f>IF(ROW()&lt;=2+13,"",INDEX(Daily_Input!$F:$F,ROW()-14))</f>
        <v>1408228.320329851</v>
      </c>
      <c r="Q38" s="5">
        <f>IF(ROW()&lt;=4,"",SUM(INDEX(Daily_Input!$I:$I,ROW()-2):INDEX(Daily_Input!$I:$I,ROW())))</f>
        <v>2</v>
      </c>
      <c r="R38" s="5">
        <f>IF(ROW()&lt;=8,"",SUM(INDEX(Daily_Input!$I:$I,ROW()-6):INDEX(Daily_Input!$I:$I,ROW())))</f>
        <v>4</v>
      </c>
      <c r="S38" s="5">
        <f>IF(ROW()&lt;=15,"",SUM(INDEX(Daily_Input!$I:$I,ROW()-13):INDEX(Daily_Input!$I:$I,ROW())))</f>
        <v>134.20000000000002</v>
      </c>
      <c r="T38" s="5">
        <f>IF(ROW()&lt;=4,"",AVERAGE(INDEX(Daily_Input!$F:$F,ROW()-2):INDEX(Daily_Input!$F:$F,ROW())))</f>
        <v>45321.390875937359</v>
      </c>
      <c r="U38" s="5">
        <f>IF(ROW()&lt;=2+0,"",INDEX(Daily_Input!$G:$G,ROW()-1))</f>
        <v>15019.2</v>
      </c>
      <c r="V38" s="5">
        <f>IF(ROW()&lt;=2+0,"",INDEX(Daily_Input!$H:$H,ROW()-1))</f>
        <v>27990.863140000001</v>
      </c>
      <c r="W38" s="5">
        <f>IF(ROW()&lt;=2+1,"",INDEX(Daily_Input!$G:$G,ROW()-2))</f>
        <v>15019.2</v>
      </c>
      <c r="X38" s="5">
        <f>IF(ROW()&lt;=2+1,"",INDEX(Daily_Input!$H:$H,ROW()-2))</f>
        <v>91869.173120000007</v>
      </c>
      <c r="Y38" s="5">
        <f>IF(ROW()&lt;=2+2,"",INDEX(Daily_Input!$G:$G,ROW()-3))</f>
        <v>15019.2</v>
      </c>
      <c r="Z38" s="5">
        <f>IF(ROW()&lt;=2+2,"",INDEX(Daily_Input!$H:$H,ROW()-3))</f>
        <v>173079.52970000001</v>
      </c>
      <c r="AA38" s="5">
        <f>Daily_Input!N38</f>
        <v>9.8949999999999996</v>
      </c>
      <c r="AB38" s="5">
        <f>Daily_Input!O38</f>
        <v>4.4790000000000001</v>
      </c>
      <c r="AC38" s="5">
        <f>Daily_Input!P38</f>
        <v>30.931999999999999</v>
      </c>
      <c r="AD38" s="5">
        <f t="shared" si="1"/>
        <v>45.305999999999997</v>
      </c>
      <c r="AE38" s="5">
        <f t="shared" si="2"/>
        <v>30.931999999999999</v>
      </c>
      <c r="AF38" s="5">
        <f>IF(A38="","",IFERROR(INDEX(Daily_Input!$F:$F,ROW()+1),""))</f>
        <v>4150.6586277247634</v>
      </c>
      <c r="AG38" s="5">
        <f>IF(A38="","",IFERROR(INDEX(Daily_Input!$F:$F,ROW()+2),""))</f>
        <v>6751.3854260954186</v>
      </c>
      <c r="AH38" s="5">
        <f>IF(A38="","",IFERROR(INDEX(Daily_Input!$F:$F,ROW()+3),""))</f>
        <v>6105.1441541046324</v>
      </c>
    </row>
    <row r="39" spans="1:34">
      <c r="A39" s="5">
        <f>Daily_Input!A39</f>
        <v>45876</v>
      </c>
      <c r="B39" s="5">
        <f>Daily_Input!F39</f>
        <v>4150.6586277247634</v>
      </c>
      <c r="C39" s="5">
        <f>Daily_Input!D39</f>
        <v>489.517</v>
      </c>
      <c r="D39" s="5">
        <f>Daily_Input!E39</f>
        <v>1616447.3000027</v>
      </c>
      <c r="E39" s="5" cm="1">
        <f t="array" ref="E39">IF(ROW()=2,"",INDEX(Daily_Input!$E:$E,ROW())-INDEX(Daily_Input!$E:$E,ROW()-1))</f>
        <v>-12025.005750500131</v>
      </c>
      <c r="F39" s="5">
        <f>IFERROR(Daily_Input!E39/Config!$B$4,"")</f>
        <v>0.99445299289696998</v>
      </c>
      <c r="G39" s="5">
        <f>Daily_Input!I39</f>
        <v>0</v>
      </c>
      <c r="H39" s="5">
        <f>IF(A39="","",IF(ROW()=2,G39,Config!$B$5*H38+G39))</f>
        <v>163.08019716004088</v>
      </c>
      <c r="I39" s="5">
        <f t="shared" si="0"/>
        <v>219</v>
      </c>
      <c r="J39" s="5">
        <f>IF(I39="","",SIN(2*PI()*I39/Config!$B$6))</f>
        <v>-0.58778525229247336</v>
      </c>
      <c r="K39" s="5">
        <f>IF(I39="","",COS(2*PI()*I39/Config!$B$6))</f>
        <v>-0.80901699437494723</v>
      </c>
      <c r="L39" s="5">
        <f>IF(ROW()&lt;=2+0,"",INDEX(Daily_Input!$F:$F,ROW()-1))</f>
        <v>7940.2258578997953</v>
      </c>
      <c r="M39" s="5">
        <f>IF(ROW()&lt;=2+1,"",INDEX(Daily_Input!$F:$F,ROW()-2))</f>
        <v>32089.468438052176</v>
      </c>
      <c r="N39" s="5">
        <f>IF(ROW()&lt;=2+2,"",INDEX(Daily_Input!$F:$F,ROW()-3))</f>
        <v>95934.478331860097</v>
      </c>
      <c r="O39" s="5">
        <f>IF(ROW()&lt;=2+6,"",INDEX(Daily_Input!$F:$F,ROW()-7))</f>
        <v>524269.63406137016</v>
      </c>
      <c r="P39" s="5">
        <f>IF(ROW()&lt;=2+13,"",INDEX(Daily_Input!$F:$F,ROW()-14))</f>
        <v>1123235.0312024173</v>
      </c>
      <c r="Q39" s="5">
        <f>IF(ROW()&lt;=4,"",SUM(INDEX(Daily_Input!$I:$I,ROW()-2):INDEX(Daily_Input!$I:$I,ROW())))</f>
        <v>2</v>
      </c>
      <c r="R39" s="5">
        <f>IF(ROW()&lt;=8,"",SUM(INDEX(Daily_Input!$I:$I,ROW()-6):INDEX(Daily_Input!$I:$I,ROW())))</f>
        <v>3.6</v>
      </c>
      <c r="S39" s="5">
        <f>IF(ROW()&lt;=15,"",SUM(INDEX(Daily_Input!$I:$I,ROW()-13):INDEX(Daily_Input!$I:$I,ROW())))</f>
        <v>94.4</v>
      </c>
      <c r="T39" s="5">
        <f>IF(ROW()&lt;=4,"",AVERAGE(INDEX(Daily_Input!$F:$F,ROW()-2):INDEX(Daily_Input!$F:$F,ROW())))</f>
        <v>14726.784307892245</v>
      </c>
      <c r="U39" s="5">
        <f>IF(ROW()&lt;=2+0,"",INDEX(Daily_Input!$G:$G,ROW()-1))</f>
        <v>15019.2</v>
      </c>
      <c r="V39" s="5">
        <f>IF(ROW()&lt;=2+0,"",INDEX(Daily_Input!$H:$H,ROW()-1))</f>
        <v>1398.950652</v>
      </c>
      <c r="W39" s="5">
        <f>IF(ROW()&lt;=2+1,"",INDEX(Daily_Input!$G:$G,ROW()-2))</f>
        <v>15019.2</v>
      </c>
      <c r="X39" s="5">
        <f>IF(ROW()&lt;=2+1,"",INDEX(Daily_Input!$H:$H,ROW()-2))</f>
        <v>27990.863140000001</v>
      </c>
      <c r="Y39" s="5">
        <f>IF(ROW()&lt;=2+2,"",INDEX(Daily_Input!$G:$G,ROW()-3))</f>
        <v>15019.2</v>
      </c>
      <c r="Z39" s="5">
        <f>IF(ROW()&lt;=2+2,"",INDEX(Daily_Input!$H:$H,ROW()-3))</f>
        <v>91869.173120000007</v>
      </c>
      <c r="AA39" s="5">
        <f>Daily_Input!N39</f>
        <v>4.4790000000000001</v>
      </c>
      <c r="AB39" s="5">
        <f>Daily_Input!O39</f>
        <v>30.931999999999999</v>
      </c>
      <c r="AC39" s="5">
        <f>Daily_Input!P39</f>
        <v>6.6890000000000001</v>
      </c>
      <c r="AD39" s="5">
        <f t="shared" si="1"/>
        <v>42.1</v>
      </c>
      <c r="AE39" s="5">
        <f t="shared" si="2"/>
        <v>30.931999999999999</v>
      </c>
      <c r="AF39" s="5">
        <f>IF(A39="","",IFERROR(INDEX(Daily_Input!$F:$F,ROW()+1),""))</f>
        <v>6751.3854260954186</v>
      </c>
      <c r="AG39" s="5">
        <f>IF(A39="","",IFERROR(INDEX(Daily_Input!$F:$F,ROW()+2),""))</f>
        <v>6105.1441541046324</v>
      </c>
      <c r="AH39" s="5">
        <f>IF(A39="","",IFERROR(INDEX(Daily_Input!$F:$F,ROW()+3),""))</f>
        <v>7134.9206135948634</v>
      </c>
    </row>
    <row r="40" spans="1:34">
      <c r="A40" s="5">
        <f>Daily_Input!A40</f>
        <v>45877</v>
      </c>
      <c r="B40" s="5">
        <f>Daily_Input!F40</f>
        <v>6751.3854260954186</v>
      </c>
      <c r="C40" s="5">
        <f>Daily_Input!D40</f>
        <v>489.48599999999999</v>
      </c>
      <c r="D40" s="5">
        <f>Daily_Input!E40</f>
        <v>1607444.5930314001</v>
      </c>
      <c r="E40" s="5" cm="1">
        <f t="array" ref="E40">IF(ROW()=2,"",INDEX(Daily_Input!$E:$E,ROW())-INDEX(Daily_Input!$E:$E,ROW()-1))</f>
        <v>-9002.7069712998345</v>
      </c>
      <c r="F40" s="5">
        <f>IFERROR(Daily_Input!E40/Config!$B$4,"")</f>
        <v>0.98891444617678392</v>
      </c>
      <c r="G40" s="5">
        <f>Daily_Input!I40</f>
        <v>1.4</v>
      </c>
      <c r="H40" s="5">
        <f>IF(A40="","",IF(ROW()=2,G40,Config!$B$5*H39+G40))</f>
        <v>156.32618730203885</v>
      </c>
      <c r="I40" s="5">
        <f t="shared" si="0"/>
        <v>220</v>
      </c>
      <c r="J40" s="5">
        <f>IF(I40="","",SIN(2*PI()*I40/Config!$B$6))</f>
        <v>-0.60162406322492268</v>
      </c>
      <c r="K40" s="5">
        <f>IF(I40="","",COS(2*PI()*I40/Config!$B$6))</f>
        <v>-0.7987793728863648</v>
      </c>
      <c r="L40" s="5">
        <f>IF(ROW()&lt;=2+0,"",INDEX(Daily_Input!$F:$F,ROW()-1))</f>
        <v>4150.6586277247634</v>
      </c>
      <c r="M40" s="5">
        <f>IF(ROW()&lt;=2+1,"",INDEX(Daily_Input!$F:$F,ROW()-2))</f>
        <v>7940.2258578997953</v>
      </c>
      <c r="N40" s="5">
        <f>IF(ROW()&lt;=2+2,"",INDEX(Daily_Input!$F:$F,ROW()-3))</f>
        <v>32089.468438052176</v>
      </c>
      <c r="O40" s="5">
        <f>IF(ROW()&lt;=2+6,"",INDEX(Daily_Input!$F:$F,ROW()-7))</f>
        <v>376758.49060792051</v>
      </c>
      <c r="P40" s="5">
        <f>IF(ROW()&lt;=2+13,"",INDEX(Daily_Input!$F:$F,ROW()-14))</f>
        <v>618651.26273834216</v>
      </c>
      <c r="Q40" s="5">
        <f>IF(ROW()&lt;=4,"",SUM(INDEX(Daily_Input!$I:$I,ROW()-2):INDEX(Daily_Input!$I:$I,ROW())))</f>
        <v>3.4</v>
      </c>
      <c r="R40" s="5">
        <f>IF(ROW()&lt;=8,"",SUM(INDEX(Daily_Input!$I:$I,ROW()-6):INDEX(Daily_Input!$I:$I,ROW())))</f>
        <v>3.4</v>
      </c>
      <c r="S40" s="5">
        <f>IF(ROW()&lt;=15,"",SUM(INDEX(Daily_Input!$I:$I,ROW()-13):INDEX(Daily_Input!$I:$I,ROW())))</f>
        <v>87</v>
      </c>
      <c r="T40" s="5">
        <f>IF(ROW()&lt;=4,"",AVERAGE(INDEX(Daily_Input!$F:$F,ROW()-2):INDEX(Daily_Input!$F:$F,ROW())))</f>
        <v>6280.7566372399924</v>
      </c>
      <c r="U40" s="5">
        <f>IF(ROW()&lt;=2+0,"",INDEX(Daily_Input!$G:$G,ROW()-1))</f>
        <v>15019.2</v>
      </c>
      <c r="V40" s="5">
        <f>IF(ROW()&lt;=2+0,"",INDEX(Daily_Input!$H:$H,ROW()-1))</f>
        <v>0</v>
      </c>
      <c r="W40" s="5">
        <f>IF(ROW()&lt;=2+1,"",INDEX(Daily_Input!$G:$G,ROW()-2))</f>
        <v>15019.2</v>
      </c>
      <c r="X40" s="5">
        <f>IF(ROW()&lt;=2+1,"",INDEX(Daily_Input!$H:$H,ROW()-2))</f>
        <v>1398.950652</v>
      </c>
      <c r="Y40" s="5">
        <f>IF(ROW()&lt;=2+2,"",INDEX(Daily_Input!$G:$G,ROW()-3))</f>
        <v>15019.2</v>
      </c>
      <c r="Z40" s="5">
        <f>IF(ROW()&lt;=2+2,"",INDEX(Daily_Input!$H:$H,ROW()-3))</f>
        <v>27990.863140000001</v>
      </c>
      <c r="AA40" s="5">
        <f>Daily_Input!N40</f>
        <v>30.931999999999999</v>
      </c>
      <c r="AB40" s="5">
        <f>Daily_Input!O40</f>
        <v>6.6890000000000001</v>
      </c>
      <c r="AC40" s="5">
        <f>Daily_Input!P40</f>
        <v>6.0970000000000004</v>
      </c>
      <c r="AD40" s="5">
        <f t="shared" si="1"/>
        <v>43.717999999999996</v>
      </c>
      <c r="AE40" s="5">
        <f t="shared" si="2"/>
        <v>30.931999999999999</v>
      </c>
      <c r="AF40" s="5">
        <f>IF(A40="","",IFERROR(INDEX(Daily_Input!$F:$F,ROW()+1),""))</f>
        <v>6105.1441541046324</v>
      </c>
      <c r="AG40" s="5">
        <f>IF(A40="","",IFERROR(INDEX(Daily_Input!$F:$F,ROW()+2),""))</f>
        <v>7134.9206135948634</v>
      </c>
      <c r="AH40" s="5">
        <f>IF(A40="","",IFERROR(INDEX(Daily_Input!$F:$F,ROW()+3),""))</f>
        <v>4248.5923766174883</v>
      </c>
    </row>
    <row r="41" spans="1:34">
      <c r="A41" s="5">
        <f>Daily_Input!A41</f>
        <v>45878</v>
      </c>
      <c r="B41" s="5">
        <f>Daily_Input!F41</f>
        <v>6105.1441541046324</v>
      </c>
      <c r="C41" s="5">
        <f>Daily_Input!D41</f>
        <v>489.45400000000001</v>
      </c>
      <c r="D41" s="5">
        <f>Daily_Input!E41</f>
        <v>1598455.4724355999</v>
      </c>
      <c r="E41" s="5" cm="1">
        <f t="array" ref="E41">IF(ROW()=2,"",INDEX(Daily_Input!$E:$E,ROW())-INDEX(Daily_Input!$E:$E,ROW()-1))</f>
        <v>-8989.1205958002247</v>
      </c>
      <c r="F41" s="5">
        <f>IFERROR(Daily_Input!E41/Config!$B$4,"")</f>
        <v>0.98338425791763662</v>
      </c>
      <c r="G41" s="5">
        <f>Daily_Input!I41</f>
        <v>3.6</v>
      </c>
      <c r="H41" s="5">
        <f>IF(A41="","",IF(ROW()=2,G41,Config!$B$5*H40+G41))</f>
        <v>152.1098779369369</v>
      </c>
      <c r="I41" s="5">
        <f t="shared" si="0"/>
        <v>221</v>
      </c>
      <c r="J41" s="5">
        <f>IF(I41="","",SIN(2*PI()*I41/Config!$B$6))</f>
        <v>-0.61528459996332774</v>
      </c>
      <c r="K41" s="5">
        <f>IF(I41="","",COS(2*PI()*I41/Config!$B$6))</f>
        <v>-0.78830505583052535</v>
      </c>
      <c r="L41" s="5">
        <f>IF(ROW()&lt;=2+0,"",INDEX(Daily_Input!$F:$F,ROW()-1))</f>
        <v>6751.3854260954186</v>
      </c>
      <c r="M41" s="5">
        <f>IF(ROW()&lt;=2+1,"",INDEX(Daily_Input!$F:$F,ROW()-2))</f>
        <v>4150.6586277247634</v>
      </c>
      <c r="N41" s="5">
        <f>IF(ROW()&lt;=2+2,"",INDEX(Daily_Input!$F:$F,ROW()-3))</f>
        <v>7940.2258578997953</v>
      </c>
      <c r="O41" s="5">
        <f>IF(ROW()&lt;=2+6,"",INDEX(Daily_Input!$F:$F,ROW()-7))</f>
        <v>279414.65755679697</v>
      </c>
      <c r="P41" s="5">
        <f>IF(ROW()&lt;=2+13,"",INDEX(Daily_Input!$F:$F,ROW()-14))</f>
        <v>482554.30601834954</v>
      </c>
      <c r="Q41" s="5">
        <f>IF(ROW()&lt;=4,"",SUM(INDEX(Daily_Input!$I:$I,ROW()-2):INDEX(Daily_Input!$I:$I,ROW())))</f>
        <v>5</v>
      </c>
      <c r="R41" s="5">
        <f>IF(ROW()&lt;=8,"",SUM(INDEX(Daily_Input!$I:$I,ROW()-6):INDEX(Daily_Input!$I:$I,ROW())))</f>
        <v>7</v>
      </c>
      <c r="S41" s="5">
        <f>IF(ROW()&lt;=15,"",SUM(INDEX(Daily_Input!$I:$I,ROW()-13):INDEX(Daily_Input!$I:$I,ROW())))</f>
        <v>84.6</v>
      </c>
      <c r="T41" s="5">
        <f>IF(ROW()&lt;=4,"",AVERAGE(INDEX(Daily_Input!$F:$F,ROW()-2):INDEX(Daily_Input!$F:$F,ROW())))</f>
        <v>5669.0627359749378</v>
      </c>
      <c r="U41" s="5">
        <f>IF(ROW()&lt;=2+0,"",INDEX(Daily_Input!$G:$G,ROW()-1))</f>
        <v>15019.2</v>
      </c>
      <c r="V41" s="5">
        <f>IF(ROW()&lt;=2+0,"",INDEX(Daily_Input!$H:$H,ROW()-1))</f>
        <v>0</v>
      </c>
      <c r="W41" s="5">
        <f>IF(ROW()&lt;=2+1,"",INDEX(Daily_Input!$G:$G,ROW()-2))</f>
        <v>15019.2</v>
      </c>
      <c r="X41" s="5">
        <f>IF(ROW()&lt;=2+1,"",INDEX(Daily_Input!$H:$H,ROW()-2))</f>
        <v>0</v>
      </c>
      <c r="Y41" s="5">
        <f>IF(ROW()&lt;=2+2,"",INDEX(Daily_Input!$G:$G,ROW()-3))</f>
        <v>15019.2</v>
      </c>
      <c r="Z41" s="5">
        <f>IF(ROW()&lt;=2+2,"",INDEX(Daily_Input!$H:$H,ROW()-3))</f>
        <v>1398.950652</v>
      </c>
      <c r="AA41" s="5">
        <f>Daily_Input!N41</f>
        <v>6.6890000000000001</v>
      </c>
      <c r="AB41" s="5">
        <f>Daily_Input!O41</f>
        <v>6.0970000000000004</v>
      </c>
      <c r="AC41" s="5">
        <f>Daily_Input!P41</f>
        <v>3.68</v>
      </c>
      <c r="AD41" s="5">
        <f t="shared" si="1"/>
        <v>16.466000000000001</v>
      </c>
      <c r="AE41" s="5">
        <f t="shared" si="2"/>
        <v>6.6890000000000001</v>
      </c>
      <c r="AF41" s="5">
        <f>IF(A41="","",IFERROR(INDEX(Daily_Input!$F:$F,ROW()+1),""))</f>
        <v>7134.9206135948634</v>
      </c>
      <c r="AG41" s="5">
        <f>IF(A41="","",IFERROR(INDEX(Daily_Input!$F:$F,ROW()+2),""))</f>
        <v>4248.5923766174883</v>
      </c>
      <c r="AH41" s="5">
        <f>IF(A41="","",IFERROR(INDEX(Daily_Input!$F:$F,ROW()+3),""))</f>
        <v>13195.054832284008</v>
      </c>
    </row>
    <row r="42" spans="1:34">
      <c r="A42" s="5">
        <f>Daily_Input!A42</f>
        <v>45879</v>
      </c>
      <c r="B42" s="5">
        <f>Daily_Input!F42</f>
        <v>7134.9206135948634</v>
      </c>
      <c r="C42" s="5">
        <f>Daily_Input!D42</f>
        <v>489.42099999999999</v>
      </c>
      <c r="D42" s="5">
        <f>Daily_Input!E42</f>
        <v>1589479.7778056001</v>
      </c>
      <c r="E42" s="5" cm="1">
        <f t="array" ref="E42">IF(ROW()=2,"",INDEX(Daily_Input!$E:$E,ROW())-INDEX(Daily_Input!$E:$E,ROW()-1))</f>
        <v>-8975.694629999809</v>
      </c>
      <c r="F42" s="5">
        <f>IFERROR(Daily_Input!E42/Config!$B$4,"")</f>
        <v>0.97786232943403084</v>
      </c>
      <c r="G42" s="5">
        <f>Daily_Input!I42</f>
        <v>0.2</v>
      </c>
      <c r="H42" s="5">
        <f>IF(A42="","",IF(ROW()=2,G42,Config!$B$5*H41+G42))</f>
        <v>144.70438404009005</v>
      </c>
      <c r="I42" s="5">
        <f t="shared" si="0"/>
        <v>222</v>
      </c>
      <c r="J42" s="5">
        <f>IF(I42="","",SIN(2*PI()*I42/Config!$B$6))</f>
        <v>-0.6287628145958345</v>
      </c>
      <c r="K42" s="5">
        <f>IF(I42="","",COS(2*PI()*I42/Config!$B$6))</f>
        <v>-0.77759714697362681</v>
      </c>
      <c r="L42" s="5">
        <f>IF(ROW()&lt;=2+0,"",INDEX(Daily_Input!$F:$F,ROW()-1))</f>
        <v>6105.1441541046324</v>
      </c>
      <c r="M42" s="5">
        <f>IF(ROW()&lt;=2+1,"",INDEX(Daily_Input!$F:$F,ROW()-2))</f>
        <v>6751.3854260954186</v>
      </c>
      <c r="N42" s="5">
        <f>IF(ROW()&lt;=2+2,"",INDEX(Daily_Input!$F:$F,ROW()-3))</f>
        <v>4150.6586277247634</v>
      </c>
      <c r="O42" s="5">
        <f>IF(ROW()&lt;=2+6,"",INDEX(Daily_Input!$F:$F,ROW()-7))</f>
        <v>177123.0132425187</v>
      </c>
      <c r="P42" s="5">
        <f>IF(ROW()&lt;=2+13,"",INDEX(Daily_Input!$F:$F,ROW()-14))</f>
        <v>569451.16057343001</v>
      </c>
      <c r="Q42" s="5">
        <f>IF(ROW()&lt;=4,"",SUM(INDEX(Daily_Input!$I:$I,ROW()-2):INDEX(Daily_Input!$I:$I,ROW())))</f>
        <v>5.2</v>
      </c>
      <c r="R42" s="5">
        <f>IF(ROW()&lt;=8,"",SUM(INDEX(Daily_Input!$I:$I,ROW()-6):INDEX(Daily_Input!$I:$I,ROW())))</f>
        <v>7.2</v>
      </c>
      <c r="S42" s="5">
        <f>IF(ROW()&lt;=15,"",SUM(INDEX(Daily_Input!$I:$I,ROW()-13):INDEX(Daily_Input!$I:$I,ROW())))</f>
        <v>84.8</v>
      </c>
      <c r="T42" s="5">
        <f>IF(ROW()&lt;=4,"",AVERAGE(INDEX(Daily_Input!$F:$F,ROW()-2):INDEX(Daily_Input!$F:$F,ROW())))</f>
        <v>6663.8167312649712</v>
      </c>
      <c r="U42" s="5">
        <f>IF(ROW()&lt;=2+0,"",INDEX(Daily_Input!$G:$G,ROW()-1))</f>
        <v>15019.2</v>
      </c>
      <c r="V42" s="5">
        <f>IF(ROW()&lt;=2+0,"",INDEX(Daily_Input!$H:$H,ROW()-1))</f>
        <v>0</v>
      </c>
      <c r="W42" s="5">
        <f>IF(ROW()&lt;=2+1,"",INDEX(Daily_Input!$G:$G,ROW()-2))</f>
        <v>15019.2</v>
      </c>
      <c r="X42" s="5">
        <f>IF(ROW()&lt;=2+1,"",INDEX(Daily_Input!$H:$H,ROW()-2))</f>
        <v>0</v>
      </c>
      <c r="Y42" s="5">
        <f>IF(ROW()&lt;=2+2,"",INDEX(Daily_Input!$G:$G,ROW()-3))</f>
        <v>15019.2</v>
      </c>
      <c r="Z42" s="5">
        <f>IF(ROW()&lt;=2+2,"",INDEX(Daily_Input!$H:$H,ROW()-3))</f>
        <v>0</v>
      </c>
      <c r="AA42" s="5">
        <f>Daily_Input!N42</f>
        <v>6.0970000000000004</v>
      </c>
      <c r="AB42" s="5">
        <f>Daily_Input!O42</f>
        <v>3.68</v>
      </c>
      <c r="AC42" s="5">
        <f>Daily_Input!P42</f>
        <v>8.3989999999999991</v>
      </c>
      <c r="AD42" s="5">
        <f t="shared" si="1"/>
        <v>18.176000000000002</v>
      </c>
      <c r="AE42" s="5">
        <f t="shared" si="2"/>
        <v>8.3989999999999991</v>
      </c>
      <c r="AF42" s="5">
        <f>IF(A42="","",IFERROR(INDEX(Daily_Input!$F:$F,ROW()+1),""))</f>
        <v>4248.5923766174883</v>
      </c>
      <c r="AG42" s="5">
        <f>IF(A42="","",IFERROR(INDEX(Daily_Input!$F:$F,ROW()+2),""))</f>
        <v>13195.054832284008</v>
      </c>
      <c r="AH42" s="5">
        <f>IF(A42="","",IFERROR(INDEX(Daily_Input!$F:$F,ROW()+3),""))</f>
        <v>58290.831188900927</v>
      </c>
    </row>
    <row r="43" spans="1:34">
      <c r="A43" s="5">
        <f>Daily_Input!A43</f>
        <v>45880</v>
      </c>
      <c r="B43" s="5">
        <f>Daily_Input!F43</f>
        <v>4248.5923766174883</v>
      </c>
      <c r="C43" s="5">
        <f>Daily_Input!D43</f>
        <v>489.38299999999998</v>
      </c>
      <c r="D43" s="5">
        <f>Daily_Input!E43</f>
        <v>1577566.834908</v>
      </c>
      <c r="E43" s="5" cm="1">
        <f t="array" ref="E43">IF(ROW()=2,"",INDEX(Daily_Input!$E:$E,ROW())-INDEX(Daily_Input!$E:$E,ROW()-1))</f>
        <v>-11912.942897600122</v>
      </c>
      <c r="F43" s="5">
        <f>IFERROR(Daily_Input!E43/Config!$B$4,"")</f>
        <v>0.97053337926119854</v>
      </c>
      <c r="G43" s="5">
        <f>Daily_Input!I43</f>
        <v>0</v>
      </c>
      <c r="H43" s="5">
        <f>IF(A43="","",IF(ROW()=2,G43,Config!$B$5*H42+G43))</f>
        <v>137.46916483808553</v>
      </c>
      <c r="I43" s="5">
        <f t="shared" si="0"/>
        <v>223</v>
      </c>
      <c r="J43" s="5">
        <f>IF(I43="","",SIN(2*PI()*I43/Config!$B$6))</f>
        <v>-0.6420547132365636</v>
      </c>
      <c r="K43" s="5">
        <f>IF(I43="","",COS(2*PI()*I43/Config!$B$6))</f>
        <v>-0.76665881930015922</v>
      </c>
      <c r="L43" s="5">
        <f>IF(ROW()&lt;=2+0,"",INDEX(Daily_Input!$F:$F,ROW()-1))</f>
        <v>7134.9206135948634</v>
      </c>
      <c r="M43" s="5">
        <f>IF(ROW()&lt;=2+1,"",INDEX(Daily_Input!$F:$F,ROW()-2))</f>
        <v>6105.1441541046324</v>
      </c>
      <c r="N43" s="5">
        <f>IF(ROW()&lt;=2+2,"",INDEX(Daily_Input!$F:$F,ROW()-3))</f>
        <v>6751.3854260954186</v>
      </c>
      <c r="O43" s="5">
        <f>IF(ROW()&lt;=2+6,"",INDEX(Daily_Input!$F:$F,ROW()-7))</f>
        <v>95934.478331860097</v>
      </c>
      <c r="P43" s="5">
        <f>IF(ROW()&lt;=2+13,"",INDEX(Daily_Input!$F:$F,ROW()-14))</f>
        <v>1013858.9276642874</v>
      </c>
      <c r="Q43" s="5">
        <f>IF(ROW()&lt;=4,"",SUM(INDEX(Daily_Input!$I:$I,ROW()-2):INDEX(Daily_Input!$I:$I,ROW())))</f>
        <v>3.8000000000000003</v>
      </c>
      <c r="R43" s="5">
        <f>IF(ROW()&lt;=8,"",SUM(INDEX(Daily_Input!$I:$I,ROW()-6):INDEX(Daily_Input!$I:$I,ROW())))</f>
        <v>7.2</v>
      </c>
      <c r="S43" s="5">
        <f>IF(ROW()&lt;=15,"",SUM(INDEX(Daily_Input!$I:$I,ROW()-13):INDEX(Daily_Input!$I:$I,ROW())))</f>
        <v>34.4</v>
      </c>
      <c r="T43" s="5">
        <f>IF(ROW()&lt;=4,"",AVERAGE(INDEX(Daily_Input!$F:$F,ROW()-2):INDEX(Daily_Input!$F:$F,ROW())))</f>
        <v>5829.5523814389953</v>
      </c>
      <c r="U43" s="5">
        <f>IF(ROW()&lt;=2+0,"",INDEX(Daily_Input!$G:$G,ROW()-1))</f>
        <v>15019.2</v>
      </c>
      <c r="V43" s="5">
        <f>IF(ROW()&lt;=2+0,"",INDEX(Daily_Input!$H:$H,ROW()-1))</f>
        <v>0</v>
      </c>
      <c r="W43" s="5">
        <f>IF(ROW()&lt;=2+1,"",INDEX(Daily_Input!$G:$G,ROW()-2))</f>
        <v>15019.2</v>
      </c>
      <c r="X43" s="5">
        <f>IF(ROW()&lt;=2+1,"",INDEX(Daily_Input!$H:$H,ROW()-2))</f>
        <v>0</v>
      </c>
      <c r="Y43" s="5">
        <f>IF(ROW()&lt;=2+2,"",INDEX(Daily_Input!$G:$G,ROW()-3))</f>
        <v>15019.2</v>
      </c>
      <c r="Z43" s="5">
        <f>IF(ROW()&lt;=2+2,"",INDEX(Daily_Input!$H:$H,ROW()-3))</f>
        <v>0</v>
      </c>
      <c r="AA43" s="5">
        <f>Daily_Input!N43</f>
        <v>3.68</v>
      </c>
      <c r="AB43" s="5">
        <f>Daily_Input!O43</f>
        <v>8.3989999999999991</v>
      </c>
      <c r="AC43" s="5">
        <f>Daily_Input!P43</f>
        <v>10.891999999999999</v>
      </c>
      <c r="AD43" s="5">
        <f t="shared" si="1"/>
        <v>22.970999999999997</v>
      </c>
      <c r="AE43" s="5">
        <f t="shared" si="2"/>
        <v>10.891999999999999</v>
      </c>
      <c r="AF43" s="5">
        <f>IF(A43="","",IFERROR(INDEX(Daily_Input!$F:$F,ROW()+1),""))</f>
        <v>13195.054832284008</v>
      </c>
      <c r="AG43" s="5">
        <f>IF(A43="","",IFERROR(INDEX(Daily_Input!$F:$F,ROW()+2),""))</f>
        <v>58290.831188900927</v>
      </c>
      <c r="AH43" s="5">
        <f>IF(A43="","",IFERROR(INDEX(Daily_Input!$F:$F,ROW()+3),""))</f>
        <v>98994.809420294972</v>
      </c>
    </row>
    <row r="44" spans="1:34">
      <c r="A44" s="5">
        <f>Daily_Input!A44</f>
        <v>45881</v>
      </c>
      <c r="B44" s="5">
        <f>Daily_Input!F44</f>
        <v>13195.054832284008</v>
      </c>
      <c r="C44" s="5">
        <f>Daily_Input!D44</f>
        <v>489.37099999999998</v>
      </c>
      <c r="D44" s="5">
        <f>Daily_Input!E44</f>
        <v>1574601.0268989</v>
      </c>
      <c r="E44" s="5" cm="1">
        <f t="array" ref="E44">IF(ROW()=2,"",INDEX(Daily_Input!$E:$E,ROW())-INDEX(Daily_Input!$E:$E,ROW()-1))</f>
        <v>-2965.8080090999138</v>
      </c>
      <c r="F44" s="5">
        <f>IFERROR(Daily_Input!E44/Config!$B$4,"")</f>
        <v>0.96870878736079924</v>
      </c>
      <c r="G44" s="5">
        <f>Daily_Input!I44</f>
        <v>0</v>
      </c>
      <c r="H44" s="5">
        <f>IF(A44="","",IF(ROW()=2,G44,Config!$B$5*H43+G44))</f>
        <v>130.59570659618126</v>
      </c>
      <c r="I44" s="5">
        <f t="shared" si="0"/>
        <v>224</v>
      </c>
      <c r="J44" s="5">
        <f>IF(I44="","",SIN(2*PI()*I44/Config!$B$6))</f>
        <v>-0.65515635720908505</v>
      </c>
      <c r="K44" s="5">
        <f>IF(I44="","",COS(2*PI()*I44/Config!$B$6))</f>
        <v>-0.75549331407268039</v>
      </c>
      <c r="L44" s="5">
        <f>IF(ROW()&lt;=2+0,"",INDEX(Daily_Input!$F:$F,ROW()-1))</f>
        <v>4248.5923766174883</v>
      </c>
      <c r="M44" s="5">
        <f>IF(ROW()&lt;=2+1,"",INDEX(Daily_Input!$F:$F,ROW()-2))</f>
        <v>7134.9206135948634</v>
      </c>
      <c r="N44" s="5">
        <f>IF(ROW()&lt;=2+2,"",INDEX(Daily_Input!$F:$F,ROW()-3))</f>
        <v>6105.1441541046324</v>
      </c>
      <c r="O44" s="5">
        <f>IF(ROW()&lt;=2+6,"",INDEX(Daily_Input!$F:$F,ROW()-7))</f>
        <v>32089.468438052176</v>
      </c>
      <c r="P44" s="5">
        <f>IF(ROW()&lt;=2+13,"",INDEX(Daily_Input!$F:$F,ROW()-14))</f>
        <v>693172.30903480761</v>
      </c>
      <c r="Q44" s="5">
        <f>IF(ROW()&lt;=4,"",SUM(INDEX(Daily_Input!$I:$I,ROW()-2):INDEX(Daily_Input!$I:$I,ROW())))</f>
        <v>0.2</v>
      </c>
      <c r="R44" s="5">
        <f>IF(ROW()&lt;=8,"",SUM(INDEX(Daily_Input!$I:$I,ROW()-6):INDEX(Daily_Input!$I:$I,ROW())))</f>
        <v>7.2</v>
      </c>
      <c r="S44" s="5">
        <f>IF(ROW()&lt;=15,"",SUM(INDEX(Daily_Input!$I:$I,ROW()-13):INDEX(Daily_Input!$I:$I,ROW())))</f>
        <v>34</v>
      </c>
      <c r="T44" s="5">
        <f>IF(ROW()&lt;=4,"",AVERAGE(INDEX(Daily_Input!$F:$F,ROW()-2):INDEX(Daily_Input!$F:$F,ROW())))</f>
        <v>8192.8559408321198</v>
      </c>
      <c r="U44" s="5">
        <f>IF(ROW()&lt;=2+0,"",INDEX(Daily_Input!$G:$G,ROW()-1))</f>
        <v>15019.2</v>
      </c>
      <c r="V44" s="5">
        <f>IF(ROW()&lt;=2+0,"",INDEX(Daily_Input!$H:$H,ROW()-1))</f>
        <v>0</v>
      </c>
      <c r="W44" s="5">
        <f>IF(ROW()&lt;=2+1,"",INDEX(Daily_Input!$G:$G,ROW()-2))</f>
        <v>15019.2</v>
      </c>
      <c r="X44" s="5">
        <f>IF(ROW()&lt;=2+1,"",INDEX(Daily_Input!$H:$H,ROW()-2))</f>
        <v>0</v>
      </c>
      <c r="Y44" s="5">
        <f>IF(ROW()&lt;=2+2,"",INDEX(Daily_Input!$G:$G,ROW()-3))</f>
        <v>15019.2</v>
      </c>
      <c r="Z44" s="5">
        <f>IF(ROW()&lt;=2+2,"",INDEX(Daily_Input!$H:$H,ROW()-3))</f>
        <v>0</v>
      </c>
      <c r="AA44" s="5">
        <f>Daily_Input!N44</f>
        <v>8.3989999999999991</v>
      </c>
      <c r="AB44" s="5">
        <f>Daily_Input!O44</f>
        <v>10.891999999999999</v>
      </c>
      <c r="AC44" s="5">
        <f>Daily_Input!P44</f>
        <v>14.71</v>
      </c>
      <c r="AD44" s="5">
        <f t="shared" si="1"/>
        <v>34.000999999999998</v>
      </c>
      <c r="AE44" s="5">
        <f t="shared" si="2"/>
        <v>14.71</v>
      </c>
      <c r="AF44" s="5">
        <f>IF(A44="","",IFERROR(INDEX(Daily_Input!$F:$F,ROW()+1),""))</f>
        <v>58290.831188900927</v>
      </c>
      <c r="AG44" s="5">
        <f>IF(A44="","",IFERROR(INDEX(Daily_Input!$F:$F,ROW()+2),""))</f>
        <v>98994.809420294972</v>
      </c>
      <c r="AH44" s="5">
        <f>IF(A44="","",IFERROR(INDEX(Daily_Input!$F:$F,ROW()+3),""))</f>
        <v>124187.95301213139</v>
      </c>
    </row>
    <row r="45" spans="1:34">
      <c r="A45" s="5">
        <f>Daily_Input!A45</f>
        <v>45882</v>
      </c>
      <c r="B45" s="5">
        <f>Daily_Input!F45</f>
        <v>58290.831188900927</v>
      </c>
      <c r="C45" s="5">
        <f>Daily_Input!D45</f>
        <v>489.49200000000002</v>
      </c>
      <c r="D45" s="5">
        <f>Daily_Input!E45</f>
        <v>1610444.0173448001</v>
      </c>
      <c r="E45" s="5" cm="1">
        <f t="array" ref="E45">IF(ROW()=2,"",INDEX(Daily_Input!$E:$E,ROW())-INDEX(Daily_Input!$E:$E,ROW()-1))</f>
        <v>35842.99044590001</v>
      </c>
      <c r="F45" s="5">
        <f>IFERROR(Daily_Input!E45/Config!$B$4,"")</f>
        <v>0.99075971913150607</v>
      </c>
      <c r="G45" s="5">
        <f>Daily_Input!I45</f>
        <v>27</v>
      </c>
      <c r="H45" s="5">
        <f>IF(A45="","",IF(ROW()=2,G45,Config!$B$5*H44+G45))</f>
        <v>151.06592126637219</v>
      </c>
      <c r="I45" s="5">
        <f t="shared" si="0"/>
        <v>225</v>
      </c>
      <c r="J45" s="5">
        <f>IF(I45="","",SIN(2*PI()*I45/Config!$B$6))</f>
        <v>-0.66806386421353325</v>
      </c>
      <c r="K45" s="5">
        <f>IF(I45="","",COS(2*PI()*I45/Config!$B$6))</f>
        <v>-0.74410393987136081</v>
      </c>
      <c r="L45" s="5">
        <f>IF(ROW()&lt;=2+0,"",INDEX(Daily_Input!$F:$F,ROW()-1))</f>
        <v>13195.054832284008</v>
      </c>
      <c r="M45" s="5">
        <f>IF(ROW()&lt;=2+1,"",INDEX(Daily_Input!$F:$F,ROW()-2))</f>
        <v>4248.5923766174883</v>
      </c>
      <c r="N45" s="5">
        <f>IF(ROW()&lt;=2+2,"",INDEX(Daily_Input!$F:$F,ROW()-3))</f>
        <v>7134.9206135948634</v>
      </c>
      <c r="O45" s="5">
        <f>IF(ROW()&lt;=2+6,"",INDEX(Daily_Input!$F:$F,ROW()-7))</f>
        <v>7940.2258578997953</v>
      </c>
      <c r="P45" s="5">
        <f>IF(ROW()&lt;=2+13,"",INDEX(Daily_Input!$F:$F,ROW()-14))</f>
        <v>814190.42860791693</v>
      </c>
      <c r="Q45" s="5">
        <f>IF(ROW()&lt;=4,"",SUM(INDEX(Daily_Input!$I:$I,ROW()-2):INDEX(Daily_Input!$I:$I,ROW())))</f>
        <v>27</v>
      </c>
      <c r="R45" s="5">
        <f>IF(ROW()&lt;=8,"",SUM(INDEX(Daily_Input!$I:$I,ROW()-6):INDEX(Daily_Input!$I:$I,ROW())))</f>
        <v>32.200000000000003</v>
      </c>
      <c r="S45" s="5">
        <f>IF(ROW()&lt;=15,"",SUM(INDEX(Daily_Input!$I:$I,ROW()-13):INDEX(Daily_Input!$I:$I,ROW())))</f>
        <v>36.200000000000003</v>
      </c>
      <c r="T45" s="5">
        <f>IF(ROW()&lt;=4,"",AVERAGE(INDEX(Daily_Input!$F:$F,ROW()-2):INDEX(Daily_Input!$F:$F,ROW())))</f>
        <v>25244.826132600807</v>
      </c>
      <c r="U45" s="5">
        <f>IF(ROW()&lt;=2+0,"",INDEX(Daily_Input!$G:$G,ROW()-1))</f>
        <v>15019.2</v>
      </c>
      <c r="V45" s="5">
        <f>IF(ROW()&lt;=2+0,"",INDEX(Daily_Input!$H:$H,ROW()-1))</f>
        <v>0</v>
      </c>
      <c r="W45" s="5">
        <f>IF(ROW()&lt;=2+1,"",INDEX(Daily_Input!$G:$G,ROW()-2))</f>
        <v>15019.2</v>
      </c>
      <c r="X45" s="5">
        <f>IF(ROW()&lt;=2+1,"",INDEX(Daily_Input!$H:$H,ROW()-2))</f>
        <v>0</v>
      </c>
      <c r="Y45" s="5">
        <f>IF(ROW()&lt;=2+2,"",INDEX(Daily_Input!$G:$G,ROW()-3))</f>
        <v>15019.2</v>
      </c>
      <c r="Z45" s="5">
        <f>IF(ROW()&lt;=2+2,"",INDEX(Daily_Input!$H:$H,ROW()-3))</f>
        <v>0</v>
      </c>
      <c r="AA45" s="5">
        <f>Daily_Input!N45</f>
        <v>10.891999999999999</v>
      </c>
      <c r="AB45" s="5">
        <f>Daily_Input!O45</f>
        <v>14.71</v>
      </c>
      <c r="AC45" s="5">
        <f>Daily_Input!P45</f>
        <v>5.7759999999999998</v>
      </c>
      <c r="AD45" s="5">
        <f t="shared" si="1"/>
        <v>31.378</v>
      </c>
      <c r="AE45" s="5">
        <f t="shared" si="2"/>
        <v>14.71</v>
      </c>
      <c r="AF45" s="5">
        <f>IF(A45="","",IFERROR(INDEX(Daily_Input!$F:$F,ROW()+1),""))</f>
        <v>98994.809420294972</v>
      </c>
      <c r="AG45" s="5">
        <f>IF(A45="","",IFERROR(INDEX(Daily_Input!$F:$F,ROW()+2),""))</f>
        <v>124187.95301213139</v>
      </c>
      <c r="AH45" s="5">
        <f>IF(A45="","",IFERROR(INDEX(Daily_Input!$F:$F,ROW()+3),""))</f>
        <v>677549.22951010696</v>
      </c>
    </row>
    <row r="46" spans="1:34">
      <c r="A46" s="5">
        <f>Daily_Input!A46</f>
        <v>45883</v>
      </c>
      <c r="B46" s="5">
        <f>Daily_Input!F46</f>
        <v>98994.809420294972</v>
      </c>
      <c r="C46" s="5">
        <f>Daily_Input!D46</f>
        <v>489.60199999999998</v>
      </c>
      <c r="D46" s="5">
        <f>Daily_Input!E46</f>
        <v>1643538.2164867001</v>
      </c>
      <c r="E46" s="5" cm="1">
        <f t="array" ref="E46">IF(ROW()=2,"",INDEX(Daily_Input!$E:$E,ROW())-INDEX(Daily_Input!$E:$E,ROW()-1))</f>
        <v>33094.199141900055</v>
      </c>
      <c r="F46" s="5">
        <f>IFERROR(Daily_Input!E46/Config!$B$4,"")</f>
        <v>1.0111195696407902</v>
      </c>
      <c r="G46" s="5">
        <f>Daily_Input!I46</f>
        <v>11.6</v>
      </c>
      <c r="H46" s="5">
        <f>IF(A46="","",IF(ROW()=2,G46,Config!$B$5*H45+G46))</f>
        <v>155.11262520305357</v>
      </c>
      <c r="I46" s="5">
        <f t="shared" si="0"/>
        <v>226</v>
      </c>
      <c r="J46" s="5">
        <f>IF(I46="","",SIN(2*PI()*I46/Config!$B$6))</f>
        <v>-0.68077340947701603</v>
      </c>
      <c r="K46" s="5">
        <f>IF(I46="","",COS(2*PI()*I46/Config!$B$6))</f>
        <v>-0.73249407161357905</v>
      </c>
      <c r="L46" s="5">
        <f>IF(ROW()&lt;=2+0,"",INDEX(Daily_Input!$F:$F,ROW()-1))</f>
        <v>58290.831188900927</v>
      </c>
      <c r="M46" s="5">
        <f>IF(ROW()&lt;=2+1,"",INDEX(Daily_Input!$F:$F,ROW()-2))</f>
        <v>13195.054832284008</v>
      </c>
      <c r="N46" s="5">
        <f>IF(ROW()&lt;=2+2,"",INDEX(Daily_Input!$F:$F,ROW()-3))</f>
        <v>4248.5923766174883</v>
      </c>
      <c r="O46" s="5">
        <f>IF(ROW()&lt;=2+6,"",INDEX(Daily_Input!$F:$F,ROW()-7))</f>
        <v>4150.6586277247634</v>
      </c>
      <c r="P46" s="5">
        <f>IF(ROW()&lt;=2+13,"",INDEX(Daily_Input!$F:$F,ROW()-14))</f>
        <v>524269.63406137016</v>
      </c>
      <c r="Q46" s="5">
        <f>IF(ROW()&lt;=4,"",SUM(INDEX(Daily_Input!$I:$I,ROW()-2):INDEX(Daily_Input!$I:$I,ROW())))</f>
        <v>38.6</v>
      </c>
      <c r="R46" s="5">
        <f>IF(ROW()&lt;=8,"",SUM(INDEX(Daily_Input!$I:$I,ROW()-6):INDEX(Daily_Input!$I:$I,ROW())))</f>
        <v>43.800000000000004</v>
      </c>
      <c r="S46" s="5">
        <f>IF(ROW()&lt;=15,"",SUM(INDEX(Daily_Input!$I:$I,ROW()-13):INDEX(Daily_Input!$I:$I,ROW())))</f>
        <v>47.4</v>
      </c>
      <c r="T46" s="5">
        <f>IF(ROW()&lt;=4,"",AVERAGE(INDEX(Daily_Input!$F:$F,ROW()-2):INDEX(Daily_Input!$F:$F,ROW())))</f>
        <v>56826.898480493306</v>
      </c>
      <c r="U46" s="5">
        <f>IF(ROW()&lt;=2+0,"",INDEX(Daily_Input!$G:$G,ROW()-1))</f>
        <v>15019.2</v>
      </c>
      <c r="V46" s="5">
        <f>IF(ROW()&lt;=2+0,"",INDEX(Daily_Input!$H:$H,ROW()-1))</f>
        <v>14373.71314</v>
      </c>
      <c r="W46" s="5">
        <f>IF(ROW()&lt;=2+1,"",INDEX(Daily_Input!$G:$G,ROW()-2))</f>
        <v>15019.2</v>
      </c>
      <c r="X46" s="5">
        <f>IF(ROW()&lt;=2+1,"",INDEX(Daily_Input!$H:$H,ROW()-2))</f>
        <v>0</v>
      </c>
      <c r="Y46" s="5">
        <f>IF(ROW()&lt;=2+2,"",INDEX(Daily_Input!$G:$G,ROW()-3))</f>
        <v>15019.2</v>
      </c>
      <c r="Z46" s="5">
        <f>IF(ROW()&lt;=2+2,"",INDEX(Daily_Input!$H:$H,ROW()-3))</f>
        <v>0</v>
      </c>
      <c r="AA46" s="5">
        <f>Daily_Input!N46</f>
        <v>14.71</v>
      </c>
      <c r="AB46" s="5">
        <f>Daily_Input!O46</f>
        <v>5.7759999999999998</v>
      </c>
      <c r="AC46" s="5">
        <f>Daily_Input!P46</f>
        <v>3.8290000000000002</v>
      </c>
      <c r="AD46" s="5">
        <f t="shared" si="1"/>
        <v>24.315000000000001</v>
      </c>
      <c r="AE46" s="5">
        <f t="shared" si="2"/>
        <v>14.71</v>
      </c>
      <c r="AF46" s="5">
        <f>IF(A46="","",IFERROR(INDEX(Daily_Input!$F:$F,ROW()+1),""))</f>
        <v>124187.95301213139</v>
      </c>
      <c r="AG46" s="5">
        <f>IF(A46="","",IFERROR(INDEX(Daily_Input!$F:$F,ROW()+2),""))</f>
        <v>677549.22951010696</v>
      </c>
      <c r="AH46" s="5">
        <f>IF(A46="","",IFERROR(INDEX(Daily_Input!$F:$F,ROW()+3),""))</f>
        <v>986564.22054553858</v>
      </c>
    </row>
    <row r="47" spans="1:34">
      <c r="A47" s="5">
        <f>Daily_Input!A47</f>
        <v>45884</v>
      </c>
      <c r="B47" s="5">
        <f>Daily_Input!F47</f>
        <v>124187.95301213139</v>
      </c>
      <c r="C47" s="5">
        <f>Daily_Input!D47</f>
        <v>489.577</v>
      </c>
      <c r="D47" s="5">
        <f>Daily_Input!E47</f>
        <v>1634494.0165122999</v>
      </c>
      <c r="E47" s="5" cm="1">
        <f t="array" ref="E47">IF(ROW()=2,"",INDEX(Daily_Input!$E:$E,ROW())-INDEX(Daily_Input!$E:$E,ROW()-1))</f>
        <v>-9044.1999744002242</v>
      </c>
      <c r="F47" s="5">
        <f>IFERROR(Daily_Input!E47/Config!$B$4,"")</f>
        <v>1.0055554960499677</v>
      </c>
      <c r="G47" s="5">
        <f>Daily_Input!I47</f>
        <v>4</v>
      </c>
      <c r="H47" s="5">
        <f>IF(A47="","",IF(ROW()=2,G47,Config!$B$5*H46+G47))</f>
        <v>151.35699394290089</v>
      </c>
      <c r="I47" s="5">
        <f t="shared" si="0"/>
        <v>227</v>
      </c>
      <c r="J47" s="5">
        <f>IF(I47="","",SIN(2*PI()*I47/Config!$B$6))</f>
        <v>-0.69328122688697713</v>
      </c>
      <c r="K47" s="5">
        <f>IF(I47="","",COS(2*PI()*I47/Config!$B$6))</f>
        <v>-0.72066714955386146</v>
      </c>
      <c r="L47" s="5">
        <f>IF(ROW()&lt;=2+0,"",INDEX(Daily_Input!$F:$F,ROW()-1))</f>
        <v>98994.809420294972</v>
      </c>
      <c r="M47" s="5">
        <f>IF(ROW()&lt;=2+1,"",INDEX(Daily_Input!$F:$F,ROW()-2))</f>
        <v>58290.831188900927</v>
      </c>
      <c r="N47" s="5">
        <f>IF(ROW()&lt;=2+2,"",INDEX(Daily_Input!$F:$F,ROW()-3))</f>
        <v>13195.054832284008</v>
      </c>
      <c r="O47" s="5">
        <f>IF(ROW()&lt;=2+6,"",INDEX(Daily_Input!$F:$F,ROW()-7))</f>
        <v>6751.3854260954186</v>
      </c>
      <c r="P47" s="5">
        <f>IF(ROW()&lt;=2+13,"",INDEX(Daily_Input!$F:$F,ROW()-14))</f>
        <v>376758.49060792051</v>
      </c>
      <c r="Q47" s="5">
        <f>IF(ROW()&lt;=4,"",SUM(INDEX(Daily_Input!$I:$I,ROW()-2):INDEX(Daily_Input!$I:$I,ROW())))</f>
        <v>42.6</v>
      </c>
      <c r="R47" s="5">
        <f>IF(ROW()&lt;=8,"",SUM(INDEX(Daily_Input!$I:$I,ROW()-6):INDEX(Daily_Input!$I:$I,ROW())))</f>
        <v>46.4</v>
      </c>
      <c r="S47" s="5">
        <f>IF(ROW()&lt;=15,"",SUM(INDEX(Daily_Input!$I:$I,ROW()-13):INDEX(Daily_Input!$I:$I,ROW())))</f>
        <v>49.800000000000004</v>
      </c>
      <c r="T47" s="5">
        <f>IF(ROW()&lt;=4,"",AVERAGE(INDEX(Daily_Input!$F:$F,ROW()-2):INDEX(Daily_Input!$F:$F,ROW())))</f>
        <v>93824.531207109103</v>
      </c>
      <c r="U47" s="5">
        <f>IF(ROW()&lt;=2+0,"",INDEX(Daily_Input!$G:$G,ROW()-1))</f>
        <v>15019.2</v>
      </c>
      <c r="V47" s="5">
        <f>IF(ROW()&lt;=2+0,"",INDEX(Daily_Input!$H:$H,ROW()-1))</f>
        <v>53219.596149999998</v>
      </c>
      <c r="W47" s="5">
        <f>IF(ROW()&lt;=2+1,"",INDEX(Daily_Input!$G:$G,ROW()-2))</f>
        <v>15019.2</v>
      </c>
      <c r="X47" s="5">
        <f>IF(ROW()&lt;=2+1,"",INDEX(Daily_Input!$H:$H,ROW()-2))</f>
        <v>14373.71314</v>
      </c>
      <c r="Y47" s="5">
        <f>IF(ROW()&lt;=2+2,"",INDEX(Daily_Input!$G:$G,ROW()-3))</f>
        <v>15019.2</v>
      </c>
      <c r="Z47" s="5">
        <f>IF(ROW()&lt;=2+2,"",INDEX(Daily_Input!$H:$H,ROW()-3))</f>
        <v>0</v>
      </c>
      <c r="AA47" s="5">
        <f>Daily_Input!N47</f>
        <v>5.7759999999999998</v>
      </c>
      <c r="AB47" s="5">
        <f>Daily_Input!O47</f>
        <v>3.8290000000000002</v>
      </c>
      <c r="AC47" s="5">
        <f>Daily_Input!P47</f>
        <v>11.381</v>
      </c>
      <c r="AD47" s="5">
        <f t="shared" si="1"/>
        <v>20.986000000000001</v>
      </c>
      <c r="AE47" s="5">
        <f t="shared" si="2"/>
        <v>11.381</v>
      </c>
      <c r="AF47" s="5">
        <f>IF(A47="","",IFERROR(INDEX(Daily_Input!$F:$F,ROW()+1),""))</f>
        <v>677549.22951010696</v>
      </c>
      <c r="AG47" s="5">
        <f>IF(A47="","",IFERROR(INDEX(Daily_Input!$F:$F,ROW()+2),""))</f>
        <v>986564.22054553858</v>
      </c>
      <c r="AH47" s="5">
        <f>IF(A47="","",IFERROR(INDEX(Daily_Input!$F:$F,ROW()+3),""))</f>
        <v>659131.97695436364</v>
      </c>
    </row>
    <row r="48" spans="1:34">
      <c r="A48" s="5">
        <f>Daily_Input!A48</f>
        <v>45885</v>
      </c>
      <c r="B48" s="5">
        <f>Daily_Input!F48</f>
        <v>677549.22951010696</v>
      </c>
      <c r="C48" s="5">
        <f>Daily_Input!D48</f>
        <v>489.69200000000001</v>
      </c>
      <c r="D48" s="5">
        <f>Daily_Input!E48</f>
        <v>1670813.4823932</v>
      </c>
      <c r="E48" s="5" cm="1">
        <f t="array" ref="E48">IF(ROW()=2,"",INDEX(Daily_Input!$E:$E,ROW())-INDEX(Daily_Input!$E:$E,ROW()-1))</f>
        <v>36319.465880900156</v>
      </c>
      <c r="F48" s="5">
        <f>IFERROR(Daily_Input!E48/Config!$B$4,"")</f>
        <v>1.0278995598159937</v>
      </c>
      <c r="G48" s="5">
        <f>Daily_Input!I48</f>
        <v>32.200000000000003</v>
      </c>
      <c r="H48" s="5">
        <f>IF(A48="","",IF(ROW()=2,G48,Config!$B$5*H47+G48))</f>
        <v>175.98914424575582</v>
      </c>
      <c r="I48" s="5">
        <f t="shared" si="0"/>
        <v>228</v>
      </c>
      <c r="J48" s="5">
        <f>IF(I48="","",SIN(2*PI()*I48/Config!$B$6))</f>
        <v>-0.70558361010717741</v>
      </c>
      <c r="K48" s="5">
        <f>IF(I48="","",COS(2*PI()*I48/Config!$B$6))</f>
        <v>-0.70862667826446002</v>
      </c>
      <c r="L48" s="5">
        <f>IF(ROW()&lt;=2+0,"",INDEX(Daily_Input!$F:$F,ROW()-1))</f>
        <v>124187.95301213139</v>
      </c>
      <c r="M48" s="5">
        <f>IF(ROW()&lt;=2+1,"",INDEX(Daily_Input!$F:$F,ROW()-2))</f>
        <v>98994.809420294972</v>
      </c>
      <c r="N48" s="5">
        <f>IF(ROW()&lt;=2+2,"",INDEX(Daily_Input!$F:$F,ROW()-3))</f>
        <v>58290.831188900927</v>
      </c>
      <c r="O48" s="5">
        <f>IF(ROW()&lt;=2+6,"",INDEX(Daily_Input!$F:$F,ROW()-7))</f>
        <v>6105.1441541046324</v>
      </c>
      <c r="P48" s="5">
        <f>IF(ROW()&lt;=2+13,"",INDEX(Daily_Input!$F:$F,ROW()-14))</f>
        <v>279414.65755679697</v>
      </c>
      <c r="Q48" s="5">
        <f>IF(ROW()&lt;=4,"",SUM(INDEX(Daily_Input!$I:$I,ROW()-2):INDEX(Daily_Input!$I:$I,ROW())))</f>
        <v>47.800000000000004</v>
      </c>
      <c r="R48" s="5">
        <f>IF(ROW()&lt;=8,"",SUM(INDEX(Daily_Input!$I:$I,ROW()-6):INDEX(Daily_Input!$I:$I,ROW())))</f>
        <v>75</v>
      </c>
      <c r="S48" s="5">
        <f>IF(ROW()&lt;=15,"",SUM(INDEX(Daily_Input!$I:$I,ROW()-13):INDEX(Daily_Input!$I:$I,ROW())))</f>
        <v>82</v>
      </c>
      <c r="T48" s="5">
        <f>IF(ROW()&lt;=4,"",AVERAGE(INDEX(Daily_Input!$F:$F,ROW()-2):INDEX(Daily_Input!$F:$F,ROW())))</f>
        <v>300243.99731417774</v>
      </c>
      <c r="U48" s="5">
        <f>IF(ROW()&lt;=2+0,"",INDEX(Daily_Input!$G:$G,ROW()-1))</f>
        <v>15019.2</v>
      </c>
      <c r="V48" s="5">
        <f>IF(ROW()&lt;=2+0,"",INDEX(Daily_Input!$H:$H,ROW()-1))</f>
        <v>118257.8576</v>
      </c>
      <c r="W48" s="5">
        <f>IF(ROW()&lt;=2+1,"",INDEX(Daily_Input!$G:$G,ROW()-2))</f>
        <v>15019.2</v>
      </c>
      <c r="X48" s="5">
        <f>IF(ROW()&lt;=2+1,"",INDEX(Daily_Input!$H:$H,ROW()-2))</f>
        <v>53219.596149999998</v>
      </c>
      <c r="Y48" s="5">
        <f>IF(ROW()&lt;=2+2,"",INDEX(Daily_Input!$G:$G,ROW()-3))</f>
        <v>15019.2</v>
      </c>
      <c r="Z48" s="5">
        <f>IF(ROW()&lt;=2+2,"",INDEX(Daily_Input!$H:$H,ROW()-3))</f>
        <v>14373.71314</v>
      </c>
      <c r="AA48" s="5">
        <f>Daily_Input!N48</f>
        <v>3.8290000000000002</v>
      </c>
      <c r="AB48" s="5">
        <f>Daily_Input!O48</f>
        <v>11.381</v>
      </c>
      <c r="AC48" s="5">
        <f>Daily_Input!P48</f>
        <v>5.992</v>
      </c>
      <c r="AD48" s="5">
        <f t="shared" si="1"/>
        <v>21.202000000000002</v>
      </c>
      <c r="AE48" s="5">
        <f t="shared" si="2"/>
        <v>11.381</v>
      </c>
      <c r="AF48" s="5">
        <f>IF(A48="","",IFERROR(INDEX(Daily_Input!$F:$F,ROW()+1),""))</f>
        <v>986564.22054553858</v>
      </c>
      <c r="AG48" s="5">
        <f>IF(A48="","",IFERROR(INDEX(Daily_Input!$F:$F,ROW()+2),""))</f>
        <v>659131.97695436364</v>
      </c>
      <c r="AH48" s="5">
        <f>IF(A48="","",IFERROR(INDEX(Daily_Input!$F:$F,ROW()+3),""))</f>
        <v>412548.03222377884</v>
      </c>
    </row>
    <row r="49" spans="1:34">
      <c r="A49" s="5">
        <f>Daily_Input!A49</f>
        <v>45886</v>
      </c>
      <c r="B49" s="5">
        <f>Daily_Input!F49</f>
        <v>986564.22054553858</v>
      </c>
      <c r="C49" s="5">
        <f>Daily_Input!D49</f>
        <v>489.88</v>
      </c>
      <c r="D49" s="5">
        <f>Daily_Input!E49</f>
        <v>1728897.6614808999</v>
      </c>
      <c r="E49" s="5" cm="1">
        <f t="array" ref="E49">IF(ROW()=2,"",INDEX(Daily_Input!$E:$E,ROW())-INDEX(Daily_Input!$E:$E,ROW()-1))</f>
        <v>58084.179087699857</v>
      </c>
      <c r="F49" s="5">
        <f>IFERROR(Daily_Input!E49/Config!$B$4,"")</f>
        <v>1.0636334719167038</v>
      </c>
      <c r="G49" s="5">
        <f>Daily_Input!I49</f>
        <v>47.2</v>
      </c>
      <c r="H49" s="5">
        <f>IF(A49="","",IF(ROW()=2,G49,Config!$B$5*H48+G49))</f>
        <v>214.38968703346802</v>
      </c>
      <c r="I49" s="5">
        <f t="shared" si="0"/>
        <v>229</v>
      </c>
      <c r="J49" s="5">
        <f>IF(I49="","",SIN(2*PI()*I49/Config!$B$6))</f>
        <v>-0.71767691367596154</v>
      </c>
      <c r="K49" s="5">
        <f>IF(I49="","",COS(2*PI()*I49/Config!$B$6))</f>
        <v>-0.69637622559687262</v>
      </c>
      <c r="L49" s="5">
        <f>IF(ROW()&lt;=2+0,"",INDEX(Daily_Input!$F:$F,ROW()-1))</f>
        <v>677549.22951010696</v>
      </c>
      <c r="M49" s="5">
        <f>IF(ROW()&lt;=2+1,"",INDEX(Daily_Input!$F:$F,ROW()-2))</f>
        <v>124187.95301213139</v>
      </c>
      <c r="N49" s="5">
        <f>IF(ROW()&lt;=2+2,"",INDEX(Daily_Input!$F:$F,ROW()-3))</f>
        <v>98994.809420294972</v>
      </c>
      <c r="O49" s="5">
        <f>IF(ROW()&lt;=2+6,"",INDEX(Daily_Input!$F:$F,ROW()-7))</f>
        <v>7134.9206135948634</v>
      </c>
      <c r="P49" s="5">
        <f>IF(ROW()&lt;=2+13,"",INDEX(Daily_Input!$F:$F,ROW()-14))</f>
        <v>177123.0132425187</v>
      </c>
      <c r="Q49" s="5">
        <f>IF(ROW()&lt;=4,"",SUM(INDEX(Daily_Input!$I:$I,ROW()-2):INDEX(Daily_Input!$I:$I,ROW())))</f>
        <v>83.4</v>
      </c>
      <c r="R49" s="5">
        <f>IF(ROW()&lt;=8,"",SUM(INDEX(Daily_Input!$I:$I,ROW()-6):INDEX(Daily_Input!$I:$I,ROW())))</f>
        <v>122.00000000000001</v>
      </c>
      <c r="S49" s="5">
        <f>IF(ROW()&lt;=15,"",SUM(INDEX(Daily_Input!$I:$I,ROW()-13):INDEX(Daily_Input!$I:$I,ROW())))</f>
        <v>129.19999999999999</v>
      </c>
      <c r="T49" s="5">
        <f>IF(ROW()&lt;=4,"",AVERAGE(INDEX(Daily_Input!$F:$F,ROW()-2):INDEX(Daily_Input!$F:$F,ROW())))</f>
        <v>596100.46768925898</v>
      </c>
      <c r="U49" s="5">
        <f>IF(ROW()&lt;=2+0,"",INDEX(Daily_Input!$G:$G,ROW()-1))</f>
        <v>15019.2</v>
      </c>
      <c r="V49" s="5">
        <f>IF(ROW()&lt;=2+0,"",INDEX(Daily_Input!$H:$H,ROW()-1))</f>
        <v>634821.46479999996</v>
      </c>
      <c r="W49" s="5">
        <f>IF(ROW()&lt;=2+1,"",INDEX(Daily_Input!$G:$G,ROW()-2))</f>
        <v>15019.2</v>
      </c>
      <c r="X49" s="5">
        <f>IF(ROW()&lt;=2+1,"",INDEX(Daily_Input!$H:$H,ROW()-2))</f>
        <v>118257.8576</v>
      </c>
      <c r="Y49" s="5">
        <f>IF(ROW()&lt;=2+2,"",INDEX(Daily_Input!$G:$G,ROW()-3))</f>
        <v>15019.2</v>
      </c>
      <c r="Z49" s="5">
        <f>IF(ROW()&lt;=2+2,"",INDEX(Daily_Input!$H:$H,ROW()-3))</f>
        <v>53219.596149999998</v>
      </c>
      <c r="AA49" s="5">
        <f>Daily_Input!N49</f>
        <v>11.381</v>
      </c>
      <c r="AB49" s="5">
        <f>Daily_Input!O49</f>
        <v>5.992</v>
      </c>
      <c r="AC49" s="5">
        <f>Daily_Input!P49</f>
        <v>17.663</v>
      </c>
      <c r="AD49" s="5">
        <f t="shared" si="1"/>
        <v>35.036000000000001</v>
      </c>
      <c r="AE49" s="5">
        <f t="shared" si="2"/>
        <v>17.663</v>
      </c>
      <c r="AF49" s="5">
        <f>IF(A49="","",IFERROR(INDEX(Daily_Input!$F:$F,ROW()+1),""))</f>
        <v>659131.97695436364</v>
      </c>
      <c r="AG49" s="5">
        <f>IF(A49="","",IFERROR(INDEX(Daily_Input!$F:$F,ROW()+2),""))</f>
        <v>412548.03222377884</v>
      </c>
      <c r="AH49" s="5">
        <f>IF(A49="","",IFERROR(INDEX(Daily_Input!$F:$F,ROW()+3),""))</f>
        <v>273036.44452348823</v>
      </c>
    </row>
    <row r="50" spans="1:34">
      <c r="A50" s="5">
        <f>Daily_Input!A50</f>
        <v>45887</v>
      </c>
      <c r="B50" s="5">
        <f>Daily_Input!F50</f>
        <v>659131.97695436364</v>
      </c>
      <c r="C50" s="5">
        <f>Daily_Input!D50</f>
        <v>489.83300000000003</v>
      </c>
      <c r="D50" s="5">
        <f>Daily_Input!E50</f>
        <v>1713524.2337388999</v>
      </c>
      <c r="E50" s="5" cm="1">
        <f t="array" ref="E50">IF(ROW()=2,"",INDEX(Daily_Input!$E:$E,ROW())-INDEX(Daily_Input!$E:$E,ROW()-1))</f>
        <v>-15373.427741999971</v>
      </c>
      <c r="F50" s="5">
        <f>IFERROR(Daily_Input!E50/Config!$B$4,"")</f>
        <v>1.0541756001821339</v>
      </c>
      <c r="G50" s="5">
        <f>Daily_Input!I50</f>
        <v>10.6</v>
      </c>
      <c r="H50" s="5">
        <f>IF(A50="","",IF(ROW()=2,G50,Config!$B$5*H49+G50))</f>
        <v>214.27020268179461</v>
      </c>
      <c r="I50" s="5">
        <f t="shared" si="0"/>
        <v>230</v>
      </c>
      <c r="J50" s="5">
        <f>IF(I50="","",SIN(2*PI()*I50/Config!$B$6))</f>
        <v>-0.72955755408648759</v>
      </c>
      <c r="K50" s="5">
        <f>IF(I50="","",COS(2*PI()*I50/Config!$B$6))</f>
        <v>-0.6839194216246105</v>
      </c>
      <c r="L50" s="5">
        <f>IF(ROW()&lt;=2+0,"",INDEX(Daily_Input!$F:$F,ROW()-1))</f>
        <v>986564.22054553858</v>
      </c>
      <c r="M50" s="5">
        <f>IF(ROW()&lt;=2+1,"",INDEX(Daily_Input!$F:$F,ROW()-2))</f>
        <v>677549.22951010696</v>
      </c>
      <c r="N50" s="5">
        <f>IF(ROW()&lt;=2+2,"",INDEX(Daily_Input!$F:$F,ROW()-3))</f>
        <v>124187.95301213139</v>
      </c>
      <c r="O50" s="5">
        <f>IF(ROW()&lt;=2+6,"",INDEX(Daily_Input!$F:$F,ROW()-7))</f>
        <v>4248.5923766174883</v>
      </c>
      <c r="P50" s="5">
        <f>IF(ROW()&lt;=2+13,"",INDEX(Daily_Input!$F:$F,ROW()-14))</f>
        <v>95934.478331860097</v>
      </c>
      <c r="Q50" s="5">
        <f>IF(ROW()&lt;=4,"",SUM(INDEX(Daily_Input!$I:$I,ROW()-2):INDEX(Daily_Input!$I:$I,ROW())))</f>
        <v>90</v>
      </c>
      <c r="R50" s="5">
        <f>IF(ROW()&lt;=8,"",SUM(INDEX(Daily_Input!$I:$I,ROW()-6):INDEX(Daily_Input!$I:$I,ROW())))</f>
        <v>132.60000000000002</v>
      </c>
      <c r="S50" s="5">
        <f>IF(ROW()&lt;=15,"",SUM(INDEX(Daily_Input!$I:$I,ROW()-13):INDEX(Daily_Input!$I:$I,ROW())))</f>
        <v>139.79999999999998</v>
      </c>
      <c r="T50" s="5">
        <f>IF(ROW()&lt;=4,"",AVERAGE(INDEX(Daily_Input!$F:$F,ROW()-2):INDEX(Daily_Input!$F:$F,ROW())))</f>
        <v>774415.14233666973</v>
      </c>
      <c r="U50" s="5">
        <f>IF(ROW()&lt;=2+0,"",INDEX(Daily_Input!$G:$G,ROW()-1))</f>
        <v>15019.2</v>
      </c>
      <c r="V50" s="5">
        <f>IF(ROW()&lt;=2+0,"",INDEX(Daily_Input!$H:$H,ROW()-1))</f>
        <v>926807.14509999997</v>
      </c>
      <c r="W50" s="5">
        <f>IF(ROW()&lt;=2+1,"",INDEX(Daily_Input!$G:$G,ROW()-2))</f>
        <v>15019.2</v>
      </c>
      <c r="X50" s="5">
        <f>IF(ROW()&lt;=2+1,"",INDEX(Daily_Input!$H:$H,ROW()-2))</f>
        <v>634821.46479999996</v>
      </c>
      <c r="Y50" s="5">
        <f>IF(ROW()&lt;=2+2,"",INDEX(Daily_Input!$G:$G,ROW()-3))</f>
        <v>15019.2</v>
      </c>
      <c r="Z50" s="5">
        <f>IF(ROW()&lt;=2+2,"",INDEX(Daily_Input!$H:$H,ROW()-3))</f>
        <v>118257.8576</v>
      </c>
      <c r="AA50" s="5">
        <f>Daily_Input!N50</f>
        <v>5.992</v>
      </c>
      <c r="AB50" s="5">
        <f>Daily_Input!O50</f>
        <v>17.663</v>
      </c>
      <c r="AC50" s="5">
        <f>Daily_Input!P50</f>
        <v>4.5309999999999997</v>
      </c>
      <c r="AD50" s="5">
        <f t="shared" si="1"/>
        <v>28.186</v>
      </c>
      <c r="AE50" s="5">
        <f t="shared" si="2"/>
        <v>17.663</v>
      </c>
      <c r="AF50" s="5">
        <f>IF(A50="","",IFERROR(INDEX(Daily_Input!$F:$F,ROW()+1),""))</f>
        <v>412548.03222377884</v>
      </c>
      <c r="AG50" s="5">
        <f>IF(A50="","",IFERROR(INDEX(Daily_Input!$F:$F,ROW()+2),""))</f>
        <v>273036.44452348823</v>
      </c>
      <c r="AH50" s="5">
        <f>IF(A50="","",IFERROR(INDEX(Daily_Input!$F:$F,ROW()+3),""))</f>
        <v>180929.54104251869</v>
      </c>
    </row>
    <row r="51" spans="1:34">
      <c r="A51" s="5">
        <f>Daily_Input!A51</f>
        <v>45888</v>
      </c>
      <c r="B51" s="5">
        <f>Daily_Input!F51</f>
        <v>412548.03222377884</v>
      </c>
      <c r="C51" s="5">
        <f>Daily_Input!D51</f>
        <v>489.75700000000001</v>
      </c>
      <c r="D51" s="5">
        <f>Daily_Input!E51</f>
        <v>1689066.0691295001</v>
      </c>
      <c r="E51" s="5" cm="1">
        <f t="array" ref="E51">IF(ROW()=2,"",INDEX(Daily_Input!$E:$E,ROW())-INDEX(Daily_Input!$E:$E,ROW()-1))</f>
        <v>-24458.164609399857</v>
      </c>
      <c r="F51" s="5">
        <f>IFERROR(Daily_Input!E51/Config!$B$4,"")</f>
        <v>1.0391287161936835</v>
      </c>
      <c r="G51" s="5">
        <f>Daily_Input!I51</f>
        <v>0</v>
      </c>
      <c r="H51" s="5">
        <f>IF(A51="","",IF(ROW()=2,G51,Config!$B$5*H50+G51))</f>
        <v>203.55669254770487</v>
      </c>
      <c r="I51" s="5">
        <f t="shared" si="0"/>
        <v>231</v>
      </c>
      <c r="J51" s="5">
        <f>IF(I51="","",SIN(2*PI()*I51/Config!$B$6))</f>
        <v>-0.74122201084859574</v>
      </c>
      <c r="K51" s="5">
        <f>IF(I51="","",COS(2*PI()*I51/Config!$B$6))</f>
        <v>-0.67125995756753154</v>
      </c>
      <c r="L51" s="5">
        <f>IF(ROW()&lt;=2+0,"",INDEX(Daily_Input!$F:$F,ROW()-1))</f>
        <v>659131.97695436364</v>
      </c>
      <c r="M51" s="5">
        <f>IF(ROW()&lt;=2+1,"",INDEX(Daily_Input!$F:$F,ROW()-2))</f>
        <v>986564.22054553858</v>
      </c>
      <c r="N51" s="5">
        <f>IF(ROW()&lt;=2+2,"",INDEX(Daily_Input!$F:$F,ROW()-3))</f>
        <v>677549.22951010696</v>
      </c>
      <c r="O51" s="5">
        <f>IF(ROW()&lt;=2+6,"",INDEX(Daily_Input!$F:$F,ROW()-7))</f>
        <v>13195.054832284008</v>
      </c>
      <c r="P51" s="5">
        <f>IF(ROW()&lt;=2+13,"",INDEX(Daily_Input!$F:$F,ROW()-14))</f>
        <v>32089.468438052176</v>
      </c>
      <c r="Q51" s="5">
        <f>IF(ROW()&lt;=4,"",SUM(INDEX(Daily_Input!$I:$I,ROW()-2):INDEX(Daily_Input!$I:$I,ROW())))</f>
        <v>57.800000000000004</v>
      </c>
      <c r="R51" s="5">
        <f>IF(ROW()&lt;=8,"",SUM(INDEX(Daily_Input!$I:$I,ROW()-6):INDEX(Daily_Input!$I:$I,ROW())))</f>
        <v>132.60000000000002</v>
      </c>
      <c r="S51" s="5">
        <f>IF(ROW()&lt;=15,"",SUM(INDEX(Daily_Input!$I:$I,ROW()-13):INDEX(Daily_Input!$I:$I,ROW())))</f>
        <v>139.79999999999998</v>
      </c>
      <c r="T51" s="5">
        <f>IF(ROW()&lt;=4,"",AVERAGE(INDEX(Daily_Input!$F:$F,ROW()-2):INDEX(Daily_Input!$F:$F,ROW())))</f>
        <v>686081.40990789363</v>
      </c>
      <c r="U51" s="5">
        <f>IF(ROW()&lt;=2+0,"",INDEX(Daily_Input!$G:$G,ROW()-1))</f>
        <v>15019.2</v>
      </c>
      <c r="V51" s="5">
        <f>IF(ROW()&lt;=2+0,"",INDEX(Daily_Input!$H:$H,ROW()-1))</f>
        <v>661558.46109999996</v>
      </c>
      <c r="W51" s="5">
        <f>IF(ROW()&lt;=2+1,"",INDEX(Daily_Input!$G:$G,ROW()-2))</f>
        <v>15019.2</v>
      </c>
      <c r="X51" s="5">
        <f>IF(ROW()&lt;=2+1,"",INDEX(Daily_Input!$H:$H,ROW()-2))</f>
        <v>926807.14509999997</v>
      </c>
      <c r="Y51" s="5">
        <f>IF(ROW()&lt;=2+2,"",INDEX(Daily_Input!$G:$G,ROW()-3))</f>
        <v>15019.2</v>
      </c>
      <c r="Z51" s="5">
        <f>IF(ROW()&lt;=2+2,"",INDEX(Daily_Input!$H:$H,ROW()-3))</f>
        <v>634821.46479999996</v>
      </c>
      <c r="AA51" s="5">
        <f>Daily_Input!N51</f>
        <v>17.663</v>
      </c>
      <c r="AB51" s="5">
        <f>Daily_Input!O51</f>
        <v>4.5309999999999997</v>
      </c>
      <c r="AC51" s="5">
        <f>Daily_Input!P51</f>
        <v>6.98</v>
      </c>
      <c r="AD51" s="5">
        <f t="shared" si="1"/>
        <v>29.173999999999999</v>
      </c>
      <c r="AE51" s="5">
        <f t="shared" si="2"/>
        <v>17.663</v>
      </c>
      <c r="AF51" s="5">
        <f>IF(A51="","",IFERROR(INDEX(Daily_Input!$F:$F,ROW()+1),""))</f>
        <v>273036.44452348823</v>
      </c>
      <c r="AG51" s="5">
        <f>IF(A51="","",IFERROR(INDEX(Daily_Input!$F:$F,ROW()+2),""))</f>
        <v>180929.54104251869</v>
      </c>
      <c r="AH51" s="5">
        <f>IF(A51="","",IFERROR(INDEX(Daily_Input!$F:$F,ROW()+3),""))</f>
        <v>166176.7553640838</v>
      </c>
    </row>
    <row r="52" spans="1:34">
      <c r="A52" s="5">
        <f>Daily_Input!A52</f>
        <v>45889</v>
      </c>
      <c r="B52" s="5">
        <f>Daily_Input!F52</f>
        <v>273036.44452348823</v>
      </c>
      <c r="C52" s="5">
        <f>Daily_Input!D52</f>
        <v>489.70499999999998</v>
      </c>
      <c r="D52" s="5">
        <f>Daily_Input!E52</f>
        <v>1673851.7406957999</v>
      </c>
      <c r="E52" s="5" cm="1">
        <f t="array" ref="E52">IF(ROW()=2,"",INDEX(Daily_Input!$E:$E,ROW())-INDEX(Daily_Input!$E:$E,ROW()-1))</f>
        <v>-15214.328433700139</v>
      </c>
      <c r="F52" s="5">
        <f>IFERROR(Daily_Input!E52/Config!$B$4,"")</f>
        <v>1.0297687237919608</v>
      </c>
      <c r="G52" s="5">
        <f>Daily_Input!I52</f>
        <v>0.8</v>
      </c>
      <c r="H52" s="5">
        <f>IF(A52="","",IF(ROW()=2,G52,Config!$B$5*H51+G52))</f>
        <v>194.17885792031962</v>
      </c>
      <c r="I52" s="5">
        <f t="shared" si="0"/>
        <v>232</v>
      </c>
      <c r="J52" s="5">
        <f>IF(I52="","",SIN(2*PI()*I52/Config!$B$6))</f>
        <v>-0.75266682753200831</v>
      </c>
      <c r="K52" s="5">
        <f>IF(I52="","",COS(2*PI()*I52/Config!$B$6))</f>
        <v>-0.65840158469804888</v>
      </c>
      <c r="L52" s="5">
        <f>IF(ROW()&lt;=2+0,"",INDEX(Daily_Input!$F:$F,ROW()-1))</f>
        <v>412548.03222377884</v>
      </c>
      <c r="M52" s="5">
        <f>IF(ROW()&lt;=2+1,"",INDEX(Daily_Input!$F:$F,ROW()-2))</f>
        <v>659131.97695436364</v>
      </c>
      <c r="N52" s="5">
        <f>IF(ROW()&lt;=2+2,"",INDEX(Daily_Input!$F:$F,ROW()-3))</f>
        <v>986564.22054553858</v>
      </c>
      <c r="O52" s="5">
        <f>IF(ROW()&lt;=2+6,"",INDEX(Daily_Input!$F:$F,ROW()-7))</f>
        <v>58290.831188900927</v>
      </c>
      <c r="P52" s="5">
        <f>IF(ROW()&lt;=2+13,"",INDEX(Daily_Input!$F:$F,ROW()-14))</f>
        <v>7940.2258578997953</v>
      </c>
      <c r="Q52" s="5">
        <f>IF(ROW()&lt;=4,"",SUM(INDEX(Daily_Input!$I:$I,ROW()-2):INDEX(Daily_Input!$I:$I,ROW())))</f>
        <v>11.4</v>
      </c>
      <c r="R52" s="5">
        <f>IF(ROW()&lt;=8,"",SUM(INDEX(Daily_Input!$I:$I,ROW()-6):INDEX(Daily_Input!$I:$I,ROW())))</f>
        <v>106.39999999999999</v>
      </c>
      <c r="S52" s="5">
        <f>IF(ROW()&lt;=15,"",SUM(INDEX(Daily_Input!$I:$I,ROW()-13):INDEX(Daily_Input!$I:$I,ROW())))</f>
        <v>138.60000000000002</v>
      </c>
      <c r="T52" s="5">
        <f>IF(ROW()&lt;=4,"",AVERAGE(INDEX(Daily_Input!$F:$F,ROW()-2):INDEX(Daily_Input!$F:$F,ROW())))</f>
        <v>448238.81790054357</v>
      </c>
      <c r="U52" s="5">
        <f>IF(ROW()&lt;=2+0,"",INDEX(Daily_Input!$G:$G,ROW()-1))</f>
        <v>15019.2</v>
      </c>
      <c r="V52" s="5">
        <f>IF(ROW()&lt;=2+0,"",INDEX(Daily_Input!$H:$H,ROW()-1))</f>
        <v>420813.59080000001</v>
      </c>
      <c r="W52" s="5">
        <f>IF(ROW()&lt;=2+1,"",INDEX(Daily_Input!$G:$G,ROW()-2))</f>
        <v>15019.2</v>
      </c>
      <c r="X52" s="5">
        <f>IF(ROW()&lt;=2+1,"",INDEX(Daily_Input!$H:$H,ROW()-2))</f>
        <v>661558.46109999996</v>
      </c>
      <c r="Y52" s="5">
        <f>IF(ROW()&lt;=2+2,"",INDEX(Daily_Input!$G:$G,ROW()-3))</f>
        <v>15019.2</v>
      </c>
      <c r="Z52" s="5">
        <f>IF(ROW()&lt;=2+2,"",INDEX(Daily_Input!$H:$H,ROW()-3))</f>
        <v>926807.14509999997</v>
      </c>
      <c r="AA52" s="5">
        <f>Daily_Input!N52</f>
        <v>4.5309999999999997</v>
      </c>
      <c r="AB52" s="5">
        <f>Daily_Input!O52</f>
        <v>6.98</v>
      </c>
      <c r="AC52" s="5">
        <f>Daily_Input!P52</f>
        <v>8.3119999999999994</v>
      </c>
      <c r="AD52" s="5">
        <f t="shared" si="1"/>
        <v>19.823</v>
      </c>
      <c r="AE52" s="5">
        <f t="shared" si="2"/>
        <v>8.3119999999999994</v>
      </c>
      <c r="AF52" s="5">
        <f>IF(A52="","",IFERROR(INDEX(Daily_Input!$F:$F,ROW()+1),""))</f>
        <v>180929.54104251869</v>
      </c>
      <c r="AG52" s="5">
        <f>IF(A52="","",IFERROR(INDEX(Daily_Input!$F:$F,ROW()+2),""))</f>
        <v>166176.7553640838</v>
      </c>
      <c r="AH52" s="5">
        <f>IF(A52="","",IFERROR(INDEX(Daily_Input!$F:$F,ROW()+3),""))</f>
        <v>178085.30122443952</v>
      </c>
    </row>
    <row r="53" spans="1:34">
      <c r="A53" s="5">
        <f>Daily_Input!A53</f>
        <v>45890</v>
      </c>
      <c r="B53" s="5">
        <f>Daily_Input!F53</f>
        <v>180929.54104251869</v>
      </c>
      <c r="C53" s="5">
        <f>Daily_Input!D53</f>
        <v>489.666</v>
      </c>
      <c r="D53" s="5">
        <f>Daily_Input!E53</f>
        <v>1661708.0167959</v>
      </c>
      <c r="E53" s="5" cm="1">
        <f t="array" ref="E53">IF(ROW()=2,"",INDEX(Daily_Input!$E:$E,ROW())-INDEX(Daily_Input!$E:$E,ROW()-1))</f>
        <v>-12143.723899899982</v>
      </c>
      <c r="F53" s="5">
        <f>IFERROR(Daily_Input!E53/Config!$B$4,"")</f>
        <v>1.0222977950600747</v>
      </c>
      <c r="G53" s="5">
        <f>Daily_Input!I53</f>
        <v>0</v>
      </c>
      <c r="H53" s="5">
        <f>IF(A53="","",IF(ROW()=2,G53,Config!$B$5*H52+G53))</f>
        <v>184.46991502430362</v>
      </c>
      <c r="I53" s="5">
        <f t="shared" si="0"/>
        <v>233</v>
      </c>
      <c r="J53" s="5">
        <f>IF(I53="","",SIN(2*PI()*I53/Config!$B$6))</f>
        <v>-0.76388861279054288</v>
      </c>
      <c r="K53" s="5">
        <f>IF(I53="","",COS(2*PI()*I53/Config!$B$6))</f>
        <v>-0.64534811322954999</v>
      </c>
      <c r="L53" s="5">
        <f>IF(ROW()&lt;=2+0,"",INDEX(Daily_Input!$F:$F,ROW()-1))</f>
        <v>273036.44452348823</v>
      </c>
      <c r="M53" s="5">
        <f>IF(ROW()&lt;=2+1,"",INDEX(Daily_Input!$F:$F,ROW()-2))</f>
        <v>412548.03222377884</v>
      </c>
      <c r="N53" s="5">
        <f>IF(ROW()&lt;=2+2,"",INDEX(Daily_Input!$F:$F,ROW()-3))</f>
        <v>659131.97695436364</v>
      </c>
      <c r="O53" s="5">
        <f>IF(ROW()&lt;=2+6,"",INDEX(Daily_Input!$F:$F,ROW()-7))</f>
        <v>98994.809420294972</v>
      </c>
      <c r="P53" s="5">
        <f>IF(ROW()&lt;=2+13,"",INDEX(Daily_Input!$F:$F,ROW()-14))</f>
        <v>4150.6586277247634</v>
      </c>
      <c r="Q53" s="5">
        <f>IF(ROW()&lt;=4,"",SUM(INDEX(Daily_Input!$I:$I,ROW()-2):INDEX(Daily_Input!$I:$I,ROW())))</f>
        <v>0.8</v>
      </c>
      <c r="R53" s="5">
        <f>IF(ROW()&lt;=8,"",SUM(INDEX(Daily_Input!$I:$I,ROW()-6):INDEX(Daily_Input!$I:$I,ROW())))</f>
        <v>94.8</v>
      </c>
      <c r="S53" s="5">
        <f>IF(ROW()&lt;=15,"",SUM(INDEX(Daily_Input!$I:$I,ROW()-13):INDEX(Daily_Input!$I:$I,ROW())))</f>
        <v>138.60000000000002</v>
      </c>
      <c r="T53" s="5">
        <f>IF(ROW()&lt;=4,"",AVERAGE(INDEX(Daily_Input!$F:$F,ROW()-2):INDEX(Daily_Input!$F:$F,ROW())))</f>
        <v>288838.00592992856</v>
      </c>
      <c r="U53" s="5">
        <f>IF(ROW()&lt;=2+0,"",INDEX(Daily_Input!$G:$G,ROW()-1))</f>
        <v>15019.2</v>
      </c>
      <c r="V53" s="5">
        <f>IF(ROW()&lt;=2+0,"",INDEX(Daily_Input!$H:$H,ROW()-1))</f>
        <v>272304.3187</v>
      </c>
      <c r="W53" s="5">
        <f>IF(ROW()&lt;=2+1,"",INDEX(Daily_Input!$G:$G,ROW()-2))</f>
        <v>15019.2</v>
      </c>
      <c r="X53" s="5">
        <f>IF(ROW()&lt;=2+1,"",INDEX(Daily_Input!$H:$H,ROW()-2))</f>
        <v>420813.59080000001</v>
      </c>
      <c r="Y53" s="5">
        <f>IF(ROW()&lt;=2+2,"",INDEX(Daily_Input!$G:$G,ROW()-3))</f>
        <v>15019.2</v>
      </c>
      <c r="Z53" s="5">
        <f>IF(ROW()&lt;=2+2,"",INDEX(Daily_Input!$H:$H,ROW()-3))</f>
        <v>661558.46109999996</v>
      </c>
      <c r="AA53" s="5">
        <f>Daily_Input!N53</f>
        <v>6.98</v>
      </c>
      <c r="AB53" s="5">
        <f>Daily_Input!O53</f>
        <v>8.3119999999999994</v>
      </c>
      <c r="AC53" s="5">
        <f>Daily_Input!P53</f>
        <v>15.516</v>
      </c>
      <c r="AD53" s="5">
        <f t="shared" si="1"/>
        <v>30.808</v>
      </c>
      <c r="AE53" s="5">
        <f t="shared" si="2"/>
        <v>15.516</v>
      </c>
      <c r="AF53" s="5">
        <f>IF(A53="","",IFERROR(INDEX(Daily_Input!$F:$F,ROW()+1),""))</f>
        <v>166176.7553640838</v>
      </c>
      <c r="AG53" s="5">
        <f>IF(A53="","",IFERROR(INDEX(Daily_Input!$F:$F,ROW()+2),""))</f>
        <v>178085.30122443952</v>
      </c>
      <c r="AH53" s="5">
        <f>IF(A53="","",IFERROR(INDEX(Daily_Input!$F:$F,ROW()+3),""))</f>
        <v>337514.60830241977</v>
      </c>
    </row>
    <row r="54" spans="1:34">
      <c r="A54" s="5">
        <f>Daily_Input!A54</f>
        <v>45891</v>
      </c>
      <c r="B54" s="5">
        <f>Daily_Input!F54</f>
        <v>166176.7553640838</v>
      </c>
      <c r="C54" s="5">
        <f>Daily_Input!D54</f>
        <v>489.654</v>
      </c>
      <c r="D54" s="5">
        <f>Daily_Input!E54</f>
        <v>1658675.7961466999</v>
      </c>
      <c r="E54" s="5" cm="1">
        <f t="array" ref="E54">IF(ROW()=2,"",INDEX(Daily_Input!$E:$E,ROW())-INDEX(Daily_Input!$E:$E,ROW()-1))</f>
        <v>-3032.2206492000259</v>
      </c>
      <c r="F54" s="5">
        <f>IFERROR(Daily_Input!E54/Config!$B$4,"")</f>
        <v>1.0204323455030642</v>
      </c>
      <c r="G54" s="5">
        <f>Daily_Input!I54</f>
        <v>15.2</v>
      </c>
      <c r="H54" s="5">
        <f>IF(A54="","",IF(ROW()=2,G54,Config!$B$5*H53+G54))</f>
        <v>190.44641927308842</v>
      </c>
      <c r="I54" s="5">
        <f t="shared" si="0"/>
        <v>234</v>
      </c>
      <c r="J54" s="5">
        <f>IF(I54="","",SIN(2*PI()*I54/Config!$B$6))</f>
        <v>-0.77488404136704059</v>
      </c>
      <c r="K54" s="5">
        <f>IF(I54="","",COS(2*PI()*I54/Config!$B$6))</f>
        <v>-0.63210341118734881</v>
      </c>
      <c r="L54" s="5">
        <f>IF(ROW()&lt;=2+0,"",INDEX(Daily_Input!$F:$F,ROW()-1))</f>
        <v>180929.54104251869</v>
      </c>
      <c r="M54" s="5">
        <f>IF(ROW()&lt;=2+1,"",INDEX(Daily_Input!$F:$F,ROW()-2))</f>
        <v>273036.44452348823</v>
      </c>
      <c r="N54" s="5">
        <f>IF(ROW()&lt;=2+2,"",INDEX(Daily_Input!$F:$F,ROW()-3))</f>
        <v>412548.03222377884</v>
      </c>
      <c r="O54" s="5">
        <f>IF(ROW()&lt;=2+6,"",INDEX(Daily_Input!$F:$F,ROW()-7))</f>
        <v>124187.95301213139</v>
      </c>
      <c r="P54" s="5">
        <f>IF(ROW()&lt;=2+13,"",INDEX(Daily_Input!$F:$F,ROW()-14))</f>
        <v>6751.3854260954186</v>
      </c>
      <c r="Q54" s="5">
        <f>IF(ROW()&lt;=4,"",SUM(INDEX(Daily_Input!$I:$I,ROW()-2):INDEX(Daily_Input!$I:$I,ROW())))</f>
        <v>16</v>
      </c>
      <c r="R54" s="5">
        <f>IF(ROW()&lt;=8,"",SUM(INDEX(Daily_Input!$I:$I,ROW()-6):INDEX(Daily_Input!$I:$I,ROW())))</f>
        <v>106</v>
      </c>
      <c r="S54" s="5">
        <f>IF(ROW()&lt;=15,"",SUM(INDEX(Daily_Input!$I:$I,ROW()-13):INDEX(Daily_Input!$I:$I,ROW())))</f>
        <v>152.4</v>
      </c>
      <c r="T54" s="5">
        <f>IF(ROW()&lt;=4,"",AVERAGE(INDEX(Daily_Input!$F:$F,ROW()-2):INDEX(Daily_Input!$F:$F,ROW())))</f>
        <v>206714.24697669689</v>
      </c>
      <c r="U54" s="5">
        <f>IF(ROW()&lt;=2+0,"",INDEX(Daily_Input!$G:$G,ROW()-1))</f>
        <v>15019.2</v>
      </c>
      <c r="V54" s="5">
        <f>IF(ROW()&lt;=2+0,"",INDEX(Daily_Input!$H:$H,ROW()-1))</f>
        <v>176886.0575</v>
      </c>
      <c r="W54" s="5">
        <f>IF(ROW()&lt;=2+1,"",INDEX(Daily_Input!$G:$G,ROW()-2))</f>
        <v>15019.2</v>
      </c>
      <c r="X54" s="5">
        <f>IF(ROW()&lt;=2+1,"",INDEX(Daily_Input!$H:$H,ROW()-2))</f>
        <v>272304.3187</v>
      </c>
      <c r="Y54" s="5">
        <f>IF(ROW()&lt;=2+2,"",INDEX(Daily_Input!$G:$G,ROW()-3))</f>
        <v>15019.2</v>
      </c>
      <c r="Z54" s="5">
        <f>IF(ROW()&lt;=2+2,"",INDEX(Daily_Input!$H:$H,ROW()-3))</f>
        <v>420813.59080000001</v>
      </c>
      <c r="AA54" s="5">
        <f>Daily_Input!N54</f>
        <v>8.3119999999999994</v>
      </c>
      <c r="AB54" s="5">
        <f>Daily_Input!O54</f>
        <v>15.516</v>
      </c>
      <c r="AC54" s="5">
        <f>Daily_Input!P54</f>
        <v>12.992000000000001</v>
      </c>
      <c r="AD54" s="5">
        <f t="shared" si="1"/>
        <v>36.82</v>
      </c>
      <c r="AE54" s="5">
        <f t="shared" si="2"/>
        <v>15.516</v>
      </c>
      <c r="AF54" s="5">
        <f>IF(A54="","",IFERROR(INDEX(Daily_Input!$F:$F,ROW()+1),""))</f>
        <v>178085.30122443952</v>
      </c>
      <c r="AG54" s="5">
        <f>IF(A54="","",IFERROR(INDEX(Daily_Input!$F:$F,ROW()+2),""))</f>
        <v>337514.60830241977</v>
      </c>
      <c r="AH54" s="5">
        <f>IF(A54="","",IFERROR(INDEX(Daily_Input!$F:$F,ROW()+3),""))</f>
        <v>215817.96342063436</v>
      </c>
    </row>
    <row r="55" spans="1:34">
      <c r="A55" s="5">
        <f>Daily_Input!A55</f>
        <v>45892</v>
      </c>
      <c r="B55" s="5">
        <f>Daily_Input!F55</f>
        <v>178085.30122443952</v>
      </c>
      <c r="C55" s="5">
        <f>Daily_Input!D55</f>
        <v>489.63400000000001</v>
      </c>
      <c r="D55" s="5">
        <f>Daily_Input!E55</f>
        <v>1652616.0060848999</v>
      </c>
      <c r="E55" s="5" cm="1">
        <f t="array" ref="E55">IF(ROW()=2,"",INDEX(Daily_Input!$E:$E,ROW())-INDEX(Daily_Input!$E:$E,ROW()-1))</f>
        <v>-6059.7900618000422</v>
      </c>
      <c r="F55" s="5">
        <f>IFERROR(Daily_Input!E55/Config!$B$4,"")</f>
        <v>1.0167043078718501</v>
      </c>
      <c r="G55" s="5">
        <f>Daily_Input!I55</f>
        <v>13.4</v>
      </c>
      <c r="H55" s="5">
        <f>IF(A55="","",IF(ROW()=2,G55,Config!$B$5*H54+G55))</f>
        <v>194.32409830943399</v>
      </c>
      <c r="I55" s="5">
        <f t="shared" si="0"/>
        <v>235</v>
      </c>
      <c r="J55" s="5">
        <f>IF(I55="","",SIN(2*PI()*I55/Config!$B$6))</f>
        <v>-0.78564985507871443</v>
      </c>
      <c r="K55" s="5">
        <f>IF(I55="","",COS(2*PI()*I55/Config!$B$6))</f>
        <v>-0.61867140326250325</v>
      </c>
      <c r="L55" s="5">
        <f>IF(ROW()&lt;=2+0,"",INDEX(Daily_Input!$F:$F,ROW()-1))</f>
        <v>166176.7553640838</v>
      </c>
      <c r="M55" s="5">
        <f>IF(ROW()&lt;=2+1,"",INDEX(Daily_Input!$F:$F,ROW()-2))</f>
        <v>180929.54104251869</v>
      </c>
      <c r="N55" s="5">
        <f>IF(ROW()&lt;=2+2,"",INDEX(Daily_Input!$F:$F,ROW()-3))</f>
        <v>273036.44452348823</v>
      </c>
      <c r="O55" s="5">
        <f>IF(ROW()&lt;=2+6,"",INDEX(Daily_Input!$F:$F,ROW()-7))</f>
        <v>677549.22951010696</v>
      </c>
      <c r="P55" s="5">
        <f>IF(ROW()&lt;=2+13,"",INDEX(Daily_Input!$F:$F,ROW()-14))</f>
        <v>6105.1441541046324</v>
      </c>
      <c r="Q55" s="5">
        <f>IF(ROW()&lt;=4,"",SUM(INDEX(Daily_Input!$I:$I,ROW()-2):INDEX(Daily_Input!$I:$I,ROW())))</f>
        <v>28.6</v>
      </c>
      <c r="R55" s="5">
        <f>IF(ROW()&lt;=8,"",SUM(INDEX(Daily_Input!$I:$I,ROW()-6):INDEX(Daily_Input!$I:$I,ROW())))</f>
        <v>87.2</v>
      </c>
      <c r="S55" s="5">
        <f>IF(ROW()&lt;=15,"",SUM(INDEX(Daily_Input!$I:$I,ROW()-13):INDEX(Daily_Input!$I:$I,ROW())))</f>
        <v>162.20000000000002</v>
      </c>
      <c r="T55" s="5">
        <f>IF(ROW()&lt;=4,"",AVERAGE(INDEX(Daily_Input!$F:$F,ROW()-2):INDEX(Daily_Input!$F:$F,ROW())))</f>
        <v>175063.865877014</v>
      </c>
      <c r="U55" s="5">
        <f>IF(ROW()&lt;=2+0,"",INDEX(Daily_Input!$G:$G,ROW()-1))</f>
        <v>15019.2</v>
      </c>
      <c r="V55" s="5">
        <f>IF(ROW()&lt;=2+0,"",INDEX(Daily_Input!$H:$H,ROW()-1))</f>
        <v>157630.1244</v>
      </c>
      <c r="W55" s="5">
        <f>IF(ROW()&lt;=2+1,"",INDEX(Daily_Input!$G:$G,ROW()-2))</f>
        <v>15019.2</v>
      </c>
      <c r="X55" s="5">
        <f>IF(ROW()&lt;=2+1,"",INDEX(Daily_Input!$H:$H,ROW()-2))</f>
        <v>176886.0575</v>
      </c>
      <c r="Y55" s="5">
        <f>IF(ROW()&lt;=2+2,"",INDEX(Daily_Input!$G:$G,ROW()-3))</f>
        <v>15019.2</v>
      </c>
      <c r="Z55" s="5">
        <f>IF(ROW()&lt;=2+2,"",INDEX(Daily_Input!$H:$H,ROW()-3))</f>
        <v>272304.3187</v>
      </c>
      <c r="AA55" s="5">
        <f>Daily_Input!N55</f>
        <v>15.516</v>
      </c>
      <c r="AB55" s="5">
        <f>Daily_Input!O55</f>
        <v>12.992000000000001</v>
      </c>
      <c r="AC55" s="5">
        <f>Daily_Input!P55</f>
        <v>28.321000000000002</v>
      </c>
      <c r="AD55" s="5">
        <f t="shared" si="1"/>
        <v>56.829000000000008</v>
      </c>
      <c r="AE55" s="5">
        <f t="shared" si="2"/>
        <v>28.321000000000002</v>
      </c>
      <c r="AF55" s="5">
        <f>IF(A55="","",IFERROR(INDEX(Daily_Input!$F:$F,ROW()+1),""))</f>
        <v>337514.60830241977</v>
      </c>
      <c r="AG55" s="5">
        <f>IF(A55="","",IFERROR(INDEX(Daily_Input!$F:$F,ROW()+2),""))</f>
        <v>215817.96342063436</v>
      </c>
      <c r="AH55" s="5">
        <f>IF(A55="","",IFERROR(INDEX(Daily_Input!$F:$F,ROW()+3),""))</f>
        <v>237530.48619131639</v>
      </c>
    </row>
    <row r="56" spans="1:34">
      <c r="A56" s="5">
        <f>Daily_Input!A56</f>
        <v>45893</v>
      </c>
      <c r="B56" s="5">
        <f>Daily_Input!F56</f>
        <v>337514.60830241977</v>
      </c>
      <c r="C56" s="5">
        <f>Daily_Input!D56</f>
        <v>489.70499999999998</v>
      </c>
      <c r="D56" s="5">
        <f>Daily_Input!E56</f>
        <v>1673851.7406957999</v>
      </c>
      <c r="E56" s="5" cm="1">
        <f t="array" ref="E56">IF(ROW()=2,"",INDEX(Daily_Input!$E:$E,ROW())-INDEX(Daily_Input!$E:$E,ROW()-1))</f>
        <v>21235.73461090005</v>
      </c>
      <c r="F56" s="5">
        <f>IFERROR(Daily_Input!E56/Config!$B$4,"")</f>
        <v>1.0297687237919608</v>
      </c>
      <c r="G56" s="5">
        <f>Daily_Input!I56</f>
        <v>7.2</v>
      </c>
      <c r="H56" s="5">
        <f>IF(A56="","",IF(ROW()=2,G56,Config!$B$5*H55+G56))</f>
        <v>191.80789339396227</v>
      </c>
      <c r="I56" s="5">
        <f t="shared" si="0"/>
        <v>236</v>
      </c>
      <c r="J56" s="5">
        <f>IF(I56="","",SIN(2*PI()*I56/Config!$B$6))</f>
        <v>-0.79618286378261538</v>
      </c>
      <c r="K56" s="5">
        <f>IF(I56="","",COS(2*PI()*I56/Config!$B$6))</f>
        <v>-0.60505606964884939</v>
      </c>
      <c r="L56" s="5">
        <f>IF(ROW()&lt;=2+0,"",INDEX(Daily_Input!$F:$F,ROW()-1))</f>
        <v>178085.30122443952</v>
      </c>
      <c r="M56" s="5">
        <f>IF(ROW()&lt;=2+1,"",INDEX(Daily_Input!$F:$F,ROW()-2))</f>
        <v>166176.7553640838</v>
      </c>
      <c r="N56" s="5">
        <f>IF(ROW()&lt;=2+2,"",INDEX(Daily_Input!$F:$F,ROW()-3))</f>
        <v>180929.54104251869</v>
      </c>
      <c r="O56" s="5">
        <f>IF(ROW()&lt;=2+6,"",INDEX(Daily_Input!$F:$F,ROW()-7))</f>
        <v>986564.22054553858</v>
      </c>
      <c r="P56" s="5">
        <f>IF(ROW()&lt;=2+13,"",INDEX(Daily_Input!$F:$F,ROW()-14))</f>
        <v>7134.9206135948634</v>
      </c>
      <c r="Q56" s="5">
        <f>IF(ROW()&lt;=4,"",SUM(INDEX(Daily_Input!$I:$I,ROW()-2):INDEX(Daily_Input!$I:$I,ROW())))</f>
        <v>35.800000000000004</v>
      </c>
      <c r="R56" s="5">
        <f>IF(ROW()&lt;=8,"",SUM(INDEX(Daily_Input!$I:$I,ROW()-6):INDEX(Daily_Input!$I:$I,ROW())))</f>
        <v>47.2</v>
      </c>
      <c r="S56" s="5">
        <f>IF(ROW()&lt;=15,"",SUM(INDEX(Daily_Input!$I:$I,ROW()-13):INDEX(Daily_Input!$I:$I,ROW())))</f>
        <v>169.20000000000002</v>
      </c>
      <c r="T56" s="5">
        <f>IF(ROW()&lt;=4,"",AVERAGE(INDEX(Daily_Input!$F:$F,ROW()-2):INDEX(Daily_Input!$F:$F,ROW())))</f>
        <v>227258.88829698102</v>
      </c>
      <c r="U56" s="5">
        <f>IF(ROW()&lt;=2+0,"",INDEX(Daily_Input!$G:$G,ROW()-1))</f>
        <v>15019.2</v>
      </c>
      <c r="V56" s="5">
        <f>IF(ROW()&lt;=2+0,"",INDEX(Daily_Input!$H:$H,ROW()-1))</f>
        <v>172017.7188</v>
      </c>
      <c r="W56" s="5">
        <f>IF(ROW()&lt;=2+1,"",INDEX(Daily_Input!$G:$G,ROW()-2))</f>
        <v>15019.2</v>
      </c>
      <c r="X56" s="5">
        <f>IF(ROW()&lt;=2+1,"",INDEX(Daily_Input!$H:$H,ROW()-2))</f>
        <v>157630.1244</v>
      </c>
      <c r="Y56" s="5">
        <f>IF(ROW()&lt;=2+2,"",INDEX(Daily_Input!$G:$G,ROW()-3))</f>
        <v>15019.2</v>
      </c>
      <c r="Z56" s="5">
        <f>IF(ROW()&lt;=2+2,"",INDEX(Daily_Input!$H:$H,ROW()-3))</f>
        <v>176886.0575</v>
      </c>
      <c r="AA56" s="5">
        <f>Daily_Input!N56</f>
        <v>12.992000000000001</v>
      </c>
      <c r="AB56" s="5">
        <f>Daily_Input!O56</f>
        <v>28.321000000000002</v>
      </c>
      <c r="AC56" s="5">
        <f>Daily_Input!P56</f>
        <v>7.79</v>
      </c>
      <c r="AD56" s="5">
        <f t="shared" si="1"/>
        <v>49.103000000000002</v>
      </c>
      <c r="AE56" s="5">
        <f t="shared" si="2"/>
        <v>28.321000000000002</v>
      </c>
      <c r="AF56" s="5">
        <f>IF(A56="","",IFERROR(INDEX(Daily_Input!$F:$F,ROW()+1),""))</f>
        <v>215817.96342063436</v>
      </c>
      <c r="AG56" s="5">
        <f>IF(A56="","",IFERROR(INDEX(Daily_Input!$F:$F,ROW()+2),""))</f>
        <v>237530.48619131639</v>
      </c>
      <c r="AH56" s="5">
        <f>IF(A56="","",IFERROR(INDEX(Daily_Input!$F:$F,ROW()+3),""))</f>
        <v>933148.84322041948</v>
      </c>
    </row>
    <row r="57" spans="1:34">
      <c r="A57" s="5">
        <f>Daily_Input!A57</f>
        <v>45894</v>
      </c>
      <c r="B57" s="5">
        <f>Daily_Input!F57</f>
        <v>215817.96342063436</v>
      </c>
      <c r="C57" s="5">
        <f>Daily_Input!D57</f>
        <v>489.68599999999998</v>
      </c>
      <c r="D57" s="5">
        <f>Daily_Input!E57</f>
        <v>1667776.8298903999</v>
      </c>
      <c r="E57" s="5" cm="1">
        <f t="array" ref="E57">IF(ROW()=2,"",INDEX(Daily_Input!$E:$E,ROW())-INDEX(Daily_Input!$E:$E,ROW()-1))</f>
        <v>-6074.9108053999953</v>
      </c>
      <c r="F57" s="5">
        <f>IFERROR(Daily_Input!E57/Config!$B$4,"")</f>
        <v>1.026031383742581</v>
      </c>
      <c r="G57" s="5">
        <f>Daily_Input!I57</f>
        <v>14</v>
      </c>
      <c r="H57" s="5">
        <f>IF(A57="","",IF(ROW()=2,G57,Config!$B$5*H56+G57))</f>
        <v>196.21749872426415</v>
      </c>
      <c r="I57" s="5">
        <f t="shared" si="0"/>
        <v>237</v>
      </c>
      <c r="J57" s="5">
        <f>IF(I57="","",SIN(2*PI()*I57/Config!$B$6))</f>
        <v>-0.80647994632094466</v>
      </c>
      <c r="K57" s="5">
        <f>IF(I57="","",COS(2*PI()*I57/Config!$B$6))</f>
        <v>-0.59126144486357834</v>
      </c>
      <c r="L57" s="5">
        <f>IF(ROW()&lt;=2+0,"",INDEX(Daily_Input!$F:$F,ROW()-1))</f>
        <v>337514.60830241977</v>
      </c>
      <c r="M57" s="5">
        <f>IF(ROW()&lt;=2+1,"",INDEX(Daily_Input!$F:$F,ROW()-2))</f>
        <v>178085.30122443952</v>
      </c>
      <c r="N57" s="5">
        <f>IF(ROW()&lt;=2+2,"",INDEX(Daily_Input!$F:$F,ROW()-3))</f>
        <v>166176.7553640838</v>
      </c>
      <c r="O57" s="5">
        <f>IF(ROW()&lt;=2+6,"",INDEX(Daily_Input!$F:$F,ROW()-7))</f>
        <v>659131.97695436364</v>
      </c>
      <c r="P57" s="5">
        <f>IF(ROW()&lt;=2+13,"",INDEX(Daily_Input!$F:$F,ROW()-14))</f>
        <v>4248.5923766174883</v>
      </c>
      <c r="Q57" s="5">
        <f>IF(ROW()&lt;=4,"",SUM(INDEX(Daily_Input!$I:$I,ROW()-2):INDEX(Daily_Input!$I:$I,ROW())))</f>
        <v>34.6</v>
      </c>
      <c r="R57" s="5">
        <f>IF(ROW()&lt;=8,"",SUM(INDEX(Daily_Input!$I:$I,ROW()-6):INDEX(Daily_Input!$I:$I,ROW())))</f>
        <v>50.6</v>
      </c>
      <c r="S57" s="5">
        <f>IF(ROW()&lt;=15,"",SUM(INDEX(Daily_Input!$I:$I,ROW()-13):INDEX(Daily_Input!$I:$I,ROW())))</f>
        <v>183.20000000000002</v>
      </c>
      <c r="T57" s="5">
        <f>IF(ROW()&lt;=4,"",AVERAGE(INDEX(Daily_Input!$F:$F,ROW()-2):INDEX(Daily_Input!$F:$F,ROW())))</f>
        <v>243805.95764916457</v>
      </c>
      <c r="U57" s="5">
        <f>IF(ROW()&lt;=2+0,"",INDEX(Daily_Input!$G:$G,ROW()-1))</f>
        <v>15019.2</v>
      </c>
      <c r="V57" s="5">
        <f>IF(ROW()&lt;=2+0,"",INDEX(Daily_Input!$H:$H,ROW()-1))</f>
        <v>302277.38640000002</v>
      </c>
      <c r="W57" s="5">
        <f>IF(ROW()&lt;=2+1,"",INDEX(Daily_Input!$G:$G,ROW()-2))</f>
        <v>15019.2</v>
      </c>
      <c r="X57" s="5">
        <f>IF(ROW()&lt;=2+1,"",INDEX(Daily_Input!$H:$H,ROW()-2))</f>
        <v>172017.7188</v>
      </c>
      <c r="Y57" s="5">
        <f>IF(ROW()&lt;=2+2,"",INDEX(Daily_Input!$G:$G,ROW()-3))</f>
        <v>15019.2</v>
      </c>
      <c r="Z57" s="5">
        <f>IF(ROW()&lt;=2+2,"",INDEX(Daily_Input!$H:$H,ROW()-3))</f>
        <v>157630.1244</v>
      </c>
      <c r="AA57" s="5">
        <f>Daily_Input!N57</f>
        <v>28.321000000000002</v>
      </c>
      <c r="AB57" s="5">
        <f>Daily_Input!O57</f>
        <v>7.79</v>
      </c>
      <c r="AC57" s="5">
        <f>Daily_Input!P57</f>
        <v>8.4710000000000001</v>
      </c>
      <c r="AD57" s="5">
        <f t="shared" si="1"/>
        <v>44.582000000000008</v>
      </c>
      <c r="AE57" s="5">
        <f t="shared" si="2"/>
        <v>28.321000000000002</v>
      </c>
      <c r="AF57" s="5">
        <f>IF(A57="","",IFERROR(INDEX(Daily_Input!$F:$F,ROW()+1),""))</f>
        <v>237530.48619131639</v>
      </c>
      <c r="AG57" s="5">
        <f>IF(A57="","",IFERROR(INDEX(Daily_Input!$F:$F,ROW()+2),""))</f>
        <v>933148.84322041948</v>
      </c>
      <c r="AH57" s="5">
        <f>IF(A57="","",IFERROR(INDEX(Daily_Input!$F:$F,ROW()+3),""))</f>
        <v>682947.49308773025</v>
      </c>
    </row>
    <row r="58" spans="1:34">
      <c r="A58" s="5">
        <f>Daily_Input!A58</f>
        <v>45895</v>
      </c>
      <c r="B58" s="5">
        <f>Daily_Input!F58</f>
        <v>237530.48619131639</v>
      </c>
      <c r="C58" s="5">
        <f>Daily_Input!D58</f>
        <v>489.64800000000002</v>
      </c>
      <c r="D58" s="5">
        <f>Daily_Input!E58</f>
        <v>1655645.1614623</v>
      </c>
      <c r="E58" s="5" cm="1">
        <f t="array" ref="E58">IF(ROW()=2,"",INDEX(Daily_Input!$E:$E,ROW())-INDEX(Daily_Input!$E:$E,ROW()-1))</f>
        <v>-12131.668428099947</v>
      </c>
      <c r="F58" s="5">
        <f>IFERROR(Daily_Input!E58/Config!$B$4,"")</f>
        <v>1.018567871645937</v>
      </c>
      <c r="G58" s="5">
        <f>Daily_Input!I58</f>
        <v>12.8</v>
      </c>
      <c r="H58" s="5">
        <f>IF(A58="","",IF(ROW()=2,G58,Config!$B$5*H57+G58))</f>
        <v>199.20662378805093</v>
      </c>
      <c r="I58" s="5">
        <f t="shared" si="0"/>
        <v>238</v>
      </c>
      <c r="J58" s="5">
        <f>IF(I58="","",SIN(2*PI()*I58/Config!$B$6))</f>
        <v>-0.81653805144591574</v>
      </c>
      <c r="K58" s="5">
        <f>IF(I58="","",COS(2*PI()*I58/Config!$B$6))</f>
        <v>-0.57729161655172778</v>
      </c>
      <c r="L58" s="5">
        <f>IF(ROW()&lt;=2+0,"",INDEX(Daily_Input!$F:$F,ROW()-1))</f>
        <v>215817.96342063436</v>
      </c>
      <c r="M58" s="5">
        <f>IF(ROW()&lt;=2+1,"",INDEX(Daily_Input!$F:$F,ROW()-2))</f>
        <v>337514.60830241977</v>
      </c>
      <c r="N58" s="5">
        <f>IF(ROW()&lt;=2+2,"",INDEX(Daily_Input!$F:$F,ROW()-3))</f>
        <v>178085.30122443952</v>
      </c>
      <c r="O58" s="5">
        <f>IF(ROW()&lt;=2+6,"",INDEX(Daily_Input!$F:$F,ROW()-7))</f>
        <v>412548.03222377884</v>
      </c>
      <c r="P58" s="5">
        <f>IF(ROW()&lt;=2+13,"",INDEX(Daily_Input!$F:$F,ROW()-14))</f>
        <v>13195.054832284008</v>
      </c>
      <c r="Q58" s="5">
        <f>IF(ROW()&lt;=4,"",SUM(INDEX(Daily_Input!$I:$I,ROW()-2):INDEX(Daily_Input!$I:$I,ROW())))</f>
        <v>34</v>
      </c>
      <c r="R58" s="5">
        <f>IF(ROW()&lt;=8,"",SUM(INDEX(Daily_Input!$I:$I,ROW()-6):INDEX(Daily_Input!$I:$I,ROW())))</f>
        <v>63.400000000000006</v>
      </c>
      <c r="S58" s="5">
        <f>IF(ROW()&lt;=15,"",SUM(INDEX(Daily_Input!$I:$I,ROW()-13):INDEX(Daily_Input!$I:$I,ROW())))</f>
        <v>196.00000000000003</v>
      </c>
      <c r="T58" s="5">
        <f>IF(ROW()&lt;=4,"",AVERAGE(INDEX(Daily_Input!$F:$F,ROW()-2):INDEX(Daily_Input!$F:$F,ROW())))</f>
        <v>263621.01930479018</v>
      </c>
      <c r="U58" s="5">
        <f>IF(ROW()&lt;=2+0,"",INDEX(Daily_Input!$G:$G,ROW()-1))</f>
        <v>15019.2</v>
      </c>
      <c r="V58" s="5">
        <f>IF(ROW()&lt;=2+0,"",INDEX(Daily_Input!$H:$H,ROW()-1))</f>
        <v>209954.82500000001</v>
      </c>
      <c r="W58" s="5">
        <f>IF(ROW()&lt;=2+1,"",INDEX(Daily_Input!$G:$G,ROW()-2))</f>
        <v>15019.2</v>
      </c>
      <c r="X58" s="5">
        <f>IF(ROW()&lt;=2+1,"",INDEX(Daily_Input!$H:$H,ROW()-2))</f>
        <v>302277.38640000002</v>
      </c>
      <c r="Y58" s="5">
        <f>IF(ROW()&lt;=2+2,"",INDEX(Daily_Input!$G:$G,ROW()-3))</f>
        <v>15019.2</v>
      </c>
      <c r="Z58" s="5">
        <f>IF(ROW()&lt;=2+2,"",INDEX(Daily_Input!$H:$H,ROW()-3))</f>
        <v>172017.7188</v>
      </c>
      <c r="AA58" s="5">
        <f>Daily_Input!N58</f>
        <v>7.79</v>
      </c>
      <c r="AB58" s="5">
        <f>Daily_Input!O58</f>
        <v>8.4710000000000001</v>
      </c>
      <c r="AC58" s="5">
        <f>Daily_Input!P58</f>
        <v>3.2040000000000002</v>
      </c>
      <c r="AD58" s="5">
        <f t="shared" si="1"/>
        <v>19.465</v>
      </c>
      <c r="AE58" s="5">
        <f t="shared" si="2"/>
        <v>8.4710000000000001</v>
      </c>
      <c r="AF58" s="5">
        <f>IF(A58="","",IFERROR(INDEX(Daily_Input!$F:$F,ROW()+1),""))</f>
        <v>933148.84322041948</v>
      </c>
      <c r="AG58" s="5">
        <f>IF(A58="","",IFERROR(INDEX(Daily_Input!$F:$F,ROW()+2),""))</f>
        <v>682947.49308773025</v>
      </c>
      <c r="AH58" s="5">
        <f>IF(A58="","",IFERROR(INDEX(Daily_Input!$F:$F,ROW()+3),""))</f>
        <v>457141.1065816881</v>
      </c>
    </row>
    <row r="59" spans="1:34">
      <c r="A59" s="5">
        <f>Daily_Input!A59</f>
        <v>45896</v>
      </c>
      <c r="B59" s="5">
        <f>Daily_Input!F59</f>
        <v>933148.84322041948</v>
      </c>
      <c r="C59" s="5">
        <f>Daily_Input!D59</f>
        <v>489.87200000000001</v>
      </c>
      <c r="D59" s="5">
        <f>Daily_Input!E59</f>
        <v>1725819.6938243001</v>
      </c>
      <c r="E59" s="5" cm="1">
        <f t="array" ref="E59">IF(ROW()=2,"",INDEX(Daily_Input!$E:$E,ROW())-INDEX(Daily_Input!$E:$E,ROW()-1))</f>
        <v>70174.532362000085</v>
      </c>
      <c r="F59" s="5">
        <f>IFERROR(Daily_Input!E59/Config!$B$4,"")</f>
        <v>1.0617398783871526</v>
      </c>
      <c r="G59" s="5">
        <f>Daily_Input!I59</f>
        <v>36.4</v>
      </c>
      <c r="H59" s="5">
        <f>IF(A59="","",IF(ROW()=2,G59,Config!$B$5*H58+G59))</f>
        <v>225.64629259864839</v>
      </c>
      <c r="I59" s="5">
        <f t="shared" si="0"/>
        <v>239</v>
      </c>
      <c r="J59" s="5">
        <f>IF(I59="","",SIN(2*PI()*I59/Config!$B$6))</f>
        <v>-0.82635419872390936</v>
      </c>
      <c r="K59" s="5">
        <f>IF(I59="","",COS(2*PI()*I59/Config!$B$6))</f>
        <v>-0.56315072427491886</v>
      </c>
      <c r="L59" s="5">
        <f>IF(ROW()&lt;=2+0,"",INDEX(Daily_Input!$F:$F,ROW()-1))</f>
        <v>237530.48619131639</v>
      </c>
      <c r="M59" s="5">
        <f>IF(ROW()&lt;=2+1,"",INDEX(Daily_Input!$F:$F,ROW()-2))</f>
        <v>215817.96342063436</v>
      </c>
      <c r="N59" s="5">
        <f>IF(ROW()&lt;=2+2,"",INDEX(Daily_Input!$F:$F,ROW()-3))</f>
        <v>337514.60830241977</v>
      </c>
      <c r="O59" s="5">
        <f>IF(ROW()&lt;=2+6,"",INDEX(Daily_Input!$F:$F,ROW()-7))</f>
        <v>273036.44452348823</v>
      </c>
      <c r="P59" s="5">
        <f>IF(ROW()&lt;=2+13,"",INDEX(Daily_Input!$F:$F,ROW()-14))</f>
        <v>58290.831188900927</v>
      </c>
      <c r="Q59" s="5">
        <f>IF(ROW()&lt;=4,"",SUM(INDEX(Daily_Input!$I:$I,ROW()-2):INDEX(Daily_Input!$I:$I,ROW())))</f>
        <v>63.2</v>
      </c>
      <c r="R59" s="5">
        <f>IF(ROW()&lt;=8,"",SUM(INDEX(Daily_Input!$I:$I,ROW()-6):INDEX(Daily_Input!$I:$I,ROW())))</f>
        <v>99</v>
      </c>
      <c r="S59" s="5">
        <f>IF(ROW()&lt;=15,"",SUM(INDEX(Daily_Input!$I:$I,ROW()-13):INDEX(Daily_Input!$I:$I,ROW())))</f>
        <v>205.4</v>
      </c>
      <c r="T59" s="5">
        <f>IF(ROW()&lt;=4,"",AVERAGE(INDEX(Daily_Input!$F:$F,ROW()-2):INDEX(Daily_Input!$F:$F,ROW())))</f>
        <v>462165.76427745679</v>
      </c>
      <c r="U59" s="5">
        <f>IF(ROW()&lt;=2+0,"",INDEX(Daily_Input!$G:$G,ROW()-1))</f>
        <v>15019.2</v>
      </c>
      <c r="V59" s="5">
        <f>IF(ROW()&lt;=2+0,"",INDEX(Daily_Input!$H:$H,ROW()-1))</f>
        <v>237354.42230000001</v>
      </c>
      <c r="W59" s="5">
        <f>IF(ROW()&lt;=2+1,"",INDEX(Daily_Input!$G:$G,ROW()-2))</f>
        <v>15019.2</v>
      </c>
      <c r="X59" s="5">
        <f>IF(ROW()&lt;=2+1,"",INDEX(Daily_Input!$H:$H,ROW()-2))</f>
        <v>209954.82500000001</v>
      </c>
      <c r="Y59" s="5">
        <f>IF(ROW()&lt;=2+2,"",INDEX(Daily_Input!$G:$G,ROW()-3))</f>
        <v>15019.2</v>
      </c>
      <c r="Z59" s="5">
        <f>IF(ROW()&lt;=2+2,"",INDEX(Daily_Input!$H:$H,ROW()-3))</f>
        <v>302277.38640000002</v>
      </c>
      <c r="AA59" s="5">
        <f>Daily_Input!N59</f>
        <v>8.4710000000000001</v>
      </c>
      <c r="AB59" s="5">
        <f>Daily_Input!O59</f>
        <v>3.2040000000000002</v>
      </c>
      <c r="AC59" s="5">
        <f>Daily_Input!P59</f>
        <v>6.0037000000000003</v>
      </c>
      <c r="AD59" s="5">
        <f t="shared" si="1"/>
        <v>17.678699999999999</v>
      </c>
      <c r="AE59" s="5">
        <f t="shared" si="2"/>
        <v>8.4710000000000001</v>
      </c>
      <c r="AF59" s="5">
        <f>IF(A59="","",IFERROR(INDEX(Daily_Input!$F:$F,ROW()+1),""))</f>
        <v>682947.49308773025</v>
      </c>
      <c r="AG59" s="5">
        <f>IF(A59="","",IFERROR(INDEX(Daily_Input!$F:$F,ROW()+2),""))</f>
        <v>457141.1065816881</v>
      </c>
      <c r="AH59" s="5">
        <f>IF(A59="","",IFERROR(INDEX(Daily_Input!$F:$F,ROW()+3),""))</f>
        <v>337714.76111845404</v>
      </c>
    </row>
    <row r="60" spans="1:34">
      <c r="A60" s="5">
        <f>Daily_Input!A60</f>
        <v>45897</v>
      </c>
      <c r="B60" s="5">
        <f>Daily_Input!F60</f>
        <v>682947.49308773025</v>
      </c>
      <c r="C60" s="5">
        <f>Daily_Input!D60</f>
        <v>489.839</v>
      </c>
      <c r="D60" s="5">
        <f>Daily_Input!E60</f>
        <v>1713524.2337388999</v>
      </c>
      <c r="E60" s="5" cm="1">
        <f t="array" ref="E60">IF(ROW()=2,"",INDEX(Daily_Input!$E:$E,ROW())-INDEX(Daily_Input!$E:$E,ROW()-1))</f>
        <v>-12295.460085400147</v>
      </c>
      <c r="F60" s="5">
        <f>IFERROR(Daily_Input!E60/Config!$B$4,"")</f>
        <v>1.0541756001821339</v>
      </c>
      <c r="G60" s="5">
        <f>Daily_Input!I60</f>
        <v>23</v>
      </c>
      <c r="H60" s="5">
        <f>IF(A60="","",IF(ROW()=2,G60,Config!$B$5*H59+G60))</f>
        <v>237.36397796871594</v>
      </c>
      <c r="I60" s="5">
        <f t="shared" si="0"/>
        <v>240</v>
      </c>
      <c r="J60" s="5">
        <f>IF(I60="","",SIN(2*PI()*I60/Config!$B$6))</f>
        <v>-0.83592547941863649</v>
      </c>
      <c r="K60" s="5">
        <f>IF(I60="","",COS(2*PI()*I60/Config!$B$6))</f>
        <v>-0.54884295828471985</v>
      </c>
      <c r="L60" s="5">
        <f>IF(ROW()&lt;=2+0,"",INDEX(Daily_Input!$F:$F,ROW()-1))</f>
        <v>933148.84322041948</v>
      </c>
      <c r="M60" s="5">
        <f>IF(ROW()&lt;=2+1,"",INDEX(Daily_Input!$F:$F,ROW()-2))</f>
        <v>237530.48619131639</v>
      </c>
      <c r="N60" s="5">
        <f>IF(ROW()&lt;=2+2,"",INDEX(Daily_Input!$F:$F,ROW()-3))</f>
        <v>215817.96342063436</v>
      </c>
      <c r="O60" s="5">
        <f>IF(ROW()&lt;=2+6,"",INDEX(Daily_Input!$F:$F,ROW()-7))</f>
        <v>180929.54104251869</v>
      </c>
      <c r="P60" s="5">
        <f>IF(ROW()&lt;=2+13,"",INDEX(Daily_Input!$F:$F,ROW()-14))</f>
        <v>98994.809420294972</v>
      </c>
      <c r="Q60" s="5">
        <f>IF(ROW()&lt;=4,"",SUM(INDEX(Daily_Input!$I:$I,ROW()-2):INDEX(Daily_Input!$I:$I,ROW())))</f>
        <v>72.2</v>
      </c>
      <c r="R60" s="5">
        <f>IF(ROW()&lt;=8,"",SUM(INDEX(Daily_Input!$I:$I,ROW()-6):INDEX(Daily_Input!$I:$I,ROW())))</f>
        <v>122</v>
      </c>
      <c r="S60" s="5">
        <f>IF(ROW()&lt;=15,"",SUM(INDEX(Daily_Input!$I:$I,ROW()-13):INDEX(Daily_Input!$I:$I,ROW())))</f>
        <v>216.8</v>
      </c>
      <c r="T60" s="5">
        <f>IF(ROW()&lt;=4,"",AVERAGE(INDEX(Daily_Input!$F:$F,ROW()-2):INDEX(Daily_Input!$F:$F,ROW())))</f>
        <v>617875.60749982204</v>
      </c>
      <c r="U60" s="5">
        <f>IF(ROW()&lt;=2+0,"",INDEX(Daily_Input!$G:$G,ROW()-1))</f>
        <v>15019.2</v>
      </c>
      <c r="V60" s="5">
        <f>IF(ROW()&lt;=2+0,"",INDEX(Daily_Input!$H:$H,ROW()-1))</f>
        <v>857970.94030000002</v>
      </c>
      <c r="W60" s="5">
        <f>IF(ROW()&lt;=2+1,"",INDEX(Daily_Input!$G:$G,ROW()-2))</f>
        <v>15019.2</v>
      </c>
      <c r="X60" s="5">
        <f>IF(ROW()&lt;=2+1,"",INDEX(Daily_Input!$H:$H,ROW()-2))</f>
        <v>237354.42230000001</v>
      </c>
      <c r="Y60" s="5">
        <f>IF(ROW()&lt;=2+2,"",INDEX(Daily_Input!$G:$G,ROW()-3))</f>
        <v>15019.2</v>
      </c>
      <c r="Z60" s="5">
        <f>IF(ROW()&lt;=2+2,"",INDEX(Daily_Input!$H:$H,ROW()-3))</f>
        <v>209954.82500000001</v>
      </c>
      <c r="AA60" s="5">
        <f>Daily_Input!N60</f>
        <v>3.2040000000000002</v>
      </c>
      <c r="AB60" s="5">
        <f>Daily_Input!O60</f>
        <v>6.0037000000000003</v>
      </c>
      <c r="AC60" s="5">
        <f>Daily_Input!P60</f>
        <v>4.5449999999999999</v>
      </c>
      <c r="AD60" s="5">
        <f t="shared" si="1"/>
        <v>13.752700000000001</v>
      </c>
      <c r="AE60" s="5">
        <f t="shared" si="2"/>
        <v>6.0037000000000003</v>
      </c>
      <c r="AF60" s="5">
        <f>IF(A60="","",IFERROR(INDEX(Daily_Input!$F:$F,ROW()+1),""))</f>
        <v>457141.1065816881</v>
      </c>
      <c r="AG60" s="5">
        <f>IF(A60="","",IFERROR(INDEX(Daily_Input!$F:$F,ROW()+2),""))</f>
        <v>337714.76111845404</v>
      </c>
      <c r="AH60" s="5">
        <f>IF(A60="","",IFERROR(INDEX(Daily_Input!$F:$F,ROW()+3),""))</f>
        <v>299004.80630702799</v>
      </c>
    </row>
    <row r="61" spans="1:34">
      <c r="A61" s="5">
        <f>Daily_Input!A61</f>
        <v>45898</v>
      </c>
      <c r="B61" s="5">
        <f>Daily_Input!F61</f>
        <v>457141.1065816881</v>
      </c>
      <c r="C61" s="5">
        <f>Daily_Input!D61</f>
        <v>489.77</v>
      </c>
      <c r="D61" s="5">
        <f>Daily_Input!E61</f>
        <v>1695162.8519716</v>
      </c>
      <c r="E61" s="5" cm="1">
        <f t="array" ref="E61">IF(ROW()=2,"",INDEX(Daily_Input!$E:$E,ROW())-INDEX(Daily_Input!$E:$E,ROW()-1))</f>
        <v>-18361.381767299958</v>
      </c>
      <c r="F61" s="5">
        <f>IFERROR(Daily_Input!E61/Config!$B$4,"")</f>
        <v>1.0428795121177814</v>
      </c>
      <c r="G61" s="5">
        <f>Daily_Input!I61</f>
        <v>0</v>
      </c>
      <c r="H61" s="5">
        <f>IF(A61="","",IF(ROW()=2,G61,Config!$B$5*H60+G61))</f>
        <v>225.49577907028012</v>
      </c>
      <c r="I61" s="5">
        <f t="shared" si="0"/>
        <v>241</v>
      </c>
      <c r="J61" s="5">
        <f>IF(I61="","",SIN(2*PI()*I61/Config!$B$6))</f>
        <v>-0.84524905735306333</v>
      </c>
      <c r="K61" s="5">
        <f>IF(I61="","",COS(2*PI()*I61/Config!$B$6))</f>
        <v>-0.53437255828097852</v>
      </c>
      <c r="L61" s="5">
        <f>IF(ROW()&lt;=2+0,"",INDEX(Daily_Input!$F:$F,ROW()-1))</f>
        <v>682947.49308773025</v>
      </c>
      <c r="M61" s="5">
        <f>IF(ROW()&lt;=2+1,"",INDEX(Daily_Input!$F:$F,ROW()-2))</f>
        <v>933148.84322041948</v>
      </c>
      <c r="N61" s="5">
        <f>IF(ROW()&lt;=2+2,"",INDEX(Daily_Input!$F:$F,ROW()-3))</f>
        <v>237530.48619131639</v>
      </c>
      <c r="O61" s="5">
        <f>IF(ROW()&lt;=2+6,"",INDEX(Daily_Input!$F:$F,ROW()-7))</f>
        <v>166176.7553640838</v>
      </c>
      <c r="P61" s="5">
        <f>IF(ROW()&lt;=2+13,"",INDEX(Daily_Input!$F:$F,ROW()-14))</f>
        <v>124187.95301213139</v>
      </c>
      <c r="Q61" s="5">
        <f>IF(ROW()&lt;=4,"",SUM(INDEX(Daily_Input!$I:$I,ROW()-2):INDEX(Daily_Input!$I:$I,ROW())))</f>
        <v>59.4</v>
      </c>
      <c r="R61" s="5">
        <f>IF(ROW()&lt;=8,"",SUM(INDEX(Daily_Input!$I:$I,ROW()-6):INDEX(Daily_Input!$I:$I,ROW())))</f>
        <v>106.80000000000001</v>
      </c>
      <c r="S61" s="5">
        <f>IF(ROW()&lt;=15,"",SUM(INDEX(Daily_Input!$I:$I,ROW()-13):INDEX(Daily_Input!$I:$I,ROW())))</f>
        <v>212.80000000000004</v>
      </c>
      <c r="T61" s="5">
        <f>IF(ROW()&lt;=4,"",AVERAGE(INDEX(Daily_Input!$F:$F,ROW()-2):INDEX(Daily_Input!$F:$F,ROW())))</f>
        <v>691079.14762994589</v>
      </c>
      <c r="U61" s="5">
        <f>IF(ROW()&lt;=2+0,"",INDEX(Daily_Input!$G:$G,ROW()-1))</f>
        <v>15019.2</v>
      </c>
      <c r="V61" s="5">
        <f>IF(ROW()&lt;=2+0,"",INDEX(Daily_Input!$H:$H,ROW()-1))</f>
        <v>686103.61320000002</v>
      </c>
      <c r="W61" s="5">
        <f>IF(ROW()&lt;=2+1,"",INDEX(Daily_Input!$G:$G,ROW()-2))</f>
        <v>15019.2</v>
      </c>
      <c r="X61" s="5">
        <f>IF(ROW()&lt;=2+1,"",INDEX(Daily_Input!$H:$H,ROW()-2))</f>
        <v>857970.94030000002</v>
      </c>
      <c r="Y61" s="5">
        <f>IF(ROW()&lt;=2+2,"",INDEX(Daily_Input!$G:$G,ROW()-3))</f>
        <v>15019.2</v>
      </c>
      <c r="Z61" s="5">
        <f>IF(ROW()&lt;=2+2,"",INDEX(Daily_Input!$H:$H,ROW()-3))</f>
        <v>237354.42230000001</v>
      </c>
      <c r="AA61" s="5">
        <f>Daily_Input!N61</f>
        <v>6.0037000000000003</v>
      </c>
      <c r="AB61" s="5">
        <f>Daily_Input!O61</f>
        <v>4.5449999999999999</v>
      </c>
      <c r="AC61" s="5">
        <f>Daily_Input!P61</f>
        <v>3.915</v>
      </c>
      <c r="AD61" s="5">
        <f t="shared" si="1"/>
        <v>14.463699999999999</v>
      </c>
      <c r="AE61" s="5">
        <f t="shared" si="2"/>
        <v>6.0037000000000003</v>
      </c>
      <c r="AF61" s="5">
        <f>IF(A61="","",IFERROR(INDEX(Daily_Input!$F:$F,ROW()+1),""))</f>
        <v>337714.76111845404</v>
      </c>
      <c r="AG61" s="5">
        <f>IF(A61="","",IFERROR(INDEX(Daily_Input!$F:$F,ROW()+2),""))</f>
        <v>299004.80630702799</v>
      </c>
      <c r="AH61" s="5">
        <f>IF(A61="","",IFERROR(INDEX(Daily_Input!$F:$F,ROW()+3),""))</f>
        <v>237129.5711383255</v>
      </c>
    </row>
    <row r="62" spans="1:34">
      <c r="A62" s="5">
        <f>Daily_Input!A62</f>
        <v>45899</v>
      </c>
      <c r="B62" s="5">
        <f>Daily_Input!F62</f>
        <v>337714.76111845404</v>
      </c>
      <c r="C62" s="5">
        <f>Daily_Input!D62</f>
        <v>489.71699999999998</v>
      </c>
      <c r="D62" s="5">
        <f>Daily_Input!E62</f>
        <v>1676891.4600323001</v>
      </c>
      <c r="E62" s="5" cm="1">
        <f t="array" ref="E62">IF(ROW()=2,"",INDEX(Daily_Input!$E:$E,ROW())-INDEX(Daily_Input!$E:$E,ROW()-1))</f>
        <v>-18271.39193929988</v>
      </c>
      <c r="F62" s="5">
        <f>IFERROR(Daily_Input!E62/Config!$B$4,"")</f>
        <v>1.0316387866091923</v>
      </c>
      <c r="G62" s="5">
        <f>Daily_Input!I62</f>
        <v>0</v>
      </c>
      <c r="H62" s="5">
        <f>IF(A62="","",IF(ROW()=2,G62,Config!$B$5*H61+G62))</f>
        <v>214.2209901167661</v>
      </c>
      <c r="I62" s="5">
        <f t="shared" si="0"/>
        <v>242</v>
      </c>
      <c r="J62" s="5">
        <f>IF(I62="","",SIN(2*PI()*I62/Config!$B$6))</f>
        <v>-0.85432216974982689</v>
      </c>
      <c r="K62" s="5">
        <f>IF(I62="","",COS(2*PI()*I62/Config!$B$6))</f>
        <v>-0.51974381215551568</v>
      </c>
      <c r="L62" s="5">
        <f>IF(ROW()&lt;=2+0,"",INDEX(Daily_Input!$F:$F,ROW()-1))</f>
        <v>457141.1065816881</v>
      </c>
      <c r="M62" s="5">
        <f>IF(ROW()&lt;=2+1,"",INDEX(Daily_Input!$F:$F,ROW()-2))</f>
        <v>682947.49308773025</v>
      </c>
      <c r="N62" s="5">
        <f>IF(ROW()&lt;=2+2,"",INDEX(Daily_Input!$F:$F,ROW()-3))</f>
        <v>933148.84322041948</v>
      </c>
      <c r="O62" s="5">
        <f>IF(ROW()&lt;=2+6,"",INDEX(Daily_Input!$F:$F,ROW()-7))</f>
        <v>178085.30122443952</v>
      </c>
      <c r="P62" s="5">
        <f>IF(ROW()&lt;=2+13,"",INDEX(Daily_Input!$F:$F,ROW()-14))</f>
        <v>677549.22951010696</v>
      </c>
      <c r="Q62" s="5">
        <f>IF(ROW()&lt;=4,"",SUM(INDEX(Daily_Input!$I:$I,ROW()-2):INDEX(Daily_Input!$I:$I,ROW())))</f>
        <v>23</v>
      </c>
      <c r="R62" s="5">
        <f>IF(ROW()&lt;=8,"",SUM(INDEX(Daily_Input!$I:$I,ROW()-6):INDEX(Daily_Input!$I:$I,ROW())))</f>
        <v>93.4</v>
      </c>
      <c r="S62" s="5">
        <f>IF(ROW()&lt;=15,"",SUM(INDEX(Daily_Input!$I:$I,ROW()-13):INDEX(Daily_Input!$I:$I,ROW())))</f>
        <v>180.6</v>
      </c>
      <c r="T62" s="5">
        <f>IF(ROW()&lt;=4,"",AVERAGE(INDEX(Daily_Input!$F:$F,ROW()-2):INDEX(Daily_Input!$F:$F,ROW())))</f>
        <v>492601.12026262406</v>
      </c>
      <c r="U62" s="5">
        <f>IF(ROW()&lt;=2+0,"",INDEX(Daily_Input!$G:$G,ROW()-1))</f>
        <v>15019.2</v>
      </c>
      <c r="V62" s="5">
        <f>IF(ROW()&lt;=2+0,"",INDEX(Daily_Input!$H:$H,ROW()-1))</f>
        <v>459308.64809999999</v>
      </c>
      <c r="W62" s="5">
        <f>IF(ROW()&lt;=2+1,"",INDEX(Daily_Input!$G:$G,ROW()-2))</f>
        <v>15019.2</v>
      </c>
      <c r="X62" s="5">
        <f>IF(ROW()&lt;=2+1,"",INDEX(Daily_Input!$H:$H,ROW()-2))</f>
        <v>686103.61320000002</v>
      </c>
      <c r="Y62" s="5">
        <f>IF(ROW()&lt;=2+2,"",INDEX(Daily_Input!$G:$G,ROW()-3))</f>
        <v>15019.2</v>
      </c>
      <c r="Z62" s="5">
        <f>IF(ROW()&lt;=2+2,"",INDEX(Daily_Input!$H:$H,ROW()-3))</f>
        <v>857970.94030000002</v>
      </c>
      <c r="AA62" s="5">
        <f>Daily_Input!N62</f>
        <v>4.5449999999999999</v>
      </c>
      <c r="AB62" s="5">
        <f>Daily_Input!O62</f>
        <v>3.915</v>
      </c>
      <c r="AC62" s="5">
        <f>Daily_Input!P62</f>
        <v>7.0170000000000003</v>
      </c>
      <c r="AD62" s="5">
        <f t="shared" si="1"/>
        <v>15.477</v>
      </c>
      <c r="AE62" s="5">
        <f t="shared" si="2"/>
        <v>7.0170000000000003</v>
      </c>
      <c r="AF62" s="5">
        <f>IF(A62="","",IFERROR(INDEX(Daily_Input!$F:$F,ROW()+1),""))</f>
        <v>299004.80630702799</v>
      </c>
      <c r="AG62" s="5">
        <f>IF(A62="","",IFERROR(INDEX(Daily_Input!$F:$F,ROW()+2),""))</f>
        <v>237129.5711383255</v>
      </c>
      <c r="AH62" s="5">
        <f>IF(A62="","",IFERROR(INDEX(Daily_Input!$F:$F,ROW()+3),""))</f>
        <v>196072.64086824178</v>
      </c>
    </row>
    <row r="63" spans="1:34">
      <c r="A63" s="5">
        <f>Daily_Input!A63</f>
        <v>45900</v>
      </c>
      <c r="B63" s="5">
        <f>Daily_Input!F63</f>
        <v>299004.80630702799</v>
      </c>
      <c r="C63" s="5">
        <f>Daily_Input!D63</f>
        <v>489.70499999999998</v>
      </c>
      <c r="D63" s="5">
        <f>Daily_Input!E63</f>
        <v>1673851.7406957999</v>
      </c>
      <c r="E63" s="5" cm="1">
        <f t="array" ref="E63">IF(ROW()=2,"",INDEX(Daily_Input!$E:$E,ROW())-INDEX(Daily_Input!$E:$E,ROW()-1))</f>
        <v>-3039.7193365001585</v>
      </c>
      <c r="F63" s="5">
        <f>IFERROR(Daily_Input!E63/Config!$B$4,"")</f>
        <v>1.0297687237919608</v>
      </c>
      <c r="G63" s="5">
        <f>Daily_Input!I63</f>
        <v>13.4</v>
      </c>
      <c r="H63" s="5">
        <f>IF(A63="","",IF(ROW()=2,G63,Config!$B$5*H62+G63))</f>
        <v>216.9099406109278</v>
      </c>
      <c r="I63" s="5">
        <f t="shared" si="0"/>
        <v>243</v>
      </c>
      <c r="J63" s="5">
        <f>IF(I63="","",SIN(2*PI()*I63/Config!$B$6))</f>
        <v>-0.86314212804991153</v>
      </c>
      <c r="K63" s="5">
        <f>IF(I63="","",COS(2*PI()*I63/Config!$B$6))</f>
        <v>-0.5049610547215202</v>
      </c>
      <c r="L63" s="5">
        <f>IF(ROW()&lt;=2+0,"",INDEX(Daily_Input!$F:$F,ROW()-1))</f>
        <v>337714.76111845404</v>
      </c>
      <c r="M63" s="5">
        <f>IF(ROW()&lt;=2+1,"",INDEX(Daily_Input!$F:$F,ROW()-2))</f>
        <v>457141.1065816881</v>
      </c>
      <c r="N63" s="5">
        <f>IF(ROW()&lt;=2+2,"",INDEX(Daily_Input!$F:$F,ROW()-3))</f>
        <v>682947.49308773025</v>
      </c>
      <c r="O63" s="5">
        <f>IF(ROW()&lt;=2+6,"",INDEX(Daily_Input!$F:$F,ROW()-7))</f>
        <v>337514.60830241977</v>
      </c>
      <c r="P63" s="5">
        <f>IF(ROW()&lt;=2+13,"",INDEX(Daily_Input!$F:$F,ROW()-14))</f>
        <v>986564.22054553858</v>
      </c>
      <c r="Q63" s="5">
        <f>IF(ROW()&lt;=4,"",SUM(INDEX(Daily_Input!$I:$I,ROW()-2):INDEX(Daily_Input!$I:$I,ROW())))</f>
        <v>13.4</v>
      </c>
      <c r="R63" s="5">
        <f>IF(ROW()&lt;=8,"",SUM(INDEX(Daily_Input!$I:$I,ROW()-6):INDEX(Daily_Input!$I:$I,ROW())))</f>
        <v>99.600000000000009</v>
      </c>
      <c r="S63" s="5">
        <f>IF(ROW()&lt;=15,"",SUM(INDEX(Daily_Input!$I:$I,ROW()-13):INDEX(Daily_Input!$I:$I,ROW())))</f>
        <v>146.80000000000001</v>
      </c>
      <c r="T63" s="5">
        <f>IF(ROW()&lt;=4,"",AVERAGE(INDEX(Daily_Input!$F:$F,ROW()-2):INDEX(Daily_Input!$F:$F,ROW())))</f>
        <v>364620.22466905671</v>
      </c>
      <c r="U63" s="5">
        <f>IF(ROW()&lt;=2+0,"",INDEX(Daily_Input!$G:$G,ROW()-1))</f>
        <v>15019.2</v>
      </c>
      <c r="V63" s="5">
        <f>IF(ROW()&lt;=2+0,"",INDEX(Daily_Input!$H:$H,ROW()-1))</f>
        <v>339795.97820000001</v>
      </c>
      <c r="W63" s="5">
        <f>IF(ROW()&lt;=2+1,"",INDEX(Daily_Input!$G:$G,ROW()-2))</f>
        <v>15019.2</v>
      </c>
      <c r="X63" s="5">
        <f>IF(ROW()&lt;=2+1,"",INDEX(Daily_Input!$H:$H,ROW()-2))</f>
        <v>459308.64809999999</v>
      </c>
      <c r="Y63" s="5">
        <f>IF(ROW()&lt;=2+2,"",INDEX(Daily_Input!$G:$G,ROW()-3))</f>
        <v>15019.2</v>
      </c>
      <c r="Z63" s="5">
        <f>IF(ROW()&lt;=2+2,"",INDEX(Daily_Input!$H:$H,ROW()-3))</f>
        <v>686103.61320000002</v>
      </c>
      <c r="AA63" s="5">
        <f>Daily_Input!N63</f>
        <v>3.915</v>
      </c>
      <c r="AB63" s="5">
        <f>Daily_Input!O63</f>
        <v>7.0170000000000003</v>
      </c>
      <c r="AC63" s="5">
        <f>Daily_Input!P63</f>
        <v>2.2290000000000001</v>
      </c>
      <c r="AD63" s="5">
        <f t="shared" si="1"/>
        <v>13.161000000000001</v>
      </c>
      <c r="AE63" s="5">
        <f t="shared" si="2"/>
        <v>7.0170000000000003</v>
      </c>
      <c r="AF63" s="5">
        <f>IF(A63="","",IFERROR(INDEX(Daily_Input!$F:$F,ROW()+1),""))</f>
        <v>237129.5711383255</v>
      </c>
      <c r="AG63" s="5">
        <f>IF(A63="","",IFERROR(INDEX(Daily_Input!$F:$F,ROW()+2),""))</f>
        <v>196072.64086824178</v>
      </c>
      <c r="AH63" s="5">
        <f>IF(A63="","",IFERROR(INDEX(Daily_Input!$F:$F,ROW()+3),""))</f>
        <v>192464.81475623159</v>
      </c>
    </row>
    <row r="64" spans="1:34">
      <c r="A64" s="5">
        <f>Daily_Input!A64</f>
        <v>45901</v>
      </c>
      <c r="B64" s="5">
        <f>Daily_Input!F64</f>
        <v>237129.5711383255</v>
      </c>
      <c r="C64" s="5">
        <f>Daily_Input!D64</f>
        <v>489.68</v>
      </c>
      <c r="D64" s="5">
        <f>Daily_Input!E64</f>
        <v>1667776.8298903999</v>
      </c>
      <c r="E64" s="5" cm="1">
        <f t="array" ref="E64">IF(ROW()=2,"",INDEX(Daily_Input!$E:$E,ROW())-INDEX(Daily_Input!$E:$E,ROW()-1))</f>
        <v>-6074.9108053999953</v>
      </c>
      <c r="F64" s="5">
        <f>IFERROR(Daily_Input!E64/Config!$B$4,"")</f>
        <v>1.026031383742581</v>
      </c>
      <c r="G64" s="5">
        <f>Daily_Input!I64</f>
        <v>3.8</v>
      </c>
      <c r="H64" s="5">
        <f>IF(A64="","",IF(ROW()=2,G64,Config!$B$5*H63+G64))</f>
        <v>209.86444358038142</v>
      </c>
      <c r="I64" s="5">
        <f t="shared" si="0"/>
        <v>244</v>
      </c>
      <c r="J64" s="5">
        <f>IF(I64="","",SIN(2*PI()*I64/Config!$B$6))</f>
        <v>-0.87170631870932169</v>
      </c>
      <c r="K64" s="5">
        <f>IF(I64="","",COS(2*PI()*I64/Config!$B$6))</f>
        <v>-0.4900286664290594</v>
      </c>
      <c r="L64" s="5">
        <f>IF(ROW()&lt;=2+0,"",INDEX(Daily_Input!$F:$F,ROW()-1))</f>
        <v>299004.80630702799</v>
      </c>
      <c r="M64" s="5">
        <f>IF(ROW()&lt;=2+1,"",INDEX(Daily_Input!$F:$F,ROW()-2))</f>
        <v>337714.76111845404</v>
      </c>
      <c r="N64" s="5">
        <f>IF(ROW()&lt;=2+2,"",INDEX(Daily_Input!$F:$F,ROW()-3))</f>
        <v>457141.1065816881</v>
      </c>
      <c r="O64" s="5">
        <f>IF(ROW()&lt;=2+6,"",INDEX(Daily_Input!$F:$F,ROW()-7))</f>
        <v>215817.96342063436</v>
      </c>
      <c r="P64" s="5">
        <f>IF(ROW()&lt;=2+13,"",INDEX(Daily_Input!$F:$F,ROW()-14))</f>
        <v>659131.97695436364</v>
      </c>
      <c r="Q64" s="5">
        <f>IF(ROW()&lt;=4,"",SUM(INDEX(Daily_Input!$I:$I,ROW()-2):INDEX(Daily_Input!$I:$I,ROW())))</f>
        <v>17.2</v>
      </c>
      <c r="R64" s="5">
        <f>IF(ROW()&lt;=8,"",SUM(INDEX(Daily_Input!$I:$I,ROW()-6):INDEX(Daily_Input!$I:$I,ROW())))</f>
        <v>89.4</v>
      </c>
      <c r="S64" s="5">
        <f>IF(ROW()&lt;=15,"",SUM(INDEX(Daily_Input!$I:$I,ROW()-13):INDEX(Daily_Input!$I:$I,ROW())))</f>
        <v>140.00000000000003</v>
      </c>
      <c r="T64" s="5">
        <f>IF(ROW()&lt;=4,"",AVERAGE(INDEX(Daily_Input!$F:$F,ROW()-2):INDEX(Daily_Input!$F:$F,ROW())))</f>
        <v>291283.0461879358</v>
      </c>
      <c r="U64" s="5">
        <f>IF(ROW()&lt;=2+0,"",INDEX(Daily_Input!$G:$G,ROW()-1))</f>
        <v>15019.2</v>
      </c>
      <c r="V64" s="5">
        <f>IF(ROW()&lt;=2+0,"",INDEX(Daily_Input!$H:$H,ROW()-1))</f>
        <v>289927.22509999998</v>
      </c>
      <c r="W64" s="5">
        <f>IF(ROW()&lt;=2+1,"",INDEX(Daily_Input!$G:$G,ROW()-2))</f>
        <v>15019.2</v>
      </c>
      <c r="X64" s="5">
        <f>IF(ROW()&lt;=2+1,"",INDEX(Daily_Input!$H:$H,ROW()-2))</f>
        <v>339795.97820000001</v>
      </c>
      <c r="Y64" s="5">
        <f>IF(ROW()&lt;=2+2,"",INDEX(Daily_Input!$G:$G,ROW()-3))</f>
        <v>15019.2</v>
      </c>
      <c r="Z64" s="5">
        <f>IF(ROW()&lt;=2+2,"",INDEX(Daily_Input!$H:$H,ROW()-3))</f>
        <v>459308.64809999999</v>
      </c>
      <c r="AA64" s="5">
        <f>Daily_Input!N64</f>
        <v>7.0170000000000003</v>
      </c>
      <c r="AB64" s="5">
        <f>Daily_Input!O64</f>
        <v>2.2290000000000001</v>
      </c>
      <c r="AC64" s="5">
        <f>Daily_Input!P64</f>
        <v>3.9769999999999999</v>
      </c>
      <c r="AD64" s="5">
        <f t="shared" si="1"/>
        <v>13.223000000000001</v>
      </c>
      <c r="AE64" s="5">
        <f t="shared" si="2"/>
        <v>7.0170000000000003</v>
      </c>
      <c r="AF64" s="5">
        <f>IF(A64="","",IFERROR(INDEX(Daily_Input!$F:$F,ROW()+1),""))</f>
        <v>196072.64086824178</v>
      </c>
      <c r="AG64" s="5">
        <f>IF(A64="","",IFERROR(INDEX(Daily_Input!$F:$F,ROW()+2),""))</f>
        <v>192464.81475623159</v>
      </c>
      <c r="AH64" s="5">
        <f>IF(A64="","",IFERROR(INDEX(Daily_Input!$F:$F,ROW()+3),""))</f>
        <v>128748.91688506235</v>
      </c>
    </row>
    <row r="65" spans="1:34">
      <c r="A65" s="5">
        <f>Daily_Input!A65</f>
        <v>45902</v>
      </c>
      <c r="B65" s="5">
        <f>Daily_Input!F65</f>
        <v>196072.64086824178</v>
      </c>
      <c r="C65" s="5">
        <f>Daily_Input!D65</f>
        <v>489.661</v>
      </c>
      <c r="D65" s="5">
        <f>Daily_Input!E65</f>
        <v>1661708.0167959</v>
      </c>
      <c r="E65" s="5" cm="1">
        <f t="array" ref="E65">IF(ROW()=2,"",INDEX(Daily_Input!$E:$E,ROW())-INDEX(Daily_Input!$E:$E,ROW()-1))</f>
        <v>-6068.8130944999866</v>
      </c>
      <c r="F65" s="5">
        <f>IFERROR(Daily_Input!E65/Config!$B$4,"")</f>
        <v>1.0222977950600747</v>
      </c>
      <c r="G65" s="5">
        <f>Daily_Input!I65</f>
        <v>1.4</v>
      </c>
      <c r="H65" s="5">
        <f>IF(A65="","",IF(ROW()=2,G65,Config!$B$5*H64+G65))</f>
        <v>200.77122140136234</v>
      </c>
      <c r="I65" s="5">
        <f t="shared" si="0"/>
        <v>245</v>
      </c>
      <c r="J65" s="5">
        <f>IF(I65="","",SIN(2*PI()*I65/Config!$B$6))</f>
        <v>-0.88001220397353563</v>
      </c>
      <c r="K65" s="5">
        <f>IF(I65="","",COS(2*PI()*I65/Config!$B$6))</f>
        <v>-0.47495107206705017</v>
      </c>
      <c r="L65" s="5">
        <f>IF(ROW()&lt;=2+0,"",INDEX(Daily_Input!$F:$F,ROW()-1))</f>
        <v>237129.5711383255</v>
      </c>
      <c r="M65" s="5">
        <f>IF(ROW()&lt;=2+1,"",INDEX(Daily_Input!$F:$F,ROW()-2))</f>
        <v>299004.80630702799</v>
      </c>
      <c r="N65" s="5">
        <f>IF(ROW()&lt;=2+2,"",INDEX(Daily_Input!$F:$F,ROW()-3))</f>
        <v>337714.76111845404</v>
      </c>
      <c r="O65" s="5">
        <f>IF(ROW()&lt;=2+6,"",INDEX(Daily_Input!$F:$F,ROW()-7))</f>
        <v>237530.48619131639</v>
      </c>
      <c r="P65" s="5">
        <f>IF(ROW()&lt;=2+13,"",INDEX(Daily_Input!$F:$F,ROW()-14))</f>
        <v>412548.03222377884</v>
      </c>
      <c r="Q65" s="5">
        <f>IF(ROW()&lt;=4,"",SUM(INDEX(Daily_Input!$I:$I,ROW()-2):INDEX(Daily_Input!$I:$I,ROW())))</f>
        <v>18.599999999999998</v>
      </c>
      <c r="R65" s="5">
        <f>IF(ROW()&lt;=8,"",SUM(INDEX(Daily_Input!$I:$I,ROW()-6):INDEX(Daily_Input!$I:$I,ROW())))</f>
        <v>78</v>
      </c>
      <c r="S65" s="5">
        <f>IF(ROW()&lt;=15,"",SUM(INDEX(Daily_Input!$I:$I,ROW()-13):INDEX(Daily_Input!$I:$I,ROW())))</f>
        <v>141.40000000000003</v>
      </c>
      <c r="T65" s="5">
        <f>IF(ROW()&lt;=4,"",AVERAGE(INDEX(Daily_Input!$F:$F,ROW()-2):INDEX(Daily_Input!$F:$F,ROW())))</f>
        <v>244069.00610453173</v>
      </c>
      <c r="U65" s="5">
        <f>IF(ROW()&lt;=2+0,"",INDEX(Daily_Input!$G:$G,ROW()-1))</f>
        <v>15019.199999999999</v>
      </c>
      <c r="V65" s="5">
        <f>IF(ROW()&lt;=2+0,"",INDEX(Daily_Input!$H:$H,ROW()-1))</f>
        <v>228179.2309</v>
      </c>
      <c r="W65" s="5">
        <f>IF(ROW()&lt;=2+1,"",INDEX(Daily_Input!$G:$G,ROW()-2))</f>
        <v>15019.2</v>
      </c>
      <c r="X65" s="5">
        <f>IF(ROW()&lt;=2+1,"",INDEX(Daily_Input!$H:$H,ROW()-2))</f>
        <v>289927.22509999998</v>
      </c>
      <c r="Y65" s="5">
        <f>IF(ROW()&lt;=2+2,"",INDEX(Daily_Input!$G:$G,ROW()-3))</f>
        <v>15019.2</v>
      </c>
      <c r="Z65" s="5">
        <f>IF(ROW()&lt;=2+2,"",INDEX(Daily_Input!$H:$H,ROW()-3))</f>
        <v>339795.97820000001</v>
      </c>
      <c r="AA65" s="5">
        <f>Daily_Input!N65</f>
        <v>2.2290000000000001</v>
      </c>
      <c r="AB65" s="5">
        <f>Daily_Input!O65</f>
        <v>3.9769999999999999</v>
      </c>
      <c r="AC65" s="5">
        <f>Daily_Input!P65</f>
        <v>19.172999999999998</v>
      </c>
      <c r="AD65" s="5">
        <f t="shared" si="1"/>
        <v>25.378999999999998</v>
      </c>
      <c r="AE65" s="5">
        <f t="shared" si="2"/>
        <v>19.172999999999998</v>
      </c>
      <c r="AF65" s="5">
        <f>IF(A65="","",IFERROR(INDEX(Daily_Input!$F:$F,ROW()+1),""))</f>
        <v>192464.81475623159</v>
      </c>
      <c r="AG65" s="5">
        <f>IF(A65="","",IFERROR(INDEX(Daily_Input!$F:$F,ROW()+2),""))</f>
        <v>128748.91688506235</v>
      </c>
      <c r="AH65" s="5">
        <f>IF(A65="","",IFERROR(INDEX(Daily_Input!$F:$F,ROW()+3),""))</f>
        <v>78859.649736720108</v>
      </c>
    </row>
    <row r="66" spans="1:34">
      <c r="A66" s="5">
        <f>Daily_Input!A66</f>
        <v>45903</v>
      </c>
      <c r="B66" s="5">
        <f>Daily_Input!F66</f>
        <v>192464.81475623159</v>
      </c>
      <c r="C66" s="5">
        <f>Daily_Input!D66</f>
        <v>489.661</v>
      </c>
      <c r="D66" s="5">
        <f>Daily_Input!E66</f>
        <v>1661708.0167959</v>
      </c>
      <c r="E66" s="5" cm="1">
        <f t="array" ref="E66">IF(ROW()=2,"",INDEX(Daily_Input!$E:$E,ROW())-INDEX(Daily_Input!$E:$E,ROW()-1))</f>
        <v>0</v>
      </c>
      <c r="F66" s="5">
        <f>IFERROR(Daily_Input!E66/Config!$B$4,"")</f>
        <v>1.0222977950600747</v>
      </c>
      <c r="G66" s="5">
        <f>Daily_Input!I66</f>
        <v>3.2</v>
      </c>
      <c r="H66" s="5">
        <f>IF(A66="","",IF(ROW()=2,G66,Config!$B$5*H65+G66))</f>
        <v>193.93266033129422</v>
      </c>
      <c r="I66" s="5">
        <f t="shared" si="0"/>
        <v>246</v>
      </c>
      <c r="J66" s="5">
        <f>IF(I66="","",SIN(2*PI()*I66/Config!$B$6))</f>
        <v>-0.888057322629493</v>
      </c>
      <c r="K66" s="5">
        <f>IF(I66="","",COS(2*PI()*I66/Config!$B$6))</f>
        <v>-0.45973273945210458</v>
      </c>
      <c r="L66" s="5">
        <f>IF(ROW()&lt;=2+0,"",INDEX(Daily_Input!$F:$F,ROW()-1))</f>
        <v>196072.64086824178</v>
      </c>
      <c r="M66" s="5">
        <f>IF(ROW()&lt;=2+1,"",INDEX(Daily_Input!$F:$F,ROW()-2))</f>
        <v>237129.5711383255</v>
      </c>
      <c r="N66" s="5">
        <f>IF(ROW()&lt;=2+2,"",INDEX(Daily_Input!$F:$F,ROW()-3))</f>
        <v>299004.80630702799</v>
      </c>
      <c r="O66" s="5">
        <f>IF(ROW()&lt;=2+6,"",INDEX(Daily_Input!$F:$F,ROW()-7))</f>
        <v>933148.84322041948</v>
      </c>
      <c r="P66" s="5">
        <f>IF(ROW()&lt;=2+13,"",INDEX(Daily_Input!$F:$F,ROW()-14))</f>
        <v>273036.44452348823</v>
      </c>
      <c r="Q66" s="5">
        <f>IF(ROW()&lt;=4,"",SUM(INDEX(Daily_Input!$I:$I,ROW()-2):INDEX(Daily_Input!$I:$I,ROW())))</f>
        <v>8.3999999999999986</v>
      </c>
      <c r="R66" s="5">
        <f>IF(ROW()&lt;=8,"",SUM(INDEX(Daily_Input!$I:$I,ROW()-6):INDEX(Daily_Input!$I:$I,ROW())))</f>
        <v>44.8</v>
      </c>
      <c r="S66" s="5">
        <f>IF(ROW()&lt;=15,"",SUM(INDEX(Daily_Input!$I:$I,ROW()-13):INDEX(Daily_Input!$I:$I,ROW())))</f>
        <v>143.80000000000001</v>
      </c>
      <c r="T66" s="5">
        <f>IF(ROW()&lt;=4,"",AVERAGE(INDEX(Daily_Input!$F:$F,ROW()-2):INDEX(Daily_Input!$F:$F,ROW())))</f>
        <v>208555.67558759963</v>
      </c>
      <c r="U66" s="5">
        <f>IF(ROW()&lt;=2+0,"",INDEX(Daily_Input!$G:$G,ROW()-1))</f>
        <v>15019.199999999999</v>
      </c>
      <c r="V66" s="5">
        <f>IF(ROW()&lt;=2+0,"",INDEX(Daily_Input!$H:$H,ROW()-1))</f>
        <v>186388.3193</v>
      </c>
      <c r="W66" s="5">
        <f>IF(ROW()&lt;=2+1,"",INDEX(Daily_Input!$G:$G,ROW()-2))</f>
        <v>15019.199999999999</v>
      </c>
      <c r="X66" s="5">
        <f>IF(ROW()&lt;=2+1,"",INDEX(Daily_Input!$H:$H,ROW()-2))</f>
        <v>228179.2309</v>
      </c>
      <c r="Y66" s="5">
        <f>IF(ROW()&lt;=2+2,"",INDEX(Daily_Input!$G:$G,ROW()-3))</f>
        <v>15019.2</v>
      </c>
      <c r="Z66" s="5">
        <f>IF(ROW()&lt;=2+2,"",INDEX(Daily_Input!$H:$H,ROW()-3))</f>
        <v>289927.22509999998</v>
      </c>
      <c r="AA66" s="5">
        <f>Daily_Input!N66</f>
        <v>3.9769999999999999</v>
      </c>
      <c r="AB66" s="5">
        <f>Daily_Input!O66</f>
        <v>19.172999999999998</v>
      </c>
      <c r="AC66" s="5">
        <f>Daily_Input!P66</f>
        <v>20.103000000000002</v>
      </c>
      <c r="AD66" s="5">
        <f t="shared" si="1"/>
        <v>43.253</v>
      </c>
      <c r="AE66" s="5">
        <f t="shared" si="2"/>
        <v>20.103000000000002</v>
      </c>
      <c r="AF66" s="5">
        <f>IF(A66="","",IFERROR(INDEX(Daily_Input!$F:$F,ROW()+1),""))</f>
        <v>128748.91688506235</v>
      </c>
      <c r="AG66" s="5">
        <f>IF(A66="","",IFERROR(INDEX(Daily_Input!$F:$F,ROW()+2),""))</f>
        <v>78859.649736720108</v>
      </c>
      <c r="AH66" s="5">
        <f>IF(A66="","",IFERROR(INDEX(Daily_Input!$F:$F,ROW()+3),""))</f>
        <v>44276.176947026448</v>
      </c>
    </row>
    <row r="67" spans="1:34">
      <c r="A67" s="5">
        <f>Daily_Input!A67</f>
        <v>45904</v>
      </c>
      <c r="B67" s="5">
        <f>Daily_Input!F67</f>
        <v>128748.91688506235</v>
      </c>
      <c r="C67" s="5">
        <f>Daily_Input!D67</f>
        <v>489.63997999999998</v>
      </c>
      <c r="D67" s="5">
        <f>Daily_Input!E67</f>
        <v>1652616.0060848999</v>
      </c>
      <c r="E67" s="5" cm="1">
        <f t="array" ref="E67">IF(ROW()=2,"",INDEX(Daily_Input!$E:$E,ROW())-INDEX(Daily_Input!$E:$E,ROW()-1))</f>
        <v>-9092.0107110000681</v>
      </c>
      <c r="F67" s="5">
        <f>IFERROR(Daily_Input!E67/Config!$B$4,"")</f>
        <v>1.0167043078718501</v>
      </c>
      <c r="G67" s="5">
        <f>Daily_Input!I67</f>
        <v>0</v>
      </c>
      <c r="H67" s="5">
        <f>IF(A67="","",IF(ROW()=2,G67,Config!$B$5*H66+G67))</f>
        <v>184.23602731472948</v>
      </c>
      <c r="I67" s="5">
        <f t="shared" ref="I67:I130" si="3">IF(A67="","",A67-DATE(YEAR(A67),1,0))</f>
        <v>247</v>
      </c>
      <c r="J67" s="5">
        <f>IF(I67="","",SIN(2*PI()*I67/Config!$B$6))</f>
        <v>-0.89583929073490887</v>
      </c>
      <c r="K67" s="5">
        <f>IF(I67="","",COS(2*PI()*I67/Config!$B$6))</f>
        <v>-0.44437817810461339</v>
      </c>
      <c r="L67" s="5">
        <f>IF(ROW()&lt;=2+0,"",INDEX(Daily_Input!$F:$F,ROW()-1))</f>
        <v>192464.81475623159</v>
      </c>
      <c r="M67" s="5">
        <f>IF(ROW()&lt;=2+1,"",INDEX(Daily_Input!$F:$F,ROW()-2))</f>
        <v>196072.64086824178</v>
      </c>
      <c r="N67" s="5">
        <f>IF(ROW()&lt;=2+2,"",INDEX(Daily_Input!$F:$F,ROW()-3))</f>
        <v>237129.5711383255</v>
      </c>
      <c r="O67" s="5">
        <f>IF(ROW()&lt;=2+6,"",INDEX(Daily_Input!$F:$F,ROW()-7))</f>
        <v>682947.49308773025</v>
      </c>
      <c r="P67" s="5">
        <f>IF(ROW()&lt;=2+13,"",INDEX(Daily_Input!$F:$F,ROW()-14))</f>
        <v>180929.54104251869</v>
      </c>
      <c r="Q67" s="5">
        <f>IF(ROW()&lt;=4,"",SUM(INDEX(Daily_Input!$I:$I,ROW()-2):INDEX(Daily_Input!$I:$I,ROW())))</f>
        <v>4.5999999999999996</v>
      </c>
      <c r="R67" s="5">
        <f>IF(ROW()&lt;=8,"",SUM(INDEX(Daily_Input!$I:$I,ROW()-6):INDEX(Daily_Input!$I:$I,ROW())))</f>
        <v>21.799999999999997</v>
      </c>
      <c r="S67" s="5">
        <f>IF(ROW()&lt;=15,"",SUM(INDEX(Daily_Input!$I:$I,ROW()-13):INDEX(Daily_Input!$I:$I,ROW())))</f>
        <v>143.80000000000001</v>
      </c>
      <c r="T67" s="5">
        <f>IF(ROW()&lt;=4,"",AVERAGE(INDEX(Daily_Input!$F:$F,ROW()-2):INDEX(Daily_Input!$F:$F,ROW())))</f>
        <v>172428.79083651191</v>
      </c>
      <c r="U67" s="5">
        <f>IF(ROW()&lt;=2+0,"",INDEX(Daily_Input!$G:$G,ROW()-1))</f>
        <v>15019.199999999999</v>
      </c>
      <c r="V67" s="5">
        <f>IF(ROW()&lt;=2+0,"",INDEX(Daily_Input!$H:$H,ROW()-1))</f>
        <v>177257.60769999999</v>
      </c>
      <c r="W67" s="5">
        <f>IF(ROW()&lt;=2+1,"",INDEX(Daily_Input!$G:$G,ROW()-2))</f>
        <v>15019.199999999999</v>
      </c>
      <c r="X67" s="5">
        <f>IF(ROW()&lt;=2+1,"",INDEX(Daily_Input!$H:$H,ROW()-2))</f>
        <v>186388.3193</v>
      </c>
      <c r="Y67" s="5">
        <f>IF(ROW()&lt;=2+2,"",INDEX(Daily_Input!$G:$G,ROW()-3))</f>
        <v>15019.199999999999</v>
      </c>
      <c r="Z67" s="5">
        <f>IF(ROW()&lt;=2+2,"",INDEX(Daily_Input!$H:$H,ROW()-3))</f>
        <v>228179.2309</v>
      </c>
      <c r="AA67" s="5">
        <f>Daily_Input!N67</f>
        <v>19.172999999999998</v>
      </c>
      <c r="AB67" s="5">
        <f>Daily_Input!O67</f>
        <v>20.103000000000002</v>
      </c>
      <c r="AC67" s="5">
        <f>Daily_Input!P67</f>
        <v>2.8490000000000002</v>
      </c>
      <c r="AD67" s="5">
        <f t="shared" ref="AD67:AD130" si="4">IF(A67="","",SUM(AA67:AC67))</f>
        <v>42.125</v>
      </c>
      <c r="AE67" s="5">
        <f t="shared" ref="AE67:AE130" si="5">IF(A67="","",MAX(AA67:AC67))</f>
        <v>20.103000000000002</v>
      </c>
      <c r="AF67" s="5">
        <f>IF(A67="","",IFERROR(INDEX(Daily_Input!$F:$F,ROW()+1),""))</f>
        <v>78859.649736720108</v>
      </c>
      <c r="AG67" s="5">
        <f>IF(A67="","",IFERROR(INDEX(Daily_Input!$F:$F,ROW()+2),""))</f>
        <v>44276.176947026448</v>
      </c>
      <c r="AH67" s="5">
        <f>IF(A67="","",IFERROR(INDEX(Daily_Input!$F:$F,ROW()+3),""))</f>
        <v>21265.004473392863</v>
      </c>
    </row>
    <row r="68" spans="1:34">
      <c r="A68" s="5">
        <f>Daily_Input!A68</f>
        <v>45905</v>
      </c>
      <c r="B68" s="5">
        <f>Daily_Input!F68</f>
        <v>78859.649736720108</v>
      </c>
      <c r="C68" s="5">
        <f>Daily_Input!D68</f>
        <v>489.608</v>
      </c>
      <c r="D68" s="5">
        <f>Daily_Input!E68</f>
        <v>1643538.2164867001</v>
      </c>
      <c r="E68" s="5" cm="1">
        <f t="array" ref="E68">IF(ROW()=2,"",INDEX(Daily_Input!$E:$E,ROW())-INDEX(Daily_Input!$E:$E,ROW()-1))</f>
        <v>-9077.7895981997717</v>
      </c>
      <c r="F68" s="5">
        <f>IFERROR(Daily_Input!E68/Config!$B$4,"")</f>
        <v>1.0111195696407902</v>
      </c>
      <c r="G68" s="5">
        <f>Daily_Input!I68</f>
        <v>0</v>
      </c>
      <c r="H68" s="5">
        <f>IF(A68="","",IF(ROW()=2,G68,Config!$B$5*H67+G68))</f>
        <v>175.02422594899301</v>
      </c>
      <c r="I68" s="5">
        <f t="shared" si="3"/>
        <v>248</v>
      </c>
      <c r="J68" s="5">
        <f>IF(I68="","",SIN(2*PI()*I68/Config!$B$6))</f>
        <v>-0.90335580232468415</v>
      </c>
      <c r="K68" s="5">
        <f>IF(I68="","",COS(2*PI()*I68/Config!$B$6))</f>
        <v>-0.42889193791248409</v>
      </c>
      <c r="L68" s="5">
        <f>IF(ROW()&lt;=2+0,"",INDEX(Daily_Input!$F:$F,ROW()-1))</f>
        <v>128748.91688506235</v>
      </c>
      <c r="M68" s="5">
        <f>IF(ROW()&lt;=2+1,"",INDEX(Daily_Input!$F:$F,ROW()-2))</f>
        <v>192464.81475623159</v>
      </c>
      <c r="N68" s="5">
        <f>IF(ROW()&lt;=2+2,"",INDEX(Daily_Input!$F:$F,ROW()-3))</f>
        <v>196072.64086824178</v>
      </c>
      <c r="O68" s="5">
        <f>IF(ROW()&lt;=2+6,"",INDEX(Daily_Input!$F:$F,ROW()-7))</f>
        <v>457141.1065816881</v>
      </c>
      <c r="P68" s="5">
        <f>IF(ROW()&lt;=2+13,"",INDEX(Daily_Input!$F:$F,ROW()-14))</f>
        <v>166176.7553640838</v>
      </c>
      <c r="Q68" s="5">
        <f>IF(ROW()&lt;=4,"",SUM(INDEX(Daily_Input!$I:$I,ROW()-2):INDEX(Daily_Input!$I:$I,ROW())))</f>
        <v>3.2</v>
      </c>
      <c r="R68" s="5">
        <f>IF(ROW()&lt;=8,"",SUM(INDEX(Daily_Input!$I:$I,ROW()-6):INDEX(Daily_Input!$I:$I,ROW())))</f>
        <v>21.799999999999997</v>
      </c>
      <c r="S68" s="5">
        <f>IF(ROW()&lt;=15,"",SUM(INDEX(Daily_Input!$I:$I,ROW()-13):INDEX(Daily_Input!$I:$I,ROW())))</f>
        <v>128.60000000000002</v>
      </c>
      <c r="T68" s="5">
        <f>IF(ROW()&lt;=4,"",AVERAGE(INDEX(Daily_Input!$F:$F,ROW()-2):INDEX(Daily_Input!$F:$F,ROW())))</f>
        <v>133357.79379267138</v>
      </c>
      <c r="U68" s="5">
        <f>IF(ROW()&lt;=2+0,"",INDEX(Daily_Input!$G:$G,ROW()-1))</f>
        <v>15019.199999999999</v>
      </c>
      <c r="V68" s="5">
        <f>IF(ROW()&lt;=2+0,"",INDEX(Daily_Input!$H:$H,ROW()-1))</f>
        <v>121664.9271</v>
      </c>
      <c r="W68" s="5">
        <f>IF(ROW()&lt;=2+1,"",INDEX(Daily_Input!$G:$G,ROW()-2))</f>
        <v>15019.199999999999</v>
      </c>
      <c r="X68" s="5">
        <f>IF(ROW()&lt;=2+1,"",INDEX(Daily_Input!$H:$H,ROW()-2))</f>
        <v>177257.60769999999</v>
      </c>
      <c r="Y68" s="5">
        <f>IF(ROW()&lt;=2+2,"",INDEX(Daily_Input!$G:$G,ROW()-3))</f>
        <v>15019.199999999999</v>
      </c>
      <c r="Z68" s="5">
        <f>IF(ROW()&lt;=2+2,"",INDEX(Daily_Input!$H:$H,ROW()-3))</f>
        <v>186388.3193</v>
      </c>
      <c r="AA68" s="5">
        <f>Daily_Input!N68</f>
        <v>20.103000000000002</v>
      </c>
      <c r="AB68" s="5">
        <f>Daily_Input!O68</f>
        <v>2.8490000000000002</v>
      </c>
      <c r="AC68" s="5">
        <f>Daily_Input!P68</f>
        <v>9.7469999999999999</v>
      </c>
      <c r="AD68" s="5">
        <f t="shared" si="4"/>
        <v>32.698999999999998</v>
      </c>
      <c r="AE68" s="5">
        <f t="shared" si="5"/>
        <v>20.103000000000002</v>
      </c>
      <c r="AF68" s="5">
        <f>IF(A68="","",IFERROR(INDEX(Daily_Input!$F:$F,ROW()+1),""))</f>
        <v>44276.176947026448</v>
      </c>
      <c r="AG68" s="5">
        <f>IF(A68="","",IFERROR(INDEX(Daily_Input!$F:$F,ROW()+2),""))</f>
        <v>21265.004473392863</v>
      </c>
      <c r="AH68" s="5">
        <f>IF(A68="","",IFERROR(INDEX(Daily_Input!$F:$F,ROW()+3),""))</f>
        <v>9147.6059040011987</v>
      </c>
    </row>
    <row r="69" spans="1:34">
      <c r="A69" s="5">
        <f>Daily_Input!A69</f>
        <v>45906</v>
      </c>
      <c r="B69" s="5">
        <f>Daily_Input!F69</f>
        <v>44276.176947026448</v>
      </c>
      <c r="C69" s="5">
        <f>Daily_Input!D69</f>
        <v>489.589</v>
      </c>
      <c r="D69" s="5">
        <f>Daily_Input!E69</f>
        <v>1637507.2197397</v>
      </c>
      <c r="E69" s="5" cm="1">
        <f t="array" ref="E69">IF(ROW()=2,"",INDEX(Daily_Input!$E:$E,ROW())-INDEX(Daily_Input!$E:$E,ROW()-1))</f>
        <v>-6030.9967470001429</v>
      </c>
      <c r="F69" s="5">
        <f>IFERROR(Daily_Input!E69/Config!$B$4,"")</f>
        <v>1.0074092459171549</v>
      </c>
      <c r="G69" s="5">
        <f>Daily_Input!I69</f>
        <v>0</v>
      </c>
      <c r="H69" s="5">
        <f>IF(A69="","",IF(ROW()=2,G69,Config!$B$5*H68+G69))</f>
        <v>166.27301465154335</v>
      </c>
      <c r="I69" s="5">
        <f t="shared" si="3"/>
        <v>249</v>
      </c>
      <c r="J69" s="5">
        <f>IF(I69="","",SIN(2*PI()*I69/Config!$B$6))</f>
        <v>-0.91060463009421622</v>
      </c>
      <c r="K69" s="5">
        <f>IF(I69="","",COS(2*PI()*I69/Config!$B$6))</f>
        <v>-0.41327860778290443</v>
      </c>
      <c r="L69" s="5">
        <f>IF(ROW()&lt;=2+0,"",INDEX(Daily_Input!$F:$F,ROW()-1))</f>
        <v>78859.649736720108</v>
      </c>
      <c r="M69" s="5">
        <f>IF(ROW()&lt;=2+1,"",INDEX(Daily_Input!$F:$F,ROW()-2))</f>
        <v>128748.91688506235</v>
      </c>
      <c r="N69" s="5">
        <f>IF(ROW()&lt;=2+2,"",INDEX(Daily_Input!$F:$F,ROW()-3))</f>
        <v>192464.81475623159</v>
      </c>
      <c r="O69" s="5">
        <f>IF(ROW()&lt;=2+6,"",INDEX(Daily_Input!$F:$F,ROW()-7))</f>
        <v>337714.76111845404</v>
      </c>
      <c r="P69" s="5">
        <f>IF(ROW()&lt;=2+13,"",INDEX(Daily_Input!$F:$F,ROW()-14))</f>
        <v>178085.30122443952</v>
      </c>
      <c r="Q69" s="5">
        <f>IF(ROW()&lt;=4,"",SUM(INDEX(Daily_Input!$I:$I,ROW()-2):INDEX(Daily_Input!$I:$I,ROW())))</f>
        <v>0</v>
      </c>
      <c r="R69" s="5">
        <f>IF(ROW()&lt;=8,"",SUM(INDEX(Daily_Input!$I:$I,ROW()-6):INDEX(Daily_Input!$I:$I,ROW())))</f>
        <v>21.799999999999997</v>
      </c>
      <c r="S69" s="5">
        <f>IF(ROW()&lt;=15,"",SUM(INDEX(Daily_Input!$I:$I,ROW()-13):INDEX(Daily_Input!$I:$I,ROW())))</f>
        <v>115.20000000000002</v>
      </c>
      <c r="T69" s="5">
        <f>IF(ROW()&lt;=4,"",AVERAGE(INDEX(Daily_Input!$F:$F,ROW()-2):INDEX(Daily_Input!$F:$F,ROW())))</f>
        <v>83961.581189602977</v>
      </c>
      <c r="U69" s="5">
        <f>IF(ROW()&lt;=2+0,"",INDEX(Daily_Input!$G:$G,ROW()-1))</f>
        <v>15019.199999999999</v>
      </c>
      <c r="V69" s="5">
        <f>IF(ROW()&lt;=2+0,"",INDEX(Daily_Input!$H:$H,ROW()-1))</f>
        <v>71765.656430000003</v>
      </c>
      <c r="W69" s="5">
        <f>IF(ROW()&lt;=2+1,"",INDEX(Daily_Input!$G:$G,ROW()-2))</f>
        <v>15019.199999999999</v>
      </c>
      <c r="X69" s="5">
        <f>IF(ROW()&lt;=2+1,"",INDEX(Daily_Input!$H:$H,ROW()-2))</f>
        <v>121664.9271</v>
      </c>
      <c r="Y69" s="5">
        <f>IF(ROW()&lt;=2+2,"",INDEX(Daily_Input!$G:$G,ROW()-3))</f>
        <v>15019.199999999999</v>
      </c>
      <c r="Z69" s="5">
        <f>IF(ROW()&lt;=2+2,"",INDEX(Daily_Input!$H:$H,ROW()-3))</f>
        <v>177257.60769999999</v>
      </c>
      <c r="AA69" s="5">
        <f>Daily_Input!N69</f>
        <v>2.8490000000000002</v>
      </c>
      <c r="AB69" s="5">
        <f>Daily_Input!O69</f>
        <v>9.7469999999999999</v>
      </c>
      <c r="AC69" s="5">
        <f>Daily_Input!P69</f>
        <v>6.5410000000000004</v>
      </c>
      <c r="AD69" s="5">
        <f t="shared" si="4"/>
        <v>19.137</v>
      </c>
      <c r="AE69" s="5">
        <f t="shared" si="5"/>
        <v>9.7469999999999999</v>
      </c>
      <c r="AF69" s="5">
        <f>IF(A69="","",IFERROR(INDEX(Daily_Input!$F:$F,ROW()+1),""))</f>
        <v>21265.004473392863</v>
      </c>
      <c r="AG69" s="5">
        <f>IF(A69="","",IFERROR(INDEX(Daily_Input!$F:$F,ROW()+2),""))</f>
        <v>9147.6059040011987</v>
      </c>
      <c r="AH69" s="5">
        <f>IF(A69="","",IFERROR(INDEX(Daily_Input!$F:$F,ROW()+3),""))</f>
        <v>7149.8358157044286</v>
      </c>
    </row>
    <row r="70" spans="1:34">
      <c r="A70" s="5">
        <f>Daily_Input!A70</f>
        <v>45907</v>
      </c>
      <c r="B70" s="5">
        <f>Daily_Input!F70</f>
        <v>21265.004473392863</v>
      </c>
      <c r="C70" s="5">
        <f>Daily_Input!D70</f>
        <v>489.56400000000002</v>
      </c>
      <c r="D70" s="5">
        <f>Daily_Input!E70</f>
        <v>1631482.3951735001</v>
      </c>
      <c r="E70" s="5" cm="1">
        <f t="array" ref="E70">IF(ROW()=2,"",INDEX(Daily_Input!$E:$E,ROW())-INDEX(Daily_Input!$E:$E,ROW()-1))</f>
        <v>-6024.8245661999099</v>
      </c>
      <c r="F70" s="5">
        <f>IFERROR(Daily_Input!E70/Config!$B$4,"")</f>
        <v>1.0037027193749493</v>
      </c>
      <c r="G70" s="5">
        <f>Daily_Input!I70</f>
        <v>0</v>
      </c>
      <c r="H70" s="5">
        <f>IF(A70="","",IF(ROW()=2,G70,Config!$B$5*H69+G70))</f>
        <v>157.95936391896618</v>
      </c>
      <c r="I70" s="5">
        <f t="shared" si="3"/>
        <v>250</v>
      </c>
      <c r="J70" s="5">
        <f>IF(I70="","",SIN(2*PI()*I70/Config!$B$6))</f>
        <v>-0.91758362605939336</v>
      </c>
      <c r="K70" s="5">
        <f>IF(I70="","",COS(2*PI()*I70/Config!$B$6))</f>
        <v>-0.39754281428255661</v>
      </c>
      <c r="L70" s="5">
        <f>IF(ROW()&lt;=2+0,"",INDEX(Daily_Input!$F:$F,ROW()-1))</f>
        <v>44276.176947026448</v>
      </c>
      <c r="M70" s="5">
        <f>IF(ROW()&lt;=2+1,"",INDEX(Daily_Input!$F:$F,ROW()-2))</f>
        <v>78859.649736720108</v>
      </c>
      <c r="N70" s="5">
        <f>IF(ROW()&lt;=2+2,"",INDEX(Daily_Input!$F:$F,ROW()-3))</f>
        <v>128748.91688506235</v>
      </c>
      <c r="O70" s="5">
        <f>IF(ROW()&lt;=2+6,"",INDEX(Daily_Input!$F:$F,ROW()-7))</f>
        <v>299004.80630702799</v>
      </c>
      <c r="P70" s="5">
        <f>IF(ROW()&lt;=2+13,"",INDEX(Daily_Input!$F:$F,ROW()-14))</f>
        <v>337514.60830241977</v>
      </c>
      <c r="Q70" s="5">
        <f>IF(ROW()&lt;=4,"",SUM(INDEX(Daily_Input!$I:$I,ROW()-2):INDEX(Daily_Input!$I:$I,ROW())))</f>
        <v>0</v>
      </c>
      <c r="R70" s="5">
        <f>IF(ROW()&lt;=8,"",SUM(INDEX(Daily_Input!$I:$I,ROW()-6):INDEX(Daily_Input!$I:$I,ROW())))</f>
        <v>8.3999999999999986</v>
      </c>
      <c r="S70" s="5">
        <f>IF(ROW()&lt;=15,"",SUM(INDEX(Daily_Input!$I:$I,ROW()-13):INDEX(Daily_Input!$I:$I,ROW())))</f>
        <v>108.00000000000001</v>
      </c>
      <c r="T70" s="5">
        <f>IF(ROW()&lt;=4,"",AVERAGE(INDEX(Daily_Input!$F:$F,ROW()-2):INDEX(Daily_Input!$F:$F,ROW())))</f>
        <v>48133.610385713138</v>
      </c>
      <c r="U70" s="5">
        <f>IF(ROW()&lt;=2+0,"",INDEX(Daily_Input!$G:$G,ROW()-1))</f>
        <v>15019.199999999999</v>
      </c>
      <c r="V70" s="5">
        <f>IF(ROW()&lt;=2+0,"",INDEX(Daily_Input!$H:$H,ROW()-1))</f>
        <v>34136.719790000003</v>
      </c>
      <c r="W70" s="5">
        <f>IF(ROW()&lt;=2+1,"",INDEX(Daily_Input!$G:$G,ROW()-2))</f>
        <v>15019.199999999999</v>
      </c>
      <c r="X70" s="5">
        <f>IF(ROW()&lt;=2+1,"",INDEX(Daily_Input!$H:$H,ROW()-2))</f>
        <v>71765.656430000003</v>
      </c>
      <c r="Y70" s="5">
        <f>IF(ROW()&lt;=2+2,"",INDEX(Daily_Input!$G:$G,ROW()-3))</f>
        <v>15019.199999999999</v>
      </c>
      <c r="Z70" s="5">
        <f>IF(ROW()&lt;=2+2,"",INDEX(Daily_Input!$H:$H,ROW()-3))</f>
        <v>121664.9271</v>
      </c>
      <c r="AA70" s="5">
        <f>Daily_Input!N70</f>
        <v>9.7469999999999999</v>
      </c>
      <c r="AB70" s="5">
        <f>Daily_Input!O70</f>
        <v>6.5410000000000004</v>
      </c>
      <c r="AC70" s="5">
        <f>Daily_Input!P70</f>
        <v>38.929000000000002</v>
      </c>
      <c r="AD70" s="5">
        <f t="shared" si="4"/>
        <v>55.216999999999999</v>
      </c>
      <c r="AE70" s="5">
        <f t="shared" si="5"/>
        <v>38.929000000000002</v>
      </c>
      <c r="AF70" s="5">
        <f>IF(A70="","",IFERROR(INDEX(Daily_Input!$F:$F,ROW()+1),""))</f>
        <v>9147.6059040011987</v>
      </c>
      <c r="AG70" s="5">
        <f>IF(A70="","",IFERROR(INDEX(Daily_Input!$F:$F,ROW()+2),""))</f>
        <v>7149.8358157044286</v>
      </c>
      <c r="AH70" s="5">
        <f>IF(A70="","",IFERROR(INDEX(Daily_Input!$F:$F,ROW()+3),""))</f>
        <v>7161.8376565521703</v>
      </c>
    </row>
    <row r="71" spans="1:34">
      <c r="A71" s="5">
        <f>Daily_Input!A71</f>
        <v>45908</v>
      </c>
      <c r="B71" s="5">
        <f>Daily_Input!F71</f>
        <v>9147.6059040011987</v>
      </c>
      <c r="C71" s="5">
        <f>Daily_Input!D71</f>
        <v>489.54399999999998</v>
      </c>
      <c r="D71" s="5">
        <f>Daily_Input!E71</f>
        <v>1625463.7590197001</v>
      </c>
      <c r="E71" s="5" cm="1">
        <f t="array" ref="E71">IF(ROW()=2,"",INDEX(Daily_Input!$E:$E,ROW())-INDEX(Daily_Input!$E:$E,ROW()-1))</f>
        <v>-6018.6361537999474</v>
      </c>
      <c r="F71" s="5">
        <f>IFERROR(Daily_Input!E71/Config!$B$4,"")</f>
        <v>1</v>
      </c>
      <c r="G71" s="5">
        <f>Daily_Input!I71</f>
        <v>4.4000000000000004</v>
      </c>
      <c r="H71" s="5">
        <f>IF(A71="","",IF(ROW()=2,G71,Config!$B$5*H70+G71))</f>
        <v>154.46139572301786</v>
      </c>
      <c r="I71" s="5">
        <f t="shared" si="3"/>
        <v>251</v>
      </c>
      <c r="J71" s="5">
        <f>IF(I71="","",SIN(2*PI()*I71/Config!$B$6))</f>
        <v>-0.92429072219309338</v>
      </c>
      <c r="K71" s="5">
        <f>IF(I71="","",COS(2*PI()*I71/Config!$B$6))</f>
        <v>-0.38168922026665858</v>
      </c>
      <c r="L71" s="5">
        <f>IF(ROW()&lt;=2+0,"",INDEX(Daily_Input!$F:$F,ROW()-1))</f>
        <v>21265.004473392863</v>
      </c>
      <c r="M71" s="5">
        <f>IF(ROW()&lt;=2+1,"",INDEX(Daily_Input!$F:$F,ROW()-2))</f>
        <v>44276.176947026448</v>
      </c>
      <c r="N71" s="5">
        <f>IF(ROW()&lt;=2+2,"",INDEX(Daily_Input!$F:$F,ROW()-3))</f>
        <v>78859.649736720108</v>
      </c>
      <c r="O71" s="5">
        <f>IF(ROW()&lt;=2+6,"",INDEX(Daily_Input!$F:$F,ROW()-7))</f>
        <v>237129.5711383255</v>
      </c>
      <c r="P71" s="5">
        <f>IF(ROW()&lt;=2+13,"",INDEX(Daily_Input!$F:$F,ROW()-14))</f>
        <v>215817.96342063436</v>
      </c>
      <c r="Q71" s="5">
        <f>IF(ROW()&lt;=4,"",SUM(INDEX(Daily_Input!$I:$I,ROW()-2):INDEX(Daily_Input!$I:$I,ROW())))</f>
        <v>4.4000000000000004</v>
      </c>
      <c r="R71" s="5">
        <f>IF(ROW()&lt;=8,"",SUM(INDEX(Daily_Input!$I:$I,ROW()-6):INDEX(Daily_Input!$I:$I,ROW())))</f>
        <v>9</v>
      </c>
      <c r="S71" s="5">
        <f>IF(ROW()&lt;=15,"",SUM(INDEX(Daily_Input!$I:$I,ROW()-13):INDEX(Daily_Input!$I:$I,ROW())))</f>
        <v>98.40000000000002</v>
      </c>
      <c r="T71" s="5">
        <f>IF(ROW()&lt;=4,"",AVERAGE(INDEX(Daily_Input!$F:$F,ROW()-2):INDEX(Daily_Input!$F:$F,ROW())))</f>
        <v>24896.262441473504</v>
      </c>
      <c r="U71" s="5">
        <f>IF(ROW()&lt;=2+0,"",INDEX(Daily_Input!$G:$G,ROW()-1))</f>
        <v>15019.199999999999</v>
      </c>
      <c r="V71" s="5">
        <f>IF(ROW()&lt;=2+0,"",INDEX(Daily_Input!$H:$H,ROW()-1))</f>
        <v>11120.572969999999</v>
      </c>
      <c r="W71" s="5">
        <f>IF(ROW()&lt;=2+1,"",INDEX(Daily_Input!$G:$G,ROW()-2))</f>
        <v>15019.199999999999</v>
      </c>
      <c r="X71" s="5">
        <f>IF(ROW()&lt;=2+1,"",INDEX(Daily_Input!$H:$H,ROW()-2))</f>
        <v>34136.719790000003</v>
      </c>
      <c r="Y71" s="5">
        <f>IF(ROW()&lt;=2+2,"",INDEX(Daily_Input!$G:$G,ROW()-3))</f>
        <v>15019.199999999999</v>
      </c>
      <c r="Z71" s="5">
        <f>IF(ROW()&lt;=2+2,"",INDEX(Daily_Input!$H:$H,ROW()-3))</f>
        <v>71765.656430000003</v>
      </c>
      <c r="AA71" s="5">
        <f>Daily_Input!N71</f>
        <v>6.5410000000000004</v>
      </c>
      <c r="AB71" s="5">
        <f>Daily_Input!O71</f>
        <v>38.929000000000002</v>
      </c>
      <c r="AC71" s="5">
        <f>Daily_Input!P71</f>
        <v>13.03</v>
      </c>
      <c r="AD71" s="5">
        <f t="shared" si="4"/>
        <v>58.5</v>
      </c>
      <c r="AE71" s="5">
        <f t="shared" si="5"/>
        <v>38.929000000000002</v>
      </c>
      <c r="AF71" s="5">
        <f>IF(A71="","",IFERROR(INDEX(Daily_Input!$F:$F,ROW()+1),""))</f>
        <v>7149.8358157044286</v>
      </c>
      <c r="AG71" s="5">
        <f>IF(A71="","",IFERROR(INDEX(Daily_Input!$F:$F,ROW()+2),""))</f>
        <v>7161.8376565521703</v>
      </c>
      <c r="AH71" s="5">
        <f>IF(A71="","",IFERROR(INDEX(Daily_Input!$F:$F,ROW()+3),""))</f>
        <v>11367.816099604432</v>
      </c>
    </row>
    <row r="72" spans="1:34">
      <c r="A72" s="5">
        <f>Daily_Input!A72</f>
        <v>45909</v>
      </c>
      <c r="B72" s="5">
        <f>Daily_Input!F72</f>
        <v>7149.8358157044286</v>
      </c>
      <c r="C72" s="5">
        <f>Daily_Input!D72</f>
        <v>489.51799999999997</v>
      </c>
      <c r="D72" s="5">
        <f>Daily_Input!E72</f>
        <v>1616447.3000027</v>
      </c>
      <c r="E72" s="5" cm="1">
        <f t="array" ref="E72">IF(ROW()=2,"",INDEX(Daily_Input!$E:$E,ROW())-INDEX(Daily_Input!$E:$E,ROW()-1))</f>
        <v>-9016.4590170001611</v>
      </c>
      <c r="F72" s="5">
        <f>IFERROR(Daily_Input!E72/Config!$B$4,"")</f>
        <v>0.99445299289696998</v>
      </c>
      <c r="G72" s="5">
        <f>Daily_Input!I72</f>
        <v>0</v>
      </c>
      <c r="H72" s="5">
        <f>IF(A72="","",IF(ROW()=2,G72,Config!$B$5*H71+G72))</f>
        <v>146.73832593686697</v>
      </c>
      <c r="I72" s="5">
        <f t="shared" si="3"/>
        <v>252</v>
      </c>
      <c r="J72" s="5">
        <f>IF(I72="","",SIN(2*PI()*I72/Config!$B$6))</f>
        <v>-0.93072393103797935</v>
      </c>
      <c r="K72" s="5">
        <f>IF(I72="","",COS(2*PI()*I72/Config!$B$6))</f>
        <v>-0.36572252349726919</v>
      </c>
      <c r="L72" s="5">
        <f>IF(ROW()&lt;=2+0,"",INDEX(Daily_Input!$F:$F,ROW()-1))</f>
        <v>9147.6059040011987</v>
      </c>
      <c r="M72" s="5">
        <f>IF(ROW()&lt;=2+1,"",INDEX(Daily_Input!$F:$F,ROW()-2))</f>
        <v>21265.004473392863</v>
      </c>
      <c r="N72" s="5">
        <f>IF(ROW()&lt;=2+2,"",INDEX(Daily_Input!$F:$F,ROW()-3))</f>
        <v>44276.176947026448</v>
      </c>
      <c r="O72" s="5">
        <f>IF(ROW()&lt;=2+6,"",INDEX(Daily_Input!$F:$F,ROW()-7))</f>
        <v>196072.64086824178</v>
      </c>
      <c r="P72" s="5">
        <f>IF(ROW()&lt;=2+13,"",INDEX(Daily_Input!$F:$F,ROW()-14))</f>
        <v>237530.48619131639</v>
      </c>
      <c r="Q72" s="5">
        <f>IF(ROW()&lt;=4,"",SUM(INDEX(Daily_Input!$I:$I,ROW()-2):INDEX(Daily_Input!$I:$I,ROW())))</f>
        <v>4.4000000000000004</v>
      </c>
      <c r="R72" s="5">
        <f>IF(ROW()&lt;=8,"",SUM(INDEX(Daily_Input!$I:$I,ROW()-6):INDEX(Daily_Input!$I:$I,ROW())))</f>
        <v>7.6000000000000005</v>
      </c>
      <c r="S72" s="5">
        <f>IF(ROW()&lt;=15,"",SUM(INDEX(Daily_Input!$I:$I,ROW()-13):INDEX(Daily_Input!$I:$I,ROW())))</f>
        <v>85.600000000000009</v>
      </c>
      <c r="T72" s="5">
        <f>IF(ROW()&lt;=4,"",AVERAGE(INDEX(Daily_Input!$F:$F,ROW()-2):INDEX(Daily_Input!$F:$F,ROW())))</f>
        <v>12520.815397699496</v>
      </c>
      <c r="U72" s="5">
        <f>IF(ROW()&lt;=2+0,"",INDEX(Daily_Input!$G:$G,ROW()-1))</f>
        <v>15019.199999999999</v>
      </c>
      <c r="V72" s="5">
        <f>IF(ROW()&lt;=2+0,"",INDEX(Daily_Input!$H:$H,ROW()-1))</f>
        <v>321.58828549999998</v>
      </c>
      <c r="W72" s="5">
        <f>IF(ROW()&lt;=2+1,"",INDEX(Daily_Input!$G:$G,ROW()-2))</f>
        <v>15019.199999999999</v>
      </c>
      <c r="X72" s="5">
        <f>IF(ROW()&lt;=2+1,"",INDEX(Daily_Input!$H:$H,ROW()-2))</f>
        <v>11120.572969999999</v>
      </c>
      <c r="Y72" s="5">
        <f>IF(ROW()&lt;=2+2,"",INDEX(Daily_Input!$G:$G,ROW()-3))</f>
        <v>15019.199999999999</v>
      </c>
      <c r="Z72" s="5">
        <f>IF(ROW()&lt;=2+2,"",INDEX(Daily_Input!$H:$H,ROW()-3))</f>
        <v>34136.719790000003</v>
      </c>
      <c r="AA72" s="5">
        <f>Daily_Input!N72</f>
        <v>38.929000000000002</v>
      </c>
      <c r="AB72" s="5">
        <f>Daily_Input!O72</f>
        <v>13.03</v>
      </c>
      <c r="AC72" s="5">
        <f>Daily_Input!P72</f>
        <v>15.541</v>
      </c>
      <c r="AD72" s="5">
        <f t="shared" si="4"/>
        <v>67.5</v>
      </c>
      <c r="AE72" s="5">
        <f t="shared" si="5"/>
        <v>38.929000000000002</v>
      </c>
      <c r="AF72" s="5">
        <f>IF(A72="","",IFERROR(INDEX(Daily_Input!$F:$F,ROW()+1),""))</f>
        <v>7161.8376565521703</v>
      </c>
      <c r="AG72" s="5">
        <f>IF(A72="","",IFERROR(INDEX(Daily_Input!$F:$F,ROW()+2),""))</f>
        <v>11367.816099604432</v>
      </c>
      <c r="AH72" s="5">
        <f>IF(A72="","",IFERROR(INDEX(Daily_Input!$F:$F,ROW()+3),""))</f>
        <v>7177.536098438658</v>
      </c>
    </row>
    <row r="73" spans="1:34">
      <c r="A73" s="5">
        <f>Daily_Input!A73</f>
        <v>45910</v>
      </c>
      <c r="B73" s="5">
        <f>Daily_Input!F73</f>
        <v>7161.8376565521703</v>
      </c>
      <c r="C73" s="5">
        <f>Daily_Input!D73</f>
        <v>489.48599999999999</v>
      </c>
      <c r="D73" s="5">
        <f>Daily_Input!E73</f>
        <v>1607444.5930314001</v>
      </c>
      <c r="E73" s="5" cm="1">
        <f t="array" ref="E73">IF(ROW()=2,"",INDEX(Daily_Input!$E:$E,ROW())-INDEX(Daily_Input!$E:$E,ROW()-1))</f>
        <v>-9002.7069712998345</v>
      </c>
      <c r="F73" s="5">
        <f>IFERROR(Daily_Input!E73/Config!$B$4,"")</f>
        <v>0.98891444617678392</v>
      </c>
      <c r="G73" s="5">
        <f>Daily_Input!I73</f>
        <v>0</v>
      </c>
      <c r="H73" s="5">
        <f>IF(A73="","",IF(ROW()=2,G73,Config!$B$5*H72+G73))</f>
        <v>139.40140964002362</v>
      </c>
      <c r="I73" s="5">
        <f t="shared" si="3"/>
        <v>253</v>
      </c>
      <c r="J73" s="5">
        <f>IF(I73="","",SIN(2*PI()*I73/Config!$B$6))</f>
        <v>-0.93688134629543152</v>
      </c>
      <c r="K73" s="5">
        <f>IF(I73="","",COS(2*PI()*I73/Config!$B$6))</f>
        <v>-0.34964745525122826</v>
      </c>
      <c r="L73" s="5">
        <f>IF(ROW()&lt;=2+0,"",INDEX(Daily_Input!$F:$F,ROW()-1))</f>
        <v>7149.8358157044286</v>
      </c>
      <c r="M73" s="5">
        <f>IF(ROW()&lt;=2+1,"",INDEX(Daily_Input!$F:$F,ROW()-2))</f>
        <v>9147.6059040011987</v>
      </c>
      <c r="N73" s="5">
        <f>IF(ROW()&lt;=2+2,"",INDEX(Daily_Input!$F:$F,ROW()-3))</f>
        <v>21265.004473392863</v>
      </c>
      <c r="O73" s="5">
        <f>IF(ROW()&lt;=2+6,"",INDEX(Daily_Input!$F:$F,ROW()-7))</f>
        <v>192464.81475623159</v>
      </c>
      <c r="P73" s="5">
        <f>IF(ROW()&lt;=2+13,"",INDEX(Daily_Input!$F:$F,ROW()-14))</f>
        <v>933148.84322041948</v>
      </c>
      <c r="Q73" s="5">
        <f>IF(ROW()&lt;=4,"",SUM(INDEX(Daily_Input!$I:$I,ROW()-2):INDEX(Daily_Input!$I:$I,ROW())))</f>
        <v>4.4000000000000004</v>
      </c>
      <c r="R73" s="5">
        <f>IF(ROW()&lt;=8,"",SUM(INDEX(Daily_Input!$I:$I,ROW()-6):INDEX(Daily_Input!$I:$I,ROW())))</f>
        <v>4.4000000000000004</v>
      </c>
      <c r="S73" s="5">
        <f>IF(ROW()&lt;=15,"",SUM(INDEX(Daily_Input!$I:$I,ROW()-13):INDEX(Daily_Input!$I:$I,ROW())))</f>
        <v>49.199999999999996</v>
      </c>
      <c r="T73" s="5">
        <f>IF(ROW()&lt;=4,"",AVERAGE(INDEX(Daily_Input!$F:$F,ROW()-2):INDEX(Daily_Input!$F:$F,ROW())))</f>
        <v>7819.7597920859334</v>
      </c>
      <c r="U73" s="5">
        <f>IF(ROW()&lt;=2+0,"",INDEX(Daily_Input!$G:$G,ROW()-1))</f>
        <v>15019.199999999999</v>
      </c>
      <c r="V73" s="5">
        <f>IF(ROW()&lt;=2+0,"",INDEX(Daily_Input!$H:$H,ROW()-1))</f>
        <v>0</v>
      </c>
      <c r="W73" s="5">
        <f>IF(ROW()&lt;=2+1,"",INDEX(Daily_Input!$G:$G,ROW()-2))</f>
        <v>15019.199999999999</v>
      </c>
      <c r="X73" s="5">
        <f>IF(ROW()&lt;=2+1,"",INDEX(Daily_Input!$H:$H,ROW()-2))</f>
        <v>321.58828549999998</v>
      </c>
      <c r="Y73" s="5">
        <f>IF(ROW()&lt;=2+2,"",INDEX(Daily_Input!$G:$G,ROW()-3))</f>
        <v>15019.199999999999</v>
      </c>
      <c r="Z73" s="5">
        <f>IF(ROW()&lt;=2+2,"",INDEX(Daily_Input!$H:$H,ROW()-3))</f>
        <v>11120.572969999999</v>
      </c>
      <c r="AA73" s="5">
        <f>Daily_Input!N73</f>
        <v>13.03</v>
      </c>
      <c r="AB73" s="5">
        <f>Daily_Input!O73</f>
        <v>15.541</v>
      </c>
      <c r="AC73" s="5">
        <f>Daily_Input!P73</f>
        <v>3.63</v>
      </c>
      <c r="AD73" s="5">
        <f t="shared" si="4"/>
        <v>32.201000000000001</v>
      </c>
      <c r="AE73" s="5">
        <f t="shared" si="5"/>
        <v>15.541</v>
      </c>
      <c r="AF73" s="5">
        <f>IF(A73="","",IFERROR(INDEX(Daily_Input!$F:$F,ROW()+1),""))</f>
        <v>11367.816099604432</v>
      </c>
      <c r="AG73" s="5">
        <f>IF(A73="","",IFERROR(INDEX(Daily_Input!$F:$F,ROW()+2),""))</f>
        <v>7177.536098438658</v>
      </c>
      <c r="AH73" s="5">
        <f>IF(A73="","",IFERROR(INDEX(Daily_Input!$F:$F,ROW()+3),""))</f>
        <v>4201.3925110004157</v>
      </c>
    </row>
    <row r="74" spans="1:34">
      <c r="A74" s="5">
        <f>Daily_Input!A74</f>
        <v>45911</v>
      </c>
      <c r="B74" s="5">
        <f>Daily_Input!F74</f>
        <v>11367.816099604432</v>
      </c>
      <c r="C74" s="5">
        <f>Daily_Input!D74</f>
        <v>489.47399999999999</v>
      </c>
      <c r="D74" s="5">
        <f>Daily_Input!E74</f>
        <v>1604446.7185589999</v>
      </c>
      <c r="E74" s="5" cm="1">
        <f t="array" ref="E74">IF(ROW()=2,"",INDEX(Daily_Input!$E:$E,ROW())-INDEX(Daily_Input!$E:$E,ROW()-1))</f>
        <v>-2997.8744724001735</v>
      </c>
      <c r="F74" s="5">
        <f>IFERROR(Daily_Input!E74/Config!$B$4,"")</f>
        <v>0.98707012669825667</v>
      </c>
      <c r="G74" s="5">
        <f>Daily_Input!I74</f>
        <v>6</v>
      </c>
      <c r="H74" s="5">
        <f>IF(A74="","",IF(ROW()=2,G74,Config!$B$5*H73+G74))</f>
        <v>138.43133915802244</v>
      </c>
      <c r="I74" s="5">
        <f t="shared" si="3"/>
        <v>254</v>
      </c>
      <c r="J74" s="5">
        <f>IF(I74="","",SIN(2*PI()*I74/Config!$B$6))</f>
        <v>-0.94276114339042061</v>
      </c>
      <c r="K74" s="5">
        <f>IF(I74="","",COS(2*PI()*I74/Config!$B$6))</f>
        <v>-0.33346877891818705</v>
      </c>
      <c r="L74" s="5">
        <f>IF(ROW()&lt;=2+0,"",INDEX(Daily_Input!$F:$F,ROW()-1))</f>
        <v>7161.8376565521703</v>
      </c>
      <c r="M74" s="5">
        <f>IF(ROW()&lt;=2+1,"",INDEX(Daily_Input!$F:$F,ROW()-2))</f>
        <v>7149.8358157044286</v>
      </c>
      <c r="N74" s="5">
        <f>IF(ROW()&lt;=2+2,"",INDEX(Daily_Input!$F:$F,ROW()-3))</f>
        <v>9147.6059040011987</v>
      </c>
      <c r="O74" s="5">
        <f>IF(ROW()&lt;=2+6,"",INDEX(Daily_Input!$F:$F,ROW()-7))</f>
        <v>128748.91688506235</v>
      </c>
      <c r="P74" s="5">
        <f>IF(ROW()&lt;=2+13,"",INDEX(Daily_Input!$F:$F,ROW()-14))</f>
        <v>682947.49308773025</v>
      </c>
      <c r="Q74" s="5">
        <f>IF(ROW()&lt;=4,"",SUM(INDEX(Daily_Input!$I:$I,ROW()-2):INDEX(Daily_Input!$I:$I,ROW())))</f>
        <v>6</v>
      </c>
      <c r="R74" s="5">
        <f>IF(ROW()&lt;=8,"",SUM(INDEX(Daily_Input!$I:$I,ROW()-6):INDEX(Daily_Input!$I:$I,ROW())))</f>
        <v>10.4</v>
      </c>
      <c r="S74" s="5">
        <f>IF(ROW()&lt;=15,"",SUM(INDEX(Daily_Input!$I:$I,ROW()-13):INDEX(Daily_Input!$I:$I,ROW())))</f>
        <v>32.199999999999996</v>
      </c>
      <c r="T74" s="5">
        <f>IF(ROW()&lt;=4,"",AVERAGE(INDEX(Daily_Input!$F:$F,ROW()-2):INDEX(Daily_Input!$F:$F,ROW())))</f>
        <v>8559.8298572870099</v>
      </c>
      <c r="U74" s="5">
        <f>IF(ROW()&lt;=2+0,"",INDEX(Daily_Input!$G:$G,ROW()-1))</f>
        <v>15019.199999999999</v>
      </c>
      <c r="V74" s="5">
        <f>IF(ROW()&lt;=2+0,"",INDEX(Daily_Input!$H:$H,ROW()-1))</f>
        <v>0</v>
      </c>
      <c r="W74" s="5">
        <f>IF(ROW()&lt;=2+1,"",INDEX(Daily_Input!$G:$G,ROW()-2))</f>
        <v>15019.199999999999</v>
      </c>
      <c r="X74" s="5">
        <f>IF(ROW()&lt;=2+1,"",INDEX(Daily_Input!$H:$H,ROW()-2))</f>
        <v>0</v>
      </c>
      <c r="Y74" s="5">
        <f>IF(ROW()&lt;=2+2,"",INDEX(Daily_Input!$G:$G,ROW()-3))</f>
        <v>15019.199999999999</v>
      </c>
      <c r="Z74" s="5">
        <f>IF(ROW()&lt;=2+2,"",INDEX(Daily_Input!$H:$H,ROW()-3))</f>
        <v>321.58828549999998</v>
      </c>
      <c r="AA74" s="5">
        <f>Daily_Input!N74</f>
        <v>15.541</v>
      </c>
      <c r="AB74" s="5">
        <f>Daily_Input!O74</f>
        <v>3.63</v>
      </c>
      <c r="AC74" s="5">
        <f>Daily_Input!P74</f>
        <v>1.3680000000000001</v>
      </c>
      <c r="AD74" s="5">
        <f t="shared" si="4"/>
        <v>20.538999999999998</v>
      </c>
      <c r="AE74" s="5">
        <f t="shared" si="5"/>
        <v>15.541</v>
      </c>
      <c r="AF74" s="5">
        <f>IF(A74="","",IFERROR(INDEX(Daily_Input!$F:$F,ROW()+1),""))</f>
        <v>7177.536098438658</v>
      </c>
      <c r="AG74" s="5">
        <f>IF(A74="","",IFERROR(INDEX(Daily_Input!$F:$F,ROW()+2),""))</f>
        <v>4201.3925110004157</v>
      </c>
      <c r="AH74" s="5">
        <f>IF(A74="","",IFERROR(INDEX(Daily_Input!$F:$F,ROW()+3),""))</f>
        <v>7248.7242808551546</v>
      </c>
    </row>
    <row r="75" spans="1:34">
      <c r="A75" s="5">
        <f>Daily_Input!A75</f>
        <v>45912</v>
      </c>
      <c r="B75" s="5">
        <f>Daily_Input!F75</f>
        <v>7177.536098438658</v>
      </c>
      <c r="C75" s="5">
        <f>Daily_Input!D75</f>
        <v>489.44799999999998</v>
      </c>
      <c r="D75" s="5">
        <f>Daily_Input!E75</f>
        <v>1595462.0162961001</v>
      </c>
      <c r="E75" s="5" cm="1">
        <f t="array" ref="E75">IF(ROW()=2,"",INDEX(Daily_Input!$E:$E,ROW())-INDEX(Daily_Input!$E:$E,ROW()-1))</f>
        <v>-8984.7022628998384</v>
      </c>
      <c r="F75" s="5">
        <f>IFERROR(Daily_Input!E75/Config!$B$4,"")</f>
        <v>0.98154265663745477</v>
      </c>
      <c r="G75" s="5">
        <f>Daily_Input!I75</f>
        <v>0</v>
      </c>
      <c r="H75" s="5">
        <f>IF(A75="","",IF(ROW()=2,G75,Config!$B$5*H74+G75))</f>
        <v>131.50977220012132</v>
      </c>
      <c r="I75" s="5">
        <f t="shared" si="3"/>
        <v>255</v>
      </c>
      <c r="J75" s="5">
        <f>IF(I75="","",SIN(2*PI()*I75/Config!$B$6))</f>
        <v>-0.94836158001217163</v>
      </c>
      <c r="K75" s="5">
        <f>IF(I75="","",COS(2*PI()*I75/Config!$B$6))</f>
        <v>-0.31719128858910595</v>
      </c>
      <c r="L75" s="5">
        <f>IF(ROW()&lt;=2+0,"",INDEX(Daily_Input!$F:$F,ROW()-1))</f>
        <v>11367.816099604432</v>
      </c>
      <c r="M75" s="5">
        <f>IF(ROW()&lt;=2+1,"",INDEX(Daily_Input!$F:$F,ROW()-2))</f>
        <v>7161.8376565521703</v>
      </c>
      <c r="N75" s="5">
        <f>IF(ROW()&lt;=2+2,"",INDEX(Daily_Input!$F:$F,ROW()-3))</f>
        <v>7149.8358157044286</v>
      </c>
      <c r="O75" s="5">
        <f>IF(ROW()&lt;=2+6,"",INDEX(Daily_Input!$F:$F,ROW()-7))</f>
        <v>78859.649736720108</v>
      </c>
      <c r="P75" s="5">
        <f>IF(ROW()&lt;=2+13,"",INDEX(Daily_Input!$F:$F,ROW()-14))</f>
        <v>457141.1065816881</v>
      </c>
      <c r="Q75" s="5">
        <f>IF(ROW()&lt;=4,"",SUM(INDEX(Daily_Input!$I:$I,ROW()-2):INDEX(Daily_Input!$I:$I,ROW())))</f>
        <v>6</v>
      </c>
      <c r="R75" s="5">
        <f>IF(ROW()&lt;=8,"",SUM(INDEX(Daily_Input!$I:$I,ROW()-6):INDEX(Daily_Input!$I:$I,ROW())))</f>
        <v>10.4</v>
      </c>
      <c r="S75" s="5">
        <f>IF(ROW()&lt;=15,"",SUM(INDEX(Daily_Input!$I:$I,ROW()-13):INDEX(Daily_Input!$I:$I,ROW())))</f>
        <v>32.199999999999996</v>
      </c>
      <c r="T75" s="5">
        <f>IF(ROW()&lt;=4,"",AVERAGE(INDEX(Daily_Input!$F:$F,ROW()-2):INDEX(Daily_Input!$F:$F,ROW())))</f>
        <v>8569.0632848650857</v>
      </c>
      <c r="U75" s="5">
        <f>IF(ROW()&lt;=2+0,"",INDEX(Daily_Input!$G:$G,ROW()-1))</f>
        <v>15019.199999999999</v>
      </c>
      <c r="V75" s="5">
        <f>IF(ROW()&lt;=2+0,"",INDEX(Daily_Input!$H:$H,ROW()-1))</f>
        <v>0</v>
      </c>
      <c r="W75" s="5">
        <f>IF(ROW()&lt;=2+1,"",INDEX(Daily_Input!$G:$G,ROW()-2))</f>
        <v>15019.199999999999</v>
      </c>
      <c r="X75" s="5">
        <f>IF(ROW()&lt;=2+1,"",INDEX(Daily_Input!$H:$H,ROW()-2))</f>
        <v>0</v>
      </c>
      <c r="Y75" s="5">
        <f>IF(ROW()&lt;=2+2,"",INDEX(Daily_Input!$G:$G,ROW()-3))</f>
        <v>15019.199999999999</v>
      </c>
      <c r="Z75" s="5">
        <f>IF(ROW()&lt;=2+2,"",INDEX(Daily_Input!$H:$H,ROW()-3))</f>
        <v>0</v>
      </c>
      <c r="AA75" s="5">
        <f>Daily_Input!N75</f>
        <v>3.63</v>
      </c>
      <c r="AB75" s="5">
        <f>Daily_Input!O75</f>
        <v>1.3680000000000001</v>
      </c>
      <c r="AC75" s="5">
        <f>Daily_Input!P75</f>
        <v>2.5950000000000002</v>
      </c>
      <c r="AD75" s="5">
        <f t="shared" si="4"/>
        <v>7.593</v>
      </c>
      <c r="AE75" s="5">
        <f t="shared" si="5"/>
        <v>3.63</v>
      </c>
      <c r="AF75" s="5">
        <f>IF(A75="","",IFERROR(INDEX(Daily_Input!$F:$F,ROW()+1),""))</f>
        <v>4201.3925110004157</v>
      </c>
      <c r="AG75" s="5">
        <f>IF(A75="","",IFERROR(INDEX(Daily_Input!$F:$F,ROW()+2),""))</f>
        <v>7248.7242808551546</v>
      </c>
      <c r="AH75" s="5">
        <f>IF(A75="","",IFERROR(INDEX(Daily_Input!$F:$F,ROW()+3),""))</f>
        <v>5663.2748590990486</v>
      </c>
    </row>
    <row r="76" spans="1:34">
      <c r="A76" s="5">
        <f>Daily_Input!A76</f>
        <v>45913</v>
      </c>
      <c r="B76" s="5">
        <f>Daily_Input!F76</f>
        <v>4201.3925110004157</v>
      </c>
      <c r="C76" s="5">
        <f>Daily_Input!D76</f>
        <v>489.40899999999999</v>
      </c>
      <c r="D76" s="5">
        <f>Daily_Input!E76</f>
        <v>1583503.9153768001</v>
      </c>
      <c r="E76" s="5" cm="1">
        <f t="array" ref="E76">IF(ROW()=2,"",INDEX(Daily_Input!$E:$E,ROW())-INDEX(Daily_Input!$E:$E,ROW()-1))</f>
        <v>-11958.100919299992</v>
      </c>
      <c r="F76" s="5">
        <f>IFERROR(Daily_Input!E76/Config!$B$4,"")</f>
        <v>0.9741859248414092</v>
      </c>
      <c r="G76" s="5">
        <f>Daily_Input!I76</f>
        <v>0</v>
      </c>
      <c r="H76" s="5">
        <f>IF(A76="","",IF(ROW()=2,G76,Config!$B$5*H75+G76))</f>
        <v>124.93428359011524</v>
      </c>
      <c r="I76" s="5">
        <f t="shared" si="3"/>
        <v>256</v>
      </c>
      <c r="J76" s="5">
        <f>IF(I76="","",SIN(2*PI()*I76/Config!$B$6))</f>
        <v>-0.95368099663044548</v>
      </c>
      <c r="K76" s="5">
        <f>IF(I76="","",COS(2*PI()*I76/Config!$B$6))</f>
        <v>-0.30081980763566801</v>
      </c>
      <c r="L76" s="5">
        <f>IF(ROW()&lt;=2+0,"",INDEX(Daily_Input!$F:$F,ROW()-1))</f>
        <v>7177.536098438658</v>
      </c>
      <c r="M76" s="5">
        <f>IF(ROW()&lt;=2+1,"",INDEX(Daily_Input!$F:$F,ROW()-2))</f>
        <v>11367.816099604432</v>
      </c>
      <c r="N76" s="5">
        <f>IF(ROW()&lt;=2+2,"",INDEX(Daily_Input!$F:$F,ROW()-3))</f>
        <v>7161.8376565521703</v>
      </c>
      <c r="O76" s="5">
        <f>IF(ROW()&lt;=2+6,"",INDEX(Daily_Input!$F:$F,ROW()-7))</f>
        <v>44276.176947026448</v>
      </c>
      <c r="P76" s="5">
        <f>IF(ROW()&lt;=2+13,"",INDEX(Daily_Input!$F:$F,ROW()-14))</f>
        <v>337714.76111845404</v>
      </c>
      <c r="Q76" s="5">
        <f>IF(ROW()&lt;=4,"",SUM(INDEX(Daily_Input!$I:$I,ROW()-2):INDEX(Daily_Input!$I:$I,ROW())))</f>
        <v>6</v>
      </c>
      <c r="R76" s="5">
        <f>IF(ROW()&lt;=8,"",SUM(INDEX(Daily_Input!$I:$I,ROW()-6):INDEX(Daily_Input!$I:$I,ROW())))</f>
        <v>10.4</v>
      </c>
      <c r="S76" s="5">
        <f>IF(ROW()&lt;=15,"",SUM(INDEX(Daily_Input!$I:$I,ROW()-13):INDEX(Daily_Input!$I:$I,ROW())))</f>
        <v>32.199999999999996</v>
      </c>
      <c r="T76" s="5">
        <f>IF(ROW()&lt;=4,"",AVERAGE(INDEX(Daily_Input!$F:$F,ROW()-2):INDEX(Daily_Input!$F:$F,ROW())))</f>
        <v>7582.2482363478348</v>
      </c>
      <c r="U76" s="5">
        <f>IF(ROW()&lt;=2+0,"",INDEX(Daily_Input!$G:$G,ROW()-1))</f>
        <v>15019.199999999999</v>
      </c>
      <c r="V76" s="5">
        <f>IF(ROW()&lt;=2+0,"",INDEX(Daily_Input!$H:$H,ROW()-1))</f>
        <v>0</v>
      </c>
      <c r="W76" s="5">
        <f>IF(ROW()&lt;=2+1,"",INDEX(Daily_Input!$G:$G,ROW()-2))</f>
        <v>15019.199999999999</v>
      </c>
      <c r="X76" s="5">
        <f>IF(ROW()&lt;=2+1,"",INDEX(Daily_Input!$H:$H,ROW()-2))</f>
        <v>0</v>
      </c>
      <c r="Y76" s="5">
        <f>IF(ROW()&lt;=2+2,"",INDEX(Daily_Input!$G:$G,ROW()-3))</f>
        <v>15019.199999999999</v>
      </c>
      <c r="Z76" s="5">
        <f>IF(ROW()&lt;=2+2,"",INDEX(Daily_Input!$H:$H,ROW()-3))</f>
        <v>0</v>
      </c>
      <c r="AA76" s="5">
        <f>Daily_Input!N76</f>
        <v>1.3680000000000001</v>
      </c>
      <c r="AB76" s="5">
        <f>Daily_Input!O76</f>
        <v>2.5950000000000002</v>
      </c>
      <c r="AC76" s="5">
        <f>Daily_Input!P76</f>
        <v>8.984</v>
      </c>
      <c r="AD76" s="5">
        <f t="shared" si="4"/>
        <v>12.946999999999999</v>
      </c>
      <c r="AE76" s="5">
        <f t="shared" si="5"/>
        <v>8.984</v>
      </c>
      <c r="AF76" s="5">
        <f>IF(A76="","",IFERROR(INDEX(Daily_Input!$F:$F,ROW()+1),""))</f>
        <v>7248.7242808551546</v>
      </c>
      <c r="AG76" s="5">
        <f>IF(A76="","",IFERROR(INDEX(Daily_Input!$F:$F,ROW()+2),""))</f>
        <v>5663.2748590990486</v>
      </c>
      <c r="AH76" s="5">
        <f>IF(A76="","",IFERROR(INDEX(Daily_Input!$F:$F,ROW()+3),""))</f>
        <v>11472.309566763399</v>
      </c>
    </row>
    <row r="77" spans="1:34">
      <c r="A77" s="5">
        <f>Daily_Input!A77</f>
        <v>45914</v>
      </c>
      <c r="B77" s="5">
        <f>Daily_Input!F77</f>
        <v>7248.7242808551546</v>
      </c>
      <c r="C77" s="5">
        <f>Daily_Input!D77</f>
        <v>489.37200000000001</v>
      </c>
      <c r="D77" s="5">
        <f>Daily_Input!E77</f>
        <v>1574601.0268989</v>
      </c>
      <c r="E77" s="5" cm="1">
        <f t="array" ref="E77">IF(ROW()=2,"",INDEX(Daily_Input!$E:$E,ROW())-INDEX(Daily_Input!$E:$E,ROW()-1))</f>
        <v>-8902.8884779000655</v>
      </c>
      <c r="F77" s="5">
        <f>IFERROR(Daily_Input!E77/Config!$B$4,"")</f>
        <v>0.96870878736079924</v>
      </c>
      <c r="G77" s="5">
        <f>Daily_Input!I77</f>
        <v>0</v>
      </c>
      <c r="H77" s="5">
        <f>IF(A77="","",IF(ROW()=2,G77,Config!$B$5*H76+G77))</f>
        <v>118.68756941060947</v>
      </c>
      <c r="I77" s="5">
        <f t="shared" si="3"/>
        <v>257</v>
      </c>
      <c r="J77" s="5">
        <f>IF(I77="","",SIN(2*PI()*I77/Config!$B$6))</f>
        <v>-0.95871781698729641</v>
      </c>
      <c r="K77" s="5">
        <f>IF(I77="","",COS(2*PI()*I77/Config!$B$6))</f>
        <v>-0.28435918728100362</v>
      </c>
      <c r="L77" s="5">
        <f>IF(ROW()&lt;=2+0,"",INDEX(Daily_Input!$F:$F,ROW()-1))</f>
        <v>4201.3925110004157</v>
      </c>
      <c r="M77" s="5">
        <f>IF(ROW()&lt;=2+1,"",INDEX(Daily_Input!$F:$F,ROW()-2))</f>
        <v>7177.536098438658</v>
      </c>
      <c r="N77" s="5">
        <f>IF(ROW()&lt;=2+2,"",INDEX(Daily_Input!$F:$F,ROW()-3))</f>
        <v>11367.816099604432</v>
      </c>
      <c r="O77" s="5">
        <f>IF(ROW()&lt;=2+6,"",INDEX(Daily_Input!$F:$F,ROW()-7))</f>
        <v>21265.004473392863</v>
      </c>
      <c r="P77" s="5">
        <f>IF(ROW()&lt;=2+13,"",INDEX(Daily_Input!$F:$F,ROW()-14))</f>
        <v>299004.80630702799</v>
      </c>
      <c r="Q77" s="5">
        <f>IF(ROW()&lt;=4,"",SUM(INDEX(Daily_Input!$I:$I,ROW()-2):INDEX(Daily_Input!$I:$I,ROW())))</f>
        <v>0</v>
      </c>
      <c r="R77" s="5">
        <f>IF(ROW()&lt;=8,"",SUM(INDEX(Daily_Input!$I:$I,ROW()-6):INDEX(Daily_Input!$I:$I,ROW())))</f>
        <v>10.4</v>
      </c>
      <c r="S77" s="5">
        <f>IF(ROW()&lt;=15,"",SUM(INDEX(Daily_Input!$I:$I,ROW()-13):INDEX(Daily_Input!$I:$I,ROW())))</f>
        <v>18.799999999999997</v>
      </c>
      <c r="T77" s="5">
        <f>IF(ROW()&lt;=4,"",AVERAGE(INDEX(Daily_Input!$F:$F,ROW()-2):INDEX(Daily_Input!$F:$F,ROW())))</f>
        <v>6209.2176300980764</v>
      </c>
      <c r="U77" s="5">
        <f>IF(ROW()&lt;=2+0,"",INDEX(Daily_Input!$G:$G,ROW()-1))</f>
        <v>15019.199999999999</v>
      </c>
      <c r="V77" s="5">
        <f>IF(ROW()&lt;=2+0,"",INDEX(Daily_Input!$H:$H,ROW()-1))</f>
        <v>0</v>
      </c>
      <c r="W77" s="5">
        <f>IF(ROW()&lt;=2+1,"",INDEX(Daily_Input!$G:$G,ROW()-2))</f>
        <v>15019.199999999999</v>
      </c>
      <c r="X77" s="5">
        <f>IF(ROW()&lt;=2+1,"",INDEX(Daily_Input!$H:$H,ROW()-2))</f>
        <v>0</v>
      </c>
      <c r="Y77" s="5">
        <f>IF(ROW()&lt;=2+2,"",INDEX(Daily_Input!$G:$G,ROW()-3))</f>
        <v>15019.199999999999</v>
      </c>
      <c r="Z77" s="5">
        <f>IF(ROW()&lt;=2+2,"",INDEX(Daily_Input!$H:$H,ROW()-3))</f>
        <v>0</v>
      </c>
      <c r="AA77" s="5">
        <f>Daily_Input!N77</f>
        <v>2.5950000000000002</v>
      </c>
      <c r="AB77" s="5">
        <f>Daily_Input!O77</f>
        <v>8.984</v>
      </c>
      <c r="AC77" s="5">
        <f>Daily_Input!P77</f>
        <v>5.7530000000000001</v>
      </c>
      <c r="AD77" s="5">
        <f t="shared" si="4"/>
        <v>17.332000000000001</v>
      </c>
      <c r="AE77" s="5">
        <f t="shared" si="5"/>
        <v>8.984</v>
      </c>
      <c r="AF77" s="5">
        <f>IF(A77="","",IFERROR(INDEX(Daily_Input!$F:$F,ROW()+1),""))</f>
        <v>5663.2748590990486</v>
      </c>
      <c r="AG77" s="5">
        <f>IF(A77="","",IFERROR(INDEX(Daily_Input!$F:$F,ROW()+2),""))</f>
        <v>11472.309566763399</v>
      </c>
      <c r="AH77" s="5">
        <f>IF(A77="","",IFERROR(INDEX(Daily_Input!$F:$F,ROW()+3),""))</f>
        <v>13190.014880184803</v>
      </c>
    </row>
    <row r="78" spans="1:34">
      <c r="A78" s="5">
        <f>Daily_Input!A78</f>
        <v>45915</v>
      </c>
      <c r="B78" s="5">
        <f>Daily_Input!F78</f>
        <v>5663.2748590990486</v>
      </c>
      <c r="C78" s="5">
        <f>Daily_Input!D78</f>
        <v>489.35899999999998</v>
      </c>
      <c r="D78" s="5">
        <f>Daily_Input!E78</f>
        <v>1568674.6777429001</v>
      </c>
      <c r="E78" s="5" cm="1">
        <f t="array" ref="E78">IF(ROW()=2,"",INDEX(Daily_Input!$E:$E,ROW())-INDEX(Daily_Input!$E:$E,ROW()-1))</f>
        <v>-5926.3491559999529</v>
      </c>
      <c r="F78" s="5">
        <f>IFERROR(Daily_Input!E78/Config!$B$4,"")</f>
        <v>0.96506284378124252</v>
      </c>
      <c r="G78" s="5">
        <f>Daily_Input!I78</f>
        <v>15.4</v>
      </c>
      <c r="H78" s="5">
        <f>IF(A78="","",IF(ROW()=2,G78,Config!$B$5*H77+G78))</f>
        <v>128.15319094007899</v>
      </c>
      <c r="I78" s="5">
        <f t="shared" si="3"/>
        <v>258</v>
      </c>
      <c r="J78" s="5">
        <f>IF(I78="","",SIN(2*PI()*I78/Config!$B$6))</f>
        <v>-0.9634705485641486</v>
      </c>
      <c r="K78" s="5">
        <f>IF(I78="","",COS(2*PI()*I78/Config!$B$6))</f>
        <v>-0.26781430516217486</v>
      </c>
      <c r="L78" s="5">
        <f>IF(ROW()&lt;=2+0,"",INDEX(Daily_Input!$F:$F,ROW()-1))</f>
        <v>7248.7242808551546</v>
      </c>
      <c r="M78" s="5">
        <f>IF(ROW()&lt;=2+1,"",INDEX(Daily_Input!$F:$F,ROW()-2))</f>
        <v>4201.3925110004157</v>
      </c>
      <c r="N78" s="5">
        <f>IF(ROW()&lt;=2+2,"",INDEX(Daily_Input!$F:$F,ROW()-3))</f>
        <v>7177.536098438658</v>
      </c>
      <c r="O78" s="5">
        <f>IF(ROW()&lt;=2+6,"",INDEX(Daily_Input!$F:$F,ROW()-7))</f>
        <v>9147.6059040011987</v>
      </c>
      <c r="P78" s="5">
        <f>IF(ROW()&lt;=2+13,"",INDEX(Daily_Input!$F:$F,ROW()-14))</f>
        <v>237129.5711383255</v>
      </c>
      <c r="Q78" s="5">
        <f>IF(ROW()&lt;=4,"",SUM(INDEX(Daily_Input!$I:$I,ROW()-2):INDEX(Daily_Input!$I:$I,ROW())))</f>
        <v>15.4</v>
      </c>
      <c r="R78" s="5">
        <f>IF(ROW()&lt;=8,"",SUM(INDEX(Daily_Input!$I:$I,ROW()-6):INDEX(Daily_Input!$I:$I,ROW())))</f>
        <v>21.4</v>
      </c>
      <c r="S78" s="5">
        <f>IF(ROW()&lt;=15,"",SUM(INDEX(Daily_Input!$I:$I,ROW()-13):INDEX(Daily_Input!$I:$I,ROW())))</f>
        <v>30.4</v>
      </c>
      <c r="T78" s="5">
        <f>IF(ROW()&lt;=4,"",AVERAGE(INDEX(Daily_Input!$F:$F,ROW()-2):INDEX(Daily_Input!$F:$F,ROW())))</f>
        <v>5704.4638836515396</v>
      </c>
      <c r="U78" s="5">
        <f>IF(ROW()&lt;=2+0,"",INDEX(Daily_Input!$G:$G,ROW()-1))</f>
        <v>15019.199999999999</v>
      </c>
      <c r="V78" s="5">
        <f>IF(ROW()&lt;=2+0,"",INDEX(Daily_Input!$H:$H,ROW()-1))</f>
        <v>0</v>
      </c>
      <c r="W78" s="5">
        <f>IF(ROW()&lt;=2+1,"",INDEX(Daily_Input!$G:$G,ROW()-2))</f>
        <v>15019.199999999999</v>
      </c>
      <c r="X78" s="5">
        <f>IF(ROW()&lt;=2+1,"",INDEX(Daily_Input!$H:$H,ROW()-2))</f>
        <v>0</v>
      </c>
      <c r="Y78" s="5">
        <f>IF(ROW()&lt;=2+2,"",INDEX(Daily_Input!$G:$G,ROW()-3))</f>
        <v>15019.199999999999</v>
      </c>
      <c r="Z78" s="5">
        <f>IF(ROW()&lt;=2+2,"",INDEX(Daily_Input!$H:$H,ROW()-3))</f>
        <v>0</v>
      </c>
      <c r="AA78" s="5">
        <f>Daily_Input!N78</f>
        <v>8.984</v>
      </c>
      <c r="AB78" s="5">
        <f>Daily_Input!O78</f>
        <v>5.7530000000000001</v>
      </c>
      <c r="AC78" s="5">
        <f>Daily_Input!P78</f>
        <v>0.13200000000000001</v>
      </c>
      <c r="AD78" s="5">
        <f t="shared" si="4"/>
        <v>14.869</v>
      </c>
      <c r="AE78" s="5">
        <f t="shared" si="5"/>
        <v>8.984</v>
      </c>
      <c r="AF78" s="5">
        <f>IF(A78="","",IFERROR(INDEX(Daily_Input!$F:$F,ROW()+1),""))</f>
        <v>11472.309566763399</v>
      </c>
      <c r="AG78" s="5">
        <f>IF(A78="","",IFERROR(INDEX(Daily_Input!$F:$F,ROW()+2),""))</f>
        <v>13190.014880184803</v>
      </c>
      <c r="AH78" s="5">
        <f>IF(A78="","",IFERROR(INDEX(Daily_Input!$F:$F,ROW()+3),""))</f>
        <v>1374.8609051012572</v>
      </c>
    </row>
    <row r="79" spans="1:34">
      <c r="A79" s="5">
        <f>Daily_Input!A79</f>
        <v>45916</v>
      </c>
      <c r="B79" s="5">
        <f>Daily_Input!F79</f>
        <v>11472.309566763399</v>
      </c>
      <c r="C79" s="5">
        <f>Daily_Input!D79</f>
        <v>489.34300000000002</v>
      </c>
      <c r="D79" s="5">
        <f>Daily_Input!E79</f>
        <v>1565714.0163252</v>
      </c>
      <c r="E79" s="5" cm="1">
        <f t="array" ref="E79">IF(ROW()=2,"",INDEX(Daily_Input!$E:$E,ROW())-INDEX(Daily_Input!$E:$E,ROW()-1))</f>
        <v>-2960.6614177001175</v>
      </c>
      <c r="F79" s="5">
        <f>IFERROR(Daily_Input!E79/Config!$B$4,"")</f>
        <v>0.96324141811040154</v>
      </c>
      <c r="G79" s="5">
        <f>Daily_Input!I79</f>
        <v>5.8</v>
      </c>
      <c r="H79" s="5">
        <f>IF(A79="","",IF(ROW()=2,G79,Config!$B$5*H78+G79))</f>
        <v>127.54553139307502</v>
      </c>
      <c r="I79" s="5">
        <f t="shared" si="3"/>
        <v>259</v>
      </c>
      <c r="J79" s="5">
        <f>IF(I79="","",SIN(2*PI()*I79/Config!$B$6))</f>
        <v>-0.96793778302406408</v>
      </c>
      <c r="K79" s="5">
        <f>IF(I79="","",COS(2*PI()*I79/Config!$B$6))</f>
        <v>-0.25119006388481957</v>
      </c>
      <c r="L79" s="5">
        <f>IF(ROW()&lt;=2+0,"",INDEX(Daily_Input!$F:$F,ROW()-1))</f>
        <v>5663.2748590990486</v>
      </c>
      <c r="M79" s="5">
        <f>IF(ROW()&lt;=2+1,"",INDEX(Daily_Input!$F:$F,ROW()-2))</f>
        <v>7248.7242808551546</v>
      </c>
      <c r="N79" s="5">
        <f>IF(ROW()&lt;=2+2,"",INDEX(Daily_Input!$F:$F,ROW()-3))</f>
        <v>4201.3925110004157</v>
      </c>
      <c r="O79" s="5">
        <f>IF(ROW()&lt;=2+6,"",INDEX(Daily_Input!$F:$F,ROW()-7))</f>
        <v>7149.8358157044286</v>
      </c>
      <c r="P79" s="5">
        <f>IF(ROW()&lt;=2+13,"",INDEX(Daily_Input!$F:$F,ROW()-14))</f>
        <v>196072.64086824178</v>
      </c>
      <c r="Q79" s="5">
        <f>IF(ROW()&lt;=4,"",SUM(INDEX(Daily_Input!$I:$I,ROW()-2):INDEX(Daily_Input!$I:$I,ROW())))</f>
        <v>21.2</v>
      </c>
      <c r="R79" s="5">
        <f>IF(ROW()&lt;=8,"",SUM(INDEX(Daily_Input!$I:$I,ROW()-6):INDEX(Daily_Input!$I:$I,ROW())))</f>
        <v>27.2</v>
      </c>
      <c r="S79" s="5">
        <f>IF(ROW()&lt;=15,"",SUM(INDEX(Daily_Input!$I:$I,ROW()-13):INDEX(Daily_Input!$I:$I,ROW())))</f>
        <v>34.799999999999997</v>
      </c>
      <c r="T79" s="5">
        <f>IF(ROW()&lt;=4,"",AVERAGE(INDEX(Daily_Input!$F:$F,ROW()-2):INDEX(Daily_Input!$F:$F,ROW())))</f>
        <v>8128.1029022392004</v>
      </c>
      <c r="U79" s="5">
        <f>IF(ROW()&lt;=2+0,"",INDEX(Daily_Input!$G:$G,ROW()-1))</f>
        <v>15019.199999999999</v>
      </c>
      <c r="V79" s="5">
        <f>IF(ROW()&lt;=2+0,"",INDEX(Daily_Input!$H:$H,ROW()-1))</f>
        <v>0</v>
      </c>
      <c r="W79" s="5">
        <f>IF(ROW()&lt;=2+1,"",INDEX(Daily_Input!$G:$G,ROW()-2))</f>
        <v>15019.199999999999</v>
      </c>
      <c r="X79" s="5">
        <f>IF(ROW()&lt;=2+1,"",INDEX(Daily_Input!$H:$H,ROW()-2))</f>
        <v>0</v>
      </c>
      <c r="Y79" s="5">
        <f>IF(ROW()&lt;=2+2,"",INDEX(Daily_Input!$G:$G,ROW()-3))</f>
        <v>15019.199999999999</v>
      </c>
      <c r="Z79" s="5">
        <f>IF(ROW()&lt;=2+2,"",INDEX(Daily_Input!$H:$H,ROW()-3))</f>
        <v>0</v>
      </c>
      <c r="AA79" s="5">
        <f>Daily_Input!N79</f>
        <v>5.7530000000000001</v>
      </c>
      <c r="AB79" s="5">
        <f>Daily_Input!O79</f>
        <v>0.13200000000000001</v>
      </c>
      <c r="AC79" s="5">
        <f>Daily_Input!P79</f>
        <v>3.5000000000000003E-2</v>
      </c>
      <c r="AD79" s="5">
        <f t="shared" si="4"/>
        <v>5.92</v>
      </c>
      <c r="AE79" s="5">
        <f t="shared" si="5"/>
        <v>5.7530000000000001</v>
      </c>
      <c r="AF79" s="5">
        <f>IF(A79="","",IFERROR(INDEX(Daily_Input!$F:$F,ROW()+1),""))</f>
        <v>13190.014880184803</v>
      </c>
      <c r="AG79" s="5">
        <f>IF(A79="","",IFERROR(INDEX(Daily_Input!$F:$F,ROW()+2),""))</f>
        <v>1374.8609051012572</v>
      </c>
      <c r="AH79" s="5">
        <f>IF(A79="","",IFERROR(INDEX(Daily_Input!$F:$F,ROW()+3),""))</f>
        <v>2823.6028583486882</v>
      </c>
    </row>
    <row r="80" spans="1:34">
      <c r="A80" s="5">
        <f>Daily_Input!A80</f>
        <v>45917</v>
      </c>
      <c r="B80" s="5">
        <f>Daily_Input!F80</f>
        <v>13190.014880184803</v>
      </c>
      <c r="C80" s="5">
        <f>Daily_Input!D80</f>
        <v>489.33699999999999</v>
      </c>
      <c r="D80" s="5">
        <f>Daily_Input!E80</f>
        <v>1562754.9976601</v>
      </c>
      <c r="E80" s="5" cm="1">
        <f t="array" ref="E80">IF(ROW()=2,"",INDEX(Daily_Input!$E:$E,ROW())-INDEX(Daily_Input!$E:$E,ROW()-1))</f>
        <v>-2959.0186650999822</v>
      </c>
      <c r="F80" s="5">
        <f>IFERROR(Daily_Input!E80/Config!$B$4,"")</f>
        <v>0.96142100307581202</v>
      </c>
      <c r="G80" s="5">
        <f>Daily_Input!I80</f>
        <v>0</v>
      </c>
      <c r="H80" s="5">
        <f>IF(A80="","",IF(ROW()=2,G80,Config!$B$5*H79+G80))</f>
        <v>121.16825482342126</v>
      </c>
      <c r="I80" s="5">
        <f t="shared" si="3"/>
        <v>260</v>
      </c>
      <c r="J80" s="5">
        <f>IF(I80="","",SIN(2*PI()*I80/Config!$B$6))</f>
        <v>-0.97211819662906118</v>
      </c>
      <c r="K80" s="5">
        <f>IF(I80="","",COS(2*PI()*I80/Config!$B$6))</f>
        <v>-0.23449138957041052</v>
      </c>
      <c r="L80" s="5">
        <f>IF(ROW()&lt;=2+0,"",INDEX(Daily_Input!$F:$F,ROW()-1))</f>
        <v>11472.309566763399</v>
      </c>
      <c r="M80" s="5">
        <f>IF(ROW()&lt;=2+1,"",INDEX(Daily_Input!$F:$F,ROW()-2))</f>
        <v>5663.2748590990486</v>
      </c>
      <c r="N80" s="5">
        <f>IF(ROW()&lt;=2+2,"",INDEX(Daily_Input!$F:$F,ROW()-3))</f>
        <v>7248.7242808551546</v>
      </c>
      <c r="O80" s="5">
        <f>IF(ROW()&lt;=2+6,"",INDEX(Daily_Input!$F:$F,ROW()-7))</f>
        <v>7161.8376565521703</v>
      </c>
      <c r="P80" s="5">
        <f>IF(ROW()&lt;=2+13,"",INDEX(Daily_Input!$F:$F,ROW()-14))</f>
        <v>192464.81475623159</v>
      </c>
      <c r="Q80" s="5">
        <f>IF(ROW()&lt;=4,"",SUM(INDEX(Daily_Input!$I:$I,ROW()-2):INDEX(Daily_Input!$I:$I,ROW())))</f>
        <v>21.2</v>
      </c>
      <c r="R80" s="5">
        <f>IF(ROW()&lt;=8,"",SUM(INDEX(Daily_Input!$I:$I,ROW()-6):INDEX(Daily_Input!$I:$I,ROW())))</f>
        <v>27.2</v>
      </c>
      <c r="S80" s="5">
        <f>IF(ROW()&lt;=15,"",SUM(INDEX(Daily_Input!$I:$I,ROW()-13):INDEX(Daily_Input!$I:$I,ROW())))</f>
        <v>31.6</v>
      </c>
      <c r="T80" s="5">
        <f>IF(ROW()&lt;=4,"",AVERAGE(INDEX(Daily_Input!$F:$F,ROW()-2):INDEX(Daily_Input!$F:$F,ROW())))</f>
        <v>10108.533102015752</v>
      </c>
      <c r="U80" s="5">
        <f>IF(ROW()&lt;=2+0,"",INDEX(Daily_Input!$G:$G,ROW()-1))</f>
        <v>15019.199999999999</v>
      </c>
      <c r="V80" s="5">
        <f>IF(ROW()&lt;=2+0,"",INDEX(Daily_Input!$H:$H,ROW()-1))</f>
        <v>0</v>
      </c>
      <c r="W80" s="5">
        <f>IF(ROW()&lt;=2+1,"",INDEX(Daily_Input!$G:$G,ROW()-2))</f>
        <v>15019.199999999999</v>
      </c>
      <c r="X80" s="5">
        <f>IF(ROW()&lt;=2+1,"",INDEX(Daily_Input!$H:$H,ROW()-2))</f>
        <v>0</v>
      </c>
      <c r="Y80" s="5">
        <f>IF(ROW()&lt;=2+2,"",INDEX(Daily_Input!$G:$G,ROW()-3))</f>
        <v>15019.199999999999</v>
      </c>
      <c r="Z80" s="5">
        <f>IF(ROW()&lt;=2+2,"",INDEX(Daily_Input!$H:$H,ROW()-3))</f>
        <v>0</v>
      </c>
      <c r="AA80" s="5">
        <f>Daily_Input!N80</f>
        <v>0.13200000000000001</v>
      </c>
      <c r="AB80" s="5">
        <f>Daily_Input!O80</f>
        <v>3.5000000000000003E-2</v>
      </c>
      <c r="AC80" s="5">
        <f>Daily_Input!P80</f>
        <v>1.5469999999999999</v>
      </c>
      <c r="AD80" s="5">
        <f t="shared" si="4"/>
        <v>1.714</v>
      </c>
      <c r="AE80" s="5">
        <f t="shared" si="5"/>
        <v>1.5469999999999999</v>
      </c>
      <c r="AF80" s="5">
        <f>IF(A80="","",IFERROR(INDEX(Daily_Input!$F:$F,ROW()+1),""))</f>
        <v>1374.8609051012572</v>
      </c>
      <c r="AG80" s="5">
        <f>IF(A80="","",IFERROR(INDEX(Daily_Input!$F:$F,ROW()+2),""))</f>
        <v>2823.6028583486882</v>
      </c>
      <c r="AH80" s="5">
        <f>IF(A80="","",IFERROR(INDEX(Daily_Input!$F:$F,ROW()+3),""))</f>
        <v>970.08652436549107</v>
      </c>
    </row>
    <row r="81" spans="1:34">
      <c r="A81" s="5">
        <f>Daily_Input!A81</f>
        <v>45918</v>
      </c>
      <c r="B81" s="5">
        <f>Daily_Input!F81</f>
        <v>1374.8609051012572</v>
      </c>
      <c r="C81" s="5">
        <f>Daily_Input!D81</f>
        <v>489.28399999999999</v>
      </c>
      <c r="D81" s="5">
        <f>Daily_Input!E81</f>
        <v>1547983.8767252001</v>
      </c>
      <c r="E81" s="5" cm="1">
        <f t="array" ref="E81">IF(ROW()=2,"",INDEX(Daily_Input!$E:$E,ROW())-INDEX(Daily_Input!$E:$E,ROW()-1))</f>
        <v>-14771.120934899896</v>
      </c>
      <c r="F81" s="5">
        <f>IFERROR(Daily_Input!E81/Config!$B$4,"")</f>
        <v>0.95233367593429008</v>
      </c>
      <c r="G81" s="5">
        <f>Daily_Input!I81</f>
        <v>0</v>
      </c>
      <c r="H81" s="5">
        <f>IF(A81="","",IF(ROW()=2,G81,Config!$B$5*H80+G81))</f>
        <v>115.1098420822502</v>
      </c>
      <c r="I81" s="5">
        <f t="shared" si="3"/>
        <v>261</v>
      </c>
      <c r="J81" s="5">
        <f>IF(I81="","",SIN(2*PI()*I81/Config!$B$6))</f>
        <v>-0.97601055063236819</v>
      </c>
      <c r="K81" s="5">
        <f>IF(I81="","",COS(2*PI()*I81/Config!$B$6))</f>
        <v>-0.21772323039653224</v>
      </c>
      <c r="L81" s="5">
        <f>IF(ROW()&lt;=2+0,"",INDEX(Daily_Input!$F:$F,ROW()-1))</f>
        <v>13190.014880184803</v>
      </c>
      <c r="M81" s="5">
        <f>IF(ROW()&lt;=2+1,"",INDEX(Daily_Input!$F:$F,ROW()-2))</f>
        <v>11472.309566763399</v>
      </c>
      <c r="N81" s="5">
        <f>IF(ROW()&lt;=2+2,"",INDEX(Daily_Input!$F:$F,ROW()-3))</f>
        <v>5663.2748590990486</v>
      </c>
      <c r="O81" s="5">
        <f>IF(ROW()&lt;=2+6,"",INDEX(Daily_Input!$F:$F,ROW()-7))</f>
        <v>11367.816099604432</v>
      </c>
      <c r="P81" s="5">
        <f>IF(ROW()&lt;=2+13,"",INDEX(Daily_Input!$F:$F,ROW()-14))</f>
        <v>128748.91688506235</v>
      </c>
      <c r="Q81" s="5">
        <f>IF(ROW()&lt;=4,"",SUM(INDEX(Daily_Input!$I:$I,ROW()-2):INDEX(Daily_Input!$I:$I,ROW())))</f>
        <v>5.8</v>
      </c>
      <c r="R81" s="5">
        <f>IF(ROW()&lt;=8,"",SUM(INDEX(Daily_Input!$I:$I,ROW()-6):INDEX(Daily_Input!$I:$I,ROW())))</f>
        <v>21.2</v>
      </c>
      <c r="S81" s="5">
        <f>IF(ROW()&lt;=15,"",SUM(INDEX(Daily_Input!$I:$I,ROW()-13):INDEX(Daily_Input!$I:$I,ROW())))</f>
        <v>31.6</v>
      </c>
      <c r="T81" s="5">
        <f>IF(ROW()&lt;=4,"",AVERAGE(INDEX(Daily_Input!$F:$F,ROW()-2):INDEX(Daily_Input!$F:$F,ROW())))</f>
        <v>8679.0617840164869</v>
      </c>
      <c r="U81" s="5">
        <f>IF(ROW()&lt;=2+0,"",INDEX(Daily_Input!$G:$G,ROW()-1))</f>
        <v>15019.199999999999</v>
      </c>
      <c r="V81" s="5">
        <f>IF(ROW()&lt;=2+0,"",INDEX(Daily_Input!$H:$H,ROW()-1))</f>
        <v>0</v>
      </c>
      <c r="W81" s="5">
        <f>IF(ROW()&lt;=2+1,"",INDEX(Daily_Input!$G:$G,ROW()-2))</f>
        <v>15019.199999999999</v>
      </c>
      <c r="X81" s="5">
        <f>IF(ROW()&lt;=2+1,"",INDEX(Daily_Input!$H:$H,ROW()-2))</f>
        <v>0</v>
      </c>
      <c r="Y81" s="5">
        <f>IF(ROW()&lt;=2+2,"",INDEX(Daily_Input!$G:$G,ROW()-3))</f>
        <v>15019.199999999999</v>
      </c>
      <c r="Z81" s="5">
        <f>IF(ROW()&lt;=2+2,"",INDEX(Daily_Input!$H:$H,ROW()-3))</f>
        <v>0</v>
      </c>
      <c r="AA81" s="5">
        <f>Daily_Input!N81</f>
        <v>3.5000000000000003E-2</v>
      </c>
      <c r="AB81" s="5">
        <f>Daily_Input!O81</f>
        <v>1.5469999999999999</v>
      </c>
      <c r="AC81" s="5">
        <f>Daily_Input!P81</f>
        <v>8.423</v>
      </c>
      <c r="AD81" s="5">
        <f t="shared" si="4"/>
        <v>10.004999999999999</v>
      </c>
      <c r="AE81" s="5">
        <f t="shared" si="5"/>
        <v>8.423</v>
      </c>
      <c r="AF81" s="5">
        <f>IF(A81="","",IFERROR(INDEX(Daily_Input!$F:$F,ROW()+1),""))</f>
        <v>2823.6028583486882</v>
      </c>
      <c r="AG81" s="5">
        <f>IF(A81="","",IFERROR(INDEX(Daily_Input!$F:$F,ROW()+2),""))</f>
        <v>970.08652436549107</v>
      </c>
      <c r="AH81" s="5">
        <f>IF(A81="","",IFERROR(INDEX(Daily_Input!$F:$F,ROW()+3),""))</f>
        <v>8280.18768312879</v>
      </c>
    </row>
    <row r="82" spans="1:34">
      <c r="A82" s="5">
        <f>Daily_Input!A82</f>
        <v>45919</v>
      </c>
      <c r="B82" s="5">
        <f>Daily_Input!F82</f>
        <v>2823.6028583486882</v>
      </c>
      <c r="C82" s="5">
        <f>Daily_Input!D82</f>
        <v>489.24599999999998</v>
      </c>
      <c r="D82" s="5">
        <f>Daily_Input!E82</f>
        <v>1536194.8351113</v>
      </c>
      <c r="E82" s="5" cm="1">
        <f t="array" ref="E82">IF(ROW()=2,"",INDEX(Daily_Input!$E:$E,ROW())-INDEX(Daily_Input!$E:$E,ROW()-1))</f>
        <v>-11789.041613900103</v>
      </c>
      <c r="F82" s="5">
        <f>IFERROR(Daily_Input!E82/Config!$B$4,"")</f>
        <v>0.94508095095135358</v>
      </c>
      <c r="G82" s="5">
        <f>Daily_Input!I82</f>
        <v>5.2</v>
      </c>
      <c r="H82" s="5">
        <f>IF(A82="","",IF(ROW()=2,G82,Config!$B$5*H81+G82))</f>
        <v>114.55434997813768</v>
      </c>
      <c r="I82" s="5">
        <f t="shared" si="3"/>
        <v>262</v>
      </c>
      <c r="J82" s="5">
        <f>IF(I82="","",SIN(2*PI()*I82/Config!$B$6))</f>
        <v>-0.97961369164549006</v>
      </c>
      <c r="K82" s="5">
        <f>IF(I82="","",COS(2*PI()*I82/Config!$B$6))</f>
        <v>-0.20089055513063528</v>
      </c>
      <c r="L82" s="5">
        <f>IF(ROW()&lt;=2+0,"",INDEX(Daily_Input!$F:$F,ROW()-1))</f>
        <v>1374.8609051012572</v>
      </c>
      <c r="M82" s="5">
        <f>IF(ROW()&lt;=2+1,"",INDEX(Daily_Input!$F:$F,ROW()-2))</f>
        <v>13190.014880184803</v>
      </c>
      <c r="N82" s="5">
        <f>IF(ROW()&lt;=2+2,"",INDEX(Daily_Input!$F:$F,ROW()-3))</f>
        <v>11472.309566763399</v>
      </c>
      <c r="O82" s="5">
        <f>IF(ROW()&lt;=2+6,"",INDEX(Daily_Input!$F:$F,ROW()-7))</f>
        <v>7177.536098438658</v>
      </c>
      <c r="P82" s="5">
        <f>IF(ROW()&lt;=2+13,"",INDEX(Daily_Input!$F:$F,ROW()-14))</f>
        <v>78859.649736720108</v>
      </c>
      <c r="Q82" s="5">
        <f>IF(ROW()&lt;=4,"",SUM(INDEX(Daily_Input!$I:$I,ROW()-2):INDEX(Daily_Input!$I:$I,ROW())))</f>
        <v>5.2</v>
      </c>
      <c r="R82" s="5">
        <f>IF(ROW()&lt;=8,"",SUM(INDEX(Daily_Input!$I:$I,ROW()-6):INDEX(Daily_Input!$I:$I,ROW())))</f>
        <v>26.4</v>
      </c>
      <c r="S82" s="5">
        <f>IF(ROW()&lt;=15,"",SUM(INDEX(Daily_Input!$I:$I,ROW()-13):INDEX(Daily_Input!$I:$I,ROW())))</f>
        <v>36.800000000000004</v>
      </c>
      <c r="T82" s="5">
        <f>IF(ROW()&lt;=4,"",AVERAGE(INDEX(Daily_Input!$F:$F,ROW()-2):INDEX(Daily_Input!$F:$F,ROW())))</f>
        <v>5796.1595478782501</v>
      </c>
      <c r="U82" s="5">
        <f>IF(ROW()&lt;=2+0,"",INDEX(Daily_Input!$G:$G,ROW()-1))</f>
        <v>15019.199999999999</v>
      </c>
      <c r="V82" s="5">
        <f>IF(ROW()&lt;=2+0,"",INDEX(Daily_Input!$H:$H,ROW()-1))</f>
        <v>0</v>
      </c>
      <c r="W82" s="5">
        <f>IF(ROW()&lt;=2+1,"",INDEX(Daily_Input!$G:$G,ROW()-2))</f>
        <v>15019.199999999999</v>
      </c>
      <c r="X82" s="5">
        <f>IF(ROW()&lt;=2+1,"",INDEX(Daily_Input!$H:$H,ROW()-2))</f>
        <v>0</v>
      </c>
      <c r="Y82" s="5">
        <f>IF(ROW()&lt;=2+2,"",INDEX(Daily_Input!$G:$G,ROW()-3))</f>
        <v>15019.199999999999</v>
      </c>
      <c r="Z82" s="5">
        <f>IF(ROW()&lt;=2+2,"",INDEX(Daily_Input!$H:$H,ROW()-3))</f>
        <v>0</v>
      </c>
      <c r="AA82" s="5">
        <f>Daily_Input!N82</f>
        <v>1.5469999999999999</v>
      </c>
      <c r="AB82" s="5">
        <f>Daily_Input!O82</f>
        <v>8.423</v>
      </c>
      <c r="AC82" s="5">
        <f>Daily_Input!P82</f>
        <v>2.5350000000000001</v>
      </c>
      <c r="AD82" s="5">
        <f t="shared" si="4"/>
        <v>12.505000000000001</v>
      </c>
      <c r="AE82" s="5">
        <f t="shared" si="5"/>
        <v>8.423</v>
      </c>
      <c r="AF82" s="5">
        <f>IF(A82="","",IFERROR(INDEX(Daily_Input!$F:$F,ROW()+1),""))</f>
        <v>970.08652436549107</v>
      </c>
      <c r="AG82" s="5">
        <f>IF(A82="","",IFERROR(INDEX(Daily_Input!$F:$F,ROW()+2),""))</f>
        <v>8280.18768312879</v>
      </c>
      <c r="AH82" s="5">
        <f>IF(A82="","",IFERROR(INDEX(Daily_Input!$F:$F,ROW()+3),""))</f>
        <v>3890.8091359720329</v>
      </c>
    </row>
    <row r="83" spans="1:34">
      <c r="A83" s="5">
        <f>Daily_Input!A83</f>
        <v>45920</v>
      </c>
      <c r="B83" s="5">
        <f>Daily_Input!F83</f>
        <v>970.08652436549107</v>
      </c>
      <c r="C83" s="5">
        <f>Daily_Input!D83</f>
        <v>489.19799999999998</v>
      </c>
      <c r="D83" s="5">
        <f>Daily_Input!E83</f>
        <v>1521494.7669134</v>
      </c>
      <c r="E83" s="5" cm="1">
        <f t="array" ref="E83">IF(ROW()=2,"",INDEX(Daily_Input!$E:$E,ROW())-INDEX(Daily_Input!$E:$E,ROW()-1))</f>
        <v>-14700.068197899964</v>
      </c>
      <c r="F83" s="5">
        <f>IFERROR(Daily_Input!E83/Config!$B$4,"")</f>
        <v>0.93603733609600581</v>
      </c>
      <c r="G83" s="5">
        <f>Daily_Input!I83</f>
        <v>1.6</v>
      </c>
      <c r="H83" s="5">
        <f>IF(A83="","",IF(ROW()=2,G83,Config!$B$5*H82+G83))</f>
        <v>110.42663247923079</v>
      </c>
      <c r="I83" s="5">
        <f t="shared" si="3"/>
        <v>263</v>
      </c>
      <c r="J83" s="5">
        <f>IF(I83="","",SIN(2*PI()*I83/Config!$B$6))</f>
        <v>-0.98292655197998224</v>
      </c>
      <c r="K83" s="5">
        <f>IF(I83="","",COS(2*PI()*I83/Config!$B$6))</f>
        <v>-0.18399835165767986</v>
      </c>
      <c r="L83" s="5">
        <f>IF(ROW()&lt;=2+0,"",INDEX(Daily_Input!$F:$F,ROW()-1))</f>
        <v>2823.6028583486882</v>
      </c>
      <c r="M83" s="5">
        <f>IF(ROW()&lt;=2+1,"",INDEX(Daily_Input!$F:$F,ROW()-2))</f>
        <v>1374.8609051012572</v>
      </c>
      <c r="N83" s="5">
        <f>IF(ROW()&lt;=2+2,"",INDEX(Daily_Input!$F:$F,ROW()-3))</f>
        <v>13190.014880184803</v>
      </c>
      <c r="O83" s="5">
        <f>IF(ROW()&lt;=2+6,"",INDEX(Daily_Input!$F:$F,ROW()-7))</f>
        <v>4201.3925110004157</v>
      </c>
      <c r="P83" s="5">
        <f>IF(ROW()&lt;=2+13,"",INDEX(Daily_Input!$F:$F,ROW()-14))</f>
        <v>44276.176947026448</v>
      </c>
      <c r="Q83" s="5">
        <f>IF(ROW()&lt;=4,"",SUM(INDEX(Daily_Input!$I:$I,ROW()-2):INDEX(Daily_Input!$I:$I,ROW())))</f>
        <v>6.8000000000000007</v>
      </c>
      <c r="R83" s="5">
        <f>IF(ROW()&lt;=8,"",SUM(INDEX(Daily_Input!$I:$I,ROW()-6):INDEX(Daily_Input!$I:$I,ROW())))</f>
        <v>28</v>
      </c>
      <c r="S83" s="5">
        <f>IF(ROW()&lt;=15,"",SUM(INDEX(Daily_Input!$I:$I,ROW()-13):INDEX(Daily_Input!$I:$I,ROW())))</f>
        <v>38.400000000000006</v>
      </c>
      <c r="T83" s="5">
        <f>IF(ROW()&lt;=4,"",AVERAGE(INDEX(Daily_Input!$F:$F,ROW()-2):INDEX(Daily_Input!$F:$F,ROW())))</f>
        <v>1722.8500959384785</v>
      </c>
      <c r="U83" s="5">
        <f>IF(ROW()&lt;=2+0,"",INDEX(Daily_Input!$G:$G,ROW()-1))</f>
        <v>15019.199999999999</v>
      </c>
      <c r="V83" s="5">
        <f>IF(ROW()&lt;=2+0,"",INDEX(Daily_Input!$H:$H,ROW()-1))</f>
        <v>0</v>
      </c>
      <c r="W83" s="5">
        <f>IF(ROW()&lt;=2+1,"",INDEX(Daily_Input!$G:$G,ROW()-2))</f>
        <v>15019.199999999999</v>
      </c>
      <c r="X83" s="5">
        <f>IF(ROW()&lt;=2+1,"",INDEX(Daily_Input!$H:$H,ROW()-2))</f>
        <v>0</v>
      </c>
      <c r="Y83" s="5">
        <f>IF(ROW()&lt;=2+2,"",INDEX(Daily_Input!$G:$G,ROW()-3))</f>
        <v>15019.199999999999</v>
      </c>
      <c r="Z83" s="5">
        <f>IF(ROW()&lt;=2+2,"",INDEX(Daily_Input!$H:$H,ROW()-3))</f>
        <v>0</v>
      </c>
      <c r="AA83" s="5">
        <f>Daily_Input!N83</f>
        <v>8.423</v>
      </c>
      <c r="AB83" s="5">
        <f>Daily_Input!O83</f>
        <v>2.5350000000000001</v>
      </c>
      <c r="AC83" s="5">
        <f>Daily_Input!P83</f>
        <v>1.0329999999999999</v>
      </c>
      <c r="AD83" s="5">
        <f t="shared" si="4"/>
        <v>11.991</v>
      </c>
      <c r="AE83" s="5">
        <f t="shared" si="5"/>
        <v>8.423</v>
      </c>
      <c r="AF83" s="5">
        <f>IF(A83="","",IFERROR(INDEX(Daily_Input!$F:$F,ROW()+1),""))</f>
        <v>8280.18768312879</v>
      </c>
      <c r="AG83" s="5">
        <f>IF(A83="","",IFERROR(INDEX(Daily_Input!$F:$F,ROW()+2),""))</f>
        <v>3890.8091359720329</v>
      </c>
      <c r="AH83" s="5">
        <f>IF(A83="","",IFERROR(INDEX(Daily_Input!$F:$F,ROW()+3),""))</f>
        <v>1038.3203905585058</v>
      </c>
    </row>
    <row r="84" spans="1:34">
      <c r="A84" s="5">
        <f>Daily_Input!A84</f>
        <v>45921</v>
      </c>
      <c r="B84" s="5">
        <f>Daily_Input!F84</f>
        <v>8280.18768312879</v>
      </c>
      <c r="C84" s="5">
        <f>Daily_Input!D84</f>
        <v>489.173</v>
      </c>
      <c r="D84" s="5">
        <f>Daily_Input!E84</f>
        <v>1515629.6565953</v>
      </c>
      <c r="E84" s="5" cm="1">
        <f t="array" ref="E84">IF(ROW()=2,"",INDEX(Daily_Input!$E:$E,ROW())-INDEX(Daily_Input!$E:$E,ROW()-1))</f>
        <v>-5865.1103181000799</v>
      </c>
      <c r="F84" s="5">
        <f>IFERROR(Daily_Input!E84/Config!$B$4,"")</f>
        <v>0.93242906720317165</v>
      </c>
      <c r="G84" s="5">
        <f>Daily_Input!I84</f>
        <v>6.8</v>
      </c>
      <c r="H84" s="5">
        <f>IF(A84="","",IF(ROW()=2,G84,Config!$B$5*H83+G84))</f>
        <v>111.70530085526924</v>
      </c>
      <c r="I84" s="5">
        <f t="shared" si="3"/>
        <v>264</v>
      </c>
      <c r="J84" s="5">
        <f>IF(I84="","",SIN(2*PI()*I84/Config!$B$6))</f>
        <v>-0.98594814996383029</v>
      </c>
      <c r="K84" s="5">
        <f>IF(I84="","",COS(2*PI()*I84/Config!$B$6))</f>
        <v>-0.16705162550211949</v>
      </c>
      <c r="L84" s="5">
        <f>IF(ROW()&lt;=2+0,"",INDEX(Daily_Input!$F:$F,ROW()-1))</f>
        <v>970.08652436549107</v>
      </c>
      <c r="M84" s="5">
        <f>IF(ROW()&lt;=2+1,"",INDEX(Daily_Input!$F:$F,ROW()-2))</f>
        <v>2823.6028583486882</v>
      </c>
      <c r="N84" s="5">
        <f>IF(ROW()&lt;=2+2,"",INDEX(Daily_Input!$F:$F,ROW()-3))</f>
        <v>1374.8609051012572</v>
      </c>
      <c r="O84" s="5">
        <f>IF(ROW()&lt;=2+6,"",INDEX(Daily_Input!$F:$F,ROW()-7))</f>
        <v>7248.7242808551546</v>
      </c>
      <c r="P84" s="5">
        <f>IF(ROW()&lt;=2+13,"",INDEX(Daily_Input!$F:$F,ROW()-14))</f>
        <v>21265.004473392863</v>
      </c>
      <c r="Q84" s="5">
        <f>IF(ROW()&lt;=4,"",SUM(INDEX(Daily_Input!$I:$I,ROW()-2):INDEX(Daily_Input!$I:$I,ROW())))</f>
        <v>13.600000000000001</v>
      </c>
      <c r="R84" s="5">
        <f>IF(ROW()&lt;=8,"",SUM(INDEX(Daily_Input!$I:$I,ROW()-6):INDEX(Daily_Input!$I:$I,ROW())))</f>
        <v>34.799999999999997</v>
      </c>
      <c r="S84" s="5">
        <f>IF(ROW()&lt;=15,"",SUM(INDEX(Daily_Input!$I:$I,ROW()-13):INDEX(Daily_Input!$I:$I,ROW())))</f>
        <v>45.2</v>
      </c>
      <c r="T84" s="5">
        <f>IF(ROW()&lt;=4,"",AVERAGE(INDEX(Daily_Input!$F:$F,ROW()-2):INDEX(Daily_Input!$F:$F,ROW())))</f>
        <v>4024.6256886143233</v>
      </c>
      <c r="U84" s="5">
        <f>IF(ROW()&lt;=2+0,"",INDEX(Daily_Input!$G:$G,ROW()-1))</f>
        <v>15019.199999999999</v>
      </c>
      <c r="V84" s="5">
        <f>IF(ROW()&lt;=2+0,"",INDEX(Daily_Input!$H:$H,ROW()-1))</f>
        <v>0</v>
      </c>
      <c r="W84" s="5">
        <f>IF(ROW()&lt;=2+1,"",INDEX(Daily_Input!$G:$G,ROW()-2))</f>
        <v>15019.199999999999</v>
      </c>
      <c r="X84" s="5">
        <f>IF(ROW()&lt;=2+1,"",INDEX(Daily_Input!$H:$H,ROW()-2))</f>
        <v>0</v>
      </c>
      <c r="Y84" s="5">
        <f>IF(ROW()&lt;=2+2,"",INDEX(Daily_Input!$G:$G,ROW()-3))</f>
        <v>15019.199999999999</v>
      </c>
      <c r="Z84" s="5">
        <f>IF(ROW()&lt;=2+2,"",INDEX(Daily_Input!$H:$H,ROW()-3))</f>
        <v>0</v>
      </c>
      <c r="AA84" s="5">
        <f>Daily_Input!N84</f>
        <v>2.5350000000000001</v>
      </c>
      <c r="AB84" s="5">
        <f>Daily_Input!O84</f>
        <v>1.0329999999999999</v>
      </c>
      <c r="AC84" s="5">
        <f>Daily_Input!P84</f>
        <v>3.4990000000000001</v>
      </c>
      <c r="AD84" s="5">
        <f t="shared" si="4"/>
        <v>7.0670000000000002</v>
      </c>
      <c r="AE84" s="5">
        <f t="shared" si="5"/>
        <v>3.4990000000000001</v>
      </c>
      <c r="AF84" s="5">
        <f>IF(A84="","",IFERROR(INDEX(Daily_Input!$F:$F,ROW()+1),""))</f>
        <v>3890.8091359720329</v>
      </c>
      <c r="AG84" s="5">
        <f>IF(A84="","",IFERROR(INDEX(Daily_Input!$F:$F,ROW()+2),""))</f>
        <v>1038.3203905585058</v>
      </c>
      <c r="AH84" s="5">
        <f>IF(A84="","",IFERROR(INDEX(Daily_Input!$F:$F,ROW()+3),""))</f>
        <v>1525.7634288202905</v>
      </c>
    </row>
    <row r="85" spans="1:34">
      <c r="A85" s="5">
        <f>Daily_Input!A85</f>
        <v>45922</v>
      </c>
      <c r="B85" s="5">
        <f>Daily_Input!F85</f>
        <v>3890.8091359720329</v>
      </c>
      <c r="C85" s="5">
        <f>Daily_Input!D85</f>
        <v>489.13499999999999</v>
      </c>
      <c r="D85" s="5">
        <f>Daily_Input!E85</f>
        <v>1503910.109441</v>
      </c>
      <c r="E85" s="5" cm="1">
        <f t="array" ref="E85">IF(ROW()=2,"",INDEX(Daily_Input!$E:$E,ROW())-INDEX(Daily_Input!$E:$E,ROW()-1))</f>
        <v>-11719.547154299915</v>
      </c>
      <c r="F85" s="5">
        <f>IFERROR(Daily_Input!E85/Config!$B$4,"")</f>
        <v>0.9252190958400649</v>
      </c>
      <c r="G85" s="5">
        <f>Daily_Input!I85</f>
        <v>1.8</v>
      </c>
      <c r="H85" s="5">
        <f>IF(A85="","",IF(ROW()=2,G85,Config!$B$5*H84+G85))</f>
        <v>107.92003581250577</v>
      </c>
      <c r="I85" s="5">
        <f t="shared" si="3"/>
        <v>265</v>
      </c>
      <c r="J85" s="5">
        <f>IF(I85="","",SIN(2*PI()*I85/Config!$B$6))</f>
        <v>-0.98867759023234036</v>
      </c>
      <c r="K85" s="5">
        <f>IF(I85="","",COS(2*PI()*I85/Config!$B$6))</f>
        <v>-0.15005539834465262</v>
      </c>
      <c r="L85" s="5">
        <f>IF(ROW()&lt;=2+0,"",INDEX(Daily_Input!$F:$F,ROW()-1))</f>
        <v>8280.18768312879</v>
      </c>
      <c r="M85" s="5">
        <f>IF(ROW()&lt;=2+1,"",INDEX(Daily_Input!$F:$F,ROW()-2))</f>
        <v>970.08652436549107</v>
      </c>
      <c r="N85" s="5">
        <f>IF(ROW()&lt;=2+2,"",INDEX(Daily_Input!$F:$F,ROW()-3))</f>
        <v>2823.6028583486882</v>
      </c>
      <c r="O85" s="5">
        <f>IF(ROW()&lt;=2+6,"",INDEX(Daily_Input!$F:$F,ROW()-7))</f>
        <v>5663.2748590990486</v>
      </c>
      <c r="P85" s="5">
        <f>IF(ROW()&lt;=2+13,"",INDEX(Daily_Input!$F:$F,ROW()-14))</f>
        <v>9147.6059040011987</v>
      </c>
      <c r="Q85" s="5">
        <f>IF(ROW()&lt;=4,"",SUM(INDEX(Daily_Input!$I:$I,ROW()-2):INDEX(Daily_Input!$I:$I,ROW())))</f>
        <v>10.200000000000001</v>
      </c>
      <c r="R85" s="5">
        <f>IF(ROW()&lt;=8,"",SUM(INDEX(Daily_Input!$I:$I,ROW()-6):INDEX(Daily_Input!$I:$I,ROW())))</f>
        <v>21.2</v>
      </c>
      <c r="S85" s="5">
        <f>IF(ROW()&lt;=15,"",SUM(INDEX(Daily_Input!$I:$I,ROW()-13):INDEX(Daily_Input!$I:$I,ROW())))</f>
        <v>42.599999999999994</v>
      </c>
      <c r="T85" s="5">
        <f>IF(ROW()&lt;=4,"",AVERAGE(INDEX(Daily_Input!$F:$F,ROW()-2):INDEX(Daily_Input!$F:$F,ROW())))</f>
        <v>4380.3611144887718</v>
      </c>
      <c r="U85" s="5">
        <f>IF(ROW()&lt;=2+0,"",INDEX(Daily_Input!$G:$G,ROW()-1))</f>
        <v>15019.199999999999</v>
      </c>
      <c r="V85" s="5">
        <f>IF(ROW()&lt;=2+0,"",INDEX(Daily_Input!$H:$H,ROW()-1))</f>
        <v>0</v>
      </c>
      <c r="W85" s="5">
        <f>IF(ROW()&lt;=2+1,"",INDEX(Daily_Input!$G:$G,ROW()-2))</f>
        <v>15019.199999999999</v>
      </c>
      <c r="X85" s="5">
        <f>IF(ROW()&lt;=2+1,"",INDEX(Daily_Input!$H:$H,ROW()-2))</f>
        <v>0</v>
      </c>
      <c r="Y85" s="5">
        <f>IF(ROW()&lt;=2+2,"",INDEX(Daily_Input!$G:$G,ROW()-3))</f>
        <v>15019.199999999999</v>
      </c>
      <c r="Z85" s="5">
        <f>IF(ROW()&lt;=2+2,"",INDEX(Daily_Input!$H:$H,ROW()-3))</f>
        <v>0</v>
      </c>
      <c r="AA85" s="5">
        <f>Daily_Input!N85</f>
        <v>1.0329999999999999</v>
      </c>
      <c r="AB85" s="5">
        <f>Daily_Input!O85</f>
        <v>3.4990000000000001</v>
      </c>
      <c r="AC85" s="5">
        <f>Daily_Input!P85</f>
        <v>0.82199999999999995</v>
      </c>
      <c r="AD85" s="5">
        <f t="shared" si="4"/>
        <v>5.3540000000000001</v>
      </c>
      <c r="AE85" s="5">
        <f t="shared" si="5"/>
        <v>3.4990000000000001</v>
      </c>
      <c r="AF85" s="5">
        <f>IF(A85="","",IFERROR(INDEX(Daily_Input!$F:$F,ROW()+1),""))</f>
        <v>1038.3203905585058</v>
      </c>
      <c r="AG85" s="5">
        <f>IF(A85="","",IFERROR(INDEX(Daily_Input!$F:$F,ROW()+2),""))</f>
        <v>1525.7634288202905</v>
      </c>
      <c r="AH85" s="5">
        <f>IF(A85="","",IFERROR(INDEX(Daily_Input!$F:$F,ROW()+3),""))</f>
        <v>13797.653686861006</v>
      </c>
    </row>
    <row r="86" spans="1:34">
      <c r="A86" s="5">
        <f>Daily_Input!A86</f>
        <v>45923</v>
      </c>
      <c r="B86" s="5">
        <f>Daily_Input!F86</f>
        <v>1038.3203905585058</v>
      </c>
      <c r="C86" s="5">
        <f>Daily_Input!D86</f>
        <v>489.089</v>
      </c>
      <c r="D86" s="5">
        <f>Daily_Input!E86</f>
        <v>1489280.5058130999</v>
      </c>
      <c r="E86" s="5" cm="1">
        <f t="array" ref="E86">IF(ROW()=2,"",INDEX(Daily_Input!$E:$E,ROW())-INDEX(Daily_Input!$E:$E,ROW()-1))</f>
        <v>-14629.603627900127</v>
      </c>
      <c r="F86" s="5">
        <f>IFERROR(Daily_Input!E86/Config!$B$4,"")</f>
        <v>0.9162188314252353</v>
      </c>
      <c r="G86" s="5">
        <f>Daily_Input!I86</f>
        <v>1.6</v>
      </c>
      <c r="H86" s="5">
        <f>IF(A86="","",IF(ROW()=2,G86,Config!$B$5*H85+G86))</f>
        <v>104.12403402188048</v>
      </c>
      <c r="I86" s="5">
        <f t="shared" si="3"/>
        <v>266</v>
      </c>
      <c r="J86" s="5">
        <f>IF(I86="","",SIN(2*PI()*I86/Config!$B$6))</f>
        <v>-0.99111406399345459</v>
      </c>
      <c r="K86" s="5">
        <f>IF(I86="","",COS(2*PI()*I86/Config!$B$6))</f>
        <v>-0.13301470653419636</v>
      </c>
      <c r="L86" s="5">
        <f>IF(ROW()&lt;=2+0,"",INDEX(Daily_Input!$F:$F,ROW()-1))</f>
        <v>3890.8091359720329</v>
      </c>
      <c r="M86" s="5">
        <f>IF(ROW()&lt;=2+1,"",INDEX(Daily_Input!$F:$F,ROW()-2))</f>
        <v>8280.18768312879</v>
      </c>
      <c r="N86" s="5">
        <f>IF(ROW()&lt;=2+2,"",INDEX(Daily_Input!$F:$F,ROW()-3))</f>
        <v>970.08652436549107</v>
      </c>
      <c r="O86" s="5">
        <f>IF(ROW()&lt;=2+6,"",INDEX(Daily_Input!$F:$F,ROW()-7))</f>
        <v>11472.309566763399</v>
      </c>
      <c r="P86" s="5">
        <f>IF(ROW()&lt;=2+13,"",INDEX(Daily_Input!$F:$F,ROW()-14))</f>
        <v>7149.8358157044286</v>
      </c>
      <c r="Q86" s="5">
        <f>IF(ROW()&lt;=4,"",SUM(INDEX(Daily_Input!$I:$I,ROW()-2):INDEX(Daily_Input!$I:$I,ROW())))</f>
        <v>10.199999999999999</v>
      </c>
      <c r="R86" s="5">
        <f>IF(ROW()&lt;=8,"",SUM(INDEX(Daily_Input!$I:$I,ROW()-6):INDEX(Daily_Input!$I:$I,ROW())))</f>
        <v>17.000000000000004</v>
      </c>
      <c r="S86" s="5">
        <f>IF(ROW()&lt;=15,"",SUM(INDEX(Daily_Input!$I:$I,ROW()-13):INDEX(Daily_Input!$I:$I,ROW())))</f>
        <v>44.199999999999996</v>
      </c>
      <c r="T86" s="5">
        <f>IF(ROW()&lt;=4,"",AVERAGE(INDEX(Daily_Input!$F:$F,ROW()-2):INDEX(Daily_Input!$F:$F,ROW())))</f>
        <v>4403.1057365531096</v>
      </c>
      <c r="U86" s="5">
        <f>IF(ROW()&lt;=2+0,"",INDEX(Daily_Input!$G:$G,ROW()-1))</f>
        <v>15019.199999999999</v>
      </c>
      <c r="V86" s="5">
        <f>IF(ROW()&lt;=2+0,"",INDEX(Daily_Input!$H:$H,ROW()-1))</f>
        <v>0</v>
      </c>
      <c r="W86" s="5">
        <f>IF(ROW()&lt;=2+1,"",INDEX(Daily_Input!$G:$G,ROW()-2))</f>
        <v>15019.199999999999</v>
      </c>
      <c r="X86" s="5">
        <f>IF(ROW()&lt;=2+1,"",INDEX(Daily_Input!$H:$H,ROW()-2))</f>
        <v>0</v>
      </c>
      <c r="Y86" s="5">
        <f>IF(ROW()&lt;=2+2,"",INDEX(Daily_Input!$G:$G,ROW()-3))</f>
        <v>15019.199999999999</v>
      </c>
      <c r="Z86" s="5">
        <f>IF(ROW()&lt;=2+2,"",INDEX(Daily_Input!$H:$H,ROW()-3))</f>
        <v>0</v>
      </c>
      <c r="AA86" s="5">
        <f>Daily_Input!N86</f>
        <v>3.4990000000000001</v>
      </c>
      <c r="AB86" s="5">
        <f>Daily_Input!O86</f>
        <v>0.82199999999999995</v>
      </c>
      <c r="AC86" s="5">
        <f>Daily_Input!P86</f>
        <v>10.321</v>
      </c>
      <c r="AD86" s="5">
        <f t="shared" si="4"/>
        <v>14.641999999999999</v>
      </c>
      <c r="AE86" s="5">
        <f t="shared" si="5"/>
        <v>10.321</v>
      </c>
      <c r="AF86" s="5">
        <f>IF(A86="","",IFERROR(INDEX(Daily_Input!$F:$F,ROW()+1),""))</f>
        <v>1525.7634288202905</v>
      </c>
      <c r="AG86" s="5">
        <f>IF(A86="","",IFERROR(INDEX(Daily_Input!$F:$F,ROW()+2),""))</f>
        <v>13797.653686861006</v>
      </c>
      <c r="AH86" s="5">
        <f>IF(A86="","",IFERROR(INDEX(Daily_Input!$F:$F,ROW()+3),""))</f>
        <v>7375.9657542117529</v>
      </c>
    </row>
    <row r="87" spans="1:34">
      <c r="A87" s="5">
        <f>Daily_Input!A87</f>
        <v>45924</v>
      </c>
      <c r="B87" s="5">
        <f>Daily_Input!F87</f>
        <v>1525.7634288202905</v>
      </c>
      <c r="C87" s="5">
        <f>Daily_Input!D87</f>
        <v>489.03197999999998</v>
      </c>
      <c r="D87" s="5">
        <f>Daily_Input!E87</f>
        <v>1474672.1813453001</v>
      </c>
      <c r="E87" s="5" cm="1">
        <f t="array" ref="E87">IF(ROW()=2,"",INDEX(Daily_Input!$E:$E,ROW())-INDEX(Daily_Input!$E:$E,ROW()-1))</f>
        <v>-14608.324467799859</v>
      </c>
      <c r="F87" s="5">
        <f>IFERROR(Daily_Input!E87/Config!$B$4,"")</f>
        <v>0.90723165814207951</v>
      </c>
      <c r="G87" s="5">
        <f>Daily_Input!I87</f>
        <v>0</v>
      </c>
      <c r="H87" s="5">
        <f>IF(A87="","",IF(ROW()=2,G87,Config!$B$5*H86+G87))</f>
        <v>98.917832320786445</v>
      </c>
      <c r="I87" s="5">
        <f t="shared" si="3"/>
        <v>267</v>
      </c>
      <c r="J87" s="5">
        <f>IF(I87="","",SIN(2*PI()*I87/Config!$B$6))</f>
        <v>-0.99325684926741431</v>
      </c>
      <c r="K87" s="5">
        <f>IF(I87="","",COS(2*PI()*I87/Config!$B$6))</f>
        <v>-0.11593459959550066</v>
      </c>
      <c r="L87" s="5">
        <f>IF(ROW()&lt;=2+0,"",INDEX(Daily_Input!$F:$F,ROW()-1))</f>
        <v>1038.3203905585058</v>
      </c>
      <c r="M87" s="5">
        <f>IF(ROW()&lt;=2+1,"",INDEX(Daily_Input!$F:$F,ROW()-2))</f>
        <v>3890.8091359720329</v>
      </c>
      <c r="N87" s="5">
        <f>IF(ROW()&lt;=2+2,"",INDEX(Daily_Input!$F:$F,ROW()-3))</f>
        <v>8280.18768312879</v>
      </c>
      <c r="O87" s="5">
        <f>IF(ROW()&lt;=2+6,"",INDEX(Daily_Input!$F:$F,ROW()-7))</f>
        <v>13190.014880184803</v>
      </c>
      <c r="P87" s="5">
        <f>IF(ROW()&lt;=2+13,"",INDEX(Daily_Input!$F:$F,ROW()-14))</f>
        <v>7161.8376565521703</v>
      </c>
      <c r="Q87" s="5">
        <f>IF(ROW()&lt;=4,"",SUM(INDEX(Daily_Input!$I:$I,ROW()-2):INDEX(Daily_Input!$I:$I,ROW())))</f>
        <v>3.4000000000000004</v>
      </c>
      <c r="R87" s="5">
        <f>IF(ROW()&lt;=8,"",SUM(INDEX(Daily_Input!$I:$I,ROW()-6):INDEX(Daily_Input!$I:$I,ROW())))</f>
        <v>17.000000000000004</v>
      </c>
      <c r="S87" s="5">
        <f>IF(ROW()&lt;=15,"",SUM(INDEX(Daily_Input!$I:$I,ROW()-13):INDEX(Daily_Input!$I:$I,ROW())))</f>
        <v>44.199999999999996</v>
      </c>
      <c r="T87" s="5">
        <f>IF(ROW()&lt;=4,"",AVERAGE(INDEX(Daily_Input!$F:$F,ROW()-2):INDEX(Daily_Input!$F:$F,ROW())))</f>
        <v>2151.6309851169431</v>
      </c>
      <c r="U87" s="5">
        <f>IF(ROW()&lt;=2+0,"",INDEX(Daily_Input!$G:$G,ROW()-1))</f>
        <v>15019.199999999999</v>
      </c>
      <c r="V87" s="5">
        <f>IF(ROW()&lt;=2+0,"",INDEX(Daily_Input!$H:$H,ROW()-1))</f>
        <v>0</v>
      </c>
      <c r="W87" s="5">
        <f>IF(ROW()&lt;=2+1,"",INDEX(Daily_Input!$G:$G,ROW()-2))</f>
        <v>15019.199999999999</v>
      </c>
      <c r="X87" s="5">
        <f>IF(ROW()&lt;=2+1,"",INDEX(Daily_Input!$H:$H,ROW()-2))</f>
        <v>0</v>
      </c>
      <c r="Y87" s="5">
        <f>IF(ROW()&lt;=2+2,"",INDEX(Daily_Input!$G:$G,ROW()-3))</f>
        <v>15019.199999999999</v>
      </c>
      <c r="Z87" s="5">
        <f>IF(ROW()&lt;=2+2,"",INDEX(Daily_Input!$H:$H,ROW()-3))</f>
        <v>0</v>
      </c>
      <c r="AA87" s="5">
        <f>Daily_Input!N87</f>
        <v>0.82199999999999995</v>
      </c>
      <c r="AB87" s="5">
        <f>Daily_Input!O87</f>
        <v>10.321</v>
      </c>
      <c r="AC87" s="5">
        <f>Daily_Input!P87</f>
        <v>2.36</v>
      </c>
      <c r="AD87" s="5">
        <f t="shared" si="4"/>
        <v>13.502999999999998</v>
      </c>
      <c r="AE87" s="5">
        <f t="shared" si="5"/>
        <v>10.321</v>
      </c>
      <c r="AF87" s="5">
        <f>IF(A87="","",IFERROR(INDEX(Daily_Input!$F:$F,ROW()+1),""))</f>
        <v>13797.653686861006</v>
      </c>
      <c r="AG87" s="5">
        <f>IF(A87="","",IFERROR(INDEX(Daily_Input!$F:$F,ROW()+2),""))</f>
        <v>7375.9657542117529</v>
      </c>
      <c r="AH87" s="5">
        <f>IF(A87="","",IFERROR(INDEX(Daily_Input!$F:$F,ROW()+3),""))</f>
        <v>7382.3171617782627</v>
      </c>
    </row>
    <row r="88" spans="1:34">
      <c r="A88" s="5">
        <f>Daily_Input!A88</f>
        <v>45925</v>
      </c>
      <c r="B88" s="5">
        <f>Daily_Input!F88</f>
        <v>13797.653686861006</v>
      </c>
      <c r="C88" s="5">
        <f>Daily_Input!D88</f>
        <v>489.04399999999998</v>
      </c>
      <c r="D88" s="5">
        <f>Daily_Input!E88</f>
        <v>1477592.1420386999</v>
      </c>
      <c r="E88" s="5" cm="1">
        <f t="array" ref="E88">IF(ROW()=2,"",INDEX(Daily_Input!$E:$E,ROW())-INDEX(Daily_Input!$E:$E,ROW()-1))</f>
        <v>2919.9606933998875</v>
      </c>
      <c r="F88" s="5">
        <f>IFERROR(Daily_Input!E88/Config!$B$4,"")</f>
        <v>0.90902804435936491</v>
      </c>
      <c r="G88" s="5">
        <f>Daily_Input!I88</f>
        <v>18</v>
      </c>
      <c r="H88" s="5">
        <f>IF(A88="","",IF(ROW()=2,G88,Config!$B$5*H87+G88))</f>
        <v>111.97194070474711</v>
      </c>
      <c r="I88" s="5">
        <f t="shared" si="3"/>
        <v>268</v>
      </c>
      <c r="J88" s="5">
        <f>IF(I88="","",SIN(2*PI()*I88/Config!$B$6))</f>
        <v>-0.99510531110069744</v>
      </c>
      <c r="K88" s="5">
        <f>IF(I88="","",COS(2*PI()*I88/Config!$B$6))</f>
        <v>-9.8820138732872112E-2</v>
      </c>
      <c r="L88" s="5">
        <f>IF(ROW()&lt;=2+0,"",INDEX(Daily_Input!$F:$F,ROW()-1))</f>
        <v>1525.7634288202905</v>
      </c>
      <c r="M88" s="5">
        <f>IF(ROW()&lt;=2+1,"",INDEX(Daily_Input!$F:$F,ROW()-2))</f>
        <v>1038.3203905585058</v>
      </c>
      <c r="N88" s="5">
        <f>IF(ROW()&lt;=2+2,"",INDEX(Daily_Input!$F:$F,ROW()-3))</f>
        <v>3890.8091359720329</v>
      </c>
      <c r="O88" s="5">
        <f>IF(ROW()&lt;=2+6,"",INDEX(Daily_Input!$F:$F,ROW()-7))</f>
        <v>1374.8609051012572</v>
      </c>
      <c r="P88" s="5">
        <f>IF(ROW()&lt;=2+13,"",INDEX(Daily_Input!$F:$F,ROW()-14))</f>
        <v>11367.816099604432</v>
      </c>
      <c r="Q88" s="5">
        <f>IF(ROW()&lt;=4,"",SUM(INDEX(Daily_Input!$I:$I,ROW()-2):INDEX(Daily_Input!$I:$I,ROW())))</f>
        <v>19.600000000000001</v>
      </c>
      <c r="R88" s="5">
        <f>IF(ROW()&lt;=8,"",SUM(INDEX(Daily_Input!$I:$I,ROW()-6):INDEX(Daily_Input!$I:$I,ROW())))</f>
        <v>35</v>
      </c>
      <c r="S88" s="5">
        <f>IF(ROW()&lt;=15,"",SUM(INDEX(Daily_Input!$I:$I,ROW()-13):INDEX(Daily_Input!$I:$I,ROW())))</f>
        <v>56.199999999999996</v>
      </c>
      <c r="T88" s="5">
        <f>IF(ROW()&lt;=4,"",AVERAGE(INDEX(Daily_Input!$F:$F,ROW()-2):INDEX(Daily_Input!$F:$F,ROW())))</f>
        <v>5453.9125020799338</v>
      </c>
      <c r="U88" s="5">
        <f>IF(ROW()&lt;=2+0,"",INDEX(Daily_Input!$G:$G,ROW()-1))</f>
        <v>15019.199999999999</v>
      </c>
      <c r="V88" s="5">
        <f>IF(ROW()&lt;=2+0,"",INDEX(Daily_Input!$H:$H,ROW()-1))</f>
        <v>0</v>
      </c>
      <c r="W88" s="5">
        <f>IF(ROW()&lt;=2+1,"",INDEX(Daily_Input!$G:$G,ROW()-2))</f>
        <v>15019.199999999999</v>
      </c>
      <c r="X88" s="5">
        <f>IF(ROW()&lt;=2+1,"",INDEX(Daily_Input!$H:$H,ROW()-2))</f>
        <v>0</v>
      </c>
      <c r="Y88" s="5">
        <f>IF(ROW()&lt;=2+2,"",INDEX(Daily_Input!$G:$G,ROW()-3))</f>
        <v>15019.199999999999</v>
      </c>
      <c r="Z88" s="5">
        <f>IF(ROW()&lt;=2+2,"",INDEX(Daily_Input!$H:$H,ROW()-3))</f>
        <v>0</v>
      </c>
      <c r="AA88" s="5">
        <f>Daily_Input!N88</f>
        <v>10.321</v>
      </c>
      <c r="AB88" s="5">
        <f>Daily_Input!O88</f>
        <v>2.36</v>
      </c>
      <c r="AC88" s="5">
        <f>Daily_Input!P88</f>
        <v>3.7850000000000001</v>
      </c>
      <c r="AD88" s="5">
        <f t="shared" si="4"/>
        <v>16.466000000000001</v>
      </c>
      <c r="AE88" s="5">
        <f t="shared" si="5"/>
        <v>10.321</v>
      </c>
      <c r="AF88" s="5">
        <f>IF(A88="","",IFERROR(INDEX(Daily_Input!$F:$F,ROW()+1),""))</f>
        <v>7375.9657542117529</v>
      </c>
      <c r="AG88" s="5">
        <f>IF(A88="","",IFERROR(INDEX(Daily_Input!$F:$F,ROW()+2),""))</f>
        <v>7382.3171617782627</v>
      </c>
      <c r="AH88" s="5">
        <f>IF(A88="","",IFERROR(INDEX(Daily_Input!$F:$F,ROW()+3),""))</f>
        <v>7097.3228930266096</v>
      </c>
    </row>
    <row r="89" spans="1:34">
      <c r="A89" s="5">
        <f>Daily_Input!A89</f>
        <v>45926</v>
      </c>
      <c r="B89" s="5">
        <f>Daily_Input!F89</f>
        <v>7375.9657542117529</v>
      </c>
      <c r="C89" s="5">
        <f>Daily_Input!D89</f>
        <v>489.01799999999997</v>
      </c>
      <c r="D89" s="5">
        <f>Daily_Input!E89</f>
        <v>1468834.6627917001</v>
      </c>
      <c r="E89" s="5" cm="1">
        <f t="array" ref="E89">IF(ROW()=2,"",INDEX(Daily_Input!$E:$E,ROW())-INDEX(Daily_Input!$E:$E,ROW()-1))</f>
        <v>-8757.4792469998356</v>
      </c>
      <c r="F89" s="5">
        <f>IFERROR(Daily_Input!E89/Config!$B$4,"")</f>
        <v>0.9036403639522167</v>
      </c>
      <c r="G89" s="5">
        <f>Daily_Input!I89</f>
        <v>0</v>
      </c>
      <c r="H89" s="5">
        <f>IF(A89="","",IF(ROW()=2,G89,Config!$B$5*H88+G89))</f>
        <v>106.37334366950975</v>
      </c>
      <c r="I89" s="5">
        <f t="shared" si="3"/>
        <v>269</v>
      </c>
      <c r="J89" s="5">
        <f>IF(I89="","",SIN(2*PI()*I89/Config!$B$6))</f>
        <v>-0.99665890175417005</v>
      </c>
      <c r="K89" s="5">
        <f>IF(I89="","",COS(2*PI()*I89/Config!$B$6))</f>
        <v>-8.1676395330422882E-2</v>
      </c>
      <c r="L89" s="5">
        <f>IF(ROW()&lt;=2+0,"",INDEX(Daily_Input!$F:$F,ROW()-1))</f>
        <v>13797.653686861006</v>
      </c>
      <c r="M89" s="5">
        <f>IF(ROW()&lt;=2+1,"",INDEX(Daily_Input!$F:$F,ROW()-2))</f>
        <v>1525.7634288202905</v>
      </c>
      <c r="N89" s="5">
        <f>IF(ROW()&lt;=2+2,"",INDEX(Daily_Input!$F:$F,ROW()-3))</f>
        <v>1038.3203905585058</v>
      </c>
      <c r="O89" s="5">
        <f>IF(ROW()&lt;=2+6,"",INDEX(Daily_Input!$F:$F,ROW()-7))</f>
        <v>2823.6028583486882</v>
      </c>
      <c r="P89" s="5">
        <f>IF(ROW()&lt;=2+13,"",INDEX(Daily_Input!$F:$F,ROW()-14))</f>
        <v>7177.536098438658</v>
      </c>
      <c r="Q89" s="5">
        <f>IF(ROW()&lt;=4,"",SUM(INDEX(Daily_Input!$I:$I,ROW()-2):INDEX(Daily_Input!$I:$I,ROW())))</f>
        <v>18</v>
      </c>
      <c r="R89" s="5">
        <f>IF(ROW()&lt;=8,"",SUM(INDEX(Daily_Input!$I:$I,ROW()-6):INDEX(Daily_Input!$I:$I,ROW())))</f>
        <v>29.8</v>
      </c>
      <c r="S89" s="5">
        <f>IF(ROW()&lt;=15,"",SUM(INDEX(Daily_Input!$I:$I,ROW()-13):INDEX(Daily_Input!$I:$I,ROW())))</f>
        <v>56.199999999999996</v>
      </c>
      <c r="T89" s="5">
        <f>IF(ROW()&lt;=4,"",AVERAGE(INDEX(Daily_Input!$F:$F,ROW()-2):INDEX(Daily_Input!$F:$F,ROW())))</f>
        <v>7566.4609566310164</v>
      </c>
      <c r="U89" s="5">
        <f>IF(ROW()&lt;=2+0,"",INDEX(Daily_Input!$G:$G,ROW()-1))</f>
        <v>15019.199999999999</v>
      </c>
      <c r="V89" s="5">
        <f>IF(ROW()&lt;=2+0,"",INDEX(Daily_Input!$H:$H,ROW()-1))</f>
        <v>0</v>
      </c>
      <c r="W89" s="5">
        <f>IF(ROW()&lt;=2+1,"",INDEX(Daily_Input!$G:$G,ROW()-2))</f>
        <v>15019.199999999999</v>
      </c>
      <c r="X89" s="5">
        <f>IF(ROW()&lt;=2+1,"",INDEX(Daily_Input!$H:$H,ROW()-2))</f>
        <v>0</v>
      </c>
      <c r="Y89" s="5">
        <f>IF(ROW()&lt;=2+2,"",INDEX(Daily_Input!$G:$G,ROW()-3))</f>
        <v>15019.199999999999</v>
      </c>
      <c r="Z89" s="5">
        <f>IF(ROW()&lt;=2+2,"",INDEX(Daily_Input!$H:$H,ROW()-3))</f>
        <v>0</v>
      </c>
      <c r="AA89" s="5">
        <f>Daily_Input!N89</f>
        <v>2.36</v>
      </c>
      <c r="AB89" s="5">
        <f>Daily_Input!O89</f>
        <v>3.7850000000000001</v>
      </c>
      <c r="AC89" s="5">
        <f>Daily_Input!P89</f>
        <v>0.38900000000000001</v>
      </c>
      <c r="AD89" s="5">
        <f t="shared" si="4"/>
        <v>6.5339999999999998</v>
      </c>
      <c r="AE89" s="5">
        <f t="shared" si="5"/>
        <v>3.7850000000000001</v>
      </c>
      <c r="AF89" s="5">
        <f>IF(A89="","",IFERROR(INDEX(Daily_Input!$F:$F,ROW()+1),""))</f>
        <v>7382.3171617782627</v>
      </c>
      <c r="AG89" s="5">
        <f>IF(A89="","",IFERROR(INDEX(Daily_Input!$F:$F,ROW()+2),""))</f>
        <v>7097.3228930266096</v>
      </c>
      <c r="AH89" s="5">
        <f>IF(A89="","",IFERROR(INDEX(Daily_Input!$F:$F,ROW()+3),""))</f>
        <v>4484.044160908431</v>
      </c>
    </row>
    <row r="90" spans="1:34">
      <c r="A90" s="5">
        <f>Daily_Input!A90</f>
        <v>45927</v>
      </c>
      <c r="B90" s="5">
        <f>Daily_Input!F90</f>
        <v>7382.3171617782627</v>
      </c>
      <c r="C90" s="5">
        <f>Daily_Input!D90</f>
        <v>488.98599999999999</v>
      </c>
      <c r="D90" s="5">
        <f>Daily_Input!E90</f>
        <v>1460084.4867827999</v>
      </c>
      <c r="E90" s="5" cm="1">
        <f t="array" ref="E90">IF(ROW()=2,"",INDEX(Daily_Input!$E:$E,ROW())-INDEX(Daily_Input!$E:$E,ROW()-1))</f>
        <v>-8750.1760089001618</v>
      </c>
      <c r="F90" s="5">
        <f>IFERROR(Daily_Input!E90/Config!$B$4,"")</f>
        <v>0.89825717656317439</v>
      </c>
      <c r="G90" s="5">
        <f>Daily_Input!I90</f>
        <v>0</v>
      </c>
      <c r="H90" s="5">
        <f>IF(A90="","",IF(ROW()=2,G90,Config!$B$5*H89+G90))</f>
        <v>101.05467648603425</v>
      </c>
      <c r="I90" s="5">
        <f t="shared" si="3"/>
        <v>270</v>
      </c>
      <c r="J90" s="5">
        <f>IF(I90="","",SIN(2*PI()*I90/Config!$B$6))</f>
        <v>-0.99791716086539217</v>
      </c>
      <c r="K90" s="5">
        <f>IF(I90="","",COS(2*PI()*I90/Config!$B$6))</f>
        <v>-6.4508449449316246E-2</v>
      </c>
      <c r="L90" s="5">
        <f>IF(ROW()&lt;=2+0,"",INDEX(Daily_Input!$F:$F,ROW()-1))</f>
        <v>7375.9657542117529</v>
      </c>
      <c r="M90" s="5">
        <f>IF(ROW()&lt;=2+1,"",INDEX(Daily_Input!$F:$F,ROW()-2))</f>
        <v>13797.653686861006</v>
      </c>
      <c r="N90" s="5">
        <f>IF(ROW()&lt;=2+2,"",INDEX(Daily_Input!$F:$F,ROW()-3))</f>
        <v>1525.7634288202905</v>
      </c>
      <c r="O90" s="5">
        <f>IF(ROW()&lt;=2+6,"",INDEX(Daily_Input!$F:$F,ROW()-7))</f>
        <v>970.08652436549107</v>
      </c>
      <c r="P90" s="5">
        <f>IF(ROW()&lt;=2+13,"",INDEX(Daily_Input!$F:$F,ROW()-14))</f>
        <v>4201.3925110004157</v>
      </c>
      <c r="Q90" s="5">
        <f>IF(ROW()&lt;=4,"",SUM(INDEX(Daily_Input!$I:$I,ROW()-2):INDEX(Daily_Input!$I:$I,ROW())))</f>
        <v>18</v>
      </c>
      <c r="R90" s="5">
        <f>IF(ROW()&lt;=8,"",SUM(INDEX(Daily_Input!$I:$I,ROW()-6):INDEX(Daily_Input!$I:$I,ROW())))</f>
        <v>28.2</v>
      </c>
      <c r="S90" s="5">
        <f>IF(ROW()&lt;=15,"",SUM(INDEX(Daily_Input!$I:$I,ROW()-13):INDEX(Daily_Input!$I:$I,ROW())))</f>
        <v>56.199999999999996</v>
      </c>
      <c r="T90" s="5">
        <f>IF(ROW()&lt;=4,"",AVERAGE(INDEX(Daily_Input!$F:$F,ROW()-2):INDEX(Daily_Input!$F:$F,ROW())))</f>
        <v>9518.6455342836725</v>
      </c>
      <c r="U90" s="5">
        <f>IF(ROW()&lt;=2+0,"",INDEX(Daily_Input!$G:$G,ROW()-1))</f>
        <v>15019.199999999999</v>
      </c>
      <c r="V90" s="5">
        <f>IF(ROW()&lt;=2+0,"",INDEX(Daily_Input!$H:$H,ROW()-1))</f>
        <v>0</v>
      </c>
      <c r="W90" s="5">
        <f>IF(ROW()&lt;=2+1,"",INDEX(Daily_Input!$G:$G,ROW()-2))</f>
        <v>15019.199999999999</v>
      </c>
      <c r="X90" s="5">
        <f>IF(ROW()&lt;=2+1,"",INDEX(Daily_Input!$H:$H,ROW()-2))</f>
        <v>0</v>
      </c>
      <c r="Y90" s="5">
        <f>IF(ROW()&lt;=2+2,"",INDEX(Daily_Input!$G:$G,ROW()-3))</f>
        <v>15019.199999999999</v>
      </c>
      <c r="Z90" s="5">
        <f>IF(ROW()&lt;=2+2,"",INDEX(Daily_Input!$H:$H,ROW()-3))</f>
        <v>0</v>
      </c>
      <c r="AA90" s="5">
        <f>Daily_Input!N90</f>
        <v>3.7850000000000001</v>
      </c>
      <c r="AB90" s="5">
        <f>Daily_Input!O90</f>
        <v>0.38900000000000001</v>
      </c>
      <c r="AC90" s="5">
        <f>Daily_Input!P90</f>
        <v>0</v>
      </c>
      <c r="AD90" s="5">
        <f t="shared" si="4"/>
        <v>4.1740000000000004</v>
      </c>
      <c r="AE90" s="5">
        <f t="shared" si="5"/>
        <v>3.7850000000000001</v>
      </c>
      <c r="AF90" s="5">
        <f>IF(A90="","",IFERROR(INDEX(Daily_Input!$F:$F,ROW()+1),""))</f>
        <v>7097.3228930266096</v>
      </c>
      <c r="AG90" s="5">
        <f>IF(A90="","",IFERROR(INDEX(Daily_Input!$F:$F,ROW()+2),""))</f>
        <v>4484.044160908431</v>
      </c>
      <c r="AH90" s="5">
        <f>IF(A90="","",IFERROR(INDEX(Daily_Input!$F:$F,ROW()+3),""))</f>
        <v>5657.864205080682</v>
      </c>
    </row>
    <row r="91" spans="1:34">
      <c r="A91" s="5">
        <f>Daily_Input!A91</f>
        <v>45928</v>
      </c>
      <c r="B91" s="5">
        <f>Daily_Input!F91</f>
        <v>7097.3228930266096</v>
      </c>
      <c r="C91" s="5">
        <f>Daily_Input!D91</f>
        <v>488.95600000000002</v>
      </c>
      <c r="D91" s="5">
        <f>Daily_Input!E91</f>
        <v>1451341.5620411001</v>
      </c>
      <c r="E91" s="5" cm="1">
        <f t="array" ref="E91">IF(ROW()=2,"",INDEX(Daily_Input!$E:$E,ROW())-INDEX(Daily_Input!$E:$E,ROW()-1))</f>
        <v>-8742.924741699826</v>
      </c>
      <c r="F91" s="5">
        <f>IFERROR(Daily_Input!E91/Config!$B$4,"")</f>
        <v>0.89287845021927081</v>
      </c>
      <c r="G91" s="5">
        <f>Daily_Input!I91</f>
        <v>1</v>
      </c>
      <c r="H91" s="5">
        <f>IF(A91="","",IF(ROW()=2,G91,Config!$B$5*H90+G91))</f>
        <v>97.001942661732542</v>
      </c>
      <c r="I91" s="5">
        <f t="shared" si="3"/>
        <v>271</v>
      </c>
      <c r="J91" s="5">
        <f>IF(I91="","",SIN(2*PI()*I91/Config!$B$6))</f>
        <v>-0.99887971558503352</v>
      </c>
      <c r="K91" s="5">
        <f>IF(I91="","",COS(2*PI()*I91/Config!$B$6))</f>
        <v>-4.7321388322432323E-2</v>
      </c>
      <c r="L91" s="5">
        <f>IF(ROW()&lt;=2+0,"",INDEX(Daily_Input!$F:$F,ROW()-1))</f>
        <v>7382.3171617782627</v>
      </c>
      <c r="M91" s="5">
        <f>IF(ROW()&lt;=2+1,"",INDEX(Daily_Input!$F:$F,ROW()-2))</f>
        <v>7375.9657542117529</v>
      </c>
      <c r="N91" s="5">
        <f>IF(ROW()&lt;=2+2,"",INDEX(Daily_Input!$F:$F,ROW()-3))</f>
        <v>13797.653686861006</v>
      </c>
      <c r="O91" s="5">
        <f>IF(ROW()&lt;=2+6,"",INDEX(Daily_Input!$F:$F,ROW()-7))</f>
        <v>8280.18768312879</v>
      </c>
      <c r="P91" s="5">
        <f>IF(ROW()&lt;=2+13,"",INDEX(Daily_Input!$F:$F,ROW()-14))</f>
        <v>7248.7242808551546</v>
      </c>
      <c r="Q91" s="5">
        <f>IF(ROW()&lt;=4,"",SUM(INDEX(Daily_Input!$I:$I,ROW()-2):INDEX(Daily_Input!$I:$I,ROW())))</f>
        <v>1</v>
      </c>
      <c r="R91" s="5">
        <f>IF(ROW()&lt;=8,"",SUM(INDEX(Daily_Input!$I:$I,ROW()-6):INDEX(Daily_Input!$I:$I,ROW())))</f>
        <v>22.4</v>
      </c>
      <c r="S91" s="5">
        <f>IF(ROW()&lt;=15,"",SUM(INDEX(Daily_Input!$I:$I,ROW()-13):INDEX(Daily_Input!$I:$I,ROW())))</f>
        <v>57.199999999999996</v>
      </c>
      <c r="T91" s="5">
        <f>IF(ROW()&lt;=4,"",AVERAGE(INDEX(Daily_Input!$F:$F,ROW()-2):INDEX(Daily_Input!$F:$F,ROW())))</f>
        <v>7285.2019363388754</v>
      </c>
      <c r="U91" s="5">
        <f>IF(ROW()&lt;=2+0,"",INDEX(Daily_Input!$G:$G,ROW()-1))</f>
        <v>15019.199999999999</v>
      </c>
      <c r="V91" s="5">
        <f>IF(ROW()&lt;=2+0,"",INDEX(Daily_Input!$H:$H,ROW()-1))</f>
        <v>0</v>
      </c>
      <c r="W91" s="5">
        <f>IF(ROW()&lt;=2+1,"",INDEX(Daily_Input!$G:$G,ROW()-2))</f>
        <v>15019.199999999999</v>
      </c>
      <c r="X91" s="5">
        <f>IF(ROW()&lt;=2+1,"",INDEX(Daily_Input!$H:$H,ROW()-2))</f>
        <v>0</v>
      </c>
      <c r="Y91" s="5">
        <f>IF(ROW()&lt;=2+2,"",INDEX(Daily_Input!$G:$G,ROW()-3))</f>
        <v>15019.199999999999</v>
      </c>
      <c r="Z91" s="5">
        <f>IF(ROW()&lt;=2+2,"",INDEX(Daily_Input!$H:$H,ROW()-3))</f>
        <v>0</v>
      </c>
      <c r="AA91" s="5">
        <f>Daily_Input!N91</f>
        <v>0.38900000000000001</v>
      </c>
      <c r="AB91" s="5">
        <f>Daily_Input!O91</f>
        <v>0</v>
      </c>
      <c r="AC91" s="5">
        <f>Daily_Input!P91</f>
        <v>3.258</v>
      </c>
      <c r="AD91" s="5">
        <f t="shared" si="4"/>
        <v>3.6470000000000002</v>
      </c>
      <c r="AE91" s="5">
        <f t="shared" si="5"/>
        <v>3.258</v>
      </c>
      <c r="AF91" s="5">
        <f>IF(A91="","",IFERROR(INDEX(Daily_Input!$F:$F,ROW()+1),""))</f>
        <v>4484.044160908431</v>
      </c>
      <c r="AG91" s="5">
        <f>IF(A91="","",IFERROR(INDEX(Daily_Input!$F:$F,ROW()+2),""))</f>
        <v>5657.864205080682</v>
      </c>
      <c r="AH91" s="5">
        <f>IF(A91="","",IFERROR(INDEX(Daily_Input!$F:$F,ROW()+3),""))</f>
        <v>15817.94020789491</v>
      </c>
    </row>
    <row r="92" spans="1:34">
      <c r="A92" s="5">
        <f>Daily_Input!A92</f>
        <v>45929</v>
      </c>
      <c r="B92" s="5">
        <f>Daily_Input!F92</f>
        <v>4484.044160908431</v>
      </c>
      <c r="C92" s="5">
        <f>Daily_Input!D92</f>
        <v>488.91</v>
      </c>
      <c r="D92" s="5">
        <f>Daily_Input!E92</f>
        <v>1439695.2819463999</v>
      </c>
      <c r="E92" s="5" cm="1">
        <f t="array" ref="E92">IF(ROW()=2,"",INDEX(Daily_Input!$E:$E,ROW())-INDEX(Daily_Input!$E:$E,ROW()-1))</f>
        <v>-11646.280094700167</v>
      </c>
      <c r="F92" s="5">
        <f>IFERROR(Daily_Input!E92/Config!$B$4,"")</f>
        <v>0.88571355341362079</v>
      </c>
      <c r="G92" s="5">
        <f>Daily_Input!I92</f>
        <v>0</v>
      </c>
      <c r="H92" s="5">
        <f>IF(A92="","",IF(ROW()=2,G92,Config!$B$5*H91+G92))</f>
        <v>92.151845528645907</v>
      </c>
      <c r="I92" s="5">
        <f t="shared" si="3"/>
        <v>272</v>
      </c>
      <c r="J92" s="5">
        <f>IF(I92="","",SIN(2*PI()*I92/Config!$B$6))</f>
        <v>-0.99954628068735729</v>
      </c>
      <c r="K92" s="5">
        <f>IF(I92="","",COS(2*PI()*I92/Config!$B$6))</f>
        <v>-3.012030484690836E-2</v>
      </c>
      <c r="L92" s="5">
        <f>IF(ROW()&lt;=2+0,"",INDEX(Daily_Input!$F:$F,ROW()-1))</f>
        <v>7097.3228930266096</v>
      </c>
      <c r="M92" s="5">
        <f>IF(ROW()&lt;=2+1,"",INDEX(Daily_Input!$F:$F,ROW()-2))</f>
        <v>7382.3171617782627</v>
      </c>
      <c r="N92" s="5">
        <f>IF(ROW()&lt;=2+2,"",INDEX(Daily_Input!$F:$F,ROW()-3))</f>
        <v>7375.9657542117529</v>
      </c>
      <c r="O92" s="5">
        <f>IF(ROW()&lt;=2+6,"",INDEX(Daily_Input!$F:$F,ROW()-7))</f>
        <v>3890.8091359720329</v>
      </c>
      <c r="P92" s="5">
        <f>IF(ROW()&lt;=2+13,"",INDEX(Daily_Input!$F:$F,ROW()-14))</f>
        <v>5663.2748590990486</v>
      </c>
      <c r="Q92" s="5">
        <f>IF(ROW()&lt;=4,"",SUM(INDEX(Daily_Input!$I:$I,ROW()-2):INDEX(Daily_Input!$I:$I,ROW())))</f>
        <v>1</v>
      </c>
      <c r="R92" s="5">
        <f>IF(ROW()&lt;=8,"",SUM(INDEX(Daily_Input!$I:$I,ROW()-6):INDEX(Daily_Input!$I:$I,ROW())))</f>
        <v>20.6</v>
      </c>
      <c r="S92" s="5">
        <f>IF(ROW()&lt;=15,"",SUM(INDEX(Daily_Input!$I:$I,ROW()-13):INDEX(Daily_Input!$I:$I,ROW())))</f>
        <v>41.8</v>
      </c>
      <c r="T92" s="5">
        <f>IF(ROW()&lt;=4,"",AVERAGE(INDEX(Daily_Input!$F:$F,ROW()-2):INDEX(Daily_Input!$F:$F,ROW())))</f>
        <v>6321.2280719044347</v>
      </c>
      <c r="U92" s="5">
        <f>IF(ROW()&lt;=2+0,"",INDEX(Daily_Input!$G:$G,ROW()-1))</f>
        <v>15019.199999999999</v>
      </c>
      <c r="V92" s="5">
        <f>IF(ROW()&lt;=2+0,"",INDEX(Daily_Input!$H:$H,ROW()-1))</f>
        <v>0</v>
      </c>
      <c r="W92" s="5">
        <f>IF(ROW()&lt;=2+1,"",INDEX(Daily_Input!$G:$G,ROW()-2))</f>
        <v>15019.199999999999</v>
      </c>
      <c r="X92" s="5">
        <f>IF(ROW()&lt;=2+1,"",INDEX(Daily_Input!$H:$H,ROW()-2))</f>
        <v>0</v>
      </c>
      <c r="Y92" s="5">
        <f>IF(ROW()&lt;=2+2,"",INDEX(Daily_Input!$G:$G,ROW()-3))</f>
        <v>15019.199999999999</v>
      </c>
      <c r="Z92" s="5">
        <f>IF(ROW()&lt;=2+2,"",INDEX(Daily_Input!$H:$H,ROW()-3))</f>
        <v>0</v>
      </c>
      <c r="AA92" s="5">
        <f>Daily_Input!N92</f>
        <v>0</v>
      </c>
      <c r="AB92" s="5">
        <f>Daily_Input!O92</f>
        <v>3.258</v>
      </c>
      <c r="AC92" s="5">
        <f>Daily_Input!P92</f>
        <v>4.5060000000000002</v>
      </c>
      <c r="AD92" s="5">
        <f t="shared" si="4"/>
        <v>7.7640000000000002</v>
      </c>
      <c r="AE92" s="5">
        <f t="shared" si="5"/>
        <v>4.5060000000000002</v>
      </c>
      <c r="AF92" s="5">
        <f>IF(A92="","",IFERROR(INDEX(Daily_Input!$F:$F,ROW()+1),""))</f>
        <v>5657.864205080682</v>
      </c>
      <c r="AG92" s="5">
        <f>IF(A92="","",IFERROR(INDEX(Daily_Input!$F:$F,ROW()+2),""))</f>
        <v>15817.94020789491</v>
      </c>
      <c r="AH92" s="5">
        <f>IF(A92="","",IFERROR(INDEX(Daily_Input!$F:$F,ROW()+3),""))</f>
        <v>6919.1413482762027</v>
      </c>
    </row>
    <row r="93" spans="1:34">
      <c r="A93" s="5">
        <f>Daily_Input!A93</f>
        <v>45930</v>
      </c>
      <c r="B93" s="5">
        <f>Daily_Input!F93</f>
        <v>5657.864205080682</v>
      </c>
      <c r="C93" s="5">
        <f>Daily_Input!D93</f>
        <v>488.892</v>
      </c>
      <c r="D93" s="5">
        <f>Daily_Input!E93</f>
        <v>1433876.8830075001</v>
      </c>
      <c r="E93" s="5" cm="1">
        <f t="array" ref="E93">IF(ROW()=2,"",INDEX(Daily_Input!$E:$E,ROW())-INDEX(Daily_Input!$E:$E,ROW()-1))</f>
        <v>-5818.3989388998598</v>
      </c>
      <c r="F93" s="5">
        <f>IFERROR(Daily_Input!E93/Config!$B$4,"")</f>
        <v>0.88213402178357758</v>
      </c>
      <c r="G93" s="5">
        <f>Daily_Input!I93</f>
        <v>16</v>
      </c>
      <c r="H93" s="5">
        <f>IF(A93="","",IF(ROW()=2,G93,Config!$B$5*H92+G93))</f>
        <v>103.54425325221361</v>
      </c>
      <c r="I93" s="5">
        <f t="shared" si="3"/>
        <v>273</v>
      </c>
      <c r="J93" s="5">
        <f>IF(I93="","",SIN(2*PI()*I93/Config!$B$6))</f>
        <v>-0.99991665865473789</v>
      </c>
      <c r="K93" s="5">
        <f>IF(I93="","",COS(2*PI()*I93/Config!$B$6))</f>
        <v>-1.2910296075008843E-2</v>
      </c>
      <c r="L93" s="5">
        <f>IF(ROW()&lt;=2+0,"",INDEX(Daily_Input!$F:$F,ROW()-1))</f>
        <v>4484.044160908431</v>
      </c>
      <c r="M93" s="5">
        <f>IF(ROW()&lt;=2+1,"",INDEX(Daily_Input!$F:$F,ROW()-2))</f>
        <v>7097.3228930266096</v>
      </c>
      <c r="N93" s="5">
        <f>IF(ROW()&lt;=2+2,"",INDEX(Daily_Input!$F:$F,ROW()-3))</f>
        <v>7382.3171617782627</v>
      </c>
      <c r="O93" s="5">
        <f>IF(ROW()&lt;=2+6,"",INDEX(Daily_Input!$F:$F,ROW()-7))</f>
        <v>1038.3203905585058</v>
      </c>
      <c r="P93" s="5">
        <f>IF(ROW()&lt;=2+13,"",INDEX(Daily_Input!$F:$F,ROW()-14))</f>
        <v>11472.309566763399</v>
      </c>
      <c r="Q93" s="5">
        <f>IF(ROW()&lt;=4,"",SUM(INDEX(Daily_Input!$I:$I,ROW()-2):INDEX(Daily_Input!$I:$I,ROW())))</f>
        <v>17</v>
      </c>
      <c r="R93" s="5">
        <f>IF(ROW()&lt;=8,"",SUM(INDEX(Daily_Input!$I:$I,ROW()-6):INDEX(Daily_Input!$I:$I,ROW())))</f>
        <v>35</v>
      </c>
      <c r="S93" s="5">
        <f>IF(ROW()&lt;=15,"",SUM(INDEX(Daily_Input!$I:$I,ROW()-13):INDEX(Daily_Input!$I:$I,ROW())))</f>
        <v>52</v>
      </c>
      <c r="T93" s="5">
        <f>IF(ROW()&lt;=4,"",AVERAGE(INDEX(Daily_Input!$F:$F,ROW()-2):INDEX(Daily_Input!$F:$F,ROW())))</f>
        <v>5746.4104196719081</v>
      </c>
      <c r="U93" s="5">
        <f>IF(ROW()&lt;=2+0,"",INDEX(Daily_Input!$G:$G,ROW()-1))</f>
        <v>15019.199999999999</v>
      </c>
      <c r="V93" s="5">
        <f>IF(ROW()&lt;=2+0,"",INDEX(Daily_Input!$H:$H,ROW()-1))</f>
        <v>0</v>
      </c>
      <c r="W93" s="5">
        <f>IF(ROW()&lt;=2+1,"",INDEX(Daily_Input!$G:$G,ROW()-2))</f>
        <v>15019.199999999999</v>
      </c>
      <c r="X93" s="5">
        <f>IF(ROW()&lt;=2+1,"",INDEX(Daily_Input!$H:$H,ROW()-2))</f>
        <v>0</v>
      </c>
      <c r="Y93" s="5">
        <f>IF(ROW()&lt;=2+2,"",INDEX(Daily_Input!$G:$G,ROW()-3))</f>
        <v>15019.199999999999</v>
      </c>
      <c r="Z93" s="5">
        <f>IF(ROW()&lt;=2+2,"",INDEX(Daily_Input!$H:$H,ROW()-3))</f>
        <v>0</v>
      </c>
      <c r="AA93" s="5">
        <f>Daily_Input!N93</f>
        <v>3.258</v>
      </c>
      <c r="AB93" s="5">
        <f>Daily_Input!O93</f>
        <v>4.5060000000000002</v>
      </c>
      <c r="AC93" s="5">
        <f>Daily_Input!P93</f>
        <v>7.7629999999999999</v>
      </c>
      <c r="AD93" s="5">
        <f t="shared" si="4"/>
        <v>15.527000000000001</v>
      </c>
      <c r="AE93" s="5">
        <f t="shared" si="5"/>
        <v>7.7629999999999999</v>
      </c>
      <c r="AF93" s="5">
        <f>IF(A93="","",IFERROR(INDEX(Daily_Input!$F:$F,ROW()+1),""))</f>
        <v>15817.94020789491</v>
      </c>
      <c r="AG93" s="5">
        <f>IF(A93="","",IFERROR(INDEX(Daily_Input!$F:$F,ROW()+2),""))</f>
        <v>6919.1413482762027</v>
      </c>
      <c r="AH93" s="5">
        <f>IF(A93="","",IFERROR(INDEX(Daily_Input!$F:$F,ROW()+3),""))</f>
        <v>13143.437283754383</v>
      </c>
    </row>
    <row r="94" spans="1:34">
      <c r="A94" s="5">
        <f>Daily_Input!A94</f>
        <v>45931</v>
      </c>
      <c r="B94" s="5">
        <f>Daily_Input!F94</f>
        <v>15817.94020789491</v>
      </c>
      <c r="C94" s="5">
        <f>Daily_Input!D94</f>
        <v>488.904</v>
      </c>
      <c r="D94" s="5">
        <f>Daily_Input!E94</f>
        <v>1436785.6733039999</v>
      </c>
      <c r="E94" s="5" cm="1">
        <f t="array" ref="E94">IF(ROW()=2,"",INDEX(Daily_Input!$E:$E,ROW())-INDEX(Daily_Input!$E:$E,ROW()-1))</f>
        <v>2908.7902964998502</v>
      </c>
      <c r="F94" s="5">
        <f>IFERROR(Daily_Input!E94/Config!$B$4,"")</f>
        <v>0.88392353587170103</v>
      </c>
      <c r="G94" s="5">
        <f>Daily_Input!I94</f>
        <v>10.8</v>
      </c>
      <c r="H94" s="5">
        <f>IF(A94="","",IF(ROW()=2,G94,Config!$B$5*H93+G94))</f>
        <v>109.16704058960292</v>
      </c>
      <c r="I94" s="5">
        <f t="shared" si="3"/>
        <v>274</v>
      </c>
      <c r="J94" s="5">
        <f>IF(I94="","",SIN(2*PI()*I94/Config!$B$6))</f>
        <v>-0.99999073973619013</v>
      </c>
      <c r="K94" s="5">
        <f>IF(I94="","",COS(2*PI()*I94/Config!$B$6))</f>
        <v>4.3035382962438211E-3</v>
      </c>
      <c r="L94" s="5">
        <f>IF(ROW()&lt;=2+0,"",INDEX(Daily_Input!$F:$F,ROW()-1))</f>
        <v>5657.864205080682</v>
      </c>
      <c r="M94" s="5">
        <f>IF(ROW()&lt;=2+1,"",INDEX(Daily_Input!$F:$F,ROW()-2))</f>
        <v>4484.044160908431</v>
      </c>
      <c r="N94" s="5">
        <f>IF(ROW()&lt;=2+2,"",INDEX(Daily_Input!$F:$F,ROW()-3))</f>
        <v>7097.3228930266096</v>
      </c>
      <c r="O94" s="5">
        <f>IF(ROW()&lt;=2+6,"",INDEX(Daily_Input!$F:$F,ROW()-7))</f>
        <v>1525.7634288202905</v>
      </c>
      <c r="P94" s="5">
        <f>IF(ROW()&lt;=2+13,"",INDEX(Daily_Input!$F:$F,ROW()-14))</f>
        <v>13190.014880184803</v>
      </c>
      <c r="Q94" s="5">
        <f>IF(ROW()&lt;=4,"",SUM(INDEX(Daily_Input!$I:$I,ROW()-2):INDEX(Daily_Input!$I:$I,ROW())))</f>
        <v>26.8</v>
      </c>
      <c r="R94" s="5">
        <f>IF(ROW()&lt;=8,"",SUM(INDEX(Daily_Input!$I:$I,ROW()-6):INDEX(Daily_Input!$I:$I,ROW())))</f>
        <v>45.8</v>
      </c>
      <c r="S94" s="5">
        <f>IF(ROW()&lt;=15,"",SUM(INDEX(Daily_Input!$I:$I,ROW()-13):INDEX(Daily_Input!$I:$I,ROW())))</f>
        <v>62.8</v>
      </c>
      <c r="T94" s="5">
        <f>IF(ROW()&lt;=4,"",AVERAGE(INDEX(Daily_Input!$F:$F,ROW()-2):INDEX(Daily_Input!$F:$F,ROW())))</f>
        <v>8653.2828579613415</v>
      </c>
      <c r="U94" s="5">
        <f>IF(ROW()&lt;=2+0,"",INDEX(Daily_Input!$G:$G,ROW()-1))</f>
        <v>15019.199999999999</v>
      </c>
      <c r="V94" s="5">
        <f>IF(ROW()&lt;=2+0,"",INDEX(Daily_Input!$H:$H,ROW()-1))</f>
        <v>0</v>
      </c>
      <c r="W94" s="5">
        <f>IF(ROW()&lt;=2+1,"",INDEX(Daily_Input!$G:$G,ROW()-2))</f>
        <v>15019.199999999999</v>
      </c>
      <c r="X94" s="5">
        <f>IF(ROW()&lt;=2+1,"",INDEX(Daily_Input!$H:$H,ROW()-2))</f>
        <v>0</v>
      </c>
      <c r="Y94" s="5">
        <f>IF(ROW()&lt;=2+2,"",INDEX(Daily_Input!$G:$G,ROW()-3))</f>
        <v>15019.199999999999</v>
      </c>
      <c r="Z94" s="5">
        <f>IF(ROW()&lt;=2+2,"",INDEX(Daily_Input!$H:$H,ROW()-3))</f>
        <v>0</v>
      </c>
      <c r="AA94" s="5">
        <f>Daily_Input!N94</f>
        <v>4.5060000000000002</v>
      </c>
      <c r="AB94" s="5">
        <f>Daily_Input!O94</f>
        <v>7.7629999999999999</v>
      </c>
      <c r="AC94" s="5">
        <f>Daily_Input!P94</f>
        <v>6.7880000000000003</v>
      </c>
      <c r="AD94" s="5">
        <f t="shared" si="4"/>
        <v>19.057000000000002</v>
      </c>
      <c r="AE94" s="5">
        <f t="shared" si="5"/>
        <v>7.7629999999999999</v>
      </c>
      <c r="AF94" s="5">
        <f>IF(A94="","",IFERROR(INDEX(Daily_Input!$F:$F,ROW()+1),""))</f>
        <v>6919.1413482762027</v>
      </c>
      <c r="AG94" s="5">
        <f>IF(A94="","",IFERROR(INDEX(Daily_Input!$F:$F,ROW()+2),""))</f>
        <v>13143.437283754383</v>
      </c>
      <c r="AH94" s="5">
        <f>IF(A94="","",IFERROR(INDEX(Daily_Input!$F:$F,ROW()+3),""))</f>
        <v>9657.860847183736</v>
      </c>
    </row>
    <row r="95" spans="1:34">
      <c r="A95" s="5">
        <f>Daily_Input!A95</f>
        <v>45932</v>
      </c>
      <c r="B95" s="5">
        <f>Daily_Input!F95</f>
        <v>6919.1413482762027</v>
      </c>
      <c r="C95" s="5">
        <f>Daily_Input!D95</f>
        <v>488.87900000000002</v>
      </c>
      <c r="D95" s="5">
        <f>Daily_Input!E95</f>
        <v>1428061.5598544001</v>
      </c>
      <c r="E95" s="5" cm="1">
        <f t="array" ref="E95">IF(ROW()=2,"",INDEX(Daily_Input!$E:$E,ROW())-INDEX(Daily_Input!$E:$E,ROW()-1))</f>
        <v>-8724.1134495998267</v>
      </c>
      <c r="F95" s="5">
        <f>IFERROR(Daily_Input!E95/Config!$B$4,"")</f>
        <v>0.87855638240476608</v>
      </c>
      <c r="G95" s="5">
        <f>Daily_Input!I95</f>
        <v>1.4</v>
      </c>
      <c r="H95" s="5">
        <f>IF(A95="","",IF(ROW()=2,G95,Config!$B$5*H94+G95))</f>
        <v>105.10868856012277</v>
      </c>
      <c r="I95" s="5">
        <f t="shared" si="3"/>
        <v>275</v>
      </c>
      <c r="J95" s="5">
        <f>IF(I95="","",SIN(2*PI()*I95/Config!$B$6))</f>
        <v>-0.99976850197989087</v>
      </c>
      <c r="K95" s="5">
        <f>IF(I95="","",COS(2*PI()*I95/Config!$B$6))</f>
        <v>2.1516097436222233E-2</v>
      </c>
      <c r="L95" s="5">
        <f>IF(ROW()&lt;=2+0,"",INDEX(Daily_Input!$F:$F,ROW()-1))</f>
        <v>15817.94020789491</v>
      </c>
      <c r="M95" s="5">
        <f>IF(ROW()&lt;=2+1,"",INDEX(Daily_Input!$F:$F,ROW()-2))</f>
        <v>5657.864205080682</v>
      </c>
      <c r="N95" s="5">
        <f>IF(ROW()&lt;=2+2,"",INDEX(Daily_Input!$F:$F,ROW()-3))</f>
        <v>4484.044160908431</v>
      </c>
      <c r="O95" s="5">
        <f>IF(ROW()&lt;=2+6,"",INDEX(Daily_Input!$F:$F,ROW()-7))</f>
        <v>13797.653686861006</v>
      </c>
      <c r="P95" s="5">
        <f>IF(ROW()&lt;=2+13,"",INDEX(Daily_Input!$F:$F,ROW()-14))</f>
        <v>1374.8609051012572</v>
      </c>
      <c r="Q95" s="5">
        <f>IF(ROW()&lt;=4,"",SUM(INDEX(Daily_Input!$I:$I,ROW()-2):INDEX(Daily_Input!$I:$I,ROW())))</f>
        <v>28.2</v>
      </c>
      <c r="R95" s="5">
        <f>IF(ROW()&lt;=8,"",SUM(INDEX(Daily_Input!$I:$I,ROW()-6):INDEX(Daily_Input!$I:$I,ROW())))</f>
        <v>29.2</v>
      </c>
      <c r="S95" s="5">
        <f>IF(ROW()&lt;=15,"",SUM(INDEX(Daily_Input!$I:$I,ROW()-13):INDEX(Daily_Input!$I:$I,ROW())))</f>
        <v>64.2</v>
      </c>
      <c r="T95" s="5">
        <f>IF(ROW()&lt;=4,"",AVERAGE(INDEX(Daily_Input!$F:$F,ROW()-2):INDEX(Daily_Input!$F:$F,ROW())))</f>
        <v>9464.9819204172654</v>
      </c>
      <c r="U95" s="5">
        <f>IF(ROW()&lt;=2+0,"",INDEX(Daily_Input!$G:$G,ROW()-1))</f>
        <v>15019.199999999999</v>
      </c>
      <c r="V95" s="5">
        <f>IF(ROW()&lt;=2+0,"",INDEX(Daily_Input!$H:$H,ROW()-1))</f>
        <v>0</v>
      </c>
      <c r="W95" s="5">
        <f>IF(ROW()&lt;=2+1,"",INDEX(Daily_Input!$G:$G,ROW()-2))</f>
        <v>15019.199999999999</v>
      </c>
      <c r="X95" s="5">
        <f>IF(ROW()&lt;=2+1,"",INDEX(Daily_Input!$H:$H,ROW()-2))</f>
        <v>0</v>
      </c>
      <c r="Y95" s="5">
        <f>IF(ROW()&lt;=2+2,"",INDEX(Daily_Input!$G:$G,ROW()-3))</f>
        <v>15019.199999999999</v>
      </c>
      <c r="Z95" s="5">
        <f>IF(ROW()&lt;=2+2,"",INDEX(Daily_Input!$H:$H,ROW()-3))</f>
        <v>0</v>
      </c>
      <c r="AA95" s="5">
        <f>Daily_Input!N95</f>
        <v>7.7629999999999999</v>
      </c>
      <c r="AB95" s="5">
        <f>Daily_Input!O95</f>
        <v>6.7880000000000003</v>
      </c>
      <c r="AC95" s="5">
        <f>Daily_Input!P95</f>
        <v>8.6340000000000003</v>
      </c>
      <c r="AD95" s="5">
        <f t="shared" si="4"/>
        <v>23.185000000000002</v>
      </c>
      <c r="AE95" s="5">
        <f t="shared" si="5"/>
        <v>8.6340000000000003</v>
      </c>
      <c r="AF95" s="5">
        <f>IF(A95="","",IFERROR(INDEX(Daily_Input!$F:$F,ROW()+1),""))</f>
        <v>13143.437283754383</v>
      </c>
      <c r="AG95" s="5">
        <f>IF(A95="","",IFERROR(INDEX(Daily_Input!$F:$F,ROW()+2),""))</f>
        <v>9657.860847183736</v>
      </c>
      <c r="AH95" s="5">
        <f>IF(A95="","",IFERROR(INDEX(Daily_Input!$F:$F,ROW()+3),""))</f>
        <v>9370.3604702878874</v>
      </c>
    </row>
    <row r="96" spans="1:34">
      <c r="A96" s="5">
        <f>Daily_Input!A96</f>
        <v>45933</v>
      </c>
      <c r="B96" s="5">
        <f>Daily_Input!F96</f>
        <v>13143.437283754383</v>
      </c>
      <c r="C96" s="5">
        <f>Daily_Input!D96</f>
        <v>488.86599999999999</v>
      </c>
      <c r="D96" s="5">
        <f>Daily_Input!E96</f>
        <v>1425155.0669104999</v>
      </c>
      <c r="E96" s="5" cm="1">
        <f t="array" ref="E96">IF(ROW()=2,"",INDEX(Daily_Input!$E:$E,ROW())-INDEX(Daily_Input!$E:$E,ROW()-1))</f>
        <v>-2906.4929439001717</v>
      </c>
      <c r="F96" s="5">
        <f>IFERROR(Daily_Input!E96/Config!$B$4,"")</f>
        <v>0.87676828166873177</v>
      </c>
      <c r="G96" s="5">
        <f>Daily_Input!I96</f>
        <v>0</v>
      </c>
      <c r="H96" s="5">
        <f>IF(A96="","",IF(ROW()=2,G96,Config!$B$5*H95+G96))</f>
        <v>99.853254132116632</v>
      </c>
      <c r="I96" s="5">
        <f t="shared" si="3"/>
        <v>276</v>
      </c>
      <c r="J96" s="5">
        <f>IF(I96="","",SIN(2*PI()*I96/Config!$B$6))</f>
        <v>-0.99925001123968349</v>
      </c>
      <c r="K96" s="5">
        <f>IF(I96="","",COS(2*PI()*I96/Config!$B$6))</f>
        <v>3.8722280892173992E-2</v>
      </c>
      <c r="L96" s="5">
        <f>IF(ROW()&lt;=2+0,"",INDEX(Daily_Input!$F:$F,ROW()-1))</f>
        <v>6919.1413482762027</v>
      </c>
      <c r="M96" s="5">
        <f>IF(ROW()&lt;=2+1,"",INDEX(Daily_Input!$F:$F,ROW()-2))</f>
        <v>15817.94020789491</v>
      </c>
      <c r="N96" s="5">
        <f>IF(ROW()&lt;=2+2,"",INDEX(Daily_Input!$F:$F,ROW()-3))</f>
        <v>5657.864205080682</v>
      </c>
      <c r="O96" s="5">
        <f>IF(ROW()&lt;=2+6,"",INDEX(Daily_Input!$F:$F,ROW()-7))</f>
        <v>7375.9657542117529</v>
      </c>
      <c r="P96" s="5">
        <f>IF(ROW()&lt;=2+13,"",INDEX(Daily_Input!$F:$F,ROW()-14))</f>
        <v>2823.6028583486882</v>
      </c>
      <c r="Q96" s="5">
        <f>IF(ROW()&lt;=4,"",SUM(INDEX(Daily_Input!$I:$I,ROW()-2):INDEX(Daily_Input!$I:$I,ROW())))</f>
        <v>12.200000000000001</v>
      </c>
      <c r="R96" s="5">
        <f>IF(ROW()&lt;=8,"",SUM(INDEX(Daily_Input!$I:$I,ROW()-6):INDEX(Daily_Input!$I:$I,ROW())))</f>
        <v>29.2</v>
      </c>
      <c r="S96" s="5">
        <f>IF(ROW()&lt;=15,"",SUM(INDEX(Daily_Input!$I:$I,ROW()-13):INDEX(Daily_Input!$I:$I,ROW())))</f>
        <v>58.999999999999993</v>
      </c>
      <c r="T96" s="5">
        <f>IF(ROW()&lt;=4,"",AVERAGE(INDEX(Daily_Input!$F:$F,ROW()-2):INDEX(Daily_Input!$F:$F,ROW())))</f>
        <v>11960.172946641833</v>
      </c>
      <c r="U96" s="5">
        <f>IF(ROW()&lt;=2+0,"",INDEX(Daily_Input!$G:$G,ROW()-1))</f>
        <v>15019.199999999999</v>
      </c>
      <c r="V96" s="5">
        <f>IF(ROW()&lt;=2+0,"",INDEX(Daily_Input!$H:$H,ROW()-1))</f>
        <v>0</v>
      </c>
      <c r="W96" s="5">
        <f>IF(ROW()&lt;=2+1,"",INDEX(Daily_Input!$G:$G,ROW()-2))</f>
        <v>15019.199999999999</v>
      </c>
      <c r="X96" s="5">
        <f>IF(ROW()&lt;=2+1,"",INDEX(Daily_Input!$H:$H,ROW()-2))</f>
        <v>0</v>
      </c>
      <c r="Y96" s="5">
        <f>IF(ROW()&lt;=2+2,"",INDEX(Daily_Input!$G:$G,ROW()-3))</f>
        <v>15019.199999999999</v>
      </c>
      <c r="Z96" s="5">
        <f>IF(ROW()&lt;=2+2,"",INDEX(Daily_Input!$H:$H,ROW()-3))</f>
        <v>0</v>
      </c>
      <c r="AA96" s="5">
        <f>Daily_Input!N96</f>
        <v>6.7880000000000003</v>
      </c>
      <c r="AB96" s="5">
        <f>Daily_Input!O96</f>
        <v>8.6340000000000003</v>
      </c>
      <c r="AC96" s="5">
        <f>Daily_Input!P96</f>
        <v>2.278</v>
      </c>
      <c r="AD96" s="5">
        <f t="shared" si="4"/>
        <v>17.7</v>
      </c>
      <c r="AE96" s="5">
        <f t="shared" si="5"/>
        <v>8.6340000000000003</v>
      </c>
      <c r="AF96" s="5">
        <f>IF(A96="","",IFERROR(INDEX(Daily_Input!$F:$F,ROW()+1),""))</f>
        <v>9657.860847183736</v>
      </c>
      <c r="AG96" s="5">
        <f>IF(A96="","",IFERROR(INDEX(Daily_Input!$F:$F,ROW()+2),""))</f>
        <v>9370.3604702878874</v>
      </c>
      <c r="AH96" s="5">
        <f>IF(A96="","",IFERROR(INDEX(Daily_Input!$F:$F,ROW()+3),""))</f>
        <v>4441.7191053469041</v>
      </c>
    </row>
    <row r="97" spans="1:34">
      <c r="A97" s="5">
        <f>Daily_Input!A97</f>
        <v>45934</v>
      </c>
      <c r="B97" s="5">
        <f>Daily_Input!F97</f>
        <v>9657.860847183736</v>
      </c>
      <c r="C97" s="5">
        <f>Daily_Input!D97</f>
        <v>488.84800000000001</v>
      </c>
      <c r="D97" s="5">
        <f>Daily_Input!E97</f>
        <v>1419344.4679610999</v>
      </c>
      <c r="E97" s="5" cm="1">
        <f t="array" ref="E97">IF(ROW()=2,"",INDEX(Daily_Input!$E:$E,ROW())-INDEX(Daily_Input!$E:$E,ROW()-1))</f>
        <v>-5810.5989494000096</v>
      </c>
      <c r="F97" s="5">
        <f>IFERROR(Daily_Input!E97/Config!$B$4,"")</f>
        <v>0.8731935486627469</v>
      </c>
      <c r="G97" s="5">
        <f>Daily_Input!I97</f>
        <v>2</v>
      </c>
      <c r="H97" s="5">
        <f>IF(A97="","",IF(ROW()=2,G97,Config!$B$5*H96+G97))</f>
        <v>96.86059142551079</v>
      </c>
      <c r="I97" s="5">
        <f t="shared" si="3"/>
        <v>277</v>
      </c>
      <c r="J97" s="5">
        <f>IF(I97="","",SIN(2*PI()*I97/Config!$B$6))</f>
        <v>-0.99843542115556427</v>
      </c>
      <c r="K97" s="5">
        <f>IF(I97="","",COS(2*PI()*I97/Config!$B$6))</f>
        <v>5.5916990100603019E-2</v>
      </c>
      <c r="L97" s="5">
        <f>IF(ROW()&lt;=2+0,"",INDEX(Daily_Input!$F:$F,ROW()-1))</f>
        <v>13143.437283754383</v>
      </c>
      <c r="M97" s="5">
        <f>IF(ROW()&lt;=2+1,"",INDEX(Daily_Input!$F:$F,ROW()-2))</f>
        <v>6919.1413482762027</v>
      </c>
      <c r="N97" s="5">
        <f>IF(ROW()&lt;=2+2,"",INDEX(Daily_Input!$F:$F,ROW()-3))</f>
        <v>15817.94020789491</v>
      </c>
      <c r="O97" s="5">
        <f>IF(ROW()&lt;=2+6,"",INDEX(Daily_Input!$F:$F,ROW()-7))</f>
        <v>7382.3171617782627</v>
      </c>
      <c r="P97" s="5">
        <f>IF(ROW()&lt;=2+13,"",INDEX(Daily_Input!$F:$F,ROW()-14))</f>
        <v>970.08652436549107</v>
      </c>
      <c r="Q97" s="5">
        <f>IF(ROW()&lt;=4,"",SUM(INDEX(Daily_Input!$I:$I,ROW()-2):INDEX(Daily_Input!$I:$I,ROW())))</f>
        <v>3.4</v>
      </c>
      <c r="R97" s="5">
        <f>IF(ROW()&lt;=8,"",SUM(INDEX(Daily_Input!$I:$I,ROW()-6):INDEX(Daily_Input!$I:$I,ROW())))</f>
        <v>31.2</v>
      </c>
      <c r="S97" s="5">
        <f>IF(ROW()&lt;=15,"",SUM(INDEX(Daily_Input!$I:$I,ROW()-13):INDEX(Daily_Input!$I:$I,ROW())))</f>
        <v>59.4</v>
      </c>
      <c r="T97" s="5">
        <f>IF(ROW()&lt;=4,"",AVERAGE(INDEX(Daily_Input!$F:$F,ROW()-2):INDEX(Daily_Input!$F:$F,ROW())))</f>
        <v>9906.8131597381071</v>
      </c>
      <c r="U97" s="5">
        <f>IF(ROW()&lt;=2+0,"",INDEX(Daily_Input!$G:$G,ROW()-1))</f>
        <v>15019.199999999999</v>
      </c>
      <c r="V97" s="5">
        <f>IF(ROW()&lt;=2+0,"",INDEX(Daily_Input!$H:$H,ROW()-1))</f>
        <v>0</v>
      </c>
      <c r="W97" s="5">
        <f>IF(ROW()&lt;=2+1,"",INDEX(Daily_Input!$G:$G,ROW()-2))</f>
        <v>15019.199999999999</v>
      </c>
      <c r="X97" s="5">
        <f>IF(ROW()&lt;=2+1,"",INDEX(Daily_Input!$H:$H,ROW()-2))</f>
        <v>0</v>
      </c>
      <c r="Y97" s="5">
        <f>IF(ROW()&lt;=2+2,"",INDEX(Daily_Input!$G:$G,ROW()-3))</f>
        <v>15019.199999999999</v>
      </c>
      <c r="Z97" s="5">
        <f>IF(ROW()&lt;=2+2,"",INDEX(Daily_Input!$H:$H,ROW()-3))</f>
        <v>0</v>
      </c>
      <c r="AA97" s="5">
        <f>Daily_Input!N97</f>
        <v>8.6340000000000003</v>
      </c>
      <c r="AB97" s="5">
        <f>Daily_Input!O97</f>
        <v>2.278</v>
      </c>
      <c r="AC97" s="5">
        <f>Daily_Input!P97</f>
        <v>1.2110000000000001</v>
      </c>
      <c r="AD97" s="5">
        <f t="shared" si="4"/>
        <v>12.123000000000001</v>
      </c>
      <c r="AE97" s="5">
        <f t="shared" si="5"/>
        <v>8.6340000000000003</v>
      </c>
      <c r="AF97" s="5">
        <f>IF(A97="","",IFERROR(INDEX(Daily_Input!$F:$F,ROW()+1),""))</f>
        <v>9370.3604702878874</v>
      </c>
      <c r="AG97" s="5">
        <f>IF(A97="","",IFERROR(INDEX(Daily_Input!$F:$F,ROW()+2),""))</f>
        <v>4441.7191053469041</v>
      </c>
      <c r="AH97" s="5">
        <f>IF(A97="","",IFERROR(INDEX(Daily_Input!$F:$F,ROW()+3),""))</f>
        <v>4452.9563767526815</v>
      </c>
    </row>
    <row r="98" spans="1:34">
      <c r="A98" s="5">
        <f>Daily_Input!A98</f>
        <v>45935</v>
      </c>
      <c r="B98" s="5">
        <f>Daily_Input!F98</f>
        <v>9370.3604702878874</v>
      </c>
      <c r="C98" s="5">
        <f>Daily_Input!D98</f>
        <v>488.82098000000002</v>
      </c>
      <c r="D98" s="5">
        <f>Daily_Input!E98</f>
        <v>1413536.9222839</v>
      </c>
      <c r="E98" s="5" cm="1">
        <f t="array" ref="E98">IF(ROW()=2,"",INDEX(Daily_Input!$E:$E,ROW())-INDEX(Daily_Input!$E:$E,ROW()-1))</f>
        <v>-5807.5456771999598</v>
      </c>
      <c r="F98" s="5">
        <f>IFERROR(Daily_Input!E98/Config!$B$4,"")</f>
        <v>0.86962069405742337</v>
      </c>
      <c r="G98" s="5">
        <f>Daily_Input!I98</f>
        <v>3</v>
      </c>
      <c r="H98" s="5">
        <f>IF(A98="","",IF(ROW()=2,G98,Config!$B$5*H97+G98))</f>
        <v>95.01756185423524</v>
      </c>
      <c r="I98" s="5">
        <f t="shared" si="3"/>
        <v>278</v>
      </c>
      <c r="J98" s="5">
        <f>IF(I98="","",SIN(2*PI()*I98/Config!$B$6))</f>
        <v>-0.99732497310815549</v>
      </c>
      <c r="K98" s="5">
        <f>IF(I98="","",COS(2*PI()*I98/Config!$B$6))</f>
        <v>7.309512989807776E-2</v>
      </c>
      <c r="L98" s="5">
        <f>IF(ROW()&lt;=2+0,"",INDEX(Daily_Input!$F:$F,ROW()-1))</f>
        <v>9657.860847183736</v>
      </c>
      <c r="M98" s="5">
        <f>IF(ROW()&lt;=2+1,"",INDEX(Daily_Input!$F:$F,ROW()-2))</f>
        <v>13143.437283754383</v>
      </c>
      <c r="N98" s="5">
        <f>IF(ROW()&lt;=2+2,"",INDEX(Daily_Input!$F:$F,ROW()-3))</f>
        <v>6919.1413482762027</v>
      </c>
      <c r="O98" s="5">
        <f>IF(ROW()&lt;=2+6,"",INDEX(Daily_Input!$F:$F,ROW()-7))</f>
        <v>7097.3228930266096</v>
      </c>
      <c r="P98" s="5">
        <f>IF(ROW()&lt;=2+13,"",INDEX(Daily_Input!$F:$F,ROW()-14))</f>
        <v>8280.18768312879</v>
      </c>
      <c r="Q98" s="5">
        <f>IF(ROW()&lt;=4,"",SUM(INDEX(Daily_Input!$I:$I,ROW()-2):INDEX(Daily_Input!$I:$I,ROW())))</f>
        <v>5</v>
      </c>
      <c r="R98" s="5">
        <f>IF(ROW()&lt;=8,"",SUM(INDEX(Daily_Input!$I:$I,ROW()-6):INDEX(Daily_Input!$I:$I,ROW())))</f>
        <v>33.200000000000003</v>
      </c>
      <c r="S98" s="5">
        <f>IF(ROW()&lt;=15,"",SUM(INDEX(Daily_Input!$I:$I,ROW()-13):INDEX(Daily_Input!$I:$I,ROW())))</f>
        <v>55.6</v>
      </c>
      <c r="T98" s="5">
        <f>IF(ROW()&lt;=4,"",AVERAGE(INDEX(Daily_Input!$F:$F,ROW()-2):INDEX(Daily_Input!$F:$F,ROW())))</f>
        <v>10723.88620040867</v>
      </c>
      <c r="U98" s="5">
        <f>IF(ROW()&lt;=2+0,"",INDEX(Daily_Input!$G:$G,ROW()-1))</f>
        <v>15019.199999999999</v>
      </c>
      <c r="V98" s="5">
        <f>IF(ROW()&lt;=2+0,"",INDEX(Daily_Input!$H:$H,ROW()-1))</f>
        <v>0</v>
      </c>
      <c r="W98" s="5">
        <f>IF(ROW()&lt;=2+1,"",INDEX(Daily_Input!$G:$G,ROW()-2))</f>
        <v>15019.199999999999</v>
      </c>
      <c r="X98" s="5">
        <f>IF(ROW()&lt;=2+1,"",INDEX(Daily_Input!$H:$H,ROW()-2))</f>
        <v>0</v>
      </c>
      <c r="Y98" s="5">
        <f>IF(ROW()&lt;=2+2,"",INDEX(Daily_Input!$G:$G,ROW()-3))</f>
        <v>15019.199999999999</v>
      </c>
      <c r="Z98" s="5">
        <f>IF(ROW()&lt;=2+2,"",INDEX(Daily_Input!$H:$H,ROW()-3))</f>
        <v>0</v>
      </c>
      <c r="AA98" s="5">
        <f>Daily_Input!N98</f>
        <v>2.278</v>
      </c>
      <c r="AB98" s="5">
        <f>Daily_Input!O98</f>
        <v>1.2110000000000001</v>
      </c>
      <c r="AC98" s="5">
        <f>Daily_Input!P98</f>
        <v>7.19</v>
      </c>
      <c r="AD98" s="5">
        <f t="shared" si="4"/>
        <v>10.679</v>
      </c>
      <c r="AE98" s="5">
        <f t="shared" si="5"/>
        <v>7.19</v>
      </c>
      <c r="AF98" s="5">
        <f>IF(A98="","",IFERROR(INDEX(Daily_Input!$F:$F,ROW()+1),""))</f>
        <v>4441.7191053469041</v>
      </c>
      <c r="AG98" s="5">
        <f>IF(A98="","",IFERROR(INDEX(Daily_Input!$F:$F,ROW()+2),""))</f>
        <v>4452.9563767526815</v>
      </c>
      <c r="AH98" s="5">
        <f>IF(A98="","",IFERROR(INDEX(Daily_Input!$F:$F,ROW()+3),""))</f>
        <v>17843.03491368231</v>
      </c>
    </row>
    <row r="99" spans="1:34">
      <c r="A99" s="5">
        <f>Daily_Input!A99</f>
        <v>45936</v>
      </c>
      <c r="B99" s="5">
        <f>Daily_Input!F99</f>
        <v>4441.7191053469041</v>
      </c>
      <c r="C99" s="5">
        <f>Daily_Input!D99</f>
        <v>488.78899999999999</v>
      </c>
      <c r="D99" s="5">
        <f>Daily_Input!E99</f>
        <v>1401930.9575960001</v>
      </c>
      <c r="E99" s="5" cm="1">
        <f t="array" ref="E99">IF(ROW()=2,"",INDEX(Daily_Input!$E:$E,ROW())-INDEX(Daily_Input!$E:$E,ROW()-1))</f>
        <v>-11605.964687899919</v>
      </c>
      <c r="F99" s="5">
        <f>IFERROR(Daily_Input!E99/Config!$B$4,"")</f>
        <v>0.86248059965451929</v>
      </c>
      <c r="G99" s="5">
        <f>Daily_Input!I99</f>
        <v>0</v>
      </c>
      <c r="H99" s="5">
        <f>IF(A99="","",IF(ROW()=2,G99,Config!$B$5*H98+G99))</f>
        <v>90.266683761523467</v>
      </c>
      <c r="I99" s="5">
        <f t="shared" si="3"/>
        <v>279</v>
      </c>
      <c r="J99" s="5">
        <f>IF(I99="","",SIN(2*PI()*I99/Config!$B$6))</f>
        <v>-0.99591899614717916</v>
      </c>
      <c r="K99" s="5">
        <f>IF(I99="","",COS(2*PI()*I99/Config!$B$6))</f>
        <v>9.0251610031040694E-2</v>
      </c>
      <c r="L99" s="5">
        <f>IF(ROW()&lt;=2+0,"",INDEX(Daily_Input!$F:$F,ROW()-1))</f>
        <v>9370.3604702878874</v>
      </c>
      <c r="M99" s="5">
        <f>IF(ROW()&lt;=2+1,"",INDEX(Daily_Input!$F:$F,ROW()-2))</f>
        <v>9657.860847183736</v>
      </c>
      <c r="N99" s="5">
        <f>IF(ROW()&lt;=2+2,"",INDEX(Daily_Input!$F:$F,ROW()-3))</f>
        <v>13143.437283754383</v>
      </c>
      <c r="O99" s="5">
        <f>IF(ROW()&lt;=2+6,"",INDEX(Daily_Input!$F:$F,ROW()-7))</f>
        <v>4484.044160908431</v>
      </c>
      <c r="P99" s="5">
        <f>IF(ROW()&lt;=2+13,"",INDEX(Daily_Input!$F:$F,ROW()-14))</f>
        <v>3890.8091359720329</v>
      </c>
      <c r="Q99" s="5">
        <f>IF(ROW()&lt;=4,"",SUM(INDEX(Daily_Input!$I:$I,ROW()-2):INDEX(Daily_Input!$I:$I,ROW())))</f>
        <v>5</v>
      </c>
      <c r="R99" s="5">
        <f>IF(ROW()&lt;=8,"",SUM(INDEX(Daily_Input!$I:$I,ROW()-6):INDEX(Daily_Input!$I:$I,ROW())))</f>
        <v>33.200000000000003</v>
      </c>
      <c r="S99" s="5">
        <f>IF(ROW()&lt;=15,"",SUM(INDEX(Daily_Input!$I:$I,ROW()-13):INDEX(Daily_Input!$I:$I,ROW())))</f>
        <v>53.800000000000004</v>
      </c>
      <c r="T99" s="5">
        <f>IF(ROW()&lt;=4,"",AVERAGE(INDEX(Daily_Input!$F:$F,ROW()-2):INDEX(Daily_Input!$F:$F,ROW())))</f>
        <v>7823.3134742728425</v>
      </c>
      <c r="U99" s="5">
        <f>IF(ROW()&lt;=2+0,"",INDEX(Daily_Input!$G:$G,ROW()-1))</f>
        <v>15019.199999999999</v>
      </c>
      <c r="V99" s="5">
        <f>IF(ROW()&lt;=2+0,"",INDEX(Daily_Input!$H:$H,ROW()-1))</f>
        <v>0</v>
      </c>
      <c r="W99" s="5">
        <f>IF(ROW()&lt;=2+1,"",INDEX(Daily_Input!$G:$G,ROW()-2))</f>
        <v>15019.199999999999</v>
      </c>
      <c r="X99" s="5">
        <f>IF(ROW()&lt;=2+1,"",INDEX(Daily_Input!$H:$H,ROW()-2))</f>
        <v>0</v>
      </c>
      <c r="Y99" s="5">
        <f>IF(ROW()&lt;=2+2,"",INDEX(Daily_Input!$G:$G,ROW()-3))</f>
        <v>15019.199999999999</v>
      </c>
      <c r="Z99" s="5">
        <f>IF(ROW()&lt;=2+2,"",INDEX(Daily_Input!$H:$H,ROW()-3))</f>
        <v>0</v>
      </c>
      <c r="AA99" s="5">
        <f>Daily_Input!N99</f>
        <v>1.2110000000000001</v>
      </c>
      <c r="AB99" s="5">
        <f>Daily_Input!O99</f>
        <v>7.19</v>
      </c>
      <c r="AC99" s="5">
        <f>Daily_Input!P99</f>
        <v>0.81899999999999995</v>
      </c>
      <c r="AD99" s="5">
        <f t="shared" si="4"/>
        <v>9.2199999999999989</v>
      </c>
      <c r="AE99" s="5">
        <f t="shared" si="5"/>
        <v>7.19</v>
      </c>
      <c r="AF99" s="5">
        <f>IF(A99="","",IFERROR(INDEX(Daily_Input!$F:$F,ROW()+1),""))</f>
        <v>4452.9563767526815</v>
      </c>
      <c r="AG99" s="5">
        <f>IF(A99="","",IFERROR(INDEX(Daily_Input!$F:$F,ROW()+2),""))</f>
        <v>17843.03491368231</v>
      </c>
      <c r="AH99" s="5">
        <f>IF(A99="","",IFERROR(INDEX(Daily_Input!$F:$F,ROW()+3),""))</f>
        <v>62279.205948142459</v>
      </c>
    </row>
    <row r="100" spans="1:34">
      <c r="A100" s="5">
        <f>Daily_Input!A100</f>
        <v>45937</v>
      </c>
      <c r="B100" s="5">
        <f>Daily_Input!F100</f>
        <v>4452.9563767526815</v>
      </c>
      <c r="C100" s="5">
        <f>Daily_Input!D100</f>
        <v>488.745</v>
      </c>
      <c r="D100" s="5">
        <f>Daily_Input!E100</f>
        <v>1390337.3398593001</v>
      </c>
      <c r="E100" s="5" cm="1">
        <f t="array" ref="E100">IF(ROW()=2,"",INDEX(Daily_Input!$E:$E,ROW())-INDEX(Daily_Input!$E:$E,ROW()-1))</f>
        <v>-11593.617736699991</v>
      </c>
      <c r="F100" s="5">
        <f>IFERROR(Daily_Input!E100/Config!$B$4,"")</f>
        <v>0.8553481012076195</v>
      </c>
      <c r="G100" s="5">
        <f>Daily_Input!I100</f>
        <v>0</v>
      </c>
      <c r="H100" s="5">
        <f>IF(A100="","",IF(ROW()=2,G100,Config!$B$5*H99+G100))</f>
        <v>85.753349573447295</v>
      </c>
      <c r="I100" s="5">
        <f t="shared" si="3"/>
        <v>280</v>
      </c>
      <c r="J100" s="5">
        <f>IF(I100="","",SIN(2*PI()*I100/Config!$B$6))</f>
        <v>-0.99421790689395195</v>
      </c>
      <c r="K100" s="5">
        <f>IF(I100="","",COS(2*PI()*I100/Config!$B$6))</f>
        <v>0.10738134666416306</v>
      </c>
      <c r="L100" s="5">
        <f>IF(ROW()&lt;=2+0,"",INDEX(Daily_Input!$F:$F,ROW()-1))</f>
        <v>4441.7191053469041</v>
      </c>
      <c r="M100" s="5">
        <f>IF(ROW()&lt;=2+1,"",INDEX(Daily_Input!$F:$F,ROW()-2))</f>
        <v>9370.3604702878874</v>
      </c>
      <c r="N100" s="5">
        <f>IF(ROW()&lt;=2+2,"",INDEX(Daily_Input!$F:$F,ROW()-3))</f>
        <v>9657.860847183736</v>
      </c>
      <c r="O100" s="5">
        <f>IF(ROW()&lt;=2+6,"",INDEX(Daily_Input!$F:$F,ROW()-7))</f>
        <v>5657.864205080682</v>
      </c>
      <c r="P100" s="5">
        <f>IF(ROW()&lt;=2+13,"",INDEX(Daily_Input!$F:$F,ROW()-14))</f>
        <v>1038.3203905585058</v>
      </c>
      <c r="Q100" s="5">
        <f>IF(ROW()&lt;=4,"",SUM(INDEX(Daily_Input!$I:$I,ROW()-2):INDEX(Daily_Input!$I:$I,ROW())))</f>
        <v>3</v>
      </c>
      <c r="R100" s="5">
        <f>IF(ROW()&lt;=8,"",SUM(INDEX(Daily_Input!$I:$I,ROW()-6):INDEX(Daily_Input!$I:$I,ROW())))</f>
        <v>17.200000000000003</v>
      </c>
      <c r="S100" s="5">
        <f>IF(ROW()&lt;=15,"",SUM(INDEX(Daily_Input!$I:$I,ROW()-13):INDEX(Daily_Input!$I:$I,ROW())))</f>
        <v>52.199999999999996</v>
      </c>
      <c r="T100" s="5">
        <f>IF(ROW()&lt;=4,"",AVERAGE(INDEX(Daily_Input!$F:$F,ROW()-2):INDEX(Daily_Input!$F:$F,ROW())))</f>
        <v>6088.345317462491</v>
      </c>
      <c r="U100" s="5">
        <f>IF(ROW()&lt;=2+0,"",INDEX(Daily_Input!$G:$G,ROW()-1))</f>
        <v>15019.199999999999</v>
      </c>
      <c r="V100" s="5">
        <f>IF(ROW()&lt;=2+0,"",INDEX(Daily_Input!$H:$H,ROW()-1))</f>
        <v>0</v>
      </c>
      <c r="W100" s="5">
        <f>IF(ROW()&lt;=2+1,"",INDEX(Daily_Input!$G:$G,ROW()-2))</f>
        <v>15019.199999999999</v>
      </c>
      <c r="X100" s="5">
        <f>IF(ROW()&lt;=2+1,"",INDEX(Daily_Input!$H:$H,ROW()-2))</f>
        <v>0</v>
      </c>
      <c r="Y100" s="5">
        <f>IF(ROW()&lt;=2+2,"",INDEX(Daily_Input!$G:$G,ROW()-3))</f>
        <v>15019.199999999999</v>
      </c>
      <c r="Z100" s="5">
        <f>IF(ROW()&lt;=2+2,"",INDEX(Daily_Input!$H:$H,ROW()-3))</f>
        <v>0</v>
      </c>
      <c r="AA100" s="5">
        <f>Daily_Input!N100</f>
        <v>7.19</v>
      </c>
      <c r="AB100" s="5">
        <f>Daily_Input!O100</f>
        <v>0.81899999999999995</v>
      </c>
      <c r="AC100" s="5">
        <f>Daily_Input!P100</f>
        <v>2.3860000000000001</v>
      </c>
      <c r="AD100" s="5">
        <f t="shared" si="4"/>
        <v>10.395</v>
      </c>
      <c r="AE100" s="5">
        <f t="shared" si="5"/>
        <v>7.19</v>
      </c>
      <c r="AF100" s="5">
        <f>IF(A100="","",IFERROR(INDEX(Daily_Input!$F:$F,ROW()+1),""))</f>
        <v>17843.03491368231</v>
      </c>
      <c r="AG100" s="5">
        <f>IF(A100="","",IFERROR(INDEX(Daily_Input!$F:$F,ROW()+2),""))</f>
        <v>62279.205948142459</v>
      </c>
      <c r="AH100" s="5">
        <f>IF(A100="","",IFERROR(INDEX(Daily_Input!$F:$F,ROW()+3),""))</f>
        <v>24086.847755427094</v>
      </c>
    </row>
    <row r="101" spans="1:34">
      <c r="A101" s="5">
        <f>Daily_Input!A101</f>
        <v>45938</v>
      </c>
      <c r="B101" s="5">
        <f>Daily_Input!F101</f>
        <v>17843.03491368231</v>
      </c>
      <c r="C101" s="5">
        <f>Daily_Input!D101</f>
        <v>488.75198</v>
      </c>
      <c r="D101" s="5">
        <f>Daily_Input!E101</f>
        <v>1393234.6316031001</v>
      </c>
      <c r="E101" s="5" cm="1">
        <f t="array" ref="E101">IF(ROW()=2,"",INDEX(Daily_Input!$E:$E,ROW())-INDEX(Daily_Input!$E:$E,ROW()-1))</f>
        <v>2897.2917438000441</v>
      </c>
      <c r="F101" s="5">
        <f>IFERROR(Daily_Input!E101/Config!$B$4,"")</f>
        <v>0.85713054128216615</v>
      </c>
      <c r="G101" s="5">
        <f>Daily_Input!I101</f>
        <v>3.8</v>
      </c>
      <c r="H101" s="5">
        <f>IF(A101="","",IF(ROW()=2,G101,Config!$B$5*H100+G101))</f>
        <v>85.265682094774917</v>
      </c>
      <c r="I101" s="5">
        <f t="shared" si="3"/>
        <v>281</v>
      </c>
      <c r="J101" s="5">
        <f>IF(I101="","",SIN(2*PI()*I101/Config!$B$6))</f>
        <v>-0.99222220941793238</v>
      </c>
      <c r="K101" s="5">
        <f>IF(I101="","",COS(2*PI()*I101/Config!$B$6))</f>
        <v>0.12447926388678869</v>
      </c>
      <c r="L101" s="5">
        <f>IF(ROW()&lt;=2+0,"",INDEX(Daily_Input!$F:$F,ROW()-1))</f>
        <v>4452.9563767526815</v>
      </c>
      <c r="M101" s="5">
        <f>IF(ROW()&lt;=2+1,"",INDEX(Daily_Input!$F:$F,ROW()-2))</f>
        <v>4441.7191053469041</v>
      </c>
      <c r="N101" s="5">
        <f>IF(ROW()&lt;=2+2,"",INDEX(Daily_Input!$F:$F,ROW()-3))</f>
        <v>9370.3604702878874</v>
      </c>
      <c r="O101" s="5">
        <f>IF(ROW()&lt;=2+6,"",INDEX(Daily_Input!$F:$F,ROW()-7))</f>
        <v>15817.94020789491</v>
      </c>
      <c r="P101" s="5">
        <f>IF(ROW()&lt;=2+13,"",INDEX(Daily_Input!$F:$F,ROW()-14))</f>
        <v>1525.7634288202905</v>
      </c>
      <c r="Q101" s="5">
        <f>IF(ROW()&lt;=4,"",SUM(INDEX(Daily_Input!$I:$I,ROW()-2):INDEX(Daily_Input!$I:$I,ROW())))</f>
        <v>3.8</v>
      </c>
      <c r="R101" s="5">
        <f>IF(ROW()&lt;=8,"",SUM(INDEX(Daily_Input!$I:$I,ROW()-6):INDEX(Daily_Input!$I:$I,ROW())))</f>
        <v>10.199999999999999</v>
      </c>
      <c r="S101" s="5">
        <f>IF(ROW()&lt;=15,"",SUM(INDEX(Daily_Input!$I:$I,ROW()-13):INDEX(Daily_Input!$I:$I,ROW())))</f>
        <v>55.999999999999993</v>
      </c>
      <c r="T101" s="5">
        <f>IF(ROW()&lt;=4,"",AVERAGE(INDEX(Daily_Input!$F:$F,ROW()-2):INDEX(Daily_Input!$F:$F,ROW())))</f>
        <v>8912.5701319272976</v>
      </c>
      <c r="U101" s="5">
        <f>IF(ROW()&lt;=2+0,"",INDEX(Daily_Input!$G:$G,ROW()-1))</f>
        <v>15019.199999999999</v>
      </c>
      <c r="V101" s="5">
        <f>IF(ROW()&lt;=2+0,"",INDEX(Daily_Input!$H:$H,ROW()-1))</f>
        <v>0</v>
      </c>
      <c r="W101" s="5">
        <f>IF(ROW()&lt;=2+1,"",INDEX(Daily_Input!$G:$G,ROW()-2))</f>
        <v>15019.199999999999</v>
      </c>
      <c r="X101" s="5">
        <f>IF(ROW()&lt;=2+1,"",INDEX(Daily_Input!$H:$H,ROW()-2))</f>
        <v>0</v>
      </c>
      <c r="Y101" s="5">
        <f>IF(ROW()&lt;=2+2,"",INDEX(Daily_Input!$G:$G,ROW()-3))</f>
        <v>15019.199999999999</v>
      </c>
      <c r="Z101" s="5">
        <f>IF(ROW()&lt;=2+2,"",INDEX(Daily_Input!$H:$H,ROW()-3))</f>
        <v>0</v>
      </c>
      <c r="AA101" s="5">
        <f>Daily_Input!N101</f>
        <v>0.81899999999999995</v>
      </c>
      <c r="AB101" s="5">
        <f>Daily_Input!O101</f>
        <v>2.3860000000000001</v>
      </c>
      <c r="AC101" s="5">
        <f>Daily_Input!P101</f>
        <v>1.1839999999999999</v>
      </c>
      <c r="AD101" s="5">
        <f t="shared" si="4"/>
        <v>4.3890000000000002</v>
      </c>
      <c r="AE101" s="5">
        <f t="shared" si="5"/>
        <v>2.3860000000000001</v>
      </c>
      <c r="AF101" s="5">
        <f>IF(A101="","",IFERROR(INDEX(Daily_Input!$F:$F,ROW()+1),""))</f>
        <v>62279.205948142459</v>
      </c>
      <c r="AG101" s="5">
        <f>IF(A101="","",IFERROR(INDEX(Daily_Input!$F:$F,ROW()+2),""))</f>
        <v>24086.847755427094</v>
      </c>
      <c r="AH101" s="5">
        <f>IF(A101="","",IFERROR(INDEX(Daily_Input!$F:$F,ROW()+3),""))</f>
        <v>13139.926765396176</v>
      </c>
    </row>
    <row r="102" spans="1:34">
      <c r="A102" s="5">
        <f>Daily_Input!A102</f>
        <v>45939</v>
      </c>
      <c r="B102" s="5">
        <f>Daily_Input!F102</f>
        <v>62279.205948142459</v>
      </c>
      <c r="C102" s="5">
        <f>Daily_Input!D102</f>
        <v>488.91</v>
      </c>
      <c r="D102" s="5">
        <f>Daily_Input!E102</f>
        <v>1439695.2819463999</v>
      </c>
      <c r="E102" s="5" cm="1">
        <f t="array" ref="E102">IF(ROW()=2,"",INDEX(Daily_Input!$E:$E,ROW())-INDEX(Daily_Input!$E:$E,ROW()-1))</f>
        <v>46460.650343299843</v>
      </c>
      <c r="F102" s="5">
        <f>IFERROR(Daily_Input!E102/Config!$B$4,"")</f>
        <v>0.88571355341362079</v>
      </c>
      <c r="G102" s="5">
        <f>Daily_Input!I102</f>
        <v>0.8</v>
      </c>
      <c r="H102" s="5">
        <f>IF(A102="","",IF(ROW()=2,G102,Config!$B$5*H101+G102))</f>
        <v>81.80239799003617</v>
      </c>
      <c r="I102" s="5">
        <f t="shared" si="3"/>
        <v>282</v>
      </c>
      <c r="J102" s="5">
        <f>IF(I102="","",SIN(2*PI()*I102/Config!$B$6))</f>
        <v>-0.98993249508735304</v>
      </c>
      <c r="K102" s="5">
        <f>IF(I102="","",COS(2*PI()*I102/Config!$B$6))</f>
        <v>0.14154029521704301</v>
      </c>
      <c r="L102" s="5">
        <f>IF(ROW()&lt;=2+0,"",INDEX(Daily_Input!$F:$F,ROW()-1))</f>
        <v>17843.03491368231</v>
      </c>
      <c r="M102" s="5">
        <f>IF(ROW()&lt;=2+1,"",INDEX(Daily_Input!$F:$F,ROW()-2))</f>
        <v>4452.9563767526815</v>
      </c>
      <c r="N102" s="5">
        <f>IF(ROW()&lt;=2+2,"",INDEX(Daily_Input!$F:$F,ROW()-3))</f>
        <v>4441.7191053469041</v>
      </c>
      <c r="O102" s="5">
        <f>IF(ROW()&lt;=2+6,"",INDEX(Daily_Input!$F:$F,ROW()-7))</f>
        <v>6919.1413482762027</v>
      </c>
      <c r="P102" s="5">
        <f>IF(ROW()&lt;=2+13,"",INDEX(Daily_Input!$F:$F,ROW()-14))</f>
        <v>13797.653686861006</v>
      </c>
      <c r="Q102" s="5">
        <f>IF(ROW()&lt;=4,"",SUM(INDEX(Daily_Input!$I:$I,ROW()-2):INDEX(Daily_Input!$I:$I,ROW())))</f>
        <v>4.5999999999999996</v>
      </c>
      <c r="R102" s="5">
        <f>IF(ROW()&lt;=8,"",SUM(INDEX(Daily_Input!$I:$I,ROW()-6):INDEX(Daily_Input!$I:$I,ROW())))</f>
        <v>9.6000000000000014</v>
      </c>
      <c r="S102" s="5">
        <f>IF(ROW()&lt;=15,"",SUM(INDEX(Daily_Input!$I:$I,ROW()-13):INDEX(Daily_Input!$I:$I,ROW())))</f>
        <v>38.799999999999997</v>
      </c>
      <c r="T102" s="5">
        <f>IF(ROW()&lt;=4,"",AVERAGE(INDEX(Daily_Input!$F:$F,ROW()-2):INDEX(Daily_Input!$F:$F,ROW())))</f>
        <v>28191.732412859146</v>
      </c>
      <c r="U102" s="5">
        <f>IF(ROW()&lt;=2+0,"",INDEX(Daily_Input!$G:$G,ROW()-1))</f>
        <v>15019.199999999999</v>
      </c>
      <c r="V102" s="5">
        <f>IF(ROW()&lt;=2+0,"",INDEX(Daily_Input!$H:$H,ROW()-1))</f>
        <v>0</v>
      </c>
      <c r="W102" s="5">
        <f>IF(ROW()&lt;=2+1,"",INDEX(Daily_Input!$G:$G,ROW()-2))</f>
        <v>15019.199999999999</v>
      </c>
      <c r="X102" s="5">
        <f>IF(ROW()&lt;=2+1,"",INDEX(Daily_Input!$H:$H,ROW()-2))</f>
        <v>0</v>
      </c>
      <c r="Y102" s="5">
        <f>IF(ROW()&lt;=2+2,"",INDEX(Daily_Input!$G:$G,ROW()-3))</f>
        <v>15019.199999999999</v>
      </c>
      <c r="Z102" s="5">
        <f>IF(ROW()&lt;=2+2,"",INDEX(Daily_Input!$H:$H,ROW()-3))</f>
        <v>0</v>
      </c>
      <c r="AA102" s="5">
        <f>Daily_Input!N102</f>
        <v>2.3860000000000001</v>
      </c>
      <c r="AB102" s="5">
        <f>Daily_Input!O102</f>
        <v>1.1839999999999999</v>
      </c>
      <c r="AC102" s="5">
        <f>Daily_Input!P102</f>
        <v>11.846</v>
      </c>
      <c r="AD102" s="5">
        <f t="shared" si="4"/>
        <v>15.416</v>
      </c>
      <c r="AE102" s="5">
        <f t="shared" si="5"/>
        <v>11.846</v>
      </c>
      <c r="AF102" s="5">
        <f>IF(A102="","",IFERROR(INDEX(Daily_Input!$F:$F,ROW()+1),""))</f>
        <v>24086.847755427094</v>
      </c>
      <c r="AG102" s="5">
        <f>IF(A102="","",IFERROR(INDEX(Daily_Input!$F:$F,ROW()+2),""))</f>
        <v>13139.926765396176</v>
      </c>
      <c r="AH102" s="5">
        <f>IF(A102="","",IFERROR(INDEX(Daily_Input!$F:$F,ROW()+3),""))</f>
        <v>10229.760917854082</v>
      </c>
    </row>
    <row r="103" spans="1:34">
      <c r="A103" s="5">
        <f>Daily_Input!A103</f>
        <v>45940</v>
      </c>
      <c r="B103" s="5">
        <f>Daily_Input!F103</f>
        <v>24086.847755427094</v>
      </c>
      <c r="C103" s="5">
        <f>Daily_Input!D103</f>
        <v>488.94299999999998</v>
      </c>
      <c r="D103" s="5">
        <f>Daily_Input!E103</f>
        <v>1448428.8738585</v>
      </c>
      <c r="E103" s="5" cm="1">
        <f t="array" ref="E103">IF(ROW()=2,"",INDEX(Daily_Input!$E:$E,ROW())-INDEX(Daily_Input!$E:$E,ROW()-1))</f>
        <v>8733.5919121000916</v>
      </c>
      <c r="F103" s="5">
        <f>IFERROR(Daily_Input!E103/Config!$B$4,"")</f>
        <v>0.89108653811637861</v>
      </c>
      <c r="G103" s="5">
        <f>Daily_Input!I103</f>
        <v>2.4</v>
      </c>
      <c r="H103" s="5">
        <f>IF(A103="","",IF(ROW()=2,G103,Config!$B$5*H102+G103))</f>
        <v>80.11227809053436</v>
      </c>
      <c r="I103" s="5">
        <f t="shared" si="3"/>
        <v>283</v>
      </c>
      <c r="J103" s="5">
        <f>IF(I103="","",SIN(2*PI()*I103/Config!$B$6))</f>
        <v>-0.98734944239398637</v>
      </c>
      <c r="K103" s="5">
        <f>IF(I103="","",COS(2*PI()*I103/Config!$B$6))</f>
        <v>0.15855938510313475</v>
      </c>
      <c r="L103" s="5">
        <f>IF(ROW()&lt;=2+0,"",INDEX(Daily_Input!$F:$F,ROW()-1))</f>
        <v>62279.205948142459</v>
      </c>
      <c r="M103" s="5">
        <f>IF(ROW()&lt;=2+1,"",INDEX(Daily_Input!$F:$F,ROW()-2))</f>
        <v>17843.03491368231</v>
      </c>
      <c r="N103" s="5">
        <f>IF(ROW()&lt;=2+2,"",INDEX(Daily_Input!$F:$F,ROW()-3))</f>
        <v>4452.9563767526815</v>
      </c>
      <c r="O103" s="5">
        <f>IF(ROW()&lt;=2+6,"",INDEX(Daily_Input!$F:$F,ROW()-7))</f>
        <v>13143.437283754383</v>
      </c>
      <c r="P103" s="5">
        <f>IF(ROW()&lt;=2+13,"",INDEX(Daily_Input!$F:$F,ROW()-14))</f>
        <v>7375.9657542117529</v>
      </c>
      <c r="Q103" s="5">
        <f>IF(ROW()&lt;=4,"",SUM(INDEX(Daily_Input!$I:$I,ROW()-2):INDEX(Daily_Input!$I:$I,ROW())))</f>
        <v>7</v>
      </c>
      <c r="R103" s="5">
        <f>IF(ROW()&lt;=8,"",SUM(INDEX(Daily_Input!$I:$I,ROW()-6):INDEX(Daily_Input!$I:$I,ROW())))</f>
        <v>12.000000000000002</v>
      </c>
      <c r="S103" s="5">
        <f>IF(ROW()&lt;=15,"",SUM(INDEX(Daily_Input!$I:$I,ROW()-13):INDEX(Daily_Input!$I:$I,ROW())))</f>
        <v>41.199999999999996</v>
      </c>
      <c r="T103" s="5">
        <f>IF(ROW()&lt;=4,"",AVERAGE(INDEX(Daily_Input!$F:$F,ROW()-2):INDEX(Daily_Input!$F:$F,ROW())))</f>
        <v>34736.362872417289</v>
      </c>
      <c r="U103" s="5">
        <f>IF(ROW()&lt;=2+0,"",INDEX(Daily_Input!$G:$G,ROW()-1))</f>
        <v>15019.199999999999</v>
      </c>
      <c r="V103" s="5">
        <f>IF(ROW()&lt;=2+0,"",INDEX(Daily_Input!$H:$H,ROW()-1))</f>
        <v>0</v>
      </c>
      <c r="W103" s="5">
        <f>IF(ROW()&lt;=2+1,"",INDEX(Daily_Input!$G:$G,ROW()-2))</f>
        <v>15019.199999999999</v>
      </c>
      <c r="X103" s="5">
        <f>IF(ROW()&lt;=2+1,"",INDEX(Daily_Input!$H:$H,ROW()-2))</f>
        <v>0</v>
      </c>
      <c r="Y103" s="5">
        <f>IF(ROW()&lt;=2+2,"",INDEX(Daily_Input!$G:$G,ROW()-3))</f>
        <v>15019.199999999999</v>
      </c>
      <c r="Z103" s="5">
        <f>IF(ROW()&lt;=2+2,"",INDEX(Daily_Input!$H:$H,ROW()-3))</f>
        <v>0</v>
      </c>
      <c r="AA103" s="5">
        <f>Daily_Input!N103</f>
        <v>1.1839999999999999</v>
      </c>
      <c r="AB103" s="5">
        <f>Daily_Input!O103</f>
        <v>11.846</v>
      </c>
      <c r="AC103" s="5">
        <f>Daily_Input!P103</f>
        <v>5.1669999999999998</v>
      </c>
      <c r="AD103" s="5">
        <f t="shared" si="4"/>
        <v>18.196999999999999</v>
      </c>
      <c r="AE103" s="5">
        <f t="shared" si="5"/>
        <v>11.846</v>
      </c>
      <c r="AF103" s="5">
        <f>IF(A103="","",IFERROR(INDEX(Daily_Input!$F:$F,ROW()+1),""))</f>
        <v>13139.926765396176</v>
      </c>
      <c r="AG103" s="5">
        <f>IF(A103="","",IFERROR(INDEX(Daily_Input!$F:$F,ROW()+2),""))</f>
        <v>10229.760917854082</v>
      </c>
      <c r="AH103" s="5">
        <f>IF(A103="","",IFERROR(INDEX(Daily_Input!$F:$F,ROW()+3),""))</f>
        <v>10232.383184925226</v>
      </c>
    </row>
    <row r="104" spans="1:34">
      <c r="A104" s="5">
        <f>Daily_Input!A104</f>
        <v>45941</v>
      </c>
      <c r="B104" s="5">
        <f>Daily_Input!F104</f>
        <v>13139.926765396176</v>
      </c>
      <c r="C104" s="5">
        <f>Daily_Input!D104</f>
        <v>488.93599999999998</v>
      </c>
      <c r="D104" s="5">
        <f>Daily_Input!E104</f>
        <v>1445516.8740723</v>
      </c>
      <c r="E104" s="5" cm="1">
        <f t="array" ref="E104">IF(ROW()=2,"",INDEX(Daily_Input!$E:$E,ROW())-INDEX(Daily_Input!$E:$E,ROW()-1))</f>
        <v>-2911.9997862000018</v>
      </c>
      <c r="F104" s="5">
        <f>IFERROR(Daily_Input!E104/Config!$B$4,"")</f>
        <v>0.88929504952117533</v>
      </c>
      <c r="G104" s="5">
        <f>Daily_Input!I104</f>
        <v>0</v>
      </c>
      <c r="H104" s="5">
        <f>IF(A104="","",IF(ROW()=2,G104,Config!$B$5*H103+G104))</f>
        <v>76.106664186007634</v>
      </c>
      <c r="I104" s="5">
        <f t="shared" si="3"/>
        <v>284</v>
      </c>
      <c r="J104" s="5">
        <f>IF(I104="","",SIN(2*PI()*I104/Config!$B$6))</f>
        <v>-0.98447381675209233</v>
      </c>
      <c r="K104" s="5">
        <f>IF(I104="","",COS(2*PI()*I104/Config!$B$6))</f>
        <v>0.17553149042142777</v>
      </c>
      <c r="L104" s="5">
        <f>IF(ROW()&lt;=2+0,"",INDEX(Daily_Input!$F:$F,ROW()-1))</f>
        <v>24086.847755427094</v>
      </c>
      <c r="M104" s="5">
        <f>IF(ROW()&lt;=2+1,"",INDEX(Daily_Input!$F:$F,ROW()-2))</f>
        <v>62279.205948142459</v>
      </c>
      <c r="N104" s="5">
        <f>IF(ROW()&lt;=2+2,"",INDEX(Daily_Input!$F:$F,ROW()-3))</f>
        <v>17843.03491368231</v>
      </c>
      <c r="O104" s="5">
        <f>IF(ROW()&lt;=2+6,"",INDEX(Daily_Input!$F:$F,ROW()-7))</f>
        <v>9657.860847183736</v>
      </c>
      <c r="P104" s="5">
        <f>IF(ROW()&lt;=2+13,"",INDEX(Daily_Input!$F:$F,ROW()-14))</f>
        <v>7382.3171617782627</v>
      </c>
      <c r="Q104" s="5">
        <f>IF(ROW()&lt;=4,"",SUM(INDEX(Daily_Input!$I:$I,ROW()-2):INDEX(Daily_Input!$I:$I,ROW())))</f>
        <v>3.2</v>
      </c>
      <c r="R104" s="5">
        <f>IF(ROW()&lt;=8,"",SUM(INDEX(Daily_Input!$I:$I,ROW()-6):INDEX(Daily_Input!$I:$I,ROW())))</f>
        <v>10</v>
      </c>
      <c r="S104" s="5">
        <f>IF(ROW()&lt;=15,"",SUM(INDEX(Daily_Input!$I:$I,ROW()-13):INDEX(Daily_Input!$I:$I,ROW())))</f>
        <v>41.199999999999996</v>
      </c>
      <c r="T104" s="5">
        <f>IF(ROW()&lt;=4,"",AVERAGE(INDEX(Daily_Input!$F:$F,ROW()-2):INDEX(Daily_Input!$F:$F,ROW())))</f>
        <v>33168.660156321908</v>
      </c>
      <c r="U104" s="5">
        <f>IF(ROW()&lt;=2+0,"",INDEX(Daily_Input!$G:$G,ROW()-1))</f>
        <v>15019.199999999999</v>
      </c>
      <c r="V104" s="5">
        <f>IF(ROW()&lt;=2+0,"",INDEX(Daily_Input!$H:$H,ROW()-1))</f>
        <v>0</v>
      </c>
      <c r="W104" s="5">
        <f>IF(ROW()&lt;=2+1,"",INDEX(Daily_Input!$G:$G,ROW()-2))</f>
        <v>15019.199999999999</v>
      </c>
      <c r="X104" s="5">
        <f>IF(ROW()&lt;=2+1,"",INDEX(Daily_Input!$H:$H,ROW()-2))</f>
        <v>0</v>
      </c>
      <c r="Y104" s="5">
        <f>IF(ROW()&lt;=2+2,"",INDEX(Daily_Input!$G:$G,ROW()-3))</f>
        <v>15019.199999999999</v>
      </c>
      <c r="Z104" s="5">
        <f>IF(ROW()&lt;=2+2,"",INDEX(Daily_Input!$H:$H,ROW()-3))</f>
        <v>0</v>
      </c>
      <c r="AA104" s="5">
        <f>Daily_Input!N104</f>
        <v>11.846</v>
      </c>
      <c r="AB104" s="5">
        <f>Daily_Input!O104</f>
        <v>5.1669999999999998</v>
      </c>
      <c r="AC104" s="5">
        <f>Daily_Input!P104</f>
        <v>0.60699999999999998</v>
      </c>
      <c r="AD104" s="5">
        <f t="shared" si="4"/>
        <v>17.619999999999997</v>
      </c>
      <c r="AE104" s="5">
        <f t="shared" si="5"/>
        <v>11.846</v>
      </c>
      <c r="AF104" s="5">
        <f>IF(A104="","",IFERROR(INDEX(Daily_Input!$F:$F,ROW()+1),""))</f>
        <v>10229.760917854082</v>
      </c>
      <c r="AG104" s="5">
        <f>IF(A104="","",IFERROR(INDEX(Daily_Input!$F:$F,ROW()+2),""))</f>
        <v>10232.383184925226</v>
      </c>
      <c r="AH104" s="5">
        <f>IF(A104="","",IFERROR(INDEX(Daily_Input!$F:$F,ROW()+3),""))</f>
        <v>9595.3837436983231</v>
      </c>
    </row>
    <row r="105" spans="1:34">
      <c r="A105" s="5">
        <f>Daily_Input!A105</f>
        <v>45942</v>
      </c>
      <c r="B105" s="5">
        <f>Daily_Input!F105</f>
        <v>10229.760917854082</v>
      </c>
      <c r="C105" s="5">
        <f>Daily_Input!D105</f>
        <v>488.91699999999997</v>
      </c>
      <c r="D105" s="5">
        <f>Daily_Input!E105</f>
        <v>1439695.2819463999</v>
      </c>
      <c r="E105" s="5" cm="1">
        <f t="array" ref="E105">IF(ROW()=2,"",INDEX(Daily_Input!$E:$E,ROW())-INDEX(Daily_Input!$E:$E,ROW()-1))</f>
        <v>-5821.5921259000897</v>
      </c>
      <c r="F105" s="5">
        <f>IFERROR(Daily_Input!E105/Config!$B$4,"")</f>
        <v>0.88571355341362079</v>
      </c>
      <c r="G105" s="5">
        <f>Daily_Input!I105</f>
        <v>0</v>
      </c>
      <c r="H105" s="5">
        <f>IF(A105="","",IF(ROW()=2,G105,Config!$B$5*H104+G105))</f>
        <v>72.301330976707249</v>
      </c>
      <c r="I105" s="5">
        <f t="shared" si="3"/>
        <v>285</v>
      </c>
      <c r="J105" s="5">
        <f>IF(I105="","",SIN(2*PI()*I105/Config!$B$6))</f>
        <v>-0.98130647027160933</v>
      </c>
      <c r="K105" s="5">
        <f>IF(I105="","",COS(2*PI()*I105/Config!$B$6))</f>
        <v>0.19245158197082995</v>
      </c>
      <c r="L105" s="5">
        <f>IF(ROW()&lt;=2+0,"",INDEX(Daily_Input!$F:$F,ROW()-1))</f>
        <v>13139.926765396176</v>
      </c>
      <c r="M105" s="5">
        <f>IF(ROW()&lt;=2+1,"",INDEX(Daily_Input!$F:$F,ROW()-2))</f>
        <v>24086.847755427094</v>
      </c>
      <c r="N105" s="5">
        <f>IF(ROW()&lt;=2+2,"",INDEX(Daily_Input!$F:$F,ROW()-3))</f>
        <v>62279.205948142459</v>
      </c>
      <c r="O105" s="5">
        <f>IF(ROW()&lt;=2+6,"",INDEX(Daily_Input!$F:$F,ROW()-7))</f>
        <v>9370.3604702878874</v>
      </c>
      <c r="P105" s="5">
        <f>IF(ROW()&lt;=2+13,"",INDEX(Daily_Input!$F:$F,ROW()-14))</f>
        <v>7097.3228930266096</v>
      </c>
      <c r="Q105" s="5">
        <f>IF(ROW()&lt;=4,"",SUM(INDEX(Daily_Input!$I:$I,ROW()-2):INDEX(Daily_Input!$I:$I,ROW())))</f>
        <v>2.4</v>
      </c>
      <c r="R105" s="5">
        <f>IF(ROW()&lt;=8,"",SUM(INDEX(Daily_Input!$I:$I,ROW()-6):INDEX(Daily_Input!$I:$I,ROW())))</f>
        <v>7</v>
      </c>
      <c r="S105" s="5">
        <f>IF(ROW()&lt;=15,"",SUM(INDEX(Daily_Input!$I:$I,ROW()-13):INDEX(Daily_Input!$I:$I,ROW())))</f>
        <v>40.199999999999996</v>
      </c>
      <c r="T105" s="5">
        <f>IF(ROW()&lt;=4,"",AVERAGE(INDEX(Daily_Input!$F:$F,ROW()-2):INDEX(Daily_Input!$F:$F,ROW())))</f>
        <v>15818.845146225782</v>
      </c>
      <c r="U105" s="5">
        <f>IF(ROW()&lt;=2+0,"",INDEX(Daily_Input!$G:$G,ROW()-1))</f>
        <v>15019.199999999999</v>
      </c>
      <c r="V105" s="5">
        <f>IF(ROW()&lt;=2+0,"",INDEX(Daily_Input!$H:$H,ROW()-1))</f>
        <v>0</v>
      </c>
      <c r="W105" s="5">
        <f>IF(ROW()&lt;=2+1,"",INDEX(Daily_Input!$G:$G,ROW()-2))</f>
        <v>15019.199999999999</v>
      </c>
      <c r="X105" s="5">
        <f>IF(ROW()&lt;=2+1,"",INDEX(Daily_Input!$H:$H,ROW()-2))</f>
        <v>0</v>
      </c>
      <c r="Y105" s="5">
        <f>IF(ROW()&lt;=2+2,"",INDEX(Daily_Input!$G:$G,ROW()-3))</f>
        <v>15019.199999999999</v>
      </c>
      <c r="Z105" s="5">
        <f>IF(ROW()&lt;=2+2,"",INDEX(Daily_Input!$H:$H,ROW()-3))</f>
        <v>0</v>
      </c>
      <c r="AA105" s="5">
        <f>Daily_Input!N105</f>
        <v>5.1669999999999998</v>
      </c>
      <c r="AB105" s="5">
        <f>Daily_Input!O105</f>
        <v>0.60699999999999998</v>
      </c>
      <c r="AC105" s="5">
        <f>Daily_Input!P105</f>
        <v>0.8</v>
      </c>
      <c r="AD105" s="5">
        <f t="shared" si="4"/>
        <v>6.5739999999999998</v>
      </c>
      <c r="AE105" s="5">
        <f t="shared" si="5"/>
        <v>5.1669999999999998</v>
      </c>
      <c r="AF105" s="5">
        <f>IF(A105="","",IFERROR(INDEX(Daily_Input!$F:$F,ROW()+1),""))</f>
        <v>10232.383184925226</v>
      </c>
      <c r="AG105" s="5">
        <f>IF(A105="","",IFERROR(INDEX(Daily_Input!$F:$F,ROW()+2),""))</f>
        <v>9595.3837436983231</v>
      </c>
      <c r="AH105" s="5">
        <f>IF(A105="","",IFERROR(INDEX(Daily_Input!$F:$F,ROW()+3),""))</f>
        <v>41838.353770982081</v>
      </c>
    </row>
    <row r="106" spans="1:34">
      <c r="A106" s="5">
        <f>Daily_Input!A106</f>
        <v>45943</v>
      </c>
      <c r="B106" s="5">
        <f>Daily_Input!F106</f>
        <v>10232.383184925226</v>
      </c>
      <c r="C106" s="5">
        <f>Daily_Input!D106</f>
        <v>488.89100000000002</v>
      </c>
      <c r="D106" s="5">
        <f>Daily_Input!E106</f>
        <v>1433876.8830075001</v>
      </c>
      <c r="E106" s="5" cm="1">
        <f t="array" ref="E106">IF(ROW()=2,"",INDEX(Daily_Input!$E:$E,ROW())-INDEX(Daily_Input!$E:$E,ROW()-1))</f>
        <v>-5818.3989388998598</v>
      </c>
      <c r="F106" s="5">
        <f>IFERROR(Daily_Input!E106/Config!$B$4,"")</f>
        <v>0.88213402178357758</v>
      </c>
      <c r="G106" s="5">
        <f>Daily_Input!I106</f>
        <v>0</v>
      </c>
      <c r="H106" s="5">
        <f>IF(A106="","",IF(ROW()=2,G106,Config!$B$5*H105+G106))</f>
        <v>68.686264427871876</v>
      </c>
      <c r="I106" s="5">
        <f t="shared" si="3"/>
        <v>286</v>
      </c>
      <c r="J106" s="5">
        <f>IF(I106="","",SIN(2*PI()*I106/Config!$B$6))</f>
        <v>-0.9778483415056568</v>
      </c>
      <c r="K106" s="5">
        <f>IF(I106="","",COS(2*PI()*I106/Config!$B$6))</f>
        <v>0.20931464596304888</v>
      </c>
      <c r="L106" s="5">
        <f>IF(ROW()&lt;=2+0,"",INDEX(Daily_Input!$F:$F,ROW()-1))</f>
        <v>10229.760917854082</v>
      </c>
      <c r="M106" s="5">
        <f>IF(ROW()&lt;=2+1,"",INDEX(Daily_Input!$F:$F,ROW()-2))</f>
        <v>13139.926765396176</v>
      </c>
      <c r="N106" s="5">
        <f>IF(ROW()&lt;=2+2,"",INDEX(Daily_Input!$F:$F,ROW()-3))</f>
        <v>24086.847755427094</v>
      </c>
      <c r="O106" s="5">
        <f>IF(ROW()&lt;=2+6,"",INDEX(Daily_Input!$F:$F,ROW()-7))</f>
        <v>4441.7191053469041</v>
      </c>
      <c r="P106" s="5">
        <f>IF(ROW()&lt;=2+13,"",INDEX(Daily_Input!$F:$F,ROW()-14))</f>
        <v>4484.044160908431</v>
      </c>
      <c r="Q106" s="5">
        <f>IF(ROW()&lt;=4,"",SUM(INDEX(Daily_Input!$I:$I,ROW()-2):INDEX(Daily_Input!$I:$I,ROW())))</f>
        <v>0</v>
      </c>
      <c r="R106" s="5">
        <f>IF(ROW()&lt;=8,"",SUM(INDEX(Daily_Input!$I:$I,ROW()-6):INDEX(Daily_Input!$I:$I,ROW())))</f>
        <v>7</v>
      </c>
      <c r="S106" s="5">
        <f>IF(ROW()&lt;=15,"",SUM(INDEX(Daily_Input!$I:$I,ROW()-13):INDEX(Daily_Input!$I:$I,ROW())))</f>
        <v>40.199999999999996</v>
      </c>
      <c r="T106" s="5">
        <f>IF(ROW()&lt;=4,"",AVERAGE(INDEX(Daily_Input!$F:$F,ROW()-2):INDEX(Daily_Input!$F:$F,ROW())))</f>
        <v>11200.690289391829</v>
      </c>
      <c r="U106" s="5">
        <f>IF(ROW()&lt;=2+0,"",INDEX(Daily_Input!$G:$G,ROW()-1))</f>
        <v>15019.199999999999</v>
      </c>
      <c r="V106" s="5">
        <f>IF(ROW()&lt;=2+0,"",INDEX(Daily_Input!$H:$H,ROW()-1))</f>
        <v>0</v>
      </c>
      <c r="W106" s="5">
        <f>IF(ROW()&lt;=2+1,"",INDEX(Daily_Input!$G:$G,ROW()-2))</f>
        <v>15019.199999999999</v>
      </c>
      <c r="X106" s="5">
        <f>IF(ROW()&lt;=2+1,"",INDEX(Daily_Input!$H:$H,ROW()-2))</f>
        <v>0</v>
      </c>
      <c r="Y106" s="5">
        <f>IF(ROW()&lt;=2+2,"",INDEX(Daily_Input!$G:$G,ROW()-3))</f>
        <v>15019.199999999999</v>
      </c>
      <c r="Z106" s="5">
        <f>IF(ROW()&lt;=2+2,"",INDEX(Daily_Input!$H:$H,ROW()-3))</f>
        <v>0</v>
      </c>
      <c r="AA106" s="5">
        <f>Daily_Input!N106</f>
        <v>0.60699999999999998</v>
      </c>
      <c r="AB106" s="5">
        <f>Daily_Input!O106</f>
        <v>0.8</v>
      </c>
      <c r="AC106" s="5">
        <f>Daily_Input!P106</f>
        <v>6.9999999999999999E-4</v>
      </c>
      <c r="AD106" s="5">
        <f t="shared" si="4"/>
        <v>1.4077</v>
      </c>
      <c r="AE106" s="5">
        <f t="shared" si="5"/>
        <v>0.8</v>
      </c>
      <c r="AF106" s="5">
        <f>IF(A106="","",IFERROR(INDEX(Daily_Input!$F:$F,ROW()+1),""))</f>
        <v>9595.3837436983231</v>
      </c>
      <c r="AG106" s="5">
        <f>IF(A106="","",IFERROR(INDEX(Daily_Input!$F:$F,ROW()+2),""))</f>
        <v>41838.353770982081</v>
      </c>
      <c r="AH106" s="5">
        <f>IF(A106="","",IFERROR(INDEX(Daily_Input!$F:$F,ROW()+3),""))</f>
        <v>42136.963545253326</v>
      </c>
    </row>
    <row r="107" spans="1:34">
      <c r="A107" s="5">
        <f>Daily_Input!A107</f>
        <v>45944</v>
      </c>
      <c r="B107" s="5">
        <f>Daily_Input!F107</f>
        <v>9595.3837436983231</v>
      </c>
      <c r="C107" s="5">
        <f>Daily_Input!D107</f>
        <v>488.87200000000001</v>
      </c>
      <c r="D107" s="5">
        <f>Daily_Input!E107</f>
        <v>1428061.5598544001</v>
      </c>
      <c r="E107" s="5" cm="1">
        <f t="array" ref="E107">IF(ROW()=2,"",INDEX(Daily_Input!$E:$E,ROW())-INDEX(Daily_Input!$E:$E,ROW()-1))</f>
        <v>-5815.3231530999765</v>
      </c>
      <c r="F107" s="5">
        <f>IFERROR(Daily_Input!E107/Config!$B$4,"")</f>
        <v>0.87855638240476608</v>
      </c>
      <c r="G107" s="5">
        <f>Daily_Input!I107</f>
        <v>2.2000000000000002</v>
      </c>
      <c r="H107" s="5">
        <f>IF(A107="","",IF(ROW()=2,G107,Config!$B$5*H106+G107))</f>
        <v>67.451951206478284</v>
      </c>
      <c r="I107" s="5">
        <f t="shared" si="3"/>
        <v>287</v>
      </c>
      <c r="J107" s="5">
        <f>IF(I107="","",SIN(2*PI()*I107/Config!$B$6))</f>
        <v>-0.97410045517242061</v>
      </c>
      <c r="K107" s="5">
        <f>IF(I107="","",COS(2*PI()*I107/Config!$B$6))</f>
        <v>0.22611568550828803</v>
      </c>
      <c r="L107" s="5">
        <f>IF(ROW()&lt;=2+0,"",INDEX(Daily_Input!$F:$F,ROW()-1))</f>
        <v>10232.383184925226</v>
      </c>
      <c r="M107" s="5">
        <f>IF(ROW()&lt;=2+1,"",INDEX(Daily_Input!$F:$F,ROW()-2))</f>
        <v>10229.760917854082</v>
      </c>
      <c r="N107" s="5">
        <f>IF(ROW()&lt;=2+2,"",INDEX(Daily_Input!$F:$F,ROW()-3))</f>
        <v>13139.926765396176</v>
      </c>
      <c r="O107" s="5">
        <f>IF(ROW()&lt;=2+6,"",INDEX(Daily_Input!$F:$F,ROW()-7))</f>
        <v>4452.9563767526815</v>
      </c>
      <c r="P107" s="5">
        <f>IF(ROW()&lt;=2+13,"",INDEX(Daily_Input!$F:$F,ROW()-14))</f>
        <v>5657.864205080682</v>
      </c>
      <c r="Q107" s="5">
        <f>IF(ROW()&lt;=4,"",SUM(INDEX(Daily_Input!$I:$I,ROW()-2):INDEX(Daily_Input!$I:$I,ROW())))</f>
        <v>2.2000000000000002</v>
      </c>
      <c r="R107" s="5">
        <f>IF(ROW()&lt;=8,"",SUM(INDEX(Daily_Input!$I:$I,ROW()-6):INDEX(Daily_Input!$I:$I,ROW())))</f>
        <v>9.1999999999999993</v>
      </c>
      <c r="S107" s="5">
        <f>IF(ROW()&lt;=15,"",SUM(INDEX(Daily_Input!$I:$I,ROW()-13):INDEX(Daily_Input!$I:$I,ROW())))</f>
        <v>26.400000000000002</v>
      </c>
      <c r="T107" s="5">
        <f>IF(ROW()&lt;=4,"",AVERAGE(INDEX(Daily_Input!$F:$F,ROW()-2):INDEX(Daily_Input!$F:$F,ROW())))</f>
        <v>10019.175948825878</v>
      </c>
      <c r="U107" s="5">
        <f>IF(ROW()&lt;=2+0,"",INDEX(Daily_Input!$G:$G,ROW()-1))</f>
        <v>15019.199999999999</v>
      </c>
      <c r="V107" s="5">
        <f>IF(ROW()&lt;=2+0,"",INDEX(Daily_Input!$H:$H,ROW()-1))</f>
        <v>0</v>
      </c>
      <c r="W107" s="5">
        <f>IF(ROW()&lt;=2+1,"",INDEX(Daily_Input!$G:$G,ROW()-2))</f>
        <v>15019.199999999999</v>
      </c>
      <c r="X107" s="5">
        <f>IF(ROW()&lt;=2+1,"",INDEX(Daily_Input!$H:$H,ROW()-2))</f>
        <v>0</v>
      </c>
      <c r="Y107" s="5">
        <f>IF(ROW()&lt;=2+2,"",INDEX(Daily_Input!$G:$G,ROW()-3))</f>
        <v>15019.199999999999</v>
      </c>
      <c r="Z107" s="5">
        <f>IF(ROW()&lt;=2+2,"",INDEX(Daily_Input!$H:$H,ROW()-3))</f>
        <v>0</v>
      </c>
      <c r="AA107" s="5">
        <f>Daily_Input!N107</f>
        <v>0.8</v>
      </c>
      <c r="AB107" s="5">
        <f>Daily_Input!O107</f>
        <v>6.9999999999999999E-4</v>
      </c>
      <c r="AC107" s="5">
        <f>Daily_Input!P107</f>
        <v>0</v>
      </c>
      <c r="AD107" s="5">
        <f t="shared" si="4"/>
        <v>0.80070000000000008</v>
      </c>
      <c r="AE107" s="5">
        <f t="shared" si="5"/>
        <v>0.8</v>
      </c>
      <c r="AF107" s="5">
        <f>IF(A107="","",IFERROR(INDEX(Daily_Input!$F:$F,ROW()+1),""))</f>
        <v>41838.353770982081</v>
      </c>
      <c r="AG107" s="5">
        <f>IF(A107="","",IFERROR(INDEX(Daily_Input!$F:$F,ROW()+2),""))</f>
        <v>42136.963545253326</v>
      </c>
      <c r="AH107" s="5">
        <f>IF(A107="","",IFERROR(INDEX(Daily_Input!$F:$F,ROW()+3),""))</f>
        <v>73149.231376409327</v>
      </c>
    </row>
    <row r="108" spans="1:34">
      <c r="A108" s="5">
        <f>Daily_Input!A108</f>
        <v>45945</v>
      </c>
      <c r="B108" s="5">
        <f>Daily_Input!F108</f>
        <v>41838.353770982081</v>
      </c>
      <c r="C108" s="5">
        <f>Daily_Input!D108</f>
        <v>488.96100000000001</v>
      </c>
      <c r="D108" s="5">
        <f>Daily_Input!E108</f>
        <v>1454255.0691730001</v>
      </c>
      <c r="E108" s="5" cm="1">
        <f t="array" ref="E108">IF(ROW()=2,"",INDEX(Daily_Input!$E:$E,ROW())-INDEX(Daily_Input!$E:$E,ROW()-1))</f>
        <v>26193.509318599943</v>
      </c>
      <c r="F108" s="5">
        <f>IFERROR(Daily_Input!E108/Config!$B$4,"")</f>
        <v>0.89467086614717628</v>
      </c>
      <c r="G108" s="5">
        <f>Daily_Input!I108</f>
        <v>1.4</v>
      </c>
      <c r="H108" s="5">
        <f>IF(A108="","",IF(ROW()=2,G108,Config!$B$5*H107+G108))</f>
        <v>65.479353646154379</v>
      </c>
      <c r="I108" s="5">
        <f t="shared" si="3"/>
        <v>288</v>
      </c>
      <c r="J108" s="5">
        <f>IF(I108="","",SIN(2*PI()*I108/Config!$B$6))</f>
        <v>-0.97006392185150703</v>
      </c>
      <c r="K108" s="5">
        <f>IF(I108="","",COS(2*PI()*I108/Config!$B$6))</f>
        <v>0.2428497220959358</v>
      </c>
      <c r="L108" s="5">
        <f>IF(ROW()&lt;=2+0,"",INDEX(Daily_Input!$F:$F,ROW()-1))</f>
        <v>9595.3837436983231</v>
      </c>
      <c r="M108" s="5">
        <f>IF(ROW()&lt;=2+1,"",INDEX(Daily_Input!$F:$F,ROW()-2))</f>
        <v>10232.383184925226</v>
      </c>
      <c r="N108" s="5">
        <f>IF(ROW()&lt;=2+2,"",INDEX(Daily_Input!$F:$F,ROW()-3))</f>
        <v>10229.760917854082</v>
      </c>
      <c r="O108" s="5">
        <f>IF(ROW()&lt;=2+6,"",INDEX(Daily_Input!$F:$F,ROW()-7))</f>
        <v>17843.03491368231</v>
      </c>
      <c r="P108" s="5">
        <f>IF(ROW()&lt;=2+13,"",INDEX(Daily_Input!$F:$F,ROW()-14))</f>
        <v>15817.94020789491</v>
      </c>
      <c r="Q108" s="5">
        <f>IF(ROW()&lt;=4,"",SUM(INDEX(Daily_Input!$I:$I,ROW()-2):INDEX(Daily_Input!$I:$I,ROW())))</f>
        <v>3.6</v>
      </c>
      <c r="R108" s="5">
        <f>IF(ROW()&lt;=8,"",SUM(INDEX(Daily_Input!$I:$I,ROW()-6):INDEX(Daily_Input!$I:$I,ROW())))</f>
        <v>6.8000000000000007</v>
      </c>
      <c r="S108" s="5">
        <f>IF(ROW()&lt;=15,"",SUM(INDEX(Daily_Input!$I:$I,ROW()-13):INDEX(Daily_Input!$I:$I,ROW())))</f>
        <v>17</v>
      </c>
      <c r="T108" s="5">
        <f>IF(ROW()&lt;=4,"",AVERAGE(INDEX(Daily_Input!$F:$F,ROW()-2):INDEX(Daily_Input!$F:$F,ROW())))</f>
        <v>20555.373566535211</v>
      </c>
      <c r="U108" s="5">
        <f>IF(ROW()&lt;=2+0,"",INDEX(Daily_Input!$G:$G,ROW()-1))</f>
        <v>15019.199999999999</v>
      </c>
      <c r="V108" s="5">
        <f>IF(ROW()&lt;=2+0,"",INDEX(Daily_Input!$H:$H,ROW()-1))</f>
        <v>0</v>
      </c>
      <c r="W108" s="5">
        <f>IF(ROW()&lt;=2+1,"",INDEX(Daily_Input!$G:$G,ROW()-2))</f>
        <v>15019.199999999999</v>
      </c>
      <c r="X108" s="5">
        <f>IF(ROW()&lt;=2+1,"",INDEX(Daily_Input!$H:$H,ROW()-2))</f>
        <v>0</v>
      </c>
      <c r="Y108" s="5">
        <f>IF(ROW()&lt;=2+2,"",INDEX(Daily_Input!$G:$G,ROW()-3))</f>
        <v>15019.199999999999</v>
      </c>
      <c r="Z108" s="5">
        <f>IF(ROW()&lt;=2+2,"",INDEX(Daily_Input!$H:$H,ROW()-3))</f>
        <v>0</v>
      </c>
      <c r="AA108" s="5">
        <f>Daily_Input!N108</f>
        <v>6.9999999999999999E-4</v>
      </c>
      <c r="AB108" s="5">
        <f>Daily_Input!O108</f>
        <v>0</v>
      </c>
      <c r="AC108" s="5">
        <f>Daily_Input!P108</f>
        <v>0</v>
      </c>
      <c r="AD108" s="5">
        <f t="shared" si="4"/>
        <v>6.9999999999999999E-4</v>
      </c>
      <c r="AE108" s="5">
        <f t="shared" si="5"/>
        <v>6.9999999999999999E-4</v>
      </c>
      <c r="AF108" s="5">
        <f>IF(A108="","",IFERROR(INDEX(Daily_Input!$F:$F,ROW()+1),""))</f>
        <v>42136.963545253326</v>
      </c>
      <c r="AG108" s="5">
        <f>IF(A108="","",IFERROR(INDEX(Daily_Input!$F:$F,ROW()+2),""))</f>
        <v>73149.231376409327</v>
      </c>
      <c r="AH108" s="5">
        <f>IF(A108="","",IFERROR(INDEX(Daily_Input!$F:$F,ROW()+3),""))</f>
        <v>57575.848315913776</v>
      </c>
    </row>
    <row r="109" spans="1:34">
      <c r="A109" s="5">
        <f>Daily_Input!A109</f>
        <v>45946</v>
      </c>
      <c r="B109" s="5">
        <f>Daily_Input!F109</f>
        <v>42136.963545253326</v>
      </c>
      <c r="C109" s="5">
        <f>Daily_Input!D109</f>
        <v>489.07</v>
      </c>
      <c r="D109" s="5">
        <f>Daily_Input!E109</f>
        <v>1486357.15604</v>
      </c>
      <c r="E109" s="5" cm="1">
        <f t="array" ref="E109">IF(ROW()=2,"",INDEX(Daily_Input!$E:$E,ROW())-INDEX(Daily_Input!$E:$E,ROW()-1))</f>
        <v>32102.086866999976</v>
      </c>
      <c r="F109" s="5">
        <f>IFERROR(Daily_Input!E109/Config!$B$4,"")</f>
        <v>0.91442036021547857</v>
      </c>
      <c r="G109" s="5">
        <f>Daily_Input!I109</f>
        <v>20.6</v>
      </c>
      <c r="H109" s="5">
        <f>IF(A109="","",IF(ROW()=2,G109,Config!$B$5*H108+G109))</f>
        <v>82.805385963846661</v>
      </c>
      <c r="I109" s="5">
        <f t="shared" si="3"/>
        <v>289</v>
      </c>
      <c r="J109" s="5">
        <f>IF(I109="","",SIN(2*PI()*I109/Config!$B$6))</f>
        <v>-0.965739937654855</v>
      </c>
      <c r="K109" s="5">
        <f>IF(I109="","",COS(2*PI()*I109/Config!$B$6))</f>
        <v>0.25951179706979943</v>
      </c>
      <c r="L109" s="5">
        <f>IF(ROW()&lt;=2+0,"",INDEX(Daily_Input!$F:$F,ROW()-1))</f>
        <v>41838.353770982081</v>
      </c>
      <c r="M109" s="5">
        <f>IF(ROW()&lt;=2+1,"",INDEX(Daily_Input!$F:$F,ROW()-2))</f>
        <v>9595.3837436983231</v>
      </c>
      <c r="N109" s="5">
        <f>IF(ROW()&lt;=2+2,"",INDEX(Daily_Input!$F:$F,ROW()-3))</f>
        <v>10232.383184925226</v>
      </c>
      <c r="O109" s="5">
        <f>IF(ROW()&lt;=2+6,"",INDEX(Daily_Input!$F:$F,ROW()-7))</f>
        <v>62279.205948142459</v>
      </c>
      <c r="P109" s="5">
        <f>IF(ROW()&lt;=2+13,"",INDEX(Daily_Input!$F:$F,ROW()-14))</f>
        <v>6919.1413482762027</v>
      </c>
      <c r="Q109" s="5">
        <f>IF(ROW()&lt;=4,"",SUM(INDEX(Daily_Input!$I:$I,ROW()-2):INDEX(Daily_Input!$I:$I,ROW())))</f>
        <v>24.200000000000003</v>
      </c>
      <c r="R109" s="5">
        <f>IF(ROW()&lt;=8,"",SUM(INDEX(Daily_Input!$I:$I,ROW()-6):INDEX(Daily_Input!$I:$I,ROW())))</f>
        <v>26.6</v>
      </c>
      <c r="S109" s="5">
        <f>IF(ROW()&lt;=15,"",SUM(INDEX(Daily_Input!$I:$I,ROW()-13):INDEX(Daily_Input!$I:$I,ROW())))</f>
        <v>36.200000000000003</v>
      </c>
      <c r="T109" s="5">
        <f>IF(ROW()&lt;=4,"",AVERAGE(INDEX(Daily_Input!$F:$F,ROW()-2):INDEX(Daily_Input!$F:$F,ROW())))</f>
        <v>31190.233686644573</v>
      </c>
      <c r="U109" s="5">
        <f>IF(ROW()&lt;=2+0,"",INDEX(Daily_Input!$G:$G,ROW()-1))</f>
        <v>15019.199999999999</v>
      </c>
      <c r="V109" s="5">
        <f>IF(ROW()&lt;=2+0,"",INDEX(Daily_Input!$H:$H,ROW()-1))</f>
        <v>0</v>
      </c>
      <c r="W109" s="5">
        <f>IF(ROW()&lt;=2+1,"",INDEX(Daily_Input!$G:$G,ROW()-2))</f>
        <v>15019.199999999999</v>
      </c>
      <c r="X109" s="5">
        <f>IF(ROW()&lt;=2+1,"",INDEX(Daily_Input!$H:$H,ROW()-2))</f>
        <v>0</v>
      </c>
      <c r="Y109" s="5">
        <f>IF(ROW()&lt;=2+2,"",INDEX(Daily_Input!$G:$G,ROW()-3))</f>
        <v>15019.199999999999</v>
      </c>
      <c r="Z109" s="5">
        <f>IF(ROW()&lt;=2+2,"",INDEX(Daily_Input!$H:$H,ROW()-3))</f>
        <v>0</v>
      </c>
      <c r="AA109" s="5">
        <f>Daily_Input!N109</f>
        <v>0</v>
      </c>
      <c r="AB109" s="5">
        <f>Daily_Input!O109</f>
        <v>0</v>
      </c>
      <c r="AC109" s="5">
        <f>Daily_Input!P109</f>
        <v>2.4E-2</v>
      </c>
      <c r="AD109" s="5">
        <f t="shared" si="4"/>
        <v>2.4E-2</v>
      </c>
      <c r="AE109" s="5">
        <f t="shared" si="5"/>
        <v>2.4E-2</v>
      </c>
      <c r="AF109" s="5">
        <f>IF(A109="","",IFERROR(INDEX(Daily_Input!$F:$F,ROW()+1),""))</f>
        <v>73149.231376409327</v>
      </c>
      <c r="AG109" s="5">
        <f>IF(A109="","",IFERROR(INDEX(Daily_Input!$F:$F,ROW()+2),""))</f>
        <v>57575.848315913776</v>
      </c>
      <c r="AH109" s="5">
        <f>IF(A109="","",IFERROR(INDEX(Daily_Input!$F:$F,ROW()+3),""))</f>
        <v>59597.44767041102</v>
      </c>
    </row>
    <row r="110" spans="1:34">
      <c r="A110" s="5">
        <f>Daily_Input!A110</f>
        <v>45947</v>
      </c>
      <c r="B110" s="5">
        <f>Daily_Input!F110</f>
        <v>73149.231376409327</v>
      </c>
      <c r="C110" s="5">
        <f>Daily_Input!D110</f>
        <v>489.28500000000003</v>
      </c>
      <c r="D110" s="5">
        <f>Daily_Input!E110</f>
        <v>1547983.8767252001</v>
      </c>
      <c r="E110" s="5" cm="1">
        <f t="array" ref="E110">IF(ROW()=2,"",INDEX(Daily_Input!$E:$E,ROW())-INDEX(Daily_Input!$E:$E,ROW()-1))</f>
        <v>61626.720685200067</v>
      </c>
      <c r="F110" s="5">
        <f>IFERROR(Daily_Input!E110/Config!$B$4,"")</f>
        <v>0.95233367593429008</v>
      </c>
      <c r="G110" s="5">
        <f>Daily_Input!I110</f>
        <v>15.4</v>
      </c>
      <c r="H110" s="5">
        <f>IF(A110="","",IF(ROW()=2,G110,Config!$B$5*H109+G110))</f>
        <v>94.06511666565433</v>
      </c>
      <c r="I110" s="5">
        <f t="shared" si="3"/>
        <v>290</v>
      </c>
      <c r="J110" s="5">
        <f>IF(I110="","",SIN(2*PI()*I110/Config!$B$6))</f>
        <v>-0.96112978387230075</v>
      </c>
      <c r="K110" s="5">
        <f>IF(I110="","",COS(2*PI()*I110/Config!$B$6))</f>
        <v>0.27609697309746883</v>
      </c>
      <c r="L110" s="5">
        <f>IF(ROW()&lt;=2+0,"",INDEX(Daily_Input!$F:$F,ROW()-1))</f>
        <v>42136.963545253326</v>
      </c>
      <c r="M110" s="5">
        <f>IF(ROW()&lt;=2+1,"",INDEX(Daily_Input!$F:$F,ROW()-2))</f>
        <v>41838.353770982081</v>
      </c>
      <c r="N110" s="5">
        <f>IF(ROW()&lt;=2+2,"",INDEX(Daily_Input!$F:$F,ROW()-3))</f>
        <v>9595.3837436983231</v>
      </c>
      <c r="O110" s="5">
        <f>IF(ROW()&lt;=2+6,"",INDEX(Daily_Input!$F:$F,ROW()-7))</f>
        <v>24086.847755427094</v>
      </c>
      <c r="P110" s="5">
        <f>IF(ROW()&lt;=2+13,"",INDEX(Daily_Input!$F:$F,ROW()-14))</f>
        <v>13143.437283754383</v>
      </c>
      <c r="Q110" s="5">
        <f>IF(ROW()&lt;=4,"",SUM(INDEX(Daily_Input!$I:$I,ROW()-2):INDEX(Daily_Input!$I:$I,ROW())))</f>
        <v>37.4</v>
      </c>
      <c r="R110" s="5">
        <f>IF(ROW()&lt;=8,"",SUM(INDEX(Daily_Input!$I:$I,ROW()-6):INDEX(Daily_Input!$I:$I,ROW())))</f>
        <v>39.6</v>
      </c>
      <c r="S110" s="5">
        <f>IF(ROW()&lt;=15,"",SUM(INDEX(Daily_Input!$I:$I,ROW()-13):INDEX(Daily_Input!$I:$I,ROW())))</f>
        <v>51.6</v>
      </c>
      <c r="T110" s="5">
        <f>IF(ROW()&lt;=4,"",AVERAGE(INDEX(Daily_Input!$F:$F,ROW()-2):INDEX(Daily_Input!$F:$F,ROW())))</f>
        <v>52374.849564214914</v>
      </c>
      <c r="U110" s="5">
        <f>IF(ROW()&lt;=2+0,"",INDEX(Daily_Input!$G:$G,ROW()-1))</f>
        <v>15019.199999999999</v>
      </c>
      <c r="V110" s="5">
        <f>IF(ROW()&lt;=2+0,"",INDEX(Daily_Input!$H:$H,ROW()-1))</f>
        <v>0</v>
      </c>
      <c r="W110" s="5">
        <f>IF(ROW()&lt;=2+1,"",INDEX(Daily_Input!$G:$G,ROW()-2))</f>
        <v>15019.199999999999</v>
      </c>
      <c r="X110" s="5">
        <f>IF(ROW()&lt;=2+1,"",INDEX(Daily_Input!$H:$H,ROW()-2))</f>
        <v>0</v>
      </c>
      <c r="Y110" s="5">
        <f>IF(ROW()&lt;=2+2,"",INDEX(Daily_Input!$G:$G,ROW()-3))</f>
        <v>15019.199999999999</v>
      </c>
      <c r="Z110" s="5">
        <f>IF(ROW()&lt;=2+2,"",INDEX(Daily_Input!$H:$H,ROW()-3))</f>
        <v>0</v>
      </c>
      <c r="AA110" s="5">
        <f>Daily_Input!N110</f>
        <v>0</v>
      </c>
      <c r="AB110" s="5">
        <f>Daily_Input!O110</f>
        <v>2.4E-2</v>
      </c>
      <c r="AC110" s="5">
        <f>Daily_Input!P110</f>
        <v>0</v>
      </c>
      <c r="AD110" s="5">
        <f t="shared" si="4"/>
        <v>2.4E-2</v>
      </c>
      <c r="AE110" s="5">
        <f t="shared" si="5"/>
        <v>2.4E-2</v>
      </c>
      <c r="AF110" s="5">
        <f>IF(A110="","",IFERROR(INDEX(Daily_Input!$F:$F,ROW()+1),""))</f>
        <v>57575.848315913776</v>
      </c>
      <c r="AG110" s="5">
        <f>IF(A110="","",IFERROR(INDEX(Daily_Input!$F:$F,ROW()+2),""))</f>
        <v>59597.44767041102</v>
      </c>
      <c r="AH110" s="5">
        <f>IF(A110="","",IFERROR(INDEX(Daily_Input!$F:$F,ROW()+3),""))</f>
        <v>160128.78104252563</v>
      </c>
    </row>
    <row r="111" spans="1:34">
      <c r="A111" s="5">
        <f>Daily_Input!A111</f>
        <v>45948</v>
      </c>
      <c r="B111" s="5">
        <f>Daily_Input!F111</f>
        <v>57575.848315913776</v>
      </c>
      <c r="C111" s="5">
        <f>Daily_Input!D111</f>
        <v>489.42399999999998</v>
      </c>
      <c r="D111" s="5">
        <f>Daily_Input!E111</f>
        <v>1589479.7778056001</v>
      </c>
      <c r="E111" s="5" cm="1">
        <f t="array" ref="E111">IF(ROW()=2,"",INDEX(Daily_Input!$E:$E,ROW())-INDEX(Daily_Input!$E:$E,ROW()-1))</f>
        <v>41495.901080399984</v>
      </c>
      <c r="F111" s="5">
        <f>IFERROR(Daily_Input!E111/Config!$B$4,"")</f>
        <v>0.97786232943403084</v>
      </c>
      <c r="G111" s="5">
        <f>Daily_Input!I111</f>
        <v>0</v>
      </c>
      <c r="H111" s="5">
        <f>IF(A111="","",IF(ROW()=2,G111,Config!$B$5*H110+G111))</f>
        <v>89.361860832371605</v>
      </c>
      <c r="I111" s="5">
        <f t="shared" si="3"/>
        <v>291</v>
      </c>
      <c r="J111" s="5">
        <f>IF(I111="","",SIN(2*PI()*I111/Config!$B$6))</f>
        <v>-0.95623482659190584</v>
      </c>
      <c r="K111" s="5">
        <f>IF(I111="","",COS(2*PI()*I111/Config!$B$6))</f>
        <v>0.29260033563334792</v>
      </c>
      <c r="L111" s="5">
        <f>IF(ROW()&lt;=2+0,"",INDEX(Daily_Input!$F:$F,ROW()-1))</f>
        <v>73149.231376409327</v>
      </c>
      <c r="M111" s="5">
        <f>IF(ROW()&lt;=2+1,"",INDEX(Daily_Input!$F:$F,ROW()-2))</f>
        <v>42136.963545253326</v>
      </c>
      <c r="N111" s="5">
        <f>IF(ROW()&lt;=2+2,"",INDEX(Daily_Input!$F:$F,ROW()-3))</f>
        <v>41838.353770982081</v>
      </c>
      <c r="O111" s="5">
        <f>IF(ROW()&lt;=2+6,"",INDEX(Daily_Input!$F:$F,ROW()-7))</f>
        <v>13139.926765396176</v>
      </c>
      <c r="P111" s="5">
        <f>IF(ROW()&lt;=2+13,"",INDEX(Daily_Input!$F:$F,ROW()-14))</f>
        <v>9657.860847183736</v>
      </c>
      <c r="Q111" s="5">
        <f>IF(ROW()&lt;=4,"",SUM(INDEX(Daily_Input!$I:$I,ROW()-2):INDEX(Daily_Input!$I:$I,ROW())))</f>
        <v>36</v>
      </c>
      <c r="R111" s="5">
        <f>IF(ROW()&lt;=8,"",SUM(INDEX(Daily_Input!$I:$I,ROW()-6):INDEX(Daily_Input!$I:$I,ROW())))</f>
        <v>39.6</v>
      </c>
      <c r="S111" s="5">
        <f>IF(ROW()&lt;=15,"",SUM(INDEX(Daily_Input!$I:$I,ROW()-13):INDEX(Daily_Input!$I:$I,ROW())))</f>
        <v>49.6</v>
      </c>
      <c r="T111" s="5">
        <f>IF(ROW()&lt;=4,"",AVERAGE(INDEX(Daily_Input!$F:$F,ROW()-2):INDEX(Daily_Input!$F:$F,ROW())))</f>
        <v>57620.681079192145</v>
      </c>
      <c r="U111" s="5">
        <f>IF(ROW()&lt;=2+0,"",INDEX(Daily_Input!$G:$G,ROW()-1))</f>
        <v>15019.199999999999</v>
      </c>
      <c r="V111" s="5">
        <f>IF(ROW()&lt;=2+0,"",INDEX(Daily_Input!$H:$H,ROW()-1))</f>
        <v>0</v>
      </c>
      <c r="W111" s="5">
        <f>IF(ROW()&lt;=2+1,"",INDEX(Daily_Input!$G:$G,ROW()-2))</f>
        <v>15019.199999999999</v>
      </c>
      <c r="X111" s="5">
        <f>IF(ROW()&lt;=2+1,"",INDEX(Daily_Input!$H:$H,ROW()-2))</f>
        <v>0</v>
      </c>
      <c r="Y111" s="5">
        <f>IF(ROW()&lt;=2+2,"",INDEX(Daily_Input!$G:$G,ROW()-3))</f>
        <v>15019.199999999999</v>
      </c>
      <c r="Z111" s="5">
        <f>IF(ROW()&lt;=2+2,"",INDEX(Daily_Input!$H:$H,ROW()-3))</f>
        <v>0</v>
      </c>
      <c r="AA111" s="5">
        <f>Daily_Input!N111</f>
        <v>2.4E-2</v>
      </c>
      <c r="AB111" s="5">
        <f>Daily_Input!O111</f>
        <v>0</v>
      </c>
      <c r="AC111" s="5">
        <f>Daily_Input!P111</f>
        <v>0</v>
      </c>
      <c r="AD111" s="5">
        <f t="shared" si="4"/>
        <v>2.4E-2</v>
      </c>
      <c r="AE111" s="5">
        <f t="shared" si="5"/>
        <v>2.4E-2</v>
      </c>
      <c r="AF111" s="5">
        <f>IF(A111="","",IFERROR(INDEX(Daily_Input!$F:$F,ROW()+1),""))</f>
        <v>59597.44767041102</v>
      </c>
      <c r="AG111" s="5">
        <f>IF(A111="","",IFERROR(INDEX(Daily_Input!$F:$F,ROW()+2),""))</f>
        <v>160128.78104252563</v>
      </c>
      <c r="AH111" s="5">
        <f>IF(A111="","",IFERROR(INDEX(Daily_Input!$F:$F,ROW()+3),""))</f>
        <v>224197.73004406077</v>
      </c>
    </row>
    <row r="112" spans="1:34">
      <c r="A112" s="5">
        <f>Daily_Input!A112</f>
        <v>45949</v>
      </c>
      <c r="B112" s="5">
        <f>Daily_Input!F112</f>
        <v>59597.44767041102</v>
      </c>
      <c r="C112" s="5">
        <f>Daily_Input!D112</f>
        <v>489.52798000000001</v>
      </c>
      <c r="D112" s="5">
        <f>Daily_Input!E112</f>
        <v>1619451.3170382001</v>
      </c>
      <c r="E112" s="5" cm="1">
        <f t="array" ref="E112">IF(ROW()=2,"",INDEX(Daily_Input!$E:$E,ROW())-INDEX(Daily_Input!$E:$E,ROW()-1))</f>
        <v>29971.539232600015</v>
      </c>
      <c r="F112" s="5">
        <f>IFERROR(Daily_Input!E112/Config!$B$4,"")</f>
        <v>0.99630109133584988</v>
      </c>
      <c r="G112" s="5">
        <f>Daily_Input!I112</f>
        <v>0</v>
      </c>
      <c r="H112" s="5">
        <f>IF(A112="","",IF(ROW()=2,G112,Config!$B$5*H111+G112))</f>
        <v>84.893767790753017</v>
      </c>
      <c r="I112" s="5">
        <f t="shared" si="3"/>
        <v>292</v>
      </c>
      <c r="J112" s="5">
        <f>IF(I112="","",SIN(2*PI()*I112/Config!$B$6))</f>
        <v>-0.95105651629515364</v>
      </c>
      <c r="K112" s="5">
        <f>IF(I112="","",COS(2*PI()*I112/Config!$B$6))</f>
        <v>0.30901699437494723</v>
      </c>
      <c r="L112" s="5">
        <f>IF(ROW()&lt;=2+0,"",INDEX(Daily_Input!$F:$F,ROW()-1))</f>
        <v>57575.848315913776</v>
      </c>
      <c r="M112" s="5">
        <f>IF(ROW()&lt;=2+1,"",INDEX(Daily_Input!$F:$F,ROW()-2))</f>
        <v>73149.231376409327</v>
      </c>
      <c r="N112" s="5">
        <f>IF(ROW()&lt;=2+2,"",INDEX(Daily_Input!$F:$F,ROW()-3))</f>
        <v>42136.963545253326</v>
      </c>
      <c r="O112" s="5">
        <f>IF(ROW()&lt;=2+6,"",INDEX(Daily_Input!$F:$F,ROW()-7))</f>
        <v>10229.760917854082</v>
      </c>
      <c r="P112" s="5">
        <f>IF(ROW()&lt;=2+13,"",INDEX(Daily_Input!$F:$F,ROW()-14))</f>
        <v>9370.3604702878874</v>
      </c>
      <c r="Q112" s="5">
        <f>IF(ROW()&lt;=4,"",SUM(INDEX(Daily_Input!$I:$I,ROW()-2):INDEX(Daily_Input!$I:$I,ROW())))</f>
        <v>15.4</v>
      </c>
      <c r="R112" s="5">
        <f>IF(ROW()&lt;=8,"",SUM(INDEX(Daily_Input!$I:$I,ROW()-6):INDEX(Daily_Input!$I:$I,ROW())))</f>
        <v>39.6</v>
      </c>
      <c r="S112" s="5">
        <f>IF(ROW()&lt;=15,"",SUM(INDEX(Daily_Input!$I:$I,ROW()-13):INDEX(Daily_Input!$I:$I,ROW())))</f>
        <v>46.6</v>
      </c>
      <c r="T112" s="5">
        <f>IF(ROW()&lt;=4,"",AVERAGE(INDEX(Daily_Input!$F:$F,ROW()-2):INDEX(Daily_Input!$F:$F,ROW())))</f>
        <v>63440.84245424471</v>
      </c>
      <c r="U112" s="5">
        <f>IF(ROW()&lt;=2+0,"",INDEX(Daily_Input!$G:$G,ROW()-1))</f>
        <v>15019.199999999999</v>
      </c>
      <c r="V112" s="5">
        <f>IF(ROW()&lt;=2+0,"",INDEX(Daily_Input!$H:$H,ROW()-1))</f>
        <v>0</v>
      </c>
      <c r="W112" s="5">
        <f>IF(ROW()&lt;=2+1,"",INDEX(Daily_Input!$G:$G,ROW()-2))</f>
        <v>15019.199999999999</v>
      </c>
      <c r="X112" s="5">
        <f>IF(ROW()&lt;=2+1,"",INDEX(Daily_Input!$H:$H,ROW()-2))</f>
        <v>0</v>
      </c>
      <c r="Y112" s="5">
        <f>IF(ROW()&lt;=2+2,"",INDEX(Daily_Input!$G:$G,ROW()-3))</f>
        <v>15019.199999999999</v>
      </c>
      <c r="Z112" s="5">
        <f>IF(ROW()&lt;=2+2,"",INDEX(Daily_Input!$H:$H,ROW()-3))</f>
        <v>0</v>
      </c>
      <c r="AA112" s="5">
        <f>Daily_Input!N112</f>
        <v>0</v>
      </c>
      <c r="AB112" s="5">
        <f>Daily_Input!O112</f>
        <v>0</v>
      </c>
      <c r="AC112" s="5">
        <f>Daily_Input!P112</f>
        <v>0</v>
      </c>
      <c r="AD112" s="5">
        <f t="shared" si="4"/>
        <v>0</v>
      </c>
      <c r="AE112" s="5">
        <f t="shared" si="5"/>
        <v>0</v>
      </c>
      <c r="AF112" s="5">
        <f>IF(A112="","",IFERROR(INDEX(Daily_Input!$F:$F,ROW()+1),""))</f>
        <v>160128.78104252563</v>
      </c>
      <c r="AG112" s="5">
        <f>IF(A112="","",IFERROR(INDEX(Daily_Input!$F:$F,ROW()+2),""))</f>
        <v>224197.73004406077</v>
      </c>
      <c r="AH112" s="5">
        <f>IF(A112="","",IFERROR(INDEX(Daily_Input!$F:$F,ROW()+3),""))</f>
        <v>225138.18840221464</v>
      </c>
    </row>
    <row r="113" spans="1:34">
      <c r="A113" s="5">
        <f>Daily_Input!A113</f>
        <v>45950</v>
      </c>
      <c r="B113" s="5">
        <f>Daily_Input!F113</f>
        <v>160128.78104252563</v>
      </c>
      <c r="C113" s="5">
        <f>Daily_Input!D113</f>
        <v>489.61799999999999</v>
      </c>
      <c r="D113" s="5">
        <f>Daily_Input!E113</f>
        <v>1646562.4785364</v>
      </c>
      <c r="E113" s="5" cm="1">
        <f t="array" ref="E113">IF(ROW()=2,"",INDEX(Daily_Input!$E:$E,ROW())-INDEX(Daily_Input!$E:$E,ROW()-1))</f>
        <v>27111.161498199916</v>
      </c>
      <c r="F113" s="5">
        <f>IFERROR(Daily_Input!E113/Config!$B$4,"")</f>
        <v>1.0129801229954363</v>
      </c>
      <c r="G113" s="5">
        <f>Daily_Input!I113</f>
        <v>5.2</v>
      </c>
      <c r="H113" s="5">
        <f>IF(A113="","",IF(ROW()=2,G113,Config!$B$5*H112+G113))</f>
        <v>85.849079401215363</v>
      </c>
      <c r="I113" s="5">
        <f t="shared" si="3"/>
        <v>293</v>
      </c>
      <c r="J113" s="5">
        <f>IF(I113="","",SIN(2*PI()*I113/Config!$B$6))</f>
        <v>-0.9455963874271428</v>
      </c>
      <c r="K113" s="5">
        <f>IF(I113="","",COS(2*PI()*I113/Config!$B$6))</f>
        <v>0.32534208471197951</v>
      </c>
      <c r="L113" s="5">
        <f>IF(ROW()&lt;=2+0,"",INDEX(Daily_Input!$F:$F,ROW()-1))</f>
        <v>59597.44767041102</v>
      </c>
      <c r="M113" s="5">
        <f>IF(ROW()&lt;=2+1,"",INDEX(Daily_Input!$F:$F,ROW()-2))</f>
        <v>57575.848315913776</v>
      </c>
      <c r="N113" s="5">
        <f>IF(ROW()&lt;=2+2,"",INDEX(Daily_Input!$F:$F,ROW()-3))</f>
        <v>73149.231376409327</v>
      </c>
      <c r="O113" s="5">
        <f>IF(ROW()&lt;=2+6,"",INDEX(Daily_Input!$F:$F,ROW()-7))</f>
        <v>10232.383184925226</v>
      </c>
      <c r="P113" s="5">
        <f>IF(ROW()&lt;=2+13,"",INDEX(Daily_Input!$F:$F,ROW()-14))</f>
        <v>4441.7191053469041</v>
      </c>
      <c r="Q113" s="5">
        <f>IF(ROW()&lt;=4,"",SUM(INDEX(Daily_Input!$I:$I,ROW()-2):INDEX(Daily_Input!$I:$I,ROW())))</f>
        <v>5.2</v>
      </c>
      <c r="R113" s="5">
        <f>IF(ROW()&lt;=8,"",SUM(INDEX(Daily_Input!$I:$I,ROW()-6):INDEX(Daily_Input!$I:$I,ROW())))</f>
        <v>44.800000000000004</v>
      </c>
      <c r="S113" s="5">
        <f>IF(ROW()&lt;=15,"",SUM(INDEX(Daily_Input!$I:$I,ROW()-13):INDEX(Daily_Input!$I:$I,ROW())))</f>
        <v>51.800000000000004</v>
      </c>
      <c r="T113" s="5">
        <f>IF(ROW()&lt;=4,"",AVERAGE(INDEX(Daily_Input!$F:$F,ROW()-2):INDEX(Daily_Input!$F:$F,ROW())))</f>
        <v>92434.025676283476</v>
      </c>
      <c r="U113" s="5">
        <f>IF(ROW()&lt;=2+0,"",INDEX(Daily_Input!$G:$G,ROW()-1))</f>
        <v>15019.199999999999</v>
      </c>
      <c r="V113" s="5">
        <f>IF(ROW()&lt;=2+0,"",INDEX(Daily_Input!$H:$H,ROW()-1))</f>
        <v>13540.567419999999</v>
      </c>
      <c r="W113" s="5">
        <f>IF(ROW()&lt;=2+1,"",INDEX(Daily_Input!$G:$G,ROW()-2))</f>
        <v>15019.199999999999</v>
      </c>
      <c r="X113" s="5">
        <f>IF(ROW()&lt;=2+1,"",INDEX(Daily_Input!$H:$H,ROW()-2))</f>
        <v>0</v>
      </c>
      <c r="Y113" s="5">
        <f>IF(ROW()&lt;=2+2,"",INDEX(Daily_Input!$G:$G,ROW()-3))</f>
        <v>15019.199999999999</v>
      </c>
      <c r="Z113" s="5">
        <f>IF(ROW()&lt;=2+2,"",INDEX(Daily_Input!$H:$H,ROW()-3))</f>
        <v>0</v>
      </c>
      <c r="AA113" s="5">
        <f>Daily_Input!N113</f>
        <v>0</v>
      </c>
      <c r="AB113" s="5">
        <f>Daily_Input!O113</f>
        <v>0</v>
      </c>
      <c r="AC113" s="5">
        <f>Daily_Input!P113</f>
        <v>0</v>
      </c>
      <c r="AD113" s="5">
        <f t="shared" si="4"/>
        <v>0</v>
      </c>
      <c r="AE113" s="5">
        <f t="shared" si="5"/>
        <v>0</v>
      </c>
      <c r="AF113" s="5">
        <f>IF(A113="","",IFERROR(INDEX(Daily_Input!$F:$F,ROW()+1),""))</f>
        <v>224197.73004406077</v>
      </c>
      <c r="AG113" s="5">
        <f>IF(A113="","",IFERROR(INDEX(Daily_Input!$F:$F,ROW()+2),""))</f>
        <v>225138.18840221464</v>
      </c>
      <c r="AH113" s="5">
        <f>IF(A113="","",IFERROR(INDEX(Daily_Input!$F:$F,ROW()+3),""))</f>
        <v>173020.97051566088</v>
      </c>
    </row>
    <row r="114" spans="1:34">
      <c r="A114" s="5">
        <f>Daily_Input!A114</f>
        <v>45951</v>
      </c>
      <c r="B114" s="5">
        <f>Daily_Input!F114</f>
        <v>224197.73004406077</v>
      </c>
      <c r="C114" s="5">
        <f>Daily_Input!D114</f>
        <v>489.65697999999998</v>
      </c>
      <c r="D114" s="5">
        <f>Daily_Input!E114</f>
        <v>1658675.7961466999</v>
      </c>
      <c r="E114" s="5" cm="1">
        <f t="array" ref="E114">IF(ROW()=2,"",INDEX(Daily_Input!$E:$E,ROW())-INDEX(Daily_Input!$E:$E,ROW()-1))</f>
        <v>12113.317610299913</v>
      </c>
      <c r="F114" s="5">
        <f>IFERROR(Daily_Input!E114/Config!$B$4,"")</f>
        <v>1.0204323455030642</v>
      </c>
      <c r="G114" s="5">
        <f>Daily_Input!I114</f>
        <v>0</v>
      </c>
      <c r="H114" s="5">
        <f>IF(A114="","",IF(ROW()=2,G114,Config!$B$5*H113+G114))</f>
        <v>81.556625431154586</v>
      </c>
      <c r="I114" s="5">
        <f t="shared" si="3"/>
        <v>294</v>
      </c>
      <c r="J114" s="5">
        <f>IF(I114="","",SIN(2*PI()*I114/Config!$B$6))</f>
        <v>-0.93985605794189531</v>
      </c>
      <c r="K114" s="5">
        <f>IF(I114="","",COS(2*PI()*I114/Config!$B$6))</f>
        <v>0.341570769167856</v>
      </c>
      <c r="L114" s="5">
        <f>IF(ROW()&lt;=2+0,"",INDEX(Daily_Input!$F:$F,ROW()-1))</f>
        <v>160128.78104252563</v>
      </c>
      <c r="M114" s="5">
        <f>IF(ROW()&lt;=2+1,"",INDEX(Daily_Input!$F:$F,ROW()-2))</f>
        <v>59597.44767041102</v>
      </c>
      <c r="N114" s="5">
        <f>IF(ROW()&lt;=2+2,"",INDEX(Daily_Input!$F:$F,ROW()-3))</f>
        <v>57575.848315913776</v>
      </c>
      <c r="O114" s="5">
        <f>IF(ROW()&lt;=2+6,"",INDEX(Daily_Input!$F:$F,ROW()-7))</f>
        <v>9595.3837436983231</v>
      </c>
      <c r="P114" s="5">
        <f>IF(ROW()&lt;=2+13,"",INDEX(Daily_Input!$F:$F,ROW()-14))</f>
        <v>4452.9563767526815</v>
      </c>
      <c r="Q114" s="5">
        <f>IF(ROW()&lt;=4,"",SUM(INDEX(Daily_Input!$I:$I,ROW()-2):INDEX(Daily_Input!$I:$I,ROW())))</f>
        <v>5.2</v>
      </c>
      <c r="R114" s="5">
        <f>IF(ROW()&lt;=8,"",SUM(INDEX(Daily_Input!$I:$I,ROW()-6):INDEX(Daily_Input!$I:$I,ROW())))</f>
        <v>42.6</v>
      </c>
      <c r="S114" s="5">
        <f>IF(ROW()&lt;=15,"",SUM(INDEX(Daily_Input!$I:$I,ROW()-13):INDEX(Daily_Input!$I:$I,ROW())))</f>
        <v>51.800000000000004</v>
      </c>
      <c r="T114" s="5">
        <f>IF(ROW()&lt;=4,"",AVERAGE(INDEX(Daily_Input!$F:$F,ROW()-2):INDEX(Daily_Input!$F:$F,ROW())))</f>
        <v>147974.65291899914</v>
      </c>
      <c r="U114" s="5">
        <f>IF(ROW()&lt;=2+0,"",INDEX(Daily_Input!$G:$G,ROW()-1))</f>
        <v>15019.199999999999</v>
      </c>
      <c r="V114" s="5">
        <f>IF(ROW()&lt;=2+0,"",INDEX(Daily_Input!$H:$H,ROW()-1))</f>
        <v>118498.07309999999</v>
      </c>
      <c r="W114" s="5">
        <f>IF(ROW()&lt;=2+1,"",INDEX(Daily_Input!$G:$G,ROW()-2))</f>
        <v>15019.199999999999</v>
      </c>
      <c r="X114" s="5">
        <f>IF(ROW()&lt;=2+1,"",INDEX(Daily_Input!$H:$H,ROW()-2))</f>
        <v>13540.567419999999</v>
      </c>
      <c r="Y114" s="5">
        <f>IF(ROW()&lt;=2+2,"",INDEX(Daily_Input!$G:$G,ROW()-3))</f>
        <v>15019.199999999999</v>
      </c>
      <c r="Z114" s="5">
        <f>IF(ROW()&lt;=2+2,"",INDEX(Daily_Input!$H:$H,ROW()-3))</f>
        <v>0</v>
      </c>
      <c r="AA114" s="5">
        <f>Daily_Input!N114</f>
        <v>0</v>
      </c>
      <c r="AB114" s="5">
        <f>Daily_Input!O114</f>
        <v>0</v>
      </c>
      <c r="AC114" s="5">
        <f>Daily_Input!P114</f>
        <v>0</v>
      </c>
      <c r="AD114" s="5">
        <f t="shared" si="4"/>
        <v>0</v>
      </c>
      <c r="AE114" s="5">
        <f t="shared" si="5"/>
        <v>0</v>
      </c>
      <c r="AF114" s="5">
        <f>IF(A114="","",IFERROR(INDEX(Daily_Input!$F:$F,ROW()+1),""))</f>
        <v>225138.18840221464</v>
      </c>
      <c r="AG114" s="5">
        <f>IF(A114="","",IFERROR(INDEX(Daily_Input!$F:$F,ROW()+2),""))</f>
        <v>173020.97051566088</v>
      </c>
      <c r="AH114" s="5">
        <f>IF(A114="","",IFERROR(INDEX(Daily_Input!$F:$F,ROW()+3),""))</f>
        <v>130773.2730821234</v>
      </c>
    </row>
    <row r="115" spans="1:34">
      <c r="A115" s="5">
        <f>Daily_Input!A115</f>
        <v>45952</v>
      </c>
      <c r="B115" s="5">
        <f>Daily_Input!F115</f>
        <v>225138.18840221464</v>
      </c>
      <c r="C115" s="5">
        <f>Daily_Input!D115</f>
        <v>489.67099999999999</v>
      </c>
      <c r="D115" s="5">
        <f>Daily_Input!E115</f>
        <v>1664741.6725647999</v>
      </c>
      <c r="E115" s="5" cm="1">
        <f t="array" ref="E115">IF(ROW()=2,"",INDEX(Daily_Input!$E:$E,ROW())-INDEX(Daily_Input!$E:$E,ROW()-1))</f>
        <v>6065.8764180999715</v>
      </c>
      <c r="F115" s="5">
        <f>IFERROR(Daily_Input!E115/Config!$B$4,"")</f>
        <v>1.0241641275156992</v>
      </c>
      <c r="G115" s="5">
        <f>Daily_Input!I115</f>
        <v>0</v>
      </c>
      <c r="H115" s="5">
        <f>IF(A115="","",IF(ROW()=2,G115,Config!$B$5*H114+G115))</f>
        <v>77.478794159596859</v>
      </c>
      <c r="I115" s="5">
        <f t="shared" si="3"/>
        <v>295</v>
      </c>
      <c r="J115" s="5">
        <f>IF(I115="","",SIN(2*PI()*I115/Config!$B$6))</f>
        <v>-0.93383722882292519</v>
      </c>
      <c r="K115" s="5">
        <f>IF(I115="","",COS(2*PI()*I115/Config!$B$6))</f>
        <v>0.35769823883312546</v>
      </c>
      <c r="L115" s="5">
        <f>IF(ROW()&lt;=2+0,"",INDEX(Daily_Input!$F:$F,ROW()-1))</f>
        <v>224197.73004406077</v>
      </c>
      <c r="M115" s="5">
        <f>IF(ROW()&lt;=2+1,"",INDEX(Daily_Input!$F:$F,ROW()-2))</f>
        <v>160128.78104252563</v>
      </c>
      <c r="N115" s="5">
        <f>IF(ROW()&lt;=2+2,"",INDEX(Daily_Input!$F:$F,ROW()-3))</f>
        <v>59597.44767041102</v>
      </c>
      <c r="O115" s="5">
        <f>IF(ROW()&lt;=2+6,"",INDEX(Daily_Input!$F:$F,ROW()-7))</f>
        <v>41838.353770982081</v>
      </c>
      <c r="P115" s="5">
        <f>IF(ROW()&lt;=2+13,"",INDEX(Daily_Input!$F:$F,ROW()-14))</f>
        <v>17843.03491368231</v>
      </c>
      <c r="Q115" s="5">
        <f>IF(ROW()&lt;=4,"",SUM(INDEX(Daily_Input!$I:$I,ROW()-2):INDEX(Daily_Input!$I:$I,ROW())))</f>
        <v>5.2</v>
      </c>
      <c r="R115" s="5">
        <f>IF(ROW()&lt;=8,"",SUM(INDEX(Daily_Input!$I:$I,ROW()-6):INDEX(Daily_Input!$I:$I,ROW())))</f>
        <v>41.2</v>
      </c>
      <c r="S115" s="5">
        <f>IF(ROW()&lt;=15,"",SUM(INDEX(Daily_Input!$I:$I,ROW()-13):INDEX(Daily_Input!$I:$I,ROW())))</f>
        <v>48.000000000000007</v>
      </c>
      <c r="T115" s="5">
        <f>IF(ROW()&lt;=4,"",AVERAGE(INDEX(Daily_Input!$F:$F,ROW()-2):INDEX(Daily_Input!$F:$F,ROW())))</f>
        <v>203154.89982960036</v>
      </c>
      <c r="U115" s="5">
        <f>IF(ROW()&lt;=2+0,"",INDEX(Daily_Input!$G:$G,ROW()-1))</f>
        <v>15019.199999999999</v>
      </c>
      <c r="V115" s="5">
        <f>IF(ROW()&lt;=2+0,"",INDEX(Daily_Input!$H:$H,ROW()-1))</f>
        <v>195989.51560000001</v>
      </c>
      <c r="W115" s="5">
        <f>IF(ROW()&lt;=2+1,"",INDEX(Daily_Input!$G:$G,ROW()-2))</f>
        <v>15019.199999999999</v>
      </c>
      <c r="X115" s="5">
        <f>IF(ROW()&lt;=2+1,"",INDEX(Daily_Input!$H:$H,ROW()-2))</f>
        <v>118498.07309999999</v>
      </c>
      <c r="Y115" s="5">
        <f>IF(ROW()&lt;=2+2,"",INDEX(Daily_Input!$G:$G,ROW()-3))</f>
        <v>15019.199999999999</v>
      </c>
      <c r="Z115" s="5">
        <f>IF(ROW()&lt;=2+2,"",INDEX(Daily_Input!$H:$H,ROW()-3))</f>
        <v>13540.567419999999</v>
      </c>
      <c r="AA115" s="5">
        <f>Daily_Input!N115</f>
        <v>0</v>
      </c>
      <c r="AB115" s="5">
        <f>Daily_Input!O115</f>
        <v>0</v>
      </c>
      <c r="AC115" s="5">
        <f>Daily_Input!P115</f>
        <v>0</v>
      </c>
      <c r="AD115" s="5">
        <f t="shared" si="4"/>
        <v>0</v>
      </c>
      <c r="AE115" s="5">
        <f t="shared" si="5"/>
        <v>0</v>
      </c>
      <c r="AF115" s="5">
        <f>IF(A115="","",IFERROR(INDEX(Daily_Input!$F:$F,ROW()+1),""))</f>
        <v>173020.97051566088</v>
      </c>
      <c r="AG115" s="5">
        <f>IF(A115="","",IFERROR(INDEX(Daily_Input!$F:$F,ROW()+2),""))</f>
        <v>130773.2730821234</v>
      </c>
      <c r="AH115" s="5">
        <f>IF(A115="","",IFERROR(INDEX(Daily_Input!$F:$F,ROW()+3),""))</f>
        <v>77792.348775952967</v>
      </c>
    </row>
    <row r="116" spans="1:34">
      <c r="A116" s="5">
        <f>Daily_Input!A116</f>
        <v>45953</v>
      </c>
      <c r="B116" s="5">
        <f>Daily_Input!F116</f>
        <v>173020.97051566088</v>
      </c>
      <c r="C116" s="5">
        <f>Daily_Input!D116</f>
        <v>489.65697999999998</v>
      </c>
      <c r="D116" s="5">
        <f>Daily_Input!E116</f>
        <v>1658675.7961466999</v>
      </c>
      <c r="E116" s="5" cm="1">
        <f t="array" ref="E116">IF(ROW()=2,"",INDEX(Daily_Input!$E:$E,ROW())-INDEX(Daily_Input!$E:$E,ROW()-1))</f>
        <v>-6065.8764180999715</v>
      </c>
      <c r="F116" s="5">
        <f>IFERROR(Daily_Input!E116/Config!$B$4,"")</f>
        <v>1.0204323455030642</v>
      </c>
      <c r="G116" s="5">
        <f>Daily_Input!I116</f>
        <v>0</v>
      </c>
      <c r="H116" s="5">
        <f>IF(A116="","",IF(ROW()=2,G116,Config!$B$5*H115+G116))</f>
        <v>73.604854451617015</v>
      </c>
      <c r="I116" s="5">
        <f t="shared" si="3"/>
        <v>296</v>
      </c>
      <c r="J116" s="5">
        <f>IF(I116="","",SIN(2*PI()*I116/Config!$B$6))</f>
        <v>-0.92754168357919653</v>
      </c>
      <c r="K116" s="5">
        <f>IF(I116="","",COS(2*PI()*I116/Config!$B$6))</f>
        <v>0.37371971479046923</v>
      </c>
      <c r="L116" s="5">
        <f>IF(ROW()&lt;=2+0,"",INDEX(Daily_Input!$F:$F,ROW()-1))</f>
        <v>225138.18840221464</v>
      </c>
      <c r="M116" s="5">
        <f>IF(ROW()&lt;=2+1,"",INDEX(Daily_Input!$F:$F,ROW()-2))</f>
        <v>224197.73004406077</v>
      </c>
      <c r="N116" s="5">
        <f>IF(ROW()&lt;=2+2,"",INDEX(Daily_Input!$F:$F,ROW()-3))</f>
        <v>160128.78104252563</v>
      </c>
      <c r="O116" s="5">
        <f>IF(ROW()&lt;=2+6,"",INDEX(Daily_Input!$F:$F,ROW()-7))</f>
        <v>42136.963545253326</v>
      </c>
      <c r="P116" s="5">
        <f>IF(ROW()&lt;=2+13,"",INDEX(Daily_Input!$F:$F,ROW()-14))</f>
        <v>62279.205948142459</v>
      </c>
      <c r="Q116" s="5">
        <f>IF(ROW()&lt;=4,"",SUM(INDEX(Daily_Input!$I:$I,ROW()-2):INDEX(Daily_Input!$I:$I,ROW())))</f>
        <v>0</v>
      </c>
      <c r="R116" s="5">
        <f>IF(ROW()&lt;=8,"",SUM(INDEX(Daily_Input!$I:$I,ROW()-6):INDEX(Daily_Input!$I:$I,ROW())))</f>
        <v>20.6</v>
      </c>
      <c r="S116" s="5">
        <f>IF(ROW()&lt;=15,"",SUM(INDEX(Daily_Input!$I:$I,ROW()-13):INDEX(Daily_Input!$I:$I,ROW())))</f>
        <v>47.2</v>
      </c>
      <c r="T116" s="5">
        <f>IF(ROW()&lt;=4,"",AVERAGE(INDEX(Daily_Input!$F:$F,ROW()-2):INDEX(Daily_Input!$F:$F,ROW())))</f>
        <v>207452.29632064546</v>
      </c>
      <c r="U116" s="5">
        <f>IF(ROW()&lt;=2+0,"",INDEX(Daily_Input!$G:$G,ROW()-1))</f>
        <v>15019.199999999999</v>
      </c>
      <c r="V116" s="5">
        <f>IF(ROW()&lt;=2+0,"",INDEX(Daily_Input!$H:$H,ROW()-1))</f>
        <v>202976.33369999999</v>
      </c>
      <c r="W116" s="5">
        <f>IF(ROW()&lt;=2+1,"",INDEX(Daily_Input!$G:$G,ROW()-2))</f>
        <v>15019.199999999999</v>
      </c>
      <c r="X116" s="5">
        <f>IF(ROW()&lt;=2+1,"",INDEX(Daily_Input!$H:$H,ROW()-2))</f>
        <v>195989.51560000001</v>
      </c>
      <c r="Y116" s="5">
        <f>IF(ROW()&lt;=2+2,"",INDEX(Daily_Input!$G:$G,ROW()-3))</f>
        <v>15019.199999999999</v>
      </c>
      <c r="Z116" s="5">
        <f>IF(ROW()&lt;=2+2,"",INDEX(Daily_Input!$H:$H,ROW()-3))</f>
        <v>118498.07309999999</v>
      </c>
      <c r="AA116" s="5">
        <f>Daily_Input!N116</f>
        <v>0</v>
      </c>
      <c r="AB116" s="5">
        <f>Daily_Input!O116</f>
        <v>0</v>
      </c>
      <c r="AC116" s="5">
        <f>Daily_Input!P116</f>
        <v>3.5000000000000003E-2</v>
      </c>
      <c r="AD116" s="5">
        <f t="shared" si="4"/>
        <v>3.5000000000000003E-2</v>
      </c>
      <c r="AE116" s="5">
        <f t="shared" si="5"/>
        <v>3.5000000000000003E-2</v>
      </c>
      <c r="AF116" s="5">
        <f>IF(A116="","",IFERROR(INDEX(Daily_Input!$F:$F,ROW()+1),""))</f>
        <v>130773.2730821234</v>
      </c>
      <c r="AG116" s="5">
        <f>IF(A116="","",IFERROR(INDEX(Daily_Input!$F:$F,ROW()+2),""))</f>
        <v>77792.348775952967</v>
      </c>
      <c r="AH116" s="5">
        <f>IF(A116="","",IFERROR(INDEX(Daily_Input!$F:$F,ROW()+3),""))</f>
        <v>44784.932004664217</v>
      </c>
    </row>
    <row r="117" spans="1:34">
      <c r="A117" s="5">
        <f>Daily_Input!A117</f>
        <v>45954</v>
      </c>
      <c r="B117" s="5">
        <f>Daily_Input!F117</f>
        <v>130773.2730821234</v>
      </c>
      <c r="C117" s="5">
        <f>Daily_Input!D117</f>
        <v>489.63799999999998</v>
      </c>
      <c r="D117" s="5">
        <f>Daily_Input!E117</f>
        <v>1652616.0060848999</v>
      </c>
      <c r="E117" s="5" cm="1">
        <f t="array" ref="E117">IF(ROW()=2,"",INDEX(Daily_Input!$E:$E,ROW())-INDEX(Daily_Input!$E:$E,ROW()-1))</f>
        <v>-6059.7900618000422</v>
      </c>
      <c r="F117" s="5">
        <f>IFERROR(Daily_Input!E117/Config!$B$4,"")</f>
        <v>1.0167043078718501</v>
      </c>
      <c r="G117" s="5">
        <f>Daily_Input!I117</f>
        <v>0</v>
      </c>
      <c r="H117" s="5">
        <f>IF(A117="","",IF(ROW()=2,G117,Config!$B$5*H116+G117))</f>
        <v>69.924611729036158</v>
      </c>
      <c r="I117" s="5">
        <f t="shared" si="3"/>
        <v>297</v>
      </c>
      <c r="J117" s="5">
        <f>IF(I117="","",SIN(2*PI()*I117/Config!$B$6))</f>
        <v>-0.92097128771663461</v>
      </c>
      <c r="K117" s="5">
        <f>IF(I117="","",COS(2*PI()*I117/Config!$B$6))</f>
        <v>0.38963044953078774</v>
      </c>
      <c r="L117" s="5">
        <f>IF(ROW()&lt;=2+0,"",INDEX(Daily_Input!$F:$F,ROW()-1))</f>
        <v>173020.97051566088</v>
      </c>
      <c r="M117" s="5">
        <f>IF(ROW()&lt;=2+1,"",INDEX(Daily_Input!$F:$F,ROW()-2))</f>
        <v>225138.18840221464</v>
      </c>
      <c r="N117" s="5">
        <f>IF(ROW()&lt;=2+2,"",INDEX(Daily_Input!$F:$F,ROW()-3))</f>
        <v>224197.73004406077</v>
      </c>
      <c r="O117" s="5">
        <f>IF(ROW()&lt;=2+6,"",INDEX(Daily_Input!$F:$F,ROW()-7))</f>
        <v>73149.231376409327</v>
      </c>
      <c r="P117" s="5">
        <f>IF(ROW()&lt;=2+13,"",INDEX(Daily_Input!$F:$F,ROW()-14))</f>
        <v>24086.847755427094</v>
      </c>
      <c r="Q117" s="5">
        <f>IF(ROW()&lt;=4,"",SUM(INDEX(Daily_Input!$I:$I,ROW()-2):INDEX(Daily_Input!$I:$I,ROW())))</f>
        <v>0</v>
      </c>
      <c r="R117" s="5">
        <f>IF(ROW()&lt;=8,"",SUM(INDEX(Daily_Input!$I:$I,ROW()-6):INDEX(Daily_Input!$I:$I,ROW())))</f>
        <v>5.2</v>
      </c>
      <c r="S117" s="5">
        <f>IF(ROW()&lt;=15,"",SUM(INDEX(Daily_Input!$I:$I,ROW()-13):INDEX(Daily_Input!$I:$I,ROW())))</f>
        <v>44.800000000000004</v>
      </c>
      <c r="T117" s="5">
        <f>IF(ROW()&lt;=4,"",AVERAGE(INDEX(Daily_Input!$F:$F,ROW()-2):INDEX(Daily_Input!$F:$F,ROW())))</f>
        <v>176310.81066666628</v>
      </c>
      <c r="U117" s="5">
        <f>IF(ROW()&lt;=2+0,"",INDEX(Daily_Input!$G:$G,ROW()-1))</f>
        <v>15019.199999999999</v>
      </c>
      <c r="V117" s="5">
        <f>IF(ROW()&lt;=2+0,"",INDEX(Daily_Input!$H:$H,ROW()-1))</f>
        <v>162991.95009999999</v>
      </c>
      <c r="W117" s="5">
        <f>IF(ROW()&lt;=2+1,"",INDEX(Daily_Input!$G:$G,ROW()-2))</f>
        <v>15019.199999999999</v>
      </c>
      <c r="X117" s="5">
        <f>IF(ROW()&lt;=2+1,"",INDEX(Daily_Input!$H:$H,ROW()-2))</f>
        <v>202976.33369999999</v>
      </c>
      <c r="Y117" s="5">
        <f>IF(ROW()&lt;=2+2,"",INDEX(Daily_Input!$G:$G,ROW()-3))</f>
        <v>15019.199999999999</v>
      </c>
      <c r="Z117" s="5">
        <f>IF(ROW()&lt;=2+2,"",INDEX(Daily_Input!$H:$H,ROW()-3))</f>
        <v>195989.51560000001</v>
      </c>
      <c r="AA117" s="5">
        <f>Daily_Input!N117</f>
        <v>0</v>
      </c>
      <c r="AB117" s="5">
        <f>Daily_Input!O117</f>
        <v>3.5000000000000003E-2</v>
      </c>
      <c r="AC117" s="5">
        <f>Daily_Input!P117</f>
        <v>1.1659999999999999</v>
      </c>
      <c r="AD117" s="5">
        <f t="shared" si="4"/>
        <v>1.2009999999999998</v>
      </c>
      <c r="AE117" s="5">
        <f t="shared" si="5"/>
        <v>1.1659999999999999</v>
      </c>
      <c r="AF117" s="5">
        <f>IF(A117="","",IFERROR(INDEX(Daily_Input!$F:$F,ROW()+1),""))</f>
        <v>77792.348775952967</v>
      </c>
      <c r="AG117" s="5">
        <f>IF(A117="","",IFERROR(INDEX(Daily_Input!$F:$F,ROW()+2),""))</f>
        <v>44784.932004664217</v>
      </c>
      <c r="AH117" s="5">
        <f>IF(A117="","",IFERROR(INDEX(Daily_Input!$F:$F,ROW()+3),""))</f>
        <v>18567.957467475244</v>
      </c>
    </row>
    <row r="118" spans="1:34">
      <c r="A118" s="5">
        <f>Daily_Input!A118</f>
        <v>45955</v>
      </c>
      <c r="B118" s="5">
        <f>Daily_Input!F118</f>
        <v>77792.348775952967</v>
      </c>
      <c r="C118" s="5">
        <f>Daily_Input!D118</f>
        <v>489.60599999999999</v>
      </c>
      <c r="D118" s="5">
        <f>Daily_Input!E118</f>
        <v>1643538.2164867001</v>
      </c>
      <c r="E118" s="5" cm="1">
        <f t="array" ref="E118">IF(ROW()=2,"",INDEX(Daily_Input!$E:$E,ROW())-INDEX(Daily_Input!$E:$E,ROW()-1))</f>
        <v>-9077.7895981997717</v>
      </c>
      <c r="F118" s="5">
        <f>IFERROR(Daily_Input!E118/Config!$B$4,"")</f>
        <v>1.0111195696407902</v>
      </c>
      <c r="G118" s="5">
        <f>Daily_Input!I118</f>
        <v>0</v>
      </c>
      <c r="H118" s="5">
        <f>IF(A118="","",IF(ROW()=2,G118,Config!$B$5*H117+G118))</f>
        <v>66.428381142584342</v>
      </c>
      <c r="I118" s="5">
        <f t="shared" si="3"/>
        <v>298</v>
      </c>
      <c r="J118" s="5">
        <f>IF(I118="","",SIN(2*PI()*I118/Config!$B$6))</f>
        <v>-0.9141279881853337</v>
      </c>
      <c r="K118" s="5">
        <f>IF(I118="","",COS(2*PI()*I118/Config!$B$6))</f>
        <v>0.40542572835999729</v>
      </c>
      <c r="L118" s="5">
        <f>IF(ROW()&lt;=2+0,"",INDEX(Daily_Input!$F:$F,ROW()-1))</f>
        <v>130773.2730821234</v>
      </c>
      <c r="M118" s="5">
        <f>IF(ROW()&lt;=2+1,"",INDEX(Daily_Input!$F:$F,ROW()-2))</f>
        <v>173020.97051566088</v>
      </c>
      <c r="N118" s="5">
        <f>IF(ROW()&lt;=2+2,"",INDEX(Daily_Input!$F:$F,ROW()-3))</f>
        <v>225138.18840221464</v>
      </c>
      <c r="O118" s="5">
        <f>IF(ROW()&lt;=2+6,"",INDEX(Daily_Input!$F:$F,ROW()-7))</f>
        <v>57575.848315913776</v>
      </c>
      <c r="P118" s="5">
        <f>IF(ROW()&lt;=2+13,"",INDEX(Daily_Input!$F:$F,ROW()-14))</f>
        <v>13139.926765396176</v>
      </c>
      <c r="Q118" s="5">
        <f>IF(ROW()&lt;=4,"",SUM(INDEX(Daily_Input!$I:$I,ROW()-2):INDEX(Daily_Input!$I:$I,ROW())))</f>
        <v>0</v>
      </c>
      <c r="R118" s="5">
        <f>IF(ROW()&lt;=8,"",SUM(INDEX(Daily_Input!$I:$I,ROW()-6):INDEX(Daily_Input!$I:$I,ROW())))</f>
        <v>5.2</v>
      </c>
      <c r="S118" s="5">
        <f>IF(ROW()&lt;=15,"",SUM(INDEX(Daily_Input!$I:$I,ROW()-13):INDEX(Daily_Input!$I:$I,ROW())))</f>
        <v>44.800000000000004</v>
      </c>
      <c r="T118" s="5">
        <f>IF(ROW()&lt;=4,"",AVERAGE(INDEX(Daily_Input!$F:$F,ROW()-2):INDEX(Daily_Input!$F:$F,ROW())))</f>
        <v>127195.53079124575</v>
      </c>
      <c r="U118" s="5">
        <f>IF(ROW()&lt;=2+0,"",INDEX(Daily_Input!$G:$G,ROW()-1))</f>
        <v>15019.199999999999</v>
      </c>
      <c r="V118" s="5">
        <f>IF(ROW()&lt;=2+0,"",INDEX(Daily_Input!$H:$H,ROW()-1))</f>
        <v>120739.24830000001</v>
      </c>
      <c r="W118" s="5">
        <f>IF(ROW()&lt;=2+1,"",INDEX(Daily_Input!$G:$G,ROW()-2))</f>
        <v>15019.199999999999</v>
      </c>
      <c r="X118" s="5">
        <f>IF(ROW()&lt;=2+1,"",INDEX(Daily_Input!$H:$H,ROW()-2))</f>
        <v>162991.95009999999</v>
      </c>
      <c r="Y118" s="5">
        <f>IF(ROW()&lt;=2+2,"",INDEX(Daily_Input!$G:$G,ROW()-3))</f>
        <v>15019.199999999999</v>
      </c>
      <c r="Z118" s="5">
        <f>IF(ROW()&lt;=2+2,"",INDEX(Daily_Input!$H:$H,ROW()-3))</f>
        <v>202976.33369999999</v>
      </c>
      <c r="AA118" s="5">
        <f>Daily_Input!N118</f>
        <v>3.5000000000000003E-2</v>
      </c>
      <c r="AB118" s="5">
        <f>Daily_Input!O118</f>
        <v>1.1659999999999999</v>
      </c>
      <c r="AC118" s="5">
        <f>Daily_Input!P118</f>
        <v>0.56899999999999995</v>
      </c>
      <c r="AD118" s="5">
        <f t="shared" si="4"/>
        <v>1.7699999999999998</v>
      </c>
      <c r="AE118" s="5">
        <f t="shared" si="5"/>
        <v>1.1659999999999999</v>
      </c>
      <c r="AF118" s="5">
        <f>IF(A118="","",IFERROR(INDEX(Daily_Input!$F:$F,ROW()+1),""))</f>
        <v>44784.932004664217</v>
      </c>
      <c r="AG118" s="5">
        <f>IF(A118="","",IFERROR(INDEX(Daily_Input!$F:$F,ROW()+2),""))</f>
        <v>18567.957467475244</v>
      </c>
      <c r="AH118" s="5">
        <f>IF(A118="","",IFERROR(INDEX(Daily_Input!$F:$F,ROW()+3),""))</f>
        <v>10123.898591554334</v>
      </c>
    </row>
    <row r="119" spans="1:34">
      <c r="A119" s="5">
        <f>Daily_Input!A119</f>
        <v>45956</v>
      </c>
      <c r="B119" s="5">
        <f>Daily_Input!F119</f>
        <v>44784.932004664217</v>
      </c>
      <c r="C119" s="5">
        <f>Daily_Input!D119</f>
        <v>489.58699999999999</v>
      </c>
      <c r="D119" s="5">
        <f>Daily_Input!E119</f>
        <v>1637507.2197397</v>
      </c>
      <c r="E119" s="5" cm="1">
        <f t="array" ref="E119">IF(ROW()=2,"",INDEX(Daily_Input!$E:$E,ROW())-INDEX(Daily_Input!$E:$E,ROW()-1))</f>
        <v>-6030.9967470001429</v>
      </c>
      <c r="F119" s="5">
        <f>IFERROR(Daily_Input!E119/Config!$B$4,"")</f>
        <v>1.0074092459171549</v>
      </c>
      <c r="G119" s="5">
        <f>Daily_Input!I119</f>
        <v>0</v>
      </c>
      <c r="H119" s="5">
        <f>IF(A119="","",IF(ROW()=2,G119,Config!$B$5*H118+G119))</f>
        <v>63.106962085455123</v>
      </c>
      <c r="I119" s="5">
        <f t="shared" si="3"/>
        <v>299</v>
      </c>
      <c r="J119" s="5">
        <f>IF(I119="","",SIN(2*PI()*I119/Config!$B$6))</f>
        <v>-0.90701381280263615</v>
      </c>
      <c r="K119" s="5">
        <f>IF(I119="","",COS(2*PI()*I119/Config!$B$6))</f>
        <v>0.42110087079608916</v>
      </c>
      <c r="L119" s="5">
        <f>IF(ROW()&lt;=2+0,"",INDEX(Daily_Input!$F:$F,ROW()-1))</f>
        <v>77792.348775952967</v>
      </c>
      <c r="M119" s="5">
        <f>IF(ROW()&lt;=2+1,"",INDEX(Daily_Input!$F:$F,ROW()-2))</f>
        <v>130773.2730821234</v>
      </c>
      <c r="N119" s="5">
        <f>IF(ROW()&lt;=2+2,"",INDEX(Daily_Input!$F:$F,ROW()-3))</f>
        <v>173020.97051566088</v>
      </c>
      <c r="O119" s="5">
        <f>IF(ROW()&lt;=2+6,"",INDEX(Daily_Input!$F:$F,ROW()-7))</f>
        <v>59597.44767041102</v>
      </c>
      <c r="P119" s="5">
        <f>IF(ROW()&lt;=2+13,"",INDEX(Daily_Input!$F:$F,ROW()-14))</f>
        <v>10229.760917854082</v>
      </c>
      <c r="Q119" s="5">
        <f>IF(ROW()&lt;=4,"",SUM(INDEX(Daily_Input!$I:$I,ROW()-2):INDEX(Daily_Input!$I:$I,ROW())))</f>
        <v>0</v>
      </c>
      <c r="R119" s="5">
        <f>IF(ROW()&lt;=8,"",SUM(INDEX(Daily_Input!$I:$I,ROW()-6):INDEX(Daily_Input!$I:$I,ROW())))</f>
        <v>5.2</v>
      </c>
      <c r="S119" s="5">
        <f>IF(ROW()&lt;=15,"",SUM(INDEX(Daily_Input!$I:$I,ROW()-13):INDEX(Daily_Input!$I:$I,ROW())))</f>
        <v>44.800000000000004</v>
      </c>
      <c r="T119" s="5">
        <f>IF(ROW()&lt;=4,"",AVERAGE(INDEX(Daily_Input!$F:$F,ROW()-2):INDEX(Daily_Input!$F:$F,ROW())))</f>
        <v>84450.184620913526</v>
      </c>
      <c r="U119" s="5">
        <f>IF(ROW()&lt;=2+0,"",INDEX(Daily_Input!$G:$G,ROW()-1))</f>
        <v>15019.199999999999</v>
      </c>
      <c r="V119" s="5">
        <f>IF(ROW()&lt;=2+0,"",INDEX(Daily_Input!$H:$H,ROW()-1))</f>
        <v>70780.242159999994</v>
      </c>
      <c r="W119" s="5">
        <f>IF(ROW()&lt;=2+1,"",INDEX(Daily_Input!$G:$G,ROW()-2))</f>
        <v>15019.199999999999</v>
      </c>
      <c r="X119" s="5">
        <f>IF(ROW()&lt;=2+1,"",INDEX(Daily_Input!$H:$H,ROW()-2))</f>
        <v>120739.24830000001</v>
      </c>
      <c r="Y119" s="5">
        <f>IF(ROW()&lt;=2+2,"",INDEX(Daily_Input!$G:$G,ROW()-3))</f>
        <v>15019.199999999999</v>
      </c>
      <c r="Z119" s="5">
        <f>IF(ROW()&lt;=2+2,"",INDEX(Daily_Input!$H:$H,ROW()-3))</f>
        <v>162991.95009999999</v>
      </c>
      <c r="AA119" s="5">
        <f>Daily_Input!N119</f>
        <v>1.1659999999999999</v>
      </c>
      <c r="AB119" s="5">
        <f>Daily_Input!O119</f>
        <v>0.56899999999999995</v>
      </c>
      <c r="AC119" s="5">
        <f>Daily_Input!P119</f>
        <v>4.3999999999999997E-2</v>
      </c>
      <c r="AD119" s="5">
        <f t="shared" si="4"/>
        <v>1.7789999999999999</v>
      </c>
      <c r="AE119" s="5">
        <f t="shared" si="5"/>
        <v>1.1659999999999999</v>
      </c>
      <c r="AF119" s="5">
        <f>IF(A119="","",IFERROR(INDEX(Daily_Input!$F:$F,ROW()+1),""))</f>
        <v>18567.957467475244</v>
      </c>
      <c r="AG119" s="5">
        <f>IF(A119="","",IFERROR(INDEX(Daily_Input!$F:$F,ROW()+2),""))</f>
        <v>10123.898591554334</v>
      </c>
      <c r="AH119" s="5">
        <f>IF(A119="","",IFERROR(INDEX(Daily_Input!$F:$F,ROW()+3),""))</f>
        <v>10072.899036310992</v>
      </c>
    </row>
    <row r="120" spans="1:34">
      <c r="A120" s="5">
        <f>Daily_Input!A120</f>
        <v>45957</v>
      </c>
      <c r="B120" s="5">
        <f>Daily_Input!F120</f>
        <v>18567.957467475244</v>
      </c>
      <c r="C120" s="5">
        <f>Daily_Input!D120</f>
        <v>489.56099999999998</v>
      </c>
      <c r="D120" s="5">
        <f>Daily_Input!E120</f>
        <v>1631482.3951735001</v>
      </c>
      <c r="E120" s="5" cm="1">
        <f t="array" ref="E120">IF(ROW()=2,"",INDEX(Daily_Input!$E:$E,ROW())-INDEX(Daily_Input!$E:$E,ROW()-1))</f>
        <v>-6024.8245661999099</v>
      </c>
      <c r="F120" s="5">
        <f>IFERROR(Daily_Input!E120/Config!$B$4,"")</f>
        <v>1.0037027193749493</v>
      </c>
      <c r="G120" s="5">
        <f>Daily_Input!I120</f>
        <v>0</v>
      </c>
      <c r="H120" s="5">
        <f>IF(A120="","",IF(ROW()=2,G120,Config!$B$5*H119+G120))</f>
        <v>59.951613981182362</v>
      </c>
      <c r="I120" s="5">
        <f t="shared" si="3"/>
        <v>300</v>
      </c>
      <c r="J120" s="5">
        <f>IF(I120="","",SIN(2*PI()*I120/Config!$B$6))</f>
        <v>-0.89963086965224337</v>
      </c>
      <c r="K120" s="5">
        <f>IF(I120="","",COS(2*PI()*I120/Config!$B$6))</f>
        <v>0.43665123195606381</v>
      </c>
      <c r="L120" s="5">
        <f>IF(ROW()&lt;=2+0,"",INDEX(Daily_Input!$F:$F,ROW()-1))</f>
        <v>44784.932004664217</v>
      </c>
      <c r="M120" s="5">
        <f>IF(ROW()&lt;=2+1,"",INDEX(Daily_Input!$F:$F,ROW()-2))</f>
        <v>77792.348775952967</v>
      </c>
      <c r="N120" s="5">
        <f>IF(ROW()&lt;=2+2,"",INDEX(Daily_Input!$F:$F,ROW()-3))</f>
        <v>130773.2730821234</v>
      </c>
      <c r="O120" s="5">
        <f>IF(ROW()&lt;=2+6,"",INDEX(Daily_Input!$F:$F,ROW()-7))</f>
        <v>160128.78104252563</v>
      </c>
      <c r="P120" s="5">
        <f>IF(ROW()&lt;=2+13,"",INDEX(Daily_Input!$F:$F,ROW()-14))</f>
        <v>10232.383184925226</v>
      </c>
      <c r="Q120" s="5">
        <f>IF(ROW()&lt;=4,"",SUM(INDEX(Daily_Input!$I:$I,ROW()-2):INDEX(Daily_Input!$I:$I,ROW())))</f>
        <v>0</v>
      </c>
      <c r="R120" s="5">
        <f>IF(ROW()&lt;=8,"",SUM(INDEX(Daily_Input!$I:$I,ROW()-6):INDEX(Daily_Input!$I:$I,ROW())))</f>
        <v>0</v>
      </c>
      <c r="S120" s="5">
        <f>IF(ROW()&lt;=15,"",SUM(INDEX(Daily_Input!$I:$I,ROW()-13):INDEX(Daily_Input!$I:$I,ROW())))</f>
        <v>44.800000000000004</v>
      </c>
      <c r="T120" s="5">
        <f>IF(ROW()&lt;=4,"",AVERAGE(INDEX(Daily_Input!$F:$F,ROW()-2):INDEX(Daily_Input!$F:$F,ROW())))</f>
        <v>47048.412749364135</v>
      </c>
      <c r="U120" s="5">
        <f>IF(ROW()&lt;=2+0,"",INDEX(Daily_Input!$G:$G,ROW()-1))</f>
        <v>15019.199999999999</v>
      </c>
      <c r="V120" s="5">
        <f>IF(ROW()&lt;=2+0,"",INDEX(Daily_Input!$H:$H,ROW()-1))</f>
        <v>34727.267890000003</v>
      </c>
      <c r="W120" s="5">
        <f>IF(ROW()&lt;=2+1,"",INDEX(Daily_Input!$G:$G,ROW()-2))</f>
        <v>15019.199999999999</v>
      </c>
      <c r="X120" s="5">
        <f>IF(ROW()&lt;=2+1,"",INDEX(Daily_Input!$H:$H,ROW()-2))</f>
        <v>70780.242159999994</v>
      </c>
      <c r="Y120" s="5">
        <f>IF(ROW()&lt;=2+2,"",INDEX(Daily_Input!$G:$G,ROW()-3))</f>
        <v>15019.199999999999</v>
      </c>
      <c r="Z120" s="5">
        <f>IF(ROW()&lt;=2+2,"",INDEX(Daily_Input!$H:$H,ROW()-3))</f>
        <v>120739.24830000001</v>
      </c>
      <c r="AA120" s="5">
        <f>Daily_Input!N120</f>
        <v>0.56899999999999995</v>
      </c>
      <c r="AB120" s="5">
        <f>Daily_Input!O120</f>
        <v>4.3999999999999997E-2</v>
      </c>
      <c r="AC120" s="5">
        <f>Daily_Input!P120</f>
        <v>8.9999999999999993E-3</v>
      </c>
      <c r="AD120" s="5">
        <f t="shared" si="4"/>
        <v>0.622</v>
      </c>
      <c r="AE120" s="5">
        <f t="shared" si="5"/>
        <v>0.56899999999999995</v>
      </c>
      <c r="AF120" s="5">
        <f>IF(A120="","",IFERROR(INDEX(Daily_Input!$F:$F,ROW()+1),""))</f>
        <v>10123.898591554334</v>
      </c>
      <c r="AG120" s="5">
        <f>IF(A120="","",IFERROR(INDEX(Daily_Input!$F:$F,ROW()+2),""))</f>
        <v>10072.899036310992</v>
      </c>
      <c r="AH120" s="5">
        <f>IF(A120="","",IFERROR(INDEX(Daily_Input!$F:$F,ROW()+3),""))</f>
        <v>10077.865167052254</v>
      </c>
    </row>
    <row r="121" spans="1:34">
      <c r="A121" s="5">
        <f>Daily_Input!A121</f>
        <v>45958</v>
      </c>
      <c r="B121" s="5">
        <f>Daily_Input!F121</f>
        <v>10123.898591554334</v>
      </c>
      <c r="C121" s="5">
        <f>Daily_Input!D121</f>
        <v>489.54199999999997</v>
      </c>
      <c r="D121" s="5">
        <f>Daily_Input!E121</f>
        <v>1625463.7590197001</v>
      </c>
      <c r="E121" s="5" cm="1">
        <f t="array" ref="E121">IF(ROW()=2,"",INDEX(Daily_Input!$E:$E,ROW())-INDEX(Daily_Input!$E:$E,ROW()-1))</f>
        <v>-6018.6361537999474</v>
      </c>
      <c r="F121" s="5">
        <f>IFERROR(Daily_Input!E121/Config!$B$4,"")</f>
        <v>1</v>
      </c>
      <c r="G121" s="5">
        <f>Daily_Input!I121</f>
        <v>0</v>
      </c>
      <c r="H121" s="5">
        <f>IF(A121="","",IF(ROW()=2,G121,Config!$B$5*H120+G121))</f>
        <v>56.954033282123241</v>
      </c>
      <c r="I121" s="5">
        <f t="shared" si="3"/>
        <v>301</v>
      </c>
      <c r="J121" s="5">
        <f>IF(I121="","",SIN(2*PI()*I121/Config!$B$6))</f>
        <v>-0.89198134645954874</v>
      </c>
      <c r="K121" s="5">
        <f>IF(I121="","",COS(2*PI()*I121/Config!$B$6))</f>
        <v>0.45207220393230374</v>
      </c>
      <c r="L121" s="5">
        <f>IF(ROW()&lt;=2+0,"",INDEX(Daily_Input!$F:$F,ROW()-1))</f>
        <v>18567.957467475244</v>
      </c>
      <c r="M121" s="5">
        <f>IF(ROW()&lt;=2+1,"",INDEX(Daily_Input!$F:$F,ROW()-2))</f>
        <v>44784.932004664217</v>
      </c>
      <c r="N121" s="5">
        <f>IF(ROW()&lt;=2+2,"",INDEX(Daily_Input!$F:$F,ROW()-3))</f>
        <v>77792.348775952967</v>
      </c>
      <c r="O121" s="5">
        <f>IF(ROW()&lt;=2+6,"",INDEX(Daily_Input!$F:$F,ROW()-7))</f>
        <v>224197.73004406077</v>
      </c>
      <c r="P121" s="5">
        <f>IF(ROW()&lt;=2+13,"",INDEX(Daily_Input!$F:$F,ROW()-14))</f>
        <v>9595.3837436983231</v>
      </c>
      <c r="Q121" s="5">
        <f>IF(ROW()&lt;=4,"",SUM(INDEX(Daily_Input!$I:$I,ROW()-2):INDEX(Daily_Input!$I:$I,ROW())))</f>
        <v>0</v>
      </c>
      <c r="R121" s="5">
        <f>IF(ROW()&lt;=8,"",SUM(INDEX(Daily_Input!$I:$I,ROW()-6):INDEX(Daily_Input!$I:$I,ROW())))</f>
        <v>0</v>
      </c>
      <c r="S121" s="5">
        <f>IF(ROW()&lt;=15,"",SUM(INDEX(Daily_Input!$I:$I,ROW()-13):INDEX(Daily_Input!$I:$I,ROW())))</f>
        <v>42.6</v>
      </c>
      <c r="T121" s="5">
        <f>IF(ROW()&lt;=4,"",AVERAGE(INDEX(Daily_Input!$F:$F,ROW()-2):INDEX(Daily_Input!$F:$F,ROW())))</f>
        <v>24492.262687897932</v>
      </c>
      <c r="U121" s="5">
        <f>IF(ROW()&lt;=2+0,"",INDEX(Daily_Input!$G:$G,ROW()-1))</f>
        <v>15019.199999999999</v>
      </c>
      <c r="V121" s="5">
        <f>IF(ROW()&lt;=2+0,"",INDEX(Daily_Input!$H:$H,ROW()-1))</f>
        <v>8505.2347019999997</v>
      </c>
      <c r="W121" s="5">
        <f>IF(ROW()&lt;=2+1,"",INDEX(Daily_Input!$G:$G,ROW()-2))</f>
        <v>15019.199999999999</v>
      </c>
      <c r="X121" s="5">
        <f>IF(ROW()&lt;=2+1,"",INDEX(Daily_Input!$H:$H,ROW()-2))</f>
        <v>34727.267890000003</v>
      </c>
      <c r="Y121" s="5">
        <f>IF(ROW()&lt;=2+2,"",INDEX(Daily_Input!$G:$G,ROW()-3))</f>
        <v>15019.199999999999</v>
      </c>
      <c r="Z121" s="5">
        <f>IF(ROW()&lt;=2+2,"",INDEX(Daily_Input!$H:$H,ROW()-3))</f>
        <v>70780.242159999994</v>
      </c>
      <c r="AA121" s="5">
        <f>Daily_Input!N121</f>
        <v>4.3999999999999997E-2</v>
      </c>
      <c r="AB121" s="5">
        <f>Daily_Input!O121</f>
        <v>8.9999999999999993E-3</v>
      </c>
      <c r="AC121" s="5">
        <f>Daily_Input!P121</f>
        <v>0.21099999999999999</v>
      </c>
      <c r="AD121" s="5">
        <f t="shared" si="4"/>
        <v>0.26400000000000001</v>
      </c>
      <c r="AE121" s="5">
        <f t="shared" si="5"/>
        <v>0.21099999999999999</v>
      </c>
      <c r="AF121" s="5">
        <f>IF(A121="","",IFERROR(INDEX(Daily_Input!$F:$F,ROW()+1),""))</f>
        <v>10072.899036310992</v>
      </c>
      <c r="AG121" s="5">
        <f>IF(A121="","",IFERROR(INDEX(Daily_Input!$F:$F,ROW()+2),""))</f>
        <v>10077.865167052254</v>
      </c>
      <c r="AH121" s="5">
        <f>IF(A121="","",IFERROR(INDEX(Daily_Input!$F:$F,ROW()+3),""))</f>
        <v>10082.828486909842</v>
      </c>
    </row>
    <row r="122" spans="1:34">
      <c r="A122" s="5">
        <f>Daily_Input!A122</f>
        <v>45959</v>
      </c>
      <c r="B122" s="5">
        <f>Daily_Input!F122</f>
        <v>10072.899036310992</v>
      </c>
      <c r="C122" s="5">
        <f>Daily_Input!D122</f>
        <v>489.52100000000002</v>
      </c>
      <c r="D122" s="5">
        <f>Daily_Input!E122</f>
        <v>1619451.3170382001</v>
      </c>
      <c r="E122" s="5" cm="1">
        <f t="array" ref="E122">IF(ROW()=2,"",INDEX(Daily_Input!$E:$E,ROW())-INDEX(Daily_Input!$E:$E,ROW()-1))</f>
        <v>-6012.4419815000147</v>
      </c>
      <c r="F122" s="5">
        <f>IFERROR(Daily_Input!E122/Config!$B$4,"")</f>
        <v>0.99630109133584988</v>
      </c>
      <c r="G122" s="5">
        <f>Daily_Input!I122</f>
        <v>0</v>
      </c>
      <c r="H122" s="5">
        <f>IF(A122="","",IF(ROW()=2,G122,Config!$B$5*H121+G122))</f>
        <v>54.106331618017073</v>
      </c>
      <c r="I122" s="5">
        <f t="shared" si="3"/>
        <v>302</v>
      </c>
      <c r="J122" s="5">
        <f>IF(I122="","",SIN(2*PI()*I122/Config!$B$6))</f>
        <v>-0.88406750994336369</v>
      </c>
      <c r="K122" s="5">
        <f>IF(I122="","",COS(2*PI()*I122/Config!$B$6))</f>
        <v>0.46735921715800205</v>
      </c>
      <c r="L122" s="5">
        <f>IF(ROW()&lt;=2+0,"",INDEX(Daily_Input!$F:$F,ROW()-1))</f>
        <v>10123.898591554334</v>
      </c>
      <c r="M122" s="5">
        <f>IF(ROW()&lt;=2+1,"",INDEX(Daily_Input!$F:$F,ROW()-2))</f>
        <v>18567.957467475244</v>
      </c>
      <c r="N122" s="5">
        <f>IF(ROW()&lt;=2+2,"",INDEX(Daily_Input!$F:$F,ROW()-3))</f>
        <v>44784.932004664217</v>
      </c>
      <c r="O122" s="5">
        <f>IF(ROW()&lt;=2+6,"",INDEX(Daily_Input!$F:$F,ROW()-7))</f>
        <v>225138.18840221464</v>
      </c>
      <c r="P122" s="5">
        <f>IF(ROW()&lt;=2+13,"",INDEX(Daily_Input!$F:$F,ROW()-14))</f>
        <v>41838.353770982081</v>
      </c>
      <c r="Q122" s="5">
        <f>IF(ROW()&lt;=4,"",SUM(INDEX(Daily_Input!$I:$I,ROW()-2):INDEX(Daily_Input!$I:$I,ROW())))</f>
        <v>0</v>
      </c>
      <c r="R122" s="5">
        <f>IF(ROW()&lt;=8,"",SUM(INDEX(Daily_Input!$I:$I,ROW()-6):INDEX(Daily_Input!$I:$I,ROW())))</f>
        <v>0</v>
      </c>
      <c r="S122" s="5">
        <f>IF(ROW()&lt;=15,"",SUM(INDEX(Daily_Input!$I:$I,ROW()-13):INDEX(Daily_Input!$I:$I,ROW())))</f>
        <v>41.2</v>
      </c>
      <c r="T122" s="5">
        <f>IF(ROW()&lt;=4,"",AVERAGE(INDEX(Daily_Input!$F:$F,ROW()-2):INDEX(Daily_Input!$F:$F,ROW())))</f>
        <v>12921.585031780191</v>
      </c>
      <c r="U122" s="5">
        <f>IF(ROW()&lt;=2+0,"",INDEX(Daily_Input!$G:$G,ROW()-1))</f>
        <v>15019.199999999999</v>
      </c>
      <c r="V122" s="5">
        <f>IF(ROW()&lt;=2+0,"",INDEX(Daily_Input!$H:$H,ROW()-1))</f>
        <v>56.094737610000003</v>
      </c>
      <c r="W122" s="5">
        <f>IF(ROW()&lt;=2+1,"",INDEX(Daily_Input!$G:$G,ROW()-2))</f>
        <v>15019.199999999999</v>
      </c>
      <c r="X122" s="5">
        <f>IF(ROW()&lt;=2+1,"",INDEX(Daily_Input!$H:$H,ROW()-2))</f>
        <v>8505.2347019999997</v>
      </c>
      <c r="Y122" s="5">
        <f>IF(ROW()&lt;=2+2,"",INDEX(Daily_Input!$G:$G,ROW()-3))</f>
        <v>15019.199999999999</v>
      </c>
      <c r="Z122" s="5">
        <f>IF(ROW()&lt;=2+2,"",INDEX(Daily_Input!$H:$H,ROW()-3))</f>
        <v>34727.267890000003</v>
      </c>
      <c r="AA122" s="5">
        <f>Daily_Input!N122</f>
        <v>8.9999999999999993E-3</v>
      </c>
      <c r="AB122" s="5">
        <f>Daily_Input!O122</f>
        <v>0.21099999999999999</v>
      </c>
      <c r="AC122" s="5">
        <f>Daily_Input!P122</f>
        <v>0.84799999999999998</v>
      </c>
      <c r="AD122" s="5">
        <f t="shared" si="4"/>
        <v>1.0680000000000001</v>
      </c>
      <c r="AE122" s="5">
        <f t="shared" si="5"/>
        <v>0.84799999999999998</v>
      </c>
      <c r="AF122" s="5">
        <f>IF(A122="","",IFERROR(INDEX(Daily_Input!$F:$F,ROW()+1),""))</f>
        <v>10077.865167052254</v>
      </c>
      <c r="AG122" s="5">
        <f>IF(A122="","",IFERROR(INDEX(Daily_Input!$F:$F,ROW()+2),""))</f>
        <v>10082.828486909842</v>
      </c>
      <c r="AH122" s="5">
        <f>IF(A122="","",IFERROR(INDEX(Daily_Input!$F:$F,ROW()+3),""))</f>
        <v>8473.8119836439928</v>
      </c>
    </row>
    <row r="123" spans="1:34">
      <c r="A123" s="5">
        <f>Daily_Input!A123</f>
        <v>45960</v>
      </c>
      <c r="B123" s="5">
        <f>Daily_Input!F123</f>
        <v>10077.865167052254</v>
      </c>
      <c r="C123" s="5">
        <f>Daily_Input!D123</f>
        <v>489.50198</v>
      </c>
      <c r="D123" s="5">
        <f>Daily_Input!E123</f>
        <v>1613444.9319478001</v>
      </c>
      <c r="E123" s="5" cm="1">
        <f t="array" ref="E123">IF(ROW()=2,"",INDEX(Daily_Input!$E:$E,ROW())-INDEX(Daily_Input!$E:$E,ROW()-1))</f>
        <v>-6006.3850903999992</v>
      </c>
      <c r="F123" s="5">
        <f>IFERROR(Daily_Input!E123/Config!$B$4,"")</f>
        <v>0.99260590892586342</v>
      </c>
      <c r="G123" s="5">
        <f>Daily_Input!I123</f>
        <v>0</v>
      </c>
      <c r="H123" s="5">
        <f>IF(A123="","",IF(ROW()=2,G123,Config!$B$5*H122+G123))</f>
        <v>51.401015037116217</v>
      </c>
      <c r="I123" s="5">
        <f t="shared" si="3"/>
        <v>303</v>
      </c>
      <c r="J123" s="5">
        <f>IF(I123="","",SIN(2*PI()*I123/Config!$B$6))</f>
        <v>-0.8758917051442433</v>
      </c>
      <c r="K123" s="5">
        <f>IF(I123="","",COS(2*PI()*I123/Config!$B$6))</f>
        <v>0.48250774176121763</v>
      </c>
      <c r="L123" s="5">
        <f>IF(ROW()&lt;=2+0,"",INDEX(Daily_Input!$F:$F,ROW()-1))</f>
        <v>10072.899036310992</v>
      </c>
      <c r="M123" s="5">
        <f>IF(ROW()&lt;=2+1,"",INDEX(Daily_Input!$F:$F,ROW()-2))</f>
        <v>10123.898591554334</v>
      </c>
      <c r="N123" s="5">
        <f>IF(ROW()&lt;=2+2,"",INDEX(Daily_Input!$F:$F,ROW()-3))</f>
        <v>18567.957467475244</v>
      </c>
      <c r="O123" s="5">
        <f>IF(ROW()&lt;=2+6,"",INDEX(Daily_Input!$F:$F,ROW()-7))</f>
        <v>173020.97051566088</v>
      </c>
      <c r="P123" s="5">
        <f>IF(ROW()&lt;=2+13,"",INDEX(Daily_Input!$F:$F,ROW()-14))</f>
        <v>42136.963545253326</v>
      </c>
      <c r="Q123" s="5">
        <f>IF(ROW()&lt;=4,"",SUM(INDEX(Daily_Input!$I:$I,ROW()-2):INDEX(Daily_Input!$I:$I,ROW())))</f>
        <v>0</v>
      </c>
      <c r="R123" s="5">
        <f>IF(ROW()&lt;=8,"",SUM(INDEX(Daily_Input!$I:$I,ROW()-6):INDEX(Daily_Input!$I:$I,ROW())))</f>
        <v>0</v>
      </c>
      <c r="S123" s="5">
        <f>IF(ROW()&lt;=15,"",SUM(INDEX(Daily_Input!$I:$I,ROW()-13):INDEX(Daily_Input!$I:$I,ROW())))</f>
        <v>20.6</v>
      </c>
      <c r="T123" s="5">
        <f>IF(ROW()&lt;=4,"",AVERAGE(INDEX(Daily_Input!$F:$F,ROW()-2):INDEX(Daily_Input!$F:$F,ROW())))</f>
        <v>10091.554264972527</v>
      </c>
      <c r="U123" s="5">
        <f>IF(ROW()&lt;=2+0,"",INDEX(Daily_Input!$G:$G,ROW()-1))</f>
        <v>15019.199999999999</v>
      </c>
      <c r="V123" s="5">
        <f>IF(ROW()&lt;=2+0,"",INDEX(Daily_Input!$H:$H,ROW()-1))</f>
        <v>0</v>
      </c>
      <c r="W123" s="5">
        <f>IF(ROW()&lt;=2+1,"",INDEX(Daily_Input!$G:$G,ROW()-2))</f>
        <v>15019.199999999999</v>
      </c>
      <c r="X123" s="5">
        <f>IF(ROW()&lt;=2+1,"",INDEX(Daily_Input!$H:$H,ROW()-2))</f>
        <v>56.094737610000003</v>
      </c>
      <c r="Y123" s="5">
        <f>IF(ROW()&lt;=2+2,"",INDEX(Daily_Input!$G:$G,ROW()-3))</f>
        <v>15019.199999999999</v>
      </c>
      <c r="Z123" s="5">
        <f>IF(ROW()&lt;=2+2,"",INDEX(Daily_Input!$H:$H,ROW()-3))</f>
        <v>8505.2347019999997</v>
      </c>
      <c r="AA123" s="5">
        <f>Daily_Input!N123</f>
        <v>0.21099999999999999</v>
      </c>
      <c r="AB123" s="5">
        <f>Daily_Input!O123</f>
        <v>0.84799999999999998</v>
      </c>
      <c r="AC123" s="5">
        <f>Daily_Input!P123</f>
        <v>0.105</v>
      </c>
      <c r="AD123" s="5">
        <f t="shared" si="4"/>
        <v>1.1639999999999999</v>
      </c>
      <c r="AE123" s="5">
        <f t="shared" si="5"/>
        <v>0.84799999999999998</v>
      </c>
      <c r="AF123" s="5">
        <f>IF(A123="","",IFERROR(INDEX(Daily_Input!$F:$F,ROW()+1),""))</f>
        <v>10082.828486909842</v>
      </c>
      <c r="AG123" s="5">
        <f>IF(A123="","",IFERROR(INDEX(Daily_Input!$F:$F,ROW()+2),""))</f>
        <v>8473.8119836439928</v>
      </c>
      <c r="AH123" s="5">
        <f>IF(A123="","",IFERROR(INDEX(Daily_Input!$F:$F,ROW()+3),""))</f>
        <v>13211.637814588374</v>
      </c>
    </row>
    <row r="124" spans="1:34">
      <c r="A124" s="5">
        <f>Daily_Input!A124</f>
        <v>45961</v>
      </c>
      <c r="B124" s="5">
        <f>Daily_Input!F124</f>
        <v>10082.828486909842</v>
      </c>
      <c r="C124" s="5">
        <f>Daily_Input!D124</f>
        <v>489.483</v>
      </c>
      <c r="D124" s="5">
        <f>Daily_Input!E124</f>
        <v>1607444.5930314001</v>
      </c>
      <c r="E124" s="5" cm="1">
        <f t="array" ref="E124">IF(ROW()=2,"",INDEX(Daily_Input!$E:$E,ROW())-INDEX(Daily_Input!$E:$E,ROW()-1))</f>
        <v>-6000.3389163999818</v>
      </c>
      <c r="F124" s="5">
        <f>IFERROR(Daily_Input!E124/Config!$B$4,"")</f>
        <v>0.98891444617678392</v>
      </c>
      <c r="G124" s="5">
        <f>Daily_Input!I124</f>
        <v>0</v>
      </c>
      <c r="H124" s="5">
        <f>IF(A124="","",IF(ROW()=2,G124,Config!$B$5*H123+G124))</f>
        <v>48.830964285260407</v>
      </c>
      <c r="I124" s="5">
        <f t="shared" si="3"/>
        <v>304</v>
      </c>
      <c r="J124" s="5">
        <f>IF(I124="","",SIN(2*PI()*I124/Config!$B$6))</f>
        <v>-0.86745635472959715</v>
      </c>
      <c r="K124" s="5">
        <f>IF(I124="","",COS(2*PI()*I124/Config!$B$6))</f>
        <v>0.49751328890718027</v>
      </c>
      <c r="L124" s="5">
        <f>IF(ROW()&lt;=2+0,"",INDEX(Daily_Input!$F:$F,ROW()-1))</f>
        <v>10077.865167052254</v>
      </c>
      <c r="M124" s="5">
        <f>IF(ROW()&lt;=2+1,"",INDEX(Daily_Input!$F:$F,ROW()-2))</f>
        <v>10072.899036310992</v>
      </c>
      <c r="N124" s="5">
        <f>IF(ROW()&lt;=2+2,"",INDEX(Daily_Input!$F:$F,ROW()-3))</f>
        <v>10123.898591554334</v>
      </c>
      <c r="O124" s="5">
        <f>IF(ROW()&lt;=2+6,"",INDEX(Daily_Input!$F:$F,ROW()-7))</f>
        <v>130773.2730821234</v>
      </c>
      <c r="P124" s="5">
        <f>IF(ROW()&lt;=2+13,"",INDEX(Daily_Input!$F:$F,ROW()-14))</f>
        <v>73149.231376409327</v>
      </c>
      <c r="Q124" s="5">
        <f>IF(ROW()&lt;=4,"",SUM(INDEX(Daily_Input!$I:$I,ROW()-2):INDEX(Daily_Input!$I:$I,ROW())))</f>
        <v>0</v>
      </c>
      <c r="R124" s="5">
        <f>IF(ROW()&lt;=8,"",SUM(INDEX(Daily_Input!$I:$I,ROW()-6):INDEX(Daily_Input!$I:$I,ROW())))</f>
        <v>0</v>
      </c>
      <c r="S124" s="5">
        <f>IF(ROW()&lt;=15,"",SUM(INDEX(Daily_Input!$I:$I,ROW()-13):INDEX(Daily_Input!$I:$I,ROW())))</f>
        <v>5.2</v>
      </c>
      <c r="T124" s="5">
        <f>IF(ROW()&lt;=4,"",AVERAGE(INDEX(Daily_Input!$F:$F,ROW()-2):INDEX(Daily_Input!$F:$F,ROW())))</f>
        <v>10077.864230091029</v>
      </c>
      <c r="U124" s="5">
        <f>IF(ROW()&lt;=2+0,"",INDEX(Daily_Input!$G:$G,ROW()-1))</f>
        <v>15019.199999999999</v>
      </c>
      <c r="V124" s="5">
        <f>IF(ROW()&lt;=2+0,"",INDEX(Daily_Input!$H:$H,ROW()-1))</f>
        <v>0</v>
      </c>
      <c r="W124" s="5">
        <f>IF(ROW()&lt;=2+1,"",INDEX(Daily_Input!$G:$G,ROW()-2))</f>
        <v>15019.199999999999</v>
      </c>
      <c r="X124" s="5">
        <f>IF(ROW()&lt;=2+1,"",INDEX(Daily_Input!$H:$H,ROW()-2))</f>
        <v>0</v>
      </c>
      <c r="Y124" s="5">
        <f>IF(ROW()&lt;=2+2,"",INDEX(Daily_Input!$G:$G,ROW()-3))</f>
        <v>15019.199999999999</v>
      </c>
      <c r="Z124" s="5">
        <f>IF(ROW()&lt;=2+2,"",INDEX(Daily_Input!$H:$H,ROW()-3))</f>
        <v>56.094737610000003</v>
      </c>
      <c r="AA124" s="5">
        <f>Daily_Input!N124</f>
        <v>0.84799999999999998</v>
      </c>
      <c r="AB124" s="5">
        <f>Daily_Input!O124</f>
        <v>0.105</v>
      </c>
      <c r="AC124" s="5">
        <f>Daily_Input!P124</f>
        <v>5.0000000000000001E-4</v>
      </c>
      <c r="AD124" s="5">
        <f t="shared" si="4"/>
        <v>0.9534999999999999</v>
      </c>
      <c r="AE124" s="5">
        <f t="shared" si="5"/>
        <v>0.84799999999999998</v>
      </c>
      <c r="AF124" s="5">
        <f>IF(A124="","",IFERROR(INDEX(Daily_Input!$F:$F,ROW()+1),""))</f>
        <v>8473.8119836439928</v>
      </c>
      <c r="AG124" s="5">
        <f>IF(A124="","",IFERROR(INDEX(Daily_Input!$F:$F,ROW()+2),""))</f>
        <v>13211.637814588374</v>
      </c>
      <c r="AH124" s="5">
        <f>IF(A124="","",IFERROR(INDEX(Daily_Input!$F:$F,ROW()+3),""))</f>
        <v>6860.0464442048233</v>
      </c>
    </row>
    <row r="125" spans="1:34">
      <c r="A125" s="5">
        <f>Daily_Input!A125</f>
        <v>45962</v>
      </c>
      <c r="B125" s="5">
        <f>Daily_Input!F125</f>
        <v>8473.8119836439928</v>
      </c>
      <c r="C125" s="5">
        <f>Daily_Input!D125</f>
        <v>489.483</v>
      </c>
      <c r="D125" s="5">
        <f>Daily_Input!E125</f>
        <v>1607444.5930314001</v>
      </c>
      <c r="E125" s="5" cm="1">
        <f t="array" ref="E125">IF(ROW()=2,"",INDEX(Daily_Input!$E:$E,ROW())-INDEX(Daily_Input!$E:$E,ROW()-1))</f>
        <v>0</v>
      </c>
      <c r="F125" s="5">
        <f>IFERROR(Daily_Input!E125/Config!$B$4,"")</f>
        <v>0.98891444617678392</v>
      </c>
      <c r="G125" s="5">
        <f>Daily_Input!I125</f>
        <v>25.2</v>
      </c>
      <c r="H125" s="5">
        <f>IF(A125="","",IF(ROW()=2,G125,Config!$B$5*H124+G125))</f>
        <v>71.589416070997387</v>
      </c>
      <c r="I125" s="5">
        <f t="shared" si="3"/>
        <v>305</v>
      </c>
      <c r="J125" s="5">
        <f>IF(I125="","",SIN(2*PI()*I125/Config!$B$6))</f>
        <v>-0.8587639582758031</v>
      </c>
      <c r="K125" s="5">
        <f>IF(I125="","",COS(2*PI()*I125/Config!$B$6))</f>
        <v>0.51237141212842352</v>
      </c>
      <c r="L125" s="5">
        <f>IF(ROW()&lt;=2+0,"",INDEX(Daily_Input!$F:$F,ROW()-1))</f>
        <v>10082.828486909842</v>
      </c>
      <c r="M125" s="5">
        <f>IF(ROW()&lt;=2+1,"",INDEX(Daily_Input!$F:$F,ROW()-2))</f>
        <v>10077.865167052254</v>
      </c>
      <c r="N125" s="5">
        <f>IF(ROW()&lt;=2+2,"",INDEX(Daily_Input!$F:$F,ROW()-3))</f>
        <v>10072.899036310992</v>
      </c>
      <c r="O125" s="5">
        <f>IF(ROW()&lt;=2+6,"",INDEX(Daily_Input!$F:$F,ROW()-7))</f>
        <v>77792.348775952967</v>
      </c>
      <c r="P125" s="5">
        <f>IF(ROW()&lt;=2+13,"",INDEX(Daily_Input!$F:$F,ROW()-14))</f>
        <v>57575.848315913776</v>
      </c>
      <c r="Q125" s="5">
        <f>IF(ROW()&lt;=4,"",SUM(INDEX(Daily_Input!$I:$I,ROW()-2):INDEX(Daily_Input!$I:$I,ROW())))</f>
        <v>25.2</v>
      </c>
      <c r="R125" s="5">
        <f>IF(ROW()&lt;=8,"",SUM(INDEX(Daily_Input!$I:$I,ROW()-6):INDEX(Daily_Input!$I:$I,ROW())))</f>
        <v>25.2</v>
      </c>
      <c r="S125" s="5">
        <f>IF(ROW()&lt;=15,"",SUM(INDEX(Daily_Input!$I:$I,ROW()-13):INDEX(Daily_Input!$I:$I,ROW())))</f>
        <v>30.4</v>
      </c>
      <c r="T125" s="5">
        <f>IF(ROW()&lt;=4,"",AVERAGE(INDEX(Daily_Input!$F:$F,ROW()-2):INDEX(Daily_Input!$F:$F,ROW())))</f>
        <v>9544.8352125353631</v>
      </c>
      <c r="U125" s="5">
        <f>IF(ROW()&lt;=2+0,"",INDEX(Daily_Input!$G:$G,ROW()-1))</f>
        <v>15019.199999999999</v>
      </c>
      <c r="V125" s="5">
        <f>IF(ROW()&lt;=2+0,"",INDEX(Daily_Input!$H:$H,ROW()-1))</f>
        <v>0</v>
      </c>
      <c r="W125" s="5">
        <f>IF(ROW()&lt;=2+1,"",INDEX(Daily_Input!$G:$G,ROW()-2))</f>
        <v>15019.199999999999</v>
      </c>
      <c r="X125" s="5">
        <f>IF(ROW()&lt;=2+1,"",INDEX(Daily_Input!$H:$H,ROW()-2))</f>
        <v>0</v>
      </c>
      <c r="Y125" s="5">
        <f>IF(ROW()&lt;=2+2,"",INDEX(Daily_Input!$G:$G,ROW()-3))</f>
        <v>15019.199999999999</v>
      </c>
      <c r="Z125" s="5">
        <f>IF(ROW()&lt;=2+2,"",INDEX(Daily_Input!$H:$H,ROW()-3))</f>
        <v>0</v>
      </c>
      <c r="AA125" s="5">
        <f>Daily_Input!N125</f>
        <v>0.105</v>
      </c>
      <c r="AB125" s="5">
        <f>Daily_Input!O125</f>
        <v>5.0000000000000001E-4</v>
      </c>
      <c r="AC125" s="5">
        <f>Daily_Input!P125</f>
        <v>0</v>
      </c>
      <c r="AD125" s="5">
        <f t="shared" si="4"/>
        <v>0.1055</v>
      </c>
      <c r="AE125" s="5">
        <f t="shared" si="5"/>
        <v>0.105</v>
      </c>
      <c r="AF125" s="5">
        <f>IF(A125="","",IFERROR(INDEX(Daily_Input!$F:$F,ROW()+1),""))</f>
        <v>13211.637814588374</v>
      </c>
      <c r="AG125" s="5">
        <f>IF(A125="","",IFERROR(INDEX(Daily_Input!$F:$F,ROW()+2),""))</f>
        <v>6860.0464442048233</v>
      </c>
      <c r="AH125" s="5">
        <f>IF(A125="","",IFERROR(INDEX(Daily_Input!$F:$F,ROW()+3),""))</f>
        <v>10042.452992125218</v>
      </c>
    </row>
    <row r="126" spans="1:34">
      <c r="A126" s="5">
        <f>Daily_Input!A126</f>
        <v>45963</v>
      </c>
      <c r="B126" s="5">
        <f>Daily_Input!F126</f>
        <v>13211.637814588374</v>
      </c>
      <c r="C126" s="5">
        <f>Daily_Input!D126</f>
        <v>489.483</v>
      </c>
      <c r="D126" s="5">
        <f>Daily_Input!E126</f>
        <v>1607444.5930314001</v>
      </c>
      <c r="E126" s="5" cm="1">
        <f t="array" ref="E126">IF(ROW()=2,"",INDEX(Daily_Input!$E:$E,ROW())-INDEX(Daily_Input!$E:$E,ROW()-1))</f>
        <v>0</v>
      </c>
      <c r="F126" s="5">
        <f>IFERROR(Daily_Input!E126/Config!$B$4,"")</f>
        <v>0.98891444617678392</v>
      </c>
      <c r="G126" s="5">
        <f>Daily_Input!I126</f>
        <v>9.4</v>
      </c>
      <c r="H126" s="5">
        <f>IF(A126="","",IF(ROW()=2,G126,Config!$B$5*H125+G126))</f>
        <v>77.409945267447526</v>
      </c>
      <c r="I126" s="5">
        <f t="shared" si="3"/>
        <v>306</v>
      </c>
      <c r="J126" s="5">
        <f>IF(I126="","",SIN(2*PI()*I126/Config!$B$6))</f>
        <v>-0.84981709152752771</v>
      </c>
      <c r="K126" s="5">
        <f>IF(I126="","",COS(2*PI()*I126/Config!$B$6))</f>
        <v>0.52707770864237236</v>
      </c>
      <c r="L126" s="5">
        <f>IF(ROW()&lt;=2+0,"",INDEX(Daily_Input!$F:$F,ROW()-1))</f>
        <v>8473.8119836439928</v>
      </c>
      <c r="M126" s="5">
        <f>IF(ROW()&lt;=2+1,"",INDEX(Daily_Input!$F:$F,ROW()-2))</f>
        <v>10082.828486909842</v>
      </c>
      <c r="N126" s="5">
        <f>IF(ROW()&lt;=2+2,"",INDEX(Daily_Input!$F:$F,ROW()-3))</f>
        <v>10077.865167052254</v>
      </c>
      <c r="O126" s="5">
        <f>IF(ROW()&lt;=2+6,"",INDEX(Daily_Input!$F:$F,ROW()-7))</f>
        <v>44784.932004664217</v>
      </c>
      <c r="P126" s="5">
        <f>IF(ROW()&lt;=2+13,"",INDEX(Daily_Input!$F:$F,ROW()-14))</f>
        <v>59597.44767041102</v>
      </c>
      <c r="Q126" s="5">
        <f>IF(ROW()&lt;=4,"",SUM(INDEX(Daily_Input!$I:$I,ROW()-2):INDEX(Daily_Input!$I:$I,ROW())))</f>
        <v>34.6</v>
      </c>
      <c r="R126" s="5">
        <f>IF(ROW()&lt;=8,"",SUM(INDEX(Daily_Input!$I:$I,ROW()-6):INDEX(Daily_Input!$I:$I,ROW())))</f>
        <v>34.6</v>
      </c>
      <c r="S126" s="5">
        <f>IF(ROW()&lt;=15,"",SUM(INDEX(Daily_Input!$I:$I,ROW()-13):INDEX(Daily_Input!$I:$I,ROW())))</f>
        <v>39.799999999999997</v>
      </c>
      <c r="T126" s="5">
        <f>IF(ROW()&lt;=4,"",AVERAGE(INDEX(Daily_Input!$F:$F,ROW()-2):INDEX(Daily_Input!$F:$F,ROW())))</f>
        <v>10589.426095047404</v>
      </c>
      <c r="U126" s="5">
        <f>IF(ROW()&lt;=2+0,"",INDEX(Daily_Input!$G:$G,ROW()-1))</f>
        <v>15019.199999999999</v>
      </c>
      <c r="V126" s="5">
        <f>IF(ROW()&lt;=2+0,"",INDEX(Daily_Input!$H:$H,ROW()-1))</f>
        <v>0</v>
      </c>
      <c r="W126" s="5">
        <f>IF(ROW()&lt;=2+1,"",INDEX(Daily_Input!$G:$G,ROW()-2))</f>
        <v>15019.199999999999</v>
      </c>
      <c r="X126" s="5">
        <f>IF(ROW()&lt;=2+1,"",INDEX(Daily_Input!$H:$H,ROW()-2))</f>
        <v>0</v>
      </c>
      <c r="Y126" s="5">
        <f>IF(ROW()&lt;=2+2,"",INDEX(Daily_Input!$G:$G,ROW()-3))</f>
        <v>15019.199999999999</v>
      </c>
      <c r="Z126" s="5">
        <f>IF(ROW()&lt;=2+2,"",INDEX(Daily_Input!$H:$H,ROW()-3))</f>
        <v>0</v>
      </c>
      <c r="AA126" s="5">
        <f>Daily_Input!N126</f>
        <v>5.0000000000000001E-4</v>
      </c>
      <c r="AB126" s="5">
        <f>Daily_Input!O126</f>
        <v>0</v>
      </c>
      <c r="AC126" s="5">
        <f>Daily_Input!P126</f>
        <v>0</v>
      </c>
      <c r="AD126" s="5">
        <f t="shared" si="4"/>
        <v>5.0000000000000001E-4</v>
      </c>
      <c r="AE126" s="5">
        <f t="shared" si="5"/>
        <v>5.0000000000000001E-4</v>
      </c>
      <c r="AF126" s="5">
        <f>IF(A126="","",IFERROR(INDEX(Daily_Input!$F:$F,ROW()+1),""))</f>
        <v>6860.0464442048233</v>
      </c>
      <c r="AG126" s="5">
        <f>IF(A126="","",IFERROR(INDEX(Daily_Input!$F:$F,ROW()+2),""))</f>
        <v>10042.452992125218</v>
      </c>
      <c r="AH126" s="5">
        <f>IF(A126="","",IFERROR(INDEX(Daily_Input!$F:$F,ROW()+3),""))</f>
        <v>16504.947544731822</v>
      </c>
    </row>
    <row r="127" spans="1:34">
      <c r="A127" s="5">
        <f>Daily_Input!A127</f>
        <v>45964</v>
      </c>
      <c r="B127" s="5">
        <f>Daily_Input!F127</f>
        <v>6860.0464442048233</v>
      </c>
      <c r="C127" s="5">
        <f>Daily_Input!D127</f>
        <v>489.45100000000002</v>
      </c>
      <c r="D127" s="5">
        <f>Daily_Input!E127</f>
        <v>1598455.4724355999</v>
      </c>
      <c r="E127" s="5" cm="1">
        <f t="array" ref="E127">IF(ROW()=2,"",INDEX(Daily_Input!$E:$E,ROW())-INDEX(Daily_Input!$E:$E,ROW()-1))</f>
        <v>-8989.1205958002247</v>
      </c>
      <c r="F127" s="5">
        <f>IFERROR(Daily_Input!E127/Config!$B$4,"")</f>
        <v>0.98338425791763662</v>
      </c>
      <c r="G127" s="5">
        <f>Daily_Input!I127</f>
        <v>0.6</v>
      </c>
      <c r="H127" s="5">
        <f>IF(A127="","",IF(ROW()=2,G127,Config!$B$5*H126+G127))</f>
        <v>74.139448004075135</v>
      </c>
      <c r="I127" s="5">
        <f t="shared" si="3"/>
        <v>307</v>
      </c>
      <c r="J127" s="5">
        <f>IF(I127="","",SIN(2*PI()*I127/Config!$B$6))</f>
        <v>-0.84061840563447832</v>
      </c>
      <c r="K127" s="5">
        <f>IF(I127="","",COS(2*PI()*I127/Config!$B$6))</f>
        <v>0.54162782065598114</v>
      </c>
      <c r="L127" s="5">
        <f>IF(ROW()&lt;=2+0,"",INDEX(Daily_Input!$F:$F,ROW()-1))</f>
        <v>13211.637814588374</v>
      </c>
      <c r="M127" s="5">
        <f>IF(ROW()&lt;=2+1,"",INDEX(Daily_Input!$F:$F,ROW()-2))</f>
        <v>8473.8119836439928</v>
      </c>
      <c r="N127" s="5">
        <f>IF(ROW()&lt;=2+2,"",INDEX(Daily_Input!$F:$F,ROW()-3))</f>
        <v>10082.828486909842</v>
      </c>
      <c r="O127" s="5">
        <f>IF(ROW()&lt;=2+6,"",INDEX(Daily_Input!$F:$F,ROW()-7))</f>
        <v>18567.957467475244</v>
      </c>
      <c r="P127" s="5">
        <f>IF(ROW()&lt;=2+13,"",INDEX(Daily_Input!$F:$F,ROW()-14))</f>
        <v>160128.78104252563</v>
      </c>
      <c r="Q127" s="5">
        <f>IF(ROW()&lt;=4,"",SUM(INDEX(Daily_Input!$I:$I,ROW()-2):INDEX(Daily_Input!$I:$I,ROW())))</f>
        <v>35.200000000000003</v>
      </c>
      <c r="R127" s="5">
        <f>IF(ROW()&lt;=8,"",SUM(INDEX(Daily_Input!$I:$I,ROW()-6):INDEX(Daily_Input!$I:$I,ROW())))</f>
        <v>35.200000000000003</v>
      </c>
      <c r="S127" s="5">
        <f>IF(ROW()&lt;=15,"",SUM(INDEX(Daily_Input!$I:$I,ROW()-13):INDEX(Daily_Input!$I:$I,ROW())))</f>
        <v>35.200000000000003</v>
      </c>
      <c r="T127" s="5">
        <f>IF(ROW()&lt;=4,"",AVERAGE(INDEX(Daily_Input!$F:$F,ROW()-2):INDEX(Daily_Input!$F:$F,ROW())))</f>
        <v>9515.1654141457311</v>
      </c>
      <c r="U127" s="5">
        <f>IF(ROW()&lt;=2+0,"",INDEX(Daily_Input!$G:$G,ROW()-1))</f>
        <v>15019.199999999999</v>
      </c>
      <c r="V127" s="5">
        <f>IF(ROW()&lt;=2+0,"",INDEX(Daily_Input!$H:$H,ROW()-1))</f>
        <v>0</v>
      </c>
      <c r="W127" s="5">
        <f>IF(ROW()&lt;=2+1,"",INDEX(Daily_Input!$G:$G,ROW()-2))</f>
        <v>15019.199999999999</v>
      </c>
      <c r="X127" s="5">
        <f>IF(ROW()&lt;=2+1,"",INDEX(Daily_Input!$H:$H,ROW()-2))</f>
        <v>0</v>
      </c>
      <c r="Y127" s="5">
        <f>IF(ROW()&lt;=2+2,"",INDEX(Daily_Input!$G:$G,ROW()-3))</f>
        <v>15019.199999999999</v>
      </c>
      <c r="Z127" s="5">
        <f>IF(ROW()&lt;=2+2,"",INDEX(Daily_Input!$H:$H,ROW()-3))</f>
        <v>0</v>
      </c>
      <c r="AA127" s="5">
        <f>Daily_Input!N127</f>
        <v>0</v>
      </c>
      <c r="AB127" s="5">
        <f>Daily_Input!O127</f>
        <v>0</v>
      </c>
      <c r="AC127" s="5">
        <f>Daily_Input!P127</f>
        <v>0</v>
      </c>
      <c r="AD127" s="5">
        <f t="shared" si="4"/>
        <v>0</v>
      </c>
      <c r="AE127" s="5">
        <f t="shared" si="5"/>
        <v>0</v>
      </c>
      <c r="AF127" s="5">
        <f>IF(A127="","",IFERROR(INDEX(Daily_Input!$F:$F,ROW()+1),""))</f>
        <v>10042.452992125218</v>
      </c>
      <c r="AG127" s="5">
        <f>IF(A127="","",IFERROR(INDEX(Daily_Input!$F:$F,ROW()+2),""))</f>
        <v>16504.947544731822</v>
      </c>
      <c r="AH127" s="5">
        <f>IF(A127="","",IFERROR(INDEX(Daily_Input!$F:$F,ROW()+3),""))</f>
        <v>15909.049794822722</v>
      </c>
    </row>
    <row r="128" spans="1:34">
      <c r="A128" s="5">
        <f>Daily_Input!A128</f>
        <v>45965</v>
      </c>
      <c r="B128" s="5">
        <f>Daily_Input!F128</f>
        <v>10042.452992125218</v>
      </c>
      <c r="C128" s="5">
        <f>Daily_Input!D128</f>
        <v>489.43799999999999</v>
      </c>
      <c r="D128" s="5">
        <f>Daily_Input!E128</f>
        <v>1592470.1267521</v>
      </c>
      <c r="E128" s="5" cm="1">
        <f t="array" ref="E128">IF(ROW()=2,"",INDEX(Daily_Input!$E:$E,ROW())-INDEX(Daily_Input!$E:$E,ROW()-1))</f>
        <v>-5985.3456834999379</v>
      </c>
      <c r="F128" s="5">
        <f>IFERROR(Daily_Input!E128/Config!$B$4,"")</f>
        <v>0.97970201914098765</v>
      </c>
      <c r="G128" s="5">
        <f>Daily_Input!I128</f>
        <v>0</v>
      </c>
      <c r="H128" s="5">
        <f>IF(A128="","",IF(ROW()=2,G128,Config!$B$5*H127+G128))</f>
        <v>70.432475603871382</v>
      </c>
      <c r="I128" s="5">
        <f t="shared" si="3"/>
        <v>308</v>
      </c>
      <c r="J128" s="5">
        <f>IF(I128="","",SIN(2*PI()*I128/Config!$B$6))</f>
        <v>-0.83117062636580785</v>
      </c>
      <c r="K128" s="5">
        <f>IF(I128="","",COS(2*PI()*I128/Config!$B$6))</f>
        <v>0.55601743665704462</v>
      </c>
      <c r="L128" s="5">
        <f>IF(ROW()&lt;=2+0,"",INDEX(Daily_Input!$F:$F,ROW()-1))</f>
        <v>6860.0464442048233</v>
      </c>
      <c r="M128" s="5">
        <f>IF(ROW()&lt;=2+1,"",INDEX(Daily_Input!$F:$F,ROW()-2))</f>
        <v>13211.637814588374</v>
      </c>
      <c r="N128" s="5">
        <f>IF(ROW()&lt;=2+2,"",INDEX(Daily_Input!$F:$F,ROW()-3))</f>
        <v>8473.8119836439928</v>
      </c>
      <c r="O128" s="5">
        <f>IF(ROW()&lt;=2+6,"",INDEX(Daily_Input!$F:$F,ROW()-7))</f>
        <v>10123.898591554334</v>
      </c>
      <c r="P128" s="5">
        <f>IF(ROW()&lt;=2+13,"",INDEX(Daily_Input!$F:$F,ROW()-14))</f>
        <v>224197.73004406077</v>
      </c>
      <c r="Q128" s="5">
        <f>IF(ROW()&lt;=4,"",SUM(INDEX(Daily_Input!$I:$I,ROW()-2):INDEX(Daily_Input!$I:$I,ROW())))</f>
        <v>10</v>
      </c>
      <c r="R128" s="5">
        <f>IF(ROW()&lt;=8,"",SUM(INDEX(Daily_Input!$I:$I,ROW()-6):INDEX(Daily_Input!$I:$I,ROW())))</f>
        <v>35.200000000000003</v>
      </c>
      <c r="S128" s="5">
        <f>IF(ROW()&lt;=15,"",SUM(INDEX(Daily_Input!$I:$I,ROW()-13):INDEX(Daily_Input!$I:$I,ROW())))</f>
        <v>35.200000000000003</v>
      </c>
      <c r="T128" s="5">
        <f>IF(ROW()&lt;=4,"",AVERAGE(INDEX(Daily_Input!$F:$F,ROW()-2):INDEX(Daily_Input!$F:$F,ROW())))</f>
        <v>10038.045750306139</v>
      </c>
      <c r="U128" s="5">
        <f>IF(ROW()&lt;=2+0,"",INDEX(Daily_Input!$G:$G,ROW()-1))</f>
        <v>15019.199999999999</v>
      </c>
      <c r="V128" s="5">
        <f>IF(ROW()&lt;=2+0,"",INDEX(Daily_Input!$H:$H,ROW()-1))</f>
        <v>0</v>
      </c>
      <c r="W128" s="5">
        <f>IF(ROW()&lt;=2+1,"",INDEX(Daily_Input!$G:$G,ROW()-2))</f>
        <v>15019.199999999999</v>
      </c>
      <c r="X128" s="5">
        <f>IF(ROW()&lt;=2+1,"",INDEX(Daily_Input!$H:$H,ROW()-2))</f>
        <v>0</v>
      </c>
      <c r="Y128" s="5">
        <f>IF(ROW()&lt;=2+2,"",INDEX(Daily_Input!$G:$G,ROW()-3))</f>
        <v>15019.199999999999</v>
      </c>
      <c r="Z128" s="5">
        <f>IF(ROW()&lt;=2+2,"",INDEX(Daily_Input!$H:$H,ROW()-3))</f>
        <v>0</v>
      </c>
      <c r="AA128" s="5">
        <f>Daily_Input!N128</f>
        <v>0</v>
      </c>
      <c r="AB128" s="5">
        <f>Daily_Input!O128</f>
        <v>0</v>
      </c>
      <c r="AC128" s="5">
        <f>Daily_Input!P128</f>
        <v>0</v>
      </c>
      <c r="AD128" s="5">
        <f t="shared" si="4"/>
        <v>0</v>
      </c>
      <c r="AE128" s="5">
        <f t="shared" si="5"/>
        <v>0</v>
      </c>
      <c r="AF128" s="5">
        <f>IF(A128="","",IFERROR(INDEX(Daily_Input!$F:$F,ROW()+1),""))</f>
        <v>16504.947544731822</v>
      </c>
      <c r="AG128" s="5">
        <f>IF(A128="","",IFERROR(INDEX(Daily_Input!$F:$F,ROW()+2),""))</f>
        <v>15909.049794822722</v>
      </c>
      <c r="AH128" s="5">
        <f>IF(A128="","",IFERROR(INDEX(Daily_Input!$F:$F,ROW()+3),""))</f>
        <v>4769.2512178835768</v>
      </c>
    </row>
    <row r="129" spans="1:34">
      <c r="A129" s="5">
        <f>Daily_Input!A129</f>
        <v>45966</v>
      </c>
      <c r="B129" s="5">
        <f>Daily_Input!F129</f>
        <v>16504.947544731822</v>
      </c>
      <c r="C129" s="5">
        <f>Daily_Input!D129</f>
        <v>489.45100000000002</v>
      </c>
      <c r="D129" s="5">
        <f>Daily_Input!E129</f>
        <v>1598455.4724355999</v>
      </c>
      <c r="E129" s="5" cm="1">
        <f t="array" ref="E129">IF(ROW()=2,"",INDEX(Daily_Input!$E:$E,ROW())-INDEX(Daily_Input!$E:$E,ROW()-1))</f>
        <v>5985.3456834999379</v>
      </c>
      <c r="F129" s="5">
        <f>IFERROR(Daily_Input!E129/Config!$B$4,"")</f>
        <v>0.98338425791763662</v>
      </c>
      <c r="G129" s="5">
        <f>Daily_Input!I129</f>
        <v>18.399999999999999</v>
      </c>
      <c r="H129" s="5">
        <f>IF(A129="","",IF(ROW()=2,G129,Config!$B$5*H128+G129))</f>
        <v>85.310851823677808</v>
      </c>
      <c r="I129" s="5">
        <f t="shared" si="3"/>
        <v>309</v>
      </c>
      <c r="J129" s="5">
        <f>IF(I129="","",SIN(2*PI()*I129/Config!$B$6))</f>
        <v>-0.82147655330241454</v>
      </c>
      <c r="K129" s="5">
        <f>IF(I129="","",COS(2*PI()*I129/Config!$B$6))</f>
        <v>0.57024229269178672</v>
      </c>
      <c r="L129" s="5">
        <f>IF(ROW()&lt;=2+0,"",INDEX(Daily_Input!$F:$F,ROW()-1))</f>
        <v>10042.452992125218</v>
      </c>
      <c r="M129" s="5">
        <f>IF(ROW()&lt;=2+1,"",INDEX(Daily_Input!$F:$F,ROW()-2))</f>
        <v>6860.0464442048233</v>
      </c>
      <c r="N129" s="5">
        <f>IF(ROW()&lt;=2+2,"",INDEX(Daily_Input!$F:$F,ROW()-3))</f>
        <v>13211.637814588374</v>
      </c>
      <c r="O129" s="5">
        <f>IF(ROW()&lt;=2+6,"",INDEX(Daily_Input!$F:$F,ROW()-7))</f>
        <v>10072.899036310992</v>
      </c>
      <c r="P129" s="5">
        <f>IF(ROW()&lt;=2+13,"",INDEX(Daily_Input!$F:$F,ROW()-14))</f>
        <v>225138.18840221464</v>
      </c>
      <c r="Q129" s="5">
        <f>IF(ROW()&lt;=4,"",SUM(INDEX(Daily_Input!$I:$I,ROW()-2):INDEX(Daily_Input!$I:$I,ROW())))</f>
        <v>19</v>
      </c>
      <c r="R129" s="5">
        <f>IF(ROW()&lt;=8,"",SUM(INDEX(Daily_Input!$I:$I,ROW()-6):INDEX(Daily_Input!$I:$I,ROW())))</f>
        <v>53.6</v>
      </c>
      <c r="S129" s="5">
        <f>IF(ROW()&lt;=15,"",SUM(INDEX(Daily_Input!$I:$I,ROW()-13):INDEX(Daily_Input!$I:$I,ROW())))</f>
        <v>53.6</v>
      </c>
      <c r="T129" s="5">
        <f>IF(ROW()&lt;=4,"",AVERAGE(INDEX(Daily_Input!$F:$F,ROW()-2):INDEX(Daily_Input!$F:$F,ROW())))</f>
        <v>11135.815660353954</v>
      </c>
      <c r="U129" s="5">
        <f>IF(ROW()&lt;=2+0,"",INDEX(Daily_Input!$G:$G,ROW()-1))</f>
        <v>15019.199999999999</v>
      </c>
      <c r="V129" s="5">
        <f>IF(ROW()&lt;=2+0,"",INDEX(Daily_Input!$H:$H,ROW()-1))</f>
        <v>0</v>
      </c>
      <c r="W129" s="5">
        <f>IF(ROW()&lt;=2+1,"",INDEX(Daily_Input!$G:$G,ROW()-2))</f>
        <v>15019.199999999999</v>
      </c>
      <c r="X129" s="5">
        <f>IF(ROW()&lt;=2+1,"",INDEX(Daily_Input!$H:$H,ROW()-2))</f>
        <v>0</v>
      </c>
      <c r="Y129" s="5">
        <f>IF(ROW()&lt;=2+2,"",INDEX(Daily_Input!$G:$G,ROW()-3))</f>
        <v>15019.199999999999</v>
      </c>
      <c r="Z129" s="5">
        <f>IF(ROW()&lt;=2+2,"",INDEX(Daily_Input!$H:$H,ROW()-3))</f>
        <v>0</v>
      </c>
      <c r="AA129" s="5">
        <f>Daily_Input!N129</f>
        <v>0</v>
      </c>
      <c r="AB129" s="5">
        <f>Daily_Input!O129</f>
        <v>0</v>
      </c>
      <c r="AC129" s="5">
        <f>Daily_Input!P129</f>
        <v>7.609</v>
      </c>
      <c r="AD129" s="5">
        <f t="shared" si="4"/>
        <v>7.609</v>
      </c>
      <c r="AE129" s="5">
        <f t="shared" si="5"/>
        <v>7.609</v>
      </c>
      <c r="AF129" s="5">
        <f>IF(A129="","",IFERROR(INDEX(Daily_Input!$F:$F,ROW()+1),""))</f>
        <v>15909.049794822722</v>
      </c>
      <c r="AG129" s="5">
        <f>IF(A129="","",IFERROR(INDEX(Daily_Input!$F:$F,ROW()+2),""))</f>
        <v>4769.2512178835768</v>
      </c>
      <c r="AH129" s="5">
        <f>IF(A129="","",IFERROR(INDEX(Daily_Input!$F:$F,ROW()+3),""))</f>
        <v>41386.163178485738</v>
      </c>
    </row>
    <row r="130" spans="1:34">
      <c r="A130" s="5">
        <f>Daily_Input!A130</f>
        <v>45967</v>
      </c>
      <c r="B130" s="5">
        <f>Daily_Input!F130</f>
        <v>15909.049794822722</v>
      </c>
      <c r="C130" s="5">
        <f>Daily_Input!D130</f>
        <v>489.45699999999999</v>
      </c>
      <c r="D130" s="5">
        <f>Daily_Input!E130</f>
        <v>1598455.4724355999</v>
      </c>
      <c r="E130" s="5" cm="1">
        <f t="array" ref="E130">IF(ROW()=2,"",INDEX(Daily_Input!$E:$E,ROW())-INDEX(Daily_Input!$E:$E,ROW()-1))</f>
        <v>0</v>
      </c>
      <c r="F130" s="5">
        <f>IFERROR(Daily_Input!E130/Config!$B$4,"")</f>
        <v>0.98338425791763662</v>
      </c>
      <c r="G130" s="5">
        <f>Daily_Input!I130</f>
        <v>0.4</v>
      </c>
      <c r="H130" s="5">
        <f>IF(A130="","",IF(ROW()=2,G130,Config!$B$5*H129+G130))</f>
        <v>81.445309232493926</v>
      </c>
      <c r="I130" s="5">
        <f t="shared" si="3"/>
        <v>310</v>
      </c>
      <c r="J130" s="5">
        <f>IF(I130="","",SIN(2*PI()*I130/Config!$B$6))</f>
        <v>-0.81153905900736112</v>
      </c>
      <c r="K130" s="5">
        <f>IF(I130="","",COS(2*PI()*I130/Config!$B$6))</f>
        <v>0.58429817362836833</v>
      </c>
      <c r="L130" s="5">
        <f>IF(ROW()&lt;=2+0,"",INDEX(Daily_Input!$F:$F,ROW()-1))</f>
        <v>16504.947544731822</v>
      </c>
      <c r="M130" s="5">
        <f>IF(ROW()&lt;=2+1,"",INDEX(Daily_Input!$F:$F,ROW()-2))</f>
        <v>10042.452992125218</v>
      </c>
      <c r="N130" s="5">
        <f>IF(ROW()&lt;=2+2,"",INDEX(Daily_Input!$F:$F,ROW()-3))</f>
        <v>6860.0464442048233</v>
      </c>
      <c r="O130" s="5">
        <f>IF(ROW()&lt;=2+6,"",INDEX(Daily_Input!$F:$F,ROW()-7))</f>
        <v>10077.865167052254</v>
      </c>
      <c r="P130" s="5">
        <f>IF(ROW()&lt;=2+13,"",INDEX(Daily_Input!$F:$F,ROW()-14))</f>
        <v>173020.97051566088</v>
      </c>
      <c r="Q130" s="5">
        <f>IF(ROW()&lt;=4,"",SUM(INDEX(Daily_Input!$I:$I,ROW()-2):INDEX(Daily_Input!$I:$I,ROW())))</f>
        <v>18.799999999999997</v>
      </c>
      <c r="R130" s="5">
        <f>IF(ROW()&lt;=8,"",SUM(INDEX(Daily_Input!$I:$I,ROW()-6):INDEX(Daily_Input!$I:$I,ROW())))</f>
        <v>54</v>
      </c>
      <c r="S130" s="5">
        <f>IF(ROW()&lt;=15,"",SUM(INDEX(Daily_Input!$I:$I,ROW()-13):INDEX(Daily_Input!$I:$I,ROW())))</f>
        <v>54</v>
      </c>
      <c r="T130" s="5">
        <f>IF(ROW()&lt;=4,"",AVERAGE(INDEX(Daily_Input!$F:$F,ROW()-2):INDEX(Daily_Input!$F:$F,ROW())))</f>
        <v>14152.150110559922</v>
      </c>
      <c r="U130" s="5">
        <f>IF(ROW()&lt;=2+0,"",INDEX(Daily_Input!$G:$G,ROW()-1))</f>
        <v>15019.199999999999</v>
      </c>
      <c r="V130" s="5">
        <f>IF(ROW()&lt;=2+0,"",INDEX(Daily_Input!$H:$H,ROW()-1))</f>
        <v>0</v>
      </c>
      <c r="W130" s="5">
        <f>IF(ROW()&lt;=2+1,"",INDEX(Daily_Input!$G:$G,ROW()-2))</f>
        <v>15019.199999999999</v>
      </c>
      <c r="X130" s="5">
        <f>IF(ROW()&lt;=2+1,"",INDEX(Daily_Input!$H:$H,ROW()-2))</f>
        <v>0</v>
      </c>
      <c r="Y130" s="5">
        <f>IF(ROW()&lt;=2+2,"",INDEX(Daily_Input!$G:$G,ROW()-3))</f>
        <v>15019.199999999999</v>
      </c>
      <c r="Z130" s="5">
        <f>IF(ROW()&lt;=2+2,"",INDEX(Daily_Input!$H:$H,ROW()-3))</f>
        <v>0</v>
      </c>
      <c r="AA130" s="5">
        <f>Daily_Input!N130</f>
        <v>0</v>
      </c>
      <c r="AB130" s="5">
        <f>Daily_Input!O130</f>
        <v>7.609</v>
      </c>
      <c r="AC130" s="5">
        <f>Daily_Input!P130</f>
        <v>0</v>
      </c>
      <c r="AD130" s="5">
        <f t="shared" si="4"/>
        <v>7.609</v>
      </c>
      <c r="AE130" s="5">
        <f t="shared" si="5"/>
        <v>7.609</v>
      </c>
      <c r="AF130" s="5">
        <f>IF(A130="","",IFERROR(INDEX(Daily_Input!$F:$F,ROW()+1),""))</f>
        <v>4769.2512178835768</v>
      </c>
      <c r="AG130" s="5">
        <f>IF(A130="","",IFERROR(INDEX(Daily_Input!$F:$F,ROW()+2),""))</f>
        <v>41386.163178485738</v>
      </c>
      <c r="AH130" s="5">
        <f>IF(A130="","",IFERROR(INDEX(Daily_Input!$F:$F,ROW()+3),""))</f>
        <v>324364.26175055519</v>
      </c>
    </row>
    <row r="131" spans="1:34">
      <c r="A131" s="5">
        <f>Daily_Input!A131</f>
        <v>45968</v>
      </c>
      <c r="B131" s="5">
        <f>Daily_Input!F131</f>
        <v>4769.2512178835768</v>
      </c>
      <c r="C131" s="5">
        <f>Daily_Input!D131</f>
        <v>489.44499999999999</v>
      </c>
      <c r="D131" s="5">
        <f>Daily_Input!E131</f>
        <v>1595462.0162961001</v>
      </c>
      <c r="E131" s="5" cm="1">
        <f t="array" ref="E131">IF(ROW()=2,"",INDEX(Daily_Input!$E:$E,ROW())-INDEX(Daily_Input!$E:$E,ROW()-1))</f>
        <v>-2993.4561394997872</v>
      </c>
      <c r="F131" s="5">
        <f>IFERROR(Daily_Input!E131/Config!$B$4,"")</f>
        <v>0.98154265663745477</v>
      </c>
      <c r="G131" s="5">
        <f>Daily_Input!I131</f>
        <v>0</v>
      </c>
      <c r="H131" s="5">
        <f>IF(A131="","",IF(ROW()=2,G131,Config!$B$5*H130+G131))</f>
        <v>77.373043770869231</v>
      </c>
      <c r="I131" s="5">
        <f t="shared" ref="I131:I194" si="6">IF(A131="","",A131-DATE(YEAR(A131),1,0))</f>
        <v>311</v>
      </c>
      <c r="J131" s="5">
        <f>IF(I131="","",SIN(2*PI()*I131/Config!$B$6))</f>
        <v>-0.80136108817467699</v>
      </c>
      <c r="K131" s="5">
        <f>IF(I131="","",COS(2*PI()*I131/Config!$B$6))</f>
        <v>0.59818091440591592</v>
      </c>
      <c r="L131" s="5">
        <f>IF(ROW()&lt;=2+0,"",INDEX(Daily_Input!$F:$F,ROW()-1))</f>
        <v>15909.049794822722</v>
      </c>
      <c r="M131" s="5">
        <f>IF(ROW()&lt;=2+1,"",INDEX(Daily_Input!$F:$F,ROW()-2))</f>
        <v>16504.947544731822</v>
      </c>
      <c r="N131" s="5">
        <f>IF(ROW()&lt;=2+2,"",INDEX(Daily_Input!$F:$F,ROW()-3))</f>
        <v>10042.452992125218</v>
      </c>
      <c r="O131" s="5">
        <f>IF(ROW()&lt;=2+6,"",INDEX(Daily_Input!$F:$F,ROW()-7))</f>
        <v>10082.828486909842</v>
      </c>
      <c r="P131" s="5">
        <f>IF(ROW()&lt;=2+13,"",INDEX(Daily_Input!$F:$F,ROW()-14))</f>
        <v>130773.2730821234</v>
      </c>
      <c r="Q131" s="5">
        <f>IF(ROW()&lt;=4,"",SUM(INDEX(Daily_Input!$I:$I,ROW()-2):INDEX(Daily_Input!$I:$I,ROW())))</f>
        <v>18.799999999999997</v>
      </c>
      <c r="R131" s="5">
        <f>IF(ROW()&lt;=8,"",SUM(INDEX(Daily_Input!$I:$I,ROW()-6):INDEX(Daily_Input!$I:$I,ROW())))</f>
        <v>54</v>
      </c>
      <c r="S131" s="5">
        <f>IF(ROW()&lt;=15,"",SUM(INDEX(Daily_Input!$I:$I,ROW()-13):INDEX(Daily_Input!$I:$I,ROW())))</f>
        <v>54</v>
      </c>
      <c r="T131" s="5">
        <f>IF(ROW()&lt;=4,"",AVERAGE(INDEX(Daily_Input!$F:$F,ROW()-2):INDEX(Daily_Input!$F:$F,ROW())))</f>
        <v>12394.416185812706</v>
      </c>
      <c r="U131" s="5">
        <f>IF(ROW()&lt;=2+0,"",INDEX(Daily_Input!$G:$G,ROW()-1))</f>
        <v>15019.199999999999</v>
      </c>
      <c r="V131" s="5">
        <f>IF(ROW()&lt;=2+0,"",INDEX(Daily_Input!$H:$H,ROW()-1))</f>
        <v>0</v>
      </c>
      <c r="W131" s="5">
        <f>IF(ROW()&lt;=2+1,"",INDEX(Daily_Input!$G:$G,ROW()-2))</f>
        <v>15019.199999999999</v>
      </c>
      <c r="X131" s="5">
        <f>IF(ROW()&lt;=2+1,"",INDEX(Daily_Input!$H:$H,ROW()-2))</f>
        <v>0</v>
      </c>
      <c r="Y131" s="5">
        <f>IF(ROW()&lt;=2+2,"",INDEX(Daily_Input!$G:$G,ROW()-3))</f>
        <v>15019.199999999999</v>
      </c>
      <c r="Z131" s="5">
        <f>IF(ROW()&lt;=2+2,"",INDEX(Daily_Input!$H:$H,ROW()-3))</f>
        <v>0</v>
      </c>
      <c r="AA131" s="5">
        <f>Daily_Input!N131</f>
        <v>7.609</v>
      </c>
      <c r="AB131" s="5">
        <f>Daily_Input!O131</f>
        <v>0</v>
      </c>
      <c r="AC131" s="5">
        <f>Daily_Input!P131</f>
        <v>5.0000000000000001E-3</v>
      </c>
      <c r="AD131" s="5">
        <f t="shared" ref="AD131:AD194" si="7">IF(A131="","",SUM(AA131:AC131))</f>
        <v>7.6139999999999999</v>
      </c>
      <c r="AE131" s="5">
        <f t="shared" ref="AE131:AE194" si="8">IF(A131="","",MAX(AA131:AC131))</f>
        <v>7.609</v>
      </c>
      <c r="AF131" s="5">
        <f>IF(A131="","",IFERROR(INDEX(Daily_Input!$F:$F,ROW()+1),""))</f>
        <v>41386.163178485738</v>
      </c>
      <c r="AG131" s="5">
        <f>IF(A131="","",IFERROR(INDEX(Daily_Input!$F:$F,ROW()+2),""))</f>
        <v>324364.26175055519</v>
      </c>
      <c r="AH131" s="5">
        <f>IF(A131="","",IFERROR(INDEX(Daily_Input!$F:$F,ROW()+3),""))</f>
        <v>368655.75888458063</v>
      </c>
    </row>
    <row r="132" spans="1:34">
      <c r="A132" s="5">
        <f>Daily_Input!A132</f>
        <v>45969</v>
      </c>
      <c r="B132" s="5">
        <f>Daily_Input!F132</f>
        <v>41386.163178485738</v>
      </c>
      <c r="C132" s="5">
        <f>Daily_Input!D132</f>
        <v>489.464</v>
      </c>
      <c r="D132" s="5">
        <f>Daily_Input!E132</f>
        <v>1601450.3446648</v>
      </c>
      <c r="E132" s="5" cm="1">
        <f t="array" ref="E132">IF(ROW()=2,"",INDEX(Daily_Input!$E:$E,ROW())-INDEX(Daily_Input!$E:$E,ROW()-1))</f>
        <v>5988.3283686998766</v>
      </c>
      <c r="F132" s="5">
        <f>IFERROR(Daily_Input!E132/Config!$B$4,"")</f>
        <v>0.98522673038900455</v>
      </c>
      <c r="G132" s="5">
        <f>Daily_Input!I132</f>
        <v>0.4</v>
      </c>
      <c r="H132" s="5">
        <f>IF(A132="","",IF(ROW()=2,G132,Config!$B$5*H131+G132))</f>
        <v>73.904391582325772</v>
      </c>
      <c r="I132" s="5">
        <f t="shared" si="6"/>
        <v>312</v>
      </c>
      <c r="J132" s="5">
        <f>IF(I132="","",SIN(2*PI()*I132/Config!$B$6))</f>
        <v>-0.79094565675677742</v>
      </c>
      <c r="K132" s="5">
        <f>IF(I132="","",COS(2*PI()*I132/Config!$B$6))</f>
        <v>0.61188640126872418</v>
      </c>
      <c r="L132" s="5">
        <f>IF(ROW()&lt;=2+0,"",INDEX(Daily_Input!$F:$F,ROW()-1))</f>
        <v>4769.2512178835768</v>
      </c>
      <c r="M132" s="5">
        <f>IF(ROW()&lt;=2+1,"",INDEX(Daily_Input!$F:$F,ROW()-2))</f>
        <v>15909.049794822722</v>
      </c>
      <c r="N132" s="5">
        <f>IF(ROW()&lt;=2+2,"",INDEX(Daily_Input!$F:$F,ROW()-3))</f>
        <v>16504.947544731822</v>
      </c>
      <c r="O132" s="5">
        <f>IF(ROW()&lt;=2+6,"",INDEX(Daily_Input!$F:$F,ROW()-7))</f>
        <v>8473.8119836439928</v>
      </c>
      <c r="P132" s="5">
        <f>IF(ROW()&lt;=2+13,"",INDEX(Daily_Input!$F:$F,ROW()-14))</f>
        <v>77792.348775952967</v>
      </c>
      <c r="Q132" s="5">
        <f>IF(ROW()&lt;=4,"",SUM(INDEX(Daily_Input!$I:$I,ROW()-2):INDEX(Daily_Input!$I:$I,ROW())))</f>
        <v>0.8</v>
      </c>
      <c r="R132" s="5">
        <f>IF(ROW()&lt;=8,"",SUM(INDEX(Daily_Input!$I:$I,ROW()-6):INDEX(Daily_Input!$I:$I,ROW())))</f>
        <v>29.199999999999996</v>
      </c>
      <c r="S132" s="5">
        <f>IF(ROW()&lt;=15,"",SUM(INDEX(Daily_Input!$I:$I,ROW()-13):INDEX(Daily_Input!$I:$I,ROW())))</f>
        <v>54.4</v>
      </c>
      <c r="T132" s="5">
        <f>IF(ROW()&lt;=4,"",AVERAGE(INDEX(Daily_Input!$F:$F,ROW()-2):INDEX(Daily_Input!$F:$F,ROW())))</f>
        <v>20688.154730397346</v>
      </c>
      <c r="U132" s="5">
        <f>IF(ROW()&lt;=2+0,"",INDEX(Daily_Input!$G:$G,ROW()-1))</f>
        <v>6753.5999999999995</v>
      </c>
      <c r="V132" s="5">
        <f>IF(ROW()&lt;=2+0,"",INDEX(Daily_Input!$H:$H,ROW()-1))</f>
        <v>0</v>
      </c>
      <c r="W132" s="5">
        <f>IF(ROW()&lt;=2+1,"",INDEX(Daily_Input!$G:$G,ROW()-2))</f>
        <v>15019.199999999999</v>
      </c>
      <c r="X132" s="5">
        <f>IF(ROW()&lt;=2+1,"",INDEX(Daily_Input!$H:$H,ROW()-2))</f>
        <v>0</v>
      </c>
      <c r="Y132" s="5">
        <f>IF(ROW()&lt;=2+2,"",INDEX(Daily_Input!$G:$G,ROW()-3))</f>
        <v>15019.199999999999</v>
      </c>
      <c r="Z132" s="5">
        <f>IF(ROW()&lt;=2+2,"",INDEX(Daily_Input!$H:$H,ROW()-3))</f>
        <v>0</v>
      </c>
      <c r="AA132" s="5">
        <f>Daily_Input!N132</f>
        <v>0</v>
      </c>
      <c r="AB132" s="5">
        <f>Daily_Input!O132</f>
        <v>5.0000000000000001E-3</v>
      </c>
      <c r="AC132" s="5">
        <f>Daily_Input!P132</f>
        <v>0</v>
      </c>
      <c r="AD132" s="5">
        <f t="shared" si="7"/>
        <v>5.0000000000000001E-3</v>
      </c>
      <c r="AE132" s="5">
        <f t="shared" si="8"/>
        <v>5.0000000000000001E-3</v>
      </c>
      <c r="AF132" s="5">
        <f>IF(A132="","",IFERROR(INDEX(Daily_Input!$F:$F,ROW()+1),""))</f>
        <v>324364.26175055519</v>
      </c>
      <c r="AG132" s="5">
        <f>IF(A132="","",IFERROR(INDEX(Daily_Input!$F:$F,ROW()+2),""))</f>
        <v>368655.75888458063</v>
      </c>
      <c r="AH132" s="5">
        <f>IF(A132="","",IFERROR(INDEX(Daily_Input!$F:$F,ROW()+3),""))</f>
        <v>323848.51073321624</v>
      </c>
    </row>
    <row r="133" spans="1:34">
      <c r="A133" s="5">
        <f>Daily_Input!A133</f>
        <v>45970</v>
      </c>
      <c r="B133" s="5">
        <f>Daily_Input!F133</f>
        <v>324364.26175055519</v>
      </c>
      <c r="C133" s="5">
        <f>Daily_Input!D133</f>
        <v>489.67700000000002</v>
      </c>
      <c r="D133" s="5">
        <f>Daily_Input!E133</f>
        <v>1664741.6725647999</v>
      </c>
      <c r="E133" s="5" cm="1">
        <f t="array" ref="E133">IF(ROW()=2,"",INDEX(Daily_Input!$E:$E,ROW())-INDEX(Daily_Input!$E:$E,ROW()-1))</f>
        <v>63291.327899999917</v>
      </c>
      <c r="F133" s="5">
        <f>IFERROR(Daily_Input!E133/Config!$B$4,"")</f>
        <v>1.0241641275156992</v>
      </c>
      <c r="G133" s="5">
        <f>Daily_Input!I133</f>
        <v>42.4</v>
      </c>
      <c r="H133" s="5">
        <f>IF(A133="","",IF(ROW()=2,G133,Config!$B$5*H132+G133))</f>
        <v>112.60917200320947</v>
      </c>
      <c r="I133" s="5">
        <f t="shared" si="6"/>
        <v>313</v>
      </c>
      <c r="J133" s="5">
        <f>IF(I133="","",SIN(2*PI()*I133/Config!$B$6))</f>
        <v>-0.78029585107077604</v>
      </c>
      <c r="K133" s="5">
        <f>IF(I133="","",COS(2*PI()*I133/Config!$B$6))</f>
        <v>0.62541057298524572</v>
      </c>
      <c r="L133" s="5">
        <f>IF(ROW()&lt;=2+0,"",INDEX(Daily_Input!$F:$F,ROW()-1))</f>
        <v>41386.163178485738</v>
      </c>
      <c r="M133" s="5">
        <f>IF(ROW()&lt;=2+1,"",INDEX(Daily_Input!$F:$F,ROW()-2))</f>
        <v>4769.2512178835768</v>
      </c>
      <c r="N133" s="5">
        <f>IF(ROW()&lt;=2+2,"",INDEX(Daily_Input!$F:$F,ROW()-3))</f>
        <v>15909.049794822722</v>
      </c>
      <c r="O133" s="5">
        <f>IF(ROW()&lt;=2+6,"",INDEX(Daily_Input!$F:$F,ROW()-7))</f>
        <v>13211.637814588374</v>
      </c>
      <c r="P133" s="5">
        <f>IF(ROW()&lt;=2+13,"",INDEX(Daily_Input!$F:$F,ROW()-14))</f>
        <v>44784.932004664217</v>
      </c>
      <c r="Q133" s="5">
        <f>IF(ROW()&lt;=4,"",SUM(INDEX(Daily_Input!$I:$I,ROW()-2):INDEX(Daily_Input!$I:$I,ROW())))</f>
        <v>42.8</v>
      </c>
      <c r="R133" s="5">
        <f>IF(ROW()&lt;=8,"",SUM(INDEX(Daily_Input!$I:$I,ROW()-6):INDEX(Daily_Input!$I:$I,ROW())))</f>
        <v>62.199999999999996</v>
      </c>
      <c r="S133" s="5">
        <f>IF(ROW()&lt;=15,"",SUM(INDEX(Daily_Input!$I:$I,ROW()-13):INDEX(Daily_Input!$I:$I,ROW())))</f>
        <v>96.8</v>
      </c>
      <c r="T133" s="5">
        <f>IF(ROW()&lt;=4,"",AVERAGE(INDEX(Daily_Input!$F:$F,ROW()-2):INDEX(Daily_Input!$F:$F,ROW())))</f>
        <v>123506.5587156415</v>
      </c>
      <c r="U133" s="5">
        <f>IF(ROW()&lt;=2+0,"",INDEX(Daily_Input!$G:$G,ROW()-1))</f>
        <v>696.59999999999991</v>
      </c>
      <c r="V133" s="5">
        <f>IF(ROW()&lt;=2+0,"",INDEX(Daily_Input!$H:$H,ROW()-1))</f>
        <v>33810.935879999997</v>
      </c>
      <c r="W133" s="5">
        <f>IF(ROW()&lt;=2+1,"",INDEX(Daily_Input!$G:$G,ROW()-2))</f>
        <v>6753.5999999999995</v>
      </c>
      <c r="X133" s="5">
        <f>IF(ROW()&lt;=2+1,"",INDEX(Daily_Input!$H:$H,ROW()-2))</f>
        <v>0</v>
      </c>
      <c r="Y133" s="5">
        <f>IF(ROW()&lt;=2+2,"",INDEX(Daily_Input!$G:$G,ROW()-3))</f>
        <v>15019.199999999999</v>
      </c>
      <c r="Z133" s="5">
        <f>IF(ROW()&lt;=2+2,"",INDEX(Daily_Input!$H:$H,ROW()-3))</f>
        <v>0</v>
      </c>
      <c r="AA133" s="5">
        <f>Daily_Input!N133</f>
        <v>5.0000000000000001E-3</v>
      </c>
      <c r="AB133" s="5">
        <f>Daily_Input!O133</f>
        <v>0</v>
      </c>
      <c r="AC133" s="5">
        <f>Daily_Input!P133</f>
        <v>0</v>
      </c>
      <c r="AD133" s="5">
        <f t="shared" si="7"/>
        <v>5.0000000000000001E-3</v>
      </c>
      <c r="AE133" s="5">
        <f t="shared" si="8"/>
        <v>5.0000000000000001E-3</v>
      </c>
      <c r="AF133" s="5">
        <f>IF(A133="","",IFERROR(INDEX(Daily_Input!$F:$F,ROW()+1),""))</f>
        <v>368655.75888458063</v>
      </c>
      <c r="AG133" s="5">
        <f>IF(A133="","",IFERROR(INDEX(Daily_Input!$F:$F,ROW()+2),""))</f>
        <v>323848.51073321624</v>
      </c>
      <c r="AH133" s="5">
        <f>IF(A133="","",IFERROR(INDEX(Daily_Input!$F:$F,ROW()+3),""))</f>
        <v>280267.58193712565</v>
      </c>
    </row>
    <row r="134" spans="1:34">
      <c r="A134" s="5">
        <f>Daily_Input!A134</f>
        <v>45971</v>
      </c>
      <c r="B134" s="5">
        <f>Daily_Input!F134</f>
        <v>368655.75888458063</v>
      </c>
      <c r="C134" s="5">
        <f>Daily_Input!D134</f>
        <v>489.721</v>
      </c>
      <c r="D134" s="5">
        <f>Daily_Input!E134</f>
        <v>1679932.8392697</v>
      </c>
      <c r="E134" s="5" cm="1">
        <f t="array" ref="E134">IF(ROW()=2,"",INDEX(Daily_Input!$E:$E,ROW())-INDEX(Daily_Input!$E:$E,ROW()-1))</f>
        <v>15191.166704900097</v>
      </c>
      <c r="F134" s="5">
        <f>IFERROR(Daily_Input!E134/Config!$B$4,"")</f>
        <v>1.0335098706124641</v>
      </c>
      <c r="G134" s="5">
        <f>Daily_Input!I134</f>
        <v>9.4</v>
      </c>
      <c r="H134" s="5">
        <f>IF(A134="","",IF(ROW()=2,G134,Config!$B$5*H133+G134))</f>
        <v>116.37871340304899</v>
      </c>
      <c r="I134" s="5">
        <f t="shared" si="6"/>
        <v>314</v>
      </c>
      <c r="J134" s="5">
        <f>IF(I134="","",SIN(2*PI()*I134/Config!$B$6))</f>
        <v>-0.76941482688393814</v>
      </c>
      <c r="K134" s="5">
        <f>IF(I134="","",COS(2*PI()*I134/Config!$B$6))</f>
        <v>0.63874942205152685</v>
      </c>
      <c r="L134" s="5">
        <f>IF(ROW()&lt;=2+0,"",INDEX(Daily_Input!$F:$F,ROW()-1))</f>
        <v>324364.26175055519</v>
      </c>
      <c r="M134" s="5">
        <f>IF(ROW()&lt;=2+1,"",INDEX(Daily_Input!$F:$F,ROW()-2))</f>
        <v>41386.163178485738</v>
      </c>
      <c r="N134" s="5">
        <f>IF(ROW()&lt;=2+2,"",INDEX(Daily_Input!$F:$F,ROW()-3))</f>
        <v>4769.2512178835768</v>
      </c>
      <c r="O134" s="5">
        <f>IF(ROW()&lt;=2+6,"",INDEX(Daily_Input!$F:$F,ROW()-7))</f>
        <v>6860.0464442048233</v>
      </c>
      <c r="P134" s="5">
        <f>IF(ROW()&lt;=2+13,"",INDEX(Daily_Input!$F:$F,ROW()-14))</f>
        <v>18567.957467475244</v>
      </c>
      <c r="Q134" s="5">
        <f>IF(ROW()&lt;=4,"",SUM(INDEX(Daily_Input!$I:$I,ROW()-2):INDEX(Daily_Input!$I:$I,ROW())))</f>
        <v>52.199999999999996</v>
      </c>
      <c r="R134" s="5">
        <f>IF(ROW()&lt;=8,"",SUM(INDEX(Daily_Input!$I:$I,ROW()-6):INDEX(Daily_Input!$I:$I,ROW())))</f>
        <v>71</v>
      </c>
      <c r="S134" s="5">
        <f>IF(ROW()&lt;=15,"",SUM(INDEX(Daily_Input!$I:$I,ROW()-13):INDEX(Daily_Input!$I:$I,ROW())))</f>
        <v>106.2</v>
      </c>
      <c r="T134" s="5">
        <f>IF(ROW()&lt;=4,"",AVERAGE(INDEX(Daily_Input!$F:$F,ROW()-2):INDEX(Daily_Input!$F:$F,ROW())))</f>
        <v>244802.06127120717</v>
      </c>
      <c r="U134" s="5">
        <f>IF(ROW()&lt;=2+0,"",INDEX(Daily_Input!$G:$G,ROW()-1))</f>
        <v>0</v>
      </c>
      <c r="V134" s="5">
        <f>IF(ROW()&lt;=2+0,"",INDEX(Daily_Input!$H:$H,ROW()-1))</f>
        <v>272915.62709999998</v>
      </c>
      <c r="W134" s="5">
        <f>IF(ROW()&lt;=2+1,"",INDEX(Daily_Input!$G:$G,ROW()-2))</f>
        <v>696.59999999999991</v>
      </c>
      <c r="X134" s="5">
        <f>IF(ROW()&lt;=2+1,"",INDEX(Daily_Input!$H:$H,ROW()-2))</f>
        <v>33810.935879999997</v>
      </c>
      <c r="Y134" s="5">
        <f>IF(ROW()&lt;=2+2,"",INDEX(Daily_Input!$G:$G,ROW()-3))</f>
        <v>6753.5999999999995</v>
      </c>
      <c r="Z134" s="5">
        <f>IF(ROW()&lt;=2+2,"",INDEX(Daily_Input!$H:$H,ROW()-3))</f>
        <v>0</v>
      </c>
      <c r="AA134" s="5">
        <f>Daily_Input!N134</f>
        <v>0</v>
      </c>
      <c r="AB134" s="5">
        <f>Daily_Input!O134</f>
        <v>0</v>
      </c>
      <c r="AC134" s="5">
        <f>Daily_Input!P134</f>
        <v>7.0999999999999994E-2</v>
      </c>
      <c r="AD134" s="5">
        <f t="shared" si="7"/>
        <v>7.0999999999999994E-2</v>
      </c>
      <c r="AE134" s="5">
        <f t="shared" si="8"/>
        <v>7.0999999999999994E-2</v>
      </c>
      <c r="AF134" s="5">
        <f>IF(A134="","",IFERROR(INDEX(Daily_Input!$F:$F,ROW()+1),""))</f>
        <v>323848.51073321624</v>
      </c>
      <c r="AG134" s="5">
        <f>IF(A134="","",IFERROR(INDEX(Daily_Input!$F:$F,ROW()+2),""))</f>
        <v>280267.58193712565</v>
      </c>
      <c r="AH134" s="5">
        <f>IF(A134="","",IFERROR(INDEX(Daily_Input!$F:$F,ROW()+3),""))</f>
        <v>238079.59356554842</v>
      </c>
    </row>
    <row r="135" spans="1:34">
      <c r="A135" s="5">
        <f>Daily_Input!A135</f>
        <v>45972</v>
      </c>
      <c r="B135" s="5">
        <f>Daily_Input!F135</f>
        <v>323848.51073321624</v>
      </c>
      <c r="C135" s="5">
        <f>Daily_Input!D135</f>
        <v>489.71499999999997</v>
      </c>
      <c r="D135" s="5">
        <f>Daily_Input!E135</f>
        <v>1676891.4600323001</v>
      </c>
      <c r="E135" s="5" cm="1">
        <f t="array" ref="E135">IF(ROW()=2,"",INDEX(Daily_Input!$E:$E,ROW())-INDEX(Daily_Input!$E:$E,ROW()-1))</f>
        <v>-3041.3792373999022</v>
      </c>
      <c r="F135" s="5">
        <f>IFERROR(Daily_Input!E135/Config!$B$4,"")</f>
        <v>1.0316387866091923</v>
      </c>
      <c r="G135" s="5">
        <f>Daily_Input!I135</f>
        <v>0</v>
      </c>
      <c r="H135" s="5">
        <f>IF(A135="","",IF(ROW()=2,G135,Config!$B$5*H134+G135))</f>
        <v>110.55977773289653</v>
      </c>
      <c r="I135" s="5">
        <f t="shared" si="6"/>
        <v>315</v>
      </c>
      <c r="J135" s="5">
        <f>IF(I135="","",SIN(2*PI()*I135/Config!$B$6))</f>
        <v>-0.75830580847856255</v>
      </c>
      <c r="K135" s="5">
        <f>IF(I135="","",COS(2*PI()*I135/Config!$B$6))</f>
        <v>0.65189899587871247</v>
      </c>
      <c r="L135" s="5">
        <f>IF(ROW()&lt;=2+0,"",INDEX(Daily_Input!$F:$F,ROW()-1))</f>
        <v>368655.75888458063</v>
      </c>
      <c r="M135" s="5">
        <f>IF(ROW()&lt;=2+1,"",INDEX(Daily_Input!$F:$F,ROW()-2))</f>
        <v>324364.26175055519</v>
      </c>
      <c r="N135" s="5">
        <f>IF(ROW()&lt;=2+2,"",INDEX(Daily_Input!$F:$F,ROW()-3))</f>
        <v>41386.163178485738</v>
      </c>
      <c r="O135" s="5">
        <f>IF(ROW()&lt;=2+6,"",INDEX(Daily_Input!$F:$F,ROW()-7))</f>
        <v>10042.452992125218</v>
      </c>
      <c r="P135" s="5">
        <f>IF(ROW()&lt;=2+13,"",INDEX(Daily_Input!$F:$F,ROW()-14))</f>
        <v>10123.898591554334</v>
      </c>
      <c r="Q135" s="5">
        <f>IF(ROW()&lt;=4,"",SUM(INDEX(Daily_Input!$I:$I,ROW()-2):INDEX(Daily_Input!$I:$I,ROW())))</f>
        <v>51.8</v>
      </c>
      <c r="R135" s="5">
        <f>IF(ROW()&lt;=8,"",SUM(INDEX(Daily_Input!$I:$I,ROW()-6):INDEX(Daily_Input!$I:$I,ROW())))</f>
        <v>71</v>
      </c>
      <c r="S135" s="5">
        <f>IF(ROW()&lt;=15,"",SUM(INDEX(Daily_Input!$I:$I,ROW()-13):INDEX(Daily_Input!$I:$I,ROW())))</f>
        <v>106.2</v>
      </c>
      <c r="T135" s="5">
        <f>IF(ROW()&lt;=4,"",AVERAGE(INDEX(Daily_Input!$F:$F,ROW()-2):INDEX(Daily_Input!$F:$F,ROW())))</f>
        <v>338956.17712278402</v>
      </c>
      <c r="U135" s="5">
        <f>IF(ROW()&lt;=2+0,"",INDEX(Daily_Input!$G:$G,ROW()-1))</f>
        <v>0</v>
      </c>
      <c r="V135" s="5">
        <f>IF(ROW()&lt;=2+0,"",INDEX(Daily_Input!$H:$H,ROW()-1))</f>
        <v>355298.22330000001</v>
      </c>
      <c r="W135" s="5">
        <f>IF(ROW()&lt;=2+1,"",INDEX(Daily_Input!$G:$G,ROW()-2))</f>
        <v>0</v>
      </c>
      <c r="X135" s="5">
        <f>IF(ROW()&lt;=2+1,"",INDEX(Daily_Input!$H:$H,ROW()-2))</f>
        <v>272915.62709999998</v>
      </c>
      <c r="Y135" s="5">
        <f>IF(ROW()&lt;=2+2,"",INDEX(Daily_Input!$G:$G,ROW()-3))</f>
        <v>696.59999999999991</v>
      </c>
      <c r="Z135" s="5">
        <f>IF(ROW()&lt;=2+2,"",INDEX(Daily_Input!$H:$H,ROW()-3))</f>
        <v>33810.935879999997</v>
      </c>
      <c r="AA135" s="5">
        <f>Daily_Input!N135</f>
        <v>0</v>
      </c>
      <c r="AB135" s="5">
        <f>Daily_Input!O135</f>
        <v>7.0999999999999994E-2</v>
      </c>
      <c r="AC135" s="5">
        <f>Daily_Input!P135</f>
        <v>5.9999999999999995E-4</v>
      </c>
      <c r="AD135" s="5">
        <f t="shared" si="7"/>
        <v>7.1599999999999997E-2</v>
      </c>
      <c r="AE135" s="5">
        <f t="shared" si="8"/>
        <v>7.0999999999999994E-2</v>
      </c>
      <c r="AF135" s="5">
        <f>IF(A135="","",IFERROR(INDEX(Daily_Input!$F:$F,ROW()+1),""))</f>
        <v>280267.58193712565</v>
      </c>
      <c r="AG135" s="5">
        <f>IF(A135="","",IFERROR(INDEX(Daily_Input!$F:$F,ROW()+2),""))</f>
        <v>238079.59356554842</v>
      </c>
      <c r="AH135" s="5">
        <f>IF(A135="","",IFERROR(INDEX(Daily_Input!$F:$F,ROW()+3),""))</f>
        <v>213597.80433420843</v>
      </c>
    </row>
    <row r="136" spans="1:34">
      <c r="A136" s="5">
        <f>Daily_Input!A136</f>
        <v>45973</v>
      </c>
      <c r="B136" s="5">
        <f>Daily_Input!F136</f>
        <v>280267.58193712565</v>
      </c>
      <c r="C136" s="5">
        <f>Daily_Input!D136</f>
        <v>489.702</v>
      </c>
      <c r="D136" s="5">
        <f>Daily_Input!E136</f>
        <v>1673851.7406957999</v>
      </c>
      <c r="E136" s="5" cm="1">
        <f t="array" ref="E136">IF(ROW()=2,"",INDEX(Daily_Input!$E:$E,ROW())-INDEX(Daily_Input!$E:$E,ROW()-1))</f>
        <v>-3039.7193365001585</v>
      </c>
      <c r="F136" s="5">
        <f>IFERROR(Daily_Input!E136/Config!$B$4,"")</f>
        <v>1.0297687237919608</v>
      </c>
      <c r="G136" s="5">
        <f>Daily_Input!I136</f>
        <v>0</v>
      </c>
      <c r="H136" s="5">
        <f>IF(A136="","",IF(ROW()=2,G136,Config!$B$5*H135+G136))</f>
        <v>105.0317888462517</v>
      </c>
      <c r="I136" s="5">
        <f t="shared" si="6"/>
        <v>316</v>
      </c>
      <c r="J136" s="5">
        <f>IF(I136="","",SIN(2*PI()*I136/Config!$B$6))</f>
        <v>-0.7469720876965551</v>
      </c>
      <c r="K136" s="5">
        <f>IF(I136="","",COS(2*PI()*I136/Config!$B$6))</f>
        <v>0.66485539796428661</v>
      </c>
      <c r="L136" s="5">
        <f>IF(ROW()&lt;=2+0,"",INDEX(Daily_Input!$F:$F,ROW()-1))</f>
        <v>323848.51073321624</v>
      </c>
      <c r="M136" s="5">
        <f>IF(ROW()&lt;=2+1,"",INDEX(Daily_Input!$F:$F,ROW()-2))</f>
        <v>368655.75888458063</v>
      </c>
      <c r="N136" s="5">
        <f>IF(ROW()&lt;=2+2,"",INDEX(Daily_Input!$F:$F,ROW()-3))</f>
        <v>324364.26175055519</v>
      </c>
      <c r="O136" s="5">
        <f>IF(ROW()&lt;=2+6,"",INDEX(Daily_Input!$F:$F,ROW()-7))</f>
        <v>16504.947544731822</v>
      </c>
      <c r="P136" s="5">
        <f>IF(ROW()&lt;=2+13,"",INDEX(Daily_Input!$F:$F,ROW()-14))</f>
        <v>10072.899036310992</v>
      </c>
      <c r="Q136" s="5">
        <f>IF(ROW()&lt;=4,"",SUM(INDEX(Daily_Input!$I:$I,ROW()-2):INDEX(Daily_Input!$I:$I,ROW())))</f>
        <v>9.4</v>
      </c>
      <c r="R136" s="5">
        <f>IF(ROW()&lt;=8,"",SUM(INDEX(Daily_Input!$I:$I,ROW()-6):INDEX(Daily_Input!$I:$I,ROW())))</f>
        <v>52.599999999999994</v>
      </c>
      <c r="S136" s="5">
        <f>IF(ROW()&lt;=15,"",SUM(INDEX(Daily_Input!$I:$I,ROW()-13):INDEX(Daily_Input!$I:$I,ROW())))</f>
        <v>106.2</v>
      </c>
      <c r="T136" s="5">
        <f>IF(ROW()&lt;=4,"",AVERAGE(INDEX(Daily_Input!$F:$F,ROW()-2):INDEX(Daily_Input!$F:$F,ROW())))</f>
        <v>324257.28385164082</v>
      </c>
      <c r="U136" s="5">
        <f>IF(ROW()&lt;=2+0,"",INDEX(Daily_Input!$G:$G,ROW()-1))</f>
        <v>0</v>
      </c>
      <c r="V136" s="5">
        <f>IF(ROW()&lt;=2+0,"",INDEX(Daily_Input!$H:$H,ROW()-1))</f>
        <v>325864.47610000003</v>
      </c>
      <c r="W136" s="5">
        <f>IF(ROW()&lt;=2+1,"",INDEX(Daily_Input!$G:$G,ROW()-2))</f>
        <v>0</v>
      </c>
      <c r="X136" s="5">
        <f>IF(ROW()&lt;=2+1,"",INDEX(Daily_Input!$H:$H,ROW()-2))</f>
        <v>355298.22330000001</v>
      </c>
      <c r="Y136" s="5">
        <f>IF(ROW()&lt;=2+2,"",INDEX(Daily_Input!$G:$G,ROW()-3))</f>
        <v>0</v>
      </c>
      <c r="Z136" s="5">
        <f>IF(ROW()&lt;=2+2,"",INDEX(Daily_Input!$H:$H,ROW()-3))</f>
        <v>272915.62709999998</v>
      </c>
      <c r="AA136" s="5">
        <f>Daily_Input!N136</f>
        <v>7.0999999999999994E-2</v>
      </c>
      <c r="AB136" s="5">
        <f>Daily_Input!O136</f>
        <v>5.9999999999999995E-4</v>
      </c>
      <c r="AC136" s="5">
        <f>Daily_Input!P136</f>
        <v>2.391</v>
      </c>
      <c r="AD136" s="5">
        <f t="shared" si="7"/>
        <v>2.4626000000000001</v>
      </c>
      <c r="AE136" s="5">
        <f t="shared" si="8"/>
        <v>2.391</v>
      </c>
      <c r="AF136" s="5">
        <f>IF(A136="","",IFERROR(INDEX(Daily_Input!$F:$F,ROW()+1),""))</f>
        <v>238079.59356554842</v>
      </c>
      <c r="AG136" s="5">
        <f>IF(A136="","",IFERROR(INDEX(Daily_Input!$F:$F,ROW()+2),""))</f>
        <v>213597.80433420843</v>
      </c>
      <c r="AH136" s="5">
        <f>IF(A136="","",IFERROR(INDEX(Daily_Input!$F:$F,ROW()+3),""))</f>
        <v>192495.62577584962</v>
      </c>
    </row>
    <row r="137" spans="1:34">
      <c r="A137" s="5">
        <f>Daily_Input!A137</f>
        <v>45974</v>
      </c>
      <c r="B137" s="5">
        <f>Daily_Input!F137</f>
        <v>238079.59356554842</v>
      </c>
      <c r="C137" s="5">
        <f>Daily_Input!D137</f>
        <v>489.68297999999999</v>
      </c>
      <c r="D137" s="5">
        <f>Daily_Input!E137</f>
        <v>1667776.8298903999</v>
      </c>
      <c r="E137" s="5" cm="1">
        <f t="array" ref="E137">IF(ROW()=2,"",INDEX(Daily_Input!$E:$E,ROW())-INDEX(Daily_Input!$E:$E,ROW()-1))</f>
        <v>-6074.9108053999953</v>
      </c>
      <c r="F137" s="5">
        <f>IFERROR(Daily_Input!E137/Config!$B$4,"")</f>
        <v>1.026031383742581</v>
      </c>
      <c r="G137" s="5">
        <f>Daily_Input!I137</f>
        <v>0</v>
      </c>
      <c r="H137" s="5">
        <f>IF(A137="","",IF(ROW()=2,G137,Config!$B$5*H136+G137))</f>
        <v>99.780199403939108</v>
      </c>
      <c r="I137" s="5">
        <f t="shared" si="6"/>
        <v>317</v>
      </c>
      <c r="J137" s="5">
        <f>IF(I137="","",SIN(2*PI()*I137/Config!$B$6))</f>
        <v>-0.73541702296398581</v>
      </c>
      <c r="K137" s="5">
        <f>IF(I137="","",COS(2*PI()*I137/Config!$B$6))</f>
        <v>0.6776147890466887</v>
      </c>
      <c r="L137" s="5">
        <f>IF(ROW()&lt;=2+0,"",INDEX(Daily_Input!$F:$F,ROW()-1))</f>
        <v>280267.58193712565</v>
      </c>
      <c r="M137" s="5">
        <f>IF(ROW()&lt;=2+1,"",INDEX(Daily_Input!$F:$F,ROW()-2))</f>
        <v>323848.51073321624</v>
      </c>
      <c r="N137" s="5">
        <f>IF(ROW()&lt;=2+2,"",INDEX(Daily_Input!$F:$F,ROW()-3))</f>
        <v>368655.75888458063</v>
      </c>
      <c r="O137" s="5">
        <f>IF(ROW()&lt;=2+6,"",INDEX(Daily_Input!$F:$F,ROW()-7))</f>
        <v>15909.049794822722</v>
      </c>
      <c r="P137" s="5">
        <f>IF(ROW()&lt;=2+13,"",INDEX(Daily_Input!$F:$F,ROW()-14))</f>
        <v>10077.865167052254</v>
      </c>
      <c r="Q137" s="5">
        <f>IF(ROW()&lt;=4,"",SUM(INDEX(Daily_Input!$I:$I,ROW()-2):INDEX(Daily_Input!$I:$I,ROW())))</f>
        <v>0</v>
      </c>
      <c r="R137" s="5">
        <f>IF(ROW()&lt;=8,"",SUM(INDEX(Daily_Input!$I:$I,ROW()-6):INDEX(Daily_Input!$I:$I,ROW())))</f>
        <v>52.199999999999996</v>
      </c>
      <c r="S137" s="5">
        <f>IF(ROW()&lt;=15,"",SUM(INDEX(Daily_Input!$I:$I,ROW()-13):INDEX(Daily_Input!$I:$I,ROW())))</f>
        <v>106.2</v>
      </c>
      <c r="T137" s="5">
        <f>IF(ROW()&lt;=4,"",AVERAGE(INDEX(Daily_Input!$F:$F,ROW()-2):INDEX(Daily_Input!$F:$F,ROW())))</f>
        <v>280731.89541196346</v>
      </c>
      <c r="U137" s="5">
        <f>IF(ROW()&lt;=2+0,"",INDEX(Daily_Input!$G:$G,ROW()-1))</f>
        <v>0</v>
      </c>
      <c r="V137" s="5">
        <f>IF(ROW()&lt;=2+0,"",INDEX(Daily_Input!$H:$H,ROW()-1))</f>
        <v>282282.41340000002</v>
      </c>
      <c r="W137" s="5">
        <f>IF(ROW()&lt;=2+1,"",INDEX(Daily_Input!$G:$G,ROW()-2))</f>
        <v>0</v>
      </c>
      <c r="X137" s="5">
        <f>IF(ROW()&lt;=2+1,"",INDEX(Daily_Input!$H:$H,ROW()-2))</f>
        <v>325864.47610000003</v>
      </c>
      <c r="Y137" s="5">
        <f>IF(ROW()&lt;=2+2,"",INDEX(Daily_Input!$G:$G,ROW()-3))</f>
        <v>0</v>
      </c>
      <c r="Z137" s="5">
        <f>IF(ROW()&lt;=2+2,"",INDEX(Daily_Input!$H:$H,ROW()-3))</f>
        <v>355298.22330000001</v>
      </c>
      <c r="AA137" s="5">
        <f>Daily_Input!N137</f>
        <v>5.9999999999999995E-4</v>
      </c>
      <c r="AB137" s="5">
        <f>Daily_Input!O137</f>
        <v>2.391</v>
      </c>
      <c r="AC137" s="5">
        <f>Daily_Input!P137</f>
        <v>0</v>
      </c>
      <c r="AD137" s="5">
        <f t="shared" si="7"/>
        <v>2.3915999999999999</v>
      </c>
      <c r="AE137" s="5">
        <f t="shared" si="8"/>
        <v>2.391</v>
      </c>
      <c r="AF137" s="5">
        <f>IF(A137="","",IFERROR(INDEX(Daily_Input!$F:$F,ROW()+1),""))</f>
        <v>213597.80433420843</v>
      </c>
      <c r="AG137" s="5">
        <f>IF(A137="","",IFERROR(INDEX(Daily_Input!$F:$F,ROW()+2),""))</f>
        <v>192495.62577584962</v>
      </c>
      <c r="AH137" s="5">
        <f>IF(A137="","",IFERROR(INDEX(Daily_Input!$F:$F,ROW()+3),""))</f>
        <v>175733.50779371275</v>
      </c>
    </row>
    <row r="138" spans="1:34">
      <c r="A138" s="5">
        <f>Daily_Input!A138</f>
        <v>45975</v>
      </c>
      <c r="B138" s="5">
        <f>Daily_Input!F138</f>
        <v>213597.80433420843</v>
      </c>
      <c r="C138" s="5">
        <f>Daily_Input!D138</f>
        <v>489.67099999999999</v>
      </c>
      <c r="D138" s="5">
        <f>Daily_Input!E138</f>
        <v>1664741.6725647999</v>
      </c>
      <c r="E138" s="5" cm="1">
        <f t="array" ref="E138">IF(ROW()=2,"",INDEX(Daily_Input!$E:$E,ROW())-INDEX(Daily_Input!$E:$E,ROW()-1))</f>
        <v>-3035.1573256000411</v>
      </c>
      <c r="F138" s="5">
        <f>IFERROR(Daily_Input!E138/Config!$B$4,"")</f>
        <v>1.0241641275156992</v>
      </c>
      <c r="G138" s="5">
        <f>Daily_Input!I138</f>
        <v>0</v>
      </c>
      <c r="H138" s="5">
        <f>IF(A138="","",IF(ROW()=2,G138,Config!$B$5*H137+G138))</f>
        <v>94.791189433742147</v>
      </c>
      <c r="I138" s="5">
        <f t="shared" si="6"/>
        <v>318</v>
      </c>
      <c r="J138" s="5">
        <f>IF(I138="","",SIN(2*PI()*I138/Config!$B$6))</f>
        <v>-0.72364403829591228</v>
      </c>
      <c r="K138" s="5">
        <f>IF(I138="","",COS(2*PI()*I138/Config!$B$6))</f>
        <v>0.69017338824297203</v>
      </c>
      <c r="L138" s="5">
        <f>IF(ROW()&lt;=2+0,"",INDEX(Daily_Input!$F:$F,ROW()-1))</f>
        <v>238079.59356554842</v>
      </c>
      <c r="M138" s="5">
        <f>IF(ROW()&lt;=2+1,"",INDEX(Daily_Input!$F:$F,ROW()-2))</f>
        <v>280267.58193712565</v>
      </c>
      <c r="N138" s="5">
        <f>IF(ROW()&lt;=2+2,"",INDEX(Daily_Input!$F:$F,ROW()-3))</f>
        <v>323848.51073321624</v>
      </c>
      <c r="O138" s="5">
        <f>IF(ROW()&lt;=2+6,"",INDEX(Daily_Input!$F:$F,ROW()-7))</f>
        <v>4769.2512178835768</v>
      </c>
      <c r="P138" s="5">
        <f>IF(ROW()&lt;=2+13,"",INDEX(Daily_Input!$F:$F,ROW()-14))</f>
        <v>10082.828486909842</v>
      </c>
      <c r="Q138" s="5">
        <f>IF(ROW()&lt;=4,"",SUM(INDEX(Daily_Input!$I:$I,ROW()-2):INDEX(Daily_Input!$I:$I,ROW())))</f>
        <v>0</v>
      </c>
      <c r="R138" s="5">
        <f>IF(ROW()&lt;=8,"",SUM(INDEX(Daily_Input!$I:$I,ROW()-6):INDEX(Daily_Input!$I:$I,ROW())))</f>
        <v>52.199999999999996</v>
      </c>
      <c r="S138" s="5">
        <f>IF(ROW()&lt;=15,"",SUM(INDEX(Daily_Input!$I:$I,ROW()-13):INDEX(Daily_Input!$I:$I,ROW())))</f>
        <v>106.2</v>
      </c>
      <c r="T138" s="5">
        <f>IF(ROW()&lt;=4,"",AVERAGE(INDEX(Daily_Input!$F:$F,ROW()-2):INDEX(Daily_Input!$F:$F,ROW())))</f>
        <v>243981.65994562753</v>
      </c>
      <c r="U138" s="5">
        <f>IF(ROW()&lt;=2+0,"",INDEX(Daily_Input!$G:$G,ROW()-1))</f>
        <v>0</v>
      </c>
      <c r="V138" s="5">
        <f>IF(ROW()&lt;=2+0,"",INDEX(Daily_Input!$H:$H,ROW()-1))</f>
        <v>243130.6606</v>
      </c>
      <c r="W138" s="5">
        <f>IF(ROW()&lt;=2+1,"",INDEX(Daily_Input!$G:$G,ROW()-2))</f>
        <v>0</v>
      </c>
      <c r="X138" s="5">
        <f>IF(ROW()&lt;=2+1,"",INDEX(Daily_Input!$H:$H,ROW()-2))</f>
        <v>282282.41340000002</v>
      </c>
      <c r="Y138" s="5">
        <f>IF(ROW()&lt;=2+2,"",INDEX(Daily_Input!$G:$G,ROW()-3))</f>
        <v>0</v>
      </c>
      <c r="Z138" s="5">
        <f>IF(ROW()&lt;=2+2,"",INDEX(Daily_Input!$H:$H,ROW()-3))</f>
        <v>325864.47610000003</v>
      </c>
      <c r="AA138" s="5">
        <f>Daily_Input!N138</f>
        <v>2.391</v>
      </c>
      <c r="AB138" s="5">
        <f>Daily_Input!O138</f>
        <v>0</v>
      </c>
      <c r="AC138" s="5">
        <f>Daily_Input!P138</f>
        <v>0</v>
      </c>
      <c r="AD138" s="5">
        <f t="shared" si="7"/>
        <v>2.391</v>
      </c>
      <c r="AE138" s="5">
        <f t="shared" si="8"/>
        <v>2.391</v>
      </c>
      <c r="AF138" s="5">
        <f>IF(A138="","",IFERROR(INDEX(Daily_Input!$F:$F,ROW()+1),""))</f>
        <v>192495.62577584962</v>
      </c>
      <c r="AG138" s="5">
        <f>IF(A138="","",IFERROR(INDEX(Daily_Input!$F:$F,ROW()+2),""))</f>
        <v>175733.50779371275</v>
      </c>
      <c r="AH138" s="5">
        <f>IF(A138="","",IFERROR(INDEX(Daily_Input!$F:$F,ROW()+3),""))</f>
        <v>177813.58794291277</v>
      </c>
    </row>
    <row r="139" spans="1:34">
      <c r="A139" s="5">
        <f>Daily_Input!A139</f>
        <v>45976</v>
      </c>
      <c r="B139" s="5">
        <f>Daily_Input!F139</f>
        <v>192495.62577584962</v>
      </c>
      <c r="C139" s="5">
        <f>Daily_Input!D139</f>
        <v>489.66399999999999</v>
      </c>
      <c r="D139" s="5">
        <f>Daily_Input!E139</f>
        <v>1661708.0167959</v>
      </c>
      <c r="E139" s="5" cm="1">
        <f t="array" ref="E139">IF(ROW()=2,"",INDEX(Daily_Input!$E:$E,ROW())-INDEX(Daily_Input!$E:$E,ROW()-1))</f>
        <v>-3033.6557688999455</v>
      </c>
      <c r="F139" s="5">
        <f>IFERROR(Daily_Input!E139/Config!$B$4,"")</f>
        <v>1.0222977950600747</v>
      </c>
      <c r="G139" s="5">
        <f>Daily_Input!I139</f>
        <v>0</v>
      </c>
      <c r="H139" s="5">
        <f>IF(A139="","",IF(ROW()=2,G139,Config!$B$5*H138+G139))</f>
        <v>90.051629962055031</v>
      </c>
      <c r="I139" s="5">
        <f t="shared" si="6"/>
        <v>319</v>
      </c>
      <c r="J139" s="5">
        <f>IF(I139="","",SIN(2*PI()*I139/Config!$B$6))</f>
        <v>-0.71165662228177506</v>
      </c>
      <c r="K139" s="5">
        <f>IF(I139="","",COS(2*PI()*I139/Config!$B$6))</f>
        <v>0.70252747416915662</v>
      </c>
      <c r="L139" s="5">
        <f>IF(ROW()&lt;=2+0,"",INDEX(Daily_Input!$F:$F,ROW()-1))</f>
        <v>213597.80433420843</v>
      </c>
      <c r="M139" s="5">
        <f>IF(ROW()&lt;=2+1,"",INDEX(Daily_Input!$F:$F,ROW()-2))</f>
        <v>238079.59356554842</v>
      </c>
      <c r="N139" s="5">
        <f>IF(ROW()&lt;=2+2,"",INDEX(Daily_Input!$F:$F,ROW()-3))</f>
        <v>280267.58193712565</v>
      </c>
      <c r="O139" s="5">
        <f>IF(ROW()&lt;=2+6,"",INDEX(Daily_Input!$F:$F,ROW()-7))</f>
        <v>41386.163178485738</v>
      </c>
      <c r="P139" s="5">
        <f>IF(ROW()&lt;=2+13,"",INDEX(Daily_Input!$F:$F,ROW()-14))</f>
        <v>8473.8119836439928</v>
      </c>
      <c r="Q139" s="5">
        <f>IF(ROW()&lt;=4,"",SUM(INDEX(Daily_Input!$I:$I,ROW()-2):INDEX(Daily_Input!$I:$I,ROW())))</f>
        <v>0</v>
      </c>
      <c r="R139" s="5">
        <f>IF(ROW()&lt;=8,"",SUM(INDEX(Daily_Input!$I:$I,ROW()-6):INDEX(Daily_Input!$I:$I,ROW())))</f>
        <v>51.8</v>
      </c>
      <c r="S139" s="5">
        <f>IF(ROW()&lt;=15,"",SUM(INDEX(Daily_Input!$I:$I,ROW()-13):INDEX(Daily_Input!$I:$I,ROW())))</f>
        <v>81</v>
      </c>
      <c r="T139" s="5">
        <f>IF(ROW()&lt;=4,"",AVERAGE(INDEX(Daily_Input!$F:$F,ROW()-2):INDEX(Daily_Input!$F:$F,ROW())))</f>
        <v>214724.34122520217</v>
      </c>
      <c r="U139" s="5">
        <f>IF(ROW()&lt;=2+0,"",INDEX(Daily_Input!$G:$G,ROW()-1))</f>
        <v>0</v>
      </c>
      <c r="V139" s="5">
        <f>IF(ROW()&lt;=2+0,"",INDEX(Daily_Input!$H:$H,ROW()-1))</f>
        <v>215609.6355</v>
      </c>
      <c r="W139" s="5">
        <f>IF(ROW()&lt;=2+1,"",INDEX(Daily_Input!$G:$G,ROW()-2))</f>
        <v>0</v>
      </c>
      <c r="X139" s="5">
        <f>IF(ROW()&lt;=2+1,"",INDEX(Daily_Input!$H:$H,ROW()-2))</f>
        <v>243130.6606</v>
      </c>
      <c r="Y139" s="5">
        <f>IF(ROW()&lt;=2+2,"",INDEX(Daily_Input!$G:$G,ROW()-3))</f>
        <v>0</v>
      </c>
      <c r="Z139" s="5">
        <f>IF(ROW()&lt;=2+2,"",INDEX(Daily_Input!$H:$H,ROW()-3))</f>
        <v>282282.41340000002</v>
      </c>
      <c r="AA139" s="5">
        <f>Daily_Input!N139</f>
        <v>0</v>
      </c>
      <c r="AB139" s="5">
        <f>Daily_Input!O139</f>
        <v>0</v>
      </c>
      <c r="AC139" s="5">
        <f>Daily_Input!P139</f>
        <v>0</v>
      </c>
      <c r="AD139" s="5">
        <f t="shared" si="7"/>
        <v>0</v>
      </c>
      <c r="AE139" s="5">
        <f t="shared" si="8"/>
        <v>0</v>
      </c>
      <c r="AF139" s="5">
        <f>IF(A139="","",IFERROR(INDEX(Daily_Input!$F:$F,ROW()+1),""))</f>
        <v>175733.50779371275</v>
      </c>
      <c r="AG139" s="5">
        <f>IF(A139="","",IFERROR(INDEX(Daily_Input!$F:$F,ROW()+2),""))</f>
        <v>177813.58794291277</v>
      </c>
      <c r="AH139" s="5">
        <f>IF(A139="","",IFERROR(INDEX(Daily_Input!$F:$F,ROW()+3),""))</f>
        <v>478550.42526226019</v>
      </c>
    </row>
    <row r="140" spans="1:34">
      <c r="A140" s="5">
        <f>Daily_Input!A140</f>
        <v>45977</v>
      </c>
      <c r="B140" s="5">
        <f>Daily_Input!F140</f>
        <v>175733.50779371275</v>
      </c>
      <c r="C140" s="5">
        <f>Daily_Input!D140</f>
        <v>489.65800000000002</v>
      </c>
      <c r="D140" s="5">
        <f>Daily_Input!E140</f>
        <v>1658675.7961466999</v>
      </c>
      <c r="E140" s="5" cm="1">
        <f t="array" ref="E140">IF(ROW()=2,"",INDEX(Daily_Input!$E:$E,ROW())-INDEX(Daily_Input!$E:$E,ROW()-1))</f>
        <v>-3032.2206492000259</v>
      </c>
      <c r="F140" s="5">
        <f>IFERROR(Daily_Input!E140/Config!$B$4,"")</f>
        <v>1.0204323455030642</v>
      </c>
      <c r="G140" s="5">
        <f>Daily_Input!I140</f>
        <v>0</v>
      </c>
      <c r="H140" s="5">
        <f>IF(A140="","",IF(ROW()=2,G140,Config!$B$5*H139+G140))</f>
        <v>85.549048463952275</v>
      </c>
      <c r="I140" s="5">
        <f t="shared" si="6"/>
        <v>320</v>
      </c>
      <c r="J140" s="5">
        <f>IF(I140="","",SIN(2*PI()*I140/Config!$B$6))</f>
        <v>-0.69945832705164712</v>
      </c>
      <c r="K140" s="5">
        <f>IF(I140="","",COS(2*PI()*I140/Config!$B$6))</f>
        <v>0.71467338604296093</v>
      </c>
      <c r="L140" s="5">
        <f>IF(ROW()&lt;=2+0,"",INDEX(Daily_Input!$F:$F,ROW()-1))</f>
        <v>192495.62577584962</v>
      </c>
      <c r="M140" s="5">
        <f>IF(ROW()&lt;=2+1,"",INDEX(Daily_Input!$F:$F,ROW()-2))</f>
        <v>213597.80433420843</v>
      </c>
      <c r="N140" s="5">
        <f>IF(ROW()&lt;=2+2,"",INDEX(Daily_Input!$F:$F,ROW()-3))</f>
        <v>238079.59356554842</v>
      </c>
      <c r="O140" s="5">
        <f>IF(ROW()&lt;=2+6,"",INDEX(Daily_Input!$F:$F,ROW()-7))</f>
        <v>324364.26175055519</v>
      </c>
      <c r="P140" s="5">
        <f>IF(ROW()&lt;=2+13,"",INDEX(Daily_Input!$F:$F,ROW()-14))</f>
        <v>13211.637814588374</v>
      </c>
      <c r="Q140" s="5">
        <f>IF(ROW()&lt;=4,"",SUM(INDEX(Daily_Input!$I:$I,ROW()-2):INDEX(Daily_Input!$I:$I,ROW())))</f>
        <v>0</v>
      </c>
      <c r="R140" s="5">
        <f>IF(ROW()&lt;=8,"",SUM(INDEX(Daily_Input!$I:$I,ROW()-6):INDEX(Daily_Input!$I:$I,ROW())))</f>
        <v>9.4</v>
      </c>
      <c r="S140" s="5">
        <f>IF(ROW()&lt;=15,"",SUM(INDEX(Daily_Input!$I:$I,ROW()-13):INDEX(Daily_Input!$I:$I,ROW())))</f>
        <v>71.599999999999994</v>
      </c>
      <c r="T140" s="5">
        <f>IF(ROW()&lt;=4,"",AVERAGE(INDEX(Daily_Input!$F:$F,ROW()-2):INDEX(Daily_Input!$F:$F,ROW())))</f>
        <v>193942.31263459029</v>
      </c>
      <c r="U140" s="5">
        <f>IF(ROW()&lt;=2+0,"",INDEX(Daily_Input!$G:$G,ROW()-1))</f>
        <v>0</v>
      </c>
      <c r="V140" s="5">
        <f>IF(ROW()&lt;=2+0,"",INDEX(Daily_Input!$H:$H,ROW()-1))</f>
        <v>194506.47029999999</v>
      </c>
      <c r="W140" s="5">
        <f>IF(ROW()&lt;=2+1,"",INDEX(Daily_Input!$G:$G,ROW()-2))</f>
        <v>0</v>
      </c>
      <c r="X140" s="5">
        <f>IF(ROW()&lt;=2+1,"",INDEX(Daily_Input!$H:$H,ROW()-2))</f>
        <v>215609.6355</v>
      </c>
      <c r="Y140" s="5">
        <f>IF(ROW()&lt;=2+2,"",INDEX(Daily_Input!$G:$G,ROW()-3))</f>
        <v>0</v>
      </c>
      <c r="Z140" s="5">
        <f>IF(ROW()&lt;=2+2,"",INDEX(Daily_Input!$H:$H,ROW()-3))</f>
        <v>243130.6606</v>
      </c>
      <c r="AA140" s="5">
        <f>Daily_Input!N140</f>
        <v>0</v>
      </c>
      <c r="AB140" s="5">
        <f>Daily_Input!O140</f>
        <v>0</v>
      </c>
      <c r="AC140" s="5">
        <f>Daily_Input!P140</f>
        <v>0</v>
      </c>
      <c r="AD140" s="5">
        <f t="shared" si="7"/>
        <v>0</v>
      </c>
      <c r="AE140" s="5">
        <f t="shared" si="8"/>
        <v>0</v>
      </c>
      <c r="AF140" s="5">
        <f>IF(A140="","",IFERROR(INDEX(Daily_Input!$F:$F,ROW()+1),""))</f>
        <v>177813.58794291277</v>
      </c>
      <c r="AG140" s="5">
        <f>IF(A140="","",IFERROR(INDEX(Daily_Input!$F:$F,ROW()+2),""))</f>
        <v>478550.42526226019</v>
      </c>
      <c r="AH140" s="5">
        <f>IF(A140="","",IFERROR(INDEX(Daily_Input!$F:$F,ROW()+3),""))</f>
        <v>957422.96408633795</v>
      </c>
    </row>
    <row r="141" spans="1:34">
      <c r="A141" s="5">
        <f>Daily_Input!A141</f>
        <v>45978</v>
      </c>
      <c r="B141" s="5">
        <f>Daily_Input!F141</f>
        <v>177813.58794291277</v>
      </c>
      <c r="C141" s="5">
        <f>Daily_Input!D141</f>
        <v>489.65697999999998</v>
      </c>
      <c r="D141" s="5">
        <f>Daily_Input!E141</f>
        <v>1658675.7961466999</v>
      </c>
      <c r="E141" s="5" cm="1">
        <f t="array" ref="E141">IF(ROW()=2,"",INDEX(Daily_Input!$E:$E,ROW())-INDEX(Daily_Input!$E:$E,ROW()-1))</f>
        <v>0</v>
      </c>
      <c r="F141" s="5">
        <f>IFERROR(Daily_Input!E141/Config!$B$4,"")</f>
        <v>1.0204323455030642</v>
      </c>
      <c r="G141" s="5">
        <f>Daily_Input!I141</f>
        <v>0</v>
      </c>
      <c r="H141" s="5">
        <f>IF(A141="","",IF(ROW()=2,G141,Config!$B$5*H140+G141))</f>
        <v>81.271596040754659</v>
      </c>
      <c r="I141" s="5">
        <f t="shared" si="6"/>
        <v>321</v>
      </c>
      <c r="J141" s="5">
        <f>IF(I141="","",SIN(2*PI()*I141/Config!$B$6))</f>
        <v>-0.68705276722366748</v>
      </c>
      <c r="K141" s="5">
        <f>IF(I141="","",COS(2*PI()*I141/Config!$B$6))</f>
        <v>0.72660752476856505</v>
      </c>
      <c r="L141" s="5">
        <f>IF(ROW()&lt;=2+0,"",INDEX(Daily_Input!$F:$F,ROW()-1))</f>
        <v>175733.50779371275</v>
      </c>
      <c r="M141" s="5">
        <f>IF(ROW()&lt;=2+1,"",INDEX(Daily_Input!$F:$F,ROW()-2))</f>
        <v>192495.62577584962</v>
      </c>
      <c r="N141" s="5">
        <f>IF(ROW()&lt;=2+2,"",INDEX(Daily_Input!$F:$F,ROW()-3))</f>
        <v>213597.80433420843</v>
      </c>
      <c r="O141" s="5">
        <f>IF(ROW()&lt;=2+6,"",INDEX(Daily_Input!$F:$F,ROW()-7))</f>
        <v>368655.75888458063</v>
      </c>
      <c r="P141" s="5">
        <f>IF(ROW()&lt;=2+13,"",INDEX(Daily_Input!$F:$F,ROW()-14))</f>
        <v>6860.0464442048233</v>
      </c>
      <c r="Q141" s="5">
        <f>IF(ROW()&lt;=4,"",SUM(INDEX(Daily_Input!$I:$I,ROW()-2):INDEX(Daily_Input!$I:$I,ROW())))</f>
        <v>0</v>
      </c>
      <c r="R141" s="5">
        <f>IF(ROW()&lt;=8,"",SUM(INDEX(Daily_Input!$I:$I,ROW()-6):INDEX(Daily_Input!$I:$I,ROW())))</f>
        <v>0</v>
      </c>
      <c r="S141" s="5">
        <f>IF(ROW()&lt;=15,"",SUM(INDEX(Daily_Input!$I:$I,ROW()-13):INDEX(Daily_Input!$I:$I,ROW())))</f>
        <v>71</v>
      </c>
      <c r="T141" s="5">
        <f>IF(ROW()&lt;=4,"",AVERAGE(INDEX(Daily_Input!$F:$F,ROW()-2):INDEX(Daily_Input!$F:$F,ROW())))</f>
        <v>182014.24050415834</v>
      </c>
      <c r="U141" s="5">
        <f>IF(ROW()&lt;=2+0,"",INDEX(Daily_Input!$G:$G,ROW()-1))</f>
        <v>0</v>
      </c>
      <c r="V141" s="5">
        <f>IF(ROW()&lt;=2+0,"",INDEX(Daily_Input!$H:$H,ROW()-1))</f>
        <v>177743.4307</v>
      </c>
      <c r="W141" s="5">
        <f>IF(ROW()&lt;=2+1,"",INDEX(Daily_Input!$G:$G,ROW()-2))</f>
        <v>0</v>
      </c>
      <c r="X141" s="5">
        <f>IF(ROW()&lt;=2+1,"",INDEX(Daily_Input!$H:$H,ROW()-2))</f>
        <v>194506.47029999999</v>
      </c>
      <c r="Y141" s="5">
        <f>IF(ROW()&lt;=2+2,"",INDEX(Daily_Input!$G:$G,ROW()-3))</f>
        <v>0</v>
      </c>
      <c r="Z141" s="5">
        <f>IF(ROW()&lt;=2+2,"",INDEX(Daily_Input!$H:$H,ROW()-3))</f>
        <v>215609.6355</v>
      </c>
      <c r="AA141" s="5">
        <f>Daily_Input!N141</f>
        <v>0</v>
      </c>
      <c r="AB141" s="5">
        <f>Daily_Input!O141</f>
        <v>0</v>
      </c>
      <c r="AC141" s="5">
        <f>Daily_Input!P141</f>
        <v>0</v>
      </c>
      <c r="AD141" s="5">
        <f t="shared" si="7"/>
        <v>0</v>
      </c>
      <c r="AE141" s="5">
        <f t="shared" si="8"/>
        <v>0</v>
      </c>
      <c r="AF141" s="5">
        <f>IF(A141="","",IFERROR(INDEX(Daily_Input!$F:$F,ROW()+1),""))</f>
        <v>478550.42526226019</v>
      </c>
      <c r="AG141" s="5">
        <f>IF(A141="","",IFERROR(INDEX(Daily_Input!$F:$F,ROW()+2),""))</f>
        <v>957422.96408633795</v>
      </c>
      <c r="AH141" s="5">
        <f>IF(A141="","",IFERROR(INDEX(Daily_Input!$F:$F,ROW()+3),""))</f>
        <v>893123.02810431598</v>
      </c>
    </row>
    <row r="142" spans="1:34">
      <c r="A142" s="5">
        <f>Daily_Input!A142</f>
        <v>45979</v>
      </c>
      <c r="B142" s="5">
        <f>Daily_Input!F142</f>
        <v>478550.42526226019</v>
      </c>
      <c r="C142" s="5">
        <f>Daily_Input!D142</f>
        <v>489.72699999999998</v>
      </c>
      <c r="D142" s="5">
        <f>Daily_Input!E142</f>
        <v>1679932.8392697</v>
      </c>
      <c r="E142" s="5" cm="1">
        <f t="array" ref="E142">IF(ROW()=2,"",INDEX(Daily_Input!$E:$E,ROW())-INDEX(Daily_Input!$E:$E,ROW()-1))</f>
        <v>21257.043123000069</v>
      </c>
      <c r="F142" s="5">
        <f>IFERROR(Daily_Input!E142/Config!$B$4,"")</f>
        <v>1.0335098706124641</v>
      </c>
      <c r="G142" s="5">
        <f>Daily_Input!I142</f>
        <v>41.2</v>
      </c>
      <c r="H142" s="5">
        <f>IF(A142="","",IF(ROW()=2,G142,Config!$B$5*H141+G142))</f>
        <v>118.40801623871693</v>
      </c>
      <c r="I142" s="5">
        <f t="shared" si="6"/>
        <v>322</v>
      </c>
      <c r="J142" s="5">
        <f>IF(I142="","",SIN(2*PI()*I142/Config!$B$6))</f>
        <v>-0.67444361883294568</v>
      </c>
      <c r="K142" s="5">
        <f>IF(I142="","",COS(2*PI()*I142/Config!$B$6))</f>
        <v>0.73832635400310631</v>
      </c>
      <c r="L142" s="5">
        <f>IF(ROW()&lt;=2+0,"",INDEX(Daily_Input!$F:$F,ROW()-1))</f>
        <v>177813.58794291277</v>
      </c>
      <c r="M142" s="5">
        <f>IF(ROW()&lt;=2+1,"",INDEX(Daily_Input!$F:$F,ROW()-2))</f>
        <v>175733.50779371275</v>
      </c>
      <c r="N142" s="5">
        <f>IF(ROW()&lt;=2+2,"",INDEX(Daily_Input!$F:$F,ROW()-3))</f>
        <v>192495.62577584962</v>
      </c>
      <c r="O142" s="5">
        <f>IF(ROW()&lt;=2+6,"",INDEX(Daily_Input!$F:$F,ROW()-7))</f>
        <v>323848.51073321624</v>
      </c>
      <c r="P142" s="5">
        <f>IF(ROW()&lt;=2+13,"",INDEX(Daily_Input!$F:$F,ROW()-14))</f>
        <v>10042.452992125218</v>
      </c>
      <c r="Q142" s="5">
        <f>IF(ROW()&lt;=4,"",SUM(INDEX(Daily_Input!$I:$I,ROW()-2):INDEX(Daily_Input!$I:$I,ROW())))</f>
        <v>41.2</v>
      </c>
      <c r="R142" s="5">
        <f>IF(ROW()&lt;=8,"",SUM(INDEX(Daily_Input!$I:$I,ROW()-6):INDEX(Daily_Input!$I:$I,ROW())))</f>
        <v>41.2</v>
      </c>
      <c r="S142" s="5">
        <f>IF(ROW()&lt;=15,"",SUM(INDEX(Daily_Input!$I:$I,ROW()-13):INDEX(Daily_Input!$I:$I,ROW())))</f>
        <v>112.2</v>
      </c>
      <c r="T142" s="5">
        <f>IF(ROW()&lt;=4,"",AVERAGE(INDEX(Daily_Input!$F:$F,ROW()-2):INDEX(Daily_Input!$F:$F,ROW())))</f>
        <v>277365.84033296187</v>
      </c>
      <c r="U142" s="5">
        <f>IF(ROW()&lt;=2+0,"",INDEX(Daily_Input!$G:$G,ROW()-1))</f>
        <v>0</v>
      </c>
      <c r="V142" s="5">
        <f>IF(ROW()&lt;=2+0,"",INDEX(Daily_Input!$H:$H,ROW()-1))</f>
        <v>176791.29019999999</v>
      </c>
      <c r="W142" s="5">
        <f>IF(ROW()&lt;=2+1,"",INDEX(Daily_Input!$G:$G,ROW()-2))</f>
        <v>0</v>
      </c>
      <c r="X142" s="5">
        <f>IF(ROW()&lt;=2+1,"",INDEX(Daily_Input!$H:$H,ROW()-2))</f>
        <v>177743.4307</v>
      </c>
      <c r="Y142" s="5">
        <f>IF(ROW()&lt;=2+2,"",INDEX(Daily_Input!$G:$G,ROW()-3))</f>
        <v>0</v>
      </c>
      <c r="Z142" s="5">
        <f>IF(ROW()&lt;=2+2,"",INDEX(Daily_Input!$H:$H,ROW()-3))</f>
        <v>194506.47029999999</v>
      </c>
      <c r="AA142" s="5">
        <f>Daily_Input!N142</f>
        <v>0</v>
      </c>
      <c r="AB142" s="5">
        <f>Daily_Input!O142</f>
        <v>0</v>
      </c>
      <c r="AC142" s="5">
        <f>Daily_Input!P142</f>
        <v>0</v>
      </c>
      <c r="AD142" s="5">
        <f t="shared" si="7"/>
        <v>0</v>
      </c>
      <c r="AE142" s="5">
        <f t="shared" si="8"/>
        <v>0</v>
      </c>
      <c r="AF142" s="5">
        <f>IF(A142="","",IFERROR(INDEX(Daily_Input!$F:$F,ROW()+1),""))</f>
        <v>957422.96408633795</v>
      </c>
      <c r="AG142" s="5">
        <f>IF(A142="","",IFERROR(INDEX(Daily_Input!$F:$F,ROW()+2),""))</f>
        <v>893123.02810431598</v>
      </c>
      <c r="AH142" s="5">
        <f>IF(A142="","",IFERROR(INDEX(Daily_Input!$F:$F,ROW()+3),""))</f>
        <v>612855.68405975844</v>
      </c>
    </row>
    <row r="143" spans="1:34">
      <c r="A143" s="5">
        <f>Daily_Input!A143</f>
        <v>45980</v>
      </c>
      <c r="B143" s="5">
        <f>Daily_Input!F143</f>
        <v>957422.96408633795</v>
      </c>
      <c r="C143" s="5">
        <f>Daily_Input!D143</f>
        <v>489.85700000000003</v>
      </c>
      <c r="D143" s="5">
        <f>Daily_Input!E143</f>
        <v>1719668.7023854</v>
      </c>
      <c r="E143" s="5" cm="1">
        <f t="array" ref="E143">IF(ROW()=2,"",INDEX(Daily_Input!$E:$E,ROW())-INDEX(Daily_Input!$E:$E,ROW()-1))</f>
        <v>39735.863115699962</v>
      </c>
      <c r="F143" s="5">
        <f>IFERROR(Daily_Input!E143/Config!$B$4,"")</f>
        <v>1.0579557328442153</v>
      </c>
      <c r="G143" s="5">
        <f>Daily_Input!I143</f>
        <v>31.2</v>
      </c>
      <c r="H143" s="5">
        <f>IF(A143="","",IF(ROW()=2,G143,Config!$B$5*H142+G143))</f>
        <v>143.68761542678106</v>
      </c>
      <c r="I143" s="5">
        <f t="shared" si="6"/>
        <v>323</v>
      </c>
      <c r="J143" s="5">
        <f>IF(I143="","",SIN(2*PI()*I143/Config!$B$6))</f>
        <v>-0.66163461824227898</v>
      </c>
      <c r="K143" s="5">
        <f>IF(I143="","",COS(2*PI()*I143/Config!$B$6))</f>
        <v>0.749826401204568</v>
      </c>
      <c r="L143" s="5">
        <f>IF(ROW()&lt;=2+0,"",INDEX(Daily_Input!$F:$F,ROW()-1))</f>
        <v>478550.42526226019</v>
      </c>
      <c r="M143" s="5">
        <f>IF(ROW()&lt;=2+1,"",INDEX(Daily_Input!$F:$F,ROW()-2))</f>
        <v>177813.58794291277</v>
      </c>
      <c r="N143" s="5">
        <f>IF(ROW()&lt;=2+2,"",INDEX(Daily_Input!$F:$F,ROW()-3))</f>
        <v>175733.50779371275</v>
      </c>
      <c r="O143" s="5">
        <f>IF(ROW()&lt;=2+6,"",INDEX(Daily_Input!$F:$F,ROW()-7))</f>
        <v>280267.58193712565</v>
      </c>
      <c r="P143" s="5">
        <f>IF(ROW()&lt;=2+13,"",INDEX(Daily_Input!$F:$F,ROW()-14))</f>
        <v>16504.947544731822</v>
      </c>
      <c r="Q143" s="5">
        <f>IF(ROW()&lt;=4,"",SUM(INDEX(Daily_Input!$I:$I,ROW()-2):INDEX(Daily_Input!$I:$I,ROW())))</f>
        <v>72.400000000000006</v>
      </c>
      <c r="R143" s="5">
        <f>IF(ROW()&lt;=8,"",SUM(INDEX(Daily_Input!$I:$I,ROW()-6):INDEX(Daily_Input!$I:$I,ROW())))</f>
        <v>72.400000000000006</v>
      </c>
      <c r="S143" s="5">
        <f>IF(ROW()&lt;=15,"",SUM(INDEX(Daily_Input!$I:$I,ROW()-13):INDEX(Daily_Input!$I:$I,ROW())))</f>
        <v>125</v>
      </c>
      <c r="T143" s="5">
        <f>IF(ROW()&lt;=4,"",AVERAGE(INDEX(Daily_Input!$F:$F,ROW()-2):INDEX(Daily_Input!$F:$F,ROW())))</f>
        <v>537928.9924305036</v>
      </c>
      <c r="U143" s="5">
        <f>IF(ROW()&lt;=2+0,"",INDEX(Daily_Input!$G:$G,ROW()-1))</f>
        <v>0</v>
      </c>
      <c r="V143" s="5">
        <f>IF(ROW()&lt;=2+0,"",INDEX(Daily_Input!$H:$H,ROW()-1))</f>
        <v>468800.891</v>
      </c>
      <c r="W143" s="5">
        <f>IF(ROW()&lt;=2+1,"",INDEX(Daily_Input!$G:$G,ROW()-2))</f>
        <v>0</v>
      </c>
      <c r="X143" s="5">
        <f>IF(ROW()&lt;=2+1,"",INDEX(Daily_Input!$H:$H,ROW()-2))</f>
        <v>176791.29019999999</v>
      </c>
      <c r="Y143" s="5">
        <f>IF(ROW()&lt;=2+2,"",INDEX(Daily_Input!$G:$G,ROW()-3))</f>
        <v>0</v>
      </c>
      <c r="Z143" s="5">
        <f>IF(ROW()&lt;=2+2,"",INDEX(Daily_Input!$H:$H,ROW()-3))</f>
        <v>177743.4307</v>
      </c>
      <c r="AA143" s="5">
        <f>Daily_Input!N143</f>
        <v>0</v>
      </c>
      <c r="AB143" s="5">
        <f>Daily_Input!O143</f>
        <v>0</v>
      </c>
      <c r="AC143" s="5">
        <f>Daily_Input!P143</f>
        <v>0</v>
      </c>
      <c r="AD143" s="5">
        <f t="shared" si="7"/>
        <v>0</v>
      </c>
      <c r="AE143" s="5">
        <f t="shared" si="8"/>
        <v>0</v>
      </c>
      <c r="AF143" s="5">
        <f>IF(A143="","",IFERROR(INDEX(Daily_Input!$F:$F,ROW()+1),""))</f>
        <v>893123.02810431598</v>
      </c>
      <c r="AG143" s="5">
        <f>IF(A143="","",IFERROR(INDEX(Daily_Input!$F:$F,ROW()+2),""))</f>
        <v>612855.68405975844</v>
      </c>
      <c r="AH143" s="5">
        <f>IF(A143="","",IFERROR(INDEX(Daily_Input!$F:$F,ROW()+3),""))</f>
        <v>490683.84776837972</v>
      </c>
    </row>
    <row r="144" spans="1:34">
      <c r="A144" s="5">
        <f>Daily_Input!A144</f>
        <v>45981</v>
      </c>
      <c r="B144" s="5">
        <f>Daily_Input!F144</f>
        <v>893123.02810431598</v>
      </c>
      <c r="C144" s="5">
        <f>Daily_Input!D144</f>
        <v>489.88997999999998</v>
      </c>
      <c r="D144" s="5">
        <f>Daily_Input!E144</f>
        <v>1728897.6614808999</v>
      </c>
      <c r="E144" s="5" cm="1">
        <f t="array" ref="E144">IF(ROW()=2,"",INDEX(Daily_Input!$E:$E,ROW())-INDEX(Daily_Input!$E:$E,ROW()-1))</f>
        <v>9228.9590954999439</v>
      </c>
      <c r="F144" s="5">
        <f>IFERROR(Daily_Input!E144/Config!$B$4,"")</f>
        <v>1.0636334719167038</v>
      </c>
      <c r="G144" s="5">
        <f>Daily_Input!I144</f>
        <v>16.399999999999999</v>
      </c>
      <c r="H144" s="5">
        <f>IF(A144="","",IF(ROW()=2,G144,Config!$B$5*H143+G144))</f>
        <v>152.90323465544202</v>
      </c>
      <c r="I144" s="5">
        <f t="shared" si="6"/>
        <v>324</v>
      </c>
      <c r="J144" s="5">
        <f>IF(I144="","",SIN(2*PI()*I144/Config!$B$6))</f>
        <v>-0.64862956103498182</v>
      </c>
      <c r="K144" s="5">
        <f>IF(I144="","",COS(2*PI()*I144/Config!$B$6))</f>
        <v>0.76110425866077425</v>
      </c>
      <c r="L144" s="5">
        <f>IF(ROW()&lt;=2+0,"",INDEX(Daily_Input!$F:$F,ROW()-1))</f>
        <v>957422.96408633795</v>
      </c>
      <c r="M144" s="5">
        <f>IF(ROW()&lt;=2+1,"",INDEX(Daily_Input!$F:$F,ROW()-2))</f>
        <v>478550.42526226019</v>
      </c>
      <c r="N144" s="5">
        <f>IF(ROW()&lt;=2+2,"",INDEX(Daily_Input!$F:$F,ROW()-3))</f>
        <v>177813.58794291277</v>
      </c>
      <c r="O144" s="5">
        <f>IF(ROW()&lt;=2+6,"",INDEX(Daily_Input!$F:$F,ROW()-7))</f>
        <v>238079.59356554842</v>
      </c>
      <c r="P144" s="5">
        <f>IF(ROW()&lt;=2+13,"",INDEX(Daily_Input!$F:$F,ROW()-14))</f>
        <v>15909.049794822722</v>
      </c>
      <c r="Q144" s="5">
        <f>IF(ROW()&lt;=4,"",SUM(INDEX(Daily_Input!$I:$I,ROW()-2):INDEX(Daily_Input!$I:$I,ROW())))</f>
        <v>88.800000000000011</v>
      </c>
      <c r="R144" s="5">
        <f>IF(ROW()&lt;=8,"",SUM(INDEX(Daily_Input!$I:$I,ROW()-6):INDEX(Daily_Input!$I:$I,ROW())))</f>
        <v>88.800000000000011</v>
      </c>
      <c r="S144" s="5">
        <f>IF(ROW()&lt;=15,"",SUM(INDEX(Daily_Input!$I:$I,ROW()-13):INDEX(Daily_Input!$I:$I,ROW())))</f>
        <v>141</v>
      </c>
      <c r="T144" s="5">
        <f>IF(ROW()&lt;=4,"",AVERAGE(INDEX(Daily_Input!$F:$F,ROW()-2):INDEX(Daily_Input!$F:$F,ROW())))</f>
        <v>776365.47248430469</v>
      </c>
      <c r="U144" s="5">
        <f>IF(ROW()&lt;=2+0,"",INDEX(Daily_Input!$G:$G,ROW()-1))</f>
        <v>0</v>
      </c>
      <c r="V144" s="5">
        <f>IF(ROW()&lt;=2+0,"",INDEX(Daily_Input!$H:$H,ROW()-1))</f>
        <v>926241.01080000005</v>
      </c>
      <c r="W144" s="5">
        <f>IF(ROW()&lt;=2+1,"",INDEX(Daily_Input!$G:$G,ROW()-2))</f>
        <v>0</v>
      </c>
      <c r="X144" s="5">
        <f>IF(ROW()&lt;=2+1,"",INDEX(Daily_Input!$H:$H,ROW()-2))</f>
        <v>468800.891</v>
      </c>
      <c r="Y144" s="5">
        <f>IF(ROW()&lt;=2+2,"",INDEX(Daily_Input!$G:$G,ROW()-3))</f>
        <v>0</v>
      </c>
      <c r="Z144" s="5">
        <f>IF(ROW()&lt;=2+2,"",INDEX(Daily_Input!$H:$H,ROW()-3))</f>
        <v>176791.29019999999</v>
      </c>
      <c r="AA144" s="5">
        <f>Daily_Input!N144</f>
        <v>0</v>
      </c>
      <c r="AB144" s="5">
        <f>Daily_Input!O144</f>
        <v>0</v>
      </c>
      <c r="AC144" s="5">
        <f>Daily_Input!P144</f>
        <v>7.5999999999999998E-2</v>
      </c>
      <c r="AD144" s="5">
        <f t="shared" si="7"/>
        <v>7.5999999999999998E-2</v>
      </c>
      <c r="AE144" s="5">
        <f t="shared" si="8"/>
        <v>7.5999999999999998E-2</v>
      </c>
      <c r="AF144" s="5">
        <f>IF(A144="","",IFERROR(INDEX(Daily_Input!$F:$F,ROW()+1),""))</f>
        <v>612855.68405975844</v>
      </c>
      <c r="AG144" s="5">
        <f>IF(A144="","",IFERROR(INDEX(Daily_Input!$F:$F,ROW()+2),""))</f>
        <v>490683.84776837972</v>
      </c>
      <c r="AH144" s="5">
        <f>IF(A144="","",IFERROR(INDEX(Daily_Input!$F:$F,ROW()+3),""))</f>
        <v>433718.86956598249</v>
      </c>
    </row>
    <row r="145" spans="1:34">
      <c r="A145" s="5">
        <f>Daily_Input!A145</f>
        <v>45982</v>
      </c>
      <c r="B145" s="5">
        <f>Daily_Input!F145</f>
        <v>612855.68405975844</v>
      </c>
      <c r="C145" s="5">
        <f>Daily_Input!D145</f>
        <v>489.81799999999998</v>
      </c>
      <c r="D145" s="5">
        <f>Daily_Input!E145</f>
        <v>1707386.3914463001</v>
      </c>
      <c r="E145" s="5" cm="1">
        <f t="array" ref="E145">IF(ROW()=2,"",INDEX(Daily_Input!$E:$E,ROW())-INDEX(Daily_Input!$E:$E,ROW()-1))</f>
        <v>-21511.270034599816</v>
      </c>
      <c r="F145" s="5">
        <f>IFERROR(Daily_Input!E145/Config!$B$4,"")</f>
        <v>1.0503995441128793</v>
      </c>
      <c r="G145" s="5">
        <f>Daily_Input!I145</f>
        <v>0</v>
      </c>
      <c r="H145" s="5">
        <f>IF(A145="","",IF(ROW()=2,G145,Config!$B$5*H144+G145))</f>
        <v>145.25807292266992</v>
      </c>
      <c r="I145" s="5">
        <f t="shared" si="6"/>
        <v>325</v>
      </c>
      <c r="J145" s="5">
        <f>IF(I145="","",SIN(2*PI()*I145/Config!$B$6))</f>
        <v>-0.63543230089017755</v>
      </c>
      <c r="K145" s="5">
        <f>IF(I145="","",COS(2*PI()*I145/Config!$B$6))</f>
        <v>0.77215658449916413</v>
      </c>
      <c r="L145" s="5">
        <f>IF(ROW()&lt;=2+0,"",INDEX(Daily_Input!$F:$F,ROW()-1))</f>
        <v>893123.02810431598</v>
      </c>
      <c r="M145" s="5">
        <f>IF(ROW()&lt;=2+1,"",INDEX(Daily_Input!$F:$F,ROW()-2))</f>
        <v>957422.96408633795</v>
      </c>
      <c r="N145" s="5">
        <f>IF(ROW()&lt;=2+2,"",INDEX(Daily_Input!$F:$F,ROW()-3))</f>
        <v>478550.42526226019</v>
      </c>
      <c r="O145" s="5">
        <f>IF(ROW()&lt;=2+6,"",INDEX(Daily_Input!$F:$F,ROW()-7))</f>
        <v>213597.80433420843</v>
      </c>
      <c r="P145" s="5">
        <f>IF(ROW()&lt;=2+13,"",INDEX(Daily_Input!$F:$F,ROW()-14))</f>
        <v>4769.2512178835768</v>
      </c>
      <c r="Q145" s="5">
        <f>IF(ROW()&lt;=4,"",SUM(INDEX(Daily_Input!$I:$I,ROW()-2):INDEX(Daily_Input!$I:$I,ROW())))</f>
        <v>47.599999999999994</v>
      </c>
      <c r="R145" s="5">
        <f>IF(ROW()&lt;=8,"",SUM(INDEX(Daily_Input!$I:$I,ROW()-6):INDEX(Daily_Input!$I:$I,ROW())))</f>
        <v>88.800000000000011</v>
      </c>
      <c r="S145" s="5">
        <f>IF(ROW()&lt;=15,"",SUM(INDEX(Daily_Input!$I:$I,ROW()-13):INDEX(Daily_Input!$I:$I,ROW())))</f>
        <v>141</v>
      </c>
      <c r="T145" s="5">
        <f>IF(ROW()&lt;=4,"",AVERAGE(INDEX(Daily_Input!$F:$F,ROW()-2):INDEX(Daily_Input!$F:$F,ROW())))</f>
        <v>821133.89208347071</v>
      </c>
      <c r="U145" s="5">
        <f>IF(ROW()&lt;=2+0,"",INDEX(Daily_Input!$G:$G,ROW()-1))</f>
        <v>0</v>
      </c>
      <c r="V145" s="5">
        <f>IF(ROW()&lt;=2+0,"",INDEX(Daily_Input!$H:$H,ROW()-1))</f>
        <v>887904.93900000001</v>
      </c>
      <c r="W145" s="5">
        <f>IF(ROW()&lt;=2+1,"",INDEX(Daily_Input!$G:$G,ROW()-2))</f>
        <v>0</v>
      </c>
      <c r="X145" s="5">
        <f>IF(ROW()&lt;=2+1,"",INDEX(Daily_Input!$H:$H,ROW()-2))</f>
        <v>926241.01080000005</v>
      </c>
      <c r="Y145" s="5">
        <f>IF(ROW()&lt;=2+2,"",INDEX(Daily_Input!$G:$G,ROW()-3))</f>
        <v>0</v>
      </c>
      <c r="Z145" s="5">
        <f>IF(ROW()&lt;=2+2,"",INDEX(Daily_Input!$H:$H,ROW()-3))</f>
        <v>468800.891</v>
      </c>
      <c r="AA145" s="5">
        <f>Daily_Input!N145</f>
        <v>0</v>
      </c>
      <c r="AB145" s="5">
        <f>Daily_Input!O145</f>
        <v>7.5999999999999998E-2</v>
      </c>
      <c r="AC145" s="5">
        <f>Daily_Input!P145</f>
        <v>0.45400000000000001</v>
      </c>
      <c r="AD145" s="5">
        <f t="shared" si="7"/>
        <v>0.53</v>
      </c>
      <c r="AE145" s="5">
        <f t="shared" si="8"/>
        <v>0.45400000000000001</v>
      </c>
      <c r="AF145" s="5">
        <f>IF(A145="","",IFERROR(INDEX(Daily_Input!$F:$F,ROW()+1),""))</f>
        <v>490683.84776837972</v>
      </c>
      <c r="AG145" s="5">
        <f>IF(A145="","",IFERROR(INDEX(Daily_Input!$F:$F,ROW()+2),""))</f>
        <v>433718.86956598249</v>
      </c>
      <c r="AH145" s="5">
        <f>IF(A145="","",IFERROR(INDEX(Daily_Input!$F:$F,ROW()+3),""))</f>
        <v>379498.75290643546</v>
      </c>
    </row>
    <row r="146" spans="1:34">
      <c r="A146" s="5">
        <f>Daily_Input!A146</f>
        <v>45983</v>
      </c>
      <c r="B146" s="5">
        <f>Daily_Input!F146</f>
        <v>490683.84776837972</v>
      </c>
      <c r="C146" s="5">
        <f>Daily_Input!D146</f>
        <v>489.774</v>
      </c>
      <c r="D146" s="5">
        <f>Daily_Input!E146</f>
        <v>1695162.8519716</v>
      </c>
      <c r="E146" s="5" cm="1">
        <f t="array" ref="E146">IF(ROW()=2,"",INDEX(Daily_Input!$E:$E,ROW())-INDEX(Daily_Input!$E:$E,ROW()-1))</f>
        <v>-12223.539474700112</v>
      </c>
      <c r="F146" s="5">
        <f>IFERROR(Daily_Input!E146/Config!$B$4,"")</f>
        <v>1.0428795121177814</v>
      </c>
      <c r="G146" s="5">
        <f>Daily_Input!I146</f>
        <v>0</v>
      </c>
      <c r="H146" s="5">
        <f>IF(A146="","",IF(ROW()=2,G146,Config!$B$5*H145+G146))</f>
        <v>137.99516927653642</v>
      </c>
      <c r="I146" s="5">
        <f t="shared" si="6"/>
        <v>326</v>
      </c>
      <c r="J146" s="5">
        <f>IF(I146="","",SIN(2*PI()*I146/Config!$B$6))</f>
        <v>-0.62204674844086805</v>
      </c>
      <c r="K146" s="5">
        <f>IF(I146="","",COS(2*PI()*I146/Config!$B$6))</f>
        <v>0.7829801036770625</v>
      </c>
      <c r="L146" s="5">
        <f>IF(ROW()&lt;=2+0,"",INDEX(Daily_Input!$F:$F,ROW()-1))</f>
        <v>612855.68405975844</v>
      </c>
      <c r="M146" s="5">
        <f>IF(ROW()&lt;=2+1,"",INDEX(Daily_Input!$F:$F,ROW()-2))</f>
        <v>893123.02810431598</v>
      </c>
      <c r="N146" s="5">
        <f>IF(ROW()&lt;=2+2,"",INDEX(Daily_Input!$F:$F,ROW()-3))</f>
        <v>957422.96408633795</v>
      </c>
      <c r="O146" s="5">
        <f>IF(ROW()&lt;=2+6,"",INDEX(Daily_Input!$F:$F,ROW()-7))</f>
        <v>192495.62577584962</v>
      </c>
      <c r="P146" s="5">
        <f>IF(ROW()&lt;=2+13,"",INDEX(Daily_Input!$F:$F,ROW()-14))</f>
        <v>41386.163178485738</v>
      </c>
      <c r="Q146" s="5">
        <f>IF(ROW()&lt;=4,"",SUM(INDEX(Daily_Input!$I:$I,ROW()-2):INDEX(Daily_Input!$I:$I,ROW())))</f>
        <v>16.399999999999999</v>
      </c>
      <c r="R146" s="5">
        <f>IF(ROW()&lt;=8,"",SUM(INDEX(Daily_Input!$I:$I,ROW()-6):INDEX(Daily_Input!$I:$I,ROW())))</f>
        <v>88.800000000000011</v>
      </c>
      <c r="S146" s="5">
        <f>IF(ROW()&lt;=15,"",SUM(INDEX(Daily_Input!$I:$I,ROW()-13):INDEX(Daily_Input!$I:$I,ROW())))</f>
        <v>140.6</v>
      </c>
      <c r="T146" s="5">
        <f>IF(ROW()&lt;=4,"",AVERAGE(INDEX(Daily_Input!$F:$F,ROW()-2):INDEX(Daily_Input!$F:$F,ROW())))</f>
        <v>665554.18664415134</v>
      </c>
      <c r="U146" s="5">
        <f>IF(ROW()&lt;=2+0,"",INDEX(Daily_Input!$G:$G,ROW()-1))</f>
        <v>0</v>
      </c>
      <c r="V146" s="5">
        <f>IF(ROW()&lt;=2+0,"",INDEX(Daily_Input!$H:$H,ROW()-1))</f>
        <v>633332.48789999995</v>
      </c>
      <c r="W146" s="5">
        <f>IF(ROW()&lt;=2+1,"",INDEX(Daily_Input!$G:$G,ROW()-2))</f>
        <v>0</v>
      </c>
      <c r="X146" s="5">
        <f>IF(ROW()&lt;=2+1,"",INDEX(Daily_Input!$H:$H,ROW()-2))</f>
        <v>887904.93900000001</v>
      </c>
      <c r="Y146" s="5">
        <f>IF(ROW()&lt;=2+2,"",INDEX(Daily_Input!$G:$G,ROW()-3))</f>
        <v>0</v>
      </c>
      <c r="Z146" s="5">
        <f>IF(ROW()&lt;=2+2,"",INDEX(Daily_Input!$H:$H,ROW()-3))</f>
        <v>926241.01080000005</v>
      </c>
      <c r="AA146" s="5">
        <f>Daily_Input!N146</f>
        <v>7.5999999999999998E-2</v>
      </c>
      <c r="AB146" s="5">
        <f>Daily_Input!O146</f>
        <v>0.45400000000000001</v>
      </c>
      <c r="AC146" s="5">
        <f>Daily_Input!P146</f>
        <v>4.3999999999999997E-2</v>
      </c>
      <c r="AD146" s="5">
        <f t="shared" si="7"/>
        <v>0.57400000000000007</v>
      </c>
      <c r="AE146" s="5">
        <f t="shared" si="8"/>
        <v>0.45400000000000001</v>
      </c>
      <c r="AF146" s="5">
        <f>IF(A146="","",IFERROR(INDEX(Daily_Input!$F:$F,ROW()+1),""))</f>
        <v>433718.86956598249</v>
      </c>
      <c r="AG146" s="5">
        <f>IF(A146="","",IFERROR(INDEX(Daily_Input!$F:$F,ROW()+2),""))</f>
        <v>379498.75290643546</v>
      </c>
      <c r="AH146" s="5">
        <f>IF(A146="","",IFERROR(INDEX(Daily_Input!$F:$F,ROW()+3),""))</f>
        <v>345857.69810574956</v>
      </c>
    </row>
    <row r="147" spans="1:34">
      <c r="A147" s="5">
        <f>Daily_Input!A147</f>
        <v>45984</v>
      </c>
      <c r="B147" s="5">
        <f>Daily_Input!F147</f>
        <v>433718.86956598249</v>
      </c>
      <c r="C147" s="5">
        <f>Daily_Input!D147</f>
        <v>489.75400000000002</v>
      </c>
      <c r="D147" s="5">
        <f>Daily_Input!E147</f>
        <v>1689066.0691295001</v>
      </c>
      <c r="E147" s="5" cm="1">
        <f t="array" ref="E147">IF(ROW()=2,"",INDEX(Daily_Input!$E:$E,ROW())-INDEX(Daily_Input!$E:$E,ROW()-1))</f>
        <v>-6096.7828420998994</v>
      </c>
      <c r="F147" s="5">
        <f>IFERROR(Daily_Input!E147/Config!$B$4,"")</f>
        <v>1.0391287161936835</v>
      </c>
      <c r="G147" s="5">
        <f>Daily_Input!I147</f>
        <v>0</v>
      </c>
      <c r="H147" s="5">
        <f>IF(A147="","",IF(ROW()=2,G147,Config!$B$5*H146+G147))</f>
        <v>131.09541081270959</v>
      </c>
      <c r="I147" s="5">
        <f t="shared" si="6"/>
        <v>327</v>
      </c>
      <c r="J147" s="5">
        <f>IF(I147="","",SIN(2*PI()*I147/Config!$B$6))</f>
        <v>-0.60847687011512641</v>
      </c>
      <c r="K147" s="5">
        <f>IF(I147="","",COS(2*PI()*I147/Config!$B$6))</f>
        <v>0.79357160895214718</v>
      </c>
      <c r="L147" s="5">
        <f>IF(ROW()&lt;=2+0,"",INDEX(Daily_Input!$F:$F,ROW()-1))</f>
        <v>490683.84776837972</v>
      </c>
      <c r="M147" s="5">
        <f>IF(ROW()&lt;=2+1,"",INDEX(Daily_Input!$F:$F,ROW()-2))</f>
        <v>612855.68405975844</v>
      </c>
      <c r="N147" s="5">
        <f>IF(ROW()&lt;=2+2,"",INDEX(Daily_Input!$F:$F,ROW()-3))</f>
        <v>893123.02810431598</v>
      </c>
      <c r="O147" s="5">
        <f>IF(ROW()&lt;=2+6,"",INDEX(Daily_Input!$F:$F,ROW()-7))</f>
        <v>175733.50779371275</v>
      </c>
      <c r="P147" s="5">
        <f>IF(ROW()&lt;=2+13,"",INDEX(Daily_Input!$F:$F,ROW()-14))</f>
        <v>324364.26175055519</v>
      </c>
      <c r="Q147" s="5">
        <f>IF(ROW()&lt;=4,"",SUM(INDEX(Daily_Input!$I:$I,ROW()-2):INDEX(Daily_Input!$I:$I,ROW())))</f>
        <v>0</v>
      </c>
      <c r="R147" s="5">
        <f>IF(ROW()&lt;=8,"",SUM(INDEX(Daily_Input!$I:$I,ROW()-6):INDEX(Daily_Input!$I:$I,ROW())))</f>
        <v>88.800000000000011</v>
      </c>
      <c r="S147" s="5">
        <f>IF(ROW()&lt;=15,"",SUM(INDEX(Daily_Input!$I:$I,ROW()-13):INDEX(Daily_Input!$I:$I,ROW())))</f>
        <v>98.199999999999989</v>
      </c>
      <c r="T147" s="5">
        <f>IF(ROW()&lt;=4,"",AVERAGE(INDEX(Daily_Input!$F:$F,ROW()-2):INDEX(Daily_Input!$F:$F,ROW())))</f>
        <v>512419.46713137347</v>
      </c>
      <c r="U147" s="5">
        <f>IF(ROW()&lt;=2+0,"",INDEX(Daily_Input!$G:$G,ROW()-1))</f>
        <v>0</v>
      </c>
      <c r="V147" s="5">
        <f>IF(ROW()&lt;=2+0,"",INDEX(Daily_Input!$H:$H,ROW()-1))</f>
        <v>501878.75870000001</v>
      </c>
      <c r="W147" s="5">
        <f>IF(ROW()&lt;=2+1,"",INDEX(Daily_Input!$G:$G,ROW()-2))</f>
        <v>0</v>
      </c>
      <c r="X147" s="5">
        <f>IF(ROW()&lt;=2+1,"",INDEX(Daily_Input!$H:$H,ROW()-2))</f>
        <v>633332.48789999995</v>
      </c>
      <c r="Y147" s="5">
        <f>IF(ROW()&lt;=2+2,"",INDEX(Daily_Input!$G:$G,ROW()-3))</f>
        <v>0</v>
      </c>
      <c r="Z147" s="5">
        <f>IF(ROW()&lt;=2+2,"",INDEX(Daily_Input!$H:$H,ROW()-3))</f>
        <v>887904.93900000001</v>
      </c>
      <c r="AA147" s="5">
        <f>Daily_Input!N147</f>
        <v>0.45400000000000001</v>
      </c>
      <c r="AB147" s="5">
        <f>Daily_Input!O147</f>
        <v>4.3999999999999997E-2</v>
      </c>
      <c r="AC147" s="5">
        <f>Daily_Input!P147</f>
        <v>0</v>
      </c>
      <c r="AD147" s="5">
        <f t="shared" si="7"/>
        <v>0.498</v>
      </c>
      <c r="AE147" s="5">
        <f t="shared" si="8"/>
        <v>0.45400000000000001</v>
      </c>
      <c r="AF147" s="5">
        <f>IF(A147="","",IFERROR(INDEX(Daily_Input!$F:$F,ROW()+1),""))</f>
        <v>379498.75290643546</v>
      </c>
      <c r="AG147" s="5">
        <f>IF(A147="","",IFERROR(INDEX(Daily_Input!$F:$F,ROW()+2),""))</f>
        <v>345857.69810574956</v>
      </c>
      <c r="AH147" s="5">
        <f>IF(A147="","",IFERROR(INDEX(Daily_Input!$F:$F,ROW()+3),""))</f>
        <v>310615.11739972571</v>
      </c>
    </row>
    <row r="148" spans="1:34">
      <c r="A148" s="5">
        <f>Daily_Input!A148</f>
        <v>45985</v>
      </c>
      <c r="B148" s="5">
        <f>Daily_Input!F148</f>
        <v>379498.75290643546</v>
      </c>
      <c r="C148" s="5">
        <f>Daily_Input!D148</f>
        <v>489.73399999999998</v>
      </c>
      <c r="D148" s="5">
        <f>Daily_Input!E148</f>
        <v>1682975.6527668999</v>
      </c>
      <c r="E148" s="5" cm="1">
        <f t="array" ref="E148">IF(ROW()=2,"",INDEX(Daily_Input!$E:$E,ROW())-INDEX(Daily_Input!$E:$E,ROW()-1))</f>
        <v>-6090.4163626001682</v>
      </c>
      <c r="F148" s="5">
        <f>IFERROR(Daily_Input!E148/Config!$B$4,"")</f>
        <v>1.0353818369853318</v>
      </c>
      <c r="G148" s="5">
        <f>Daily_Input!I148</f>
        <v>0</v>
      </c>
      <c r="H148" s="5">
        <f>IF(A148="","",IF(ROW()=2,G148,Config!$B$5*H147+G148))</f>
        <v>124.5406402720741</v>
      </c>
      <c r="I148" s="5">
        <f t="shared" si="6"/>
        <v>328</v>
      </c>
      <c r="J148" s="5">
        <f>IF(I148="","",SIN(2*PI()*I148/Config!$B$6))</f>
        <v>-0.59472668696076403</v>
      </c>
      <c r="K148" s="5">
        <f>IF(I148="","",COS(2*PI()*I148/Config!$B$6))</f>
        <v>0.80392796183282078</v>
      </c>
      <c r="L148" s="5">
        <f>IF(ROW()&lt;=2+0,"",INDEX(Daily_Input!$F:$F,ROW()-1))</f>
        <v>433718.86956598249</v>
      </c>
      <c r="M148" s="5">
        <f>IF(ROW()&lt;=2+1,"",INDEX(Daily_Input!$F:$F,ROW()-2))</f>
        <v>490683.84776837972</v>
      </c>
      <c r="N148" s="5">
        <f>IF(ROW()&lt;=2+2,"",INDEX(Daily_Input!$F:$F,ROW()-3))</f>
        <v>612855.68405975844</v>
      </c>
      <c r="O148" s="5">
        <f>IF(ROW()&lt;=2+6,"",INDEX(Daily_Input!$F:$F,ROW()-7))</f>
        <v>177813.58794291277</v>
      </c>
      <c r="P148" s="5">
        <f>IF(ROW()&lt;=2+13,"",INDEX(Daily_Input!$F:$F,ROW()-14))</f>
        <v>368655.75888458063</v>
      </c>
      <c r="Q148" s="5">
        <f>IF(ROW()&lt;=4,"",SUM(INDEX(Daily_Input!$I:$I,ROW()-2):INDEX(Daily_Input!$I:$I,ROW())))</f>
        <v>0</v>
      </c>
      <c r="R148" s="5">
        <f>IF(ROW()&lt;=8,"",SUM(INDEX(Daily_Input!$I:$I,ROW()-6):INDEX(Daily_Input!$I:$I,ROW())))</f>
        <v>88.800000000000011</v>
      </c>
      <c r="S148" s="5">
        <f>IF(ROW()&lt;=15,"",SUM(INDEX(Daily_Input!$I:$I,ROW()-13):INDEX(Daily_Input!$I:$I,ROW())))</f>
        <v>88.800000000000011</v>
      </c>
      <c r="T148" s="5">
        <f>IF(ROW()&lt;=4,"",AVERAGE(INDEX(Daily_Input!$F:$F,ROW()-2):INDEX(Daily_Input!$F:$F,ROW())))</f>
        <v>434633.82341359922</v>
      </c>
      <c r="U148" s="5">
        <f>IF(ROW()&lt;=2+0,"",INDEX(Daily_Input!$G:$G,ROW()-1))</f>
        <v>0</v>
      </c>
      <c r="V148" s="5">
        <f>IF(ROW()&lt;=2+0,"",INDEX(Daily_Input!$H:$H,ROW()-1))</f>
        <v>438788.10629999998</v>
      </c>
      <c r="W148" s="5">
        <f>IF(ROW()&lt;=2+1,"",INDEX(Daily_Input!$G:$G,ROW()-2))</f>
        <v>0</v>
      </c>
      <c r="X148" s="5">
        <f>IF(ROW()&lt;=2+1,"",INDEX(Daily_Input!$H:$H,ROW()-2))</f>
        <v>501878.75870000001</v>
      </c>
      <c r="Y148" s="5">
        <f>IF(ROW()&lt;=2+2,"",INDEX(Daily_Input!$G:$G,ROW()-3))</f>
        <v>0</v>
      </c>
      <c r="Z148" s="5">
        <f>IF(ROW()&lt;=2+2,"",INDEX(Daily_Input!$H:$H,ROW()-3))</f>
        <v>633332.48789999995</v>
      </c>
      <c r="AA148" s="5">
        <f>Daily_Input!N148</f>
        <v>4.3999999999999997E-2</v>
      </c>
      <c r="AB148" s="5">
        <f>Daily_Input!O148</f>
        <v>0</v>
      </c>
      <c r="AC148" s="5">
        <f>Daily_Input!P148</f>
        <v>1.4999999999999999E-4</v>
      </c>
      <c r="AD148" s="5">
        <f t="shared" si="7"/>
        <v>4.4149999999999995E-2</v>
      </c>
      <c r="AE148" s="5">
        <f t="shared" si="8"/>
        <v>4.3999999999999997E-2</v>
      </c>
      <c r="AF148" s="5">
        <f>IF(A148="","",IFERROR(INDEX(Daily_Input!$F:$F,ROW()+1),""))</f>
        <v>345857.69810574956</v>
      </c>
      <c r="AG148" s="5">
        <f>IF(A148="","",IFERROR(INDEX(Daily_Input!$F:$F,ROW()+2),""))</f>
        <v>310615.11739972571</v>
      </c>
      <c r="AH148" s="5">
        <f>IF(A148="","",IFERROR(INDEX(Daily_Input!$F:$F,ROW()+3),""))</f>
        <v>288864.69826402166</v>
      </c>
    </row>
    <row r="149" spans="1:34">
      <c r="A149" s="5">
        <f>Daily_Input!A149</f>
        <v>45986</v>
      </c>
      <c r="B149" s="5">
        <f>Daily_Input!F149</f>
        <v>345857.69810574956</v>
      </c>
      <c r="C149" s="5">
        <f>Daily_Input!D149</f>
        <v>489.721</v>
      </c>
      <c r="D149" s="5">
        <f>Daily_Input!E149</f>
        <v>1679932.8392697</v>
      </c>
      <c r="E149" s="5" cm="1">
        <f t="array" ref="E149">IF(ROW()=2,"",INDEX(Daily_Input!$E:$E,ROW())-INDEX(Daily_Input!$E:$E,ROW()-1))</f>
        <v>-3042.8134971999098</v>
      </c>
      <c r="F149" s="5">
        <f>IFERROR(Daily_Input!E149/Config!$B$4,"")</f>
        <v>1.0335098706124641</v>
      </c>
      <c r="G149" s="5">
        <f>Daily_Input!I149</f>
        <v>0</v>
      </c>
      <c r="H149" s="5">
        <f>IF(A149="","",IF(ROW()=2,G149,Config!$B$5*H148+G149))</f>
        <v>118.3136082584704</v>
      </c>
      <c r="I149" s="5">
        <f t="shared" si="6"/>
        <v>329</v>
      </c>
      <c r="J149" s="5">
        <f>IF(I149="","",SIN(2*PI()*I149/Config!$B$6))</f>
        <v>-0.58080027345380125</v>
      </c>
      <c r="K149" s="5">
        <f>IF(I149="","",COS(2*PI()*I149/Config!$B$6))</f>
        <v>0.81404609350821755</v>
      </c>
      <c r="L149" s="5">
        <f>IF(ROW()&lt;=2+0,"",INDEX(Daily_Input!$F:$F,ROW()-1))</f>
        <v>379498.75290643546</v>
      </c>
      <c r="M149" s="5">
        <f>IF(ROW()&lt;=2+1,"",INDEX(Daily_Input!$F:$F,ROW()-2))</f>
        <v>433718.86956598249</v>
      </c>
      <c r="N149" s="5">
        <f>IF(ROW()&lt;=2+2,"",INDEX(Daily_Input!$F:$F,ROW()-3))</f>
        <v>490683.84776837972</v>
      </c>
      <c r="O149" s="5">
        <f>IF(ROW()&lt;=2+6,"",INDEX(Daily_Input!$F:$F,ROW()-7))</f>
        <v>478550.42526226019</v>
      </c>
      <c r="P149" s="5">
        <f>IF(ROW()&lt;=2+13,"",INDEX(Daily_Input!$F:$F,ROW()-14))</f>
        <v>323848.51073321624</v>
      </c>
      <c r="Q149" s="5">
        <f>IF(ROW()&lt;=4,"",SUM(INDEX(Daily_Input!$I:$I,ROW()-2):INDEX(Daily_Input!$I:$I,ROW())))</f>
        <v>0</v>
      </c>
      <c r="R149" s="5">
        <f>IF(ROW()&lt;=8,"",SUM(INDEX(Daily_Input!$I:$I,ROW()-6):INDEX(Daily_Input!$I:$I,ROW())))</f>
        <v>47.599999999999994</v>
      </c>
      <c r="S149" s="5">
        <f>IF(ROW()&lt;=15,"",SUM(INDEX(Daily_Input!$I:$I,ROW()-13):INDEX(Daily_Input!$I:$I,ROW())))</f>
        <v>88.800000000000011</v>
      </c>
      <c r="T149" s="5">
        <f>IF(ROW()&lt;=4,"",AVERAGE(INDEX(Daily_Input!$F:$F,ROW()-2):INDEX(Daily_Input!$F:$F,ROW())))</f>
        <v>386358.44019272254</v>
      </c>
      <c r="U149" s="5">
        <f>IF(ROW()&lt;=2+0,"",INDEX(Daily_Input!$G:$G,ROW()-1))</f>
        <v>0</v>
      </c>
      <c r="V149" s="5">
        <f>IF(ROW()&lt;=2+0,"",INDEX(Daily_Input!$H:$H,ROW()-1))</f>
        <v>384562.6948</v>
      </c>
      <c r="W149" s="5">
        <f>IF(ROW()&lt;=2+1,"",INDEX(Daily_Input!$G:$G,ROW()-2))</f>
        <v>0</v>
      </c>
      <c r="X149" s="5">
        <f>IF(ROW()&lt;=2+1,"",INDEX(Daily_Input!$H:$H,ROW()-2))</f>
        <v>438788.10629999998</v>
      </c>
      <c r="Y149" s="5">
        <f>IF(ROW()&lt;=2+2,"",INDEX(Daily_Input!$G:$G,ROW()-3))</f>
        <v>0</v>
      </c>
      <c r="Z149" s="5">
        <f>IF(ROW()&lt;=2+2,"",INDEX(Daily_Input!$H:$H,ROW()-3))</f>
        <v>501878.75870000001</v>
      </c>
      <c r="AA149" s="5">
        <f>Daily_Input!N149</f>
        <v>0</v>
      </c>
      <c r="AB149" s="5">
        <f>Daily_Input!O149</f>
        <v>1.4999999999999999E-4</v>
      </c>
      <c r="AC149" s="5">
        <f>Daily_Input!P149</f>
        <v>6.3E-2</v>
      </c>
      <c r="AD149" s="5">
        <f t="shared" si="7"/>
        <v>6.3149999999999998E-2</v>
      </c>
      <c r="AE149" s="5">
        <f t="shared" si="8"/>
        <v>6.3E-2</v>
      </c>
      <c r="AF149" s="5">
        <f>IF(A149="","",IFERROR(INDEX(Daily_Input!$F:$F,ROW()+1),""))</f>
        <v>310615.11739972571</v>
      </c>
      <c r="AG149" s="5">
        <f>IF(A149="","",IFERROR(INDEX(Daily_Input!$F:$F,ROW()+2),""))</f>
        <v>288864.69826402166</v>
      </c>
      <c r="AH149" s="5">
        <f>IF(A149="","",IFERROR(INDEX(Daily_Input!$F:$F,ROW()+3),""))</f>
        <v>272042.76256662153</v>
      </c>
    </row>
    <row r="150" spans="1:34">
      <c r="A150" s="5">
        <f>Daily_Input!A150</f>
        <v>45987</v>
      </c>
      <c r="B150" s="5">
        <f>Daily_Input!F150</f>
        <v>310615.11739972571</v>
      </c>
      <c r="C150" s="5">
        <f>Daily_Input!D150</f>
        <v>489.70898</v>
      </c>
      <c r="D150" s="5">
        <f>Daily_Input!E150</f>
        <v>1673851.7406957999</v>
      </c>
      <c r="E150" s="5" cm="1">
        <f t="array" ref="E150">IF(ROW()=2,"",INDEX(Daily_Input!$E:$E,ROW())-INDEX(Daily_Input!$E:$E,ROW()-1))</f>
        <v>-6081.0985739000607</v>
      </c>
      <c r="F150" s="5">
        <f>IFERROR(Daily_Input!E150/Config!$B$4,"")</f>
        <v>1.0297687237919608</v>
      </c>
      <c r="G150" s="5">
        <f>Daily_Input!I150</f>
        <v>0</v>
      </c>
      <c r="H150" s="5">
        <f>IF(A150="","",IF(ROW()=2,G150,Config!$B$5*H149+G150))</f>
        <v>112.39792784554687</v>
      </c>
      <c r="I150" s="5">
        <f t="shared" si="6"/>
        <v>330</v>
      </c>
      <c r="J150" s="5">
        <f>IF(I150="","",SIN(2*PI()*I150/Config!$B$6))</f>
        <v>-0.56670175629111841</v>
      </c>
      <c r="K150" s="5">
        <f>IF(I150="","",COS(2*PI()*I150/Config!$B$6))</f>
        <v>0.82392300575755362</v>
      </c>
      <c r="L150" s="5">
        <f>IF(ROW()&lt;=2+0,"",INDEX(Daily_Input!$F:$F,ROW()-1))</f>
        <v>345857.69810574956</v>
      </c>
      <c r="M150" s="5">
        <f>IF(ROW()&lt;=2+1,"",INDEX(Daily_Input!$F:$F,ROW()-2))</f>
        <v>379498.75290643546</v>
      </c>
      <c r="N150" s="5">
        <f>IF(ROW()&lt;=2+2,"",INDEX(Daily_Input!$F:$F,ROW()-3))</f>
        <v>433718.86956598249</v>
      </c>
      <c r="O150" s="5">
        <f>IF(ROW()&lt;=2+6,"",INDEX(Daily_Input!$F:$F,ROW()-7))</f>
        <v>957422.96408633795</v>
      </c>
      <c r="P150" s="5">
        <f>IF(ROW()&lt;=2+13,"",INDEX(Daily_Input!$F:$F,ROW()-14))</f>
        <v>280267.58193712565</v>
      </c>
      <c r="Q150" s="5">
        <f>IF(ROW()&lt;=4,"",SUM(INDEX(Daily_Input!$I:$I,ROW()-2):INDEX(Daily_Input!$I:$I,ROW())))</f>
        <v>0</v>
      </c>
      <c r="R150" s="5">
        <f>IF(ROW()&lt;=8,"",SUM(INDEX(Daily_Input!$I:$I,ROW()-6):INDEX(Daily_Input!$I:$I,ROW())))</f>
        <v>16.399999999999999</v>
      </c>
      <c r="S150" s="5">
        <f>IF(ROW()&lt;=15,"",SUM(INDEX(Daily_Input!$I:$I,ROW()-13):INDEX(Daily_Input!$I:$I,ROW())))</f>
        <v>88.800000000000011</v>
      </c>
      <c r="T150" s="5">
        <f>IF(ROW()&lt;=4,"",AVERAGE(INDEX(Daily_Input!$F:$F,ROW()-2):INDEX(Daily_Input!$F:$F,ROW())))</f>
        <v>345323.85613730358</v>
      </c>
      <c r="U150" s="5">
        <f>IF(ROW()&lt;=2+0,"",INDEX(Daily_Input!$G:$G,ROW()-1))</f>
        <v>0</v>
      </c>
      <c r="V150" s="5">
        <f>IF(ROW()&lt;=2+0,"",INDEX(Daily_Input!$H:$H,ROW()-1))</f>
        <v>347874.56880000001</v>
      </c>
      <c r="W150" s="5">
        <f>IF(ROW()&lt;=2+1,"",INDEX(Daily_Input!$G:$G,ROW()-2))</f>
        <v>0</v>
      </c>
      <c r="X150" s="5">
        <f>IF(ROW()&lt;=2+1,"",INDEX(Daily_Input!$H:$H,ROW()-2))</f>
        <v>384562.6948</v>
      </c>
      <c r="Y150" s="5">
        <f>IF(ROW()&lt;=2+2,"",INDEX(Daily_Input!$G:$G,ROW()-3))</f>
        <v>0</v>
      </c>
      <c r="Z150" s="5">
        <f>IF(ROW()&lt;=2+2,"",INDEX(Daily_Input!$H:$H,ROW()-3))</f>
        <v>438788.10629999998</v>
      </c>
      <c r="AA150" s="5">
        <f>Daily_Input!N150</f>
        <v>1.4999999999999999E-4</v>
      </c>
      <c r="AB150" s="5">
        <f>Daily_Input!O150</f>
        <v>6.3E-2</v>
      </c>
      <c r="AC150" s="5">
        <f>Daily_Input!P150</f>
        <v>8.9860000000000007</v>
      </c>
      <c r="AD150" s="5">
        <f t="shared" si="7"/>
        <v>9.0491500000000009</v>
      </c>
      <c r="AE150" s="5">
        <f t="shared" si="8"/>
        <v>8.9860000000000007</v>
      </c>
      <c r="AF150" s="5">
        <f>IF(A150="","",IFERROR(INDEX(Daily_Input!$F:$F,ROW()+1),""))</f>
        <v>288864.69826402166</v>
      </c>
      <c r="AG150" s="5">
        <f>IF(A150="","",IFERROR(INDEX(Daily_Input!$F:$F,ROW()+2),""))</f>
        <v>272042.76256662153</v>
      </c>
      <c r="AH150" s="5">
        <f>IF(A150="","",IFERROR(INDEX(Daily_Input!$F:$F,ROW()+3),""))</f>
        <v>252600.3418681483</v>
      </c>
    </row>
    <row r="151" spans="1:34">
      <c r="A151" s="5">
        <f>Daily_Input!A151</f>
        <v>45988</v>
      </c>
      <c r="B151" s="5">
        <f>Daily_Input!F151</f>
        <v>288864.69826402166</v>
      </c>
      <c r="C151" s="5">
        <f>Daily_Input!D151</f>
        <v>489.697</v>
      </c>
      <c r="D151" s="5">
        <f>Daily_Input!E151</f>
        <v>1670813.4823932</v>
      </c>
      <c r="E151" s="5" cm="1">
        <f t="array" ref="E151">IF(ROW()=2,"",INDEX(Daily_Input!$E:$E,ROW())-INDEX(Daily_Input!$E:$E,ROW()-1))</f>
        <v>-3038.2583025998902</v>
      </c>
      <c r="F151" s="5">
        <f>IFERROR(Daily_Input!E151/Config!$B$4,"")</f>
        <v>1.0278995598159937</v>
      </c>
      <c r="G151" s="5">
        <f>Daily_Input!I151</f>
        <v>0</v>
      </c>
      <c r="H151" s="5">
        <f>IF(A151="","",IF(ROW()=2,G151,Config!$B$5*H150+G151))</f>
        <v>106.77803145326952</v>
      </c>
      <c r="I151" s="5">
        <f t="shared" si="6"/>
        <v>331</v>
      </c>
      <c r="J151" s="5">
        <f>IF(I151="","",SIN(2*PI()*I151/Config!$B$6))</f>
        <v>-0.55243531316762029</v>
      </c>
      <c r="K151" s="5">
        <f>IF(I151="","",COS(2*PI()*I151/Config!$B$6))</f>
        <v>0.83355577183856955</v>
      </c>
      <c r="L151" s="5">
        <f>IF(ROW()&lt;=2+0,"",INDEX(Daily_Input!$F:$F,ROW()-1))</f>
        <v>310615.11739972571</v>
      </c>
      <c r="M151" s="5">
        <f>IF(ROW()&lt;=2+1,"",INDEX(Daily_Input!$F:$F,ROW()-2))</f>
        <v>345857.69810574956</v>
      </c>
      <c r="N151" s="5">
        <f>IF(ROW()&lt;=2+2,"",INDEX(Daily_Input!$F:$F,ROW()-3))</f>
        <v>379498.75290643546</v>
      </c>
      <c r="O151" s="5">
        <f>IF(ROW()&lt;=2+6,"",INDEX(Daily_Input!$F:$F,ROW()-7))</f>
        <v>893123.02810431598</v>
      </c>
      <c r="P151" s="5">
        <f>IF(ROW()&lt;=2+13,"",INDEX(Daily_Input!$F:$F,ROW()-14))</f>
        <v>238079.59356554842</v>
      </c>
      <c r="Q151" s="5">
        <f>IF(ROW()&lt;=4,"",SUM(INDEX(Daily_Input!$I:$I,ROW()-2):INDEX(Daily_Input!$I:$I,ROW())))</f>
        <v>0</v>
      </c>
      <c r="R151" s="5">
        <f>IF(ROW()&lt;=8,"",SUM(INDEX(Daily_Input!$I:$I,ROW()-6):INDEX(Daily_Input!$I:$I,ROW())))</f>
        <v>0</v>
      </c>
      <c r="S151" s="5">
        <f>IF(ROW()&lt;=15,"",SUM(INDEX(Daily_Input!$I:$I,ROW()-13):INDEX(Daily_Input!$I:$I,ROW())))</f>
        <v>88.800000000000011</v>
      </c>
      <c r="T151" s="5">
        <f>IF(ROW()&lt;=4,"",AVERAGE(INDEX(Daily_Input!$F:$F,ROW()-2):INDEX(Daily_Input!$F:$F,ROW())))</f>
        <v>315112.50458983233</v>
      </c>
      <c r="U151" s="5">
        <f>IF(ROW()&lt;=2+0,"",INDEX(Daily_Input!$G:$G,ROW()-1))</f>
        <v>0</v>
      </c>
      <c r="V151" s="5">
        <f>IF(ROW()&lt;=2+0,"",INDEX(Daily_Input!$H:$H,ROW()-1))</f>
        <v>315671.32809999998</v>
      </c>
      <c r="W151" s="5">
        <f>IF(ROW()&lt;=2+1,"",INDEX(Daily_Input!$G:$G,ROW()-2))</f>
        <v>0</v>
      </c>
      <c r="X151" s="5">
        <f>IF(ROW()&lt;=2+1,"",INDEX(Daily_Input!$H:$H,ROW()-2))</f>
        <v>347874.56880000001</v>
      </c>
      <c r="Y151" s="5">
        <f>IF(ROW()&lt;=2+2,"",INDEX(Daily_Input!$G:$G,ROW()-3))</f>
        <v>0</v>
      </c>
      <c r="Z151" s="5">
        <f>IF(ROW()&lt;=2+2,"",INDEX(Daily_Input!$H:$H,ROW()-3))</f>
        <v>384562.6948</v>
      </c>
      <c r="AA151" s="5">
        <f>Daily_Input!N151</f>
        <v>6.3E-2</v>
      </c>
      <c r="AB151" s="5">
        <f>Daily_Input!O151</f>
        <v>8.9860000000000007</v>
      </c>
      <c r="AC151" s="5">
        <f>Daily_Input!P151</f>
        <v>8.1000000000000003E-2</v>
      </c>
      <c r="AD151" s="5">
        <f t="shared" si="7"/>
        <v>9.1300000000000008</v>
      </c>
      <c r="AE151" s="5">
        <f t="shared" si="8"/>
        <v>8.9860000000000007</v>
      </c>
      <c r="AF151" s="5">
        <f>IF(A151="","",IFERROR(INDEX(Daily_Input!$F:$F,ROW()+1),""))</f>
        <v>272042.76256662153</v>
      </c>
      <c r="AG151" s="5">
        <f>IF(A151="","",IFERROR(INDEX(Daily_Input!$F:$F,ROW()+2),""))</f>
        <v>252600.3418681483</v>
      </c>
      <c r="AH151" s="5">
        <f>IF(A151="","",IFERROR(INDEX(Daily_Input!$F:$F,ROW()+3),""))</f>
        <v>244914.34617094841</v>
      </c>
    </row>
    <row r="152" spans="1:34">
      <c r="A152" s="5">
        <f>Daily_Input!A152</f>
        <v>45989</v>
      </c>
      <c r="B152" s="5">
        <f>Daily_Input!F152</f>
        <v>272042.76256662153</v>
      </c>
      <c r="C152" s="5">
        <f>Daily_Input!D152</f>
        <v>489.69099999999997</v>
      </c>
      <c r="D152" s="5">
        <f>Daily_Input!E152</f>
        <v>1670813.4823932</v>
      </c>
      <c r="E152" s="5" cm="1">
        <f t="array" ref="E152">IF(ROW()=2,"",INDEX(Daily_Input!$E:$E,ROW())-INDEX(Daily_Input!$E:$E,ROW()-1))</f>
        <v>0</v>
      </c>
      <c r="F152" s="5">
        <f>IFERROR(Daily_Input!E152/Config!$B$4,"")</f>
        <v>1.0278995598159937</v>
      </c>
      <c r="G152" s="5">
        <f>Daily_Input!I152</f>
        <v>0</v>
      </c>
      <c r="H152" s="5">
        <f>IF(A152="","",IF(ROW()=2,G152,Config!$B$5*H151+G152))</f>
        <v>101.43912988060605</v>
      </c>
      <c r="I152" s="5">
        <f t="shared" si="6"/>
        <v>332</v>
      </c>
      <c r="J152" s="5">
        <f>IF(I152="","",SIN(2*PI()*I152/Config!$B$6))</f>
        <v>-0.53800517153829919</v>
      </c>
      <c r="K152" s="5">
        <f>IF(I152="","",COS(2*PI()*I152/Config!$B$6))</f>
        <v>0.84294153735478317</v>
      </c>
      <c r="L152" s="5">
        <f>IF(ROW()&lt;=2+0,"",INDEX(Daily_Input!$F:$F,ROW()-1))</f>
        <v>288864.69826402166</v>
      </c>
      <c r="M152" s="5">
        <f>IF(ROW()&lt;=2+1,"",INDEX(Daily_Input!$F:$F,ROW()-2))</f>
        <v>310615.11739972571</v>
      </c>
      <c r="N152" s="5">
        <f>IF(ROW()&lt;=2+2,"",INDEX(Daily_Input!$F:$F,ROW()-3))</f>
        <v>345857.69810574956</v>
      </c>
      <c r="O152" s="5">
        <f>IF(ROW()&lt;=2+6,"",INDEX(Daily_Input!$F:$F,ROW()-7))</f>
        <v>612855.68405975844</v>
      </c>
      <c r="P152" s="5">
        <f>IF(ROW()&lt;=2+13,"",INDEX(Daily_Input!$F:$F,ROW()-14))</f>
        <v>213597.80433420843</v>
      </c>
      <c r="Q152" s="5">
        <f>IF(ROW()&lt;=4,"",SUM(INDEX(Daily_Input!$I:$I,ROW()-2):INDEX(Daily_Input!$I:$I,ROW())))</f>
        <v>0</v>
      </c>
      <c r="R152" s="5">
        <f>IF(ROW()&lt;=8,"",SUM(INDEX(Daily_Input!$I:$I,ROW()-6):INDEX(Daily_Input!$I:$I,ROW())))</f>
        <v>0</v>
      </c>
      <c r="S152" s="5">
        <f>IF(ROW()&lt;=15,"",SUM(INDEX(Daily_Input!$I:$I,ROW()-13):INDEX(Daily_Input!$I:$I,ROW())))</f>
        <v>88.800000000000011</v>
      </c>
      <c r="T152" s="5">
        <f>IF(ROW()&lt;=4,"",AVERAGE(INDEX(Daily_Input!$F:$F,ROW()-2):INDEX(Daily_Input!$F:$F,ROW())))</f>
        <v>290507.52607678965</v>
      </c>
      <c r="U152" s="5">
        <f>IF(ROW()&lt;=2+0,"",INDEX(Daily_Input!$G:$G,ROW()-1))</f>
        <v>0</v>
      </c>
      <c r="V152" s="5">
        <f>IF(ROW()&lt;=2+0,"",INDEX(Daily_Input!$H:$H,ROW()-1))</f>
        <v>290878.59220000001</v>
      </c>
      <c r="W152" s="5">
        <f>IF(ROW()&lt;=2+1,"",INDEX(Daily_Input!$G:$G,ROW()-2))</f>
        <v>0</v>
      </c>
      <c r="X152" s="5">
        <f>IF(ROW()&lt;=2+1,"",INDEX(Daily_Input!$H:$H,ROW()-2))</f>
        <v>315671.32809999998</v>
      </c>
      <c r="Y152" s="5">
        <f>IF(ROW()&lt;=2+2,"",INDEX(Daily_Input!$G:$G,ROW()-3))</f>
        <v>0</v>
      </c>
      <c r="Z152" s="5">
        <f>IF(ROW()&lt;=2+2,"",INDEX(Daily_Input!$H:$H,ROW()-3))</f>
        <v>347874.56880000001</v>
      </c>
      <c r="AA152" s="5">
        <f>Daily_Input!N152</f>
        <v>8.9860000000000007</v>
      </c>
      <c r="AB152" s="5">
        <f>Daily_Input!O152</f>
        <v>8.1000000000000003E-2</v>
      </c>
      <c r="AC152" s="5">
        <f>Daily_Input!P152</f>
        <v>0</v>
      </c>
      <c r="AD152" s="5">
        <f t="shared" si="7"/>
        <v>9.0670000000000002</v>
      </c>
      <c r="AE152" s="5">
        <f t="shared" si="8"/>
        <v>8.9860000000000007</v>
      </c>
      <c r="AF152" s="5">
        <f>IF(A152="","",IFERROR(INDEX(Daily_Input!$F:$F,ROW()+1),""))</f>
        <v>252600.3418681483</v>
      </c>
      <c r="AG152" s="5">
        <f>IF(A152="","",IFERROR(INDEX(Daily_Input!$F:$F,ROW()+2),""))</f>
        <v>244914.34617094841</v>
      </c>
      <c r="AH152" s="5">
        <f>IF(A152="","",IFERROR(INDEX(Daily_Input!$F:$F,ROW()+3),""))</f>
        <v>234203.99536424226</v>
      </c>
    </row>
    <row r="153" spans="1:34">
      <c r="A153" s="5">
        <f>Daily_Input!A153</f>
        <v>45990</v>
      </c>
      <c r="B153" s="5">
        <f>Daily_Input!F153</f>
        <v>252600.3418681483</v>
      </c>
      <c r="C153" s="5">
        <f>Daily_Input!D153</f>
        <v>489.68400000000003</v>
      </c>
      <c r="D153" s="5">
        <f>Daily_Input!E153</f>
        <v>1667776.8298903999</v>
      </c>
      <c r="E153" s="5" cm="1">
        <f t="array" ref="E153">IF(ROW()=2,"",INDEX(Daily_Input!$E:$E,ROW())-INDEX(Daily_Input!$E:$E,ROW()-1))</f>
        <v>-3036.6525028001051</v>
      </c>
      <c r="F153" s="5">
        <f>IFERROR(Daily_Input!E153/Config!$B$4,"")</f>
        <v>1.026031383742581</v>
      </c>
      <c r="G153" s="5">
        <f>Daily_Input!I153</f>
        <v>0</v>
      </c>
      <c r="H153" s="5">
        <f>IF(A153="","",IF(ROW()=2,G153,Config!$B$5*H152+G153))</f>
        <v>96.367173386575743</v>
      </c>
      <c r="I153" s="5">
        <f t="shared" si="6"/>
        <v>333</v>
      </c>
      <c r="J153" s="5">
        <f>IF(I153="","",SIN(2*PI()*I153/Config!$B$6))</f>
        <v>-0.52341560736555026</v>
      </c>
      <c r="K153" s="5">
        <f>IF(I153="","",COS(2*PI()*I153/Config!$B$6))</f>
        <v>0.8520775211013093</v>
      </c>
      <c r="L153" s="5">
        <f>IF(ROW()&lt;=2+0,"",INDEX(Daily_Input!$F:$F,ROW()-1))</f>
        <v>272042.76256662153</v>
      </c>
      <c r="M153" s="5">
        <f>IF(ROW()&lt;=2+1,"",INDEX(Daily_Input!$F:$F,ROW()-2))</f>
        <v>288864.69826402166</v>
      </c>
      <c r="N153" s="5">
        <f>IF(ROW()&lt;=2+2,"",INDEX(Daily_Input!$F:$F,ROW()-3))</f>
        <v>310615.11739972571</v>
      </c>
      <c r="O153" s="5">
        <f>IF(ROW()&lt;=2+6,"",INDEX(Daily_Input!$F:$F,ROW()-7))</f>
        <v>490683.84776837972</v>
      </c>
      <c r="P153" s="5">
        <f>IF(ROW()&lt;=2+13,"",INDEX(Daily_Input!$F:$F,ROW()-14))</f>
        <v>192495.62577584962</v>
      </c>
      <c r="Q153" s="5">
        <f>IF(ROW()&lt;=4,"",SUM(INDEX(Daily_Input!$I:$I,ROW()-2):INDEX(Daily_Input!$I:$I,ROW())))</f>
        <v>0</v>
      </c>
      <c r="R153" s="5">
        <f>IF(ROW()&lt;=8,"",SUM(INDEX(Daily_Input!$I:$I,ROW()-6):INDEX(Daily_Input!$I:$I,ROW())))</f>
        <v>0</v>
      </c>
      <c r="S153" s="5">
        <f>IF(ROW()&lt;=15,"",SUM(INDEX(Daily_Input!$I:$I,ROW()-13):INDEX(Daily_Input!$I:$I,ROW())))</f>
        <v>88.800000000000011</v>
      </c>
      <c r="T153" s="5">
        <f>IF(ROW()&lt;=4,"",AVERAGE(INDEX(Daily_Input!$F:$F,ROW()-2):INDEX(Daily_Input!$F:$F,ROW())))</f>
        <v>271169.26756626385</v>
      </c>
      <c r="U153" s="5">
        <f>IF(ROW()&lt;=2+0,"",INDEX(Daily_Input!$G:$G,ROW()-1))</f>
        <v>0</v>
      </c>
      <c r="V153" s="5">
        <f>IF(ROW()&lt;=2+0,"",INDEX(Daily_Input!$H:$H,ROW()-1))</f>
        <v>271018.3982</v>
      </c>
      <c r="W153" s="5">
        <f>IF(ROW()&lt;=2+1,"",INDEX(Daily_Input!$G:$G,ROW()-2))</f>
        <v>0</v>
      </c>
      <c r="X153" s="5">
        <f>IF(ROW()&lt;=2+1,"",INDEX(Daily_Input!$H:$H,ROW()-2))</f>
        <v>290878.59220000001</v>
      </c>
      <c r="Y153" s="5">
        <f>IF(ROW()&lt;=2+2,"",INDEX(Daily_Input!$G:$G,ROW()-3))</f>
        <v>0</v>
      </c>
      <c r="Z153" s="5">
        <f>IF(ROW()&lt;=2+2,"",INDEX(Daily_Input!$H:$H,ROW()-3))</f>
        <v>315671.32809999998</v>
      </c>
      <c r="AA153" s="5">
        <f>Daily_Input!N153</f>
        <v>8.1000000000000003E-2</v>
      </c>
      <c r="AB153" s="5">
        <f>Daily_Input!O153</f>
        <v>0</v>
      </c>
      <c r="AC153" s="5">
        <f>Daily_Input!P153</f>
        <v>0</v>
      </c>
      <c r="AD153" s="5">
        <f t="shared" si="7"/>
        <v>8.1000000000000003E-2</v>
      </c>
      <c r="AE153" s="5">
        <f t="shared" si="8"/>
        <v>8.1000000000000003E-2</v>
      </c>
      <c r="AF153" s="5">
        <f>IF(A153="","",IFERROR(INDEX(Daily_Input!$F:$F,ROW()+1),""))</f>
        <v>244914.34617094841</v>
      </c>
      <c r="AG153" s="5">
        <f>IF(A153="","",IFERROR(INDEX(Daily_Input!$F:$F,ROW()+2),""))</f>
        <v>234203.99536424226</v>
      </c>
      <c r="AH153" s="5">
        <f>IF(A153="","",IFERROR(INDEX(Daily_Input!$F:$F,ROW()+3),""))</f>
        <v>228969.81399944241</v>
      </c>
    </row>
    <row r="154" spans="1:34">
      <c r="A154" s="5">
        <f>Daily_Input!A154</f>
        <v>45991</v>
      </c>
      <c r="B154" s="5">
        <f>Daily_Input!F154</f>
        <v>244914.34617094841</v>
      </c>
      <c r="C154" s="5">
        <f>Daily_Input!D154</f>
        <v>489.68400000000003</v>
      </c>
      <c r="D154" s="5">
        <f>Daily_Input!E154</f>
        <v>1667776.8298903999</v>
      </c>
      <c r="E154" s="5" cm="1">
        <f t="array" ref="E154">IF(ROW()=2,"",INDEX(Daily_Input!$E:$E,ROW())-INDEX(Daily_Input!$E:$E,ROW()-1))</f>
        <v>0</v>
      </c>
      <c r="F154" s="5">
        <f>IFERROR(Daily_Input!E154/Config!$B$4,"")</f>
        <v>1.026031383742581</v>
      </c>
      <c r="G154" s="5">
        <f>Daily_Input!I154</f>
        <v>0</v>
      </c>
      <c r="H154" s="5">
        <f>IF(A154="","",IF(ROW()=2,G154,Config!$B$5*H153+G154))</f>
        <v>91.548814717246955</v>
      </c>
      <c r="I154" s="5">
        <f t="shared" si="6"/>
        <v>334</v>
      </c>
      <c r="J154" s="5">
        <f>IF(I154="","",SIN(2*PI()*I154/Config!$B$6))</f>
        <v>-0.50867094385210421</v>
      </c>
      <c r="K154" s="5">
        <f>IF(I154="","",COS(2*PI()*I154/Config!$B$6))</f>
        <v>0.86096101588899454</v>
      </c>
      <c r="L154" s="5">
        <f>IF(ROW()&lt;=2+0,"",INDEX(Daily_Input!$F:$F,ROW()-1))</f>
        <v>252600.3418681483</v>
      </c>
      <c r="M154" s="5">
        <f>IF(ROW()&lt;=2+1,"",INDEX(Daily_Input!$F:$F,ROW()-2))</f>
        <v>272042.76256662153</v>
      </c>
      <c r="N154" s="5">
        <f>IF(ROW()&lt;=2+2,"",INDEX(Daily_Input!$F:$F,ROW()-3))</f>
        <v>288864.69826402166</v>
      </c>
      <c r="O154" s="5">
        <f>IF(ROW()&lt;=2+6,"",INDEX(Daily_Input!$F:$F,ROW()-7))</f>
        <v>433718.86956598249</v>
      </c>
      <c r="P154" s="5">
        <f>IF(ROW()&lt;=2+13,"",INDEX(Daily_Input!$F:$F,ROW()-14))</f>
        <v>175733.50779371275</v>
      </c>
      <c r="Q154" s="5">
        <f>IF(ROW()&lt;=4,"",SUM(INDEX(Daily_Input!$I:$I,ROW()-2):INDEX(Daily_Input!$I:$I,ROW())))</f>
        <v>0</v>
      </c>
      <c r="R154" s="5">
        <f>IF(ROW()&lt;=8,"",SUM(INDEX(Daily_Input!$I:$I,ROW()-6):INDEX(Daily_Input!$I:$I,ROW())))</f>
        <v>0</v>
      </c>
      <c r="S154" s="5">
        <f>IF(ROW()&lt;=15,"",SUM(INDEX(Daily_Input!$I:$I,ROW()-13):INDEX(Daily_Input!$I:$I,ROW())))</f>
        <v>88.800000000000011</v>
      </c>
      <c r="T154" s="5">
        <f>IF(ROW()&lt;=4,"",AVERAGE(INDEX(Daily_Input!$F:$F,ROW()-2):INDEX(Daily_Input!$F:$F,ROW())))</f>
        <v>256519.15020190607</v>
      </c>
      <c r="U154" s="5">
        <f>IF(ROW()&lt;=2+0,"",INDEX(Daily_Input!$G:$G,ROW()-1))</f>
        <v>0</v>
      </c>
      <c r="V154" s="5">
        <f>IF(ROW()&lt;=2+0,"",INDEX(Daily_Input!$H:$H,ROW()-1))</f>
        <v>254613.15059999999</v>
      </c>
      <c r="W154" s="5">
        <f>IF(ROW()&lt;=2+1,"",INDEX(Daily_Input!$G:$G,ROW()-2))</f>
        <v>0</v>
      </c>
      <c r="X154" s="5">
        <f>IF(ROW()&lt;=2+1,"",INDEX(Daily_Input!$H:$H,ROW()-2))</f>
        <v>271018.3982</v>
      </c>
      <c r="Y154" s="5">
        <f>IF(ROW()&lt;=2+2,"",INDEX(Daily_Input!$G:$G,ROW()-3))</f>
        <v>0</v>
      </c>
      <c r="Z154" s="5">
        <f>IF(ROW()&lt;=2+2,"",INDEX(Daily_Input!$H:$H,ROW()-3))</f>
        <v>290878.59220000001</v>
      </c>
      <c r="AA154" s="5">
        <f>Daily_Input!N154</f>
        <v>0</v>
      </c>
      <c r="AB154" s="5">
        <f>Daily_Input!O154</f>
        <v>0</v>
      </c>
      <c r="AC154" s="5">
        <f>Daily_Input!P154</f>
        <v>0</v>
      </c>
      <c r="AD154" s="5">
        <f t="shared" si="7"/>
        <v>0</v>
      </c>
      <c r="AE154" s="5">
        <f t="shared" si="8"/>
        <v>0</v>
      </c>
      <c r="AF154" s="5">
        <f>IF(A154="","",IFERROR(INDEX(Daily_Input!$F:$F,ROW()+1),""))</f>
        <v>234203.99536424226</v>
      </c>
      <c r="AG154" s="5">
        <f>IF(A154="","",IFERROR(INDEX(Daily_Input!$F:$F,ROW()+2),""))</f>
        <v>228969.81399944241</v>
      </c>
      <c r="AH154" s="5">
        <f>IF(A154="","",IFERROR(INDEX(Daily_Input!$F:$F,ROW()+3),""))</f>
        <v>221736.01499944241</v>
      </c>
    </row>
    <row r="155" spans="1:34">
      <c r="A155" s="5">
        <f>Daily_Input!A155</f>
        <v>45992</v>
      </c>
      <c r="B155" s="5">
        <f>Daily_Input!F155</f>
        <v>234203.99536424226</v>
      </c>
      <c r="C155" s="5">
        <f>Daily_Input!D155</f>
        <v>489.678</v>
      </c>
      <c r="D155" s="5">
        <f>Daily_Input!E155</f>
        <v>1664741.6725647999</v>
      </c>
      <c r="E155" s="5" cm="1">
        <f t="array" ref="E155">IF(ROW()=2,"",INDEX(Daily_Input!$E:$E,ROW())-INDEX(Daily_Input!$E:$E,ROW()-1))</f>
        <v>-3035.1573256000411</v>
      </c>
      <c r="F155" s="5">
        <f>IFERROR(Daily_Input!E155/Config!$B$4,"")</f>
        <v>1.0241641275156992</v>
      </c>
      <c r="G155" s="5">
        <f>Daily_Input!I155</f>
        <v>0</v>
      </c>
      <c r="H155" s="5">
        <f>IF(A155="","",IF(ROW()=2,G155,Config!$B$5*H154+G155))</f>
        <v>86.971373981384602</v>
      </c>
      <c r="I155" s="5">
        <f t="shared" si="6"/>
        <v>335</v>
      </c>
      <c r="J155" s="5">
        <f>IF(I155="","",SIN(2*PI()*I155/Config!$B$6))</f>
        <v>-0.49377555015997737</v>
      </c>
      <c r="K155" s="5">
        <f>IF(I155="","",COS(2*PI()*I155/Config!$B$6))</f>
        <v>0.8695893893466109</v>
      </c>
      <c r="L155" s="5">
        <f>IF(ROW()&lt;=2+0,"",INDEX(Daily_Input!$F:$F,ROW()-1))</f>
        <v>244914.34617094841</v>
      </c>
      <c r="M155" s="5">
        <f>IF(ROW()&lt;=2+1,"",INDEX(Daily_Input!$F:$F,ROW()-2))</f>
        <v>252600.3418681483</v>
      </c>
      <c r="N155" s="5">
        <f>IF(ROW()&lt;=2+2,"",INDEX(Daily_Input!$F:$F,ROW()-3))</f>
        <v>272042.76256662153</v>
      </c>
      <c r="O155" s="5">
        <f>IF(ROW()&lt;=2+6,"",INDEX(Daily_Input!$F:$F,ROW()-7))</f>
        <v>379498.75290643546</v>
      </c>
      <c r="P155" s="5">
        <f>IF(ROW()&lt;=2+13,"",INDEX(Daily_Input!$F:$F,ROW()-14))</f>
        <v>177813.58794291277</v>
      </c>
      <c r="Q155" s="5">
        <f>IF(ROW()&lt;=4,"",SUM(INDEX(Daily_Input!$I:$I,ROW()-2):INDEX(Daily_Input!$I:$I,ROW())))</f>
        <v>0</v>
      </c>
      <c r="R155" s="5">
        <f>IF(ROW()&lt;=8,"",SUM(INDEX(Daily_Input!$I:$I,ROW()-6):INDEX(Daily_Input!$I:$I,ROW())))</f>
        <v>0</v>
      </c>
      <c r="S155" s="5">
        <f>IF(ROW()&lt;=15,"",SUM(INDEX(Daily_Input!$I:$I,ROW()-13):INDEX(Daily_Input!$I:$I,ROW())))</f>
        <v>88.800000000000011</v>
      </c>
      <c r="T155" s="5">
        <f>IF(ROW()&lt;=4,"",AVERAGE(INDEX(Daily_Input!$F:$F,ROW()-2):INDEX(Daily_Input!$F:$F,ROW())))</f>
        <v>243906.22780111301</v>
      </c>
      <c r="U155" s="5">
        <f>IF(ROW()&lt;=2+0,"",INDEX(Daily_Input!$G:$G,ROW()-1))</f>
        <v>0</v>
      </c>
      <c r="V155" s="5">
        <f>IF(ROW()&lt;=2+0,"",INDEX(Daily_Input!$H:$H,ROW()-1))</f>
        <v>243890.5024</v>
      </c>
      <c r="W155" s="5">
        <f>IF(ROW()&lt;=2+1,"",INDEX(Daily_Input!$G:$G,ROW()-2))</f>
        <v>0</v>
      </c>
      <c r="X155" s="5">
        <f>IF(ROW()&lt;=2+1,"",INDEX(Daily_Input!$H:$H,ROW()-2))</f>
        <v>254613.15059999999</v>
      </c>
      <c r="Y155" s="5">
        <f>IF(ROW()&lt;=2+2,"",INDEX(Daily_Input!$G:$G,ROW()-3))</f>
        <v>0</v>
      </c>
      <c r="Z155" s="5">
        <f>IF(ROW()&lt;=2+2,"",INDEX(Daily_Input!$H:$H,ROW()-3))</f>
        <v>271018.3982</v>
      </c>
      <c r="AA155" s="5">
        <f>Daily_Input!N155</f>
        <v>0</v>
      </c>
      <c r="AB155" s="5">
        <f>Daily_Input!O155</f>
        <v>0</v>
      </c>
      <c r="AC155" s="5">
        <f>Daily_Input!P155</f>
        <v>0.26</v>
      </c>
      <c r="AD155" s="5">
        <f t="shared" si="7"/>
        <v>0.26</v>
      </c>
      <c r="AE155" s="5">
        <f t="shared" si="8"/>
        <v>0.26</v>
      </c>
      <c r="AF155" s="5">
        <f>IF(A155="","",IFERROR(INDEX(Daily_Input!$F:$F,ROW()+1),""))</f>
        <v>228969.81399944241</v>
      </c>
      <c r="AG155" s="5">
        <f>IF(A155="","",IFERROR(INDEX(Daily_Input!$F:$F,ROW()+2),""))</f>
        <v>221736.01499944241</v>
      </c>
      <c r="AH155" s="5">
        <f>IF(A155="","",IFERROR(INDEX(Daily_Input!$F:$F,ROW()+3),""))</f>
        <v>209256.1982606207</v>
      </c>
    </row>
    <row r="156" spans="1:34">
      <c r="A156" s="5">
        <f>Daily_Input!A156</f>
        <v>45993</v>
      </c>
      <c r="B156" s="5">
        <f>Daily_Input!F156</f>
        <v>228969.81399944241</v>
      </c>
      <c r="C156" s="5">
        <f>Daily_Input!D156</f>
        <v>489.67099999999999</v>
      </c>
      <c r="D156" s="5">
        <f>Daily_Input!E156</f>
        <v>1664741.6725647999</v>
      </c>
      <c r="E156" s="5" cm="1">
        <f t="array" ref="E156">IF(ROW()=2,"",INDEX(Daily_Input!$E:$E,ROW())-INDEX(Daily_Input!$E:$E,ROW()-1))</f>
        <v>0</v>
      </c>
      <c r="F156" s="5">
        <f>IFERROR(Daily_Input!E156/Config!$B$4,"")</f>
        <v>1.0241641275156992</v>
      </c>
      <c r="G156" s="5">
        <f>Daily_Input!I156</f>
        <v>0</v>
      </c>
      <c r="H156" s="5">
        <f>IF(A156="","",IF(ROW()=2,G156,Config!$B$5*H155+G156))</f>
        <v>82.622805282315369</v>
      </c>
      <c r="I156" s="5">
        <f t="shared" si="6"/>
        <v>336</v>
      </c>
      <c r="J156" s="5">
        <f>IF(I156="","",SIN(2*PI()*I156/Config!$B$6))</f>
        <v>-0.47873384011578829</v>
      </c>
      <c r="K156" s="5">
        <f>IF(I156="","",COS(2*PI()*I156/Config!$B$6))</f>
        <v>0.87796008470088827</v>
      </c>
      <c r="L156" s="5">
        <f>IF(ROW()&lt;=2+0,"",INDEX(Daily_Input!$F:$F,ROW()-1))</f>
        <v>234203.99536424226</v>
      </c>
      <c r="M156" s="5">
        <f>IF(ROW()&lt;=2+1,"",INDEX(Daily_Input!$F:$F,ROW()-2))</f>
        <v>244914.34617094841</v>
      </c>
      <c r="N156" s="5">
        <f>IF(ROW()&lt;=2+2,"",INDEX(Daily_Input!$F:$F,ROW()-3))</f>
        <v>252600.3418681483</v>
      </c>
      <c r="O156" s="5">
        <f>IF(ROW()&lt;=2+6,"",INDEX(Daily_Input!$F:$F,ROW()-7))</f>
        <v>345857.69810574956</v>
      </c>
      <c r="P156" s="5">
        <f>IF(ROW()&lt;=2+13,"",INDEX(Daily_Input!$F:$F,ROW()-14))</f>
        <v>478550.42526226019</v>
      </c>
      <c r="Q156" s="5">
        <f>IF(ROW()&lt;=4,"",SUM(INDEX(Daily_Input!$I:$I,ROW()-2):INDEX(Daily_Input!$I:$I,ROW())))</f>
        <v>0</v>
      </c>
      <c r="R156" s="5">
        <f>IF(ROW()&lt;=8,"",SUM(INDEX(Daily_Input!$I:$I,ROW()-6):INDEX(Daily_Input!$I:$I,ROW())))</f>
        <v>0</v>
      </c>
      <c r="S156" s="5">
        <f>IF(ROW()&lt;=15,"",SUM(INDEX(Daily_Input!$I:$I,ROW()-13):INDEX(Daily_Input!$I:$I,ROW())))</f>
        <v>47.599999999999994</v>
      </c>
      <c r="T156" s="5">
        <f>IF(ROW()&lt;=4,"",AVERAGE(INDEX(Daily_Input!$F:$F,ROW()-2):INDEX(Daily_Input!$F:$F,ROW())))</f>
        <v>236029.38517821103</v>
      </c>
      <c r="U156" s="5">
        <f>IF(ROW()&lt;=2+0,"",INDEX(Daily_Input!$G:$G,ROW()-1))</f>
        <v>0</v>
      </c>
      <c r="V156" s="5">
        <f>IF(ROW()&lt;=2+0,"",INDEX(Daily_Input!$H:$H,ROW()-1))</f>
        <v>236252.95740000001</v>
      </c>
      <c r="W156" s="5">
        <f>IF(ROW()&lt;=2+1,"",INDEX(Daily_Input!$G:$G,ROW()-2))</f>
        <v>0</v>
      </c>
      <c r="X156" s="5">
        <f>IF(ROW()&lt;=2+1,"",INDEX(Daily_Input!$H:$H,ROW()-2))</f>
        <v>243890.5024</v>
      </c>
      <c r="Y156" s="5">
        <f>IF(ROW()&lt;=2+2,"",INDEX(Daily_Input!$G:$G,ROW()-3))</f>
        <v>0</v>
      </c>
      <c r="Z156" s="5">
        <f>IF(ROW()&lt;=2+2,"",INDEX(Daily_Input!$H:$H,ROW()-3))</f>
        <v>254613.15059999999</v>
      </c>
      <c r="AA156" s="5">
        <f>Daily_Input!N156</f>
        <v>0</v>
      </c>
      <c r="AB156" s="5">
        <f>Daily_Input!O156</f>
        <v>0.26</v>
      </c>
      <c r="AC156" s="5">
        <f>Daily_Input!P156</f>
        <v>0</v>
      </c>
      <c r="AD156" s="5">
        <f t="shared" si="7"/>
        <v>0.26</v>
      </c>
      <c r="AE156" s="5">
        <f t="shared" si="8"/>
        <v>0.26</v>
      </c>
      <c r="AF156" s="5">
        <f>IF(A156="","",IFERROR(INDEX(Daily_Input!$F:$F,ROW()+1),""))</f>
        <v>221736.01499944241</v>
      </c>
      <c r="AG156" s="5">
        <f>IF(A156="","",IFERROR(INDEX(Daily_Input!$F:$F,ROW()+2),""))</f>
        <v>209256.1982606207</v>
      </c>
      <c r="AH156" s="5">
        <f>IF(A156="","",IFERROR(INDEX(Daily_Input!$F:$F,ROW()+3),""))</f>
        <v>204367.78662952065</v>
      </c>
    </row>
    <row r="157" spans="1:34">
      <c r="A157" s="5">
        <f>Daily_Input!A157</f>
        <v>45994</v>
      </c>
      <c r="B157" s="5">
        <f>Daily_Input!F157</f>
        <v>221736.01499944241</v>
      </c>
      <c r="C157" s="5">
        <f>Daily_Input!D157</f>
        <v>489.67099999999999</v>
      </c>
      <c r="D157" s="5">
        <f>Daily_Input!E157</f>
        <v>1664741.6725647999</v>
      </c>
      <c r="E157" s="5" cm="1">
        <f t="array" ref="E157">IF(ROW()=2,"",INDEX(Daily_Input!$E:$E,ROW())-INDEX(Daily_Input!$E:$E,ROW()-1))</f>
        <v>0</v>
      </c>
      <c r="F157" s="5">
        <f>IFERROR(Daily_Input!E157/Config!$B$4,"")</f>
        <v>1.0241641275156992</v>
      </c>
      <c r="G157" s="5">
        <f>Daily_Input!I157</f>
        <v>0</v>
      </c>
      <c r="H157" s="5">
        <f>IF(A157="","",IF(ROW()=2,G157,Config!$B$5*H156+G157))</f>
        <v>78.491665018199598</v>
      </c>
      <c r="I157" s="5">
        <f t="shared" si="6"/>
        <v>337</v>
      </c>
      <c r="J157" s="5">
        <f>IF(I157="","",SIN(2*PI()*I157/Config!$B$6))</f>
        <v>-0.46355027090285122</v>
      </c>
      <c r="K157" s="5">
        <f>IF(I157="","",COS(2*PI()*I157/Config!$B$6))</f>
        <v>0.88607062153413785</v>
      </c>
      <c r="L157" s="5">
        <f>IF(ROW()&lt;=2+0,"",INDEX(Daily_Input!$F:$F,ROW()-1))</f>
        <v>228969.81399944241</v>
      </c>
      <c r="M157" s="5">
        <f>IF(ROW()&lt;=2+1,"",INDEX(Daily_Input!$F:$F,ROW()-2))</f>
        <v>234203.99536424226</v>
      </c>
      <c r="N157" s="5">
        <f>IF(ROW()&lt;=2+2,"",INDEX(Daily_Input!$F:$F,ROW()-3))</f>
        <v>244914.34617094841</v>
      </c>
      <c r="O157" s="5">
        <f>IF(ROW()&lt;=2+6,"",INDEX(Daily_Input!$F:$F,ROW()-7))</f>
        <v>310615.11739972571</v>
      </c>
      <c r="P157" s="5">
        <f>IF(ROW()&lt;=2+13,"",INDEX(Daily_Input!$F:$F,ROW()-14))</f>
        <v>957422.96408633795</v>
      </c>
      <c r="Q157" s="5">
        <f>IF(ROW()&lt;=4,"",SUM(INDEX(Daily_Input!$I:$I,ROW()-2):INDEX(Daily_Input!$I:$I,ROW())))</f>
        <v>0</v>
      </c>
      <c r="R157" s="5">
        <f>IF(ROW()&lt;=8,"",SUM(INDEX(Daily_Input!$I:$I,ROW()-6):INDEX(Daily_Input!$I:$I,ROW())))</f>
        <v>0</v>
      </c>
      <c r="S157" s="5">
        <f>IF(ROW()&lt;=15,"",SUM(INDEX(Daily_Input!$I:$I,ROW()-13):INDEX(Daily_Input!$I:$I,ROW())))</f>
        <v>16.399999999999999</v>
      </c>
      <c r="T157" s="5">
        <f>IF(ROW()&lt;=4,"",AVERAGE(INDEX(Daily_Input!$F:$F,ROW()-2):INDEX(Daily_Input!$F:$F,ROW())))</f>
        <v>228303.27478770903</v>
      </c>
      <c r="U157" s="5">
        <f>IF(ROW()&lt;=2+0,"",INDEX(Daily_Input!$G:$G,ROW()-1))</f>
        <v>0</v>
      </c>
      <c r="V157" s="5">
        <f>IF(ROW()&lt;=2+0,"",INDEX(Daily_Input!$H:$H,ROW()-1))</f>
        <v>227983.61859999999</v>
      </c>
      <c r="W157" s="5">
        <f>IF(ROW()&lt;=2+1,"",INDEX(Daily_Input!$G:$G,ROW()-2))</f>
        <v>0</v>
      </c>
      <c r="X157" s="5">
        <f>IF(ROW()&lt;=2+1,"",INDEX(Daily_Input!$H:$H,ROW()-2))</f>
        <v>236252.95740000001</v>
      </c>
      <c r="Y157" s="5">
        <f>IF(ROW()&lt;=2+2,"",INDEX(Daily_Input!$G:$G,ROW()-3))</f>
        <v>0</v>
      </c>
      <c r="Z157" s="5">
        <f>IF(ROW()&lt;=2+2,"",INDEX(Daily_Input!$H:$H,ROW()-3))</f>
        <v>243890.5024</v>
      </c>
      <c r="AA157" s="5">
        <f>Daily_Input!N157</f>
        <v>0.26</v>
      </c>
      <c r="AB157" s="5">
        <f>Daily_Input!O157</f>
        <v>0</v>
      </c>
      <c r="AC157" s="5">
        <f>Daily_Input!P157</f>
        <v>0</v>
      </c>
      <c r="AD157" s="5">
        <f t="shared" si="7"/>
        <v>0.26</v>
      </c>
      <c r="AE157" s="5">
        <f t="shared" si="8"/>
        <v>0.26</v>
      </c>
      <c r="AF157" s="5">
        <f>IF(A157="","",IFERROR(INDEX(Daily_Input!$F:$F,ROW()+1),""))</f>
        <v>209256.1982606207</v>
      </c>
      <c r="AG157" s="5">
        <f>IF(A157="","",IFERROR(INDEX(Daily_Input!$F:$F,ROW()+2),""))</f>
        <v>204367.78662952065</v>
      </c>
      <c r="AH157" s="5">
        <f>IF(A157="","",IFERROR(INDEX(Daily_Input!$F:$F,ROW()+3),""))</f>
        <v>195214.23592952066</v>
      </c>
    </row>
    <row r="158" spans="1:34">
      <c r="A158" s="5">
        <f>Daily_Input!A158</f>
        <v>45995</v>
      </c>
      <c r="B158" s="5">
        <f>Daily_Input!F158</f>
        <v>209256.1982606207</v>
      </c>
      <c r="C158" s="5">
        <f>Daily_Input!D158</f>
        <v>489.66399999999999</v>
      </c>
      <c r="D158" s="5">
        <f>Daily_Input!E158</f>
        <v>1661708.0167959</v>
      </c>
      <c r="E158" s="5" cm="1">
        <f t="array" ref="E158">IF(ROW()=2,"",INDEX(Daily_Input!$E:$E,ROW())-INDEX(Daily_Input!$E:$E,ROW()-1))</f>
        <v>-3033.6557688999455</v>
      </c>
      <c r="F158" s="5">
        <f>IFERROR(Daily_Input!E158/Config!$B$4,"")</f>
        <v>1.0222977950600747</v>
      </c>
      <c r="G158" s="5">
        <f>Daily_Input!I158</f>
        <v>0</v>
      </c>
      <c r="H158" s="5">
        <f>IF(A158="","",IF(ROW()=2,G158,Config!$B$5*H157+G158))</f>
        <v>74.567081767289608</v>
      </c>
      <c r="I158" s="5">
        <f t="shared" si="6"/>
        <v>338</v>
      </c>
      <c r="J158" s="5">
        <f>IF(I158="","",SIN(2*PI()*I158/Config!$B$6))</f>
        <v>-0.44822934174041063</v>
      </c>
      <c r="K158" s="5">
        <f>IF(I158="","",COS(2*PI()*I158/Config!$B$6))</f>
        <v>0.89391859651925698</v>
      </c>
      <c r="L158" s="5">
        <f>IF(ROW()&lt;=2+0,"",INDEX(Daily_Input!$F:$F,ROW()-1))</f>
        <v>221736.01499944241</v>
      </c>
      <c r="M158" s="5">
        <f>IF(ROW()&lt;=2+1,"",INDEX(Daily_Input!$F:$F,ROW()-2))</f>
        <v>228969.81399944241</v>
      </c>
      <c r="N158" s="5">
        <f>IF(ROW()&lt;=2+2,"",INDEX(Daily_Input!$F:$F,ROW()-3))</f>
        <v>234203.99536424226</v>
      </c>
      <c r="O158" s="5">
        <f>IF(ROW()&lt;=2+6,"",INDEX(Daily_Input!$F:$F,ROW()-7))</f>
        <v>288864.69826402166</v>
      </c>
      <c r="P158" s="5">
        <f>IF(ROW()&lt;=2+13,"",INDEX(Daily_Input!$F:$F,ROW()-14))</f>
        <v>893123.02810431598</v>
      </c>
      <c r="Q158" s="5">
        <f>IF(ROW()&lt;=4,"",SUM(INDEX(Daily_Input!$I:$I,ROW()-2):INDEX(Daily_Input!$I:$I,ROW())))</f>
        <v>0</v>
      </c>
      <c r="R158" s="5">
        <f>IF(ROW()&lt;=8,"",SUM(INDEX(Daily_Input!$I:$I,ROW()-6):INDEX(Daily_Input!$I:$I,ROW())))</f>
        <v>0</v>
      </c>
      <c r="S158" s="5">
        <f>IF(ROW()&lt;=15,"",SUM(INDEX(Daily_Input!$I:$I,ROW()-13):INDEX(Daily_Input!$I:$I,ROW())))</f>
        <v>0</v>
      </c>
      <c r="T158" s="5">
        <f>IF(ROW()&lt;=4,"",AVERAGE(INDEX(Daily_Input!$F:$F,ROW()-2):INDEX(Daily_Input!$F:$F,ROW())))</f>
        <v>219987.34241983519</v>
      </c>
      <c r="U158" s="5">
        <f>IF(ROW()&lt;=2+0,"",INDEX(Daily_Input!$G:$G,ROW()-1))</f>
        <v>0</v>
      </c>
      <c r="V158" s="5">
        <f>IF(ROW()&lt;=2+0,"",INDEX(Daily_Input!$H:$H,ROW()-1))</f>
        <v>220749.81959999999</v>
      </c>
      <c r="W158" s="5">
        <f>IF(ROW()&lt;=2+1,"",INDEX(Daily_Input!$G:$G,ROW()-2))</f>
        <v>0</v>
      </c>
      <c r="X158" s="5">
        <f>IF(ROW()&lt;=2+1,"",INDEX(Daily_Input!$H:$H,ROW()-2))</f>
        <v>227983.61859999999</v>
      </c>
      <c r="Y158" s="5">
        <f>IF(ROW()&lt;=2+2,"",INDEX(Daily_Input!$G:$G,ROW()-3))</f>
        <v>0</v>
      </c>
      <c r="Z158" s="5">
        <f>IF(ROW()&lt;=2+2,"",INDEX(Daily_Input!$H:$H,ROW()-3))</f>
        <v>236252.95740000001</v>
      </c>
      <c r="AA158" s="5">
        <f>Daily_Input!N158</f>
        <v>0</v>
      </c>
      <c r="AB158" s="5">
        <f>Daily_Input!O158</f>
        <v>0</v>
      </c>
      <c r="AC158" s="5">
        <f>Daily_Input!P158</f>
        <v>0</v>
      </c>
      <c r="AD158" s="5">
        <f t="shared" si="7"/>
        <v>0</v>
      </c>
      <c r="AE158" s="5">
        <f t="shared" si="8"/>
        <v>0</v>
      </c>
      <c r="AF158" s="5">
        <f>IF(A158="","",IFERROR(INDEX(Daily_Input!$F:$F,ROW()+1),""))</f>
        <v>204367.78662952065</v>
      </c>
      <c r="AG158" s="5">
        <f>IF(A158="","",IFERROR(INDEX(Daily_Input!$F:$F,ROW()+2),""))</f>
        <v>195214.23592952066</v>
      </c>
      <c r="AH158" s="5">
        <f>IF(A158="","",IFERROR(INDEX(Daily_Input!$F:$F,ROW()+3),""))</f>
        <v>178996.50787327875</v>
      </c>
    </row>
    <row r="159" spans="1:34">
      <c r="A159" s="5">
        <f>Daily_Input!A159</f>
        <v>45996</v>
      </c>
      <c r="B159" s="5">
        <f>Daily_Input!F159</f>
        <v>204367.78662952065</v>
      </c>
      <c r="C159" s="5">
        <f>Daily_Input!D159</f>
        <v>489.66399999999999</v>
      </c>
      <c r="D159" s="5">
        <f>Daily_Input!E159</f>
        <v>1661708.0167959</v>
      </c>
      <c r="E159" s="5" cm="1">
        <f t="array" ref="E159">IF(ROW()=2,"",INDEX(Daily_Input!$E:$E,ROW())-INDEX(Daily_Input!$E:$E,ROW()-1))</f>
        <v>0</v>
      </c>
      <c r="F159" s="5">
        <f>IFERROR(Daily_Input!E159/Config!$B$4,"")</f>
        <v>1.0222977950600747</v>
      </c>
      <c r="G159" s="5">
        <f>Daily_Input!I159</f>
        <v>0</v>
      </c>
      <c r="H159" s="5">
        <f>IF(A159="","",IF(ROW()=2,G159,Config!$B$5*H158+G159))</f>
        <v>70.838727678925125</v>
      </c>
      <c r="I159" s="5">
        <f t="shared" si="6"/>
        <v>339</v>
      </c>
      <c r="J159" s="5">
        <f>IF(I159="","",SIN(2*PI()*I159/Config!$B$6))</f>
        <v>-0.43277559255043169</v>
      </c>
      <c r="K159" s="5">
        <f>IF(I159="","",COS(2*PI()*I159/Config!$B$6))</f>
        <v>0.90150168413188381</v>
      </c>
      <c r="L159" s="5">
        <f>IF(ROW()&lt;=2+0,"",INDEX(Daily_Input!$F:$F,ROW()-1))</f>
        <v>209256.1982606207</v>
      </c>
      <c r="M159" s="5">
        <f>IF(ROW()&lt;=2+1,"",INDEX(Daily_Input!$F:$F,ROW()-2))</f>
        <v>221736.01499944241</v>
      </c>
      <c r="N159" s="5">
        <f>IF(ROW()&lt;=2+2,"",INDEX(Daily_Input!$F:$F,ROW()-3))</f>
        <v>228969.81399944241</v>
      </c>
      <c r="O159" s="5">
        <f>IF(ROW()&lt;=2+6,"",INDEX(Daily_Input!$F:$F,ROW()-7))</f>
        <v>272042.76256662153</v>
      </c>
      <c r="P159" s="5">
        <f>IF(ROW()&lt;=2+13,"",INDEX(Daily_Input!$F:$F,ROW()-14))</f>
        <v>612855.68405975844</v>
      </c>
      <c r="Q159" s="5">
        <f>IF(ROW()&lt;=4,"",SUM(INDEX(Daily_Input!$I:$I,ROW()-2):INDEX(Daily_Input!$I:$I,ROW())))</f>
        <v>0</v>
      </c>
      <c r="R159" s="5">
        <f>IF(ROW()&lt;=8,"",SUM(INDEX(Daily_Input!$I:$I,ROW()-6):INDEX(Daily_Input!$I:$I,ROW())))</f>
        <v>0</v>
      </c>
      <c r="S159" s="5">
        <f>IF(ROW()&lt;=15,"",SUM(INDEX(Daily_Input!$I:$I,ROW()-13):INDEX(Daily_Input!$I:$I,ROW())))</f>
        <v>0</v>
      </c>
      <c r="T159" s="5">
        <f>IF(ROW()&lt;=4,"",AVERAGE(INDEX(Daily_Input!$F:$F,ROW()-2):INDEX(Daily_Input!$F:$F,ROW())))</f>
        <v>211786.66662986125</v>
      </c>
      <c r="U159" s="5">
        <f>IF(ROW()&lt;=2+0,"",INDEX(Daily_Input!$G:$G,ROW()-1))</f>
        <v>0</v>
      </c>
      <c r="V159" s="5">
        <f>IF(ROW()&lt;=2+0,"",INDEX(Daily_Input!$H:$H,ROW()-1))</f>
        <v>211304.1551</v>
      </c>
      <c r="W159" s="5">
        <f>IF(ROW()&lt;=2+1,"",INDEX(Daily_Input!$G:$G,ROW()-2))</f>
        <v>0</v>
      </c>
      <c r="X159" s="5">
        <f>IF(ROW()&lt;=2+1,"",INDEX(Daily_Input!$H:$H,ROW()-2))</f>
        <v>220749.81959999999</v>
      </c>
      <c r="Y159" s="5">
        <f>IF(ROW()&lt;=2+2,"",INDEX(Daily_Input!$G:$G,ROW()-3))</f>
        <v>0</v>
      </c>
      <c r="Z159" s="5">
        <f>IF(ROW()&lt;=2+2,"",INDEX(Daily_Input!$H:$H,ROW()-3))</f>
        <v>227983.61859999999</v>
      </c>
      <c r="AA159" s="5">
        <f>Daily_Input!N159</f>
        <v>0</v>
      </c>
      <c r="AB159" s="5">
        <f>Daily_Input!O159</f>
        <v>0</v>
      </c>
      <c r="AC159" s="5">
        <f>Daily_Input!P159</f>
        <v>0</v>
      </c>
      <c r="AD159" s="5">
        <f t="shared" si="7"/>
        <v>0</v>
      </c>
      <c r="AE159" s="5">
        <f t="shared" si="8"/>
        <v>0</v>
      </c>
      <c r="AF159" s="5">
        <f>IF(A159="","",IFERROR(INDEX(Daily_Input!$F:$F,ROW()+1),""))</f>
        <v>195214.23592952066</v>
      </c>
      <c r="AG159" s="5">
        <f>IF(A159="","",IFERROR(INDEX(Daily_Input!$F:$F,ROW()+2),""))</f>
        <v>178996.50787327875</v>
      </c>
      <c r="AH159" s="5">
        <f>IF(A159="","",IFERROR(INDEX(Daily_Input!$F:$F,ROW()+3),""))</f>
        <v>176209.41962247877</v>
      </c>
    </row>
    <row r="160" spans="1:34">
      <c r="A160" s="5">
        <f>Daily_Input!A160</f>
        <v>45997</v>
      </c>
      <c r="B160" s="5">
        <f>Daily_Input!F160</f>
        <v>195214.23592952066</v>
      </c>
      <c r="C160" s="5">
        <f>Daily_Input!D160</f>
        <v>489.66399999999999</v>
      </c>
      <c r="D160" s="5">
        <f>Daily_Input!E160</f>
        <v>1661708.0167959</v>
      </c>
      <c r="E160" s="5" cm="1">
        <f t="array" ref="E160">IF(ROW()=2,"",INDEX(Daily_Input!$E:$E,ROW())-INDEX(Daily_Input!$E:$E,ROW()-1))</f>
        <v>0</v>
      </c>
      <c r="F160" s="5">
        <f>IFERROR(Daily_Input!E160/Config!$B$4,"")</f>
        <v>1.0222977950600747</v>
      </c>
      <c r="G160" s="5">
        <f>Daily_Input!I160</f>
        <v>0</v>
      </c>
      <c r="H160" s="5">
        <f>IF(A160="","",IF(ROW()=2,G160,Config!$B$5*H159+G160))</f>
        <v>67.29679129497886</v>
      </c>
      <c r="I160" s="5">
        <f t="shared" si="6"/>
        <v>340</v>
      </c>
      <c r="J160" s="5">
        <f>IF(I160="","",SIN(2*PI()*I160/Config!$B$6))</f>
        <v>-0.41719360261231697</v>
      </c>
      <c r="K160" s="5">
        <f>IF(I160="","",COS(2*PI()*I160/Config!$B$6))</f>
        <v>0.90881763733950283</v>
      </c>
      <c r="L160" s="5">
        <f>IF(ROW()&lt;=2+0,"",INDEX(Daily_Input!$F:$F,ROW()-1))</f>
        <v>204367.78662952065</v>
      </c>
      <c r="M160" s="5">
        <f>IF(ROW()&lt;=2+1,"",INDEX(Daily_Input!$F:$F,ROW()-2))</f>
        <v>209256.1982606207</v>
      </c>
      <c r="N160" s="5">
        <f>IF(ROW()&lt;=2+2,"",INDEX(Daily_Input!$F:$F,ROW()-3))</f>
        <v>221736.01499944241</v>
      </c>
      <c r="O160" s="5">
        <f>IF(ROW()&lt;=2+6,"",INDEX(Daily_Input!$F:$F,ROW()-7))</f>
        <v>252600.3418681483</v>
      </c>
      <c r="P160" s="5">
        <f>IF(ROW()&lt;=2+13,"",INDEX(Daily_Input!$F:$F,ROW()-14))</f>
        <v>490683.84776837972</v>
      </c>
      <c r="Q160" s="5">
        <f>IF(ROW()&lt;=4,"",SUM(INDEX(Daily_Input!$I:$I,ROW()-2):INDEX(Daily_Input!$I:$I,ROW())))</f>
        <v>0</v>
      </c>
      <c r="R160" s="5">
        <f>IF(ROW()&lt;=8,"",SUM(INDEX(Daily_Input!$I:$I,ROW()-6):INDEX(Daily_Input!$I:$I,ROW())))</f>
        <v>0</v>
      </c>
      <c r="S160" s="5">
        <f>IF(ROW()&lt;=15,"",SUM(INDEX(Daily_Input!$I:$I,ROW()-13):INDEX(Daily_Input!$I:$I,ROW())))</f>
        <v>0</v>
      </c>
      <c r="T160" s="5">
        <f>IF(ROW()&lt;=4,"",AVERAGE(INDEX(Daily_Input!$F:$F,ROW()-2):INDEX(Daily_Input!$F:$F,ROW())))</f>
        <v>202946.07360655398</v>
      </c>
      <c r="U160" s="5">
        <f>IF(ROW()&lt;=2+0,"",INDEX(Daily_Input!$G:$G,ROW()-1))</f>
        <v>0</v>
      </c>
      <c r="V160" s="5">
        <f>IF(ROW()&lt;=2+0,"",INDEX(Daily_Input!$H:$H,ROW()-1))</f>
        <v>203382.0877</v>
      </c>
      <c r="W160" s="5">
        <f>IF(ROW()&lt;=2+1,"",INDEX(Daily_Input!$G:$G,ROW()-2))</f>
        <v>0</v>
      </c>
      <c r="X160" s="5">
        <f>IF(ROW()&lt;=2+1,"",INDEX(Daily_Input!$H:$H,ROW()-2))</f>
        <v>211304.1551</v>
      </c>
      <c r="Y160" s="5">
        <f>IF(ROW()&lt;=2+2,"",INDEX(Daily_Input!$G:$G,ROW()-3))</f>
        <v>0</v>
      </c>
      <c r="Z160" s="5">
        <f>IF(ROW()&lt;=2+2,"",INDEX(Daily_Input!$H:$H,ROW()-3))</f>
        <v>220749.81959999999</v>
      </c>
      <c r="AA160" s="5">
        <f>Daily_Input!N160</f>
        <v>0</v>
      </c>
      <c r="AB160" s="5">
        <f>Daily_Input!O160</f>
        <v>0</v>
      </c>
      <c r="AC160" s="5">
        <f>Daily_Input!P160</f>
        <v>0</v>
      </c>
      <c r="AD160" s="5">
        <f t="shared" si="7"/>
        <v>0</v>
      </c>
      <c r="AE160" s="5">
        <f t="shared" si="8"/>
        <v>0</v>
      </c>
      <c r="AF160" s="5">
        <f>IF(A160="","",IFERROR(INDEX(Daily_Input!$F:$F,ROW()+1),""))</f>
        <v>178996.50787327875</v>
      </c>
      <c r="AG160" s="5">
        <f>IF(A160="","",IFERROR(INDEX(Daily_Input!$F:$F,ROW()+2),""))</f>
        <v>176209.41962247877</v>
      </c>
      <c r="AH160" s="5">
        <f>IF(A160="","",IFERROR(INDEX(Daily_Input!$F:$F,ROW()+3),""))</f>
        <v>163832.40842247877</v>
      </c>
    </row>
    <row r="161" spans="1:34">
      <c r="A161" s="5">
        <f>Daily_Input!A161</f>
        <v>45998</v>
      </c>
      <c r="B161" s="5">
        <f>Daily_Input!F161</f>
        <v>178996.50787327875</v>
      </c>
      <c r="C161" s="5">
        <f>Daily_Input!D161</f>
        <v>489.65697999999998</v>
      </c>
      <c r="D161" s="5">
        <f>Daily_Input!E161</f>
        <v>1658675.7961466999</v>
      </c>
      <c r="E161" s="5" cm="1">
        <f t="array" ref="E161">IF(ROW()=2,"",INDEX(Daily_Input!$E:$E,ROW())-INDEX(Daily_Input!$E:$E,ROW()-1))</f>
        <v>-3032.2206492000259</v>
      </c>
      <c r="F161" s="5">
        <f>IFERROR(Daily_Input!E161/Config!$B$4,"")</f>
        <v>1.0204323455030642</v>
      </c>
      <c r="G161" s="5">
        <f>Daily_Input!I161</f>
        <v>0</v>
      </c>
      <c r="H161" s="5">
        <f>IF(A161="","",IF(ROW()=2,G161,Config!$B$5*H160+G161))</f>
        <v>63.931951730229912</v>
      </c>
      <c r="I161" s="5">
        <f t="shared" si="6"/>
        <v>341</v>
      </c>
      <c r="J161" s="5">
        <f>IF(I161="","",SIN(2*PI()*I161/Config!$B$6))</f>
        <v>-0.40148798920597373</v>
      </c>
      <c r="K161" s="5">
        <f>IF(I161="","",COS(2*PI()*I161/Config!$B$6))</f>
        <v>0.91586428826728683</v>
      </c>
      <c r="L161" s="5">
        <f>IF(ROW()&lt;=2+0,"",INDEX(Daily_Input!$F:$F,ROW()-1))</f>
        <v>195214.23592952066</v>
      </c>
      <c r="M161" s="5">
        <f>IF(ROW()&lt;=2+1,"",INDEX(Daily_Input!$F:$F,ROW()-2))</f>
        <v>204367.78662952065</v>
      </c>
      <c r="N161" s="5">
        <f>IF(ROW()&lt;=2+2,"",INDEX(Daily_Input!$F:$F,ROW()-3))</f>
        <v>209256.1982606207</v>
      </c>
      <c r="O161" s="5">
        <f>IF(ROW()&lt;=2+6,"",INDEX(Daily_Input!$F:$F,ROW()-7))</f>
        <v>244914.34617094841</v>
      </c>
      <c r="P161" s="5">
        <f>IF(ROW()&lt;=2+13,"",INDEX(Daily_Input!$F:$F,ROW()-14))</f>
        <v>433718.86956598249</v>
      </c>
      <c r="Q161" s="5">
        <f>IF(ROW()&lt;=4,"",SUM(INDEX(Daily_Input!$I:$I,ROW()-2):INDEX(Daily_Input!$I:$I,ROW())))</f>
        <v>0</v>
      </c>
      <c r="R161" s="5">
        <f>IF(ROW()&lt;=8,"",SUM(INDEX(Daily_Input!$I:$I,ROW()-6):INDEX(Daily_Input!$I:$I,ROW())))</f>
        <v>0</v>
      </c>
      <c r="S161" s="5">
        <f>IF(ROW()&lt;=15,"",SUM(INDEX(Daily_Input!$I:$I,ROW()-13):INDEX(Daily_Input!$I:$I,ROW())))</f>
        <v>0</v>
      </c>
      <c r="T161" s="5">
        <f>IF(ROW()&lt;=4,"",AVERAGE(INDEX(Daily_Input!$F:$F,ROW()-2):INDEX(Daily_Input!$F:$F,ROW())))</f>
        <v>192859.51014410667</v>
      </c>
      <c r="U161" s="5">
        <f>IF(ROW()&lt;=2+0,"",INDEX(Daily_Input!$G:$G,ROW()-1))</f>
        <v>0</v>
      </c>
      <c r="V161" s="5">
        <f>IF(ROW()&lt;=2+0,"",INDEX(Daily_Input!$H:$H,ROW()-1))</f>
        <v>194228.53700000001</v>
      </c>
      <c r="W161" s="5">
        <f>IF(ROW()&lt;=2+1,"",INDEX(Daily_Input!$G:$G,ROW()-2))</f>
        <v>0</v>
      </c>
      <c r="X161" s="5">
        <f>IF(ROW()&lt;=2+1,"",INDEX(Daily_Input!$H:$H,ROW()-2))</f>
        <v>203382.0877</v>
      </c>
      <c r="Y161" s="5">
        <f>IF(ROW()&lt;=2+2,"",INDEX(Daily_Input!$G:$G,ROW()-3))</f>
        <v>0</v>
      </c>
      <c r="Z161" s="5">
        <f>IF(ROW()&lt;=2+2,"",INDEX(Daily_Input!$H:$H,ROW()-3))</f>
        <v>211304.1551</v>
      </c>
      <c r="AA161" s="5">
        <f>Daily_Input!N161</f>
        <v>0</v>
      </c>
      <c r="AB161" s="5">
        <f>Daily_Input!O161</f>
        <v>0</v>
      </c>
      <c r="AC161" s="5">
        <f>Daily_Input!P161</f>
        <v>0</v>
      </c>
      <c r="AD161" s="5">
        <f t="shared" si="7"/>
        <v>0</v>
      </c>
      <c r="AE161" s="5">
        <f t="shared" si="8"/>
        <v>0</v>
      </c>
      <c r="AF161" s="5">
        <f>IF(A161="","",IFERROR(INDEX(Daily_Input!$F:$F,ROW()+1),""))</f>
        <v>176209.41962247877</v>
      </c>
      <c r="AG161" s="5">
        <f>IF(A161="","",IFERROR(INDEX(Daily_Input!$F:$F,ROW()+2),""))</f>
        <v>163832.40842247877</v>
      </c>
      <c r="AH161" s="5">
        <f>IF(A161="","",IFERROR(INDEX(Daily_Input!$F:$F,ROW()+3),""))</f>
        <v>157267.65214386521</v>
      </c>
    </row>
    <row r="162" spans="1:34">
      <c r="A162" s="5">
        <f>Daily_Input!A162</f>
        <v>45999</v>
      </c>
      <c r="B162" s="5">
        <f>Daily_Input!F162</f>
        <v>176209.41962247877</v>
      </c>
      <c r="C162" s="5">
        <f>Daily_Input!D162</f>
        <v>489.65697999999998</v>
      </c>
      <c r="D162" s="5">
        <f>Daily_Input!E162</f>
        <v>1658675.7961466999</v>
      </c>
      <c r="E162" s="5" cm="1">
        <f t="array" ref="E162">IF(ROW()=2,"",INDEX(Daily_Input!$E:$E,ROW())-INDEX(Daily_Input!$E:$E,ROW()-1))</f>
        <v>0</v>
      </c>
      <c r="F162" s="5">
        <f>IFERROR(Daily_Input!E162/Config!$B$4,"")</f>
        <v>1.0204323455030642</v>
      </c>
      <c r="G162" s="5">
        <f>Daily_Input!I162</f>
        <v>0</v>
      </c>
      <c r="H162" s="5">
        <f>IF(A162="","",IF(ROW()=2,G162,Config!$B$5*H161+G162))</f>
        <v>60.735354143718411</v>
      </c>
      <c r="I162" s="5">
        <f t="shared" si="6"/>
        <v>342</v>
      </c>
      <c r="J162" s="5">
        <f>IF(I162="","",SIN(2*PI()*I162/Config!$B$6))</f>
        <v>-0.38566340624360745</v>
      </c>
      <c r="K162" s="5">
        <f>IF(I162="","",COS(2*PI()*I162/Config!$B$6))</f>
        <v>0.92263954884048749</v>
      </c>
      <c r="L162" s="5">
        <f>IF(ROW()&lt;=2+0,"",INDEX(Daily_Input!$F:$F,ROW()-1))</f>
        <v>178996.50787327875</v>
      </c>
      <c r="M162" s="5">
        <f>IF(ROW()&lt;=2+1,"",INDEX(Daily_Input!$F:$F,ROW()-2))</f>
        <v>195214.23592952066</v>
      </c>
      <c r="N162" s="5">
        <f>IF(ROW()&lt;=2+2,"",INDEX(Daily_Input!$F:$F,ROW()-3))</f>
        <v>204367.78662952065</v>
      </c>
      <c r="O162" s="5">
        <f>IF(ROW()&lt;=2+6,"",INDEX(Daily_Input!$F:$F,ROW()-7))</f>
        <v>234203.99536424226</v>
      </c>
      <c r="P162" s="5">
        <f>IF(ROW()&lt;=2+13,"",INDEX(Daily_Input!$F:$F,ROW()-14))</f>
        <v>379498.75290643546</v>
      </c>
      <c r="Q162" s="5">
        <f>IF(ROW()&lt;=4,"",SUM(INDEX(Daily_Input!$I:$I,ROW()-2):INDEX(Daily_Input!$I:$I,ROW())))</f>
        <v>0</v>
      </c>
      <c r="R162" s="5">
        <f>IF(ROW()&lt;=8,"",SUM(INDEX(Daily_Input!$I:$I,ROW()-6):INDEX(Daily_Input!$I:$I,ROW())))</f>
        <v>0</v>
      </c>
      <c r="S162" s="5">
        <f>IF(ROW()&lt;=15,"",SUM(INDEX(Daily_Input!$I:$I,ROW()-13):INDEX(Daily_Input!$I:$I,ROW())))</f>
        <v>0</v>
      </c>
      <c r="T162" s="5">
        <f>IF(ROW()&lt;=4,"",AVERAGE(INDEX(Daily_Input!$F:$F,ROW()-2):INDEX(Daily_Input!$F:$F,ROW())))</f>
        <v>183473.38780842605</v>
      </c>
      <c r="U162" s="5">
        <f>IF(ROW()&lt;=2+0,"",INDEX(Daily_Input!$G:$G,ROW()-1))</f>
        <v>0</v>
      </c>
      <c r="V162" s="5">
        <f>IF(ROW()&lt;=2+0,"",INDEX(Daily_Input!$H:$H,ROW()-1))</f>
        <v>181043.52470000001</v>
      </c>
      <c r="W162" s="5">
        <f>IF(ROW()&lt;=2+1,"",INDEX(Daily_Input!$G:$G,ROW()-2))</f>
        <v>0</v>
      </c>
      <c r="X162" s="5">
        <f>IF(ROW()&lt;=2+1,"",INDEX(Daily_Input!$H:$H,ROW()-2))</f>
        <v>194228.53700000001</v>
      </c>
      <c r="Y162" s="5">
        <f>IF(ROW()&lt;=2+2,"",INDEX(Daily_Input!$G:$G,ROW()-3))</f>
        <v>0</v>
      </c>
      <c r="Z162" s="5">
        <f>IF(ROW()&lt;=2+2,"",INDEX(Daily_Input!$H:$H,ROW()-3))</f>
        <v>203382.0877</v>
      </c>
      <c r="AA162" s="5">
        <f>Daily_Input!N162</f>
        <v>0</v>
      </c>
      <c r="AB162" s="5">
        <f>Daily_Input!O162</f>
        <v>0</v>
      </c>
      <c r="AC162" s="5">
        <f>Daily_Input!P162</f>
        <v>0</v>
      </c>
      <c r="AD162" s="5">
        <f t="shared" si="7"/>
        <v>0</v>
      </c>
      <c r="AE162" s="5">
        <f t="shared" si="8"/>
        <v>0</v>
      </c>
      <c r="AF162" s="5">
        <f>IF(A162="","",IFERROR(INDEX(Daily_Input!$F:$F,ROW()+1),""))</f>
        <v>163832.40842247877</v>
      </c>
      <c r="AG162" s="5">
        <f>IF(A162="","",IFERROR(INDEX(Daily_Input!$F:$F,ROW()+2),""))</f>
        <v>157267.65214386521</v>
      </c>
      <c r="AH162" s="5">
        <f>IF(A162="","",IFERROR(INDEX(Daily_Input!$F:$F,ROW()+3),""))</f>
        <v>145062.07728889663</v>
      </c>
    </row>
    <row r="163" spans="1:34">
      <c r="A163" s="5">
        <f>Daily_Input!A163</f>
        <v>46000</v>
      </c>
      <c r="B163" s="5">
        <f>Daily_Input!F163</f>
        <v>163832.40842247877</v>
      </c>
      <c r="C163" s="5">
        <f>Daily_Input!D163</f>
        <v>489.65100000000001</v>
      </c>
      <c r="D163" s="5">
        <f>Daily_Input!E163</f>
        <v>1658675.7961466999</v>
      </c>
      <c r="E163" s="5" cm="1">
        <f t="array" ref="E163">IF(ROW()=2,"",INDEX(Daily_Input!$E:$E,ROW())-INDEX(Daily_Input!$E:$E,ROW()-1))</f>
        <v>0</v>
      </c>
      <c r="F163" s="5">
        <f>IFERROR(Daily_Input!E163/Config!$B$4,"")</f>
        <v>1.0204323455030642</v>
      </c>
      <c r="G163" s="5">
        <f>Daily_Input!I163</f>
        <v>0</v>
      </c>
      <c r="H163" s="5">
        <f>IF(A163="","",IF(ROW()=2,G163,Config!$B$5*H162+G163))</f>
        <v>57.698586436532487</v>
      </c>
      <c r="I163" s="5">
        <f t="shared" si="6"/>
        <v>343</v>
      </c>
      <c r="J163" s="5">
        <f>IF(I163="","",SIN(2*PI()*I163/Config!$B$6))</f>
        <v>-0.36972454289067319</v>
      </c>
      <c r="K163" s="5">
        <f>IF(I163="","",COS(2*PI()*I163/Config!$B$6))</f>
        <v>0.9291414114031743</v>
      </c>
      <c r="L163" s="5">
        <f>IF(ROW()&lt;=2+0,"",INDEX(Daily_Input!$F:$F,ROW()-1))</f>
        <v>176209.41962247877</v>
      </c>
      <c r="M163" s="5">
        <f>IF(ROW()&lt;=2+1,"",INDEX(Daily_Input!$F:$F,ROW()-2))</f>
        <v>178996.50787327875</v>
      </c>
      <c r="N163" s="5">
        <f>IF(ROW()&lt;=2+2,"",INDEX(Daily_Input!$F:$F,ROW()-3))</f>
        <v>195214.23592952066</v>
      </c>
      <c r="O163" s="5">
        <f>IF(ROW()&lt;=2+6,"",INDEX(Daily_Input!$F:$F,ROW()-7))</f>
        <v>228969.81399944241</v>
      </c>
      <c r="P163" s="5">
        <f>IF(ROW()&lt;=2+13,"",INDEX(Daily_Input!$F:$F,ROW()-14))</f>
        <v>345857.69810574956</v>
      </c>
      <c r="Q163" s="5">
        <f>IF(ROW()&lt;=4,"",SUM(INDEX(Daily_Input!$I:$I,ROW()-2):INDEX(Daily_Input!$I:$I,ROW())))</f>
        <v>0</v>
      </c>
      <c r="R163" s="5">
        <f>IF(ROW()&lt;=8,"",SUM(INDEX(Daily_Input!$I:$I,ROW()-6):INDEX(Daily_Input!$I:$I,ROW())))</f>
        <v>0</v>
      </c>
      <c r="S163" s="5">
        <f>IF(ROW()&lt;=15,"",SUM(INDEX(Daily_Input!$I:$I,ROW()-13):INDEX(Daily_Input!$I:$I,ROW())))</f>
        <v>0</v>
      </c>
      <c r="T163" s="5">
        <f>IF(ROW()&lt;=4,"",AVERAGE(INDEX(Daily_Input!$F:$F,ROW()-2):INDEX(Daily_Input!$F:$F,ROW())))</f>
        <v>173012.77863941211</v>
      </c>
      <c r="U163" s="5">
        <f>IF(ROW()&lt;=2+0,"",INDEX(Daily_Input!$G:$G,ROW()-1))</f>
        <v>0</v>
      </c>
      <c r="V163" s="5">
        <f>IF(ROW()&lt;=2+0,"",INDEX(Daily_Input!$H:$H,ROW()-1))</f>
        <v>175224.21580000001</v>
      </c>
      <c r="W163" s="5">
        <f>IF(ROW()&lt;=2+1,"",INDEX(Daily_Input!$G:$G,ROW()-2))</f>
        <v>0</v>
      </c>
      <c r="X163" s="5">
        <f>IF(ROW()&lt;=2+1,"",INDEX(Daily_Input!$H:$H,ROW()-2))</f>
        <v>181043.52470000001</v>
      </c>
      <c r="Y163" s="5">
        <f>IF(ROW()&lt;=2+2,"",INDEX(Daily_Input!$G:$G,ROW()-3))</f>
        <v>0</v>
      </c>
      <c r="Z163" s="5">
        <f>IF(ROW()&lt;=2+2,"",INDEX(Daily_Input!$H:$H,ROW()-3))</f>
        <v>194228.53700000001</v>
      </c>
      <c r="AA163" s="5">
        <f>Daily_Input!N163</f>
        <v>0</v>
      </c>
      <c r="AB163" s="5">
        <f>Daily_Input!O163</f>
        <v>0</v>
      </c>
      <c r="AC163" s="5">
        <f>Daily_Input!P163</f>
        <v>2.641</v>
      </c>
      <c r="AD163" s="5">
        <f t="shared" si="7"/>
        <v>2.641</v>
      </c>
      <c r="AE163" s="5">
        <f t="shared" si="8"/>
        <v>2.641</v>
      </c>
      <c r="AF163" s="5">
        <f>IF(A163="","",IFERROR(INDEX(Daily_Input!$F:$F,ROW()+1),""))</f>
        <v>157267.65214386521</v>
      </c>
      <c r="AG163" s="5">
        <f>IF(A163="","",IFERROR(INDEX(Daily_Input!$F:$F,ROW()+2),""))</f>
        <v>145062.07728889663</v>
      </c>
      <c r="AH163" s="5">
        <f>IF(A163="","",IFERROR(INDEX(Daily_Input!$F:$F,ROW()+3),""))</f>
        <v>161541.79408427881</v>
      </c>
    </row>
    <row r="164" spans="1:34">
      <c r="A164" s="5">
        <f>Daily_Input!A164</f>
        <v>46001</v>
      </c>
      <c r="B164" s="5">
        <f>Daily_Input!F164</f>
        <v>157267.65214386521</v>
      </c>
      <c r="C164" s="5">
        <f>Daily_Input!D164</f>
        <v>489.64499999999998</v>
      </c>
      <c r="D164" s="5">
        <f>Daily_Input!E164</f>
        <v>1655645.1614623</v>
      </c>
      <c r="E164" s="5" cm="1">
        <f t="array" ref="E164">IF(ROW()=2,"",INDEX(Daily_Input!$E:$E,ROW())-INDEX(Daily_Input!$E:$E,ROW()-1))</f>
        <v>-3030.6346843999345</v>
      </c>
      <c r="F164" s="5">
        <f>IFERROR(Daily_Input!E164/Config!$B$4,"")</f>
        <v>1.018567871645937</v>
      </c>
      <c r="G164" s="5">
        <f>Daily_Input!I164</f>
        <v>0</v>
      </c>
      <c r="H164" s="5">
        <f>IF(A164="","",IF(ROW()=2,G164,Config!$B$5*H163+G164))</f>
        <v>54.813657114705862</v>
      </c>
      <c r="I164" s="5">
        <f t="shared" si="6"/>
        <v>344</v>
      </c>
      <c r="J164" s="5">
        <f>IF(I164="","",SIN(2*PI()*I164/Config!$B$6))</f>
        <v>-0.35367612217637207</v>
      </c>
      <c r="K164" s="5">
        <f>IF(I164="","",COS(2*PI()*I164/Config!$B$6))</f>
        <v>0.93536794931314804</v>
      </c>
      <c r="L164" s="5">
        <f>IF(ROW()&lt;=2+0,"",INDEX(Daily_Input!$F:$F,ROW()-1))</f>
        <v>163832.40842247877</v>
      </c>
      <c r="M164" s="5">
        <f>IF(ROW()&lt;=2+1,"",INDEX(Daily_Input!$F:$F,ROW()-2))</f>
        <v>176209.41962247877</v>
      </c>
      <c r="N164" s="5">
        <f>IF(ROW()&lt;=2+2,"",INDEX(Daily_Input!$F:$F,ROW()-3))</f>
        <v>178996.50787327875</v>
      </c>
      <c r="O164" s="5">
        <f>IF(ROW()&lt;=2+6,"",INDEX(Daily_Input!$F:$F,ROW()-7))</f>
        <v>221736.01499944241</v>
      </c>
      <c r="P164" s="5">
        <f>IF(ROW()&lt;=2+13,"",INDEX(Daily_Input!$F:$F,ROW()-14))</f>
        <v>310615.11739972571</v>
      </c>
      <c r="Q164" s="5">
        <f>IF(ROW()&lt;=4,"",SUM(INDEX(Daily_Input!$I:$I,ROW()-2):INDEX(Daily_Input!$I:$I,ROW())))</f>
        <v>0</v>
      </c>
      <c r="R164" s="5">
        <f>IF(ROW()&lt;=8,"",SUM(INDEX(Daily_Input!$I:$I,ROW()-6):INDEX(Daily_Input!$I:$I,ROW())))</f>
        <v>0</v>
      </c>
      <c r="S164" s="5">
        <f>IF(ROW()&lt;=15,"",SUM(INDEX(Daily_Input!$I:$I,ROW()-13):INDEX(Daily_Input!$I:$I,ROW())))</f>
        <v>0</v>
      </c>
      <c r="T164" s="5">
        <f>IF(ROW()&lt;=4,"",AVERAGE(INDEX(Daily_Input!$F:$F,ROW()-2):INDEX(Daily_Input!$F:$F,ROW())))</f>
        <v>165769.82672960756</v>
      </c>
      <c r="U164" s="5">
        <f>IF(ROW()&lt;=2+0,"",INDEX(Daily_Input!$G:$G,ROW()-1))</f>
        <v>0</v>
      </c>
      <c r="V164" s="5">
        <f>IF(ROW()&lt;=2+0,"",INDEX(Daily_Input!$H:$H,ROW()-1))</f>
        <v>162847.2046</v>
      </c>
      <c r="W164" s="5">
        <f>IF(ROW()&lt;=2+1,"",INDEX(Daily_Input!$G:$G,ROW()-2))</f>
        <v>0</v>
      </c>
      <c r="X164" s="5">
        <f>IF(ROW()&lt;=2+1,"",INDEX(Daily_Input!$H:$H,ROW()-2))</f>
        <v>175224.21580000001</v>
      </c>
      <c r="Y164" s="5">
        <f>IF(ROW()&lt;=2+2,"",INDEX(Daily_Input!$G:$G,ROW()-3))</f>
        <v>0</v>
      </c>
      <c r="Z164" s="5">
        <f>IF(ROW()&lt;=2+2,"",INDEX(Daily_Input!$H:$H,ROW()-3))</f>
        <v>181043.52470000001</v>
      </c>
      <c r="AA164" s="5">
        <f>Daily_Input!N164</f>
        <v>0</v>
      </c>
      <c r="AB164" s="5">
        <f>Daily_Input!O164</f>
        <v>2.641</v>
      </c>
      <c r="AC164" s="5">
        <f>Daily_Input!P164</f>
        <v>4.2939999999999996</v>
      </c>
      <c r="AD164" s="5">
        <f t="shared" si="7"/>
        <v>6.9349999999999996</v>
      </c>
      <c r="AE164" s="5">
        <f t="shared" si="8"/>
        <v>4.2939999999999996</v>
      </c>
      <c r="AF164" s="5">
        <f>IF(A164="","",IFERROR(INDEX(Daily_Input!$F:$F,ROW()+1),""))</f>
        <v>145062.07728889663</v>
      </c>
      <c r="AG164" s="5">
        <f>IF(A164="","",IFERROR(INDEX(Daily_Input!$F:$F,ROW()+2),""))</f>
        <v>161541.79408427881</v>
      </c>
      <c r="AH164" s="5">
        <f>IF(A164="","",IFERROR(INDEX(Daily_Input!$F:$F,ROW()+3),""))</f>
        <v>143688.1908044967</v>
      </c>
    </row>
    <row r="165" spans="1:34">
      <c r="A165" s="5">
        <f>Daily_Input!A165</f>
        <v>46002</v>
      </c>
      <c r="B165" s="5">
        <f>Daily_Input!F165</f>
        <v>145062.07728889663</v>
      </c>
      <c r="C165" s="5">
        <f>Daily_Input!D165</f>
        <v>489.63799999999998</v>
      </c>
      <c r="D165" s="5">
        <f>Daily_Input!E165</f>
        <v>1652616.0060848999</v>
      </c>
      <c r="E165" s="5" cm="1">
        <f t="array" ref="E165">IF(ROW()=2,"",INDEX(Daily_Input!$E:$E,ROW())-INDEX(Daily_Input!$E:$E,ROW()-1))</f>
        <v>-3029.1553774001077</v>
      </c>
      <c r="F165" s="5">
        <f>IFERROR(Daily_Input!E165/Config!$B$4,"")</f>
        <v>1.0167043078718501</v>
      </c>
      <c r="G165" s="5">
        <f>Daily_Input!I165</f>
        <v>0</v>
      </c>
      <c r="H165" s="5">
        <f>IF(A165="","",IF(ROW()=2,G165,Config!$B$5*H164+G165))</f>
        <v>52.072974258970568</v>
      </c>
      <c r="I165" s="5">
        <f t="shared" si="6"/>
        <v>345</v>
      </c>
      <c r="J165" s="5">
        <f>IF(I165="","",SIN(2*PI()*I165/Config!$B$6))</f>
        <v>-0.33752289959411347</v>
      </c>
      <c r="K165" s="5">
        <f>IF(I165="","",COS(2*PI()*I165/Config!$B$6))</f>
        <v>0.94131731751284697</v>
      </c>
      <c r="L165" s="5">
        <f>IF(ROW()&lt;=2+0,"",INDEX(Daily_Input!$F:$F,ROW()-1))</f>
        <v>157267.65214386521</v>
      </c>
      <c r="M165" s="5">
        <f>IF(ROW()&lt;=2+1,"",INDEX(Daily_Input!$F:$F,ROW()-2))</f>
        <v>163832.40842247877</v>
      </c>
      <c r="N165" s="5">
        <f>IF(ROW()&lt;=2+2,"",INDEX(Daily_Input!$F:$F,ROW()-3))</f>
        <v>176209.41962247877</v>
      </c>
      <c r="O165" s="5">
        <f>IF(ROW()&lt;=2+6,"",INDEX(Daily_Input!$F:$F,ROW()-7))</f>
        <v>209256.1982606207</v>
      </c>
      <c r="P165" s="5">
        <f>IF(ROW()&lt;=2+13,"",INDEX(Daily_Input!$F:$F,ROW()-14))</f>
        <v>288864.69826402166</v>
      </c>
      <c r="Q165" s="5">
        <f>IF(ROW()&lt;=4,"",SUM(INDEX(Daily_Input!$I:$I,ROW()-2):INDEX(Daily_Input!$I:$I,ROW())))</f>
        <v>0</v>
      </c>
      <c r="R165" s="5">
        <f>IF(ROW()&lt;=8,"",SUM(INDEX(Daily_Input!$I:$I,ROW()-6):INDEX(Daily_Input!$I:$I,ROW())))</f>
        <v>0</v>
      </c>
      <c r="S165" s="5">
        <f>IF(ROW()&lt;=15,"",SUM(INDEX(Daily_Input!$I:$I,ROW()-13):INDEX(Daily_Input!$I:$I,ROW())))</f>
        <v>0</v>
      </c>
      <c r="T165" s="5">
        <f>IF(ROW()&lt;=4,"",AVERAGE(INDEX(Daily_Input!$F:$F,ROW()-2):INDEX(Daily_Input!$F:$F,ROW())))</f>
        <v>155387.37928508021</v>
      </c>
      <c r="U165" s="5">
        <f>IF(ROW()&lt;=2+0,"",INDEX(Daily_Input!$G:$G,ROW()-1))</f>
        <v>0</v>
      </c>
      <c r="V165" s="5">
        <f>IF(ROW()&lt;=2+0,"",INDEX(Daily_Input!$H:$H,ROW()-1))</f>
        <v>159313.5778</v>
      </c>
      <c r="W165" s="5">
        <f>IF(ROW()&lt;=2+1,"",INDEX(Daily_Input!$G:$G,ROW()-2))</f>
        <v>0</v>
      </c>
      <c r="X165" s="5">
        <f>IF(ROW()&lt;=2+1,"",INDEX(Daily_Input!$H:$H,ROW()-2))</f>
        <v>162847.2046</v>
      </c>
      <c r="Y165" s="5">
        <f>IF(ROW()&lt;=2+2,"",INDEX(Daily_Input!$G:$G,ROW()-3))</f>
        <v>0</v>
      </c>
      <c r="Z165" s="5">
        <f>IF(ROW()&lt;=2+2,"",INDEX(Daily_Input!$H:$H,ROW()-3))</f>
        <v>175224.21580000001</v>
      </c>
      <c r="AA165" s="5">
        <f>Daily_Input!N165</f>
        <v>2.641</v>
      </c>
      <c r="AB165" s="5">
        <f>Daily_Input!O165</f>
        <v>4.2939999999999996</v>
      </c>
      <c r="AC165" s="5">
        <f>Daily_Input!P165</f>
        <v>0.38</v>
      </c>
      <c r="AD165" s="5">
        <f t="shared" si="7"/>
        <v>7.3149999999999995</v>
      </c>
      <c r="AE165" s="5">
        <f t="shared" si="8"/>
        <v>4.2939999999999996</v>
      </c>
      <c r="AF165" s="5">
        <f>IF(A165="","",IFERROR(INDEX(Daily_Input!$F:$F,ROW()+1),""))</f>
        <v>161541.79408427881</v>
      </c>
      <c r="AG165" s="5">
        <f>IF(A165="","",IFERROR(INDEX(Daily_Input!$F:$F,ROW()+2),""))</f>
        <v>143688.1908044967</v>
      </c>
      <c r="AH165" s="5">
        <f>IF(A165="","",IFERROR(INDEX(Daily_Input!$F:$F,ROW()+3),""))</f>
        <v>152568.33660566524</v>
      </c>
    </row>
    <row r="166" spans="1:34">
      <c r="A166" s="5">
        <f>Daily_Input!A166</f>
        <v>46003</v>
      </c>
      <c r="B166" s="5">
        <f>Daily_Input!F166</f>
        <v>161541.79408427881</v>
      </c>
      <c r="C166" s="5">
        <f>Daily_Input!D166</f>
        <v>489.65100000000001</v>
      </c>
      <c r="D166" s="5">
        <f>Daily_Input!E166</f>
        <v>1658675.7961466999</v>
      </c>
      <c r="E166" s="5" cm="1">
        <f t="array" ref="E166">IF(ROW()=2,"",INDEX(Daily_Input!$E:$E,ROW())-INDEX(Daily_Input!$E:$E,ROW()-1))</f>
        <v>6059.7900618000422</v>
      </c>
      <c r="F166" s="5">
        <f>IFERROR(Daily_Input!E166/Config!$B$4,"")</f>
        <v>1.0204323455030642</v>
      </c>
      <c r="G166" s="5">
        <f>Daily_Input!I166</f>
        <v>0</v>
      </c>
      <c r="H166" s="5">
        <f>IF(A166="","",IF(ROW()=2,G166,Config!$B$5*H165+G166))</f>
        <v>49.469325546022034</v>
      </c>
      <c r="I166" s="5">
        <f t="shared" si="6"/>
        <v>346</v>
      </c>
      <c r="J166" s="5">
        <f>IF(I166="","",SIN(2*PI()*I166/Config!$B$6))</f>
        <v>-0.32126966169236515</v>
      </c>
      <c r="K166" s="5">
        <f>IF(I166="","",COS(2*PI()*I166/Config!$B$6))</f>
        <v>0.94698775307607508</v>
      </c>
      <c r="L166" s="5">
        <f>IF(ROW()&lt;=2+0,"",INDEX(Daily_Input!$F:$F,ROW()-1))</f>
        <v>145062.07728889663</v>
      </c>
      <c r="M166" s="5">
        <f>IF(ROW()&lt;=2+1,"",INDEX(Daily_Input!$F:$F,ROW()-2))</f>
        <v>157267.65214386521</v>
      </c>
      <c r="N166" s="5">
        <f>IF(ROW()&lt;=2+2,"",INDEX(Daily_Input!$F:$F,ROW()-3))</f>
        <v>163832.40842247877</v>
      </c>
      <c r="O166" s="5">
        <f>IF(ROW()&lt;=2+6,"",INDEX(Daily_Input!$F:$F,ROW()-7))</f>
        <v>204367.78662952065</v>
      </c>
      <c r="P166" s="5">
        <f>IF(ROW()&lt;=2+13,"",INDEX(Daily_Input!$F:$F,ROW()-14))</f>
        <v>272042.76256662153</v>
      </c>
      <c r="Q166" s="5">
        <f>IF(ROW()&lt;=4,"",SUM(INDEX(Daily_Input!$I:$I,ROW()-2):INDEX(Daily_Input!$I:$I,ROW())))</f>
        <v>0</v>
      </c>
      <c r="R166" s="5">
        <f>IF(ROW()&lt;=8,"",SUM(INDEX(Daily_Input!$I:$I,ROW()-6):INDEX(Daily_Input!$I:$I,ROW())))</f>
        <v>0</v>
      </c>
      <c r="S166" s="5">
        <f>IF(ROW()&lt;=15,"",SUM(INDEX(Daily_Input!$I:$I,ROW()-13):INDEX(Daily_Input!$I:$I,ROW())))</f>
        <v>0</v>
      </c>
      <c r="T166" s="5">
        <f>IF(ROW()&lt;=4,"",AVERAGE(INDEX(Daily_Input!$F:$F,ROW()-2):INDEX(Daily_Input!$F:$F,ROW())))</f>
        <v>154623.84117234687</v>
      </c>
      <c r="U166" s="5">
        <f>IF(ROW()&lt;=2+0,"",INDEX(Daily_Input!$G:$G,ROW()-1))</f>
        <v>0</v>
      </c>
      <c r="V166" s="5">
        <f>IF(ROW()&lt;=2+0,"",INDEX(Daily_Input!$H:$H,ROW()-1))</f>
        <v>147107.0209</v>
      </c>
      <c r="W166" s="5">
        <f>IF(ROW()&lt;=2+1,"",INDEX(Daily_Input!$G:$G,ROW()-2))</f>
        <v>0</v>
      </c>
      <c r="X166" s="5">
        <f>IF(ROW()&lt;=2+1,"",INDEX(Daily_Input!$H:$H,ROW()-2))</f>
        <v>159313.5778</v>
      </c>
      <c r="Y166" s="5">
        <f>IF(ROW()&lt;=2+2,"",INDEX(Daily_Input!$G:$G,ROW()-3))</f>
        <v>0</v>
      </c>
      <c r="Z166" s="5">
        <f>IF(ROW()&lt;=2+2,"",INDEX(Daily_Input!$H:$H,ROW()-3))</f>
        <v>162847.2046</v>
      </c>
      <c r="AA166" s="5">
        <f>Daily_Input!N166</f>
        <v>4.2939999999999996</v>
      </c>
      <c r="AB166" s="5">
        <f>Daily_Input!O166</f>
        <v>0.38</v>
      </c>
      <c r="AC166" s="5">
        <f>Daily_Input!P166</f>
        <v>0.36299999999999999</v>
      </c>
      <c r="AD166" s="5">
        <f t="shared" si="7"/>
        <v>5.036999999999999</v>
      </c>
      <c r="AE166" s="5">
        <f t="shared" si="8"/>
        <v>4.2939999999999996</v>
      </c>
      <c r="AF166" s="5">
        <f>IF(A166="","",IFERROR(INDEX(Daily_Input!$F:$F,ROW()+1),""))</f>
        <v>143688.1908044967</v>
      </c>
      <c r="AG166" s="5">
        <f>IF(A166="","",IFERROR(INDEX(Daily_Input!$F:$F,ROW()+2),""))</f>
        <v>152568.33660566524</v>
      </c>
      <c r="AH166" s="5">
        <f>IF(A166="","",IFERROR(INDEX(Daily_Input!$F:$F,ROW()+3),""))</f>
        <v>147995.95882826514</v>
      </c>
    </row>
    <row r="167" spans="1:34">
      <c r="A167" s="5">
        <f>Daily_Input!A167</f>
        <v>46004</v>
      </c>
      <c r="B167" s="5">
        <f>Daily_Input!F167</f>
        <v>143688.1908044967</v>
      </c>
      <c r="C167" s="5">
        <f>Daily_Input!D167</f>
        <v>489.63799999999998</v>
      </c>
      <c r="D167" s="5">
        <f>Daily_Input!E167</f>
        <v>1652616.0060848999</v>
      </c>
      <c r="E167" s="5" cm="1">
        <f t="array" ref="E167">IF(ROW()=2,"",INDEX(Daily_Input!$E:$E,ROW())-INDEX(Daily_Input!$E:$E,ROW()-1))</f>
        <v>-6059.7900618000422</v>
      </c>
      <c r="F167" s="5">
        <f>IFERROR(Daily_Input!E167/Config!$B$4,"")</f>
        <v>1.0167043078718501</v>
      </c>
      <c r="G167" s="5">
        <f>Daily_Input!I167</f>
        <v>0</v>
      </c>
      <c r="H167" s="5">
        <f>IF(A167="","",IF(ROW()=2,G167,Config!$B$5*H166+G167))</f>
        <v>46.995859268720928</v>
      </c>
      <c r="I167" s="5">
        <f t="shared" si="6"/>
        <v>347</v>
      </c>
      <c r="J167" s="5">
        <f>IF(I167="","",SIN(2*PI()*I167/Config!$B$6))</f>
        <v>-0.3049212246562894</v>
      </c>
      <c r="K167" s="5">
        <f>IF(I167="","",COS(2*PI()*I167/Config!$B$6))</f>
        <v>0.95237757573039727</v>
      </c>
      <c r="L167" s="5">
        <f>IF(ROW()&lt;=2+0,"",INDEX(Daily_Input!$F:$F,ROW()-1))</f>
        <v>161541.79408427881</v>
      </c>
      <c r="M167" s="5">
        <f>IF(ROW()&lt;=2+1,"",INDEX(Daily_Input!$F:$F,ROW()-2))</f>
        <v>145062.07728889663</v>
      </c>
      <c r="N167" s="5">
        <f>IF(ROW()&lt;=2+2,"",INDEX(Daily_Input!$F:$F,ROW()-3))</f>
        <v>157267.65214386521</v>
      </c>
      <c r="O167" s="5">
        <f>IF(ROW()&lt;=2+6,"",INDEX(Daily_Input!$F:$F,ROW()-7))</f>
        <v>195214.23592952066</v>
      </c>
      <c r="P167" s="5">
        <f>IF(ROW()&lt;=2+13,"",INDEX(Daily_Input!$F:$F,ROW()-14))</f>
        <v>252600.3418681483</v>
      </c>
      <c r="Q167" s="5">
        <f>IF(ROW()&lt;=4,"",SUM(INDEX(Daily_Input!$I:$I,ROW()-2):INDEX(Daily_Input!$I:$I,ROW())))</f>
        <v>0</v>
      </c>
      <c r="R167" s="5">
        <f>IF(ROW()&lt;=8,"",SUM(INDEX(Daily_Input!$I:$I,ROW()-6):INDEX(Daily_Input!$I:$I,ROW())))</f>
        <v>0</v>
      </c>
      <c r="S167" s="5">
        <f>IF(ROW()&lt;=15,"",SUM(INDEX(Daily_Input!$I:$I,ROW()-13):INDEX(Daily_Input!$I:$I,ROW())))</f>
        <v>0</v>
      </c>
      <c r="T167" s="5">
        <f>IF(ROW()&lt;=4,"",AVERAGE(INDEX(Daily_Input!$F:$F,ROW()-2):INDEX(Daily_Input!$F:$F,ROW())))</f>
        <v>150097.35405922405</v>
      </c>
      <c r="U167" s="5">
        <f>IF(ROW()&lt;=2+0,"",INDEX(Daily_Input!$G:$G,ROW()-1))</f>
        <v>0</v>
      </c>
      <c r="V167" s="5">
        <f>IF(ROW()&lt;=2+0,"",INDEX(Daily_Input!$H:$H,ROW()-1))</f>
        <v>154496.8002</v>
      </c>
      <c r="W167" s="5">
        <f>IF(ROW()&lt;=2+1,"",INDEX(Daily_Input!$G:$G,ROW()-2))</f>
        <v>0</v>
      </c>
      <c r="X167" s="5">
        <f>IF(ROW()&lt;=2+1,"",INDEX(Daily_Input!$H:$H,ROW()-2))</f>
        <v>147107.0209</v>
      </c>
      <c r="Y167" s="5">
        <f>IF(ROW()&lt;=2+2,"",INDEX(Daily_Input!$G:$G,ROW()-3))</f>
        <v>0</v>
      </c>
      <c r="Z167" s="5">
        <f>IF(ROW()&lt;=2+2,"",INDEX(Daily_Input!$H:$H,ROW()-3))</f>
        <v>159313.5778</v>
      </c>
      <c r="AA167" s="5">
        <f>Daily_Input!N167</f>
        <v>0.38</v>
      </c>
      <c r="AB167" s="5">
        <f>Daily_Input!O167</f>
        <v>0.36299999999999999</v>
      </c>
      <c r="AC167" s="5">
        <f>Daily_Input!P167</f>
        <v>0.76800000000000002</v>
      </c>
      <c r="AD167" s="5">
        <f t="shared" si="7"/>
        <v>1.5110000000000001</v>
      </c>
      <c r="AE167" s="5">
        <f t="shared" si="8"/>
        <v>0.76800000000000002</v>
      </c>
      <c r="AF167" s="5">
        <f>IF(A167="","",IFERROR(INDEX(Daily_Input!$F:$F,ROW()+1),""))</f>
        <v>152568.33660566524</v>
      </c>
      <c r="AG167" s="5">
        <f>IF(A167="","",IFERROR(INDEX(Daily_Input!$F:$F,ROW()+2),""))</f>
        <v>147995.95882826514</v>
      </c>
      <c r="AH167" s="5">
        <f>IF(A167="","",IFERROR(INDEX(Daily_Input!$F:$F,ROW()+3),""))</f>
        <v>134491.21018889663</v>
      </c>
    </row>
    <row r="168" spans="1:34">
      <c r="A168" s="5">
        <f>Daily_Input!A168</f>
        <v>46005</v>
      </c>
      <c r="B168" s="5">
        <f>Daily_Input!F168</f>
        <v>152568.33660566524</v>
      </c>
      <c r="C168" s="5">
        <f>Daily_Input!D168</f>
        <v>489.64400000000001</v>
      </c>
      <c r="D168" s="5">
        <f>Daily_Input!E168</f>
        <v>1655645.1614623</v>
      </c>
      <c r="E168" s="5" cm="1">
        <f t="array" ref="E168">IF(ROW()=2,"",INDEX(Daily_Input!$E:$E,ROW())-INDEX(Daily_Input!$E:$E,ROW()-1))</f>
        <v>3029.1553774001077</v>
      </c>
      <c r="F168" s="5">
        <f>IFERROR(Daily_Input!E168/Config!$B$4,"")</f>
        <v>1.018567871645937</v>
      </c>
      <c r="G168" s="5">
        <f>Daily_Input!I168</f>
        <v>0</v>
      </c>
      <c r="H168" s="5">
        <f>IF(A168="","",IF(ROW()=2,G168,Config!$B$5*H167+G168))</f>
        <v>44.646066305284876</v>
      </c>
      <c r="I168" s="5">
        <f t="shared" si="6"/>
        <v>348</v>
      </c>
      <c r="J168" s="5">
        <f>IF(I168="","",SIN(2*PI()*I168/Config!$B$6))</f>
        <v>-0.28848243288060982</v>
      </c>
      <c r="K168" s="5">
        <f>IF(I168="","",COS(2*PI()*I168/Config!$B$6))</f>
        <v>0.95748518835503893</v>
      </c>
      <c r="L168" s="5">
        <f>IF(ROW()&lt;=2+0,"",INDEX(Daily_Input!$F:$F,ROW()-1))</f>
        <v>143688.1908044967</v>
      </c>
      <c r="M168" s="5">
        <f>IF(ROW()&lt;=2+1,"",INDEX(Daily_Input!$F:$F,ROW()-2))</f>
        <v>161541.79408427881</v>
      </c>
      <c r="N168" s="5">
        <f>IF(ROW()&lt;=2+2,"",INDEX(Daily_Input!$F:$F,ROW()-3))</f>
        <v>145062.07728889663</v>
      </c>
      <c r="O168" s="5">
        <f>IF(ROW()&lt;=2+6,"",INDEX(Daily_Input!$F:$F,ROW()-7))</f>
        <v>178996.50787327875</v>
      </c>
      <c r="P168" s="5">
        <f>IF(ROW()&lt;=2+13,"",INDEX(Daily_Input!$F:$F,ROW()-14))</f>
        <v>244914.34617094841</v>
      </c>
      <c r="Q168" s="5">
        <f>IF(ROW()&lt;=4,"",SUM(INDEX(Daily_Input!$I:$I,ROW()-2):INDEX(Daily_Input!$I:$I,ROW())))</f>
        <v>0</v>
      </c>
      <c r="R168" s="5">
        <f>IF(ROW()&lt;=8,"",SUM(INDEX(Daily_Input!$I:$I,ROW()-6):INDEX(Daily_Input!$I:$I,ROW())))</f>
        <v>0</v>
      </c>
      <c r="S168" s="5">
        <f>IF(ROW()&lt;=15,"",SUM(INDEX(Daily_Input!$I:$I,ROW()-13):INDEX(Daily_Input!$I:$I,ROW())))</f>
        <v>0</v>
      </c>
      <c r="T168" s="5">
        <f>IF(ROW()&lt;=4,"",AVERAGE(INDEX(Daily_Input!$F:$F,ROW()-2):INDEX(Daily_Input!$F:$F,ROW())))</f>
        <v>152599.44049814693</v>
      </c>
      <c r="U168" s="5">
        <f>IF(ROW()&lt;=2+0,"",INDEX(Daily_Input!$G:$G,ROW()-1))</f>
        <v>0</v>
      </c>
      <c r="V168" s="5">
        <f>IF(ROW()&lt;=2+0,"",INDEX(Daily_Input!$H:$H,ROW()-1))</f>
        <v>148763.7691</v>
      </c>
      <c r="W168" s="5">
        <f>IF(ROW()&lt;=2+1,"",INDEX(Daily_Input!$G:$G,ROW()-2))</f>
        <v>0</v>
      </c>
      <c r="X168" s="5">
        <f>IF(ROW()&lt;=2+1,"",INDEX(Daily_Input!$H:$H,ROW()-2))</f>
        <v>154496.8002</v>
      </c>
      <c r="Y168" s="5">
        <f>IF(ROW()&lt;=2+2,"",INDEX(Daily_Input!$G:$G,ROW()-3))</f>
        <v>0</v>
      </c>
      <c r="Z168" s="5">
        <f>IF(ROW()&lt;=2+2,"",INDEX(Daily_Input!$H:$H,ROW()-3))</f>
        <v>147107.0209</v>
      </c>
      <c r="AA168" s="5">
        <f>Daily_Input!N168</f>
        <v>0.36299999999999999</v>
      </c>
      <c r="AB168" s="5">
        <f>Daily_Input!O168</f>
        <v>0.76800000000000002</v>
      </c>
      <c r="AC168" s="5">
        <f>Daily_Input!P168</f>
        <v>7.9000000000000001E-2</v>
      </c>
      <c r="AD168" s="5">
        <f t="shared" si="7"/>
        <v>1.21</v>
      </c>
      <c r="AE168" s="5">
        <f t="shared" si="8"/>
        <v>0.76800000000000002</v>
      </c>
      <c r="AF168" s="5">
        <f>IF(A168="","",IFERROR(INDEX(Daily_Input!$F:$F,ROW()+1),""))</f>
        <v>147995.95882826514</v>
      </c>
      <c r="AG168" s="5">
        <f>IF(A168="","",IFERROR(INDEX(Daily_Input!$F:$F,ROW()+2),""))</f>
        <v>134491.21018889663</v>
      </c>
      <c r="AH168" s="5">
        <f>IF(A168="","",IFERROR(INDEX(Daily_Input!$F:$F,ROW()+3),""))</f>
        <v>135923.13246629672</v>
      </c>
    </row>
    <row r="169" spans="1:34">
      <c r="A169" s="5">
        <f>Daily_Input!A169</f>
        <v>46006</v>
      </c>
      <c r="B169" s="5">
        <f>Daily_Input!F169</f>
        <v>147995.95882826514</v>
      </c>
      <c r="C169" s="5">
        <f>Daily_Input!D169</f>
        <v>489.64400000000001</v>
      </c>
      <c r="D169" s="5">
        <f>Daily_Input!E169</f>
        <v>1655645.1614623</v>
      </c>
      <c r="E169" s="5" cm="1">
        <f t="array" ref="E169">IF(ROW()=2,"",INDEX(Daily_Input!$E:$E,ROW())-INDEX(Daily_Input!$E:$E,ROW()-1))</f>
        <v>0</v>
      </c>
      <c r="F169" s="5">
        <f>IFERROR(Daily_Input!E169/Config!$B$4,"")</f>
        <v>1.018567871645937</v>
      </c>
      <c r="G169" s="5">
        <f>Daily_Input!I169</f>
        <v>0</v>
      </c>
      <c r="H169" s="5">
        <f>IF(A169="","",IF(ROW()=2,G169,Config!$B$5*H168+G169))</f>
        <v>42.413762990020629</v>
      </c>
      <c r="I169" s="5">
        <f t="shared" si="6"/>
        <v>349</v>
      </c>
      <c r="J169" s="5">
        <f>IF(I169="","",SIN(2*PI()*I169/Config!$B$6))</f>
        <v>-0.27195815753410524</v>
      </c>
      <c r="K169" s="5">
        <f>IF(I169="","",COS(2*PI()*I169/Config!$B$6))</f>
        <v>0.96230907745414873</v>
      </c>
      <c r="L169" s="5">
        <f>IF(ROW()&lt;=2+0,"",INDEX(Daily_Input!$F:$F,ROW()-1))</f>
        <v>152568.33660566524</v>
      </c>
      <c r="M169" s="5">
        <f>IF(ROW()&lt;=2+1,"",INDEX(Daily_Input!$F:$F,ROW()-2))</f>
        <v>143688.1908044967</v>
      </c>
      <c r="N169" s="5">
        <f>IF(ROW()&lt;=2+2,"",INDEX(Daily_Input!$F:$F,ROW()-3))</f>
        <v>161541.79408427881</v>
      </c>
      <c r="O169" s="5">
        <f>IF(ROW()&lt;=2+6,"",INDEX(Daily_Input!$F:$F,ROW()-7))</f>
        <v>176209.41962247877</v>
      </c>
      <c r="P169" s="5">
        <f>IF(ROW()&lt;=2+13,"",INDEX(Daily_Input!$F:$F,ROW()-14))</f>
        <v>234203.99536424226</v>
      </c>
      <c r="Q169" s="5">
        <f>IF(ROW()&lt;=4,"",SUM(INDEX(Daily_Input!$I:$I,ROW()-2):INDEX(Daily_Input!$I:$I,ROW())))</f>
        <v>0</v>
      </c>
      <c r="R169" s="5">
        <f>IF(ROW()&lt;=8,"",SUM(INDEX(Daily_Input!$I:$I,ROW()-6):INDEX(Daily_Input!$I:$I,ROW())))</f>
        <v>0</v>
      </c>
      <c r="S169" s="5">
        <f>IF(ROW()&lt;=15,"",SUM(INDEX(Daily_Input!$I:$I,ROW()-13):INDEX(Daily_Input!$I:$I,ROW())))</f>
        <v>0</v>
      </c>
      <c r="T169" s="5">
        <f>IF(ROW()&lt;=4,"",AVERAGE(INDEX(Daily_Input!$F:$F,ROW()-2):INDEX(Daily_Input!$F:$F,ROW())))</f>
        <v>148084.16207947567</v>
      </c>
      <c r="U169" s="5">
        <f>IF(ROW()&lt;=2+0,"",INDEX(Daily_Input!$G:$G,ROW()-1))</f>
        <v>0</v>
      </c>
      <c r="V169" s="5">
        <f>IF(ROW()&lt;=2+0,"",INDEX(Daily_Input!$H:$H,ROW()-1))</f>
        <v>148554.47219999999</v>
      </c>
      <c r="W169" s="5">
        <f>IF(ROW()&lt;=2+1,"",INDEX(Daily_Input!$G:$G,ROW()-2))</f>
        <v>0</v>
      </c>
      <c r="X169" s="5">
        <f>IF(ROW()&lt;=2+1,"",INDEX(Daily_Input!$H:$H,ROW()-2))</f>
        <v>148763.7691</v>
      </c>
      <c r="Y169" s="5">
        <f>IF(ROW()&lt;=2+2,"",INDEX(Daily_Input!$G:$G,ROW()-3))</f>
        <v>0</v>
      </c>
      <c r="Z169" s="5">
        <f>IF(ROW()&lt;=2+2,"",INDEX(Daily_Input!$H:$H,ROW()-3))</f>
        <v>154496.8002</v>
      </c>
      <c r="AA169" s="5">
        <f>Daily_Input!N169</f>
        <v>0.76800000000000002</v>
      </c>
      <c r="AB169" s="5">
        <f>Daily_Input!O169</f>
        <v>7.9000000000000001E-2</v>
      </c>
      <c r="AC169" s="5">
        <f>Daily_Input!P169</f>
        <v>0</v>
      </c>
      <c r="AD169" s="5">
        <f t="shared" si="7"/>
        <v>0.84699999999999998</v>
      </c>
      <c r="AE169" s="5">
        <f t="shared" si="8"/>
        <v>0.76800000000000002</v>
      </c>
      <c r="AF169" s="5">
        <f>IF(A169="","",IFERROR(INDEX(Daily_Input!$F:$F,ROW()+1),""))</f>
        <v>134491.21018889663</v>
      </c>
      <c r="AG169" s="5">
        <f>IF(A169="","",IFERROR(INDEX(Daily_Input!$F:$F,ROW()+2),""))</f>
        <v>135923.13246629672</v>
      </c>
      <c r="AH169" s="5">
        <f>IF(A169="","",IFERROR(INDEX(Daily_Input!$F:$F,ROW()+3),""))</f>
        <v>126557.10026629671</v>
      </c>
    </row>
    <row r="170" spans="1:34">
      <c r="A170" s="5">
        <f>Daily_Input!A170</f>
        <v>46007</v>
      </c>
      <c r="B170" s="5">
        <f>Daily_Input!F170</f>
        <v>134491.21018889663</v>
      </c>
      <c r="C170" s="5">
        <f>Daily_Input!D170</f>
        <v>489.63799999999998</v>
      </c>
      <c r="D170" s="5">
        <f>Daily_Input!E170</f>
        <v>1652616.0060848999</v>
      </c>
      <c r="E170" s="5" cm="1">
        <f t="array" ref="E170">IF(ROW()=2,"",INDEX(Daily_Input!$E:$E,ROW())-INDEX(Daily_Input!$E:$E,ROW()-1))</f>
        <v>-3029.1553774001077</v>
      </c>
      <c r="F170" s="5">
        <f>IFERROR(Daily_Input!E170/Config!$B$4,"")</f>
        <v>1.0167043078718501</v>
      </c>
      <c r="G170" s="5">
        <f>Daily_Input!I170</f>
        <v>0</v>
      </c>
      <c r="H170" s="5">
        <f>IF(A170="","",IF(ROW()=2,G170,Config!$B$5*H169+G170))</f>
        <v>40.293074840519594</v>
      </c>
      <c r="I170" s="5">
        <f t="shared" si="6"/>
        <v>350</v>
      </c>
      <c r="J170" s="5">
        <f>IF(I170="","",SIN(2*PI()*I170/Config!$B$6))</f>
        <v>-0.25535329511618809</v>
      </c>
      <c r="K170" s="5">
        <f>IF(I170="","",COS(2*PI()*I170/Config!$B$6))</f>
        <v>0.96684781360527727</v>
      </c>
      <c r="L170" s="5">
        <f>IF(ROW()&lt;=2+0,"",INDEX(Daily_Input!$F:$F,ROW()-1))</f>
        <v>147995.95882826514</v>
      </c>
      <c r="M170" s="5">
        <f>IF(ROW()&lt;=2+1,"",INDEX(Daily_Input!$F:$F,ROW()-2))</f>
        <v>152568.33660566524</v>
      </c>
      <c r="N170" s="5">
        <f>IF(ROW()&lt;=2+2,"",INDEX(Daily_Input!$F:$F,ROW()-3))</f>
        <v>143688.1908044967</v>
      </c>
      <c r="O170" s="5">
        <f>IF(ROW()&lt;=2+6,"",INDEX(Daily_Input!$F:$F,ROW()-7))</f>
        <v>163832.40842247877</v>
      </c>
      <c r="P170" s="5">
        <f>IF(ROW()&lt;=2+13,"",INDEX(Daily_Input!$F:$F,ROW()-14))</f>
        <v>228969.81399944241</v>
      </c>
      <c r="Q170" s="5">
        <f>IF(ROW()&lt;=4,"",SUM(INDEX(Daily_Input!$I:$I,ROW()-2):INDEX(Daily_Input!$I:$I,ROW())))</f>
        <v>0</v>
      </c>
      <c r="R170" s="5">
        <f>IF(ROW()&lt;=8,"",SUM(INDEX(Daily_Input!$I:$I,ROW()-6):INDEX(Daily_Input!$I:$I,ROW())))</f>
        <v>0</v>
      </c>
      <c r="S170" s="5">
        <f>IF(ROW()&lt;=15,"",SUM(INDEX(Daily_Input!$I:$I,ROW()-13):INDEX(Daily_Input!$I:$I,ROW())))</f>
        <v>0</v>
      </c>
      <c r="T170" s="5">
        <f>IF(ROW()&lt;=4,"",AVERAGE(INDEX(Daily_Input!$F:$F,ROW()-2):INDEX(Daily_Input!$F:$F,ROW())))</f>
        <v>145018.50187427565</v>
      </c>
      <c r="U170" s="5">
        <f>IF(ROW()&lt;=2+0,"",INDEX(Daily_Input!$G:$G,ROW()-1))</f>
        <v>0</v>
      </c>
      <c r="V170" s="5">
        <f>IF(ROW()&lt;=2+0,"",INDEX(Daily_Input!$H:$H,ROW()-1))</f>
        <v>147011.24979999999</v>
      </c>
      <c r="W170" s="5">
        <f>IF(ROW()&lt;=2+1,"",INDEX(Daily_Input!$G:$G,ROW()-2))</f>
        <v>0</v>
      </c>
      <c r="X170" s="5">
        <f>IF(ROW()&lt;=2+1,"",INDEX(Daily_Input!$H:$H,ROW()-2))</f>
        <v>148554.47219999999</v>
      </c>
      <c r="Y170" s="5">
        <f>IF(ROW()&lt;=2+2,"",INDEX(Daily_Input!$G:$G,ROW()-3))</f>
        <v>0</v>
      </c>
      <c r="Z170" s="5">
        <f>IF(ROW()&lt;=2+2,"",INDEX(Daily_Input!$H:$H,ROW()-3))</f>
        <v>148763.7691</v>
      </c>
      <c r="AA170" s="5">
        <f>Daily_Input!N170</f>
        <v>7.9000000000000001E-2</v>
      </c>
      <c r="AB170" s="5">
        <f>Daily_Input!O170</f>
        <v>0</v>
      </c>
      <c r="AC170" s="5">
        <f>Daily_Input!P170</f>
        <v>5.3979999999999997</v>
      </c>
      <c r="AD170" s="5">
        <f t="shared" si="7"/>
        <v>5.4769999999999994</v>
      </c>
      <c r="AE170" s="5">
        <f t="shared" si="8"/>
        <v>5.3979999999999997</v>
      </c>
      <c r="AF170" s="5">
        <f>IF(A170="","",IFERROR(INDEX(Daily_Input!$F:$F,ROW()+1),""))</f>
        <v>135923.13246629672</v>
      </c>
      <c r="AG170" s="5">
        <f>IF(A170="","",IFERROR(INDEX(Daily_Input!$F:$F,ROW()+2),""))</f>
        <v>126557.10026629671</v>
      </c>
      <c r="AH170" s="5">
        <f>IF(A170="","",IFERROR(INDEX(Daily_Input!$F:$F,ROW()+3),""))</f>
        <v>115580.61307334204</v>
      </c>
    </row>
    <row r="171" spans="1:34">
      <c r="A171" s="5">
        <f>Daily_Input!A171</f>
        <v>46008</v>
      </c>
      <c r="B171" s="5">
        <f>Daily_Input!F171</f>
        <v>135923.13246629672</v>
      </c>
      <c r="C171" s="5">
        <f>Daily_Input!D171</f>
        <v>489.63799999999998</v>
      </c>
      <c r="D171" s="5">
        <f>Daily_Input!E171</f>
        <v>1652616.0060848999</v>
      </c>
      <c r="E171" s="5" cm="1">
        <f t="array" ref="E171">IF(ROW()=2,"",INDEX(Daily_Input!$E:$E,ROW())-INDEX(Daily_Input!$E:$E,ROW()-1))</f>
        <v>0</v>
      </c>
      <c r="F171" s="5">
        <f>IFERROR(Daily_Input!E171/Config!$B$4,"")</f>
        <v>1.0167043078718501</v>
      </c>
      <c r="G171" s="5">
        <f>Daily_Input!I171</f>
        <v>0</v>
      </c>
      <c r="H171" s="5">
        <f>IF(A171="","",IF(ROW()=2,G171,Config!$B$5*H170+G171))</f>
        <v>38.27842109849361</v>
      </c>
      <c r="I171" s="5">
        <f t="shared" si="6"/>
        <v>351</v>
      </c>
      <c r="J171" s="5">
        <f>IF(I171="","",SIN(2*PI()*I171/Config!$B$6))</f>
        <v>-0.23867276600594997</v>
      </c>
      <c r="K171" s="5">
        <f>IF(I171="","",COS(2*PI()*I171/Config!$B$6))</f>
        <v>0.97110005188295045</v>
      </c>
      <c r="L171" s="5">
        <f>IF(ROW()&lt;=2+0,"",INDEX(Daily_Input!$F:$F,ROW()-1))</f>
        <v>134491.21018889663</v>
      </c>
      <c r="M171" s="5">
        <f>IF(ROW()&lt;=2+1,"",INDEX(Daily_Input!$F:$F,ROW()-2))</f>
        <v>147995.95882826514</v>
      </c>
      <c r="N171" s="5">
        <f>IF(ROW()&lt;=2+2,"",INDEX(Daily_Input!$F:$F,ROW()-3))</f>
        <v>152568.33660566524</v>
      </c>
      <c r="O171" s="5">
        <f>IF(ROW()&lt;=2+6,"",INDEX(Daily_Input!$F:$F,ROW()-7))</f>
        <v>157267.65214386521</v>
      </c>
      <c r="P171" s="5">
        <f>IF(ROW()&lt;=2+13,"",INDEX(Daily_Input!$F:$F,ROW()-14))</f>
        <v>221736.01499944241</v>
      </c>
      <c r="Q171" s="5">
        <f>IF(ROW()&lt;=4,"",SUM(INDEX(Daily_Input!$I:$I,ROW()-2):INDEX(Daily_Input!$I:$I,ROW())))</f>
        <v>0</v>
      </c>
      <c r="R171" s="5">
        <f>IF(ROW()&lt;=8,"",SUM(INDEX(Daily_Input!$I:$I,ROW()-6):INDEX(Daily_Input!$I:$I,ROW())))</f>
        <v>0</v>
      </c>
      <c r="S171" s="5">
        <f>IF(ROW()&lt;=15,"",SUM(INDEX(Daily_Input!$I:$I,ROW()-13):INDEX(Daily_Input!$I:$I,ROW())))</f>
        <v>0</v>
      </c>
      <c r="T171" s="5">
        <f>IF(ROW()&lt;=4,"",AVERAGE(INDEX(Daily_Input!$F:$F,ROW()-2):INDEX(Daily_Input!$F:$F,ROW())))</f>
        <v>139470.10049448616</v>
      </c>
      <c r="U171" s="5">
        <f>IF(ROW()&lt;=2+0,"",INDEX(Daily_Input!$G:$G,ROW()-1))</f>
        <v>0</v>
      </c>
      <c r="V171" s="5">
        <f>IF(ROW()&lt;=2+0,"",INDEX(Daily_Input!$H:$H,ROW()-1))</f>
        <v>136536.1538</v>
      </c>
      <c r="W171" s="5">
        <f>IF(ROW()&lt;=2+1,"",INDEX(Daily_Input!$G:$G,ROW()-2))</f>
        <v>0</v>
      </c>
      <c r="X171" s="5">
        <f>IF(ROW()&lt;=2+1,"",INDEX(Daily_Input!$H:$H,ROW()-2))</f>
        <v>147011.24979999999</v>
      </c>
      <c r="Y171" s="5">
        <f>IF(ROW()&lt;=2+2,"",INDEX(Daily_Input!$G:$G,ROW()-3))</f>
        <v>0</v>
      </c>
      <c r="Z171" s="5">
        <f>IF(ROW()&lt;=2+2,"",INDEX(Daily_Input!$H:$H,ROW()-3))</f>
        <v>148554.47219999999</v>
      </c>
      <c r="AA171" s="5">
        <f>Daily_Input!N171</f>
        <v>0</v>
      </c>
      <c r="AB171" s="5">
        <f>Daily_Input!O171</f>
        <v>5.3979999999999997</v>
      </c>
      <c r="AC171" s="5">
        <f>Daily_Input!P171</f>
        <v>1.171</v>
      </c>
      <c r="AD171" s="5">
        <f t="shared" si="7"/>
        <v>6.569</v>
      </c>
      <c r="AE171" s="5">
        <f t="shared" si="8"/>
        <v>5.3979999999999997</v>
      </c>
      <c r="AF171" s="5">
        <f>IF(A171="","",IFERROR(INDEX(Daily_Input!$F:$F,ROW()+1),""))</f>
        <v>126557.10026629671</v>
      </c>
      <c r="AG171" s="5">
        <f>IF(A171="","",IFERROR(INDEX(Daily_Input!$F:$F,ROW()+2),""))</f>
        <v>115580.61307334204</v>
      </c>
      <c r="AH171" s="5">
        <f>IF(A171="","",IFERROR(INDEX(Daily_Input!$F:$F,ROW()+3),""))</f>
        <v>109427.09161854199</v>
      </c>
    </row>
    <row r="172" spans="1:34">
      <c r="A172" s="5">
        <f>Daily_Input!A172</f>
        <v>46009</v>
      </c>
      <c r="B172" s="5">
        <f>Daily_Input!F172</f>
        <v>126557.10026629671</v>
      </c>
      <c r="C172" s="5">
        <f>Daily_Input!D172</f>
        <v>489.63099999999997</v>
      </c>
      <c r="D172" s="5">
        <f>Daily_Input!E172</f>
        <v>1652616.0060848999</v>
      </c>
      <c r="E172" s="5" cm="1">
        <f t="array" ref="E172">IF(ROW()=2,"",INDEX(Daily_Input!$E:$E,ROW())-INDEX(Daily_Input!$E:$E,ROW()-1))</f>
        <v>0</v>
      </c>
      <c r="F172" s="5">
        <f>IFERROR(Daily_Input!E172/Config!$B$4,"")</f>
        <v>1.0167043078718501</v>
      </c>
      <c r="G172" s="5">
        <f>Daily_Input!I172</f>
        <v>0</v>
      </c>
      <c r="H172" s="5">
        <f>IF(A172="","",IF(ROW()=2,G172,Config!$B$5*H171+G172))</f>
        <v>36.364500043568924</v>
      </c>
      <c r="I172" s="5">
        <f t="shared" si="6"/>
        <v>352</v>
      </c>
      <c r="J172" s="5">
        <f>IF(I172="","",SIN(2*PI()*I172/Config!$B$6))</f>
        <v>-0.22192151300416674</v>
      </c>
      <c r="K172" s="5">
        <f>IF(I172="","",COS(2*PI()*I172/Config!$B$6))</f>
        <v>0.97506453225719447</v>
      </c>
      <c r="L172" s="5">
        <f>IF(ROW()&lt;=2+0,"",INDEX(Daily_Input!$F:$F,ROW()-1))</f>
        <v>135923.13246629672</v>
      </c>
      <c r="M172" s="5">
        <f>IF(ROW()&lt;=2+1,"",INDEX(Daily_Input!$F:$F,ROW()-2))</f>
        <v>134491.21018889663</v>
      </c>
      <c r="N172" s="5">
        <f>IF(ROW()&lt;=2+2,"",INDEX(Daily_Input!$F:$F,ROW()-3))</f>
        <v>147995.95882826514</v>
      </c>
      <c r="O172" s="5">
        <f>IF(ROW()&lt;=2+6,"",INDEX(Daily_Input!$F:$F,ROW()-7))</f>
        <v>145062.07728889663</v>
      </c>
      <c r="P172" s="5">
        <f>IF(ROW()&lt;=2+13,"",INDEX(Daily_Input!$F:$F,ROW()-14))</f>
        <v>209256.1982606207</v>
      </c>
      <c r="Q172" s="5">
        <f>IF(ROW()&lt;=4,"",SUM(INDEX(Daily_Input!$I:$I,ROW()-2):INDEX(Daily_Input!$I:$I,ROW())))</f>
        <v>0</v>
      </c>
      <c r="R172" s="5">
        <f>IF(ROW()&lt;=8,"",SUM(INDEX(Daily_Input!$I:$I,ROW()-6):INDEX(Daily_Input!$I:$I,ROW())))</f>
        <v>0</v>
      </c>
      <c r="S172" s="5">
        <f>IF(ROW()&lt;=15,"",SUM(INDEX(Daily_Input!$I:$I,ROW()-13):INDEX(Daily_Input!$I:$I,ROW())))</f>
        <v>0</v>
      </c>
      <c r="T172" s="5">
        <f>IF(ROW()&lt;=4,"",AVERAGE(INDEX(Daily_Input!$F:$F,ROW()-2):INDEX(Daily_Input!$F:$F,ROW())))</f>
        <v>132323.81430716335</v>
      </c>
      <c r="U172" s="5">
        <f>IF(ROW()&lt;=2+0,"",INDEX(Daily_Input!$G:$G,ROW()-1))</f>
        <v>0</v>
      </c>
      <c r="V172" s="5">
        <f>IF(ROW()&lt;=2+0,"",INDEX(Daily_Input!$H:$H,ROW()-1))</f>
        <v>134938.92069999999</v>
      </c>
      <c r="W172" s="5">
        <f>IF(ROW()&lt;=2+1,"",INDEX(Daily_Input!$G:$G,ROW()-2))</f>
        <v>0</v>
      </c>
      <c r="X172" s="5">
        <f>IF(ROW()&lt;=2+1,"",INDEX(Daily_Input!$H:$H,ROW()-2))</f>
        <v>136536.1538</v>
      </c>
      <c r="Y172" s="5">
        <f>IF(ROW()&lt;=2+2,"",INDEX(Daily_Input!$G:$G,ROW()-3))</f>
        <v>0</v>
      </c>
      <c r="Z172" s="5">
        <f>IF(ROW()&lt;=2+2,"",INDEX(Daily_Input!$H:$H,ROW()-3))</f>
        <v>147011.24979999999</v>
      </c>
      <c r="AA172" s="5">
        <f>Daily_Input!N172</f>
        <v>5.3979999999999997</v>
      </c>
      <c r="AB172" s="5">
        <f>Daily_Input!O172</f>
        <v>1.171</v>
      </c>
      <c r="AC172" s="5">
        <f>Daily_Input!P172</f>
        <v>0</v>
      </c>
      <c r="AD172" s="5">
        <f t="shared" si="7"/>
        <v>6.569</v>
      </c>
      <c r="AE172" s="5">
        <f t="shared" si="8"/>
        <v>5.3979999999999997</v>
      </c>
      <c r="AF172" s="5">
        <f>IF(A172="","",IFERROR(INDEX(Daily_Input!$F:$F,ROW()+1),""))</f>
        <v>115580.61307334204</v>
      </c>
      <c r="AG172" s="5">
        <f>IF(A172="","",IFERROR(INDEX(Daily_Input!$F:$F,ROW()+2),""))</f>
        <v>109427.09161854199</v>
      </c>
      <c r="AH172" s="5">
        <f>IF(A172="","",IFERROR(INDEX(Daily_Input!$F:$F,ROW()+3),""))</f>
        <v>112236.09011854199</v>
      </c>
    </row>
    <row r="173" spans="1:34">
      <c r="A173" s="5">
        <f>Daily_Input!A173</f>
        <v>46010</v>
      </c>
      <c r="B173" s="5">
        <f>Daily_Input!F173</f>
        <v>115580.61307334204</v>
      </c>
      <c r="C173" s="5">
        <f>Daily_Input!D173</f>
        <v>489.625</v>
      </c>
      <c r="D173" s="5">
        <f>Daily_Input!E173</f>
        <v>1649588.4715396999</v>
      </c>
      <c r="E173" s="5" cm="1">
        <f t="array" ref="E173">IF(ROW()=2,"",INDEX(Daily_Input!$E:$E,ROW())-INDEX(Daily_Input!$E:$E,ROW()-1))</f>
        <v>-3027.5345451999456</v>
      </c>
      <c r="F173" s="5">
        <f>IFERROR(Daily_Input!E173/Config!$B$4,"")</f>
        <v>1.0148417412483863</v>
      </c>
      <c r="G173" s="5">
        <f>Daily_Input!I173</f>
        <v>0</v>
      </c>
      <c r="H173" s="5">
        <f>IF(A173="","",IF(ROW()=2,G173,Config!$B$5*H172+G173))</f>
        <v>34.546275041390473</v>
      </c>
      <c r="I173" s="5">
        <f t="shared" si="6"/>
        <v>353</v>
      </c>
      <c r="J173" s="5">
        <f>IF(I173="","",SIN(2*PI()*I173/Config!$B$6))</f>
        <v>-0.20510449986861926</v>
      </c>
      <c r="K173" s="5">
        <f>IF(I173="","",COS(2*PI()*I173/Config!$B$6))</f>
        <v>0.97874007996691526</v>
      </c>
      <c r="L173" s="5">
        <f>IF(ROW()&lt;=2+0,"",INDEX(Daily_Input!$F:$F,ROW()-1))</f>
        <v>126557.10026629671</v>
      </c>
      <c r="M173" s="5">
        <f>IF(ROW()&lt;=2+1,"",INDEX(Daily_Input!$F:$F,ROW()-2))</f>
        <v>135923.13246629672</v>
      </c>
      <c r="N173" s="5">
        <f>IF(ROW()&lt;=2+2,"",INDEX(Daily_Input!$F:$F,ROW()-3))</f>
        <v>134491.21018889663</v>
      </c>
      <c r="O173" s="5">
        <f>IF(ROW()&lt;=2+6,"",INDEX(Daily_Input!$F:$F,ROW()-7))</f>
        <v>161541.79408427881</v>
      </c>
      <c r="P173" s="5">
        <f>IF(ROW()&lt;=2+13,"",INDEX(Daily_Input!$F:$F,ROW()-14))</f>
        <v>204367.78662952065</v>
      </c>
      <c r="Q173" s="5">
        <f>IF(ROW()&lt;=4,"",SUM(INDEX(Daily_Input!$I:$I,ROW()-2):INDEX(Daily_Input!$I:$I,ROW())))</f>
        <v>0</v>
      </c>
      <c r="R173" s="5">
        <f>IF(ROW()&lt;=8,"",SUM(INDEX(Daily_Input!$I:$I,ROW()-6):INDEX(Daily_Input!$I:$I,ROW())))</f>
        <v>0</v>
      </c>
      <c r="S173" s="5">
        <f>IF(ROW()&lt;=15,"",SUM(INDEX(Daily_Input!$I:$I,ROW()-13):INDEX(Daily_Input!$I:$I,ROW())))</f>
        <v>0</v>
      </c>
      <c r="T173" s="5">
        <f>IF(ROW()&lt;=4,"",AVERAGE(INDEX(Daily_Input!$F:$F,ROW()-2):INDEX(Daily_Input!$F:$F,ROW())))</f>
        <v>126020.28193531181</v>
      </c>
      <c r="U173" s="5">
        <f>IF(ROW()&lt;=2+0,"",INDEX(Daily_Input!$G:$G,ROW()-1))</f>
        <v>0</v>
      </c>
      <c r="V173" s="5">
        <f>IF(ROW()&lt;=2+0,"",INDEX(Daily_Input!$H:$H,ROW()-1))</f>
        <v>125572.8885</v>
      </c>
      <c r="W173" s="5">
        <f>IF(ROW()&lt;=2+1,"",INDEX(Daily_Input!$G:$G,ROW()-2))</f>
        <v>0</v>
      </c>
      <c r="X173" s="5">
        <f>IF(ROW()&lt;=2+1,"",INDEX(Daily_Input!$H:$H,ROW()-2))</f>
        <v>134938.92069999999</v>
      </c>
      <c r="Y173" s="5">
        <f>IF(ROW()&lt;=2+2,"",INDEX(Daily_Input!$G:$G,ROW()-3))</f>
        <v>0</v>
      </c>
      <c r="Z173" s="5">
        <f>IF(ROW()&lt;=2+2,"",INDEX(Daily_Input!$H:$H,ROW()-3))</f>
        <v>136536.1538</v>
      </c>
      <c r="AA173" s="5">
        <f>Daily_Input!N173</f>
        <v>1.171</v>
      </c>
      <c r="AB173" s="5">
        <f>Daily_Input!O173</f>
        <v>0</v>
      </c>
      <c r="AC173" s="5">
        <f>Daily_Input!P173</f>
        <v>0</v>
      </c>
      <c r="AD173" s="5">
        <f t="shared" si="7"/>
        <v>1.171</v>
      </c>
      <c r="AE173" s="5">
        <f t="shared" si="8"/>
        <v>1.171</v>
      </c>
      <c r="AF173" s="5">
        <f>IF(A173="","",IFERROR(INDEX(Daily_Input!$F:$F,ROW()+1),""))</f>
        <v>109427.09161854199</v>
      </c>
      <c r="AG173" s="5">
        <f>IF(A173="","",IFERROR(INDEX(Daily_Input!$F:$F,ROW()+2),""))</f>
        <v>112236.09011854199</v>
      </c>
      <c r="AH173" s="5">
        <f>IF(A173="","",IFERROR(INDEX(Daily_Input!$F:$F,ROW()+3),""))</f>
        <v>105147.56961854199</v>
      </c>
    </row>
    <row r="174" spans="1:34">
      <c r="A174" s="5">
        <f>Daily_Input!A174</f>
        <v>46011</v>
      </c>
      <c r="B174" s="5">
        <f>Daily_Input!F174</f>
        <v>109427.09161854199</v>
      </c>
      <c r="C174" s="5">
        <f>Daily_Input!D174</f>
        <v>489.625</v>
      </c>
      <c r="D174" s="5">
        <f>Daily_Input!E174</f>
        <v>1649588.4715396999</v>
      </c>
      <c r="E174" s="5" cm="1">
        <f t="array" ref="E174">IF(ROW()=2,"",INDEX(Daily_Input!$E:$E,ROW())-INDEX(Daily_Input!$E:$E,ROW()-1))</f>
        <v>0</v>
      </c>
      <c r="F174" s="5">
        <f>IFERROR(Daily_Input!E174/Config!$B$4,"")</f>
        <v>1.0148417412483863</v>
      </c>
      <c r="G174" s="5">
        <f>Daily_Input!I174</f>
        <v>0</v>
      </c>
      <c r="H174" s="5">
        <f>IF(A174="","",IF(ROW()=2,G174,Config!$B$5*H173+G174))</f>
        <v>32.818961289320946</v>
      </c>
      <c r="I174" s="5">
        <f t="shared" si="6"/>
        <v>354</v>
      </c>
      <c r="J174" s="5">
        <f>IF(I174="","",SIN(2*PI()*I174/Config!$B$6))</f>
        <v>-0.18822670984324391</v>
      </c>
      <c r="K174" s="5">
        <f>IF(I174="","",COS(2*PI()*I174/Config!$B$6))</f>
        <v>0.98212560586800057</v>
      </c>
      <c r="L174" s="5">
        <f>IF(ROW()&lt;=2+0,"",INDEX(Daily_Input!$F:$F,ROW()-1))</f>
        <v>115580.61307334204</v>
      </c>
      <c r="M174" s="5">
        <f>IF(ROW()&lt;=2+1,"",INDEX(Daily_Input!$F:$F,ROW()-2))</f>
        <v>126557.10026629671</v>
      </c>
      <c r="N174" s="5">
        <f>IF(ROW()&lt;=2+2,"",INDEX(Daily_Input!$F:$F,ROW()-3))</f>
        <v>135923.13246629672</v>
      </c>
      <c r="O174" s="5">
        <f>IF(ROW()&lt;=2+6,"",INDEX(Daily_Input!$F:$F,ROW()-7))</f>
        <v>143688.1908044967</v>
      </c>
      <c r="P174" s="5">
        <f>IF(ROW()&lt;=2+13,"",INDEX(Daily_Input!$F:$F,ROW()-14))</f>
        <v>195214.23592952066</v>
      </c>
      <c r="Q174" s="5">
        <f>IF(ROW()&lt;=4,"",SUM(INDEX(Daily_Input!$I:$I,ROW()-2):INDEX(Daily_Input!$I:$I,ROW())))</f>
        <v>0</v>
      </c>
      <c r="R174" s="5">
        <f>IF(ROW()&lt;=8,"",SUM(INDEX(Daily_Input!$I:$I,ROW()-6):INDEX(Daily_Input!$I:$I,ROW())))</f>
        <v>0</v>
      </c>
      <c r="S174" s="5">
        <f>IF(ROW()&lt;=15,"",SUM(INDEX(Daily_Input!$I:$I,ROW()-13):INDEX(Daily_Input!$I:$I,ROW())))</f>
        <v>0</v>
      </c>
      <c r="T174" s="5">
        <f>IF(ROW()&lt;=4,"",AVERAGE(INDEX(Daily_Input!$F:$F,ROW()-2):INDEX(Daily_Input!$F:$F,ROW())))</f>
        <v>117188.26831939358</v>
      </c>
      <c r="U174" s="5">
        <f>IF(ROW()&lt;=2+0,"",INDEX(Daily_Input!$G:$G,ROW()-1))</f>
        <v>0</v>
      </c>
      <c r="V174" s="5">
        <f>IF(ROW()&lt;=2+0,"",INDEX(Daily_Input!$H:$H,ROW()-1))</f>
        <v>117624.4418</v>
      </c>
      <c r="W174" s="5">
        <f>IF(ROW()&lt;=2+1,"",INDEX(Daily_Input!$G:$G,ROW()-2))</f>
        <v>0</v>
      </c>
      <c r="X174" s="5">
        <f>IF(ROW()&lt;=2+1,"",INDEX(Daily_Input!$H:$H,ROW()-2))</f>
        <v>125572.8885</v>
      </c>
      <c r="Y174" s="5">
        <f>IF(ROW()&lt;=2+2,"",INDEX(Daily_Input!$G:$G,ROW()-3))</f>
        <v>0</v>
      </c>
      <c r="Z174" s="5">
        <f>IF(ROW()&lt;=2+2,"",INDEX(Daily_Input!$H:$H,ROW()-3))</f>
        <v>134938.92069999999</v>
      </c>
      <c r="AA174" s="5">
        <f>Daily_Input!N174</f>
        <v>0</v>
      </c>
      <c r="AB174" s="5">
        <f>Daily_Input!O174</f>
        <v>0</v>
      </c>
      <c r="AC174" s="5">
        <f>Daily_Input!P174</f>
        <v>0</v>
      </c>
      <c r="AD174" s="5">
        <f t="shared" si="7"/>
        <v>0</v>
      </c>
      <c r="AE174" s="5">
        <f t="shared" si="8"/>
        <v>0</v>
      </c>
      <c r="AF174" s="5">
        <f>IF(A174="","",IFERROR(INDEX(Daily_Input!$F:$F,ROW()+1),""))</f>
        <v>112236.09011854199</v>
      </c>
      <c r="AG174" s="5">
        <f>IF(A174="","",IFERROR(INDEX(Daily_Input!$F:$F,ROW()+2),""))</f>
        <v>105147.56961854199</v>
      </c>
      <c r="AH174" s="5">
        <f>IF(A174="","",IFERROR(INDEX(Daily_Input!$F:$F,ROW()+3),""))</f>
        <v>97996.566070838511</v>
      </c>
    </row>
    <row r="175" spans="1:34">
      <c r="A175" s="5">
        <f>Daily_Input!A175</f>
        <v>46012</v>
      </c>
      <c r="B175" s="5">
        <f>Daily_Input!F175</f>
        <v>112236.09011854199</v>
      </c>
      <c r="C175" s="5">
        <f>Daily_Input!D175</f>
        <v>489.625</v>
      </c>
      <c r="D175" s="5">
        <f>Daily_Input!E175</f>
        <v>1649588.4715396999</v>
      </c>
      <c r="E175" s="5" cm="1">
        <f t="array" ref="E175">IF(ROW()=2,"",INDEX(Daily_Input!$E:$E,ROW())-INDEX(Daily_Input!$E:$E,ROW()-1))</f>
        <v>0</v>
      </c>
      <c r="F175" s="5">
        <f>IFERROR(Daily_Input!E175/Config!$B$4,"")</f>
        <v>1.0148417412483863</v>
      </c>
      <c r="G175" s="5">
        <f>Daily_Input!I175</f>
        <v>0</v>
      </c>
      <c r="H175" s="5">
        <f>IF(A175="","",IF(ROW()=2,G175,Config!$B$5*H174+G175))</f>
        <v>31.178013224854897</v>
      </c>
      <c r="I175" s="5">
        <f t="shared" si="6"/>
        <v>355</v>
      </c>
      <c r="J175" s="5">
        <f>IF(I175="","",SIN(2*PI()*I175/Config!$B$6))</f>
        <v>-0.17129314418147781</v>
      </c>
      <c r="K175" s="5">
        <f>IF(I175="","",COS(2*PI()*I175/Config!$B$6))</f>
        <v>0.98522010675606064</v>
      </c>
      <c r="L175" s="5">
        <f>IF(ROW()&lt;=2+0,"",INDEX(Daily_Input!$F:$F,ROW()-1))</f>
        <v>109427.09161854199</v>
      </c>
      <c r="M175" s="5">
        <f>IF(ROW()&lt;=2+1,"",INDEX(Daily_Input!$F:$F,ROW()-2))</f>
        <v>115580.61307334204</v>
      </c>
      <c r="N175" s="5">
        <f>IF(ROW()&lt;=2+2,"",INDEX(Daily_Input!$F:$F,ROW()-3))</f>
        <v>126557.10026629671</v>
      </c>
      <c r="O175" s="5">
        <f>IF(ROW()&lt;=2+6,"",INDEX(Daily_Input!$F:$F,ROW()-7))</f>
        <v>152568.33660566524</v>
      </c>
      <c r="P175" s="5">
        <f>IF(ROW()&lt;=2+13,"",INDEX(Daily_Input!$F:$F,ROW()-14))</f>
        <v>178996.50787327875</v>
      </c>
      <c r="Q175" s="5">
        <f>IF(ROW()&lt;=4,"",SUM(INDEX(Daily_Input!$I:$I,ROW()-2):INDEX(Daily_Input!$I:$I,ROW())))</f>
        <v>0</v>
      </c>
      <c r="R175" s="5">
        <f>IF(ROW()&lt;=8,"",SUM(INDEX(Daily_Input!$I:$I,ROW()-6):INDEX(Daily_Input!$I:$I,ROW())))</f>
        <v>0</v>
      </c>
      <c r="S175" s="5">
        <f>IF(ROW()&lt;=15,"",SUM(INDEX(Daily_Input!$I:$I,ROW()-13):INDEX(Daily_Input!$I:$I,ROW())))</f>
        <v>0</v>
      </c>
      <c r="T175" s="5">
        <f>IF(ROW()&lt;=4,"",AVERAGE(INDEX(Daily_Input!$F:$F,ROW()-2):INDEX(Daily_Input!$F:$F,ROW())))</f>
        <v>112414.59827014203</v>
      </c>
      <c r="U175" s="5">
        <f>IF(ROW()&lt;=2+0,"",INDEX(Daily_Input!$G:$G,ROW()-1))</f>
        <v>0</v>
      </c>
      <c r="V175" s="5">
        <f>IF(ROW()&lt;=2+0,"",INDEX(Daily_Input!$H:$H,ROW()-1))</f>
        <v>108443.3858</v>
      </c>
      <c r="W175" s="5">
        <f>IF(ROW()&lt;=2+1,"",INDEX(Daily_Input!$G:$G,ROW()-2))</f>
        <v>0</v>
      </c>
      <c r="X175" s="5">
        <f>IF(ROW()&lt;=2+1,"",INDEX(Daily_Input!$H:$H,ROW()-2))</f>
        <v>117624.4418</v>
      </c>
      <c r="Y175" s="5">
        <f>IF(ROW()&lt;=2+2,"",INDEX(Daily_Input!$G:$G,ROW()-3))</f>
        <v>0</v>
      </c>
      <c r="Z175" s="5">
        <f>IF(ROW()&lt;=2+2,"",INDEX(Daily_Input!$H:$H,ROW()-3))</f>
        <v>125572.8885</v>
      </c>
      <c r="AA175" s="5">
        <f>Daily_Input!N175</f>
        <v>0</v>
      </c>
      <c r="AB175" s="5">
        <f>Daily_Input!O175</f>
        <v>0</v>
      </c>
      <c r="AC175" s="5">
        <f>Daily_Input!P175</f>
        <v>0</v>
      </c>
      <c r="AD175" s="5">
        <f t="shared" si="7"/>
        <v>0</v>
      </c>
      <c r="AE175" s="5">
        <f t="shared" si="8"/>
        <v>0</v>
      </c>
      <c r="AF175" s="5">
        <f>IF(A175="","",IFERROR(INDEX(Daily_Input!$F:$F,ROW()+1),""))</f>
        <v>105147.56961854199</v>
      </c>
      <c r="AG175" s="5">
        <f>IF(A175="","",IFERROR(INDEX(Daily_Input!$F:$F,ROW()+2),""))</f>
        <v>97996.566070838511</v>
      </c>
      <c r="AH175" s="5">
        <f>IF(A175="","",IFERROR(INDEX(Daily_Input!$F:$F,ROW()+3),""))</f>
        <v>97696.448964138428</v>
      </c>
    </row>
    <row r="176" spans="1:34">
      <c r="A176" s="5">
        <f>Daily_Input!A176</f>
        <v>46013</v>
      </c>
      <c r="B176" s="5">
        <f>Daily_Input!F176</f>
        <v>105147.56961854199</v>
      </c>
      <c r="C176" s="5">
        <f>Daily_Input!D176</f>
        <v>489.625</v>
      </c>
      <c r="D176" s="5">
        <f>Daily_Input!E176</f>
        <v>1649588.4715396999</v>
      </c>
      <c r="E176" s="5" cm="1">
        <f t="array" ref="E176">IF(ROW()=2,"",INDEX(Daily_Input!$E:$E,ROW())-INDEX(Daily_Input!$E:$E,ROW()-1))</f>
        <v>0</v>
      </c>
      <c r="F176" s="5">
        <f>IFERROR(Daily_Input!E176/Config!$B$4,"")</f>
        <v>1.0148417412483863</v>
      </c>
      <c r="G176" s="5">
        <f>Daily_Input!I176</f>
        <v>0</v>
      </c>
      <c r="H176" s="5">
        <f>IF(A176="","",IF(ROW()=2,G176,Config!$B$5*H175+G176))</f>
        <v>29.619112563612152</v>
      </c>
      <c r="I176" s="5">
        <f t="shared" si="6"/>
        <v>356</v>
      </c>
      <c r="J176" s="5">
        <f>IF(I176="","",SIN(2*PI()*I176/Config!$B$6))</f>
        <v>-0.154308820664281</v>
      </c>
      <c r="K176" s="5">
        <f>IF(I176="","",COS(2*PI()*I176/Config!$B$6))</f>
        <v>0.98802266566369756</v>
      </c>
      <c r="L176" s="5">
        <f>IF(ROW()&lt;=2+0,"",INDEX(Daily_Input!$F:$F,ROW()-1))</f>
        <v>112236.09011854199</v>
      </c>
      <c r="M176" s="5">
        <f>IF(ROW()&lt;=2+1,"",INDEX(Daily_Input!$F:$F,ROW()-2))</f>
        <v>109427.09161854199</v>
      </c>
      <c r="N176" s="5">
        <f>IF(ROW()&lt;=2+2,"",INDEX(Daily_Input!$F:$F,ROW()-3))</f>
        <v>115580.61307334204</v>
      </c>
      <c r="O176" s="5">
        <f>IF(ROW()&lt;=2+6,"",INDEX(Daily_Input!$F:$F,ROW()-7))</f>
        <v>147995.95882826514</v>
      </c>
      <c r="P176" s="5">
        <f>IF(ROW()&lt;=2+13,"",INDEX(Daily_Input!$F:$F,ROW()-14))</f>
        <v>176209.41962247877</v>
      </c>
      <c r="Q176" s="5">
        <f>IF(ROW()&lt;=4,"",SUM(INDEX(Daily_Input!$I:$I,ROW()-2):INDEX(Daily_Input!$I:$I,ROW())))</f>
        <v>0</v>
      </c>
      <c r="R176" s="5">
        <f>IF(ROW()&lt;=8,"",SUM(INDEX(Daily_Input!$I:$I,ROW()-6):INDEX(Daily_Input!$I:$I,ROW())))</f>
        <v>0</v>
      </c>
      <c r="S176" s="5">
        <f>IF(ROW()&lt;=15,"",SUM(INDEX(Daily_Input!$I:$I,ROW()-13):INDEX(Daily_Input!$I:$I,ROW())))</f>
        <v>0</v>
      </c>
      <c r="T176" s="5">
        <f>IF(ROW()&lt;=4,"",AVERAGE(INDEX(Daily_Input!$F:$F,ROW()-2):INDEX(Daily_Input!$F:$F,ROW())))</f>
        <v>108936.917118542</v>
      </c>
      <c r="U176" s="5">
        <f>IF(ROW()&lt;=2+0,"",INDEX(Daily_Input!$G:$G,ROW()-1))</f>
        <v>0</v>
      </c>
      <c r="V176" s="5">
        <f>IF(ROW()&lt;=2+0,"",INDEX(Daily_Input!$H:$H,ROW()-1))</f>
        <v>111252.38430000001</v>
      </c>
      <c r="W176" s="5">
        <f>IF(ROW()&lt;=2+1,"",INDEX(Daily_Input!$G:$G,ROW()-2))</f>
        <v>0</v>
      </c>
      <c r="X176" s="5">
        <f>IF(ROW()&lt;=2+1,"",INDEX(Daily_Input!$H:$H,ROW()-2))</f>
        <v>108443.3858</v>
      </c>
      <c r="Y176" s="5">
        <f>IF(ROW()&lt;=2+2,"",INDEX(Daily_Input!$G:$G,ROW()-3))</f>
        <v>0</v>
      </c>
      <c r="Z176" s="5">
        <f>IF(ROW()&lt;=2+2,"",INDEX(Daily_Input!$H:$H,ROW()-3))</f>
        <v>117624.4418</v>
      </c>
      <c r="AA176" s="5">
        <f>Daily_Input!N176</f>
        <v>0</v>
      </c>
      <c r="AB176" s="5">
        <f>Daily_Input!O176</f>
        <v>0</v>
      </c>
      <c r="AC176" s="5">
        <f>Daily_Input!P176</f>
        <v>0</v>
      </c>
      <c r="AD176" s="5">
        <f t="shared" si="7"/>
        <v>0</v>
      </c>
      <c r="AE176" s="5">
        <f t="shared" si="8"/>
        <v>0</v>
      </c>
      <c r="AF176" s="5">
        <f>IF(A176="","",IFERROR(INDEX(Daily_Input!$F:$F,ROW()+1),""))</f>
        <v>97996.566070838511</v>
      </c>
      <c r="AG176" s="5">
        <f>IF(A176="","",IFERROR(INDEX(Daily_Input!$F:$F,ROW()+2),""))</f>
        <v>97696.448964138428</v>
      </c>
      <c r="AH176" s="5">
        <f>IF(A176="","",IFERROR(INDEX(Daily_Input!$F:$F,ROW()+3),""))</f>
        <v>99768.461594138425</v>
      </c>
    </row>
    <row r="177" spans="1:34">
      <c r="A177" s="5">
        <f>Daily_Input!A177</f>
        <v>46014</v>
      </c>
      <c r="B177" s="5">
        <f>Daily_Input!F177</f>
        <v>97996.566070838511</v>
      </c>
      <c r="C177" s="5">
        <f>Daily_Input!D177</f>
        <v>489.61799999999999</v>
      </c>
      <c r="D177" s="5">
        <f>Daily_Input!E177</f>
        <v>1646562.4785364</v>
      </c>
      <c r="E177" s="5" cm="1">
        <f t="array" ref="E177">IF(ROW()=2,"",INDEX(Daily_Input!$E:$E,ROW())-INDEX(Daily_Input!$E:$E,ROW()-1))</f>
        <v>-3025.9930032999255</v>
      </c>
      <c r="F177" s="5">
        <f>IFERROR(Daily_Input!E177/Config!$B$4,"")</f>
        <v>1.0129801229954363</v>
      </c>
      <c r="G177" s="5">
        <f>Daily_Input!I177</f>
        <v>0</v>
      </c>
      <c r="H177" s="5">
        <f>IF(A177="","",IF(ROW()=2,G177,Config!$B$5*H176+G177))</f>
        <v>28.138156935431542</v>
      </c>
      <c r="I177" s="5">
        <f t="shared" si="6"/>
        <v>357</v>
      </c>
      <c r="J177" s="5">
        <f>IF(I177="","",SIN(2*PI()*I177/Config!$B$6))</f>
        <v>-0.13727877211326517</v>
      </c>
      <c r="K177" s="5">
        <f>IF(I177="","",COS(2*PI()*I177/Config!$B$6))</f>
        <v>0.99053245213222274</v>
      </c>
      <c r="L177" s="5">
        <f>IF(ROW()&lt;=2+0,"",INDEX(Daily_Input!$F:$F,ROW()-1))</f>
        <v>105147.56961854199</v>
      </c>
      <c r="M177" s="5">
        <f>IF(ROW()&lt;=2+1,"",INDEX(Daily_Input!$F:$F,ROW()-2))</f>
        <v>112236.09011854199</v>
      </c>
      <c r="N177" s="5">
        <f>IF(ROW()&lt;=2+2,"",INDEX(Daily_Input!$F:$F,ROW()-3))</f>
        <v>109427.09161854199</v>
      </c>
      <c r="O177" s="5">
        <f>IF(ROW()&lt;=2+6,"",INDEX(Daily_Input!$F:$F,ROW()-7))</f>
        <v>134491.21018889663</v>
      </c>
      <c r="P177" s="5">
        <f>IF(ROW()&lt;=2+13,"",INDEX(Daily_Input!$F:$F,ROW()-14))</f>
        <v>163832.40842247877</v>
      </c>
      <c r="Q177" s="5">
        <f>IF(ROW()&lt;=4,"",SUM(INDEX(Daily_Input!$I:$I,ROW()-2):INDEX(Daily_Input!$I:$I,ROW())))</f>
        <v>0</v>
      </c>
      <c r="R177" s="5">
        <f>IF(ROW()&lt;=8,"",SUM(INDEX(Daily_Input!$I:$I,ROW()-6):INDEX(Daily_Input!$I:$I,ROW())))</f>
        <v>0</v>
      </c>
      <c r="S177" s="5">
        <f>IF(ROW()&lt;=15,"",SUM(INDEX(Daily_Input!$I:$I,ROW()-13):INDEX(Daily_Input!$I:$I,ROW())))</f>
        <v>0</v>
      </c>
      <c r="T177" s="5">
        <f>IF(ROW()&lt;=4,"",AVERAGE(INDEX(Daily_Input!$F:$F,ROW()-2):INDEX(Daily_Input!$F:$F,ROW())))</f>
        <v>105126.74193597418</v>
      </c>
      <c r="U177" s="5">
        <f>IF(ROW()&lt;=2+0,"",INDEX(Daily_Input!$G:$G,ROW()-1))</f>
        <v>0</v>
      </c>
      <c r="V177" s="5">
        <f>IF(ROW()&lt;=2+0,"",INDEX(Daily_Input!$H:$H,ROW()-1))</f>
        <v>104163.86380000001</v>
      </c>
      <c r="W177" s="5">
        <f>IF(ROW()&lt;=2+1,"",INDEX(Daily_Input!$G:$G,ROW()-2))</f>
        <v>0</v>
      </c>
      <c r="X177" s="5">
        <f>IF(ROW()&lt;=2+1,"",INDEX(Daily_Input!$H:$H,ROW()-2))</f>
        <v>111252.38430000001</v>
      </c>
      <c r="Y177" s="5">
        <f>IF(ROW()&lt;=2+2,"",INDEX(Daily_Input!$G:$G,ROW()-3))</f>
        <v>0</v>
      </c>
      <c r="Z177" s="5">
        <f>IF(ROW()&lt;=2+2,"",INDEX(Daily_Input!$H:$H,ROW()-3))</f>
        <v>108443.3858</v>
      </c>
      <c r="AA177" s="5">
        <f>Daily_Input!N177</f>
        <v>0</v>
      </c>
      <c r="AB177" s="5">
        <f>Daily_Input!O177</f>
        <v>0</v>
      </c>
      <c r="AC177" s="5">
        <f>Daily_Input!P177</f>
        <v>0</v>
      </c>
      <c r="AD177" s="5">
        <f t="shared" si="7"/>
        <v>0</v>
      </c>
      <c r="AE177" s="5">
        <f t="shared" si="8"/>
        <v>0</v>
      </c>
      <c r="AF177" s="5">
        <f>IF(A177="","",IFERROR(INDEX(Daily_Input!$F:$F,ROW()+1),""))</f>
        <v>97696.448964138428</v>
      </c>
      <c r="AG177" s="5">
        <f>IF(A177="","",IFERROR(INDEX(Daily_Input!$F:$F,ROW()+2),""))</f>
        <v>99768.461594138425</v>
      </c>
      <c r="AH177" s="5">
        <f>IF(A177="","",IFERROR(INDEX(Daily_Input!$F:$F,ROW()+3),""))</f>
        <v>98376.125304138433</v>
      </c>
    </row>
    <row r="178" spans="1:34">
      <c r="A178" s="5">
        <f>Daily_Input!A178</f>
        <v>46015</v>
      </c>
      <c r="B178" s="5">
        <f>Daily_Input!F178</f>
        <v>97696.448964138428</v>
      </c>
      <c r="C178" s="5">
        <f>Daily_Input!D178</f>
        <v>489.61799999999999</v>
      </c>
      <c r="D178" s="5">
        <f>Daily_Input!E178</f>
        <v>1646562.4785364</v>
      </c>
      <c r="E178" s="5" cm="1">
        <f t="array" ref="E178">IF(ROW()=2,"",INDEX(Daily_Input!$E:$E,ROW())-INDEX(Daily_Input!$E:$E,ROW()-1))</f>
        <v>0</v>
      </c>
      <c r="F178" s="5">
        <f>IFERROR(Daily_Input!E178/Config!$B$4,"")</f>
        <v>1.0129801229954363</v>
      </c>
      <c r="G178" s="5">
        <f>Daily_Input!I178</f>
        <v>0</v>
      </c>
      <c r="H178" s="5">
        <f>IF(A178="","",IF(ROW()=2,G178,Config!$B$5*H177+G178))</f>
        <v>26.731249088659965</v>
      </c>
      <c r="I178" s="5">
        <f t="shared" si="6"/>
        <v>358</v>
      </c>
      <c r="J178" s="5">
        <f>IF(I178="","",SIN(2*PI()*I178/Config!$B$6))</f>
        <v>-0.12020804489935275</v>
      </c>
      <c r="K178" s="5">
        <f>IF(I178="","",COS(2*PI()*I178/Config!$B$6))</f>
        <v>0.99274872245774015</v>
      </c>
      <c r="L178" s="5">
        <f>IF(ROW()&lt;=2+0,"",INDEX(Daily_Input!$F:$F,ROW()-1))</f>
        <v>97996.566070838511</v>
      </c>
      <c r="M178" s="5">
        <f>IF(ROW()&lt;=2+1,"",INDEX(Daily_Input!$F:$F,ROW()-2))</f>
        <v>105147.56961854199</v>
      </c>
      <c r="N178" s="5">
        <f>IF(ROW()&lt;=2+2,"",INDEX(Daily_Input!$F:$F,ROW()-3))</f>
        <v>112236.09011854199</v>
      </c>
      <c r="O178" s="5">
        <f>IF(ROW()&lt;=2+6,"",INDEX(Daily_Input!$F:$F,ROW()-7))</f>
        <v>135923.13246629672</v>
      </c>
      <c r="P178" s="5">
        <f>IF(ROW()&lt;=2+13,"",INDEX(Daily_Input!$F:$F,ROW()-14))</f>
        <v>157267.65214386521</v>
      </c>
      <c r="Q178" s="5">
        <f>IF(ROW()&lt;=4,"",SUM(INDEX(Daily_Input!$I:$I,ROW()-2):INDEX(Daily_Input!$I:$I,ROW())))</f>
        <v>0</v>
      </c>
      <c r="R178" s="5">
        <f>IF(ROW()&lt;=8,"",SUM(INDEX(Daily_Input!$I:$I,ROW()-6):INDEX(Daily_Input!$I:$I,ROW())))</f>
        <v>0</v>
      </c>
      <c r="S178" s="5">
        <f>IF(ROW()&lt;=15,"",SUM(INDEX(Daily_Input!$I:$I,ROW()-13):INDEX(Daily_Input!$I:$I,ROW())))</f>
        <v>0</v>
      </c>
      <c r="T178" s="5">
        <f>IF(ROW()&lt;=4,"",AVERAGE(INDEX(Daily_Input!$F:$F,ROW()-2):INDEX(Daily_Input!$F:$F,ROW())))</f>
        <v>100280.19488450633</v>
      </c>
      <c r="U178" s="5">
        <f>IF(ROW()&lt;=2+0,"",INDEX(Daily_Input!$G:$G,ROW()-1))</f>
        <v>0</v>
      </c>
      <c r="V178" s="5">
        <f>IF(ROW()&lt;=2+0,"",INDEX(Daily_Input!$H:$H,ROW()-1))</f>
        <v>100039.38280000001</v>
      </c>
      <c r="W178" s="5">
        <f>IF(ROW()&lt;=2+1,"",INDEX(Daily_Input!$G:$G,ROW()-2))</f>
        <v>0</v>
      </c>
      <c r="X178" s="5">
        <f>IF(ROW()&lt;=2+1,"",INDEX(Daily_Input!$H:$H,ROW()-2))</f>
        <v>104163.86380000001</v>
      </c>
      <c r="Y178" s="5">
        <f>IF(ROW()&lt;=2+2,"",INDEX(Daily_Input!$G:$G,ROW()-3))</f>
        <v>0</v>
      </c>
      <c r="Z178" s="5">
        <f>IF(ROW()&lt;=2+2,"",INDEX(Daily_Input!$H:$H,ROW()-3))</f>
        <v>111252.38430000001</v>
      </c>
      <c r="AA178" s="5">
        <f>Daily_Input!N178</f>
        <v>0</v>
      </c>
      <c r="AB178" s="5">
        <f>Daily_Input!O178</f>
        <v>0</v>
      </c>
      <c r="AC178" s="5">
        <f>Daily_Input!P178</f>
        <v>1.0999999999999999E-2</v>
      </c>
      <c r="AD178" s="5">
        <f t="shared" si="7"/>
        <v>1.0999999999999999E-2</v>
      </c>
      <c r="AE178" s="5">
        <f t="shared" si="8"/>
        <v>1.0999999999999999E-2</v>
      </c>
      <c r="AF178" s="5">
        <f>IF(A178="","",IFERROR(INDEX(Daily_Input!$F:$F,ROW()+1),""))</f>
        <v>99768.461594138425</v>
      </c>
      <c r="AG178" s="5">
        <f>IF(A178="","",IFERROR(INDEX(Daily_Input!$F:$F,ROW()+2),""))</f>
        <v>98376.125304138433</v>
      </c>
      <c r="AH178" s="5">
        <f>IF(A178="","",IFERROR(INDEX(Daily_Input!$F:$F,ROW()+3),""))</f>
        <v>91510.302444138433</v>
      </c>
    </row>
    <row r="179" spans="1:34">
      <c r="A179" s="5">
        <f>Daily_Input!A179</f>
        <v>46016</v>
      </c>
      <c r="B179" s="5">
        <f>Daily_Input!F179</f>
        <v>99768.461594138425</v>
      </c>
      <c r="C179" s="5">
        <f>Daily_Input!D179</f>
        <v>489.61799999999999</v>
      </c>
      <c r="D179" s="5">
        <f>Daily_Input!E179</f>
        <v>1646562.4785364</v>
      </c>
      <c r="E179" s="5" cm="1">
        <f t="array" ref="E179">IF(ROW()=2,"",INDEX(Daily_Input!$E:$E,ROW())-INDEX(Daily_Input!$E:$E,ROW()-1))</f>
        <v>0</v>
      </c>
      <c r="F179" s="5">
        <f>IFERROR(Daily_Input!E179/Config!$B$4,"")</f>
        <v>1.0129801229954363</v>
      </c>
      <c r="G179" s="5">
        <f>Daily_Input!I179</f>
        <v>0</v>
      </c>
      <c r="H179" s="5">
        <f>IF(A179="","",IF(ROW()=2,G179,Config!$B$5*H178+G179))</f>
        <v>25.394686634226964</v>
      </c>
      <c r="I179" s="5">
        <f t="shared" si="6"/>
        <v>359</v>
      </c>
      <c r="J179" s="5">
        <f>IF(I179="","",SIN(2*PI()*I179/Config!$B$6))</f>
        <v>-0.10310169744743544</v>
      </c>
      <c r="K179" s="5">
        <f>IF(I179="","",COS(2*PI()*I179/Config!$B$6))</f>
        <v>0.99467081991152106</v>
      </c>
      <c r="L179" s="5">
        <f>IF(ROW()&lt;=2+0,"",INDEX(Daily_Input!$F:$F,ROW()-1))</f>
        <v>97696.448964138428</v>
      </c>
      <c r="M179" s="5">
        <f>IF(ROW()&lt;=2+1,"",INDEX(Daily_Input!$F:$F,ROW()-2))</f>
        <v>97996.566070838511</v>
      </c>
      <c r="N179" s="5">
        <f>IF(ROW()&lt;=2+2,"",INDEX(Daily_Input!$F:$F,ROW()-3))</f>
        <v>105147.56961854199</v>
      </c>
      <c r="O179" s="5">
        <f>IF(ROW()&lt;=2+6,"",INDEX(Daily_Input!$F:$F,ROW()-7))</f>
        <v>126557.10026629671</v>
      </c>
      <c r="P179" s="5">
        <f>IF(ROW()&lt;=2+13,"",INDEX(Daily_Input!$F:$F,ROW()-14))</f>
        <v>145062.07728889663</v>
      </c>
      <c r="Q179" s="5">
        <f>IF(ROW()&lt;=4,"",SUM(INDEX(Daily_Input!$I:$I,ROW()-2):INDEX(Daily_Input!$I:$I,ROW())))</f>
        <v>0</v>
      </c>
      <c r="R179" s="5">
        <f>IF(ROW()&lt;=8,"",SUM(INDEX(Daily_Input!$I:$I,ROW()-6):INDEX(Daily_Input!$I:$I,ROW())))</f>
        <v>0</v>
      </c>
      <c r="S179" s="5">
        <f>IF(ROW()&lt;=15,"",SUM(INDEX(Daily_Input!$I:$I,ROW()-13):INDEX(Daily_Input!$I:$I,ROW())))</f>
        <v>0</v>
      </c>
      <c r="T179" s="5">
        <f>IF(ROW()&lt;=4,"",AVERAGE(INDEX(Daily_Input!$F:$F,ROW()-2):INDEX(Daily_Input!$F:$F,ROW())))</f>
        <v>98487.158876371788</v>
      </c>
      <c r="U179" s="5">
        <f>IF(ROW()&lt;=2+0,"",INDEX(Daily_Input!$G:$G,ROW()-1))</f>
        <v>0</v>
      </c>
      <c r="V179" s="5">
        <f>IF(ROW()&lt;=2+0,"",INDEX(Daily_Input!$H:$H,ROW()-1))</f>
        <v>96713.272689999998</v>
      </c>
      <c r="W179" s="5">
        <f>IF(ROW()&lt;=2+1,"",INDEX(Daily_Input!$G:$G,ROW()-2))</f>
        <v>0</v>
      </c>
      <c r="X179" s="5">
        <f>IF(ROW()&lt;=2+1,"",INDEX(Daily_Input!$H:$H,ROW()-2))</f>
        <v>100039.38280000001</v>
      </c>
      <c r="Y179" s="5">
        <f>IF(ROW()&lt;=2+2,"",INDEX(Daily_Input!$G:$G,ROW()-3))</f>
        <v>0</v>
      </c>
      <c r="Z179" s="5">
        <f>IF(ROW()&lt;=2+2,"",INDEX(Daily_Input!$H:$H,ROW()-3))</f>
        <v>104163.86380000001</v>
      </c>
      <c r="AA179" s="5">
        <f>Daily_Input!N179</f>
        <v>0</v>
      </c>
      <c r="AB179" s="5">
        <f>Daily_Input!O179</f>
        <v>1.0999999999999999E-2</v>
      </c>
      <c r="AC179" s="5">
        <f>Daily_Input!P179</f>
        <v>1.339</v>
      </c>
      <c r="AD179" s="5">
        <f t="shared" si="7"/>
        <v>1.3499999999999999</v>
      </c>
      <c r="AE179" s="5">
        <f t="shared" si="8"/>
        <v>1.339</v>
      </c>
      <c r="AF179" s="5">
        <f>IF(A179="","",IFERROR(INDEX(Daily_Input!$F:$F,ROW()+1),""))</f>
        <v>98376.125304138433</v>
      </c>
      <c r="AG179" s="5">
        <f>IF(A179="","",IFERROR(INDEX(Daily_Input!$F:$F,ROW()+2),""))</f>
        <v>91510.302444138433</v>
      </c>
      <c r="AH179" s="5">
        <f>IF(A179="","",IFERROR(INDEX(Daily_Input!$F:$F,ROW()+3),""))</f>
        <v>84241.414214138436</v>
      </c>
    </row>
    <row r="180" spans="1:34">
      <c r="A180" s="5">
        <f>Daily_Input!A180</f>
        <v>46017</v>
      </c>
      <c r="B180" s="5">
        <f>Daily_Input!F180</f>
        <v>98376.125304138433</v>
      </c>
      <c r="C180" s="5">
        <f>Daily_Input!D180</f>
        <v>489.61900000000003</v>
      </c>
      <c r="D180" s="5">
        <f>Daily_Input!E180</f>
        <v>1646562.4785364</v>
      </c>
      <c r="E180" s="5" cm="1">
        <f t="array" ref="E180">IF(ROW()=2,"",INDEX(Daily_Input!$E:$E,ROW())-INDEX(Daily_Input!$E:$E,ROW()-1))</f>
        <v>0</v>
      </c>
      <c r="F180" s="5">
        <f>IFERROR(Daily_Input!E180/Config!$B$4,"")</f>
        <v>1.0129801229954363</v>
      </c>
      <c r="G180" s="5">
        <f>Daily_Input!I180</f>
        <v>0</v>
      </c>
      <c r="H180" s="5">
        <f>IF(A180="","",IF(ROW()=2,G180,Config!$B$5*H179+G180))</f>
        <v>24.124952302515617</v>
      </c>
      <c r="I180" s="5">
        <f t="shared" si="6"/>
        <v>360</v>
      </c>
      <c r="J180" s="5">
        <f>IF(I180="","",SIN(2*PI()*I180/Config!$B$6))</f>
        <v>-8.5964798737446696E-2</v>
      </c>
      <c r="K180" s="5">
        <f>IF(I180="","",COS(2*PI()*I180/Config!$B$6))</f>
        <v>0.99629817493460771</v>
      </c>
      <c r="L180" s="5">
        <f>IF(ROW()&lt;=2+0,"",INDEX(Daily_Input!$F:$F,ROW()-1))</f>
        <v>99768.461594138425</v>
      </c>
      <c r="M180" s="5">
        <f>IF(ROW()&lt;=2+1,"",INDEX(Daily_Input!$F:$F,ROW()-2))</f>
        <v>97696.448964138428</v>
      </c>
      <c r="N180" s="5">
        <f>IF(ROW()&lt;=2+2,"",INDEX(Daily_Input!$F:$F,ROW()-3))</f>
        <v>97996.566070838511</v>
      </c>
      <c r="O180" s="5">
        <f>IF(ROW()&lt;=2+6,"",INDEX(Daily_Input!$F:$F,ROW()-7))</f>
        <v>115580.61307334204</v>
      </c>
      <c r="P180" s="5">
        <f>IF(ROW()&lt;=2+13,"",INDEX(Daily_Input!$F:$F,ROW()-14))</f>
        <v>161541.79408427881</v>
      </c>
      <c r="Q180" s="5">
        <f>IF(ROW()&lt;=4,"",SUM(INDEX(Daily_Input!$I:$I,ROW()-2):INDEX(Daily_Input!$I:$I,ROW())))</f>
        <v>0</v>
      </c>
      <c r="R180" s="5">
        <f>IF(ROW()&lt;=8,"",SUM(INDEX(Daily_Input!$I:$I,ROW()-6):INDEX(Daily_Input!$I:$I,ROW())))</f>
        <v>0</v>
      </c>
      <c r="S180" s="5">
        <f>IF(ROW()&lt;=15,"",SUM(INDEX(Daily_Input!$I:$I,ROW()-13):INDEX(Daily_Input!$I:$I,ROW())))</f>
        <v>0</v>
      </c>
      <c r="T180" s="5">
        <f>IF(ROW()&lt;=4,"",AVERAGE(INDEX(Daily_Input!$F:$F,ROW()-2):INDEX(Daily_Input!$F:$F,ROW())))</f>
        <v>98613.678620805105</v>
      </c>
      <c r="U180" s="5">
        <f>IF(ROW()&lt;=2+0,"",INDEX(Daily_Input!$G:$G,ROW()-1))</f>
        <v>0</v>
      </c>
      <c r="V180" s="5">
        <f>IF(ROW()&lt;=2+0,"",INDEX(Daily_Input!$H:$H,ROW()-1))</f>
        <v>98785.285319999995</v>
      </c>
      <c r="W180" s="5">
        <f>IF(ROW()&lt;=2+1,"",INDEX(Daily_Input!$G:$G,ROW()-2))</f>
        <v>0</v>
      </c>
      <c r="X180" s="5">
        <f>IF(ROW()&lt;=2+1,"",INDEX(Daily_Input!$H:$H,ROW()-2))</f>
        <v>96713.272689999998</v>
      </c>
      <c r="Y180" s="5">
        <f>IF(ROW()&lt;=2+2,"",INDEX(Daily_Input!$G:$G,ROW()-3))</f>
        <v>0</v>
      </c>
      <c r="Z180" s="5">
        <f>IF(ROW()&lt;=2+2,"",INDEX(Daily_Input!$H:$H,ROW()-3))</f>
        <v>100039.38280000001</v>
      </c>
      <c r="AA180" s="5">
        <f>Daily_Input!N180</f>
        <v>1.0999999999999999E-2</v>
      </c>
      <c r="AB180" s="5">
        <f>Daily_Input!O180</f>
        <v>1.339</v>
      </c>
      <c r="AC180" s="5">
        <f>Daily_Input!P180</f>
        <v>0</v>
      </c>
      <c r="AD180" s="5">
        <f t="shared" si="7"/>
        <v>1.3499999999999999</v>
      </c>
      <c r="AE180" s="5">
        <f t="shared" si="8"/>
        <v>1.339</v>
      </c>
      <c r="AF180" s="5">
        <f>IF(A180="","",IFERROR(INDEX(Daily_Input!$F:$F,ROW()+1),""))</f>
        <v>91510.302444138433</v>
      </c>
      <c r="AG180" s="5">
        <f>IF(A180="","",IFERROR(INDEX(Daily_Input!$F:$F,ROW()+2),""))</f>
        <v>84241.414214138436</v>
      </c>
      <c r="AH180" s="5">
        <f>IF(A180="","",IFERROR(INDEX(Daily_Input!$F:$F,ROW()+3),""))</f>
        <v>76839.843350189229</v>
      </c>
    </row>
    <row r="181" spans="1:34">
      <c r="A181" s="5">
        <f>Daily_Input!A181</f>
        <v>46018</v>
      </c>
      <c r="B181" s="5">
        <f>Daily_Input!F181</f>
        <v>91510.302444138433</v>
      </c>
      <c r="C181" s="5">
        <f>Daily_Input!D181</f>
        <v>489.61799999999999</v>
      </c>
      <c r="D181" s="5">
        <f>Daily_Input!E181</f>
        <v>1646562.4785364</v>
      </c>
      <c r="E181" s="5" cm="1">
        <f t="array" ref="E181">IF(ROW()=2,"",INDEX(Daily_Input!$E:$E,ROW())-INDEX(Daily_Input!$E:$E,ROW()-1))</f>
        <v>0</v>
      </c>
      <c r="F181" s="5">
        <f>IFERROR(Daily_Input!E181/Config!$B$4,"")</f>
        <v>1.0129801229954363</v>
      </c>
      <c r="G181" s="5">
        <f>Daily_Input!I181</f>
        <v>0</v>
      </c>
      <c r="H181" s="5">
        <f>IF(A181="","",IF(ROW()=2,G181,Config!$B$5*H180+G181))</f>
        <v>22.918704687389834</v>
      </c>
      <c r="I181" s="5">
        <f t="shared" si="6"/>
        <v>361</v>
      </c>
      <c r="J181" s="5">
        <f>IF(I181="","",SIN(2*PI()*I181/Config!$B$6))</f>
        <v>-6.880242680232064E-2</v>
      </c>
      <c r="K181" s="5">
        <f>IF(I181="","",COS(2*PI()*I181/Config!$B$6))</f>
        <v>0.9976303053065857</v>
      </c>
      <c r="L181" s="5">
        <f>IF(ROW()&lt;=2+0,"",INDEX(Daily_Input!$F:$F,ROW()-1))</f>
        <v>98376.125304138433</v>
      </c>
      <c r="M181" s="5">
        <f>IF(ROW()&lt;=2+1,"",INDEX(Daily_Input!$F:$F,ROW()-2))</f>
        <v>99768.461594138425</v>
      </c>
      <c r="N181" s="5">
        <f>IF(ROW()&lt;=2+2,"",INDEX(Daily_Input!$F:$F,ROW()-3))</f>
        <v>97696.448964138428</v>
      </c>
      <c r="O181" s="5">
        <f>IF(ROW()&lt;=2+6,"",INDEX(Daily_Input!$F:$F,ROW()-7))</f>
        <v>109427.09161854199</v>
      </c>
      <c r="P181" s="5">
        <f>IF(ROW()&lt;=2+13,"",INDEX(Daily_Input!$F:$F,ROW()-14))</f>
        <v>143688.1908044967</v>
      </c>
      <c r="Q181" s="5">
        <f>IF(ROW()&lt;=4,"",SUM(INDEX(Daily_Input!$I:$I,ROW()-2):INDEX(Daily_Input!$I:$I,ROW())))</f>
        <v>0</v>
      </c>
      <c r="R181" s="5">
        <f>IF(ROW()&lt;=8,"",SUM(INDEX(Daily_Input!$I:$I,ROW()-6):INDEX(Daily_Input!$I:$I,ROW())))</f>
        <v>0</v>
      </c>
      <c r="S181" s="5">
        <f>IF(ROW()&lt;=15,"",SUM(INDEX(Daily_Input!$I:$I,ROW()-13):INDEX(Daily_Input!$I:$I,ROW())))</f>
        <v>0</v>
      </c>
      <c r="T181" s="5">
        <f>IF(ROW()&lt;=4,"",AVERAGE(INDEX(Daily_Input!$F:$F,ROW()-2):INDEX(Daily_Input!$F:$F,ROW())))</f>
        <v>96551.629780805102</v>
      </c>
      <c r="U181" s="5">
        <f>IF(ROW()&lt;=2+0,"",INDEX(Daily_Input!$G:$G,ROW()-1))</f>
        <v>0</v>
      </c>
      <c r="V181" s="5">
        <f>IF(ROW()&lt;=2+0,"",INDEX(Daily_Input!$H:$H,ROW()-1))</f>
        <v>97392.949030000003</v>
      </c>
      <c r="W181" s="5">
        <f>IF(ROW()&lt;=2+1,"",INDEX(Daily_Input!$G:$G,ROW()-2))</f>
        <v>0</v>
      </c>
      <c r="X181" s="5">
        <f>IF(ROW()&lt;=2+1,"",INDEX(Daily_Input!$H:$H,ROW()-2))</f>
        <v>98785.285319999995</v>
      </c>
      <c r="Y181" s="5">
        <f>IF(ROW()&lt;=2+2,"",INDEX(Daily_Input!$G:$G,ROW()-3))</f>
        <v>0</v>
      </c>
      <c r="Z181" s="5">
        <f>IF(ROW()&lt;=2+2,"",INDEX(Daily_Input!$H:$H,ROW()-3))</f>
        <v>96713.272689999998</v>
      </c>
      <c r="AA181" s="5">
        <f>Daily_Input!N181</f>
        <v>1.339</v>
      </c>
      <c r="AB181" s="5">
        <f>Daily_Input!O181</f>
        <v>0</v>
      </c>
      <c r="AC181" s="5">
        <f>Daily_Input!P181</f>
        <v>0</v>
      </c>
      <c r="AD181" s="5">
        <f t="shared" si="7"/>
        <v>1.339</v>
      </c>
      <c r="AE181" s="5">
        <f t="shared" si="8"/>
        <v>1.339</v>
      </c>
      <c r="AF181" s="5">
        <f>IF(A181="","",IFERROR(INDEX(Daily_Input!$F:$F,ROW()+1),""))</f>
        <v>84241.414214138436</v>
      </c>
      <c r="AG181" s="5">
        <f>IF(A181="","",IFERROR(INDEX(Daily_Input!$F:$F,ROW()+2),""))</f>
        <v>76839.843350189229</v>
      </c>
      <c r="AH181" s="5">
        <f>IF(A181="","",IFERROR(INDEX(Daily_Input!$F:$F,ROW()+3),""))</f>
        <v>72948.155639889126</v>
      </c>
    </row>
    <row r="182" spans="1:34">
      <c r="A182" s="5">
        <f>Daily_Input!A182</f>
        <v>46019</v>
      </c>
      <c r="B182" s="5">
        <f>Daily_Input!F182</f>
        <v>84241.414214138436</v>
      </c>
      <c r="C182" s="5">
        <f>Daily_Input!D182</f>
        <v>489.61200000000002</v>
      </c>
      <c r="D182" s="5">
        <f>Daily_Input!E182</f>
        <v>1646562.4785364</v>
      </c>
      <c r="E182" s="5" cm="1">
        <f t="array" ref="E182">IF(ROW()=2,"",INDEX(Daily_Input!$E:$E,ROW())-INDEX(Daily_Input!$E:$E,ROW()-1))</f>
        <v>0</v>
      </c>
      <c r="F182" s="5">
        <f>IFERROR(Daily_Input!E182/Config!$B$4,"")</f>
        <v>1.0129801229954363</v>
      </c>
      <c r="G182" s="5">
        <f>Daily_Input!I182</f>
        <v>0</v>
      </c>
      <c r="H182" s="5">
        <f>IF(A182="","",IF(ROW()=2,G182,Config!$B$5*H181+G182))</f>
        <v>21.772769453020342</v>
      </c>
      <c r="I182" s="5">
        <f t="shared" si="6"/>
        <v>362</v>
      </c>
      <c r="J182" s="5">
        <f>IF(I182="","",SIN(2*PI()*I182/Config!$B$6))</f>
        <v>-5.161966722325418E-2</v>
      </c>
      <c r="K182" s="5">
        <f>IF(I182="","",COS(2*PI()*I182/Config!$B$6))</f>
        <v>0.99866681628847587</v>
      </c>
      <c r="L182" s="5">
        <f>IF(ROW()&lt;=2+0,"",INDEX(Daily_Input!$F:$F,ROW()-1))</f>
        <v>91510.302444138433</v>
      </c>
      <c r="M182" s="5">
        <f>IF(ROW()&lt;=2+1,"",INDEX(Daily_Input!$F:$F,ROW()-2))</f>
        <v>98376.125304138433</v>
      </c>
      <c r="N182" s="5">
        <f>IF(ROW()&lt;=2+2,"",INDEX(Daily_Input!$F:$F,ROW()-3))</f>
        <v>99768.461594138425</v>
      </c>
      <c r="O182" s="5">
        <f>IF(ROW()&lt;=2+6,"",INDEX(Daily_Input!$F:$F,ROW()-7))</f>
        <v>112236.09011854199</v>
      </c>
      <c r="P182" s="5">
        <f>IF(ROW()&lt;=2+13,"",INDEX(Daily_Input!$F:$F,ROW()-14))</f>
        <v>152568.33660566524</v>
      </c>
      <c r="Q182" s="5">
        <f>IF(ROW()&lt;=4,"",SUM(INDEX(Daily_Input!$I:$I,ROW()-2):INDEX(Daily_Input!$I:$I,ROW())))</f>
        <v>0</v>
      </c>
      <c r="R182" s="5">
        <f>IF(ROW()&lt;=8,"",SUM(INDEX(Daily_Input!$I:$I,ROW()-6):INDEX(Daily_Input!$I:$I,ROW())))</f>
        <v>0</v>
      </c>
      <c r="S182" s="5">
        <f>IF(ROW()&lt;=15,"",SUM(INDEX(Daily_Input!$I:$I,ROW()-13):INDEX(Daily_Input!$I:$I,ROW())))</f>
        <v>0</v>
      </c>
      <c r="T182" s="5">
        <f>IF(ROW()&lt;=4,"",AVERAGE(INDEX(Daily_Input!$F:$F,ROW()-2):INDEX(Daily_Input!$F:$F,ROW())))</f>
        <v>91375.947320805091</v>
      </c>
      <c r="U182" s="5">
        <f>IF(ROW()&lt;=2+0,"",INDEX(Daily_Input!$G:$G,ROW()-1))</f>
        <v>0</v>
      </c>
      <c r="V182" s="5">
        <f>IF(ROW()&lt;=2+0,"",INDEX(Daily_Input!$H:$H,ROW()-1))</f>
        <v>90527.126170000003</v>
      </c>
      <c r="W182" s="5">
        <f>IF(ROW()&lt;=2+1,"",INDEX(Daily_Input!$G:$G,ROW()-2))</f>
        <v>0</v>
      </c>
      <c r="X182" s="5">
        <f>IF(ROW()&lt;=2+1,"",INDEX(Daily_Input!$H:$H,ROW()-2))</f>
        <v>97392.949030000003</v>
      </c>
      <c r="Y182" s="5">
        <f>IF(ROW()&lt;=2+2,"",INDEX(Daily_Input!$G:$G,ROW()-3))</f>
        <v>0</v>
      </c>
      <c r="Z182" s="5">
        <f>IF(ROW()&lt;=2+2,"",INDEX(Daily_Input!$H:$H,ROW()-3))</f>
        <v>98785.285319999995</v>
      </c>
      <c r="AA182" s="5">
        <f>Daily_Input!N182</f>
        <v>0</v>
      </c>
      <c r="AB182" s="5">
        <f>Daily_Input!O182</f>
        <v>0</v>
      </c>
      <c r="AC182" s="5">
        <f>Daily_Input!P182</f>
        <v>0</v>
      </c>
      <c r="AD182" s="5">
        <f t="shared" si="7"/>
        <v>0</v>
      </c>
      <c r="AE182" s="5">
        <f t="shared" si="8"/>
        <v>0</v>
      </c>
      <c r="AF182" s="5">
        <f>IF(A182="","",IFERROR(INDEX(Daily_Input!$F:$F,ROW()+1),""))</f>
        <v>76839.843350189229</v>
      </c>
      <c r="AG182" s="5">
        <f>IF(A182="","",IFERROR(INDEX(Daily_Input!$F:$F,ROW()+2),""))</f>
        <v>72948.155639889126</v>
      </c>
      <c r="AH182" s="5">
        <f>IF(A182="","",IFERROR(INDEX(Daily_Input!$F:$F,ROW()+3),""))</f>
        <v>69626.237029889133</v>
      </c>
    </row>
    <row r="183" spans="1:34">
      <c r="A183" s="5">
        <f>Daily_Input!A183</f>
        <v>46020</v>
      </c>
      <c r="B183" s="5">
        <f>Daily_Input!F183</f>
        <v>76839.843350189229</v>
      </c>
      <c r="C183" s="5">
        <f>Daily_Input!D183</f>
        <v>489.60599999999999</v>
      </c>
      <c r="D183" s="5">
        <f>Daily_Input!E183</f>
        <v>1643538.2164867001</v>
      </c>
      <c r="E183" s="5" cm="1">
        <f t="array" ref="E183">IF(ROW()=2,"",INDEX(Daily_Input!$E:$E,ROW())-INDEX(Daily_Input!$E:$E,ROW()-1))</f>
        <v>-3024.2620496999007</v>
      </c>
      <c r="F183" s="5">
        <f>IFERROR(Daily_Input!E183/Config!$B$4,"")</f>
        <v>1.0111195696407902</v>
      </c>
      <c r="G183" s="5">
        <f>Daily_Input!I183</f>
        <v>0</v>
      </c>
      <c r="H183" s="5">
        <f>IF(A183="","",IF(ROW()=2,G183,Config!$B$5*H182+G183))</f>
        <v>20.684130980369325</v>
      </c>
      <c r="I183" s="5">
        <f t="shared" si="6"/>
        <v>363</v>
      </c>
      <c r="J183" s="5">
        <f>IF(I183="","",SIN(2*PI()*I183/Config!$B$6))</f>
        <v>-3.4421611622745804E-2</v>
      </c>
      <c r="K183" s="5">
        <f>IF(I183="","",COS(2*PI()*I183/Config!$B$6))</f>
        <v>0.9994074007397048</v>
      </c>
      <c r="L183" s="5">
        <f>IF(ROW()&lt;=2+0,"",INDEX(Daily_Input!$F:$F,ROW()-1))</f>
        <v>84241.414214138436</v>
      </c>
      <c r="M183" s="5">
        <f>IF(ROW()&lt;=2+1,"",INDEX(Daily_Input!$F:$F,ROW()-2))</f>
        <v>91510.302444138433</v>
      </c>
      <c r="N183" s="5">
        <f>IF(ROW()&lt;=2+2,"",INDEX(Daily_Input!$F:$F,ROW()-3))</f>
        <v>98376.125304138433</v>
      </c>
      <c r="O183" s="5">
        <f>IF(ROW()&lt;=2+6,"",INDEX(Daily_Input!$F:$F,ROW()-7))</f>
        <v>105147.56961854199</v>
      </c>
      <c r="P183" s="5">
        <f>IF(ROW()&lt;=2+13,"",INDEX(Daily_Input!$F:$F,ROW()-14))</f>
        <v>147995.95882826514</v>
      </c>
      <c r="Q183" s="5">
        <f>IF(ROW()&lt;=4,"",SUM(INDEX(Daily_Input!$I:$I,ROW()-2):INDEX(Daily_Input!$I:$I,ROW())))</f>
        <v>0</v>
      </c>
      <c r="R183" s="5">
        <f>IF(ROW()&lt;=8,"",SUM(INDEX(Daily_Input!$I:$I,ROW()-6):INDEX(Daily_Input!$I:$I,ROW())))</f>
        <v>0</v>
      </c>
      <c r="S183" s="5">
        <f>IF(ROW()&lt;=15,"",SUM(INDEX(Daily_Input!$I:$I,ROW()-13):INDEX(Daily_Input!$I:$I,ROW())))</f>
        <v>0</v>
      </c>
      <c r="T183" s="5">
        <f>IF(ROW()&lt;=4,"",AVERAGE(INDEX(Daily_Input!$F:$F,ROW()-2):INDEX(Daily_Input!$F:$F,ROW())))</f>
        <v>84197.186669488685</v>
      </c>
      <c r="U183" s="5">
        <f>IF(ROW()&lt;=2+0,"",INDEX(Daily_Input!$G:$G,ROW()-1))</f>
        <v>0</v>
      </c>
      <c r="V183" s="5">
        <f>IF(ROW()&lt;=2+0,"",INDEX(Daily_Input!$H:$H,ROW()-1))</f>
        <v>83258.237940000006</v>
      </c>
      <c r="W183" s="5">
        <f>IF(ROW()&lt;=2+1,"",INDEX(Daily_Input!$G:$G,ROW()-2))</f>
        <v>0</v>
      </c>
      <c r="X183" s="5">
        <f>IF(ROW()&lt;=2+1,"",INDEX(Daily_Input!$H:$H,ROW()-2))</f>
        <v>90527.126170000003</v>
      </c>
      <c r="Y183" s="5">
        <f>IF(ROW()&lt;=2+2,"",INDEX(Daily_Input!$G:$G,ROW()-3))</f>
        <v>0</v>
      </c>
      <c r="Z183" s="5">
        <f>IF(ROW()&lt;=2+2,"",INDEX(Daily_Input!$H:$H,ROW()-3))</f>
        <v>97392.949030000003</v>
      </c>
      <c r="AA183" s="5">
        <f>Daily_Input!N183</f>
        <v>0</v>
      </c>
      <c r="AB183" s="5">
        <f>Daily_Input!O183</f>
        <v>0</v>
      </c>
      <c r="AC183" s="5">
        <f>Daily_Input!P183</f>
        <v>0</v>
      </c>
      <c r="AD183" s="5">
        <f t="shared" si="7"/>
        <v>0</v>
      </c>
      <c r="AE183" s="5">
        <f t="shared" si="8"/>
        <v>0</v>
      </c>
      <c r="AF183" s="5">
        <f>IF(A183="","",IFERROR(INDEX(Daily_Input!$F:$F,ROW()+1),""))</f>
        <v>72948.155639889126</v>
      </c>
      <c r="AG183" s="5">
        <f>IF(A183="","",IFERROR(INDEX(Daily_Input!$F:$F,ROW()+2),""))</f>
        <v>69626.237029889133</v>
      </c>
      <c r="AH183" s="5">
        <f>IF(A183="","",IFERROR(INDEX(Daily_Input!$F:$F,ROW()+3),""))</f>
        <v>78402.863886589228</v>
      </c>
    </row>
    <row r="184" spans="1:34">
      <c r="A184" s="5">
        <f>Daily_Input!A184</f>
        <v>46021</v>
      </c>
      <c r="B184" s="5">
        <f>Daily_Input!F184</f>
        <v>72948.155639889126</v>
      </c>
      <c r="C184" s="5">
        <f>Daily_Input!D184</f>
        <v>489.60599999999999</v>
      </c>
      <c r="D184" s="5">
        <f>Daily_Input!E184</f>
        <v>1643538.2164867001</v>
      </c>
      <c r="E184" s="5" cm="1">
        <f t="array" ref="E184">IF(ROW()=2,"",INDEX(Daily_Input!$E:$E,ROW())-INDEX(Daily_Input!$E:$E,ROW()-1))</f>
        <v>0</v>
      </c>
      <c r="F184" s="5">
        <f>IFERROR(Daily_Input!E184/Config!$B$4,"")</f>
        <v>1.0111195696407902</v>
      </c>
      <c r="G184" s="5">
        <f>Daily_Input!I184</f>
        <v>0</v>
      </c>
      <c r="H184" s="5">
        <f>IF(A184="","",IF(ROW()=2,G184,Config!$B$5*H183+G184))</f>
        <v>19.649924431350858</v>
      </c>
      <c r="I184" s="5">
        <f t="shared" si="6"/>
        <v>364</v>
      </c>
      <c r="J184" s="5">
        <f>IF(I184="","",SIN(2*PI()*I184/Config!$B$6))</f>
        <v>-1.7213356155835281E-2</v>
      </c>
      <c r="K184" s="5">
        <f>IF(I184="","",COS(2*PI()*I184/Config!$B$6))</f>
        <v>0.99985183920911624</v>
      </c>
      <c r="L184" s="5">
        <f>IF(ROW()&lt;=2+0,"",INDEX(Daily_Input!$F:$F,ROW()-1))</f>
        <v>76839.843350189229</v>
      </c>
      <c r="M184" s="5">
        <f>IF(ROW()&lt;=2+1,"",INDEX(Daily_Input!$F:$F,ROW()-2))</f>
        <v>84241.414214138436</v>
      </c>
      <c r="N184" s="5">
        <f>IF(ROW()&lt;=2+2,"",INDEX(Daily_Input!$F:$F,ROW()-3))</f>
        <v>91510.302444138433</v>
      </c>
      <c r="O184" s="5">
        <f>IF(ROW()&lt;=2+6,"",INDEX(Daily_Input!$F:$F,ROW()-7))</f>
        <v>97996.566070838511</v>
      </c>
      <c r="P184" s="5">
        <f>IF(ROW()&lt;=2+13,"",INDEX(Daily_Input!$F:$F,ROW()-14))</f>
        <v>134491.21018889663</v>
      </c>
      <c r="Q184" s="5">
        <f>IF(ROW()&lt;=4,"",SUM(INDEX(Daily_Input!$I:$I,ROW()-2):INDEX(Daily_Input!$I:$I,ROW())))</f>
        <v>0</v>
      </c>
      <c r="R184" s="5">
        <f>IF(ROW()&lt;=8,"",SUM(INDEX(Daily_Input!$I:$I,ROW()-6):INDEX(Daily_Input!$I:$I,ROW())))</f>
        <v>0</v>
      </c>
      <c r="S184" s="5">
        <f>IF(ROW()&lt;=15,"",SUM(INDEX(Daily_Input!$I:$I,ROW()-13):INDEX(Daily_Input!$I:$I,ROW())))</f>
        <v>0</v>
      </c>
      <c r="T184" s="5">
        <f>IF(ROW()&lt;=4,"",AVERAGE(INDEX(Daily_Input!$F:$F,ROW()-2):INDEX(Daily_Input!$F:$F,ROW())))</f>
        <v>78009.804401405607</v>
      </c>
      <c r="U184" s="5">
        <f>IF(ROW()&lt;=2+0,"",INDEX(Daily_Input!$G:$G,ROW()-1))</f>
        <v>0</v>
      </c>
      <c r="V184" s="5">
        <f>IF(ROW()&lt;=2+0,"",INDEX(Daily_Input!$H:$H,ROW()-1))</f>
        <v>78883.483410000001</v>
      </c>
      <c r="W184" s="5">
        <f>IF(ROW()&lt;=2+1,"",INDEX(Daily_Input!$G:$G,ROW()-2))</f>
        <v>0</v>
      </c>
      <c r="X184" s="5">
        <f>IF(ROW()&lt;=2+1,"",INDEX(Daily_Input!$H:$H,ROW()-2))</f>
        <v>83258.237940000006</v>
      </c>
      <c r="Y184" s="5">
        <f>IF(ROW()&lt;=2+2,"",INDEX(Daily_Input!$G:$G,ROW()-3))</f>
        <v>0</v>
      </c>
      <c r="Z184" s="5">
        <f>IF(ROW()&lt;=2+2,"",INDEX(Daily_Input!$H:$H,ROW()-3))</f>
        <v>90527.126170000003</v>
      </c>
      <c r="AA184" s="5">
        <f>Daily_Input!N184</f>
        <v>0</v>
      </c>
      <c r="AB184" s="5">
        <f>Daily_Input!O184</f>
        <v>0</v>
      </c>
      <c r="AC184" s="5">
        <f>Daily_Input!P184</f>
        <v>0</v>
      </c>
      <c r="AD184" s="5">
        <f t="shared" si="7"/>
        <v>0</v>
      </c>
      <c r="AE184" s="5">
        <f t="shared" si="8"/>
        <v>0</v>
      </c>
      <c r="AF184" s="5">
        <f>IF(A184="","",IFERROR(INDEX(Daily_Input!$F:$F,ROW()+1),""))</f>
        <v>69626.237029889133</v>
      </c>
      <c r="AG184" s="5">
        <f>IF(A184="","",IFERROR(INDEX(Daily_Input!$F:$F,ROW()+2),""))</f>
        <v>78402.863886589228</v>
      </c>
      <c r="AH184" s="5">
        <f>IF(A184="","",IFERROR(INDEX(Daily_Input!$F:$F,ROW()+3),""))</f>
        <v>69911.657463295516</v>
      </c>
    </row>
    <row r="185" spans="1:34">
      <c r="A185" s="5">
        <f>Daily_Input!A185</f>
        <v>46022</v>
      </c>
      <c r="B185" s="5">
        <f>Daily_Input!F185</f>
        <v>69626.237029889133</v>
      </c>
      <c r="C185" s="5">
        <f>Daily_Input!D185</f>
        <v>489.60599999999999</v>
      </c>
      <c r="D185" s="5">
        <f>Daily_Input!E185</f>
        <v>1643538.2164867001</v>
      </c>
      <c r="E185" s="5" cm="1">
        <f t="array" ref="E185">IF(ROW()=2,"",INDEX(Daily_Input!$E:$E,ROW())-INDEX(Daily_Input!$E:$E,ROW()-1))</f>
        <v>0</v>
      </c>
      <c r="F185" s="5">
        <f>IFERROR(Daily_Input!E185/Config!$B$4,"")</f>
        <v>1.0111195696407902</v>
      </c>
      <c r="G185" s="5">
        <f>Daily_Input!I185</f>
        <v>0</v>
      </c>
      <c r="H185" s="5">
        <f>IF(A185="","",IF(ROW()=2,G185,Config!$B$5*H184+G185))</f>
        <v>18.667428209783314</v>
      </c>
      <c r="I185" s="5">
        <f t="shared" si="6"/>
        <v>365</v>
      </c>
      <c r="J185" s="5">
        <f>IF(I185="","",SIN(2*PI()*I185/Config!$B$6))</f>
        <v>6.4314872871840123E-16</v>
      </c>
      <c r="K185" s="5">
        <f>IF(I185="","",COS(2*PI()*I185/Config!$B$6))</f>
        <v>1</v>
      </c>
      <c r="L185" s="5">
        <f>IF(ROW()&lt;=2+0,"",INDEX(Daily_Input!$F:$F,ROW()-1))</f>
        <v>72948.155639889126</v>
      </c>
      <c r="M185" s="5">
        <f>IF(ROW()&lt;=2+1,"",INDEX(Daily_Input!$F:$F,ROW()-2))</f>
        <v>76839.843350189229</v>
      </c>
      <c r="N185" s="5">
        <f>IF(ROW()&lt;=2+2,"",INDEX(Daily_Input!$F:$F,ROW()-3))</f>
        <v>84241.414214138436</v>
      </c>
      <c r="O185" s="5">
        <f>IF(ROW()&lt;=2+6,"",INDEX(Daily_Input!$F:$F,ROW()-7))</f>
        <v>97696.448964138428</v>
      </c>
      <c r="P185" s="5">
        <f>IF(ROW()&lt;=2+13,"",INDEX(Daily_Input!$F:$F,ROW()-14))</f>
        <v>135923.13246629672</v>
      </c>
      <c r="Q185" s="5">
        <f>IF(ROW()&lt;=4,"",SUM(INDEX(Daily_Input!$I:$I,ROW()-2):INDEX(Daily_Input!$I:$I,ROW())))</f>
        <v>0</v>
      </c>
      <c r="R185" s="5">
        <f>IF(ROW()&lt;=8,"",SUM(INDEX(Daily_Input!$I:$I,ROW()-6):INDEX(Daily_Input!$I:$I,ROW())))</f>
        <v>0</v>
      </c>
      <c r="S185" s="5">
        <f>IF(ROW()&lt;=15,"",SUM(INDEX(Daily_Input!$I:$I,ROW()-13):INDEX(Daily_Input!$I:$I,ROW())))</f>
        <v>0</v>
      </c>
      <c r="T185" s="5">
        <f>IF(ROW()&lt;=4,"",AVERAGE(INDEX(Daily_Input!$F:$F,ROW()-2):INDEX(Daily_Input!$F:$F,ROW())))</f>
        <v>73138.078673322496</v>
      </c>
      <c r="U185" s="5">
        <f>IF(ROW()&lt;=2+0,"",INDEX(Daily_Input!$G:$G,ROW()-1))</f>
        <v>0</v>
      </c>
      <c r="V185" s="5">
        <f>IF(ROW()&lt;=2+0,"",INDEX(Daily_Input!$H:$H,ROW()-1))</f>
        <v>71967.533649999998</v>
      </c>
      <c r="W185" s="5">
        <f>IF(ROW()&lt;=2+1,"",INDEX(Daily_Input!$G:$G,ROW()-2))</f>
        <v>0</v>
      </c>
      <c r="X185" s="5">
        <f>IF(ROW()&lt;=2+1,"",INDEX(Daily_Input!$H:$H,ROW()-2))</f>
        <v>78883.483410000001</v>
      </c>
      <c r="Y185" s="5">
        <f>IF(ROW()&lt;=2+2,"",INDEX(Daily_Input!$G:$G,ROW()-3))</f>
        <v>0</v>
      </c>
      <c r="Z185" s="5">
        <f>IF(ROW()&lt;=2+2,"",INDEX(Daily_Input!$H:$H,ROW()-3))</f>
        <v>83258.237940000006</v>
      </c>
      <c r="AA185" s="5">
        <f>Daily_Input!N185</f>
        <v>0</v>
      </c>
      <c r="AB185" s="5">
        <f>Daily_Input!O185</f>
        <v>0</v>
      </c>
      <c r="AC185" s="5">
        <f>Daily_Input!P185</f>
        <v>0</v>
      </c>
      <c r="AD185" s="5">
        <f t="shared" si="7"/>
        <v>0</v>
      </c>
      <c r="AE185" s="5">
        <f t="shared" si="8"/>
        <v>0</v>
      </c>
      <c r="AF185" s="5">
        <f>IF(A185="","",IFERROR(INDEX(Daily_Input!$F:$F,ROW()+1),""))</f>
        <v>78402.863886589228</v>
      </c>
      <c r="AG185" s="5">
        <f>IF(A185="","",IFERROR(INDEX(Daily_Input!$F:$F,ROW()+2),""))</f>
        <v>69911.657463295516</v>
      </c>
      <c r="AH185" s="5">
        <f>IF(A185="","",IFERROR(INDEX(Daily_Input!$F:$F,ROW()+3),""))</f>
        <v>69280.778710895713</v>
      </c>
    </row>
    <row r="186" spans="1:34">
      <c r="A186" s="5">
        <f>Daily_Input!A186</f>
        <v>46023</v>
      </c>
      <c r="B186" s="5">
        <f>Daily_Input!F186</f>
        <v>78402.863886589228</v>
      </c>
      <c r="C186" s="5">
        <f>Daily_Input!D186</f>
        <v>489.60599999999999</v>
      </c>
      <c r="D186" s="5">
        <f>Daily_Input!E186</f>
        <v>1643538.2164867001</v>
      </c>
      <c r="E186" s="5" cm="1">
        <f t="array" ref="E186">IF(ROW()=2,"",INDEX(Daily_Input!$E:$E,ROW())-INDEX(Daily_Input!$E:$E,ROW()-1))</f>
        <v>0</v>
      </c>
      <c r="F186" s="5">
        <f>IFERROR(Daily_Input!E186/Config!$B$4,"")</f>
        <v>1.0111195696407902</v>
      </c>
      <c r="G186" s="5">
        <f>Daily_Input!I186</f>
        <v>0</v>
      </c>
      <c r="H186" s="5">
        <f>IF(A186="","",IF(ROW()=2,G186,Config!$B$5*H185+G186))</f>
        <v>17.734056799294148</v>
      </c>
      <c r="I186" s="5">
        <f t="shared" si="6"/>
        <v>1</v>
      </c>
      <c r="J186" s="5">
        <f>IF(I186="","",SIN(2*PI()*I186/Config!$B$6))</f>
        <v>1.7213356155834685E-2</v>
      </c>
      <c r="K186" s="5">
        <f>IF(I186="","",COS(2*PI()*I186/Config!$B$6))</f>
        <v>0.99985183920911624</v>
      </c>
      <c r="L186" s="5">
        <f>IF(ROW()&lt;=2+0,"",INDEX(Daily_Input!$F:$F,ROW()-1))</f>
        <v>69626.237029889133</v>
      </c>
      <c r="M186" s="5">
        <f>IF(ROW()&lt;=2+1,"",INDEX(Daily_Input!$F:$F,ROW()-2))</f>
        <v>72948.155639889126</v>
      </c>
      <c r="N186" s="5">
        <f>IF(ROW()&lt;=2+2,"",INDEX(Daily_Input!$F:$F,ROW()-3))</f>
        <v>76839.843350189229</v>
      </c>
      <c r="O186" s="5">
        <f>IF(ROW()&lt;=2+6,"",INDEX(Daily_Input!$F:$F,ROW()-7))</f>
        <v>99768.461594138425</v>
      </c>
      <c r="P186" s="5">
        <f>IF(ROW()&lt;=2+13,"",INDEX(Daily_Input!$F:$F,ROW()-14))</f>
        <v>126557.10026629671</v>
      </c>
      <c r="Q186" s="5">
        <f>IF(ROW()&lt;=4,"",SUM(INDEX(Daily_Input!$I:$I,ROW()-2):INDEX(Daily_Input!$I:$I,ROW())))</f>
        <v>0</v>
      </c>
      <c r="R186" s="5">
        <f>IF(ROW()&lt;=8,"",SUM(INDEX(Daily_Input!$I:$I,ROW()-6):INDEX(Daily_Input!$I:$I,ROW())))</f>
        <v>0</v>
      </c>
      <c r="S186" s="5">
        <f>IF(ROW()&lt;=15,"",SUM(INDEX(Daily_Input!$I:$I,ROW()-13):INDEX(Daily_Input!$I:$I,ROW())))</f>
        <v>0</v>
      </c>
      <c r="T186" s="5">
        <f>IF(ROW()&lt;=4,"",AVERAGE(INDEX(Daily_Input!$F:$F,ROW()-2):INDEX(Daily_Input!$F:$F,ROW())))</f>
        <v>73659.085518789172</v>
      </c>
      <c r="U186" s="5">
        <f>IF(ROW()&lt;=2+0,"",INDEX(Daily_Input!$G:$G,ROW()-1))</f>
        <v>0</v>
      </c>
      <c r="V186" s="5">
        <f>IF(ROW()&lt;=2+0,"",INDEX(Daily_Input!$H:$H,ROW()-1))</f>
        <v>68645.615040000004</v>
      </c>
      <c r="W186" s="5">
        <f>IF(ROW()&lt;=2+1,"",INDEX(Daily_Input!$G:$G,ROW()-2))</f>
        <v>0</v>
      </c>
      <c r="X186" s="5">
        <f>IF(ROW()&lt;=2+1,"",INDEX(Daily_Input!$H:$H,ROW()-2))</f>
        <v>71967.533649999998</v>
      </c>
      <c r="Y186" s="5">
        <f>IF(ROW()&lt;=2+2,"",INDEX(Daily_Input!$G:$G,ROW()-3))</f>
        <v>0</v>
      </c>
      <c r="Z186" s="5">
        <f>IF(ROW()&lt;=2+2,"",INDEX(Daily_Input!$H:$H,ROW()-3))</f>
        <v>78883.483410000001</v>
      </c>
      <c r="AA186" s="5">
        <f>Daily_Input!N186</f>
        <v>0</v>
      </c>
      <c r="AB186" s="5">
        <f>Daily_Input!O186</f>
        <v>0</v>
      </c>
      <c r="AC186" s="5">
        <f>Daily_Input!P186</f>
        <v>1.462</v>
      </c>
      <c r="AD186" s="5">
        <f t="shared" si="7"/>
        <v>1.462</v>
      </c>
      <c r="AE186" s="5">
        <f t="shared" si="8"/>
        <v>1.462</v>
      </c>
      <c r="AF186" s="5">
        <f>IF(A186="","",IFERROR(INDEX(Daily_Input!$F:$F,ROW()+1),""))</f>
        <v>69911.657463295516</v>
      </c>
      <c r="AG186" s="5">
        <f>IF(A186="","",IFERROR(INDEX(Daily_Input!$F:$F,ROW()+2),""))</f>
        <v>69280.778710895713</v>
      </c>
      <c r="AH186" s="5">
        <f>IF(A186="","",IFERROR(INDEX(Daily_Input!$F:$F,ROW()+3),""))</f>
        <v>67163.598170895712</v>
      </c>
    </row>
    <row r="187" spans="1:34">
      <c r="A187" s="5">
        <f>Daily_Input!A187</f>
        <v>46024</v>
      </c>
      <c r="B187" s="5">
        <f>Daily_Input!F187</f>
        <v>69911.657463295516</v>
      </c>
      <c r="C187" s="5">
        <f>Daily_Input!D187</f>
        <v>489.59899999999999</v>
      </c>
      <c r="D187" s="5">
        <f>Daily_Input!E187</f>
        <v>1640521.8742390999</v>
      </c>
      <c r="E187" s="5" cm="1">
        <f t="array" ref="E187">IF(ROW()=2,"",INDEX(Daily_Input!$E:$E,ROW())-INDEX(Daily_Input!$E:$E,ROW()-1))</f>
        <v>-3016.3422476002015</v>
      </c>
      <c r="F187" s="5">
        <f>IFERROR(Daily_Input!E187/Config!$B$4,"")</f>
        <v>1.0092638886199967</v>
      </c>
      <c r="G187" s="5">
        <f>Daily_Input!I187</f>
        <v>0</v>
      </c>
      <c r="H187" s="5">
        <f>IF(A187="","",IF(ROW()=2,G187,Config!$B$5*H186+G187))</f>
        <v>16.847353959329439</v>
      </c>
      <c r="I187" s="5">
        <f t="shared" si="6"/>
        <v>2</v>
      </c>
      <c r="J187" s="5">
        <f>IF(I187="","",SIN(2*PI()*I187/Config!$B$6))</f>
        <v>3.4421611622745742E-2</v>
      </c>
      <c r="K187" s="5">
        <f>IF(I187="","",COS(2*PI()*I187/Config!$B$6))</f>
        <v>0.9994074007397048</v>
      </c>
      <c r="L187" s="5">
        <f>IF(ROW()&lt;=2+0,"",INDEX(Daily_Input!$F:$F,ROW()-1))</f>
        <v>78402.863886589228</v>
      </c>
      <c r="M187" s="5">
        <f>IF(ROW()&lt;=2+1,"",INDEX(Daily_Input!$F:$F,ROW()-2))</f>
        <v>69626.237029889133</v>
      </c>
      <c r="N187" s="5">
        <f>IF(ROW()&lt;=2+2,"",INDEX(Daily_Input!$F:$F,ROW()-3))</f>
        <v>72948.155639889126</v>
      </c>
      <c r="O187" s="5">
        <f>IF(ROW()&lt;=2+6,"",INDEX(Daily_Input!$F:$F,ROW()-7))</f>
        <v>98376.125304138433</v>
      </c>
      <c r="P187" s="5">
        <f>IF(ROW()&lt;=2+13,"",INDEX(Daily_Input!$F:$F,ROW()-14))</f>
        <v>115580.61307334204</v>
      </c>
      <c r="Q187" s="5">
        <f>IF(ROW()&lt;=4,"",SUM(INDEX(Daily_Input!$I:$I,ROW()-2):INDEX(Daily_Input!$I:$I,ROW())))</f>
        <v>0</v>
      </c>
      <c r="R187" s="5">
        <f>IF(ROW()&lt;=8,"",SUM(INDEX(Daily_Input!$I:$I,ROW()-6):INDEX(Daily_Input!$I:$I,ROW())))</f>
        <v>0</v>
      </c>
      <c r="S187" s="5">
        <f>IF(ROW()&lt;=15,"",SUM(INDEX(Daily_Input!$I:$I,ROW()-13):INDEX(Daily_Input!$I:$I,ROW())))</f>
        <v>0</v>
      </c>
      <c r="T187" s="5">
        <f>IF(ROW()&lt;=4,"",AVERAGE(INDEX(Daily_Input!$F:$F,ROW()-2):INDEX(Daily_Input!$F:$F,ROW())))</f>
        <v>72646.919459924626</v>
      </c>
      <c r="U187" s="5">
        <f>IF(ROW()&lt;=2+0,"",INDEX(Daily_Input!$G:$G,ROW()-1))</f>
        <v>0</v>
      </c>
      <c r="V187" s="5">
        <f>IF(ROW()&lt;=2+0,"",INDEX(Daily_Input!$H:$H,ROW()-1))</f>
        <v>77422.241410000002</v>
      </c>
      <c r="W187" s="5">
        <f>IF(ROW()&lt;=2+1,"",INDEX(Daily_Input!$G:$G,ROW()-2))</f>
        <v>0</v>
      </c>
      <c r="X187" s="5">
        <f>IF(ROW()&lt;=2+1,"",INDEX(Daily_Input!$H:$H,ROW()-2))</f>
        <v>68645.615040000004</v>
      </c>
      <c r="Y187" s="5">
        <f>IF(ROW()&lt;=2+2,"",INDEX(Daily_Input!$G:$G,ROW()-3))</f>
        <v>0</v>
      </c>
      <c r="Z187" s="5">
        <f>IF(ROW()&lt;=2+2,"",INDEX(Daily_Input!$H:$H,ROW()-3))</f>
        <v>71967.533649999998</v>
      </c>
      <c r="AA187" s="5">
        <f>Daily_Input!N187</f>
        <v>0</v>
      </c>
      <c r="AB187" s="5">
        <f>Daily_Input!O187</f>
        <v>1.462</v>
      </c>
      <c r="AC187" s="5">
        <f>Daily_Input!P187</f>
        <v>0.51300000000000001</v>
      </c>
      <c r="AD187" s="5">
        <f t="shared" si="7"/>
        <v>1.9750000000000001</v>
      </c>
      <c r="AE187" s="5">
        <f t="shared" si="8"/>
        <v>1.462</v>
      </c>
      <c r="AF187" s="5">
        <f>IF(A187="","",IFERROR(INDEX(Daily_Input!$F:$F,ROW()+1),""))</f>
        <v>69280.778710895713</v>
      </c>
      <c r="AG187" s="5">
        <f>IF(A187="","",IFERROR(INDEX(Daily_Input!$F:$F,ROW()+2),""))</f>
        <v>67163.598170895712</v>
      </c>
      <c r="AH187" s="5">
        <f>IF(A187="","",IFERROR(INDEX(Daily_Input!$F:$F,ROW()+3),""))</f>
        <v>55671.367700895709</v>
      </c>
    </row>
    <row r="188" spans="1:34">
      <c r="A188" s="5">
        <f>Daily_Input!A188</f>
        <v>46025</v>
      </c>
      <c r="B188" s="5">
        <f>Daily_Input!F188</f>
        <v>69280.778710895713</v>
      </c>
      <c r="C188" s="5">
        <f>Daily_Input!D188</f>
        <v>489.59899999999999</v>
      </c>
      <c r="D188" s="5">
        <f>Daily_Input!E188</f>
        <v>1640521.8742390999</v>
      </c>
      <c r="E188" s="5" cm="1">
        <f t="array" ref="E188">IF(ROW()=2,"",INDEX(Daily_Input!$E:$E,ROW())-INDEX(Daily_Input!$E:$E,ROW()-1))</f>
        <v>0</v>
      </c>
      <c r="F188" s="5">
        <f>IFERROR(Daily_Input!E188/Config!$B$4,"")</f>
        <v>1.0092638886199967</v>
      </c>
      <c r="G188" s="5">
        <f>Daily_Input!I188</f>
        <v>0</v>
      </c>
      <c r="H188" s="5">
        <f>IF(A188="","",IF(ROW()=2,G188,Config!$B$5*H187+G188))</f>
        <v>16.004986261362966</v>
      </c>
      <c r="I188" s="5">
        <f t="shared" si="6"/>
        <v>3</v>
      </c>
      <c r="J188" s="5">
        <f>IF(I188="","",SIN(2*PI()*I188/Config!$B$6))</f>
        <v>5.1619667223253764E-2</v>
      </c>
      <c r="K188" s="5">
        <f>IF(I188="","",COS(2*PI()*I188/Config!$B$6))</f>
        <v>0.99866681628847598</v>
      </c>
      <c r="L188" s="5">
        <f>IF(ROW()&lt;=2+0,"",INDEX(Daily_Input!$F:$F,ROW()-1))</f>
        <v>69911.657463295516</v>
      </c>
      <c r="M188" s="5">
        <f>IF(ROW()&lt;=2+1,"",INDEX(Daily_Input!$F:$F,ROW()-2))</f>
        <v>78402.863886589228</v>
      </c>
      <c r="N188" s="5">
        <f>IF(ROW()&lt;=2+2,"",INDEX(Daily_Input!$F:$F,ROW()-3))</f>
        <v>69626.237029889133</v>
      </c>
      <c r="O188" s="5">
        <f>IF(ROW()&lt;=2+6,"",INDEX(Daily_Input!$F:$F,ROW()-7))</f>
        <v>91510.302444138433</v>
      </c>
      <c r="P188" s="5">
        <f>IF(ROW()&lt;=2+13,"",INDEX(Daily_Input!$F:$F,ROW()-14))</f>
        <v>109427.09161854199</v>
      </c>
      <c r="Q188" s="5">
        <f>IF(ROW()&lt;=4,"",SUM(INDEX(Daily_Input!$I:$I,ROW()-2):INDEX(Daily_Input!$I:$I,ROW())))</f>
        <v>0</v>
      </c>
      <c r="R188" s="5">
        <f>IF(ROW()&lt;=8,"",SUM(INDEX(Daily_Input!$I:$I,ROW()-6):INDEX(Daily_Input!$I:$I,ROW())))</f>
        <v>0</v>
      </c>
      <c r="S188" s="5">
        <f>IF(ROW()&lt;=15,"",SUM(INDEX(Daily_Input!$I:$I,ROW()-13):INDEX(Daily_Input!$I:$I,ROW())))</f>
        <v>0</v>
      </c>
      <c r="T188" s="5">
        <f>IF(ROW()&lt;=4,"",AVERAGE(INDEX(Daily_Input!$F:$F,ROW()-2):INDEX(Daily_Input!$F:$F,ROW())))</f>
        <v>72531.766686926814</v>
      </c>
      <c r="U188" s="5">
        <f>IF(ROW()&lt;=2+0,"",INDEX(Daily_Input!$G:$G,ROW()-1))</f>
        <v>0</v>
      </c>
      <c r="V188" s="5">
        <f>IF(ROW()&lt;=2+0,"",INDEX(Daily_Input!$H:$H,ROW()-1))</f>
        <v>71947.999150000003</v>
      </c>
      <c r="W188" s="5">
        <f>IF(ROW()&lt;=2+1,"",INDEX(Daily_Input!$G:$G,ROW()-2))</f>
        <v>0</v>
      </c>
      <c r="X188" s="5">
        <f>IF(ROW()&lt;=2+1,"",INDEX(Daily_Input!$H:$H,ROW()-2))</f>
        <v>77422.241410000002</v>
      </c>
      <c r="Y188" s="5">
        <f>IF(ROW()&lt;=2+2,"",INDEX(Daily_Input!$G:$G,ROW()-3))</f>
        <v>0</v>
      </c>
      <c r="Z188" s="5">
        <f>IF(ROW()&lt;=2+2,"",INDEX(Daily_Input!$H:$H,ROW()-3))</f>
        <v>68645.615040000004</v>
      </c>
      <c r="AA188" s="5">
        <f>Daily_Input!N188</f>
        <v>1.462</v>
      </c>
      <c r="AB188" s="5">
        <f>Daily_Input!O188</f>
        <v>0.51300000000000001</v>
      </c>
      <c r="AC188" s="5">
        <f>Daily_Input!P188</f>
        <v>0.186</v>
      </c>
      <c r="AD188" s="5">
        <f t="shared" si="7"/>
        <v>2.161</v>
      </c>
      <c r="AE188" s="5">
        <f t="shared" si="8"/>
        <v>1.462</v>
      </c>
      <c r="AF188" s="5">
        <f>IF(A188="","",IFERROR(INDEX(Daily_Input!$F:$F,ROW()+1),""))</f>
        <v>67163.598170895712</v>
      </c>
      <c r="AG188" s="5">
        <f>IF(A188="","",IFERROR(INDEX(Daily_Input!$F:$F,ROW()+2),""))</f>
        <v>55671.367700895709</v>
      </c>
      <c r="AH188" s="5">
        <f>IF(A188="","",IFERROR(INDEX(Daily_Input!$F:$F,ROW()+3),""))</f>
        <v>47965.922939947508</v>
      </c>
    </row>
    <row r="189" spans="1:34">
      <c r="A189" s="5">
        <f>Daily_Input!A189</f>
        <v>46026</v>
      </c>
      <c r="B189" s="5">
        <f>Daily_Input!F189</f>
        <v>67163.598170895712</v>
      </c>
      <c r="C189" s="5">
        <f>Daily_Input!D189</f>
        <v>489.59899999999999</v>
      </c>
      <c r="D189" s="5">
        <f>Daily_Input!E189</f>
        <v>1640521.8742390999</v>
      </c>
      <c r="E189" s="5" cm="1">
        <f t="array" ref="E189">IF(ROW()=2,"",INDEX(Daily_Input!$E:$E,ROW())-INDEX(Daily_Input!$E:$E,ROW()-1))</f>
        <v>0</v>
      </c>
      <c r="F189" s="5">
        <f>IFERROR(Daily_Input!E189/Config!$B$4,"")</f>
        <v>1.0092638886199967</v>
      </c>
      <c r="G189" s="5">
        <f>Daily_Input!I189</f>
        <v>0</v>
      </c>
      <c r="H189" s="5">
        <f>IF(A189="","",IF(ROW()=2,G189,Config!$B$5*H188+G189))</f>
        <v>15.204736948294817</v>
      </c>
      <c r="I189" s="5">
        <f t="shared" si="6"/>
        <v>4</v>
      </c>
      <c r="J189" s="5">
        <f>IF(I189="","",SIN(2*PI()*I189/Config!$B$6))</f>
        <v>6.8802426802319863E-2</v>
      </c>
      <c r="K189" s="5">
        <f>IF(I189="","",COS(2*PI()*I189/Config!$B$6))</f>
        <v>0.9976303053065857</v>
      </c>
      <c r="L189" s="5">
        <f>IF(ROW()&lt;=2+0,"",INDEX(Daily_Input!$F:$F,ROW()-1))</f>
        <v>69280.778710895713</v>
      </c>
      <c r="M189" s="5">
        <f>IF(ROW()&lt;=2+1,"",INDEX(Daily_Input!$F:$F,ROW()-2))</f>
        <v>69911.657463295516</v>
      </c>
      <c r="N189" s="5">
        <f>IF(ROW()&lt;=2+2,"",INDEX(Daily_Input!$F:$F,ROW()-3))</f>
        <v>78402.863886589228</v>
      </c>
      <c r="O189" s="5">
        <f>IF(ROW()&lt;=2+6,"",INDEX(Daily_Input!$F:$F,ROW()-7))</f>
        <v>84241.414214138436</v>
      </c>
      <c r="P189" s="5">
        <f>IF(ROW()&lt;=2+13,"",INDEX(Daily_Input!$F:$F,ROW()-14))</f>
        <v>112236.09011854199</v>
      </c>
      <c r="Q189" s="5">
        <f>IF(ROW()&lt;=4,"",SUM(INDEX(Daily_Input!$I:$I,ROW()-2):INDEX(Daily_Input!$I:$I,ROW())))</f>
        <v>0</v>
      </c>
      <c r="R189" s="5">
        <f>IF(ROW()&lt;=8,"",SUM(INDEX(Daily_Input!$I:$I,ROW()-6):INDEX(Daily_Input!$I:$I,ROW())))</f>
        <v>0</v>
      </c>
      <c r="S189" s="5">
        <f>IF(ROW()&lt;=15,"",SUM(INDEX(Daily_Input!$I:$I,ROW()-13):INDEX(Daily_Input!$I:$I,ROW())))</f>
        <v>0</v>
      </c>
      <c r="T189" s="5">
        <f>IF(ROW()&lt;=4,"",AVERAGE(INDEX(Daily_Input!$F:$F,ROW()-2):INDEX(Daily_Input!$F:$F,ROW())))</f>
        <v>68785.344781695647</v>
      </c>
      <c r="U189" s="5">
        <f>IF(ROW()&lt;=2+0,"",INDEX(Daily_Input!$G:$G,ROW()-1))</f>
        <v>0</v>
      </c>
      <c r="V189" s="5">
        <f>IF(ROW()&lt;=2+0,"",INDEX(Daily_Input!$H:$H,ROW()-1))</f>
        <v>68300.778149999998</v>
      </c>
      <c r="W189" s="5">
        <f>IF(ROW()&lt;=2+1,"",INDEX(Daily_Input!$G:$G,ROW()-2))</f>
        <v>0</v>
      </c>
      <c r="X189" s="5">
        <f>IF(ROW()&lt;=2+1,"",INDEX(Daily_Input!$H:$H,ROW()-2))</f>
        <v>71947.999150000003</v>
      </c>
      <c r="Y189" s="5">
        <f>IF(ROW()&lt;=2+2,"",INDEX(Daily_Input!$G:$G,ROW()-3))</f>
        <v>0</v>
      </c>
      <c r="Z189" s="5">
        <f>IF(ROW()&lt;=2+2,"",INDEX(Daily_Input!$H:$H,ROW()-3))</f>
        <v>77422.241410000002</v>
      </c>
      <c r="AA189" s="5">
        <f>Daily_Input!N189</f>
        <v>0.51300000000000001</v>
      </c>
      <c r="AB189" s="5">
        <f>Daily_Input!O189</f>
        <v>0.186</v>
      </c>
      <c r="AC189" s="5">
        <f>Daily_Input!P189</f>
        <v>1.3520000000000001</v>
      </c>
      <c r="AD189" s="5">
        <f t="shared" si="7"/>
        <v>2.0510000000000002</v>
      </c>
      <c r="AE189" s="5">
        <f t="shared" si="8"/>
        <v>1.3520000000000001</v>
      </c>
      <c r="AF189" s="5">
        <f>IF(A189="","",IFERROR(INDEX(Daily_Input!$F:$F,ROW()+1),""))</f>
        <v>55671.367700895709</v>
      </c>
      <c r="AG189" s="5">
        <f>IF(A189="","",IFERROR(INDEX(Daily_Input!$F:$F,ROW()+2),""))</f>
        <v>47965.922939947508</v>
      </c>
      <c r="AH189" s="5">
        <f>IF(A189="","",IFERROR(INDEX(Daily_Input!$F:$F,ROW()+3),""))</f>
        <v>22168.599381770346</v>
      </c>
    </row>
    <row r="190" spans="1:34">
      <c r="A190" s="5">
        <f>Daily_Input!A190</f>
        <v>46027</v>
      </c>
      <c r="B190" s="5">
        <f>Daily_Input!F190</f>
        <v>55671.367700895709</v>
      </c>
      <c r="C190" s="5">
        <f>Daily_Input!D190</f>
        <v>489.59300000000002</v>
      </c>
      <c r="D190" s="5">
        <f>Daily_Input!E190</f>
        <v>1640521.8742390999</v>
      </c>
      <c r="E190" s="5" cm="1">
        <f t="array" ref="E190">IF(ROW()=2,"",INDEX(Daily_Input!$E:$E,ROW())-INDEX(Daily_Input!$E:$E,ROW()-1))</f>
        <v>0</v>
      </c>
      <c r="F190" s="5">
        <f>IFERROR(Daily_Input!E190/Config!$B$4,"")</f>
        <v>1.0092638886199967</v>
      </c>
      <c r="G190" s="5">
        <f>Daily_Input!I190</f>
        <v>0</v>
      </c>
      <c r="H190" s="5">
        <f>IF(A190="","",IF(ROW()=2,G190,Config!$B$5*H189+G190))</f>
        <v>14.444500100880076</v>
      </c>
      <c r="I190" s="5">
        <f t="shared" si="6"/>
        <v>5</v>
      </c>
      <c r="J190" s="5">
        <f>IF(I190="","",SIN(2*PI()*I190/Config!$B$6))</f>
        <v>8.5964798737446474E-2</v>
      </c>
      <c r="K190" s="5">
        <f>IF(I190="","",COS(2*PI()*I190/Config!$B$6))</f>
        <v>0.99629817493460782</v>
      </c>
      <c r="L190" s="5">
        <f>IF(ROW()&lt;=2+0,"",INDEX(Daily_Input!$F:$F,ROW()-1))</f>
        <v>67163.598170895712</v>
      </c>
      <c r="M190" s="5">
        <f>IF(ROW()&lt;=2+1,"",INDEX(Daily_Input!$F:$F,ROW()-2))</f>
        <v>69280.778710895713</v>
      </c>
      <c r="N190" s="5">
        <f>IF(ROW()&lt;=2+2,"",INDEX(Daily_Input!$F:$F,ROW()-3))</f>
        <v>69911.657463295516</v>
      </c>
      <c r="O190" s="5">
        <f>IF(ROW()&lt;=2+6,"",INDEX(Daily_Input!$F:$F,ROW()-7))</f>
        <v>76839.843350189229</v>
      </c>
      <c r="P190" s="5">
        <f>IF(ROW()&lt;=2+13,"",INDEX(Daily_Input!$F:$F,ROW()-14))</f>
        <v>105147.56961854199</v>
      </c>
      <c r="Q190" s="5">
        <f>IF(ROW()&lt;=4,"",SUM(INDEX(Daily_Input!$I:$I,ROW()-2):INDEX(Daily_Input!$I:$I,ROW())))</f>
        <v>0</v>
      </c>
      <c r="R190" s="5">
        <f>IF(ROW()&lt;=8,"",SUM(INDEX(Daily_Input!$I:$I,ROW()-6):INDEX(Daily_Input!$I:$I,ROW())))</f>
        <v>0</v>
      </c>
      <c r="S190" s="5">
        <f>IF(ROW()&lt;=15,"",SUM(INDEX(Daily_Input!$I:$I,ROW()-13):INDEX(Daily_Input!$I:$I,ROW())))</f>
        <v>0</v>
      </c>
      <c r="T190" s="5">
        <f>IF(ROW()&lt;=4,"",AVERAGE(INDEX(Daily_Input!$F:$F,ROW()-2):INDEX(Daily_Input!$F:$F,ROW())))</f>
        <v>64038.581527562375</v>
      </c>
      <c r="U190" s="5">
        <f>IF(ROW()&lt;=2+0,"",INDEX(Daily_Input!$G:$G,ROW()-1))</f>
        <v>0</v>
      </c>
      <c r="V190" s="5">
        <f>IF(ROW()&lt;=2+0,"",INDEX(Daily_Input!$H:$H,ROW()-1))</f>
        <v>66183.597609999997</v>
      </c>
      <c r="W190" s="5">
        <f>IF(ROW()&lt;=2+1,"",INDEX(Daily_Input!$G:$G,ROW()-2))</f>
        <v>0</v>
      </c>
      <c r="X190" s="5">
        <f>IF(ROW()&lt;=2+1,"",INDEX(Daily_Input!$H:$H,ROW()-2))</f>
        <v>68300.778149999998</v>
      </c>
      <c r="Y190" s="5">
        <f>IF(ROW()&lt;=2+2,"",INDEX(Daily_Input!$G:$G,ROW()-3))</f>
        <v>0</v>
      </c>
      <c r="Z190" s="5">
        <f>IF(ROW()&lt;=2+2,"",INDEX(Daily_Input!$H:$H,ROW()-3))</f>
        <v>71947.999150000003</v>
      </c>
      <c r="AA190" s="5">
        <f>Daily_Input!N190</f>
        <v>0.186</v>
      </c>
      <c r="AB190" s="5">
        <f>Daily_Input!O190</f>
        <v>1.3520000000000001</v>
      </c>
      <c r="AC190" s="5">
        <f>Daily_Input!P190</f>
        <v>13.956</v>
      </c>
      <c r="AD190" s="5">
        <f t="shared" si="7"/>
        <v>15.494</v>
      </c>
      <c r="AE190" s="5">
        <f t="shared" si="8"/>
        <v>13.956</v>
      </c>
      <c r="AF190" s="5">
        <f>IF(A190="","",IFERROR(INDEX(Daily_Input!$F:$F,ROW()+1),""))</f>
        <v>47965.922939947508</v>
      </c>
      <c r="AG190" s="5">
        <f>IF(A190="","",IFERROR(INDEX(Daily_Input!$F:$F,ROW()+2),""))</f>
        <v>22168.599381770346</v>
      </c>
      <c r="AH190" s="5">
        <f>IF(A190="","",IFERROR(INDEX(Daily_Input!$F:$F,ROW()+3),""))</f>
        <v>0</v>
      </c>
    </row>
    <row r="191" spans="1:34">
      <c r="A191" s="5">
        <f>Daily_Input!A191</f>
        <v>46028</v>
      </c>
      <c r="B191" s="5">
        <f>Daily_Input!F191</f>
        <v>47965.922939947508</v>
      </c>
      <c r="C191" s="5">
        <f>Daily_Input!D191</f>
        <v>489.58699999999999</v>
      </c>
      <c r="D191" s="5">
        <f>Daily_Input!E191</f>
        <v>1637507.2197397</v>
      </c>
      <c r="E191" s="5" cm="1">
        <f t="array" ref="E191">IF(ROW()=2,"",INDEX(Daily_Input!$E:$E,ROW())-INDEX(Daily_Input!$E:$E,ROW()-1))</f>
        <v>-3014.6544993999414</v>
      </c>
      <c r="F191" s="5">
        <f>IFERROR(Daily_Input!E191/Config!$B$4,"")</f>
        <v>1.0074092459171549</v>
      </c>
      <c r="G191" s="5">
        <f>Daily_Input!I191</f>
        <v>0</v>
      </c>
      <c r="H191" s="5">
        <f>IF(A191="","",IF(ROW()=2,G191,Config!$B$5*H190+G191))</f>
        <v>13.722275095836071</v>
      </c>
      <c r="I191" s="5">
        <f t="shared" si="6"/>
        <v>6</v>
      </c>
      <c r="J191" s="5">
        <f>IF(I191="","",SIN(2*PI()*I191/Config!$B$6))</f>
        <v>0.10310169744743485</v>
      </c>
      <c r="K191" s="5">
        <f>IF(I191="","",COS(2*PI()*I191/Config!$B$6))</f>
        <v>0.99467081991152106</v>
      </c>
      <c r="L191" s="5">
        <f>IF(ROW()&lt;=2+0,"",INDEX(Daily_Input!$F:$F,ROW()-1))</f>
        <v>55671.367700895709</v>
      </c>
      <c r="M191" s="5">
        <f>IF(ROW()&lt;=2+1,"",INDEX(Daily_Input!$F:$F,ROW()-2))</f>
        <v>67163.598170895712</v>
      </c>
      <c r="N191" s="5">
        <f>IF(ROW()&lt;=2+2,"",INDEX(Daily_Input!$F:$F,ROW()-3))</f>
        <v>69280.778710895713</v>
      </c>
      <c r="O191" s="5">
        <f>IF(ROW()&lt;=2+6,"",INDEX(Daily_Input!$F:$F,ROW()-7))</f>
        <v>72948.155639889126</v>
      </c>
      <c r="P191" s="5">
        <f>IF(ROW()&lt;=2+13,"",INDEX(Daily_Input!$F:$F,ROW()-14))</f>
        <v>97996.566070838511</v>
      </c>
      <c r="Q191" s="5">
        <f>IF(ROW()&lt;=4,"",SUM(INDEX(Daily_Input!$I:$I,ROW()-2):INDEX(Daily_Input!$I:$I,ROW())))</f>
        <v>0</v>
      </c>
      <c r="R191" s="5">
        <f>IF(ROW()&lt;=8,"",SUM(INDEX(Daily_Input!$I:$I,ROW()-6):INDEX(Daily_Input!$I:$I,ROW())))</f>
        <v>0</v>
      </c>
      <c r="S191" s="5">
        <f>IF(ROW()&lt;=15,"",SUM(INDEX(Daily_Input!$I:$I,ROW()-13):INDEX(Daily_Input!$I:$I,ROW())))</f>
        <v>0</v>
      </c>
      <c r="T191" s="5">
        <f>IF(ROW()&lt;=4,"",AVERAGE(INDEX(Daily_Input!$F:$F,ROW()-2):INDEX(Daily_Input!$F:$F,ROW())))</f>
        <v>56933.629603912974</v>
      </c>
      <c r="U191" s="5">
        <f>IF(ROW()&lt;=2+0,"",INDEX(Daily_Input!$G:$G,ROW()-1))</f>
        <v>0</v>
      </c>
      <c r="V191" s="5">
        <f>IF(ROW()&lt;=2+0,"",INDEX(Daily_Input!$H:$H,ROW()-1))</f>
        <v>54691.367140000002</v>
      </c>
      <c r="W191" s="5">
        <f>IF(ROW()&lt;=2+1,"",INDEX(Daily_Input!$G:$G,ROW()-2))</f>
        <v>0</v>
      </c>
      <c r="X191" s="5">
        <f>IF(ROW()&lt;=2+1,"",INDEX(Daily_Input!$H:$H,ROW()-2))</f>
        <v>66183.597609999997</v>
      </c>
      <c r="Y191" s="5">
        <f>IF(ROW()&lt;=2+2,"",INDEX(Daily_Input!$G:$G,ROW()-3))</f>
        <v>0</v>
      </c>
      <c r="Z191" s="5">
        <f>IF(ROW()&lt;=2+2,"",INDEX(Daily_Input!$H:$H,ROW()-3))</f>
        <v>68300.778149999998</v>
      </c>
      <c r="AA191" s="5">
        <f>Daily_Input!N191</f>
        <v>1.3520000000000001</v>
      </c>
      <c r="AB191" s="5">
        <f>Daily_Input!O191</f>
        <v>13.956</v>
      </c>
      <c r="AC191" s="5">
        <f>Daily_Input!P191</f>
        <v>5.415</v>
      </c>
      <c r="AD191" s="5">
        <f t="shared" si="7"/>
        <v>20.722999999999999</v>
      </c>
      <c r="AE191" s="5">
        <f t="shared" si="8"/>
        <v>13.956</v>
      </c>
      <c r="AF191" s="5">
        <f>IF(A191="","",IFERROR(INDEX(Daily_Input!$F:$F,ROW()+1),""))</f>
        <v>22168.599381770346</v>
      </c>
      <c r="AG191" s="5">
        <f>IF(A191="","",IFERROR(INDEX(Daily_Input!$F:$F,ROW()+2),""))</f>
        <v>0</v>
      </c>
      <c r="AH191" s="5">
        <f>IF(A191="","",IFERROR(INDEX(Daily_Input!$F:$F,ROW()+3),""))</f>
        <v>3600.8824674952657</v>
      </c>
    </row>
    <row r="192" spans="1:34">
      <c r="A192" s="5">
        <f>Daily_Input!A192</f>
        <v>46029</v>
      </c>
      <c r="B192" s="5">
        <f>Daily_Input!F192</f>
        <v>22168.599381770346</v>
      </c>
      <c r="C192" s="5">
        <f>Daily_Input!D192</f>
        <v>489.57499999999999</v>
      </c>
      <c r="D192" s="5">
        <f>Daily_Input!E192</f>
        <v>1634494.0165122999</v>
      </c>
      <c r="E192" s="5" cm="1">
        <f t="array" ref="E192">IF(ROW()=2,"",INDEX(Daily_Input!$E:$E,ROW())-INDEX(Daily_Input!$E:$E,ROW()-1))</f>
        <v>-3013.2032274000812</v>
      </c>
      <c r="F192" s="5">
        <f>IFERROR(Daily_Input!E192/Config!$B$4,"")</f>
        <v>1.0055554960499677</v>
      </c>
      <c r="G192" s="5">
        <f>Daily_Input!I192</f>
        <v>0</v>
      </c>
      <c r="H192" s="5">
        <f>IF(A192="","",IF(ROW()=2,G192,Config!$B$5*H191+G192))</f>
        <v>13.036161341044266</v>
      </c>
      <c r="I192" s="5">
        <f t="shared" si="6"/>
        <v>7</v>
      </c>
      <c r="J192" s="5">
        <f>IF(I192="","",SIN(2*PI()*I192/Config!$B$6))</f>
        <v>0.1202080448993527</v>
      </c>
      <c r="K192" s="5">
        <f>IF(I192="","",COS(2*PI()*I192/Config!$B$6))</f>
        <v>0.99274872245774015</v>
      </c>
      <c r="L192" s="5">
        <f>IF(ROW()&lt;=2+0,"",INDEX(Daily_Input!$F:$F,ROW()-1))</f>
        <v>47965.922939947508</v>
      </c>
      <c r="M192" s="5">
        <f>IF(ROW()&lt;=2+1,"",INDEX(Daily_Input!$F:$F,ROW()-2))</f>
        <v>55671.367700895709</v>
      </c>
      <c r="N192" s="5">
        <f>IF(ROW()&lt;=2+2,"",INDEX(Daily_Input!$F:$F,ROW()-3))</f>
        <v>67163.598170895712</v>
      </c>
      <c r="O192" s="5">
        <f>IF(ROW()&lt;=2+6,"",INDEX(Daily_Input!$F:$F,ROW()-7))</f>
        <v>69626.237029889133</v>
      </c>
      <c r="P192" s="5">
        <f>IF(ROW()&lt;=2+13,"",INDEX(Daily_Input!$F:$F,ROW()-14))</f>
        <v>97696.448964138428</v>
      </c>
      <c r="Q192" s="5">
        <f>IF(ROW()&lt;=4,"",SUM(INDEX(Daily_Input!$I:$I,ROW()-2):INDEX(Daily_Input!$I:$I,ROW())))</f>
        <v>0</v>
      </c>
      <c r="R192" s="5">
        <f>IF(ROW()&lt;=8,"",SUM(INDEX(Daily_Input!$I:$I,ROW()-6):INDEX(Daily_Input!$I:$I,ROW())))</f>
        <v>0</v>
      </c>
      <c r="S192" s="5">
        <f>IF(ROW()&lt;=15,"",SUM(INDEX(Daily_Input!$I:$I,ROW()-13):INDEX(Daily_Input!$I:$I,ROW())))</f>
        <v>0</v>
      </c>
      <c r="T192" s="5">
        <f>IF(ROW()&lt;=4,"",AVERAGE(INDEX(Daily_Input!$F:$F,ROW()-2):INDEX(Daily_Input!$F:$F,ROW())))</f>
        <v>41935.296674204517</v>
      </c>
      <c r="U192" s="5">
        <f>IF(ROW()&lt;=2+0,"",INDEX(Daily_Input!$G:$G,ROW()-1))</f>
        <v>3018.6</v>
      </c>
      <c r="V192" s="5">
        <f>IF(ROW()&lt;=2+0,"",INDEX(Daily_Input!$H:$H,ROW()-1))</f>
        <v>46982.487789999999</v>
      </c>
      <c r="W192" s="5">
        <f>IF(ROW()&lt;=2+1,"",INDEX(Daily_Input!$G:$G,ROW()-2))</f>
        <v>0</v>
      </c>
      <c r="X192" s="5">
        <f>IF(ROW()&lt;=2+1,"",INDEX(Daily_Input!$H:$H,ROW()-2))</f>
        <v>54691.367140000002</v>
      </c>
      <c r="Y192" s="5">
        <f>IF(ROW()&lt;=2+2,"",INDEX(Daily_Input!$G:$G,ROW()-3))</f>
        <v>0</v>
      </c>
      <c r="Z192" s="5">
        <f>IF(ROW()&lt;=2+2,"",INDEX(Daily_Input!$H:$H,ROW()-3))</f>
        <v>66183.597609999997</v>
      </c>
      <c r="AA192" s="5">
        <f>Daily_Input!N192</f>
        <v>13.956</v>
      </c>
      <c r="AB192" s="5">
        <f>Daily_Input!O192</f>
        <v>5.415</v>
      </c>
      <c r="AC192" s="5">
        <f>Daily_Input!P192</f>
        <v>4.2999999999999997E-2</v>
      </c>
      <c r="AD192" s="5">
        <f t="shared" si="7"/>
        <v>19.413999999999998</v>
      </c>
      <c r="AE192" s="5">
        <f t="shared" si="8"/>
        <v>13.956</v>
      </c>
      <c r="AF192" s="5">
        <f>IF(A192="","",IFERROR(INDEX(Daily_Input!$F:$F,ROW()+1),""))</f>
        <v>0</v>
      </c>
      <c r="AG192" s="5">
        <f>IF(A192="","",IFERROR(INDEX(Daily_Input!$F:$F,ROW()+2),""))</f>
        <v>3600.8824674952657</v>
      </c>
      <c r="AH192" s="5">
        <f>IF(A192="","",IFERROR(INDEX(Daily_Input!$F:$F,ROW()+3),""))</f>
        <v>9782.8449975937183</v>
      </c>
    </row>
    <row r="193" spans="1:34">
      <c r="A193" s="5">
        <f>Daily_Input!A193</f>
        <v>46030</v>
      </c>
      <c r="B193" s="5">
        <f>Daily_Input!F193</f>
        <v>0</v>
      </c>
      <c r="C193" s="5">
        <f>Daily_Input!D193</f>
        <v>489.54199999999997</v>
      </c>
      <c r="D193" s="5">
        <f>Daily_Input!E193</f>
        <v>1625463.7590197001</v>
      </c>
      <c r="E193" s="5" cm="1">
        <f t="array" ref="E193">IF(ROW()=2,"",INDEX(Daily_Input!$E:$E,ROW())-INDEX(Daily_Input!$E:$E,ROW()-1))</f>
        <v>-9030.257492599776</v>
      </c>
      <c r="F193" s="5">
        <f>IFERROR(Daily_Input!E193/Config!$B$4,"")</f>
        <v>1</v>
      </c>
      <c r="G193" s="5">
        <f>Daily_Input!I193</f>
        <v>0</v>
      </c>
      <c r="H193" s="5">
        <f>IF(A193="","",IF(ROW()=2,G193,Config!$B$5*H192+G193))</f>
        <v>12.384353273992053</v>
      </c>
      <c r="I193" s="5">
        <f t="shared" si="6"/>
        <v>8</v>
      </c>
      <c r="J193" s="5">
        <f>IF(I193="","",SIN(2*PI()*I193/Config!$B$6))</f>
        <v>0.13727877211326478</v>
      </c>
      <c r="K193" s="5">
        <f>IF(I193="","",COS(2*PI()*I193/Config!$B$6))</f>
        <v>0.99053245213222285</v>
      </c>
      <c r="L193" s="5">
        <f>IF(ROW()&lt;=2+0,"",INDEX(Daily_Input!$F:$F,ROW()-1))</f>
        <v>22168.599381770346</v>
      </c>
      <c r="M193" s="5">
        <f>IF(ROW()&lt;=2+1,"",INDEX(Daily_Input!$F:$F,ROW()-2))</f>
        <v>47965.922939947508</v>
      </c>
      <c r="N193" s="5">
        <f>IF(ROW()&lt;=2+2,"",INDEX(Daily_Input!$F:$F,ROW()-3))</f>
        <v>55671.367700895709</v>
      </c>
      <c r="O193" s="5">
        <f>IF(ROW()&lt;=2+6,"",INDEX(Daily_Input!$F:$F,ROW()-7))</f>
        <v>78402.863886589228</v>
      </c>
      <c r="P193" s="5">
        <f>IF(ROW()&lt;=2+13,"",INDEX(Daily_Input!$F:$F,ROW()-14))</f>
        <v>99768.461594138425</v>
      </c>
      <c r="Q193" s="5">
        <f>IF(ROW()&lt;=4,"",SUM(INDEX(Daily_Input!$I:$I,ROW()-2):INDEX(Daily_Input!$I:$I,ROW())))</f>
        <v>0</v>
      </c>
      <c r="R193" s="5">
        <f>IF(ROW()&lt;=8,"",SUM(INDEX(Daily_Input!$I:$I,ROW()-6):INDEX(Daily_Input!$I:$I,ROW())))</f>
        <v>0</v>
      </c>
      <c r="S193" s="5">
        <f>IF(ROW()&lt;=15,"",SUM(INDEX(Daily_Input!$I:$I,ROW()-13):INDEX(Daily_Input!$I:$I,ROW())))</f>
        <v>0</v>
      </c>
      <c r="T193" s="5">
        <f>IF(ROW()&lt;=4,"",AVERAGE(INDEX(Daily_Input!$F:$F,ROW()-2):INDEX(Daily_Input!$F:$F,ROW())))</f>
        <v>23378.174107239287</v>
      </c>
      <c r="U193" s="5">
        <f>IF(ROW()&lt;=2+0,"",INDEX(Daily_Input!$G:$G,ROW()-1))</f>
        <v>5572.7999999999993</v>
      </c>
      <c r="V193" s="5">
        <f>IF(ROW()&lt;=2+0,"",INDEX(Daily_Input!$H:$H,ROW()-1))</f>
        <v>18630.02349</v>
      </c>
      <c r="W193" s="5">
        <f>IF(ROW()&lt;=2+1,"",INDEX(Daily_Input!$G:$G,ROW()-2))</f>
        <v>3018.6</v>
      </c>
      <c r="X193" s="5">
        <f>IF(ROW()&lt;=2+1,"",INDEX(Daily_Input!$H:$H,ROW()-2))</f>
        <v>46982.487789999999</v>
      </c>
      <c r="Y193" s="5">
        <f>IF(ROW()&lt;=2+2,"",INDEX(Daily_Input!$G:$G,ROW()-3))</f>
        <v>0</v>
      </c>
      <c r="Z193" s="5">
        <f>IF(ROW()&lt;=2+2,"",INDEX(Daily_Input!$H:$H,ROW()-3))</f>
        <v>54691.367140000002</v>
      </c>
      <c r="AA193" s="5">
        <f>Daily_Input!N193</f>
        <v>5.415</v>
      </c>
      <c r="AB193" s="5">
        <f>Daily_Input!O193</f>
        <v>4.2999999999999997E-2</v>
      </c>
      <c r="AC193" s="5">
        <f>Daily_Input!P193</f>
        <v>0.39800000000000002</v>
      </c>
      <c r="AD193" s="5">
        <f t="shared" si="7"/>
        <v>5.8559999999999999</v>
      </c>
      <c r="AE193" s="5">
        <f t="shared" si="8"/>
        <v>5.415</v>
      </c>
      <c r="AF193" s="5">
        <f>IF(A193="","",IFERROR(INDEX(Daily_Input!$F:$F,ROW()+1),""))</f>
        <v>3600.8824674952657</v>
      </c>
      <c r="AG193" s="5">
        <f>IF(A193="","",IFERROR(INDEX(Daily_Input!$F:$F,ROW()+2),""))</f>
        <v>9782.8449975937183</v>
      </c>
      <c r="AH193" s="5">
        <f>IF(A193="","",IFERROR(INDEX(Daily_Input!$F:$F,ROW()+3),""))</f>
        <v>9975.845432093749</v>
      </c>
    </row>
    <row r="194" spans="1:34">
      <c r="A194" s="5">
        <f>Daily_Input!A194</f>
        <v>46031</v>
      </c>
      <c r="B194" s="5">
        <f>Daily_Input!F194</f>
        <v>3600.8824674952657</v>
      </c>
      <c r="C194" s="5">
        <f>Daily_Input!D194</f>
        <v>489.54300000000001</v>
      </c>
      <c r="D194" s="5">
        <f>Daily_Input!E194</f>
        <v>1625463.7590197001</v>
      </c>
      <c r="E194" s="5" cm="1">
        <f t="array" ref="E194">IF(ROW()=2,"",INDEX(Daily_Input!$E:$E,ROW())-INDEX(Daily_Input!$E:$E,ROW()-1))</f>
        <v>0</v>
      </c>
      <c r="F194" s="5">
        <f>IFERROR(Daily_Input!E194/Config!$B$4,"")</f>
        <v>1</v>
      </c>
      <c r="G194" s="5">
        <f>Daily_Input!I194</f>
        <v>0</v>
      </c>
      <c r="H194" s="5">
        <f>IF(A194="","",IF(ROW()=2,G194,Config!$B$5*H193+G194))</f>
        <v>11.76513561029245</v>
      </c>
      <c r="I194" s="5">
        <f t="shared" si="6"/>
        <v>9</v>
      </c>
      <c r="J194" s="5">
        <f>IF(I194="","",SIN(2*PI()*I194/Config!$B$6))</f>
        <v>0.15430882066428117</v>
      </c>
      <c r="K194" s="5">
        <f>IF(I194="","",COS(2*PI()*I194/Config!$B$6))</f>
        <v>0.98802266566369756</v>
      </c>
      <c r="L194" s="5">
        <f>IF(ROW()&lt;=2+0,"",INDEX(Daily_Input!$F:$F,ROW()-1))</f>
        <v>0</v>
      </c>
      <c r="M194" s="5">
        <f>IF(ROW()&lt;=2+1,"",INDEX(Daily_Input!$F:$F,ROW()-2))</f>
        <v>22168.599381770346</v>
      </c>
      <c r="N194" s="5">
        <f>IF(ROW()&lt;=2+2,"",INDEX(Daily_Input!$F:$F,ROW()-3))</f>
        <v>47965.922939947508</v>
      </c>
      <c r="O194" s="5">
        <f>IF(ROW()&lt;=2+6,"",INDEX(Daily_Input!$F:$F,ROW()-7))</f>
        <v>69911.657463295516</v>
      </c>
      <c r="P194" s="5">
        <f>IF(ROW()&lt;=2+13,"",INDEX(Daily_Input!$F:$F,ROW()-14))</f>
        <v>98376.125304138433</v>
      </c>
      <c r="Q194" s="5">
        <f>IF(ROW()&lt;=4,"",SUM(INDEX(Daily_Input!$I:$I,ROW()-2):INDEX(Daily_Input!$I:$I,ROW())))</f>
        <v>0</v>
      </c>
      <c r="R194" s="5">
        <f>IF(ROW()&lt;=8,"",SUM(INDEX(Daily_Input!$I:$I,ROW()-6):INDEX(Daily_Input!$I:$I,ROW())))</f>
        <v>0</v>
      </c>
      <c r="S194" s="5">
        <f>IF(ROW()&lt;=15,"",SUM(INDEX(Daily_Input!$I:$I,ROW()-13):INDEX(Daily_Input!$I:$I,ROW())))</f>
        <v>0</v>
      </c>
      <c r="T194" s="5">
        <f>IF(ROW()&lt;=4,"",AVERAGE(INDEX(Daily_Input!$F:$F,ROW()-2):INDEX(Daily_Input!$F:$F,ROW())))</f>
        <v>8589.827283088538</v>
      </c>
      <c r="U194" s="5">
        <f>IF(ROW()&lt;=2+0,"",INDEX(Daily_Input!$G:$G,ROW()-1))</f>
        <v>2554.1999999999998</v>
      </c>
      <c r="V194" s="5">
        <f>IF(ROW()&lt;=2+0,"",INDEX(Daily_Input!$H:$H,ROW()-1))</f>
        <v>333.7706771</v>
      </c>
      <c r="W194" s="5">
        <f>IF(ROW()&lt;=2+1,"",INDEX(Daily_Input!$G:$G,ROW()-2))</f>
        <v>5572.7999999999993</v>
      </c>
      <c r="X194" s="5">
        <f>IF(ROW()&lt;=2+1,"",INDEX(Daily_Input!$H:$H,ROW()-2))</f>
        <v>18630.02349</v>
      </c>
      <c r="Y194" s="5">
        <f>IF(ROW()&lt;=2+2,"",INDEX(Daily_Input!$G:$G,ROW()-3))</f>
        <v>3018.6</v>
      </c>
      <c r="Z194" s="5">
        <f>IF(ROW()&lt;=2+2,"",INDEX(Daily_Input!$H:$H,ROW()-3))</f>
        <v>46982.487789999999</v>
      </c>
      <c r="AA194" s="5">
        <f>Daily_Input!N194</f>
        <v>4.2999999999999997E-2</v>
      </c>
      <c r="AB194" s="5">
        <f>Daily_Input!O194</f>
        <v>0.39800000000000002</v>
      </c>
      <c r="AC194" s="5">
        <f>Daily_Input!P194</f>
        <v>8.0760000000000005</v>
      </c>
      <c r="AD194" s="5">
        <f t="shared" si="7"/>
        <v>8.5170000000000012</v>
      </c>
      <c r="AE194" s="5">
        <f t="shared" si="8"/>
        <v>8.0760000000000005</v>
      </c>
      <c r="AF194" s="5">
        <f>IF(A194="","",IFERROR(INDEX(Daily_Input!$F:$F,ROW()+1),""))</f>
        <v>9782.8449975937183</v>
      </c>
      <c r="AG194" s="5">
        <f>IF(A194="","",IFERROR(INDEX(Daily_Input!$F:$F,ROW()+2),""))</f>
        <v>9975.845432093749</v>
      </c>
      <c r="AH194" s="5">
        <f>IF(A194="","",IFERROR(INDEX(Daily_Input!$F:$F,ROW()+3),""))</f>
        <v>16703.296153378185</v>
      </c>
    </row>
    <row r="195" spans="1:34">
      <c r="A195" s="5">
        <f>Daily_Input!A195</f>
        <v>46032</v>
      </c>
      <c r="B195" s="5">
        <f>Daily_Input!F195</f>
        <v>9782.8449975937183</v>
      </c>
      <c r="C195" s="5">
        <f>Daily_Input!D195</f>
        <v>489.55599999999998</v>
      </c>
      <c r="D195" s="5">
        <f>Daily_Input!E195</f>
        <v>1628472.3057532001</v>
      </c>
      <c r="E195" s="5" cm="1">
        <f t="array" ref="E195">IF(ROW()=2,"",INDEX(Daily_Input!$E:$E,ROW())-INDEX(Daily_Input!$E:$E,ROW()-1))</f>
        <v>3008.5467334999703</v>
      </c>
      <c r="F195" s="5">
        <f>IFERROR(Daily_Input!E195/Config!$B$4,"")</f>
        <v>1.0018508851500414</v>
      </c>
      <c r="G195" s="5">
        <f>Daily_Input!I195</f>
        <v>0</v>
      </c>
      <c r="H195" s="5">
        <f>IF(A195="","",IF(ROW()=2,G195,Config!$B$5*H194+G195))</f>
        <v>11.176878829777827</v>
      </c>
      <c r="I195" s="5">
        <f t="shared" ref="I195:I216" si="9">IF(A195="","",A195-DATE(YEAR(A195),1,0))</f>
        <v>10</v>
      </c>
      <c r="J195" s="5">
        <f>IF(I195="","",SIN(2*PI()*I195/Config!$B$6))</f>
        <v>0.17129314418147759</v>
      </c>
      <c r="K195" s="5">
        <f>IF(I195="","",COS(2*PI()*I195/Config!$B$6))</f>
        <v>0.98522010675606064</v>
      </c>
      <c r="L195" s="5">
        <f>IF(ROW()&lt;=2+0,"",INDEX(Daily_Input!$F:$F,ROW()-1))</f>
        <v>3600.8824674952657</v>
      </c>
      <c r="M195" s="5">
        <f>IF(ROW()&lt;=2+1,"",INDEX(Daily_Input!$F:$F,ROW()-2))</f>
        <v>0</v>
      </c>
      <c r="N195" s="5">
        <f>IF(ROW()&lt;=2+2,"",INDEX(Daily_Input!$F:$F,ROW()-3))</f>
        <v>22168.599381770346</v>
      </c>
      <c r="O195" s="5">
        <f>IF(ROW()&lt;=2+6,"",INDEX(Daily_Input!$F:$F,ROW()-7))</f>
        <v>69280.778710895713</v>
      </c>
      <c r="P195" s="5">
        <f>IF(ROW()&lt;=2+13,"",INDEX(Daily_Input!$F:$F,ROW()-14))</f>
        <v>91510.302444138433</v>
      </c>
      <c r="Q195" s="5">
        <f>IF(ROW()&lt;=4,"",SUM(INDEX(Daily_Input!$I:$I,ROW()-2):INDEX(Daily_Input!$I:$I,ROW())))</f>
        <v>0</v>
      </c>
      <c r="R195" s="5">
        <f>IF(ROW()&lt;=8,"",SUM(INDEX(Daily_Input!$I:$I,ROW()-6):INDEX(Daily_Input!$I:$I,ROW())))</f>
        <v>0</v>
      </c>
      <c r="S195" s="5">
        <f>IF(ROW()&lt;=15,"",SUM(INDEX(Daily_Input!$I:$I,ROW()-13):INDEX(Daily_Input!$I:$I,ROW())))</f>
        <v>0</v>
      </c>
      <c r="T195" s="5">
        <f>IF(ROW()&lt;=4,"",AVERAGE(INDEX(Daily_Input!$F:$F,ROW()-2):INDEX(Daily_Input!$F:$F,ROW())))</f>
        <v>4461.2424883629947</v>
      </c>
      <c r="U195" s="5">
        <f>IF(ROW()&lt;=2+0,"",INDEX(Daily_Input!$G:$G,ROW()-1))</f>
        <v>0</v>
      </c>
      <c r="V195" s="5">
        <f>IF(ROW()&lt;=2+0,"",INDEX(Daily_Input!$H:$H,ROW()-1))</f>
        <v>2623.4287260000001</v>
      </c>
      <c r="W195" s="5">
        <f>IF(ROW()&lt;=2+1,"",INDEX(Daily_Input!$G:$G,ROW()-2))</f>
        <v>2554.1999999999998</v>
      </c>
      <c r="X195" s="5">
        <f>IF(ROW()&lt;=2+1,"",INDEX(Daily_Input!$H:$H,ROW()-2))</f>
        <v>333.7706771</v>
      </c>
      <c r="Y195" s="5">
        <f>IF(ROW()&lt;=2+2,"",INDEX(Daily_Input!$G:$G,ROW()-3))</f>
        <v>5572.7999999999993</v>
      </c>
      <c r="Z195" s="5">
        <f>IF(ROW()&lt;=2+2,"",INDEX(Daily_Input!$H:$H,ROW()-3))</f>
        <v>18630.02349</v>
      </c>
      <c r="AA195" s="5">
        <f>Daily_Input!N195</f>
        <v>0.39800000000000002</v>
      </c>
      <c r="AB195" s="5">
        <f>Daily_Input!O195</f>
        <v>8.0760000000000005</v>
      </c>
      <c r="AC195" s="5">
        <f>Daily_Input!P195</f>
        <v>1.4E-2</v>
      </c>
      <c r="AD195" s="5">
        <f t="shared" ref="AD195:AD216" si="10">IF(A195="","",SUM(AA195:AC195))</f>
        <v>8.4879999999999995</v>
      </c>
      <c r="AE195" s="5">
        <f t="shared" ref="AE195:AE216" si="11">IF(A195="","",MAX(AA195:AC195))</f>
        <v>8.0760000000000005</v>
      </c>
      <c r="AF195" s="5">
        <f>IF(A195="","",IFERROR(INDEX(Daily_Input!$F:$F,ROW()+1),""))</f>
        <v>9975.845432093749</v>
      </c>
      <c r="AG195" s="5">
        <f>IF(A195="","",IFERROR(INDEX(Daily_Input!$F:$F,ROW()+2),""))</f>
        <v>16703.296153378185</v>
      </c>
      <c r="AH195" s="5">
        <f>IF(A195="","",IFERROR(INDEX(Daily_Input!$F:$F,ROW()+3),""))</f>
        <v>15573.39157307821</v>
      </c>
    </row>
    <row r="196" spans="1:34">
      <c r="A196" s="5">
        <f>Daily_Input!A196</f>
        <v>46033</v>
      </c>
      <c r="B196" s="5">
        <f>Daily_Input!F196</f>
        <v>9975.845432093749</v>
      </c>
      <c r="C196" s="5">
        <f>Daily_Input!D196</f>
        <v>489.55500000000001</v>
      </c>
      <c r="D196" s="5">
        <f>Daily_Input!E196</f>
        <v>1628472.3057532001</v>
      </c>
      <c r="E196" s="5" cm="1">
        <f t="array" ref="E196">IF(ROW()=2,"",INDEX(Daily_Input!$E:$E,ROW())-INDEX(Daily_Input!$E:$E,ROW()-1))</f>
        <v>0</v>
      </c>
      <c r="F196" s="5">
        <f>IFERROR(Daily_Input!E196/Config!$B$4,"")</f>
        <v>1.0018508851500414</v>
      </c>
      <c r="G196" s="5">
        <f>Daily_Input!I196</f>
        <v>0</v>
      </c>
      <c r="H196" s="5">
        <f>IF(A196="","",IF(ROW()=2,G196,Config!$B$5*H195+G196))</f>
        <v>10.618034888288935</v>
      </c>
      <c r="I196" s="5">
        <f t="shared" si="9"/>
        <v>11</v>
      </c>
      <c r="J196" s="5">
        <f>IF(I196="","",SIN(2*PI()*I196/Config!$B$6))</f>
        <v>0.18822670984324419</v>
      </c>
      <c r="K196" s="5">
        <f>IF(I196="","",COS(2*PI()*I196/Config!$B$6))</f>
        <v>0.98212560586800057</v>
      </c>
      <c r="L196" s="5">
        <f>IF(ROW()&lt;=2+0,"",INDEX(Daily_Input!$F:$F,ROW()-1))</f>
        <v>9782.8449975937183</v>
      </c>
      <c r="M196" s="5">
        <f>IF(ROW()&lt;=2+1,"",INDEX(Daily_Input!$F:$F,ROW()-2))</f>
        <v>3600.8824674952657</v>
      </c>
      <c r="N196" s="5">
        <f>IF(ROW()&lt;=2+2,"",INDEX(Daily_Input!$F:$F,ROW()-3))</f>
        <v>0</v>
      </c>
      <c r="O196" s="5">
        <f>IF(ROW()&lt;=2+6,"",INDEX(Daily_Input!$F:$F,ROW()-7))</f>
        <v>67163.598170895712</v>
      </c>
      <c r="P196" s="5">
        <f>IF(ROW()&lt;=2+13,"",INDEX(Daily_Input!$F:$F,ROW()-14))</f>
        <v>84241.414214138436</v>
      </c>
      <c r="Q196" s="5">
        <f>IF(ROW()&lt;=4,"",SUM(INDEX(Daily_Input!$I:$I,ROW()-2):INDEX(Daily_Input!$I:$I,ROW())))</f>
        <v>0</v>
      </c>
      <c r="R196" s="5">
        <f>IF(ROW()&lt;=8,"",SUM(INDEX(Daily_Input!$I:$I,ROW()-6):INDEX(Daily_Input!$I:$I,ROW())))</f>
        <v>0</v>
      </c>
      <c r="S196" s="5">
        <f>IF(ROW()&lt;=15,"",SUM(INDEX(Daily_Input!$I:$I,ROW()-13):INDEX(Daily_Input!$I:$I,ROW())))</f>
        <v>0</v>
      </c>
      <c r="T196" s="5">
        <f>IF(ROW()&lt;=4,"",AVERAGE(INDEX(Daily_Input!$F:$F,ROW()-2):INDEX(Daily_Input!$F:$F,ROW())))</f>
        <v>7786.5242990609113</v>
      </c>
      <c r="U196" s="5">
        <f>IF(ROW()&lt;=2+0,"",INDEX(Daily_Input!$G:$G,ROW()-1))</f>
        <v>0</v>
      </c>
      <c r="V196" s="5">
        <f>IF(ROW()&lt;=2+0,"",INDEX(Daily_Input!$H:$H,ROW()-1))</f>
        <v>5796.3379560000003</v>
      </c>
      <c r="W196" s="5">
        <f>IF(ROW()&lt;=2+1,"",INDEX(Daily_Input!$G:$G,ROW()-2))</f>
        <v>0</v>
      </c>
      <c r="X196" s="5">
        <f>IF(ROW()&lt;=2+1,"",INDEX(Daily_Input!$H:$H,ROW()-2))</f>
        <v>2623.4287260000001</v>
      </c>
      <c r="Y196" s="5">
        <f>IF(ROW()&lt;=2+2,"",INDEX(Daily_Input!$G:$G,ROW()-3))</f>
        <v>2554.1999999999998</v>
      </c>
      <c r="Z196" s="5">
        <f>IF(ROW()&lt;=2+2,"",INDEX(Daily_Input!$H:$H,ROW()-3))</f>
        <v>333.7706771</v>
      </c>
      <c r="AA196" s="5">
        <f>Daily_Input!N196</f>
        <v>8.0760000000000005</v>
      </c>
      <c r="AB196" s="5">
        <f>Daily_Input!O196</f>
        <v>1.4E-2</v>
      </c>
      <c r="AC196" s="5">
        <f>Daily_Input!P196</f>
        <v>8.9999999999999998E-4</v>
      </c>
      <c r="AD196" s="5">
        <f t="shared" si="10"/>
        <v>8.0908999999999995</v>
      </c>
      <c r="AE196" s="5">
        <f t="shared" si="11"/>
        <v>8.0760000000000005</v>
      </c>
      <c r="AF196" s="5">
        <f>IF(A196="","",IFERROR(INDEX(Daily_Input!$F:$F,ROW()+1),""))</f>
        <v>16703.296153378185</v>
      </c>
      <c r="AG196" s="5">
        <f>IF(A196="","",IFERROR(INDEX(Daily_Input!$F:$F,ROW()+2),""))</f>
        <v>15573.39157307821</v>
      </c>
      <c r="AH196" s="5">
        <f>IF(A196="","",IFERROR(INDEX(Daily_Input!$F:$F,ROW()+3),""))</f>
        <v>19231.711163078209</v>
      </c>
    </row>
    <row r="197" spans="1:34">
      <c r="A197" s="5">
        <f>Daily_Input!A197</f>
        <v>46034</v>
      </c>
      <c r="B197" s="5">
        <f>Daily_Input!F197</f>
        <v>16703.296153378185</v>
      </c>
      <c r="C197" s="5">
        <f>Daily_Input!D197</f>
        <v>489.56099999999998</v>
      </c>
      <c r="D197" s="5">
        <f>Daily_Input!E197</f>
        <v>1631482.3951735001</v>
      </c>
      <c r="E197" s="5" cm="1">
        <f t="array" ref="E197">IF(ROW()=2,"",INDEX(Daily_Input!$E:$E,ROW())-INDEX(Daily_Input!$E:$E,ROW()-1))</f>
        <v>3010.0894202999771</v>
      </c>
      <c r="F197" s="5">
        <f>IFERROR(Daily_Input!E197/Config!$B$4,"")</f>
        <v>1.0037027193749493</v>
      </c>
      <c r="G197" s="5">
        <f>Daily_Input!I197</f>
        <v>0</v>
      </c>
      <c r="H197" s="5">
        <f>IF(A197="","",IF(ROW()=2,G197,Config!$B$5*H196+G197))</f>
        <v>10.087133143874489</v>
      </c>
      <c r="I197" s="5">
        <f t="shared" si="9"/>
        <v>12</v>
      </c>
      <c r="J197" s="5">
        <f>IF(I197="","",SIN(2*PI()*I197/Config!$B$6))</f>
        <v>0.2051044998686192</v>
      </c>
      <c r="K197" s="5">
        <f>IF(I197="","",COS(2*PI()*I197/Config!$B$6))</f>
        <v>0.97874007996691526</v>
      </c>
      <c r="L197" s="5">
        <f>IF(ROW()&lt;=2+0,"",INDEX(Daily_Input!$F:$F,ROW()-1))</f>
        <v>9975.845432093749</v>
      </c>
      <c r="M197" s="5">
        <f>IF(ROW()&lt;=2+1,"",INDEX(Daily_Input!$F:$F,ROW()-2))</f>
        <v>9782.8449975937183</v>
      </c>
      <c r="N197" s="5">
        <f>IF(ROW()&lt;=2+2,"",INDEX(Daily_Input!$F:$F,ROW()-3))</f>
        <v>3600.8824674952657</v>
      </c>
      <c r="O197" s="5">
        <f>IF(ROW()&lt;=2+6,"",INDEX(Daily_Input!$F:$F,ROW()-7))</f>
        <v>55671.367700895709</v>
      </c>
      <c r="P197" s="5">
        <f>IF(ROW()&lt;=2+13,"",INDEX(Daily_Input!$F:$F,ROW()-14))</f>
        <v>76839.843350189229</v>
      </c>
      <c r="Q197" s="5">
        <f>IF(ROW()&lt;=4,"",SUM(INDEX(Daily_Input!$I:$I,ROW()-2):INDEX(Daily_Input!$I:$I,ROW())))</f>
        <v>0</v>
      </c>
      <c r="R197" s="5">
        <f>IF(ROW()&lt;=8,"",SUM(INDEX(Daily_Input!$I:$I,ROW()-6):INDEX(Daily_Input!$I:$I,ROW())))</f>
        <v>0</v>
      </c>
      <c r="S197" s="5">
        <f>IF(ROW()&lt;=15,"",SUM(INDEX(Daily_Input!$I:$I,ROW()-13):INDEX(Daily_Input!$I:$I,ROW())))</f>
        <v>0</v>
      </c>
      <c r="T197" s="5">
        <f>IF(ROW()&lt;=4,"",AVERAGE(INDEX(Daily_Input!$F:$F,ROW()-2):INDEX(Daily_Input!$F:$F,ROW())))</f>
        <v>12153.99552768855</v>
      </c>
      <c r="U197" s="5">
        <f>IF(ROW()&lt;=2+0,"",INDEX(Daily_Input!$G:$G,ROW()-1))</f>
        <v>0</v>
      </c>
      <c r="V197" s="5">
        <f>IF(ROW()&lt;=2+0,"",INDEX(Daily_Input!$H:$H,ROW()-1))</f>
        <v>8997.8851240000004</v>
      </c>
      <c r="W197" s="5">
        <f>IF(ROW()&lt;=2+1,"",INDEX(Daily_Input!$G:$G,ROW()-2))</f>
        <v>0</v>
      </c>
      <c r="X197" s="5">
        <f>IF(ROW()&lt;=2+1,"",INDEX(Daily_Input!$H:$H,ROW()-2))</f>
        <v>5796.3379560000003</v>
      </c>
      <c r="Y197" s="5">
        <f>IF(ROW()&lt;=2+2,"",INDEX(Daily_Input!$G:$G,ROW()-3))</f>
        <v>0</v>
      </c>
      <c r="Z197" s="5">
        <f>IF(ROW()&lt;=2+2,"",INDEX(Daily_Input!$H:$H,ROW()-3))</f>
        <v>2623.4287260000001</v>
      </c>
      <c r="AA197" s="5">
        <f>Daily_Input!N197</f>
        <v>1.4E-2</v>
      </c>
      <c r="AB197" s="5">
        <f>Daily_Input!O197</f>
        <v>8.9999999999999998E-4</v>
      </c>
      <c r="AC197" s="5">
        <f>Daily_Input!P197</f>
        <v>0</v>
      </c>
      <c r="AD197" s="5">
        <f t="shared" si="10"/>
        <v>1.49E-2</v>
      </c>
      <c r="AE197" s="5">
        <f t="shared" si="11"/>
        <v>1.4E-2</v>
      </c>
      <c r="AF197" s="5">
        <f>IF(A197="","",IFERROR(INDEX(Daily_Input!$F:$F,ROW()+1),""))</f>
        <v>15573.39157307821</v>
      </c>
      <c r="AG197" s="5">
        <f>IF(A197="","",IFERROR(INDEX(Daily_Input!$F:$F,ROW()+2),""))</f>
        <v>19231.711163078209</v>
      </c>
      <c r="AH197" s="5">
        <f>IF(A197="","",IFERROR(INDEX(Daily_Input!$F:$F,ROW()+3),""))</f>
        <v>21729.904653078207</v>
      </c>
    </row>
    <row r="198" spans="1:34">
      <c r="A198" s="5">
        <f>Daily_Input!A198</f>
        <v>46035</v>
      </c>
      <c r="B198" s="5">
        <f>Daily_Input!F198</f>
        <v>15573.39157307821</v>
      </c>
      <c r="C198" s="5">
        <f>Daily_Input!D198</f>
        <v>489.56099999999998</v>
      </c>
      <c r="D198" s="5">
        <f>Daily_Input!E198</f>
        <v>1631482.3951735001</v>
      </c>
      <c r="E198" s="5" cm="1">
        <f t="array" ref="E198">IF(ROW()=2,"",INDEX(Daily_Input!$E:$E,ROW())-INDEX(Daily_Input!$E:$E,ROW()-1))</f>
        <v>0</v>
      </c>
      <c r="F198" s="5">
        <f>IFERROR(Daily_Input!E198/Config!$B$4,"")</f>
        <v>1.0037027193749493</v>
      </c>
      <c r="G198" s="5">
        <f>Daily_Input!I198</f>
        <v>0</v>
      </c>
      <c r="H198" s="5">
        <f>IF(A198="","",IF(ROW()=2,G198,Config!$B$5*H197+G198))</f>
        <v>9.5827764866807641</v>
      </c>
      <c r="I198" s="5">
        <f t="shared" si="9"/>
        <v>13</v>
      </c>
      <c r="J198" s="5">
        <f>IF(I198="","",SIN(2*PI()*I198/Config!$B$6))</f>
        <v>0.22192151300416549</v>
      </c>
      <c r="K198" s="5">
        <f>IF(I198="","",COS(2*PI()*I198/Config!$B$6))</f>
        <v>0.9750645322571948</v>
      </c>
      <c r="L198" s="5">
        <f>IF(ROW()&lt;=2+0,"",INDEX(Daily_Input!$F:$F,ROW()-1))</f>
        <v>16703.296153378185</v>
      </c>
      <c r="M198" s="5">
        <f>IF(ROW()&lt;=2+1,"",INDEX(Daily_Input!$F:$F,ROW()-2))</f>
        <v>9975.845432093749</v>
      </c>
      <c r="N198" s="5">
        <f>IF(ROW()&lt;=2+2,"",INDEX(Daily_Input!$F:$F,ROW()-3))</f>
        <v>9782.8449975937183</v>
      </c>
      <c r="O198" s="5">
        <f>IF(ROW()&lt;=2+6,"",INDEX(Daily_Input!$F:$F,ROW()-7))</f>
        <v>47965.922939947508</v>
      </c>
      <c r="P198" s="5">
        <f>IF(ROW()&lt;=2+13,"",INDEX(Daily_Input!$F:$F,ROW()-14))</f>
        <v>72948.155639889126</v>
      </c>
      <c r="Q198" s="5">
        <f>IF(ROW()&lt;=4,"",SUM(INDEX(Daily_Input!$I:$I,ROW()-2):INDEX(Daily_Input!$I:$I,ROW())))</f>
        <v>0</v>
      </c>
      <c r="R198" s="5">
        <f>IF(ROW()&lt;=8,"",SUM(INDEX(Daily_Input!$I:$I,ROW()-6):INDEX(Daily_Input!$I:$I,ROW())))</f>
        <v>0</v>
      </c>
      <c r="S198" s="5">
        <f>IF(ROW()&lt;=15,"",SUM(INDEX(Daily_Input!$I:$I,ROW()-13):INDEX(Daily_Input!$I:$I,ROW())))</f>
        <v>0</v>
      </c>
      <c r="T198" s="5">
        <f>IF(ROW()&lt;=4,"",AVERAGE(INDEX(Daily_Input!$F:$F,ROW()-2):INDEX(Daily_Input!$F:$F,ROW())))</f>
        <v>14084.177719516714</v>
      </c>
      <c r="U198" s="5">
        <f>IF(ROW()&lt;=2+0,"",INDEX(Daily_Input!$G:$G,ROW()-1))</f>
        <v>0</v>
      </c>
      <c r="V198" s="5">
        <f>IF(ROW()&lt;=2+0,"",INDEX(Daily_Input!$H:$H,ROW()-1))</f>
        <v>12714.737880000001</v>
      </c>
      <c r="W198" s="5">
        <f>IF(ROW()&lt;=2+1,"",INDEX(Daily_Input!$G:$G,ROW()-2))</f>
        <v>0</v>
      </c>
      <c r="X198" s="5">
        <f>IF(ROW()&lt;=2+1,"",INDEX(Daily_Input!$H:$H,ROW()-2))</f>
        <v>8997.8851240000004</v>
      </c>
      <c r="Y198" s="5">
        <f>IF(ROW()&lt;=2+2,"",INDEX(Daily_Input!$G:$G,ROW()-3))</f>
        <v>0</v>
      </c>
      <c r="Z198" s="5">
        <f>IF(ROW()&lt;=2+2,"",INDEX(Daily_Input!$H:$H,ROW()-3))</f>
        <v>5796.3379560000003</v>
      </c>
      <c r="AA198" s="5">
        <f>Daily_Input!N198</f>
        <v>8.9999999999999998E-4</v>
      </c>
      <c r="AB198" s="5">
        <f>Daily_Input!O198</f>
        <v>0</v>
      </c>
      <c r="AC198" s="5">
        <f>Daily_Input!P198</f>
        <v>0</v>
      </c>
      <c r="AD198" s="5">
        <f t="shared" si="10"/>
        <v>8.9999999999999998E-4</v>
      </c>
      <c r="AE198" s="5">
        <f t="shared" si="11"/>
        <v>8.9999999999999998E-4</v>
      </c>
      <c r="AF198" s="5">
        <f>IF(A198="","",IFERROR(INDEX(Daily_Input!$F:$F,ROW()+1),""))</f>
        <v>19231.711163078209</v>
      </c>
      <c r="AG198" s="5">
        <f>IF(A198="","",IFERROR(INDEX(Daily_Input!$F:$F,ROW()+2),""))</f>
        <v>21729.904653078207</v>
      </c>
      <c r="AH198" s="5">
        <f>IF(A198="","",IFERROR(INDEX(Daily_Input!$F:$F,ROW()+3),""))</f>
        <v>22225.218703078208</v>
      </c>
    </row>
    <row r="199" spans="1:34">
      <c r="A199" s="5">
        <f>Daily_Input!A199</f>
        <v>46036</v>
      </c>
      <c r="B199" s="5">
        <f>Daily_Input!F199</f>
        <v>19231.711163078209</v>
      </c>
      <c r="C199" s="5">
        <f>Daily_Input!D199</f>
        <v>489.56799999999998</v>
      </c>
      <c r="D199" s="5">
        <f>Daily_Input!E199</f>
        <v>1631482.3951735001</v>
      </c>
      <c r="E199" s="5" cm="1">
        <f t="array" ref="E199">IF(ROW()=2,"",INDEX(Daily_Input!$E:$E,ROW())-INDEX(Daily_Input!$E:$E,ROW()-1))</f>
        <v>0</v>
      </c>
      <c r="F199" s="5">
        <f>IFERROR(Daily_Input!E199/Config!$B$4,"")</f>
        <v>1.0037027193749493</v>
      </c>
      <c r="G199" s="5">
        <f>Daily_Input!I199</f>
        <v>0</v>
      </c>
      <c r="H199" s="5">
        <f>IF(A199="","",IF(ROW()=2,G199,Config!$B$5*H198+G199))</f>
        <v>9.1036376623467259</v>
      </c>
      <c r="I199" s="5">
        <f t="shared" si="9"/>
        <v>14</v>
      </c>
      <c r="J199" s="5">
        <f>IF(I199="","",SIN(2*PI()*I199/Config!$B$6))</f>
        <v>0.23867276600595011</v>
      </c>
      <c r="K199" s="5">
        <f>IF(I199="","",COS(2*PI()*I199/Config!$B$6))</f>
        <v>0.97110005188295045</v>
      </c>
      <c r="L199" s="5">
        <f>IF(ROW()&lt;=2+0,"",INDEX(Daily_Input!$F:$F,ROW()-1))</f>
        <v>15573.39157307821</v>
      </c>
      <c r="M199" s="5">
        <f>IF(ROW()&lt;=2+1,"",INDEX(Daily_Input!$F:$F,ROW()-2))</f>
        <v>16703.296153378185</v>
      </c>
      <c r="N199" s="5">
        <f>IF(ROW()&lt;=2+2,"",INDEX(Daily_Input!$F:$F,ROW()-3))</f>
        <v>9975.845432093749</v>
      </c>
      <c r="O199" s="5">
        <f>IF(ROW()&lt;=2+6,"",INDEX(Daily_Input!$F:$F,ROW()-7))</f>
        <v>22168.599381770346</v>
      </c>
      <c r="P199" s="5">
        <f>IF(ROW()&lt;=2+13,"",INDEX(Daily_Input!$F:$F,ROW()-14))</f>
        <v>69626.237029889133</v>
      </c>
      <c r="Q199" s="5">
        <f>IF(ROW()&lt;=4,"",SUM(INDEX(Daily_Input!$I:$I,ROW()-2):INDEX(Daily_Input!$I:$I,ROW())))</f>
        <v>0</v>
      </c>
      <c r="R199" s="5">
        <f>IF(ROW()&lt;=8,"",SUM(INDEX(Daily_Input!$I:$I,ROW()-6):INDEX(Daily_Input!$I:$I,ROW())))</f>
        <v>0</v>
      </c>
      <c r="S199" s="5">
        <f>IF(ROW()&lt;=15,"",SUM(INDEX(Daily_Input!$I:$I,ROW()-13):INDEX(Daily_Input!$I:$I,ROW())))</f>
        <v>0</v>
      </c>
      <c r="T199" s="5">
        <f>IF(ROW()&lt;=4,"",AVERAGE(INDEX(Daily_Input!$F:$F,ROW()-2):INDEX(Daily_Input!$F:$F,ROW())))</f>
        <v>17169.466296511535</v>
      </c>
      <c r="U199" s="5">
        <f>IF(ROW()&lt;=2+0,"",INDEX(Daily_Input!$G:$G,ROW()-1))</f>
        <v>0</v>
      </c>
      <c r="V199" s="5">
        <f>IF(ROW()&lt;=2+0,"",INDEX(Daily_Input!$H:$H,ROW()-1))</f>
        <v>14594.92272</v>
      </c>
      <c r="W199" s="5">
        <f>IF(ROW()&lt;=2+1,"",INDEX(Daily_Input!$G:$G,ROW()-2))</f>
        <v>0</v>
      </c>
      <c r="X199" s="5">
        <f>IF(ROW()&lt;=2+1,"",INDEX(Daily_Input!$H:$H,ROW()-2))</f>
        <v>12714.737880000001</v>
      </c>
      <c r="Y199" s="5">
        <f>IF(ROW()&lt;=2+2,"",INDEX(Daily_Input!$G:$G,ROW()-3))</f>
        <v>0</v>
      </c>
      <c r="Z199" s="5">
        <f>IF(ROW()&lt;=2+2,"",INDEX(Daily_Input!$H:$H,ROW()-3))</f>
        <v>8997.8851240000004</v>
      </c>
      <c r="AA199" s="5">
        <f>Daily_Input!N199</f>
        <v>0</v>
      </c>
      <c r="AB199" s="5">
        <f>Daily_Input!O199</f>
        <v>0</v>
      </c>
      <c r="AC199" s="5">
        <f>Daily_Input!P199</f>
        <v>0</v>
      </c>
      <c r="AD199" s="5">
        <f t="shared" si="10"/>
        <v>0</v>
      </c>
      <c r="AE199" s="5">
        <f t="shared" si="11"/>
        <v>0</v>
      </c>
      <c r="AF199" s="5">
        <f>IF(A199="","",IFERROR(INDEX(Daily_Input!$F:$F,ROW()+1),""))</f>
        <v>21729.904653078207</v>
      </c>
      <c r="AG199" s="5">
        <f>IF(A199="","",IFERROR(INDEX(Daily_Input!$F:$F,ROW()+2),""))</f>
        <v>22225.218703078208</v>
      </c>
      <c r="AH199" s="5">
        <f>IF(A199="","",IFERROR(INDEX(Daily_Input!$F:$F,ROW()+3),""))</f>
        <v>21070.653023078208</v>
      </c>
    </row>
    <row r="200" spans="1:34">
      <c r="A200" s="5">
        <f>Daily_Input!A200</f>
        <v>46037</v>
      </c>
      <c r="B200" s="5">
        <f>Daily_Input!F200</f>
        <v>21729.904653078207</v>
      </c>
      <c r="C200" s="5">
        <f>Daily_Input!D200</f>
        <v>489.56799999999998</v>
      </c>
      <c r="D200" s="5">
        <f>Daily_Input!E200</f>
        <v>1631482.3951735001</v>
      </c>
      <c r="E200" s="5" cm="1">
        <f t="array" ref="E200">IF(ROW()=2,"",INDEX(Daily_Input!$E:$E,ROW())-INDEX(Daily_Input!$E:$E,ROW()-1))</f>
        <v>0</v>
      </c>
      <c r="F200" s="5">
        <f>IFERROR(Daily_Input!E200/Config!$B$4,"")</f>
        <v>1.0037027193749493</v>
      </c>
      <c r="G200" s="5">
        <f>Daily_Input!I200</f>
        <v>0</v>
      </c>
      <c r="H200" s="5">
        <f>IF(A200="","",IF(ROW()=2,G200,Config!$B$5*H199+G200))</f>
        <v>8.6484557792293888</v>
      </c>
      <c r="I200" s="5">
        <f t="shared" si="9"/>
        <v>15</v>
      </c>
      <c r="J200" s="5">
        <f>IF(I200="","",SIN(2*PI()*I200/Config!$B$6))</f>
        <v>0.25535329511618698</v>
      </c>
      <c r="K200" s="5">
        <f>IF(I200="","",COS(2*PI()*I200/Config!$B$6))</f>
        <v>0.9668478136052775</v>
      </c>
      <c r="L200" s="5">
        <f>IF(ROW()&lt;=2+0,"",INDEX(Daily_Input!$F:$F,ROW()-1))</f>
        <v>19231.711163078209</v>
      </c>
      <c r="M200" s="5">
        <f>IF(ROW()&lt;=2+1,"",INDEX(Daily_Input!$F:$F,ROW()-2))</f>
        <v>15573.39157307821</v>
      </c>
      <c r="N200" s="5">
        <f>IF(ROW()&lt;=2+2,"",INDEX(Daily_Input!$F:$F,ROW()-3))</f>
        <v>16703.296153378185</v>
      </c>
      <c r="O200" s="5">
        <f>IF(ROW()&lt;=2+6,"",INDEX(Daily_Input!$F:$F,ROW()-7))</f>
        <v>0</v>
      </c>
      <c r="P200" s="5">
        <f>IF(ROW()&lt;=2+13,"",INDEX(Daily_Input!$F:$F,ROW()-14))</f>
        <v>78402.863886589228</v>
      </c>
      <c r="Q200" s="5">
        <f>IF(ROW()&lt;=4,"",SUM(INDEX(Daily_Input!$I:$I,ROW()-2):INDEX(Daily_Input!$I:$I,ROW())))</f>
        <v>0</v>
      </c>
      <c r="R200" s="5">
        <f>IF(ROW()&lt;=8,"",SUM(INDEX(Daily_Input!$I:$I,ROW()-6):INDEX(Daily_Input!$I:$I,ROW())))</f>
        <v>0</v>
      </c>
      <c r="S200" s="5">
        <f>IF(ROW()&lt;=15,"",SUM(INDEX(Daily_Input!$I:$I,ROW()-13):INDEX(Daily_Input!$I:$I,ROW())))</f>
        <v>0</v>
      </c>
      <c r="T200" s="5">
        <f>IF(ROW()&lt;=4,"",AVERAGE(INDEX(Daily_Input!$F:$F,ROW()-2):INDEX(Daily_Input!$F:$F,ROW())))</f>
        <v>18845.00246307821</v>
      </c>
      <c r="U200" s="5">
        <f>IF(ROW()&lt;=2+0,"",INDEX(Daily_Input!$G:$G,ROW()-1))</f>
        <v>0</v>
      </c>
      <c r="V200" s="5">
        <f>IF(ROW()&lt;=2+0,"",INDEX(Daily_Input!$H:$H,ROW()-1))</f>
        <v>18253.242310000001</v>
      </c>
      <c r="W200" s="5">
        <f>IF(ROW()&lt;=2+1,"",INDEX(Daily_Input!$G:$G,ROW()-2))</f>
        <v>0</v>
      </c>
      <c r="X200" s="5">
        <f>IF(ROW()&lt;=2+1,"",INDEX(Daily_Input!$H:$H,ROW()-2))</f>
        <v>14594.92272</v>
      </c>
      <c r="Y200" s="5">
        <f>IF(ROW()&lt;=2+2,"",INDEX(Daily_Input!$G:$G,ROW()-3))</f>
        <v>0</v>
      </c>
      <c r="Z200" s="5">
        <f>IF(ROW()&lt;=2+2,"",INDEX(Daily_Input!$H:$H,ROW()-3))</f>
        <v>12714.737880000001</v>
      </c>
      <c r="AA200" s="5">
        <f>Daily_Input!N200</f>
        <v>0</v>
      </c>
      <c r="AB200" s="5">
        <f>Daily_Input!O200</f>
        <v>0</v>
      </c>
      <c r="AC200" s="5">
        <f>Daily_Input!P200</f>
        <v>0</v>
      </c>
      <c r="AD200" s="5">
        <f t="shared" si="10"/>
        <v>0</v>
      </c>
      <c r="AE200" s="5">
        <f t="shared" si="11"/>
        <v>0</v>
      </c>
      <c r="AF200" s="5">
        <f>IF(A200="","",IFERROR(INDEX(Daily_Input!$F:$F,ROW()+1),""))</f>
        <v>22225.218703078208</v>
      </c>
      <c r="AG200" s="5">
        <f>IF(A200="","",IFERROR(INDEX(Daily_Input!$F:$F,ROW()+2),""))</f>
        <v>21070.653023078208</v>
      </c>
      <c r="AH200" s="5">
        <f>IF(A200="","",IFERROR(INDEX(Daily_Input!$F:$F,ROW()+3),""))</f>
        <v>17922.760163078208</v>
      </c>
    </row>
    <row r="201" spans="1:34">
      <c r="A201" s="5">
        <f>Daily_Input!A201</f>
        <v>46038</v>
      </c>
      <c r="B201" s="5">
        <f>Daily_Input!F201</f>
        <v>22225.218703078208</v>
      </c>
      <c r="C201" s="5">
        <f>Daily_Input!D201</f>
        <v>489.56799999999998</v>
      </c>
      <c r="D201" s="5">
        <f>Daily_Input!E201</f>
        <v>1631482.3951735001</v>
      </c>
      <c r="E201" s="5" cm="1">
        <f t="array" ref="E201">IF(ROW()=2,"",INDEX(Daily_Input!$E:$E,ROW())-INDEX(Daily_Input!$E:$E,ROW()-1))</f>
        <v>0</v>
      </c>
      <c r="F201" s="5">
        <f>IFERROR(Daily_Input!E201/Config!$B$4,"")</f>
        <v>1.0037027193749493</v>
      </c>
      <c r="G201" s="5">
        <f>Daily_Input!I201</f>
        <v>0</v>
      </c>
      <c r="H201" s="5">
        <f>IF(A201="","",IF(ROW()=2,G201,Config!$B$5*H200+G201))</f>
        <v>8.2160329902679194</v>
      </c>
      <c r="I201" s="5">
        <f t="shared" si="9"/>
        <v>16</v>
      </c>
      <c r="J201" s="5">
        <f>IF(I201="","",SIN(2*PI()*I201/Config!$B$6))</f>
        <v>0.27195815753410552</v>
      </c>
      <c r="K201" s="5">
        <f>IF(I201="","",COS(2*PI()*I201/Config!$B$6))</f>
        <v>0.96230907745414862</v>
      </c>
      <c r="L201" s="5">
        <f>IF(ROW()&lt;=2+0,"",INDEX(Daily_Input!$F:$F,ROW()-1))</f>
        <v>21729.904653078207</v>
      </c>
      <c r="M201" s="5">
        <f>IF(ROW()&lt;=2+1,"",INDEX(Daily_Input!$F:$F,ROW()-2))</f>
        <v>19231.711163078209</v>
      </c>
      <c r="N201" s="5">
        <f>IF(ROW()&lt;=2+2,"",INDEX(Daily_Input!$F:$F,ROW()-3))</f>
        <v>15573.39157307821</v>
      </c>
      <c r="O201" s="5">
        <f>IF(ROW()&lt;=2+6,"",INDEX(Daily_Input!$F:$F,ROW()-7))</f>
        <v>3600.8824674952657</v>
      </c>
      <c r="P201" s="5">
        <f>IF(ROW()&lt;=2+13,"",INDEX(Daily_Input!$F:$F,ROW()-14))</f>
        <v>69911.657463295516</v>
      </c>
      <c r="Q201" s="5">
        <f>IF(ROW()&lt;=4,"",SUM(INDEX(Daily_Input!$I:$I,ROW()-2):INDEX(Daily_Input!$I:$I,ROW())))</f>
        <v>0</v>
      </c>
      <c r="R201" s="5">
        <f>IF(ROW()&lt;=8,"",SUM(INDEX(Daily_Input!$I:$I,ROW()-6):INDEX(Daily_Input!$I:$I,ROW())))</f>
        <v>0</v>
      </c>
      <c r="S201" s="5">
        <f>IF(ROW()&lt;=15,"",SUM(INDEX(Daily_Input!$I:$I,ROW()-13):INDEX(Daily_Input!$I:$I,ROW())))</f>
        <v>0</v>
      </c>
      <c r="T201" s="5">
        <f>IF(ROW()&lt;=4,"",AVERAGE(INDEX(Daily_Input!$F:$F,ROW()-2):INDEX(Daily_Input!$F:$F,ROW())))</f>
        <v>21062.278173078208</v>
      </c>
      <c r="U201" s="5">
        <f>IF(ROW()&lt;=2+0,"",INDEX(Daily_Input!$G:$G,ROW()-1))</f>
        <v>0</v>
      </c>
      <c r="V201" s="5">
        <f>IF(ROW()&lt;=2+0,"",INDEX(Daily_Input!$H:$H,ROW()-1))</f>
        <v>20751.435799999999</v>
      </c>
      <c r="W201" s="5">
        <f>IF(ROW()&lt;=2+1,"",INDEX(Daily_Input!$G:$G,ROW()-2))</f>
        <v>0</v>
      </c>
      <c r="X201" s="5">
        <f>IF(ROW()&lt;=2+1,"",INDEX(Daily_Input!$H:$H,ROW()-2))</f>
        <v>18253.242310000001</v>
      </c>
      <c r="Y201" s="5">
        <f>IF(ROW()&lt;=2+2,"",INDEX(Daily_Input!$G:$G,ROW()-3))</f>
        <v>0</v>
      </c>
      <c r="Z201" s="5">
        <f>IF(ROW()&lt;=2+2,"",INDEX(Daily_Input!$H:$H,ROW()-3))</f>
        <v>14594.92272</v>
      </c>
      <c r="AA201" s="5">
        <f>Daily_Input!N201</f>
        <v>0</v>
      </c>
      <c r="AB201" s="5">
        <f>Daily_Input!O201</f>
        <v>0</v>
      </c>
      <c r="AC201" s="5">
        <f>Daily_Input!P201</f>
        <v>0</v>
      </c>
      <c r="AD201" s="5">
        <f t="shared" si="10"/>
        <v>0</v>
      </c>
      <c r="AE201" s="5">
        <f t="shared" si="11"/>
        <v>0</v>
      </c>
      <c r="AF201" s="5">
        <f>IF(A201="","",IFERROR(INDEX(Daily_Input!$F:$F,ROW()+1),""))</f>
        <v>21070.653023078208</v>
      </c>
      <c r="AG201" s="5">
        <f>IF(A201="","",IFERROR(INDEX(Daily_Input!$F:$F,ROW()+2),""))</f>
        <v>17922.760163078208</v>
      </c>
      <c r="AH201" s="5">
        <f>IF(A201="","",IFERROR(INDEX(Daily_Input!$F:$F,ROW()+3),""))</f>
        <v>17657.624873078206</v>
      </c>
    </row>
    <row r="202" spans="1:34">
      <c r="A202" s="5">
        <f>Daily_Input!A202</f>
        <v>46039</v>
      </c>
      <c r="B202" s="5">
        <f>Daily_Input!F202</f>
        <v>21070.653023078208</v>
      </c>
      <c r="C202" s="5">
        <f>Daily_Input!D202</f>
        <v>489.56799999999998</v>
      </c>
      <c r="D202" s="5">
        <f>Daily_Input!E202</f>
        <v>1631482.3951735001</v>
      </c>
      <c r="E202" s="5" cm="1">
        <f t="array" ref="E202">IF(ROW()=2,"",INDEX(Daily_Input!$E:$E,ROW())-INDEX(Daily_Input!$E:$E,ROW()-1))</f>
        <v>0</v>
      </c>
      <c r="F202" s="5">
        <f>IFERROR(Daily_Input!E202/Config!$B$4,"")</f>
        <v>1.0037027193749493</v>
      </c>
      <c r="G202" s="5">
        <f>Daily_Input!I202</f>
        <v>0</v>
      </c>
      <c r="H202" s="5">
        <f>IF(A202="","",IF(ROW()=2,G202,Config!$B$5*H201+G202))</f>
        <v>7.8052313407545233</v>
      </c>
      <c r="I202" s="5">
        <f t="shared" si="9"/>
        <v>17</v>
      </c>
      <c r="J202" s="5">
        <f>IF(I202="","",SIN(2*PI()*I202/Config!$B$6))</f>
        <v>0.28848243288060899</v>
      </c>
      <c r="K202" s="5">
        <f>IF(I202="","",COS(2*PI()*I202/Config!$B$6))</f>
        <v>0.95748518835503926</v>
      </c>
      <c r="L202" s="5">
        <f>IF(ROW()&lt;=2+0,"",INDEX(Daily_Input!$F:$F,ROW()-1))</f>
        <v>22225.218703078208</v>
      </c>
      <c r="M202" s="5">
        <f>IF(ROW()&lt;=2+1,"",INDEX(Daily_Input!$F:$F,ROW()-2))</f>
        <v>21729.904653078207</v>
      </c>
      <c r="N202" s="5">
        <f>IF(ROW()&lt;=2+2,"",INDEX(Daily_Input!$F:$F,ROW()-3))</f>
        <v>19231.711163078209</v>
      </c>
      <c r="O202" s="5">
        <f>IF(ROW()&lt;=2+6,"",INDEX(Daily_Input!$F:$F,ROW()-7))</f>
        <v>9782.8449975937183</v>
      </c>
      <c r="P202" s="5">
        <f>IF(ROW()&lt;=2+13,"",INDEX(Daily_Input!$F:$F,ROW()-14))</f>
        <v>69280.778710895713</v>
      </c>
      <c r="Q202" s="5">
        <f>IF(ROW()&lt;=4,"",SUM(INDEX(Daily_Input!$I:$I,ROW()-2):INDEX(Daily_Input!$I:$I,ROW())))</f>
        <v>0</v>
      </c>
      <c r="R202" s="5">
        <f>IF(ROW()&lt;=8,"",SUM(INDEX(Daily_Input!$I:$I,ROW()-6):INDEX(Daily_Input!$I:$I,ROW())))</f>
        <v>0</v>
      </c>
      <c r="S202" s="5">
        <f>IF(ROW()&lt;=15,"",SUM(INDEX(Daily_Input!$I:$I,ROW()-13):INDEX(Daily_Input!$I:$I,ROW())))</f>
        <v>0</v>
      </c>
      <c r="T202" s="5">
        <f>IF(ROW()&lt;=4,"",AVERAGE(INDEX(Daily_Input!$F:$F,ROW()-2):INDEX(Daily_Input!$F:$F,ROW())))</f>
        <v>21675.258793078207</v>
      </c>
      <c r="U202" s="5">
        <f>IF(ROW()&lt;=2+0,"",INDEX(Daily_Input!$G:$G,ROW()-1))</f>
        <v>0</v>
      </c>
      <c r="V202" s="5">
        <f>IF(ROW()&lt;=2+0,"",INDEX(Daily_Input!$H:$H,ROW()-1))</f>
        <v>21246.74985</v>
      </c>
      <c r="W202" s="5">
        <f>IF(ROW()&lt;=2+1,"",INDEX(Daily_Input!$G:$G,ROW()-2))</f>
        <v>0</v>
      </c>
      <c r="X202" s="5">
        <f>IF(ROW()&lt;=2+1,"",INDEX(Daily_Input!$H:$H,ROW()-2))</f>
        <v>20751.435799999999</v>
      </c>
      <c r="Y202" s="5">
        <f>IF(ROW()&lt;=2+2,"",INDEX(Daily_Input!$G:$G,ROW()-3))</f>
        <v>0</v>
      </c>
      <c r="Z202" s="5">
        <f>IF(ROW()&lt;=2+2,"",INDEX(Daily_Input!$H:$H,ROW()-3))</f>
        <v>18253.242310000001</v>
      </c>
      <c r="AA202" s="5">
        <f>Daily_Input!N202</f>
        <v>0</v>
      </c>
      <c r="AB202" s="5">
        <f>Daily_Input!O202</f>
        <v>0</v>
      </c>
      <c r="AC202" s="5">
        <f>Daily_Input!P202</f>
        <v>8.9999999999999998E-4</v>
      </c>
      <c r="AD202" s="5">
        <f t="shared" si="10"/>
        <v>8.9999999999999998E-4</v>
      </c>
      <c r="AE202" s="5">
        <f t="shared" si="11"/>
        <v>8.9999999999999998E-4</v>
      </c>
      <c r="AF202" s="5">
        <f>IF(A202="","",IFERROR(INDEX(Daily_Input!$F:$F,ROW()+1),""))</f>
        <v>17922.760163078208</v>
      </c>
      <c r="AG202" s="5">
        <f>IF(A202="","",IFERROR(INDEX(Daily_Input!$F:$F,ROW()+2),""))</f>
        <v>17657.624873078206</v>
      </c>
      <c r="AH202" s="5">
        <f>IF(A202="","",IFERROR(INDEX(Daily_Input!$F:$F,ROW()+3),""))</f>
        <v>17803.470073078206</v>
      </c>
    </row>
    <row r="203" spans="1:34">
      <c r="A203" s="5">
        <f>Daily_Input!A203</f>
        <v>46040</v>
      </c>
      <c r="B203" s="5">
        <f>Daily_Input!F203</f>
        <v>17922.760163078208</v>
      </c>
      <c r="C203" s="5">
        <f>Daily_Input!D203</f>
        <v>489.56799999999998</v>
      </c>
      <c r="D203" s="5">
        <f>Daily_Input!E203</f>
        <v>1631482.3951735001</v>
      </c>
      <c r="E203" s="5" cm="1">
        <f t="array" ref="E203">IF(ROW()=2,"",INDEX(Daily_Input!$E:$E,ROW())-INDEX(Daily_Input!$E:$E,ROW()-1))</f>
        <v>0</v>
      </c>
      <c r="F203" s="5">
        <f>IFERROR(Daily_Input!E203/Config!$B$4,"")</f>
        <v>1.0037027193749493</v>
      </c>
      <c r="G203" s="5">
        <f>Daily_Input!I203</f>
        <v>0</v>
      </c>
      <c r="H203" s="5">
        <f>IF(A203="","",IF(ROW()=2,G203,Config!$B$5*H202+G203))</f>
        <v>7.4149697737167966</v>
      </c>
      <c r="I203" s="5">
        <f t="shared" si="9"/>
        <v>18</v>
      </c>
      <c r="J203" s="5">
        <f>IF(I203="","",SIN(2*PI()*I203/Config!$B$6))</f>
        <v>0.30492122465628907</v>
      </c>
      <c r="K203" s="5">
        <f>IF(I203="","",COS(2*PI()*I203/Config!$B$6))</f>
        <v>0.95237757573039739</v>
      </c>
      <c r="L203" s="5">
        <f>IF(ROW()&lt;=2+0,"",INDEX(Daily_Input!$F:$F,ROW()-1))</f>
        <v>21070.653023078208</v>
      </c>
      <c r="M203" s="5">
        <f>IF(ROW()&lt;=2+1,"",INDEX(Daily_Input!$F:$F,ROW()-2))</f>
        <v>22225.218703078208</v>
      </c>
      <c r="N203" s="5">
        <f>IF(ROW()&lt;=2+2,"",INDEX(Daily_Input!$F:$F,ROW()-3))</f>
        <v>21729.904653078207</v>
      </c>
      <c r="O203" s="5">
        <f>IF(ROW()&lt;=2+6,"",INDEX(Daily_Input!$F:$F,ROW()-7))</f>
        <v>9975.845432093749</v>
      </c>
      <c r="P203" s="5">
        <f>IF(ROW()&lt;=2+13,"",INDEX(Daily_Input!$F:$F,ROW()-14))</f>
        <v>67163.598170895712</v>
      </c>
      <c r="Q203" s="5">
        <f>IF(ROW()&lt;=4,"",SUM(INDEX(Daily_Input!$I:$I,ROW()-2):INDEX(Daily_Input!$I:$I,ROW())))</f>
        <v>0</v>
      </c>
      <c r="R203" s="5">
        <f>IF(ROW()&lt;=8,"",SUM(INDEX(Daily_Input!$I:$I,ROW()-6):INDEX(Daily_Input!$I:$I,ROW())))</f>
        <v>0</v>
      </c>
      <c r="S203" s="5">
        <f>IF(ROW()&lt;=15,"",SUM(INDEX(Daily_Input!$I:$I,ROW()-13):INDEX(Daily_Input!$I:$I,ROW())))</f>
        <v>0</v>
      </c>
      <c r="T203" s="5">
        <f>IF(ROW()&lt;=4,"",AVERAGE(INDEX(Daily_Input!$F:$F,ROW()-2):INDEX(Daily_Input!$F:$F,ROW())))</f>
        <v>20406.210629744874</v>
      </c>
      <c r="U203" s="5">
        <f>IF(ROW()&lt;=2+0,"",INDEX(Daily_Input!$G:$G,ROW()-1))</f>
        <v>0</v>
      </c>
      <c r="V203" s="5">
        <f>IF(ROW()&lt;=2+0,"",INDEX(Daily_Input!$H:$H,ROW()-1))</f>
        <v>20092.18417</v>
      </c>
      <c r="W203" s="5">
        <f>IF(ROW()&lt;=2+1,"",INDEX(Daily_Input!$G:$G,ROW()-2))</f>
        <v>0</v>
      </c>
      <c r="X203" s="5">
        <f>IF(ROW()&lt;=2+1,"",INDEX(Daily_Input!$H:$H,ROW()-2))</f>
        <v>21246.74985</v>
      </c>
      <c r="Y203" s="5">
        <f>IF(ROW()&lt;=2+2,"",INDEX(Daily_Input!$G:$G,ROW()-3))</f>
        <v>0</v>
      </c>
      <c r="Z203" s="5">
        <f>IF(ROW()&lt;=2+2,"",INDEX(Daily_Input!$H:$H,ROW()-3))</f>
        <v>20751.435799999999</v>
      </c>
      <c r="AA203" s="5">
        <f>Daily_Input!N203</f>
        <v>0</v>
      </c>
      <c r="AB203" s="5">
        <f>Daily_Input!O203</f>
        <v>8.9999999999999998E-4</v>
      </c>
      <c r="AC203" s="5">
        <f>Daily_Input!P203</f>
        <v>0</v>
      </c>
      <c r="AD203" s="5">
        <f t="shared" si="10"/>
        <v>8.9999999999999998E-4</v>
      </c>
      <c r="AE203" s="5">
        <f t="shared" si="11"/>
        <v>8.9999999999999998E-4</v>
      </c>
      <c r="AF203" s="5">
        <f>IF(A203="","",IFERROR(INDEX(Daily_Input!$F:$F,ROW()+1),""))</f>
        <v>17657.624873078206</v>
      </c>
      <c r="AG203" s="5">
        <f>IF(A203="","",IFERROR(INDEX(Daily_Input!$F:$F,ROW()+2),""))</f>
        <v>17803.470073078206</v>
      </c>
      <c r="AH203" s="5">
        <f>IF(A203="","",IFERROR(INDEX(Daily_Input!$F:$F,ROW()+3),""))</f>
        <v>14231.967423078209</v>
      </c>
    </row>
    <row r="204" spans="1:34">
      <c r="A204" s="5">
        <f>Daily_Input!A204</f>
        <v>46041</v>
      </c>
      <c r="B204" s="5">
        <f>Daily_Input!F204</f>
        <v>17657.624873078206</v>
      </c>
      <c r="C204" s="5">
        <f>Daily_Input!D204</f>
        <v>489.56799999999998</v>
      </c>
      <c r="D204" s="5">
        <f>Daily_Input!E204</f>
        <v>1631482.3951735001</v>
      </c>
      <c r="E204" s="5" cm="1">
        <f t="array" ref="E204">IF(ROW()=2,"",INDEX(Daily_Input!$E:$E,ROW())-INDEX(Daily_Input!$E:$E,ROW()-1))</f>
        <v>0</v>
      </c>
      <c r="F204" s="5">
        <f>IFERROR(Daily_Input!E204/Config!$B$4,"")</f>
        <v>1.0037027193749493</v>
      </c>
      <c r="G204" s="5">
        <f>Daily_Input!I204</f>
        <v>0</v>
      </c>
      <c r="H204" s="5">
        <f>IF(A204="","",IF(ROW()=2,G204,Config!$B$5*H203+G204))</f>
        <v>7.0442212850309565</v>
      </c>
      <c r="I204" s="5">
        <f t="shared" si="9"/>
        <v>19</v>
      </c>
      <c r="J204" s="5">
        <f>IF(I204="","",SIN(2*PI()*I204/Config!$B$6))</f>
        <v>0.32126966169236443</v>
      </c>
      <c r="K204" s="5">
        <f>IF(I204="","",COS(2*PI()*I204/Config!$B$6))</f>
        <v>0.9469877530760753</v>
      </c>
      <c r="L204" s="5">
        <f>IF(ROW()&lt;=2+0,"",INDEX(Daily_Input!$F:$F,ROW()-1))</f>
        <v>17922.760163078208</v>
      </c>
      <c r="M204" s="5">
        <f>IF(ROW()&lt;=2+1,"",INDEX(Daily_Input!$F:$F,ROW()-2))</f>
        <v>21070.653023078208</v>
      </c>
      <c r="N204" s="5">
        <f>IF(ROW()&lt;=2+2,"",INDEX(Daily_Input!$F:$F,ROW()-3))</f>
        <v>22225.218703078208</v>
      </c>
      <c r="O204" s="5">
        <f>IF(ROW()&lt;=2+6,"",INDEX(Daily_Input!$F:$F,ROW()-7))</f>
        <v>16703.296153378185</v>
      </c>
      <c r="P204" s="5">
        <f>IF(ROW()&lt;=2+13,"",INDEX(Daily_Input!$F:$F,ROW()-14))</f>
        <v>55671.367700895709</v>
      </c>
      <c r="Q204" s="5">
        <f>IF(ROW()&lt;=4,"",SUM(INDEX(Daily_Input!$I:$I,ROW()-2):INDEX(Daily_Input!$I:$I,ROW())))</f>
        <v>0</v>
      </c>
      <c r="R204" s="5">
        <f>IF(ROW()&lt;=8,"",SUM(INDEX(Daily_Input!$I:$I,ROW()-6):INDEX(Daily_Input!$I:$I,ROW())))</f>
        <v>0</v>
      </c>
      <c r="S204" s="5">
        <f>IF(ROW()&lt;=15,"",SUM(INDEX(Daily_Input!$I:$I,ROW()-13):INDEX(Daily_Input!$I:$I,ROW())))</f>
        <v>0</v>
      </c>
      <c r="T204" s="5">
        <f>IF(ROW()&lt;=4,"",AVERAGE(INDEX(Daily_Input!$F:$F,ROW()-2):INDEX(Daily_Input!$F:$F,ROW())))</f>
        <v>18883.679353078205</v>
      </c>
      <c r="U204" s="5">
        <f>IF(ROW()&lt;=2+0,"",INDEX(Daily_Input!$G:$G,ROW()-1))</f>
        <v>0</v>
      </c>
      <c r="V204" s="5">
        <f>IF(ROW()&lt;=2+0,"",INDEX(Daily_Input!$H:$H,ROW()-1))</f>
        <v>16944.291310000001</v>
      </c>
      <c r="W204" s="5">
        <f>IF(ROW()&lt;=2+1,"",INDEX(Daily_Input!$G:$G,ROW()-2))</f>
        <v>0</v>
      </c>
      <c r="X204" s="5">
        <f>IF(ROW()&lt;=2+1,"",INDEX(Daily_Input!$H:$H,ROW()-2))</f>
        <v>20092.18417</v>
      </c>
      <c r="Y204" s="5">
        <f>IF(ROW()&lt;=2+2,"",INDEX(Daily_Input!$G:$G,ROW()-3))</f>
        <v>0</v>
      </c>
      <c r="Z204" s="5">
        <f>IF(ROW()&lt;=2+2,"",INDEX(Daily_Input!$H:$H,ROW()-3))</f>
        <v>21246.74985</v>
      </c>
      <c r="AA204" s="5">
        <f>Daily_Input!N204</f>
        <v>8.9999999999999998E-4</v>
      </c>
      <c r="AB204" s="5">
        <f>Daily_Input!O204</f>
        <v>0</v>
      </c>
      <c r="AC204" s="5">
        <f>Daily_Input!P204</f>
        <v>0</v>
      </c>
      <c r="AD204" s="5">
        <f t="shared" si="10"/>
        <v>8.9999999999999998E-4</v>
      </c>
      <c r="AE204" s="5">
        <f t="shared" si="11"/>
        <v>8.9999999999999998E-4</v>
      </c>
      <c r="AF204" s="5">
        <f>IF(A204="","",IFERROR(INDEX(Daily_Input!$F:$F,ROW()+1),""))</f>
        <v>17803.470073078206</v>
      </c>
      <c r="AG204" s="5">
        <f>IF(A204="","",IFERROR(INDEX(Daily_Input!$F:$F,ROW()+2),""))</f>
        <v>14231.967423078209</v>
      </c>
      <c r="AH204" s="5">
        <f>IF(A204="","",IFERROR(INDEX(Daily_Input!$F:$F,ROW()+3),""))</f>
        <v>12624.30054307821</v>
      </c>
    </row>
    <row r="205" spans="1:34">
      <c r="A205" s="5">
        <f>Daily_Input!A205</f>
        <v>46042</v>
      </c>
      <c r="B205" s="5">
        <f>Daily_Input!F205</f>
        <v>17803.470073078206</v>
      </c>
      <c r="C205" s="5">
        <f>Daily_Input!D205</f>
        <v>489.56799999999998</v>
      </c>
      <c r="D205" s="5">
        <f>Daily_Input!E205</f>
        <v>1631482.3951735001</v>
      </c>
      <c r="E205" s="5" cm="1">
        <f t="array" ref="E205">IF(ROW()=2,"",INDEX(Daily_Input!$E:$E,ROW())-INDEX(Daily_Input!$E:$E,ROW()-1))</f>
        <v>0</v>
      </c>
      <c r="F205" s="5">
        <f>IFERROR(Daily_Input!E205/Config!$B$4,"")</f>
        <v>1.0037027193749493</v>
      </c>
      <c r="G205" s="5">
        <f>Daily_Input!I205</f>
        <v>0</v>
      </c>
      <c r="H205" s="5">
        <f>IF(A205="","",IF(ROW()=2,G205,Config!$B$5*H204+G205))</f>
        <v>6.6920102207794079</v>
      </c>
      <c r="I205" s="5">
        <f t="shared" si="9"/>
        <v>20</v>
      </c>
      <c r="J205" s="5">
        <f>IF(I205="","",SIN(2*PI()*I205/Config!$B$6))</f>
        <v>0.3375228995941133</v>
      </c>
      <c r="K205" s="5">
        <f>IF(I205="","",COS(2*PI()*I205/Config!$B$6))</f>
        <v>0.94131731751284708</v>
      </c>
      <c r="L205" s="5">
        <f>IF(ROW()&lt;=2+0,"",INDEX(Daily_Input!$F:$F,ROW()-1))</f>
        <v>17657.624873078206</v>
      </c>
      <c r="M205" s="5">
        <f>IF(ROW()&lt;=2+1,"",INDEX(Daily_Input!$F:$F,ROW()-2))</f>
        <v>17922.760163078208</v>
      </c>
      <c r="N205" s="5">
        <f>IF(ROW()&lt;=2+2,"",INDEX(Daily_Input!$F:$F,ROW()-3))</f>
        <v>21070.653023078208</v>
      </c>
      <c r="O205" s="5">
        <f>IF(ROW()&lt;=2+6,"",INDEX(Daily_Input!$F:$F,ROW()-7))</f>
        <v>15573.39157307821</v>
      </c>
      <c r="P205" s="5">
        <f>IF(ROW()&lt;=2+13,"",INDEX(Daily_Input!$F:$F,ROW()-14))</f>
        <v>47965.922939947508</v>
      </c>
      <c r="Q205" s="5">
        <f>IF(ROW()&lt;=4,"",SUM(INDEX(Daily_Input!$I:$I,ROW()-2):INDEX(Daily_Input!$I:$I,ROW())))</f>
        <v>0</v>
      </c>
      <c r="R205" s="5">
        <f>IF(ROW()&lt;=8,"",SUM(INDEX(Daily_Input!$I:$I,ROW()-6):INDEX(Daily_Input!$I:$I,ROW())))</f>
        <v>0</v>
      </c>
      <c r="S205" s="5">
        <f>IF(ROW()&lt;=15,"",SUM(INDEX(Daily_Input!$I:$I,ROW()-13):INDEX(Daily_Input!$I:$I,ROW())))</f>
        <v>0</v>
      </c>
      <c r="T205" s="5">
        <f>IF(ROW()&lt;=4,"",AVERAGE(INDEX(Daily_Input!$F:$F,ROW()-2):INDEX(Daily_Input!$F:$F,ROW())))</f>
        <v>17794.618369744872</v>
      </c>
      <c r="U205" s="5">
        <f>IF(ROW()&lt;=2+0,"",INDEX(Daily_Input!$G:$G,ROW()-1))</f>
        <v>0</v>
      </c>
      <c r="V205" s="5">
        <f>IF(ROW()&lt;=2+0,"",INDEX(Daily_Input!$H:$H,ROW()-1))</f>
        <v>16679.156019999999</v>
      </c>
      <c r="W205" s="5">
        <f>IF(ROW()&lt;=2+1,"",INDEX(Daily_Input!$G:$G,ROW()-2))</f>
        <v>0</v>
      </c>
      <c r="X205" s="5">
        <f>IF(ROW()&lt;=2+1,"",INDEX(Daily_Input!$H:$H,ROW()-2))</f>
        <v>16944.291310000001</v>
      </c>
      <c r="Y205" s="5">
        <f>IF(ROW()&lt;=2+2,"",INDEX(Daily_Input!$G:$G,ROW()-3))</f>
        <v>0</v>
      </c>
      <c r="Z205" s="5">
        <f>IF(ROW()&lt;=2+2,"",INDEX(Daily_Input!$H:$H,ROW()-3))</f>
        <v>20092.18417</v>
      </c>
      <c r="AA205" s="5">
        <f>Daily_Input!N205</f>
        <v>0</v>
      </c>
      <c r="AB205" s="5">
        <f>Daily_Input!O205</f>
        <v>0</v>
      </c>
      <c r="AC205" s="5">
        <f>Daily_Input!P205</f>
        <v>0</v>
      </c>
      <c r="AD205" s="5">
        <f t="shared" si="10"/>
        <v>0</v>
      </c>
      <c r="AE205" s="5">
        <f t="shared" si="11"/>
        <v>0</v>
      </c>
      <c r="AF205" s="5">
        <f>IF(A205="","",IFERROR(INDEX(Daily_Input!$F:$F,ROW()+1),""))</f>
        <v>14231.967423078209</v>
      </c>
      <c r="AG205" s="5">
        <f>IF(A205="","",IFERROR(INDEX(Daily_Input!$F:$F,ROW()+2),""))</f>
        <v>12624.30054307821</v>
      </c>
      <c r="AH205" s="5">
        <f>IF(A205="","",IFERROR(INDEX(Daily_Input!$F:$F,ROW()+3),""))</f>
        <v>14252.967443078209</v>
      </c>
    </row>
    <row r="206" spans="1:34">
      <c r="A206" s="5">
        <f>Daily_Input!A206</f>
        <v>46043</v>
      </c>
      <c r="B206" s="5">
        <f>Daily_Input!F206</f>
        <v>14231.967423078209</v>
      </c>
      <c r="C206" s="5">
        <f>Daily_Input!D206</f>
        <v>489.56799999999998</v>
      </c>
      <c r="D206" s="5">
        <f>Daily_Input!E206</f>
        <v>1631482.3951735001</v>
      </c>
      <c r="E206" s="5" cm="1">
        <f t="array" ref="E206">IF(ROW()=2,"",INDEX(Daily_Input!$E:$E,ROW())-INDEX(Daily_Input!$E:$E,ROW()-1))</f>
        <v>0</v>
      </c>
      <c r="F206" s="5">
        <f>IFERROR(Daily_Input!E206/Config!$B$4,"")</f>
        <v>1.0037027193749493</v>
      </c>
      <c r="G206" s="5">
        <f>Daily_Input!I206</f>
        <v>0</v>
      </c>
      <c r="H206" s="5">
        <f>IF(A206="","",IF(ROW()=2,G206,Config!$B$5*H205+G206))</f>
        <v>6.3574097097404376</v>
      </c>
      <c r="I206" s="5">
        <f t="shared" si="9"/>
        <v>21</v>
      </c>
      <c r="J206" s="5">
        <f>IF(I206="","",SIN(2*PI()*I206/Config!$B$6))</f>
        <v>0.35367612217637162</v>
      </c>
      <c r="K206" s="5">
        <f>IF(I206="","",COS(2*PI()*I206/Config!$B$6))</f>
        <v>0.93536794931314826</v>
      </c>
      <c r="L206" s="5">
        <f>IF(ROW()&lt;=2+0,"",INDEX(Daily_Input!$F:$F,ROW()-1))</f>
        <v>17803.470073078206</v>
      </c>
      <c r="M206" s="5">
        <f>IF(ROW()&lt;=2+1,"",INDEX(Daily_Input!$F:$F,ROW()-2))</f>
        <v>17657.624873078206</v>
      </c>
      <c r="N206" s="5">
        <f>IF(ROW()&lt;=2+2,"",INDEX(Daily_Input!$F:$F,ROW()-3))</f>
        <v>17922.760163078208</v>
      </c>
      <c r="O206" s="5">
        <f>IF(ROW()&lt;=2+6,"",INDEX(Daily_Input!$F:$F,ROW()-7))</f>
        <v>19231.711163078209</v>
      </c>
      <c r="P206" s="5">
        <f>IF(ROW()&lt;=2+13,"",INDEX(Daily_Input!$F:$F,ROW()-14))</f>
        <v>22168.599381770346</v>
      </c>
      <c r="Q206" s="5">
        <f>IF(ROW()&lt;=4,"",SUM(INDEX(Daily_Input!$I:$I,ROW()-2):INDEX(Daily_Input!$I:$I,ROW())))</f>
        <v>0</v>
      </c>
      <c r="R206" s="5">
        <f>IF(ROW()&lt;=8,"",SUM(INDEX(Daily_Input!$I:$I,ROW()-6):INDEX(Daily_Input!$I:$I,ROW())))</f>
        <v>0</v>
      </c>
      <c r="S206" s="5">
        <f>IF(ROW()&lt;=15,"",SUM(INDEX(Daily_Input!$I:$I,ROW()-13):INDEX(Daily_Input!$I:$I,ROW())))</f>
        <v>0</v>
      </c>
      <c r="T206" s="5">
        <f>IF(ROW()&lt;=4,"",AVERAGE(INDEX(Daily_Input!$F:$F,ROW()-2):INDEX(Daily_Input!$F:$F,ROW())))</f>
        <v>16564.35412307821</v>
      </c>
      <c r="U206" s="5">
        <f>IF(ROW()&lt;=2+0,"",INDEX(Daily_Input!$G:$G,ROW()-1))</f>
        <v>0</v>
      </c>
      <c r="V206" s="5">
        <f>IF(ROW()&lt;=2+0,"",INDEX(Daily_Input!$H:$H,ROW()-1))</f>
        <v>16825.001219999998</v>
      </c>
      <c r="W206" s="5">
        <f>IF(ROW()&lt;=2+1,"",INDEX(Daily_Input!$G:$G,ROW()-2))</f>
        <v>0</v>
      </c>
      <c r="X206" s="5">
        <f>IF(ROW()&lt;=2+1,"",INDEX(Daily_Input!$H:$H,ROW()-2))</f>
        <v>16679.156019999999</v>
      </c>
      <c r="Y206" s="5">
        <f>IF(ROW()&lt;=2+2,"",INDEX(Daily_Input!$G:$G,ROW()-3))</f>
        <v>0</v>
      </c>
      <c r="Z206" s="5">
        <f>IF(ROW()&lt;=2+2,"",INDEX(Daily_Input!$H:$H,ROW()-3))</f>
        <v>16944.291310000001</v>
      </c>
      <c r="AA206" s="5">
        <f>Daily_Input!N206</f>
        <v>0</v>
      </c>
      <c r="AB206" s="5">
        <f>Daily_Input!O206</f>
        <v>0</v>
      </c>
      <c r="AC206" s="5">
        <f>Daily_Input!P206</f>
        <v>0</v>
      </c>
      <c r="AD206" s="5">
        <f t="shared" si="10"/>
        <v>0</v>
      </c>
      <c r="AE206" s="5">
        <f t="shared" si="11"/>
        <v>0</v>
      </c>
      <c r="AF206" s="5">
        <f>IF(A206="","",IFERROR(INDEX(Daily_Input!$F:$F,ROW()+1),""))</f>
        <v>12624.30054307821</v>
      </c>
      <c r="AG206" s="5">
        <f>IF(A206="","",IFERROR(INDEX(Daily_Input!$F:$F,ROW()+2),""))</f>
        <v>14252.967443078209</v>
      </c>
      <c r="AH206" s="5">
        <f>IF(A206="","",IFERROR(INDEX(Daily_Input!$F:$F,ROW()+3),""))</f>
        <v>15169.12199307821</v>
      </c>
    </row>
    <row r="207" spans="1:34">
      <c r="A207" s="5">
        <f>Daily_Input!A207</f>
        <v>46044</v>
      </c>
      <c r="B207" s="5">
        <f>Daily_Input!F207</f>
        <v>12624.30054307821</v>
      </c>
      <c r="C207" s="5">
        <f>Daily_Input!D207</f>
        <v>489.56099999999998</v>
      </c>
      <c r="D207" s="5">
        <f>Daily_Input!E207</f>
        <v>1631482.3951735001</v>
      </c>
      <c r="E207" s="5" cm="1">
        <f t="array" ref="E207">IF(ROW()=2,"",INDEX(Daily_Input!$E:$E,ROW())-INDEX(Daily_Input!$E:$E,ROW()-1))</f>
        <v>0</v>
      </c>
      <c r="F207" s="5">
        <f>IFERROR(Daily_Input!E207/Config!$B$4,"")</f>
        <v>1.0037027193749493</v>
      </c>
      <c r="G207" s="5">
        <f>Daily_Input!I207</f>
        <v>0</v>
      </c>
      <c r="H207" s="5">
        <f>IF(A207="","",IF(ROW()=2,G207,Config!$B$5*H206+G207))</f>
        <v>6.0395392242534154</v>
      </c>
      <c r="I207" s="5">
        <f t="shared" si="9"/>
        <v>22</v>
      </c>
      <c r="J207" s="5">
        <f>IF(I207="","",SIN(2*PI()*I207/Config!$B$6))</f>
        <v>0.36972454289067308</v>
      </c>
      <c r="K207" s="5">
        <f>IF(I207="","",COS(2*PI()*I207/Config!$B$6))</f>
        <v>0.9291414114031743</v>
      </c>
      <c r="L207" s="5">
        <f>IF(ROW()&lt;=2+0,"",INDEX(Daily_Input!$F:$F,ROW()-1))</f>
        <v>14231.967423078209</v>
      </c>
      <c r="M207" s="5">
        <f>IF(ROW()&lt;=2+1,"",INDEX(Daily_Input!$F:$F,ROW()-2))</f>
        <v>17803.470073078206</v>
      </c>
      <c r="N207" s="5">
        <f>IF(ROW()&lt;=2+2,"",INDEX(Daily_Input!$F:$F,ROW()-3))</f>
        <v>17657.624873078206</v>
      </c>
      <c r="O207" s="5">
        <f>IF(ROW()&lt;=2+6,"",INDEX(Daily_Input!$F:$F,ROW()-7))</f>
        <v>21729.904653078207</v>
      </c>
      <c r="P207" s="5">
        <f>IF(ROW()&lt;=2+13,"",INDEX(Daily_Input!$F:$F,ROW()-14))</f>
        <v>0</v>
      </c>
      <c r="Q207" s="5">
        <f>IF(ROW()&lt;=4,"",SUM(INDEX(Daily_Input!$I:$I,ROW()-2):INDEX(Daily_Input!$I:$I,ROW())))</f>
        <v>0</v>
      </c>
      <c r="R207" s="5">
        <f>IF(ROW()&lt;=8,"",SUM(INDEX(Daily_Input!$I:$I,ROW()-6):INDEX(Daily_Input!$I:$I,ROW())))</f>
        <v>0</v>
      </c>
      <c r="S207" s="5">
        <f>IF(ROW()&lt;=15,"",SUM(INDEX(Daily_Input!$I:$I,ROW()-13):INDEX(Daily_Input!$I:$I,ROW())))</f>
        <v>0</v>
      </c>
      <c r="T207" s="5">
        <f>IF(ROW()&lt;=4,"",AVERAGE(INDEX(Daily_Input!$F:$F,ROW()-2):INDEX(Daily_Input!$F:$F,ROW())))</f>
        <v>14886.579346411541</v>
      </c>
      <c r="U207" s="5">
        <f>IF(ROW()&lt;=2+0,"",INDEX(Daily_Input!$G:$G,ROW()-1))</f>
        <v>0</v>
      </c>
      <c r="V207" s="5">
        <f>IF(ROW()&lt;=2+0,"",INDEX(Daily_Input!$H:$H,ROW()-1))</f>
        <v>13253.49857</v>
      </c>
      <c r="W207" s="5">
        <f>IF(ROW()&lt;=2+1,"",INDEX(Daily_Input!$G:$G,ROW()-2))</f>
        <v>0</v>
      </c>
      <c r="X207" s="5">
        <f>IF(ROW()&lt;=2+1,"",INDEX(Daily_Input!$H:$H,ROW()-2))</f>
        <v>16825.001219999998</v>
      </c>
      <c r="Y207" s="5">
        <f>IF(ROW()&lt;=2+2,"",INDEX(Daily_Input!$G:$G,ROW()-3))</f>
        <v>0</v>
      </c>
      <c r="Z207" s="5">
        <f>IF(ROW()&lt;=2+2,"",INDEX(Daily_Input!$H:$H,ROW()-3))</f>
        <v>16679.156019999999</v>
      </c>
      <c r="AA207" s="5">
        <f>Daily_Input!N207</f>
        <v>0</v>
      </c>
      <c r="AB207" s="5">
        <f>Daily_Input!O207</f>
        <v>0</v>
      </c>
      <c r="AC207" s="5">
        <f>Daily_Input!P207</f>
        <v>0</v>
      </c>
      <c r="AD207" s="5">
        <f t="shared" si="10"/>
        <v>0</v>
      </c>
      <c r="AE207" s="5">
        <f t="shared" si="11"/>
        <v>0</v>
      </c>
      <c r="AF207" s="5">
        <f>IF(A207="","",IFERROR(INDEX(Daily_Input!$F:$F,ROW()+1),""))</f>
        <v>14252.967443078209</v>
      </c>
      <c r="AG207" s="5">
        <f>IF(A207="","",IFERROR(INDEX(Daily_Input!$F:$F,ROW()+2),""))</f>
        <v>15169.12199307821</v>
      </c>
      <c r="AH207" s="5">
        <f>IF(A207="","",IFERROR(INDEX(Daily_Input!$F:$F,ROW()+3),""))</f>
        <v>18040.592713078207</v>
      </c>
    </row>
    <row r="208" spans="1:34">
      <c r="A208" s="5">
        <f>Daily_Input!A208</f>
        <v>46045</v>
      </c>
      <c r="B208" s="5">
        <f>Daily_Input!F208</f>
        <v>14252.967443078209</v>
      </c>
      <c r="C208" s="5">
        <f>Daily_Input!D208</f>
        <v>489.56</v>
      </c>
      <c r="D208" s="5">
        <f>Daily_Input!E208</f>
        <v>1631482.3951735001</v>
      </c>
      <c r="E208" s="5" cm="1">
        <f t="array" ref="E208">IF(ROW()=2,"",INDEX(Daily_Input!$E:$E,ROW())-INDEX(Daily_Input!$E:$E,ROW()-1))</f>
        <v>0</v>
      </c>
      <c r="F208" s="5">
        <f>IFERROR(Daily_Input!E208/Config!$B$4,"")</f>
        <v>1.0037027193749493</v>
      </c>
      <c r="G208" s="5">
        <f>Daily_Input!I208</f>
        <v>0</v>
      </c>
      <c r="H208" s="5">
        <f>IF(A208="","",IF(ROW()=2,G208,Config!$B$5*H207+G208))</f>
        <v>5.7375622630407443</v>
      </c>
      <c r="I208" s="5">
        <f t="shared" si="9"/>
        <v>23</v>
      </c>
      <c r="J208" s="5">
        <f>IF(I208="","",SIN(2*PI()*I208/Config!$B$6))</f>
        <v>0.38566340624360707</v>
      </c>
      <c r="K208" s="5">
        <f>IF(I208="","",COS(2*PI()*I208/Config!$B$6))</f>
        <v>0.9226395488404876</v>
      </c>
      <c r="L208" s="5">
        <f>IF(ROW()&lt;=2+0,"",INDEX(Daily_Input!$F:$F,ROW()-1))</f>
        <v>12624.30054307821</v>
      </c>
      <c r="M208" s="5">
        <f>IF(ROW()&lt;=2+1,"",INDEX(Daily_Input!$F:$F,ROW()-2))</f>
        <v>14231.967423078209</v>
      </c>
      <c r="N208" s="5">
        <f>IF(ROW()&lt;=2+2,"",INDEX(Daily_Input!$F:$F,ROW()-3))</f>
        <v>17803.470073078206</v>
      </c>
      <c r="O208" s="5">
        <f>IF(ROW()&lt;=2+6,"",INDEX(Daily_Input!$F:$F,ROW()-7))</f>
        <v>22225.218703078208</v>
      </c>
      <c r="P208" s="5">
        <f>IF(ROW()&lt;=2+13,"",INDEX(Daily_Input!$F:$F,ROW()-14))</f>
        <v>3600.8824674952657</v>
      </c>
      <c r="Q208" s="5">
        <f>IF(ROW()&lt;=4,"",SUM(INDEX(Daily_Input!$I:$I,ROW()-2):INDEX(Daily_Input!$I:$I,ROW())))</f>
        <v>0</v>
      </c>
      <c r="R208" s="5">
        <f>IF(ROW()&lt;=8,"",SUM(INDEX(Daily_Input!$I:$I,ROW()-6):INDEX(Daily_Input!$I:$I,ROW())))</f>
        <v>0</v>
      </c>
      <c r="S208" s="5">
        <f>IF(ROW()&lt;=15,"",SUM(INDEX(Daily_Input!$I:$I,ROW()-13):INDEX(Daily_Input!$I:$I,ROW())))</f>
        <v>0</v>
      </c>
      <c r="T208" s="5">
        <f>IF(ROW()&lt;=4,"",AVERAGE(INDEX(Daily_Input!$F:$F,ROW()-2):INDEX(Daily_Input!$F:$F,ROW())))</f>
        <v>13703.078469744876</v>
      </c>
      <c r="U208" s="5">
        <f>IF(ROW()&lt;=2+0,"",INDEX(Daily_Input!$G:$G,ROW()-1))</f>
        <v>0</v>
      </c>
      <c r="V208" s="5">
        <f>IF(ROW()&lt;=2+0,"",INDEX(Daily_Input!$H:$H,ROW()-1))</f>
        <v>11645.831690000001</v>
      </c>
      <c r="W208" s="5">
        <f>IF(ROW()&lt;=2+1,"",INDEX(Daily_Input!$G:$G,ROW()-2))</f>
        <v>0</v>
      </c>
      <c r="X208" s="5">
        <f>IF(ROW()&lt;=2+1,"",INDEX(Daily_Input!$H:$H,ROW()-2))</f>
        <v>13253.49857</v>
      </c>
      <c r="Y208" s="5">
        <f>IF(ROW()&lt;=2+2,"",INDEX(Daily_Input!$G:$G,ROW()-3))</f>
        <v>0</v>
      </c>
      <c r="Z208" s="5">
        <f>IF(ROW()&lt;=2+2,"",INDEX(Daily_Input!$H:$H,ROW()-3))</f>
        <v>16825.001219999998</v>
      </c>
      <c r="AA208" s="5">
        <f>Daily_Input!N208</f>
        <v>0</v>
      </c>
      <c r="AB208" s="5">
        <f>Daily_Input!O208</f>
        <v>0</v>
      </c>
      <c r="AC208" s="5">
        <f>Daily_Input!P208</f>
        <v>0</v>
      </c>
      <c r="AD208" s="5">
        <f t="shared" si="10"/>
        <v>0</v>
      </c>
      <c r="AE208" s="5">
        <f t="shared" si="11"/>
        <v>0</v>
      </c>
      <c r="AF208" s="5">
        <f>IF(A208="","",IFERROR(INDEX(Daily_Input!$F:$F,ROW()+1),""))</f>
        <v>15169.12199307821</v>
      </c>
      <c r="AG208" s="5">
        <f>IF(A208="","",IFERROR(INDEX(Daily_Input!$F:$F,ROW()+2),""))</f>
        <v>18040.592713078207</v>
      </c>
      <c r="AH208" s="5">
        <f>IF(A208="","",IFERROR(INDEX(Daily_Input!$F:$F,ROW()+3),""))</f>
        <v>19756.171713078209</v>
      </c>
    </row>
    <row r="209" spans="1:34">
      <c r="A209" s="5">
        <f>Daily_Input!A209</f>
        <v>46046</v>
      </c>
      <c r="B209" s="5">
        <f>Daily_Input!F209</f>
        <v>15169.12199307821</v>
      </c>
      <c r="C209" s="5">
        <f>Daily_Input!D209</f>
        <v>489.56700000000001</v>
      </c>
      <c r="D209" s="5">
        <f>Daily_Input!E209</f>
        <v>1631482.3951735001</v>
      </c>
      <c r="E209" s="5" cm="1">
        <f t="array" ref="E209">IF(ROW()=2,"",INDEX(Daily_Input!$E:$E,ROW())-INDEX(Daily_Input!$E:$E,ROW()-1))</f>
        <v>0</v>
      </c>
      <c r="F209" s="5">
        <f>IFERROR(Daily_Input!E209/Config!$B$4,"")</f>
        <v>1.0037027193749493</v>
      </c>
      <c r="G209" s="5">
        <f>Daily_Input!I209</f>
        <v>0</v>
      </c>
      <c r="H209" s="5">
        <f>IF(A209="","",IF(ROW()=2,G209,Config!$B$5*H208+G209))</f>
        <v>5.4506841498887066</v>
      </c>
      <c r="I209" s="5">
        <f t="shared" si="9"/>
        <v>24</v>
      </c>
      <c r="J209" s="5">
        <f>IF(I209="","",SIN(2*PI()*I209/Config!$B$6))</f>
        <v>0.40148798920597301</v>
      </c>
      <c r="K209" s="5">
        <f>IF(I209="","",COS(2*PI()*I209/Config!$B$6))</f>
        <v>0.91586428826728716</v>
      </c>
      <c r="L209" s="5">
        <f>IF(ROW()&lt;=2+0,"",INDEX(Daily_Input!$F:$F,ROW()-1))</f>
        <v>14252.967443078209</v>
      </c>
      <c r="M209" s="5">
        <f>IF(ROW()&lt;=2+1,"",INDEX(Daily_Input!$F:$F,ROW()-2))</f>
        <v>12624.30054307821</v>
      </c>
      <c r="N209" s="5">
        <f>IF(ROW()&lt;=2+2,"",INDEX(Daily_Input!$F:$F,ROW()-3))</f>
        <v>14231.967423078209</v>
      </c>
      <c r="O209" s="5">
        <f>IF(ROW()&lt;=2+6,"",INDEX(Daily_Input!$F:$F,ROW()-7))</f>
        <v>21070.653023078208</v>
      </c>
      <c r="P209" s="5">
        <f>IF(ROW()&lt;=2+13,"",INDEX(Daily_Input!$F:$F,ROW()-14))</f>
        <v>9782.8449975937183</v>
      </c>
      <c r="Q209" s="5">
        <f>IF(ROW()&lt;=4,"",SUM(INDEX(Daily_Input!$I:$I,ROW()-2):INDEX(Daily_Input!$I:$I,ROW())))</f>
        <v>0</v>
      </c>
      <c r="R209" s="5">
        <f>IF(ROW()&lt;=8,"",SUM(INDEX(Daily_Input!$I:$I,ROW()-6):INDEX(Daily_Input!$I:$I,ROW())))</f>
        <v>0</v>
      </c>
      <c r="S209" s="5">
        <f>IF(ROW()&lt;=15,"",SUM(INDEX(Daily_Input!$I:$I,ROW()-13):INDEX(Daily_Input!$I:$I,ROW())))</f>
        <v>0</v>
      </c>
      <c r="T209" s="5">
        <f>IF(ROW()&lt;=4,"",AVERAGE(INDEX(Daily_Input!$F:$F,ROW()-2):INDEX(Daily_Input!$F:$F,ROW())))</f>
        <v>14015.463326411542</v>
      </c>
      <c r="U209" s="5">
        <f>IF(ROW()&lt;=2+0,"",INDEX(Daily_Input!$G:$G,ROW()-1))</f>
        <v>0</v>
      </c>
      <c r="V209" s="5">
        <f>IF(ROW()&lt;=2+0,"",INDEX(Daily_Input!$H:$H,ROW()-1))</f>
        <v>13274.498589999999</v>
      </c>
      <c r="W209" s="5">
        <f>IF(ROW()&lt;=2+1,"",INDEX(Daily_Input!$G:$G,ROW()-2))</f>
        <v>0</v>
      </c>
      <c r="X209" s="5">
        <f>IF(ROW()&lt;=2+1,"",INDEX(Daily_Input!$H:$H,ROW()-2))</f>
        <v>11645.831690000001</v>
      </c>
      <c r="Y209" s="5">
        <f>IF(ROW()&lt;=2+2,"",INDEX(Daily_Input!$G:$G,ROW()-3))</f>
        <v>0</v>
      </c>
      <c r="Z209" s="5">
        <f>IF(ROW()&lt;=2+2,"",INDEX(Daily_Input!$H:$H,ROW()-3))</f>
        <v>13253.49857</v>
      </c>
      <c r="AA209" s="5">
        <f>Daily_Input!N209</f>
        <v>0</v>
      </c>
      <c r="AB209" s="5">
        <f>Daily_Input!O209</f>
        <v>0</v>
      </c>
      <c r="AC209" s="5">
        <f>Daily_Input!P209</f>
        <v>0</v>
      </c>
      <c r="AD209" s="5">
        <f t="shared" si="10"/>
        <v>0</v>
      </c>
      <c r="AE209" s="5">
        <f t="shared" si="11"/>
        <v>0</v>
      </c>
      <c r="AF209" s="5">
        <f>IF(A209="","",IFERROR(INDEX(Daily_Input!$F:$F,ROW()+1),""))</f>
        <v>18040.592713078207</v>
      </c>
      <c r="AG209" s="5">
        <f>IF(A209="","",IFERROR(INDEX(Daily_Input!$F:$F,ROW()+2),""))</f>
        <v>19756.171713078209</v>
      </c>
      <c r="AH209" s="5">
        <f>IF(A209="","",IFERROR(INDEX(Daily_Input!$F:$F,ROW()+3),""))</f>
        <v>24392.775687970257</v>
      </c>
    </row>
    <row r="210" spans="1:34">
      <c r="A210" s="5">
        <f>Daily_Input!A210</f>
        <v>46047</v>
      </c>
      <c r="B210" s="5">
        <f>Daily_Input!F210</f>
        <v>18040.592713078207</v>
      </c>
      <c r="C210" s="5">
        <f>Daily_Input!D210</f>
        <v>489.56700000000001</v>
      </c>
      <c r="D210" s="5">
        <f>Daily_Input!E210</f>
        <v>1631482.3951735001</v>
      </c>
      <c r="E210" s="5" cm="1">
        <f t="array" ref="E210">IF(ROW()=2,"",INDEX(Daily_Input!$E:$E,ROW())-INDEX(Daily_Input!$E:$E,ROW()-1))</f>
        <v>0</v>
      </c>
      <c r="F210" s="5">
        <f>IFERROR(Daily_Input!E210/Config!$B$4,"")</f>
        <v>1.0037027193749493</v>
      </c>
      <c r="G210" s="5">
        <f>Daily_Input!I210</f>
        <v>0</v>
      </c>
      <c r="H210" s="5">
        <f>IF(A210="","",IF(ROW()=2,G210,Config!$B$5*H209+G210))</f>
        <v>5.1781499423942714</v>
      </c>
      <c r="I210" s="5">
        <f t="shared" si="9"/>
        <v>25</v>
      </c>
      <c r="J210" s="5">
        <f>IF(I210="","",SIN(2*PI()*I210/Config!$B$6))</f>
        <v>0.41719360261231681</v>
      </c>
      <c r="K210" s="5">
        <f>IF(I210="","",COS(2*PI()*I210/Config!$B$6))</f>
        <v>0.90881763733950294</v>
      </c>
      <c r="L210" s="5">
        <f>IF(ROW()&lt;=2+0,"",INDEX(Daily_Input!$F:$F,ROW()-1))</f>
        <v>15169.12199307821</v>
      </c>
      <c r="M210" s="5">
        <f>IF(ROW()&lt;=2+1,"",INDEX(Daily_Input!$F:$F,ROW()-2))</f>
        <v>14252.967443078209</v>
      </c>
      <c r="N210" s="5">
        <f>IF(ROW()&lt;=2+2,"",INDEX(Daily_Input!$F:$F,ROW()-3))</f>
        <v>12624.30054307821</v>
      </c>
      <c r="O210" s="5">
        <f>IF(ROW()&lt;=2+6,"",INDEX(Daily_Input!$F:$F,ROW()-7))</f>
        <v>17922.760163078208</v>
      </c>
      <c r="P210" s="5">
        <f>IF(ROW()&lt;=2+13,"",INDEX(Daily_Input!$F:$F,ROW()-14))</f>
        <v>9975.845432093749</v>
      </c>
      <c r="Q210" s="5">
        <f>IF(ROW()&lt;=4,"",SUM(INDEX(Daily_Input!$I:$I,ROW()-2):INDEX(Daily_Input!$I:$I,ROW())))</f>
        <v>0</v>
      </c>
      <c r="R210" s="5">
        <f>IF(ROW()&lt;=8,"",SUM(INDEX(Daily_Input!$I:$I,ROW()-6):INDEX(Daily_Input!$I:$I,ROW())))</f>
        <v>0</v>
      </c>
      <c r="S210" s="5">
        <f>IF(ROW()&lt;=15,"",SUM(INDEX(Daily_Input!$I:$I,ROW()-13):INDEX(Daily_Input!$I:$I,ROW())))</f>
        <v>0</v>
      </c>
      <c r="T210" s="5">
        <f>IF(ROW()&lt;=4,"",AVERAGE(INDEX(Daily_Input!$F:$F,ROW()-2):INDEX(Daily_Input!$F:$F,ROW())))</f>
        <v>15820.894049744877</v>
      </c>
      <c r="U210" s="5">
        <f>IF(ROW()&lt;=2+0,"",INDEX(Daily_Input!$G:$G,ROW()-1))</f>
        <v>0</v>
      </c>
      <c r="V210" s="5">
        <f>IF(ROW()&lt;=2+0,"",INDEX(Daily_Input!$H:$H,ROW()-1))</f>
        <v>14190.65314</v>
      </c>
      <c r="W210" s="5">
        <f>IF(ROW()&lt;=2+1,"",INDEX(Daily_Input!$G:$G,ROW()-2))</f>
        <v>0</v>
      </c>
      <c r="X210" s="5">
        <f>IF(ROW()&lt;=2+1,"",INDEX(Daily_Input!$H:$H,ROW()-2))</f>
        <v>13274.498589999999</v>
      </c>
      <c r="Y210" s="5">
        <f>IF(ROW()&lt;=2+2,"",INDEX(Daily_Input!$G:$G,ROW()-3))</f>
        <v>0</v>
      </c>
      <c r="Z210" s="5">
        <f>IF(ROW()&lt;=2+2,"",INDEX(Daily_Input!$H:$H,ROW()-3))</f>
        <v>11645.831690000001</v>
      </c>
      <c r="AA210" s="5">
        <f>Daily_Input!N210</f>
        <v>0</v>
      </c>
      <c r="AB210" s="5">
        <f>Daily_Input!O210</f>
        <v>0</v>
      </c>
      <c r="AC210" s="5">
        <f>Daily_Input!P210</f>
        <v>0</v>
      </c>
      <c r="AD210" s="5">
        <f t="shared" si="10"/>
        <v>0</v>
      </c>
      <c r="AE210" s="5">
        <f t="shared" si="11"/>
        <v>0</v>
      </c>
      <c r="AF210" s="5">
        <f>IF(A210="","",IFERROR(INDEX(Daily_Input!$F:$F,ROW()+1),""))</f>
        <v>19756.171713078209</v>
      </c>
      <c r="AG210" s="5">
        <f>IF(A210="","",IFERROR(INDEX(Daily_Input!$F:$F,ROW()+2),""))</f>
        <v>24392.775687970257</v>
      </c>
      <c r="AH210" s="5">
        <f>IF(A210="","",IFERROR(INDEX(Daily_Input!$F:$F,ROW()+3),""))</f>
        <v>18494.035094278381</v>
      </c>
    </row>
    <row r="211" spans="1:34">
      <c r="A211" s="5">
        <f>Daily_Input!A211</f>
        <v>46048</v>
      </c>
      <c r="B211" s="5">
        <f>Daily_Input!F211</f>
        <v>19756.171713078209</v>
      </c>
      <c r="C211" s="5">
        <f>Daily_Input!D211</f>
        <v>489.56700000000001</v>
      </c>
      <c r="D211" s="5">
        <f>Daily_Input!E211</f>
        <v>1631482.3951735001</v>
      </c>
      <c r="E211" s="5" cm="1">
        <f t="array" ref="E211">IF(ROW()=2,"",INDEX(Daily_Input!$E:$E,ROW())-INDEX(Daily_Input!$E:$E,ROW()-1))</f>
        <v>0</v>
      </c>
      <c r="F211" s="5">
        <f>IFERROR(Daily_Input!E211/Config!$B$4,"")</f>
        <v>1.0037027193749493</v>
      </c>
      <c r="G211" s="5">
        <f>Daily_Input!I211</f>
        <v>0</v>
      </c>
      <c r="H211" s="5">
        <f>IF(A211="","",IF(ROW()=2,G211,Config!$B$5*H210+G211))</f>
        <v>4.9192424452745573</v>
      </c>
      <c r="I211" s="5">
        <f t="shared" si="9"/>
        <v>26</v>
      </c>
      <c r="J211" s="5">
        <f>IF(I211="","",SIN(2*PI()*I211/Config!$B$6))</f>
        <v>0.43277559255043119</v>
      </c>
      <c r="K211" s="5">
        <f>IF(I211="","",COS(2*PI()*I211/Config!$B$6))</f>
        <v>0.90150168413188403</v>
      </c>
      <c r="L211" s="5">
        <f>IF(ROW()&lt;=2+0,"",INDEX(Daily_Input!$F:$F,ROW()-1))</f>
        <v>18040.592713078207</v>
      </c>
      <c r="M211" s="5">
        <f>IF(ROW()&lt;=2+1,"",INDEX(Daily_Input!$F:$F,ROW()-2))</f>
        <v>15169.12199307821</v>
      </c>
      <c r="N211" s="5">
        <f>IF(ROW()&lt;=2+2,"",INDEX(Daily_Input!$F:$F,ROW()-3))</f>
        <v>14252.967443078209</v>
      </c>
      <c r="O211" s="5">
        <f>IF(ROW()&lt;=2+6,"",INDEX(Daily_Input!$F:$F,ROW()-7))</f>
        <v>17657.624873078206</v>
      </c>
      <c r="P211" s="5">
        <f>IF(ROW()&lt;=2+13,"",INDEX(Daily_Input!$F:$F,ROW()-14))</f>
        <v>16703.296153378185</v>
      </c>
      <c r="Q211" s="5">
        <f>IF(ROW()&lt;=4,"",SUM(INDEX(Daily_Input!$I:$I,ROW()-2):INDEX(Daily_Input!$I:$I,ROW())))</f>
        <v>0</v>
      </c>
      <c r="R211" s="5">
        <f>IF(ROW()&lt;=8,"",SUM(INDEX(Daily_Input!$I:$I,ROW()-6):INDEX(Daily_Input!$I:$I,ROW())))</f>
        <v>0</v>
      </c>
      <c r="S211" s="5">
        <f>IF(ROW()&lt;=15,"",SUM(INDEX(Daily_Input!$I:$I,ROW()-13):INDEX(Daily_Input!$I:$I,ROW())))</f>
        <v>0</v>
      </c>
      <c r="T211" s="5">
        <f>IF(ROW()&lt;=4,"",AVERAGE(INDEX(Daily_Input!$F:$F,ROW()-2):INDEX(Daily_Input!$F:$F,ROW())))</f>
        <v>17655.295473078208</v>
      </c>
      <c r="U211" s="5">
        <f>IF(ROW()&lt;=2+0,"",INDEX(Daily_Input!$G:$G,ROW()-1))</f>
        <v>0</v>
      </c>
      <c r="V211" s="5">
        <f>IF(ROW()&lt;=2+0,"",INDEX(Daily_Input!$H:$H,ROW()-1))</f>
        <v>17062.12386</v>
      </c>
      <c r="W211" s="5">
        <f>IF(ROW()&lt;=2+1,"",INDEX(Daily_Input!$G:$G,ROW()-2))</f>
        <v>0</v>
      </c>
      <c r="X211" s="5">
        <f>IF(ROW()&lt;=2+1,"",INDEX(Daily_Input!$H:$H,ROW()-2))</f>
        <v>14190.65314</v>
      </c>
      <c r="Y211" s="5">
        <f>IF(ROW()&lt;=2+2,"",INDEX(Daily_Input!$G:$G,ROW()-3))</f>
        <v>0</v>
      </c>
      <c r="Z211" s="5">
        <f>IF(ROW()&lt;=2+2,"",INDEX(Daily_Input!$H:$H,ROW()-3))</f>
        <v>13274.498589999999</v>
      </c>
      <c r="AA211" s="5">
        <f>Daily_Input!N211</f>
        <v>0</v>
      </c>
      <c r="AB211" s="5">
        <f>Daily_Input!O211</f>
        <v>0</v>
      </c>
      <c r="AC211" s="5">
        <f>Daily_Input!P211</f>
        <v>0</v>
      </c>
      <c r="AD211" s="5">
        <f t="shared" si="10"/>
        <v>0</v>
      </c>
      <c r="AE211" s="5">
        <f t="shared" si="11"/>
        <v>0</v>
      </c>
      <c r="AF211" s="5">
        <f>IF(A211="","",IFERROR(INDEX(Daily_Input!$F:$F,ROW()+1),""))</f>
        <v>24392.775687970257</v>
      </c>
      <c r="AG211" s="5">
        <f>IF(A211="","",IFERROR(INDEX(Daily_Input!$F:$F,ROW()+2),""))</f>
        <v>18494.035094278381</v>
      </c>
      <c r="AH211" s="5">
        <f>IF(A211="","",IFERROR(INDEX(Daily_Input!$F:$F,ROW()+3),""))</f>
        <v>26063.733827970256</v>
      </c>
    </row>
    <row r="212" spans="1:34">
      <c r="A212" s="5">
        <f>Daily_Input!A212</f>
        <v>46049</v>
      </c>
      <c r="B212" s="5">
        <f>Daily_Input!F212</f>
        <v>24392.775687970257</v>
      </c>
      <c r="C212" s="5">
        <f>Daily_Input!D212</f>
        <v>489.57299999999998</v>
      </c>
      <c r="D212" s="5">
        <f>Daily_Input!E212</f>
        <v>1634494.0165122999</v>
      </c>
      <c r="E212" s="5" cm="1">
        <f t="array" ref="E212">IF(ROW()=2,"",INDEX(Daily_Input!$E:$E,ROW())-INDEX(Daily_Input!$E:$E,ROW()-1))</f>
        <v>3011.6213387998287</v>
      </c>
      <c r="F212" s="5">
        <f>IFERROR(Daily_Input!E212/Config!$B$4,"")</f>
        <v>1.0055554960499677</v>
      </c>
      <c r="G212" s="5">
        <f>Daily_Input!I212</f>
        <v>0</v>
      </c>
      <c r="H212" s="5">
        <f>IF(A212="","",IF(ROW()=2,G212,Config!$B$5*H211+G212))</f>
        <v>4.6732803230108289</v>
      </c>
      <c r="I212" s="5">
        <f t="shared" si="9"/>
        <v>27</v>
      </c>
      <c r="J212" s="5">
        <f>IF(I212="","",SIN(2*PI()*I212/Config!$B$6))</f>
        <v>0.44822934174041063</v>
      </c>
      <c r="K212" s="5">
        <f>IF(I212="","",COS(2*PI()*I212/Config!$B$6))</f>
        <v>0.89391859651925698</v>
      </c>
      <c r="L212" s="5">
        <f>IF(ROW()&lt;=2+0,"",INDEX(Daily_Input!$F:$F,ROW()-1))</f>
        <v>19756.171713078209</v>
      </c>
      <c r="M212" s="5">
        <f>IF(ROW()&lt;=2+1,"",INDEX(Daily_Input!$F:$F,ROW()-2))</f>
        <v>18040.592713078207</v>
      </c>
      <c r="N212" s="5">
        <f>IF(ROW()&lt;=2+2,"",INDEX(Daily_Input!$F:$F,ROW()-3))</f>
        <v>15169.12199307821</v>
      </c>
      <c r="O212" s="5">
        <f>IF(ROW()&lt;=2+6,"",INDEX(Daily_Input!$F:$F,ROW()-7))</f>
        <v>17803.470073078206</v>
      </c>
      <c r="P212" s="5">
        <f>IF(ROW()&lt;=2+13,"",INDEX(Daily_Input!$F:$F,ROW()-14))</f>
        <v>15573.39157307821</v>
      </c>
      <c r="Q212" s="5">
        <f>IF(ROW()&lt;=4,"",SUM(INDEX(Daily_Input!$I:$I,ROW()-2):INDEX(Daily_Input!$I:$I,ROW())))</f>
        <v>0</v>
      </c>
      <c r="R212" s="5">
        <f>IF(ROW()&lt;=8,"",SUM(INDEX(Daily_Input!$I:$I,ROW()-6):INDEX(Daily_Input!$I:$I,ROW())))</f>
        <v>0</v>
      </c>
      <c r="S212" s="5">
        <f>IF(ROW()&lt;=15,"",SUM(INDEX(Daily_Input!$I:$I,ROW()-13):INDEX(Daily_Input!$I:$I,ROW())))</f>
        <v>0</v>
      </c>
      <c r="T212" s="5">
        <f>IF(ROW()&lt;=4,"",AVERAGE(INDEX(Daily_Input!$F:$F,ROW()-2):INDEX(Daily_Input!$F:$F,ROW())))</f>
        <v>20729.846704708889</v>
      </c>
      <c r="U212" s="5">
        <f>IF(ROW()&lt;=2+0,"",INDEX(Daily_Input!$G:$G,ROW()-1))</f>
        <v>0</v>
      </c>
      <c r="V212" s="5">
        <f>IF(ROW()&lt;=2+0,"",INDEX(Daily_Input!$H:$H,ROW()-1))</f>
        <v>18777.702860000001</v>
      </c>
      <c r="W212" s="5">
        <f>IF(ROW()&lt;=2+1,"",INDEX(Daily_Input!$G:$G,ROW()-2))</f>
        <v>0</v>
      </c>
      <c r="X212" s="5">
        <f>IF(ROW()&lt;=2+1,"",INDEX(Daily_Input!$H:$H,ROW()-2))</f>
        <v>17062.12386</v>
      </c>
      <c r="Y212" s="5">
        <f>IF(ROW()&lt;=2+2,"",INDEX(Daily_Input!$G:$G,ROW()-3))</f>
        <v>0</v>
      </c>
      <c r="Z212" s="5">
        <f>IF(ROW()&lt;=2+2,"",INDEX(Daily_Input!$H:$H,ROW()-3))</f>
        <v>14190.65314</v>
      </c>
      <c r="AA212" s="5">
        <f>Daily_Input!N212</f>
        <v>0</v>
      </c>
      <c r="AB212" s="5">
        <f>Daily_Input!O212</f>
        <v>0</v>
      </c>
      <c r="AC212" s="5">
        <f>Daily_Input!P212</f>
        <v>0</v>
      </c>
      <c r="AD212" s="5">
        <f t="shared" si="10"/>
        <v>0</v>
      </c>
      <c r="AE212" s="5">
        <f t="shared" si="11"/>
        <v>0</v>
      </c>
      <c r="AF212" s="5">
        <f>IF(A212="","",IFERROR(INDEX(Daily_Input!$F:$F,ROW()+1),""))</f>
        <v>18494.035094278381</v>
      </c>
      <c r="AG212" s="5">
        <f>IF(A212="","",IFERROR(INDEX(Daily_Input!$F:$F,ROW()+2),""))</f>
        <v>26063.733827970256</v>
      </c>
      <c r="AH212" s="5">
        <f>IF(A212="","",IFERROR(INDEX(Daily_Input!$F:$F,ROW()+3),""))</f>
        <v>17667.160524278381</v>
      </c>
    </row>
    <row r="213" spans="1:34">
      <c r="A213" s="5">
        <f>Daily_Input!A213</f>
        <v>46050</v>
      </c>
      <c r="B213" s="5">
        <f>Daily_Input!F213</f>
        <v>18494.035094278381</v>
      </c>
      <c r="C213" s="5">
        <f>Daily_Input!D213</f>
        <v>489.56700000000001</v>
      </c>
      <c r="D213" s="5">
        <f>Daily_Input!E213</f>
        <v>1631482.3951735001</v>
      </c>
      <c r="E213" s="5" cm="1">
        <f t="array" ref="E213">IF(ROW()=2,"",INDEX(Daily_Input!$E:$E,ROW())-INDEX(Daily_Input!$E:$E,ROW()-1))</f>
        <v>-3011.6213387998287</v>
      </c>
      <c r="F213" s="5">
        <f>IFERROR(Daily_Input!E213/Config!$B$4,"")</f>
        <v>1.0037027193749493</v>
      </c>
      <c r="G213" s="5">
        <f>Daily_Input!I213</f>
        <v>0</v>
      </c>
      <c r="H213" s="5">
        <f>IF(A213="","",IF(ROW()=2,G213,Config!$B$5*H212+G213))</f>
        <v>4.4396163068602874</v>
      </c>
      <c r="I213" s="5">
        <f t="shared" si="9"/>
        <v>28</v>
      </c>
      <c r="J213" s="5">
        <f>IF(I213="","",SIN(2*PI()*I213/Config!$B$6))</f>
        <v>0.46355027090285089</v>
      </c>
      <c r="K213" s="5">
        <f>IF(I213="","",COS(2*PI()*I213/Config!$B$6))</f>
        <v>0.88607062153413796</v>
      </c>
      <c r="L213" s="5">
        <f>IF(ROW()&lt;=2+0,"",INDEX(Daily_Input!$F:$F,ROW()-1))</f>
        <v>24392.775687970257</v>
      </c>
      <c r="M213" s="5">
        <f>IF(ROW()&lt;=2+1,"",INDEX(Daily_Input!$F:$F,ROW()-2))</f>
        <v>19756.171713078209</v>
      </c>
      <c r="N213" s="5">
        <f>IF(ROW()&lt;=2+2,"",INDEX(Daily_Input!$F:$F,ROW()-3))</f>
        <v>18040.592713078207</v>
      </c>
      <c r="O213" s="5">
        <f>IF(ROW()&lt;=2+6,"",INDEX(Daily_Input!$F:$F,ROW()-7))</f>
        <v>14231.967423078209</v>
      </c>
      <c r="P213" s="5">
        <f>IF(ROW()&lt;=2+13,"",INDEX(Daily_Input!$F:$F,ROW()-14))</f>
        <v>19231.711163078209</v>
      </c>
      <c r="Q213" s="5">
        <f>IF(ROW()&lt;=4,"",SUM(INDEX(Daily_Input!$I:$I,ROW()-2):INDEX(Daily_Input!$I:$I,ROW())))</f>
        <v>0</v>
      </c>
      <c r="R213" s="5">
        <f>IF(ROW()&lt;=8,"",SUM(INDEX(Daily_Input!$I:$I,ROW()-6):INDEX(Daily_Input!$I:$I,ROW())))</f>
        <v>0</v>
      </c>
      <c r="S213" s="5">
        <f>IF(ROW()&lt;=15,"",SUM(INDEX(Daily_Input!$I:$I,ROW()-13):INDEX(Daily_Input!$I:$I,ROW())))</f>
        <v>0</v>
      </c>
      <c r="T213" s="5">
        <f>IF(ROW()&lt;=4,"",AVERAGE(INDEX(Daily_Input!$F:$F,ROW()-2):INDEX(Daily_Input!$F:$F,ROW())))</f>
        <v>20880.99416510895</v>
      </c>
      <c r="U213" s="5">
        <f>IF(ROW()&lt;=2+0,"",INDEX(Daily_Input!$G:$G,ROW()-1))</f>
        <v>0</v>
      </c>
      <c r="V213" s="5">
        <f>IF(ROW()&lt;=2+0,"",INDEX(Daily_Input!$H:$H,ROW()-1))</f>
        <v>20402.175230000001</v>
      </c>
      <c r="W213" s="5">
        <f>IF(ROW()&lt;=2+1,"",INDEX(Daily_Input!$G:$G,ROW()-2))</f>
        <v>0</v>
      </c>
      <c r="X213" s="5">
        <f>IF(ROW()&lt;=2+1,"",INDEX(Daily_Input!$H:$H,ROW()-2))</f>
        <v>18777.702860000001</v>
      </c>
      <c r="Y213" s="5">
        <f>IF(ROW()&lt;=2+2,"",INDEX(Daily_Input!$G:$G,ROW()-3))</f>
        <v>0</v>
      </c>
      <c r="Z213" s="5">
        <f>IF(ROW()&lt;=2+2,"",INDEX(Daily_Input!$H:$H,ROW()-3))</f>
        <v>17062.12386</v>
      </c>
      <c r="AA213" s="5">
        <f>Daily_Input!N213</f>
        <v>0</v>
      </c>
      <c r="AB213" s="5">
        <f>Daily_Input!O213</f>
        <v>0</v>
      </c>
      <c r="AC213" s="5">
        <f>Daily_Input!P213</f>
        <v>0</v>
      </c>
      <c r="AD213" s="5">
        <f t="shared" si="10"/>
        <v>0</v>
      </c>
      <c r="AE213" s="5">
        <f t="shared" si="11"/>
        <v>0</v>
      </c>
      <c r="AF213" s="5">
        <f>IF(A213="","",IFERROR(INDEX(Daily_Input!$F:$F,ROW()+1),""))</f>
        <v>26063.733827970256</v>
      </c>
      <c r="AG213" s="5">
        <f>IF(A213="","",IFERROR(INDEX(Daily_Input!$F:$F,ROW()+2),""))</f>
        <v>17667.160524278381</v>
      </c>
      <c r="AH213" s="5">
        <f>IF(A213="","",IFERROR(INDEX(Daily_Input!$F:$F,ROW()+3),""))</f>
        <v>20308.695523078208</v>
      </c>
    </row>
    <row r="214" spans="1:34">
      <c r="A214" s="5">
        <f>Daily_Input!A214</f>
        <v>46051</v>
      </c>
      <c r="B214" s="5">
        <f>Daily_Input!F214</f>
        <v>26063.733827970256</v>
      </c>
      <c r="C214" s="5">
        <f>Daily_Input!D214</f>
        <v>489.57299999999998</v>
      </c>
      <c r="D214" s="5">
        <f>Daily_Input!E214</f>
        <v>1634494.0165122999</v>
      </c>
      <c r="E214" s="5" cm="1">
        <f t="array" ref="E214">IF(ROW()=2,"",INDEX(Daily_Input!$E:$E,ROW())-INDEX(Daily_Input!$E:$E,ROW()-1))</f>
        <v>3011.6213387998287</v>
      </c>
      <c r="F214" s="5">
        <f>IFERROR(Daily_Input!E214/Config!$B$4,"")</f>
        <v>1.0055554960499677</v>
      </c>
      <c r="G214" s="5">
        <f>Daily_Input!I214</f>
        <v>0</v>
      </c>
      <c r="H214" s="5">
        <f>IF(A214="","",IF(ROW()=2,G214,Config!$B$5*H213+G214))</f>
        <v>4.2176354915172727</v>
      </c>
      <c r="I214" s="5">
        <f t="shared" si="9"/>
        <v>29</v>
      </c>
      <c r="J214" s="5">
        <f>IF(I214="","",SIN(2*PI()*I214/Config!$B$6))</f>
        <v>0.47873384011578846</v>
      </c>
      <c r="K214" s="5">
        <f>IF(I214="","",COS(2*PI()*I214/Config!$B$6))</f>
        <v>0.87796008470088815</v>
      </c>
      <c r="L214" s="5">
        <f>IF(ROW()&lt;=2+0,"",INDEX(Daily_Input!$F:$F,ROW()-1))</f>
        <v>18494.035094278381</v>
      </c>
      <c r="M214" s="5">
        <f>IF(ROW()&lt;=2+1,"",INDEX(Daily_Input!$F:$F,ROW()-2))</f>
        <v>24392.775687970257</v>
      </c>
      <c r="N214" s="5">
        <f>IF(ROW()&lt;=2+2,"",INDEX(Daily_Input!$F:$F,ROW()-3))</f>
        <v>19756.171713078209</v>
      </c>
      <c r="O214" s="5">
        <f>IF(ROW()&lt;=2+6,"",INDEX(Daily_Input!$F:$F,ROW()-7))</f>
        <v>12624.30054307821</v>
      </c>
      <c r="P214" s="5">
        <f>IF(ROW()&lt;=2+13,"",INDEX(Daily_Input!$F:$F,ROW()-14))</f>
        <v>21729.904653078207</v>
      </c>
      <c r="Q214" s="5">
        <f>IF(ROW()&lt;=4,"",SUM(INDEX(Daily_Input!$I:$I,ROW()-2):INDEX(Daily_Input!$I:$I,ROW())))</f>
        <v>0</v>
      </c>
      <c r="R214" s="5">
        <f>IF(ROW()&lt;=8,"",SUM(INDEX(Daily_Input!$I:$I,ROW()-6):INDEX(Daily_Input!$I:$I,ROW())))</f>
        <v>0</v>
      </c>
      <c r="S214" s="5">
        <f>IF(ROW()&lt;=15,"",SUM(INDEX(Daily_Input!$I:$I,ROW()-13):INDEX(Daily_Input!$I:$I,ROW())))</f>
        <v>0</v>
      </c>
      <c r="T214" s="5">
        <f>IF(ROW()&lt;=4,"",AVERAGE(INDEX(Daily_Input!$F:$F,ROW()-2):INDEX(Daily_Input!$F:$F,ROW())))</f>
        <v>22983.514870072962</v>
      </c>
      <c r="U214" s="5">
        <f>IF(ROW()&lt;=2+0,"",INDEX(Daily_Input!$G:$G,ROW()-1))</f>
        <v>0</v>
      </c>
      <c r="V214" s="5">
        <f>IF(ROW()&lt;=2+0,"",INDEX(Daily_Input!$H:$H,ROW()-1))</f>
        <v>20527.187580000002</v>
      </c>
      <c r="W214" s="5">
        <f>IF(ROW()&lt;=2+1,"",INDEX(Daily_Input!$G:$G,ROW()-2))</f>
        <v>0</v>
      </c>
      <c r="X214" s="5">
        <f>IF(ROW()&lt;=2+1,"",INDEX(Daily_Input!$H:$H,ROW()-2))</f>
        <v>20402.175230000001</v>
      </c>
      <c r="Y214" s="5">
        <f>IF(ROW()&lt;=2+2,"",INDEX(Daily_Input!$G:$G,ROW()-3))</f>
        <v>0</v>
      </c>
      <c r="Z214" s="5">
        <f>IF(ROW()&lt;=2+2,"",INDEX(Daily_Input!$H:$H,ROW()-3))</f>
        <v>18777.702860000001</v>
      </c>
      <c r="AA214" s="5">
        <f>Daily_Input!N214</f>
        <v>0</v>
      </c>
      <c r="AB214" s="5">
        <f>Daily_Input!O214</f>
        <v>0</v>
      </c>
      <c r="AC214" s="5">
        <f>Daily_Input!P214</f>
        <v>0</v>
      </c>
      <c r="AD214" s="5">
        <f t="shared" si="10"/>
        <v>0</v>
      </c>
      <c r="AE214" s="5">
        <f t="shared" si="11"/>
        <v>0</v>
      </c>
      <c r="AF214" s="5">
        <f>IF(A214="","",IFERROR(INDEX(Daily_Input!$F:$F,ROW()+1),""))</f>
        <v>17667.160524278381</v>
      </c>
      <c r="AG214" s="5">
        <f>IF(A214="","",IFERROR(INDEX(Daily_Input!$F:$F,ROW()+2),""))</f>
        <v>20308.695523078208</v>
      </c>
      <c r="AH214" s="5">
        <f>IF(A214="","",IFERROR(INDEX(Daily_Input!$F:$F,ROW()+3),""))</f>
        <v>0</v>
      </c>
    </row>
    <row r="215" spans="1:34">
      <c r="A215" s="5">
        <f>Daily_Input!A215</f>
        <v>46052</v>
      </c>
      <c r="B215" s="5">
        <f>Daily_Input!F215</f>
        <v>17667.160524278381</v>
      </c>
      <c r="C215" s="5">
        <f>Daily_Input!D215</f>
        <v>489.56700000000001</v>
      </c>
      <c r="D215" s="5">
        <f>Daily_Input!E215</f>
        <v>1631482.3951735001</v>
      </c>
      <c r="E215" s="5" cm="1">
        <f t="array" ref="E215">IF(ROW()=2,"",INDEX(Daily_Input!$E:$E,ROW())-INDEX(Daily_Input!$E:$E,ROW()-1))</f>
        <v>-3011.6213387998287</v>
      </c>
      <c r="F215" s="5">
        <f>IFERROR(Daily_Input!E215/Config!$B$4,"")</f>
        <v>1.0037027193749493</v>
      </c>
      <c r="G215" s="5">
        <f>Daily_Input!I215</f>
        <v>0</v>
      </c>
      <c r="H215" s="5">
        <f>IF(A215="","",IF(ROW()=2,G215,Config!$B$5*H214+G215))</f>
        <v>4.0067537169414091</v>
      </c>
      <c r="I215" s="5">
        <f t="shared" si="9"/>
        <v>30</v>
      </c>
      <c r="J215" s="5">
        <f>IF(I215="","",SIN(2*PI()*I215/Config!$B$6))</f>
        <v>0.49377555015997721</v>
      </c>
      <c r="K215" s="5">
        <f>IF(I215="","",COS(2*PI()*I215/Config!$B$6))</f>
        <v>0.86958938934661101</v>
      </c>
      <c r="L215" s="5">
        <f>IF(ROW()&lt;=2+0,"",INDEX(Daily_Input!$F:$F,ROW()-1))</f>
        <v>26063.733827970256</v>
      </c>
      <c r="M215" s="5">
        <f>IF(ROW()&lt;=2+1,"",INDEX(Daily_Input!$F:$F,ROW()-2))</f>
        <v>18494.035094278381</v>
      </c>
      <c r="N215" s="5">
        <f>IF(ROW()&lt;=2+2,"",INDEX(Daily_Input!$F:$F,ROW()-3))</f>
        <v>24392.775687970257</v>
      </c>
      <c r="O215" s="5">
        <f>IF(ROW()&lt;=2+6,"",INDEX(Daily_Input!$F:$F,ROW()-7))</f>
        <v>14252.967443078209</v>
      </c>
      <c r="P215" s="5">
        <f>IF(ROW()&lt;=2+13,"",INDEX(Daily_Input!$F:$F,ROW()-14))</f>
        <v>22225.218703078208</v>
      </c>
      <c r="Q215" s="5">
        <f>IF(ROW()&lt;=4,"",SUM(INDEX(Daily_Input!$I:$I,ROW()-2):INDEX(Daily_Input!$I:$I,ROW())))</f>
        <v>0</v>
      </c>
      <c r="R215" s="5">
        <f>IF(ROW()&lt;=8,"",SUM(INDEX(Daily_Input!$I:$I,ROW()-6):INDEX(Daily_Input!$I:$I,ROW())))</f>
        <v>0</v>
      </c>
      <c r="S215" s="5">
        <f>IF(ROW()&lt;=15,"",SUM(INDEX(Daily_Input!$I:$I,ROW()-13):INDEX(Daily_Input!$I:$I,ROW())))</f>
        <v>0</v>
      </c>
      <c r="T215" s="5">
        <f>IF(ROW()&lt;=4,"",AVERAGE(INDEX(Daily_Input!$F:$F,ROW()-2):INDEX(Daily_Input!$F:$F,ROW())))</f>
        <v>20741.64314884234</v>
      </c>
      <c r="U215" s="5">
        <f>IF(ROW()&lt;=2+0,"",INDEX(Daily_Input!$G:$G,ROW()-1))</f>
        <v>0</v>
      </c>
      <c r="V215" s="5">
        <f>IF(ROW()&lt;=2+0,"",INDEX(Daily_Input!$H:$H,ROW()-1))</f>
        <v>22073.13337</v>
      </c>
      <c r="W215" s="5">
        <f>IF(ROW()&lt;=2+1,"",INDEX(Daily_Input!$G:$G,ROW()-2))</f>
        <v>0</v>
      </c>
      <c r="X215" s="5">
        <f>IF(ROW()&lt;=2+1,"",INDEX(Daily_Input!$H:$H,ROW()-2))</f>
        <v>20527.187580000002</v>
      </c>
      <c r="Y215" s="5">
        <f>IF(ROW()&lt;=2+2,"",INDEX(Daily_Input!$G:$G,ROW()-3))</f>
        <v>0</v>
      </c>
      <c r="Z215" s="5">
        <f>IF(ROW()&lt;=2+2,"",INDEX(Daily_Input!$H:$H,ROW()-3))</f>
        <v>20402.175230000001</v>
      </c>
      <c r="AA215" s="5">
        <f>Daily_Input!N215</f>
        <v>0</v>
      </c>
      <c r="AB215" s="5">
        <f>Daily_Input!O215</f>
        <v>0</v>
      </c>
      <c r="AC215" s="5">
        <f>Daily_Input!P215</f>
        <v>0</v>
      </c>
      <c r="AD215" s="5">
        <f t="shared" si="10"/>
        <v>0</v>
      </c>
      <c r="AE215" s="5">
        <f t="shared" si="11"/>
        <v>0</v>
      </c>
      <c r="AF215" s="5">
        <f>IF(A215="","",IFERROR(INDEX(Daily_Input!$F:$F,ROW()+1),""))</f>
        <v>20308.695523078208</v>
      </c>
      <c r="AG215" s="5">
        <f>IF(A215="","",IFERROR(INDEX(Daily_Input!$F:$F,ROW()+2),""))</f>
        <v>0</v>
      </c>
      <c r="AH215" s="5">
        <f>IF(A215="","",IFERROR(INDEX(Daily_Input!$F:$F,ROW()+3),""))</f>
        <v>0</v>
      </c>
    </row>
    <row r="216" spans="1:34">
      <c r="A216" s="5">
        <f>Daily_Input!A216</f>
        <v>46053</v>
      </c>
      <c r="B216" s="5">
        <f>Daily_Input!F216</f>
        <v>20308.695523078208</v>
      </c>
      <c r="C216" s="5">
        <f>Daily_Input!D216</f>
        <v>489.56700000000001</v>
      </c>
      <c r="D216" s="5">
        <f>Daily_Input!E216</f>
        <v>1631482.3951735001</v>
      </c>
      <c r="E216" s="5" cm="1">
        <f t="array" ref="E216">IF(ROW()=2,"",INDEX(Daily_Input!$E:$E,ROW())-INDEX(Daily_Input!$E:$E,ROW()-1))</f>
        <v>0</v>
      </c>
      <c r="F216" s="5">
        <f>IFERROR(Daily_Input!E216/Config!$B$4,"")</f>
        <v>1.0037027193749493</v>
      </c>
      <c r="G216" s="5">
        <f>Daily_Input!I216</f>
        <v>0</v>
      </c>
      <c r="H216" s="5">
        <f>IF(A216="","",IF(ROW()=2,G216,Config!$B$5*H215+G216))</f>
        <v>3.8064160310943387</v>
      </c>
      <c r="I216" s="5">
        <f t="shared" si="9"/>
        <v>31</v>
      </c>
      <c r="J216" s="5">
        <f>IF(I216="","",SIN(2*PI()*I216/Config!$B$6))</f>
        <v>0.50867094385210443</v>
      </c>
      <c r="K216" s="5">
        <f>IF(I216="","",COS(2*PI()*I216/Config!$B$6))</f>
        <v>0.86096101588899432</v>
      </c>
      <c r="L216" s="5">
        <f>IF(ROW()&lt;=2+0,"",INDEX(Daily_Input!$F:$F,ROW()-1))</f>
        <v>17667.160524278381</v>
      </c>
      <c r="M216" s="5">
        <f>IF(ROW()&lt;=2+1,"",INDEX(Daily_Input!$F:$F,ROW()-2))</f>
        <v>26063.733827970256</v>
      </c>
      <c r="N216" s="5">
        <f>IF(ROW()&lt;=2+2,"",INDEX(Daily_Input!$F:$F,ROW()-3))</f>
        <v>18494.035094278381</v>
      </c>
      <c r="O216" s="5">
        <f>IF(ROW()&lt;=2+6,"",INDEX(Daily_Input!$F:$F,ROW()-7))</f>
        <v>15169.12199307821</v>
      </c>
      <c r="P216" s="5">
        <f>IF(ROW()&lt;=2+13,"",INDEX(Daily_Input!$F:$F,ROW()-14))</f>
        <v>21070.653023078208</v>
      </c>
      <c r="Q216" s="5">
        <f>IF(ROW()&lt;=4,"",SUM(INDEX(Daily_Input!$I:$I,ROW()-2):INDEX(Daily_Input!$I:$I,ROW())))</f>
        <v>0</v>
      </c>
      <c r="R216" s="5">
        <f>IF(ROW()&lt;=8,"",SUM(INDEX(Daily_Input!$I:$I,ROW()-6):INDEX(Daily_Input!$I:$I,ROW())))</f>
        <v>0</v>
      </c>
      <c r="S216" s="5">
        <f>IF(ROW()&lt;=15,"",SUM(INDEX(Daily_Input!$I:$I,ROW()-13):INDEX(Daily_Input!$I:$I,ROW())))</f>
        <v>0</v>
      </c>
      <c r="T216" s="5">
        <f>IF(ROW()&lt;=4,"",AVERAGE(INDEX(Daily_Input!$F:$F,ROW()-2):INDEX(Daily_Input!$F:$F,ROW())))</f>
        <v>21346.529958442279</v>
      </c>
      <c r="U216" s="5">
        <f>IF(ROW()&lt;=2+0,"",INDEX(Daily_Input!$G:$G,ROW()-1))</f>
        <v>0</v>
      </c>
      <c r="V216" s="5">
        <f>IF(ROW()&lt;=2+0,"",INDEX(Daily_Input!$H:$H,ROW()-1))</f>
        <v>19700.313010000002</v>
      </c>
      <c r="W216" s="5">
        <f>IF(ROW()&lt;=2+1,"",INDEX(Daily_Input!$G:$G,ROW()-2))</f>
        <v>0</v>
      </c>
      <c r="X216" s="5">
        <f>IF(ROW()&lt;=2+1,"",INDEX(Daily_Input!$H:$H,ROW()-2))</f>
        <v>22073.13337</v>
      </c>
      <c r="Y216" s="5">
        <f>IF(ROW()&lt;=2+2,"",INDEX(Daily_Input!$G:$G,ROW()-3))</f>
        <v>0</v>
      </c>
      <c r="Z216" s="5">
        <f>IF(ROW()&lt;=2+2,"",INDEX(Daily_Input!$H:$H,ROW()-3))</f>
        <v>20527.187580000002</v>
      </c>
      <c r="AA216" s="5">
        <f>Daily_Input!N216</f>
        <v>0</v>
      </c>
      <c r="AB216" s="5">
        <f>Daily_Input!O216</f>
        <v>0</v>
      </c>
      <c r="AC216" s="5">
        <f>Daily_Input!P216</f>
        <v>0</v>
      </c>
      <c r="AD216" s="5">
        <f t="shared" si="10"/>
        <v>0</v>
      </c>
      <c r="AE216" s="5">
        <f t="shared" si="11"/>
        <v>0</v>
      </c>
      <c r="AF216" s="5">
        <f>IF(A216="","",IFERROR(INDEX(Daily_Input!$F:$F,ROW()+1),""))</f>
        <v>0</v>
      </c>
      <c r="AG216" s="5">
        <f>IF(A216="","",IFERROR(INDEX(Daily_Input!$F:$F,ROW()+2),""))</f>
        <v>0</v>
      </c>
      <c r="AH216" s="5">
        <f>IF(A216="","",IFERROR(INDEX(Daily_Input!$F:$F,ROW()+3),""))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1C3E2-64A2-4781-A5E6-7C7865615447}">
  <dimension ref="A1:AH216"/>
  <sheetViews>
    <sheetView tabSelected="1" topLeftCell="T1" workbookViewId="0">
      <selection activeCell="K6" sqref="K6"/>
    </sheetView>
  </sheetViews>
  <sheetFormatPr defaultRowHeight="14.4"/>
  <cols>
    <col min="2" max="2" width="14" bestFit="1" customWidth="1"/>
    <col min="3" max="3" width="16.21875" bestFit="1" customWidth="1"/>
    <col min="4" max="4" width="14.6640625" bestFit="1" customWidth="1"/>
    <col min="5" max="5" width="15.44140625" bestFit="1" customWidth="1"/>
    <col min="8" max="8" width="12" bestFit="1" customWidth="1"/>
    <col min="12" max="12" width="14.21875" bestFit="1" customWidth="1"/>
    <col min="27" max="29" width="16.33203125" bestFit="1" customWidth="1"/>
    <col min="30" max="30" width="20.77734375" bestFit="1" customWidth="1"/>
    <col min="31" max="31" width="20.88671875" bestFit="1" customWidth="1"/>
    <col min="32" max="34" width="19" bestFit="1" customWidth="1"/>
  </cols>
  <sheetData>
    <row r="1" spans="1:34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86</v>
      </c>
      <c r="P1" t="s">
        <v>87</v>
      </c>
      <c r="Q1" t="s">
        <v>43</v>
      </c>
      <c r="R1" t="s">
        <v>88</v>
      </c>
      <c r="S1" t="s">
        <v>89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82</v>
      </c>
      <c r="AF1" t="s">
        <v>55</v>
      </c>
      <c r="AG1" t="s">
        <v>56</v>
      </c>
      <c r="AH1" t="s">
        <v>57</v>
      </c>
    </row>
    <row r="2" spans="1:34">
      <c r="A2">
        <v>45839</v>
      </c>
      <c r="B2">
        <v>16137.621087533549</v>
      </c>
      <c r="C2">
        <v>489.51799999999997</v>
      </c>
      <c r="D2">
        <v>1616447.3000027</v>
      </c>
      <c r="F2">
        <v>0.99445299289696998</v>
      </c>
      <c r="G2">
        <v>0</v>
      </c>
      <c r="H2">
        <v>0</v>
      </c>
      <c r="I2">
        <v>182</v>
      </c>
      <c r="J2">
        <v>8.6069968886886977E-3</v>
      </c>
      <c r="K2">
        <v>-0.99996295911626554</v>
      </c>
      <c r="L2" t="s">
        <v>90</v>
      </c>
      <c r="M2" t="s">
        <v>90</v>
      </c>
      <c r="N2" t="s">
        <v>90</v>
      </c>
      <c r="O2" t="s">
        <v>90</v>
      </c>
      <c r="P2" t="s">
        <v>90</v>
      </c>
      <c r="R2" t="s">
        <v>90</v>
      </c>
      <c r="S2" t="s">
        <v>90</v>
      </c>
      <c r="U2" t="s">
        <v>90</v>
      </c>
      <c r="V2" t="s">
        <v>90</v>
      </c>
      <c r="W2" t="s">
        <v>90</v>
      </c>
      <c r="X2" t="s">
        <v>90</v>
      </c>
      <c r="Y2" t="s">
        <v>90</v>
      </c>
      <c r="Z2" t="s">
        <v>90</v>
      </c>
      <c r="AA2">
        <v>13.673</v>
      </c>
      <c r="AB2">
        <v>6.6989999999999998</v>
      </c>
      <c r="AC2">
        <v>4.3280000000000003</v>
      </c>
      <c r="AD2">
        <v>24.7</v>
      </c>
      <c r="AE2">
        <v>13.673</v>
      </c>
      <c r="AF2">
        <v>18000.430324119316</v>
      </c>
      <c r="AG2">
        <v>16551.135553712575</v>
      </c>
      <c r="AH2">
        <v>21950.322284900692</v>
      </c>
    </row>
    <row r="3" spans="1:34">
      <c r="A3">
        <v>45840</v>
      </c>
      <c r="B3">
        <v>18000.430324119316</v>
      </c>
      <c r="C3">
        <v>489.524</v>
      </c>
      <c r="D3">
        <v>1619451.3170382001</v>
      </c>
      <c r="E3">
        <v>3004.0170355001464</v>
      </c>
      <c r="F3">
        <v>0.99630109133584988</v>
      </c>
      <c r="G3">
        <v>3.8</v>
      </c>
      <c r="H3">
        <v>3.8</v>
      </c>
      <c r="I3">
        <v>183</v>
      </c>
      <c r="J3">
        <v>-8.606996888688009E-3</v>
      </c>
      <c r="K3">
        <v>-0.99996295911626554</v>
      </c>
      <c r="L3">
        <v>16137.621087533549</v>
      </c>
      <c r="M3" t="s">
        <v>90</v>
      </c>
      <c r="N3" t="s">
        <v>90</v>
      </c>
      <c r="O3" t="s">
        <v>90</v>
      </c>
      <c r="P3" t="s">
        <v>90</v>
      </c>
      <c r="R3" t="s">
        <v>90</v>
      </c>
      <c r="S3" t="s">
        <v>90</v>
      </c>
      <c r="U3">
        <v>15019.2</v>
      </c>
      <c r="V3">
        <v>0</v>
      </c>
      <c r="W3" t="s">
        <v>90</v>
      </c>
      <c r="X3" t="s">
        <v>90</v>
      </c>
      <c r="Y3" t="s">
        <v>90</v>
      </c>
      <c r="Z3" t="s">
        <v>90</v>
      </c>
      <c r="AA3">
        <v>6.6989999999999998</v>
      </c>
      <c r="AB3">
        <v>4.3280000000000003</v>
      </c>
      <c r="AC3">
        <v>10.32</v>
      </c>
      <c r="AD3">
        <v>21.347000000000001</v>
      </c>
      <c r="AE3">
        <v>10.32</v>
      </c>
      <c r="AF3">
        <v>16551.135553712575</v>
      </c>
      <c r="AG3">
        <v>21950.322284900692</v>
      </c>
      <c r="AH3">
        <v>22689.827603281785</v>
      </c>
    </row>
    <row r="4" spans="1:34">
      <c r="A4">
        <v>45841</v>
      </c>
      <c r="B4">
        <v>16551.135553712575</v>
      </c>
      <c r="C4">
        <v>489.524</v>
      </c>
      <c r="D4">
        <v>1619451.3170382001</v>
      </c>
      <c r="E4">
        <v>0</v>
      </c>
      <c r="F4">
        <v>0.99630109133584988</v>
      </c>
      <c r="G4">
        <v>0</v>
      </c>
      <c r="H4">
        <v>3.61</v>
      </c>
      <c r="I4">
        <v>184</v>
      </c>
      <c r="J4">
        <v>-2.5818440227132391E-2</v>
      </c>
      <c r="K4">
        <v>-0.99966664851051124</v>
      </c>
      <c r="L4">
        <v>18000.430324119316</v>
      </c>
      <c r="M4">
        <v>16137.621087533549</v>
      </c>
      <c r="N4" t="s">
        <v>90</v>
      </c>
      <c r="O4" t="s">
        <v>90</v>
      </c>
      <c r="P4" t="s">
        <v>90</v>
      </c>
      <c r="R4" t="s">
        <v>90</v>
      </c>
      <c r="S4" t="s">
        <v>90</v>
      </c>
      <c r="U4">
        <v>15019.2</v>
      </c>
      <c r="V4">
        <v>0</v>
      </c>
      <c r="W4">
        <v>15019.2</v>
      </c>
      <c r="X4">
        <v>0</v>
      </c>
      <c r="Y4" t="s">
        <v>90</v>
      </c>
      <c r="Z4" t="s">
        <v>90</v>
      </c>
      <c r="AA4">
        <v>4.3280000000000003</v>
      </c>
      <c r="AB4">
        <v>10.32</v>
      </c>
      <c r="AC4">
        <v>4.29</v>
      </c>
      <c r="AD4">
        <v>18.937999999999999</v>
      </c>
      <c r="AE4">
        <v>10.32</v>
      </c>
      <c r="AF4">
        <v>21950.322284900692</v>
      </c>
      <c r="AG4">
        <v>22689.827603281785</v>
      </c>
      <c r="AH4">
        <v>41715.18892187145</v>
      </c>
    </row>
    <row r="5" spans="1:34">
      <c r="A5">
        <v>45842</v>
      </c>
      <c r="B5">
        <v>21950.322284900692</v>
      </c>
      <c r="C5">
        <v>489.55700000000002</v>
      </c>
      <c r="D5">
        <v>1628472.3057532001</v>
      </c>
      <c r="E5">
        <v>9020.9887149999849</v>
      </c>
      <c r="F5">
        <v>1.0018508851500414</v>
      </c>
      <c r="G5">
        <v>30.2</v>
      </c>
      <c r="H5">
        <v>33.6295</v>
      </c>
      <c r="I5">
        <v>185</v>
      </c>
      <c r="J5">
        <v>-4.3022233004530341E-2</v>
      </c>
      <c r="K5">
        <v>-0.99907411510222999</v>
      </c>
      <c r="L5">
        <v>16551.135553712575</v>
      </c>
      <c r="M5">
        <v>18000.430324119316</v>
      </c>
      <c r="N5">
        <v>16137.621087533549</v>
      </c>
      <c r="O5" t="s">
        <v>90</v>
      </c>
      <c r="P5" t="s">
        <v>90</v>
      </c>
      <c r="Q5">
        <v>34</v>
      </c>
      <c r="R5" t="s">
        <v>90</v>
      </c>
      <c r="S5" t="s">
        <v>90</v>
      </c>
      <c r="T5">
        <v>18833.962720910862</v>
      </c>
      <c r="U5">
        <v>15019.2</v>
      </c>
      <c r="V5">
        <v>412.94111830000003</v>
      </c>
      <c r="W5">
        <v>15019.2</v>
      </c>
      <c r="X5">
        <v>0</v>
      </c>
      <c r="Y5">
        <v>15019.2</v>
      </c>
      <c r="Z5">
        <v>0</v>
      </c>
      <c r="AA5">
        <v>10.32</v>
      </c>
      <c r="AB5">
        <v>4.29</v>
      </c>
      <c r="AC5">
        <v>1.1379999999999999</v>
      </c>
      <c r="AD5">
        <v>15.747999999999999</v>
      </c>
      <c r="AE5">
        <v>10.32</v>
      </c>
      <c r="AF5">
        <v>22689.827603281785</v>
      </c>
      <c r="AG5">
        <v>41715.18892187145</v>
      </c>
      <c r="AH5">
        <v>41682.05793389491</v>
      </c>
    </row>
    <row r="6" spans="1:34">
      <c r="A6">
        <v>45843</v>
      </c>
      <c r="B6">
        <v>22689.827603281785</v>
      </c>
      <c r="C6">
        <v>489.55700000000002</v>
      </c>
      <c r="D6">
        <v>1628472.3057532001</v>
      </c>
      <c r="E6">
        <v>0</v>
      </c>
      <c r="F6">
        <v>1.0018508851500414</v>
      </c>
      <c r="G6">
        <v>0.4</v>
      </c>
      <c r="H6">
        <v>32.348025</v>
      </c>
      <c r="I6">
        <v>186</v>
      </c>
      <c r="J6">
        <v>-6.0213277365792774E-2</v>
      </c>
      <c r="K6">
        <v>-0.99818553447185865</v>
      </c>
      <c r="L6">
        <v>21950.322284900692</v>
      </c>
      <c r="M6">
        <v>16551.135553712575</v>
      </c>
      <c r="N6">
        <v>18000.430324119316</v>
      </c>
      <c r="O6" t="s">
        <v>90</v>
      </c>
      <c r="P6" t="s">
        <v>90</v>
      </c>
      <c r="Q6">
        <v>30.599999999999998</v>
      </c>
      <c r="R6" t="s">
        <v>90</v>
      </c>
      <c r="S6" t="s">
        <v>90</v>
      </c>
      <c r="T6">
        <v>20397.095147298347</v>
      </c>
      <c r="U6">
        <v>15019.2</v>
      </c>
      <c r="V6">
        <v>5877.4745650000004</v>
      </c>
      <c r="W6">
        <v>15019.2</v>
      </c>
      <c r="X6">
        <v>412.94111830000003</v>
      </c>
      <c r="Y6">
        <v>15019.2</v>
      </c>
      <c r="Z6">
        <v>0</v>
      </c>
      <c r="AA6">
        <v>4.29</v>
      </c>
      <c r="AB6">
        <v>1.1379999999999999</v>
      </c>
      <c r="AC6">
        <v>13.004</v>
      </c>
      <c r="AD6">
        <v>18.431999999999999</v>
      </c>
      <c r="AE6">
        <v>13.004</v>
      </c>
      <c r="AF6">
        <v>41715.18892187145</v>
      </c>
      <c r="AG6">
        <v>41682.05793389491</v>
      </c>
      <c r="AH6">
        <v>38705.211743894906</v>
      </c>
    </row>
    <row r="7" spans="1:34">
      <c r="A7">
        <v>45844</v>
      </c>
      <c r="B7">
        <v>41715.18892187145</v>
      </c>
      <c r="C7">
        <v>489.577</v>
      </c>
      <c r="D7">
        <v>1634494.0165122999</v>
      </c>
      <c r="E7">
        <v>6021.7107590998057</v>
      </c>
      <c r="F7">
        <v>1.0055554960499677</v>
      </c>
      <c r="G7">
        <v>17.2</v>
      </c>
      <c r="H7">
        <v>47.930623749999995</v>
      </c>
      <c r="I7">
        <v>187</v>
      </c>
      <c r="J7">
        <v>-7.7386479233463215E-2</v>
      </c>
      <c r="K7">
        <v>-0.99700116992501508</v>
      </c>
      <c r="L7">
        <v>22689.827603281785</v>
      </c>
      <c r="M7">
        <v>21950.322284900692</v>
      </c>
      <c r="N7">
        <v>16551.135553712575</v>
      </c>
      <c r="O7" t="s">
        <v>90</v>
      </c>
      <c r="P7" t="s">
        <v>90</v>
      </c>
      <c r="Q7">
        <v>47.8</v>
      </c>
      <c r="R7" t="s">
        <v>90</v>
      </c>
      <c r="S7" t="s">
        <v>90</v>
      </c>
      <c r="T7">
        <v>28785.112936684644</v>
      </c>
      <c r="U7">
        <v>15019.2</v>
      </c>
      <c r="V7">
        <v>6670.2723230000001</v>
      </c>
      <c r="W7">
        <v>15019.2</v>
      </c>
      <c r="X7">
        <v>5877.4745650000004</v>
      </c>
      <c r="Y7">
        <v>15019.2</v>
      </c>
      <c r="Z7">
        <v>412.94111830000003</v>
      </c>
      <c r="AA7">
        <v>1.1379999999999999</v>
      </c>
      <c r="AB7">
        <v>13.004</v>
      </c>
      <c r="AC7">
        <v>9.3940000000000001</v>
      </c>
      <c r="AD7">
        <v>23.536000000000001</v>
      </c>
      <c r="AE7">
        <v>13.004</v>
      </c>
      <c r="AF7">
        <v>41682.05793389491</v>
      </c>
      <c r="AG7">
        <v>38705.211743894906</v>
      </c>
      <c r="AH7">
        <v>33915.234813894909</v>
      </c>
    </row>
    <row r="8" spans="1:34">
      <c r="A8">
        <v>45845</v>
      </c>
      <c r="B8">
        <v>41682.05793389491</v>
      </c>
      <c r="C8">
        <v>489.577</v>
      </c>
      <c r="D8">
        <v>1634494.0165122999</v>
      </c>
      <c r="E8">
        <v>0</v>
      </c>
      <c r="F8">
        <v>1.0055554960499677</v>
      </c>
      <c r="G8">
        <v>0</v>
      </c>
      <c r="H8">
        <v>45.534092562499993</v>
      </c>
      <c r="I8">
        <v>188</v>
      </c>
      <c r="J8">
        <v>-9.4536749817199325E-2</v>
      </c>
      <c r="K8">
        <v>-0.99552137241447525</v>
      </c>
      <c r="L8">
        <v>41715.18892187145</v>
      </c>
      <c r="M8">
        <v>22689.827603281785</v>
      </c>
      <c r="N8">
        <v>21950.322284900692</v>
      </c>
      <c r="O8" t="s">
        <v>90</v>
      </c>
      <c r="P8" t="s">
        <v>90</v>
      </c>
      <c r="Q8">
        <v>17.599999999999998</v>
      </c>
      <c r="R8" t="s">
        <v>90</v>
      </c>
      <c r="S8" t="s">
        <v>90</v>
      </c>
      <c r="T8">
        <v>35362.358153016045</v>
      </c>
      <c r="U8">
        <v>15019.2</v>
      </c>
      <c r="V8">
        <v>24733.703730000001</v>
      </c>
      <c r="W8">
        <v>15019.2</v>
      </c>
      <c r="X8">
        <v>6670.2723230000001</v>
      </c>
      <c r="Y8">
        <v>15019.2</v>
      </c>
      <c r="Z8">
        <v>5877.4745650000004</v>
      </c>
      <c r="AA8">
        <v>13.004</v>
      </c>
      <c r="AB8">
        <v>9.3940000000000001</v>
      </c>
      <c r="AC8">
        <v>1.67</v>
      </c>
      <c r="AD8">
        <v>24.067999999999998</v>
      </c>
      <c r="AE8">
        <v>13.004</v>
      </c>
      <c r="AF8">
        <v>38705.211743894906</v>
      </c>
      <c r="AG8">
        <v>33915.234813894909</v>
      </c>
      <c r="AH8">
        <v>16680.985831774797</v>
      </c>
    </row>
    <row r="9" spans="1:34">
      <c r="A9">
        <v>45846</v>
      </c>
      <c r="B9">
        <v>38705.211743894906</v>
      </c>
      <c r="C9">
        <v>489.577</v>
      </c>
      <c r="D9">
        <v>1634494.0165122999</v>
      </c>
      <c r="E9">
        <v>0</v>
      </c>
      <c r="F9">
        <v>1.0055554960499677</v>
      </c>
      <c r="G9">
        <v>0</v>
      </c>
      <c r="H9">
        <v>43.257387934374989</v>
      </c>
      <c r="I9">
        <v>189</v>
      </c>
      <c r="J9">
        <v>-0.11165900712169444</v>
      </c>
      <c r="K9">
        <v>-0.99374658043617814</v>
      </c>
      <c r="L9">
        <v>41682.05793389491</v>
      </c>
      <c r="M9">
        <v>41715.18892187145</v>
      </c>
      <c r="N9">
        <v>22689.827603281785</v>
      </c>
      <c r="O9">
        <v>16137.621087533549</v>
      </c>
      <c r="P9" t="s">
        <v>90</v>
      </c>
      <c r="Q9">
        <v>17.2</v>
      </c>
      <c r="R9">
        <v>51.599999999999994</v>
      </c>
      <c r="S9" t="s">
        <v>90</v>
      </c>
      <c r="T9">
        <v>40700.819533220427</v>
      </c>
      <c r="U9">
        <v>15019.2</v>
      </c>
      <c r="V9">
        <v>25540.96499</v>
      </c>
      <c r="W9">
        <v>15019.2</v>
      </c>
      <c r="X9">
        <v>24733.703730000001</v>
      </c>
      <c r="Y9">
        <v>15019.2</v>
      </c>
      <c r="Z9">
        <v>6670.2723230000001</v>
      </c>
      <c r="AA9">
        <v>9.3940000000000001</v>
      </c>
      <c r="AB9">
        <v>1.67</v>
      </c>
      <c r="AC9">
        <v>10.659000000000001</v>
      </c>
      <c r="AD9">
        <v>21.722999999999999</v>
      </c>
      <c r="AE9">
        <v>10.659000000000001</v>
      </c>
      <c r="AF9">
        <v>33915.234813894909</v>
      </c>
      <c r="AG9">
        <v>16680.985831774797</v>
      </c>
      <c r="AH9">
        <v>9699.6258287280525</v>
      </c>
    </row>
    <row r="10" spans="1:34">
      <c r="A10">
        <v>45847</v>
      </c>
      <c r="B10">
        <v>33915.234813894909</v>
      </c>
      <c r="C10">
        <v>489.57</v>
      </c>
      <c r="D10">
        <v>1634494.0165122999</v>
      </c>
      <c r="E10">
        <v>0</v>
      </c>
      <c r="F10">
        <v>1.0055554960499677</v>
      </c>
      <c r="G10">
        <v>0</v>
      </c>
      <c r="H10">
        <v>41.094518537656235</v>
      </c>
      <c r="I10">
        <v>190</v>
      </c>
      <c r="J10">
        <v>-0.12874817745258066</v>
      </c>
      <c r="K10">
        <v>-0.99167731989928998</v>
      </c>
      <c r="L10">
        <v>38705.211743894906</v>
      </c>
      <c r="M10">
        <v>41682.05793389491</v>
      </c>
      <c r="N10">
        <v>41715.18892187145</v>
      </c>
      <c r="O10">
        <v>18000.430324119316</v>
      </c>
      <c r="P10" t="s">
        <v>90</v>
      </c>
      <c r="Q10">
        <v>0</v>
      </c>
      <c r="R10">
        <v>47.8</v>
      </c>
      <c r="S10" t="s">
        <v>90</v>
      </c>
      <c r="T10">
        <v>38100.834830561573</v>
      </c>
      <c r="U10">
        <v>15019.2</v>
      </c>
      <c r="V10">
        <v>22564.1188</v>
      </c>
      <c r="W10">
        <v>15019.2</v>
      </c>
      <c r="X10">
        <v>25540.96499</v>
      </c>
      <c r="Y10">
        <v>15019.2</v>
      </c>
      <c r="Z10">
        <v>24733.703730000001</v>
      </c>
      <c r="AA10">
        <v>1.67</v>
      </c>
      <c r="AB10">
        <v>10.659000000000001</v>
      </c>
      <c r="AC10">
        <v>20.48</v>
      </c>
      <c r="AD10">
        <v>32.808999999999997</v>
      </c>
      <c r="AE10">
        <v>20.48</v>
      </c>
      <c r="AF10">
        <v>16680.985831774797</v>
      </c>
      <c r="AG10">
        <v>9699.6258287280525</v>
      </c>
      <c r="AH10">
        <v>20534.222947390706</v>
      </c>
    </row>
    <row r="11" spans="1:34">
      <c r="A11">
        <v>45848</v>
      </c>
      <c r="B11">
        <v>16680.985831774797</v>
      </c>
      <c r="C11">
        <v>489.56400000000002</v>
      </c>
      <c r="D11">
        <v>1631482.3951735001</v>
      </c>
      <c r="E11">
        <v>-3011.6213387998287</v>
      </c>
      <c r="F11">
        <v>1.0037027193749493</v>
      </c>
      <c r="G11">
        <v>8.6</v>
      </c>
      <c r="H11">
        <v>47.639792610773419</v>
      </c>
      <c r="I11">
        <v>191</v>
      </c>
      <c r="J11">
        <v>-0.14579919691987442</v>
      </c>
      <c r="K11">
        <v>-0.9893142039703664</v>
      </c>
      <c r="L11">
        <v>33915.234813894909</v>
      </c>
      <c r="M11">
        <v>38705.211743894906</v>
      </c>
      <c r="N11">
        <v>41682.05793389491</v>
      </c>
      <c r="O11">
        <v>16551.135553712575</v>
      </c>
      <c r="P11" t="s">
        <v>90</v>
      </c>
      <c r="Q11">
        <v>8.6</v>
      </c>
      <c r="R11">
        <v>56.4</v>
      </c>
      <c r="S11" t="s">
        <v>90</v>
      </c>
      <c r="T11">
        <v>29767.144129854871</v>
      </c>
      <c r="U11">
        <v>15019.2</v>
      </c>
      <c r="V11">
        <v>17774.141869999999</v>
      </c>
      <c r="W11">
        <v>15019.2</v>
      </c>
      <c r="X11">
        <v>22564.1188</v>
      </c>
      <c r="Y11">
        <v>15019.2</v>
      </c>
      <c r="Z11">
        <v>25540.96499</v>
      </c>
      <c r="AA11">
        <v>10.659000000000001</v>
      </c>
      <c r="AB11">
        <v>20.48</v>
      </c>
      <c r="AC11">
        <v>22.463000000000001</v>
      </c>
      <c r="AD11">
        <v>53.602000000000004</v>
      </c>
      <c r="AE11">
        <v>22.463000000000001</v>
      </c>
      <c r="AF11">
        <v>9699.6258287280525</v>
      </c>
      <c r="AG11">
        <v>20534.222947390706</v>
      </c>
      <c r="AH11">
        <v>62384.337747241487</v>
      </c>
    </row>
    <row r="12" spans="1:34">
      <c r="A12">
        <v>45849</v>
      </c>
      <c r="B12">
        <v>9699.6258287280525</v>
      </c>
      <c r="C12">
        <v>489.54399999999998</v>
      </c>
      <c r="D12">
        <v>1625463.7590197001</v>
      </c>
      <c r="E12">
        <v>-6018.6361537999474</v>
      </c>
      <c r="F12">
        <v>1</v>
      </c>
      <c r="G12">
        <v>1.4</v>
      </c>
      <c r="H12">
        <v>46.657802980234742</v>
      </c>
      <c r="I12">
        <v>192</v>
      </c>
      <c r="J12">
        <v>-0.16280701293851646</v>
      </c>
      <c r="K12">
        <v>-0.98665793289165715</v>
      </c>
      <c r="L12">
        <v>16680.985831774797</v>
      </c>
      <c r="M12">
        <v>33915.234813894909</v>
      </c>
      <c r="N12">
        <v>38705.211743894906</v>
      </c>
      <c r="O12">
        <v>21950.322284900692</v>
      </c>
      <c r="P12" t="s">
        <v>90</v>
      </c>
      <c r="Q12">
        <v>10</v>
      </c>
      <c r="R12">
        <v>27.599999999999994</v>
      </c>
      <c r="S12" t="s">
        <v>90</v>
      </c>
      <c r="T12">
        <v>20098.615491465916</v>
      </c>
      <c r="U12">
        <v>15019.2</v>
      </c>
      <c r="V12">
        <v>6141.4219579999999</v>
      </c>
      <c r="W12">
        <v>15019.2</v>
      </c>
      <c r="X12">
        <v>17774.141869999999</v>
      </c>
      <c r="Y12">
        <v>15019.2</v>
      </c>
      <c r="Z12">
        <v>22564.1188</v>
      </c>
      <c r="AA12">
        <v>20.48</v>
      </c>
      <c r="AB12">
        <v>22.463000000000001</v>
      </c>
      <c r="AC12">
        <v>18.722000000000001</v>
      </c>
      <c r="AD12">
        <v>61.664999999999999</v>
      </c>
      <c r="AE12">
        <v>22.463000000000001</v>
      </c>
      <c r="AF12">
        <v>20534.222947390706</v>
      </c>
      <c r="AG12">
        <v>62384.337747241487</v>
      </c>
      <c r="AH12">
        <v>48379.884811176365</v>
      </c>
    </row>
    <row r="13" spans="1:34">
      <c r="A13">
        <v>45850</v>
      </c>
      <c r="B13">
        <v>20534.222947390706</v>
      </c>
      <c r="C13">
        <v>489.53100000000001</v>
      </c>
      <c r="D13">
        <v>1622456.7729032</v>
      </c>
      <c r="E13">
        <v>-3006.9861165001057</v>
      </c>
      <c r="F13">
        <v>0.99815007495564612</v>
      </c>
      <c r="G13">
        <v>5.2</v>
      </c>
      <c r="H13">
        <v>49.524912831223006</v>
      </c>
      <c r="I13">
        <v>193</v>
      </c>
      <c r="J13">
        <v>-0.17976658572556214</v>
      </c>
      <c r="K13">
        <v>-0.98370929377360983</v>
      </c>
      <c r="L13">
        <v>9699.6258287280525</v>
      </c>
      <c r="M13">
        <v>16680.985831774797</v>
      </c>
      <c r="N13">
        <v>33915.234813894909</v>
      </c>
      <c r="O13">
        <v>22689.827603281785</v>
      </c>
      <c r="P13" t="s">
        <v>90</v>
      </c>
      <c r="Q13">
        <v>15.2</v>
      </c>
      <c r="R13">
        <v>32.4</v>
      </c>
      <c r="S13" t="s">
        <v>90</v>
      </c>
      <c r="T13">
        <v>15638.278202631185</v>
      </c>
      <c r="U13">
        <v>15019.2</v>
      </c>
      <c r="V13">
        <v>0</v>
      </c>
      <c r="W13">
        <v>15019.2</v>
      </c>
      <c r="X13">
        <v>6141.4219579999999</v>
      </c>
      <c r="Y13">
        <v>15019.2</v>
      </c>
      <c r="Z13">
        <v>17774.141869999999</v>
      </c>
      <c r="AA13">
        <v>22.463000000000001</v>
      </c>
      <c r="AB13">
        <v>18.722000000000001</v>
      </c>
      <c r="AC13">
        <v>18.885999999999999</v>
      </c>
      <c r="AD13">
        <v>60.070999999999998</v>
      </c>
      <c r="AE13">
        <v>22.463000000000001</v>
      </c>
      <c r="AF13">
        <v>62384.337747241487</v>
      </c>
      <c r="AG13">
        <v>48379.884811176365</v>
      </c>
      <c r="AH13">
        <v>38218.919706494824</v>
      </c>
    </row>
    <row r="14" spans="1:34">
      <c r="A14">
        <v>45851</v>
      </c>
      <c r="B14">
        <v>62384.337747241487</v>
      </c>
      <c r="C14">
        <v>489.589</v>
      </c>
      <c r="D14">
        <v>1637507.2197397</v>
      </c>
      <c r="E14">
        <v>15050.446836499963</v>
      </c>
      <c r="F14">
        <v>1.0074092459171549</v>
      </c>
      <c r="G14">
        <v>31.6</v>
      </c>
      <c r="H14">
        <v>78.648667189661865</v>
      </c>
      <c r="I14">
        <v>194</v>
      </c>
      <c r="J14">
        <v>-0.19667288979357622</v>
      </c>
      <c r="K14">
        <v>-0.98046916036163212</v>
      </c>
      <c r="L14">
        <v>20534.222947390706</v>
      </c>
      <c r="M14">
        <v>9699.6258287280525</v>
      </c>
      <c r="N14">
        <v>16680.985831774797</v>
      </c>
      <c r="O14">
        <v>41715.18892187145</v>
      </c>
      <c r="P14" t="s">
        <v>90</v>
      </c>
      <c r="Q14">
        <v>38.200000000000003</v>
      </c>
      <c r="R14">
        <v>46.8</v>
      </c>
      <c r="S14" t="s">
        <v>90</v>
      </c>
      <c r="T14">
        <v>30872.728841120083</v>
      </c>
      <c r="U14">
        <v>15019.2</v>
      </c>
      <c r="V14">
        <v>8965.6721089999992</v>
      </c>
      <c r="W14">
        <v>15019.2</v>
      </c>
      <c r="X14">
        <v>0</v>
      </c>
      <c r="Y14">
        <v>15019.2</v>
      </c>
      <c r="Z14">
        <v>6141.4219579999999</v>
      </c>
      <c r="AA14">
        <v>18.722000000000001</v>
      </c>
      <c r="AB14">
        <v>18.885999999999999</v>
      </c>
      <c r="AC14">
        <v>8.7219999999999995</v>
      </c>
      <c r="AD14">
        <v>46.330000000000005</v>
      </c>
      <c r="AE14">
        <v>18.885999999999999</v>
      </c>
      <c r="AF14">
        <v>48379.884811176365</v>
      </c>
      <c r="AG14">
        <v>38218.919706494824</v>
      </c>
      <c r="AH14">
        <v>783908.44873235549</v>
      </c>
    </row>
    <row r="15" spans="1:34">
      <c r="A15">
        <v>45852</v>
      </c>
      <c r="B15">
        <v>48379.884811176365</v>
      </c>
      <c r="C15">
        <v>489.58300000000003</v>
      </c>
      <c r="D15">
        <v>1637507.2197397</v>
      </c>
      <c r="E15">
        <v>0</v>
      </c>
      <c r="F15">
        <v>1.0074092459171549</v>
      </c>
      <c r="G15">
        <v>0</v>
      </c>
      <c r="H15">
        <v>74.716233830178766</v>
      </c>
      <c r="I15">
        <v>195</v>
      </c>
      <c r="J15">
        <v>-0.2135209154397959</v>
      </c>
      <c r="K15">
        <v>-0.9769384927771817</v>
      </c>
      <c r="L15">
        <v>62384.337747241487</v>
      </c>
      <c r="M15">
        <v>20534.222947390706</v>
      </c>
      <c r="N15">
        <v>9699.6258287280525</v>
      </c>
      <c r="O15">
        <v>41682.05793389491</v>
      </c>
      <c r="P15" t="s">
        <v>90</v>
      </c>
      <c r="Q15">
        <v>36.800000000000004</v>
      </c>
      <c r="R15">
        <v>46.8</v>
      </c>
      <c r="S15" t="s">
        <v>90</v>
      </c>
      <c r="T15">
        <v>43766.148501936193</v>
      </c>
      <c r="U15">
        <v>15019.2</v>
      </c>
      <c r="V15">
        <v>40716.28976</v>
      </c>
      <c r="W15">
        <v>15019.2</v>
      </c>
      <c r="X15">
        <v>8965.6721089999992</v>
      </c>
      <c r="Y15">
        <v>15019.2</v>
      </c>
      <c r="Z15">
        <v>0</v>
      </c>
      <c r="AA15">
        <v>18.885999999999999</v>
      </c>
      <c r="AB15">
        <v>8.7219999999999995</v>
      </c>
      <c r="AC15">
        <v>11.64</v>
      </c>
      <c r="AD15">
        <v>39.247999999999998</v>
      </c>
      <c r="AE15">
        <v>18.885999999999999</v>
      </c>
      <c r="AF15">
        <v>38218.919706494824</v>
      </c>
      <c r="AG15">
        <v>783908.44873235549</v>
      </c>
      <c r="AH15">
        <v>421045.59254760947</v>
      </c>
    </row>
    <row r="16" spans="1:34">
      <c r="A16">
        <v>45853</v>
      </c>
      <c r="B16">
        <v>38218.919706494824</v>
      </c>
      <c r="C16">
        <v>489.57</v>
      </c>
      <c r="D16">
        <v>1634494.0165122999</v>
      </c>
      <c r="E16">
        <v>-3013.2032274000812</v>
      </c>
      <c r="F16">
        <v>1.0055554960499677</v>
      </c>
      <c r="G16">
        <v>0</v>
      </c>
      <c r="H16">
        <v>70.980422138669823</v>
      </c>
      <c r="I16">
        <v>196</v>
      </c>
      <c r="J16">
        <v>-0.23030567023061196</v>
      </c>
      <c r="K16">
        <v>-0.97311833723326202</v>
      </c>
      <c r="L16">
        <v>48379.884811176365</v>
      </c>
      <c r="M16">
        <v>62384.337747241487</v>
      </c>
      <c r="N16">
        <v>20534.222947390706</v>
      </c>
      <c r="O16">
        <v>38705.211743894906</v>
      </c>
      <c r="P16">
        <v>16137.621087533549</v>
      </c>
      <c r="Q16">
        <v>31.6</v>
      </c>
      <c r="R16">
        <v>46.8</v>
      </c>
      <c r="S16">
        <v>98.4</v>
      </c>
      <c r="T16">
        <v>49661.047421637551</v>
      </c>
      <c r="U16">
        <v>15019.2</v>
      </c>
      <c r="V16">
        <v>32238.207630000001</v>
      </c>
      <c r="W16">
        <v>15019.2</v>
      </c>
      <c r="X16">
        <v>40716.28976</v>
      </c>
      <c r="Y16">
        <v>15019.2</v>
      </c>
      <c r="Z16">
        <v>8965.6721089999992</v>
      </c>
      <c r="AA16">
        <v>8.7219999999999995</v>
      </c>
      <c r="AB16">
        <v>11.64</v>
      </c>
      <c r="AC16">
        <v>14.795999999999999</v>
      </c>
      <c r="AD16">
        <v>35.158000000000001</v>
      </c>
      <c r="AE16">
        <v>14.795999999999999</v>
      </c>
      <c r="AF16">
        <v>783908.44873235549</v>
      </c>
      <c r="AG16">
        <v>421045.59254760947</v>
      </c>
      <c r="AH16">
        <v>247151.60437672501</v>
      </c>
    </row>
    <row r="17" spans="1:34">
      <c r="A17">
        <v>45854</v>
      </c>
      <c r="B17">
        <v>783908.44873235549</v>
      </c>
      <c r="C17">
        <v>489.85300000000001</v>
      </c>
      <c r="D17">
        <v>1719668.7023854</v>
      </c>
      <c r="E17">
        <v>85174.685873100068</v>
      </c>
      <c r="F17">
        <v>1.0579557328442153</v>
      </c>
      <c r="G17">
        <v>78.8</v>
      </c>
      <c r="H17">
        <v>146.23140103173631</v>
      </c>
      <c r="I17">
        <v>197</v>
      </c>
      <c r="J17">
        <v>-0.24702218048093527</v>
      </c>
      <c r="K17">
        <v>-0.9690098257244063</v>
      </c>
      <c r="L17">
        <v>38218.919706494824</v>
      </c>
      <c r="M17">
        <v>48379.884811176365</v>
      </c>
      <c r="N17">
        <v>62384.337747241487</v>
      </c>
      <c r="O17">
        <v>33915.234813894909</v>
      </c>
      <c r="P17">
        <v>18000.430324119316</v>
      </c>
      <c r="Q17">
        <v>78.8</v>
      </c>
      <c r="R17">
        <v>125.6</v>
      </c>
      <c r="S17">
        <v>173.39999999999998</v>
      </c>
      <c r="T17">
        <v>290169.08441667556</v>
      </c>
      <c r="U17">
        <v>15019.2</v>
      </c>
      <c r="V17">
        <v>25091.029989999999</v>
      </c>
      <c r="W17">
        <v>15019.2</v>
      </c>
      <c r="X17">
        <v>32238.207630000001</v>
      </c>
      <c r="Y17">
        <v>15019.2</v>
      </c>
      <c r="Z17">
        <v>40716.28976</v>
      </c>
      <c r="AA17">
        <v>11.64</v>
      </c>
      <c r="AB17">
        <v>14.795999999999999</v>
      </c>
      <c r="AC17">
        <v>4.4279999999999999</v>
      </c>
      <c r="AD17">
        <v>30.864000000000001</v>
      </c>
      <c r="AE17">
        <v>14.795999999999999</v>
      </c>
      <c r="AF17">
        <v>421045.59254760947</v>
      </c>
      <c r="AG17">
        <v>247151.60437672501</v>
      </c>
      <c r="AH17">
        <v>142706.71852408364</v>
      </c>
    </row>
    <row r="18" spans="1:34">
      <c r="A18">
        <v>45855</v>
      </c>
      <c r="B18">
        <v>421045.59254760947</v>
      </c>
      <c r="C18">
        <v>489.76299999999998</v>
      </c>
      <c r="D18">
        <v>1692113.6615758</v>
      </c>
      <c r="E18">
        <v>-27555.040809599916</v>
      </c>
      <c r="F18">
        <v>1.041003622619243</v>
      </c>
      <c r="G18">
        <v>4.2</v>
      </c>
      <c r="H18">
        <v>143.11983098014949</v>
      </c>
      <c r="I18">
        <v>198</v>
      </c>
      <c r="J18">
        <v>-0.26366549272800721</v>
      </c>
      <c r="K18">
        <v>-0.96461417569124353</v>
      </c>
      <c r="L18">
        <v>783908.44873235549</v>
      </c>
      <c r="M18">
        <v>38218.919706494824</v>
      </c>
      <c r="N18">
        <v>48379.884811176365</v>
      </c>
      <c r="O18">
        <v>16680.985831774797</v>
      </c>
      <c r="P18">
        <v>16551.135553712575</v>
      </c>
      <c r="Q18">
        <v>83</v>
      </c>
      <c r="R18">
        <v>121.2</v>
      </c>
      <c r="S18">
        <v>177.59999999999997</v>
      </c>
      <c r="T18">
        <v>414390.98699548654</v>
      </c>
      <c r="U18">
        <v>15019.2</v>
      </c>
      <c r="V18">
        <v>706792.15720000002</v>
      </c>
      <c r="W18">
        <v>15019.2</v>
      </c>
      <c r="X18">
        <v>25091.029989999999</v>
      </c>
      <c r="Y18">
        <v>15019.2</v>
      </c>
      <c r="Z18">
        <v>32238.207630000001</v>
      </c>
      <c r="AA18">
        <v>14.795999999999999</v>
      </c>
      <c r="AB18">
        <v>4.4279999999999999</v>
      </c>
      <c r="AC18">
        <v>6.2080000000000002</v>
      </c>
      <c r="AD18">
        <v>25.432000000000002</v>
      </c>
      <c r="AE18">
        <v>14.795999999999999</v>
      </c>
      <c r="AF18">
        <v>247151.60437672501</v>
      </c>
      <c r="AG18">
        <v>142706.71852408364</v>
      </c>
      <c r="AH18">
        <v>99633.96164875057</v>
      </c>
    </row>
    <row r="19" spans="1:34">
      <c r="A19">
        <v>45856</v>
      </c>
      <c r="B19">
        <v>247151.60437672501</v>
      </c>
      <c r="C19">
        <v>489.69799999999998</v>
      </c>
      <c r="D19">
        <v>1670813.4823932</v>
      </c>
      <c r="E19">
        <v>-21300.179182599997</v>
      </c>
      <c r="F19">
        <v>1.0278995598159937</v>
      </c>
      <c r="G19">
        <v>4.2</v>
      </c>
      <c r="H19">
        <v>140.16383943114201</v>
      </c>
      <c r="I19">
        <v>199</v>
      </c>
      <c r="J19">
        <v>-0.28023067519921607</v>
      </c>
      <c r="K19">
        <v>-0.95993268965974454</v>
      </c>
      <c r="L19">
        <v>421045.59254760947</v>
      </c>
      <c r="M19">
        <v>783908.44873235549</v>
      </c>
      <c r="N19">
        <v>38218.919706494824</v>
      </c>
      <c r="O19">
        <v>9699.6258287280525</v>
      </c>
      <c r="P19">
        <v>21950.322284900692</v>
      </c>
      <c r="Q19">
        <v>87.2</v>
      </c>
      <c r="R19">
        <v>124</v>
      </c>
      <c r="S19">
        <v>151.59999999999997</v>
      </c>
      <c r="T19">
        <v>484035.21521889669</v>
      </c>
      <c r="U19">
        <v>15019.2</v>
      </c>
      <c r="V19">
        <v>433726.34600000002</v>
      </c>
      <c r="W19">
        <v>15019.2</v>
      </c>
      <c r="X19">
        <v>706792.15720000002</v>
      </c>
      <c r="Y19">
        <v>15019.2</v>
      </c>
      <c r="Z19">
        <v>25091.029989999999</v>
      </c>
      <c r="AA19">
        <v>4.4279999999999999</v>
      </c>
      <c r="AB19">
        <v>6.2080000000000002</v>
      </c>
      <c r="AC19">
        <v>33.033999999999999</v>
      </c>
      <c r="AD19">
        <v>43.67</v>
      </c>
      <c r="AE19">
        <v>33.033999999999999</v>
      </c>
      <c r="AF19">
        <v>142706.71852408364</v>
      </c>
      <c r="AG19">
        <v>99633.96164875057</v>
      </c>
      <c r="AH19">
        <v>81725.689460714595</v>
      </c>
    </row>
    <row r="20" spans="1:34">
      <c r="A20">
        <v>45857</v>
      </c>
      <c r="B20">
        <v>142706.71852408364</v>
      </c>
      <c r="C20">
        <v>489.64800000000002</v>
      </c>
      <c r="D20">
        <v>1655645.1614623</v>
      </c>
      <c r="E20">
        <v>-15168.320930900052</v>
      </c>
      <c r="F20">
        <v>1.018567871645937</v>
      </c>
      <c r="G20">
        <v>0</v>
      </c>
      <c r="H20">
        <v>133.15564745958491</v>
      </c>
      <c r="I20">
        <v>200</v>
      </c>
      <c r="J20">
        <v>-0.29671281927349008</v>
      </c>
      <c r="K20">
        <v>-0.95496675485525528</v>
      </c>
      <c r="L20">
        <v>247151.60437672501</v>
      </c>
      <c r="M20">
        <v>421045.59254760947</v>
      </c>
      <c r="N20">
        <v>783908.44873235549</v>
      </c>
      <c r="O20">
        <v>20534.222947390706</v>
      </c>
      <c r="P20">
        <v>22689.827603281785</v>
      </c>
      <c r="Q20">
        <v>8.4</v>
      </c>
      <c r="R20">
        <v>118.80000000000001</v>
      </c>
      <c r="S20">
        <v>151.19999999999999</v>
      </c>
      <c r="T20">
        <v>270301.30514947273</v>
      </c>
      <c r="U20">
        <v>15019.2</v>
      </c>
      <c r="V20">
        <v>253577.02410000001</v>
      </c>
      <c r="W20">
        <v>15019.2</v>
      </c>
      <c r="X20">
        <v>433726.34600000002</v>
      </c>
      <c r="Y20">
        <v>15019.2</v>
      </c>
      <c r="Z20">
        <v>706792.15720000002</v>
      </c>
      <c r="AA20">
        <v>6.2080000000000002</v>
      </c>
      <c r="AB20">
        <v>33.033999999999999</v>
      </c>
      <c r="AC20">
        <v>3.5449999999999999</v>
      </c>
      <c r="AD20">
        <v>42.786999999999999</v>
      </c>
      <c r="AE20">
        <v>33.033999999999999</v>
      </c>
      <c r="AF20">
        <v>99633.96164875057</v>
      </c>
      <c r="AG20">
        <v>81725.689460714595</v>
      </c>
      <c r="AH20">
        <v>54196.434514176217</v>
      </c>
    </row>
    <row r="21" spans="1:34">
      <c r="A21">
        <v>45858</v>
      </c>
      <c r="B21">
        <v>99633.96164875057</v>
      </c>
      <c r="C21">
        <v>489.608</v>
      </c>
      <c r="D21">
        <v>1643538.2164867001</v>
      </c>
      <c r="E21">
        <v>-12106.944975599879</v>
      </c>
      <c r="F21">
        <v>1.0111195696407902</v>
      </c>
      <c r="G21">
        <v>0</v>
      </c>
      <c r="H21">
        <v>126.49786508660566</v>
      </c>
      <c r="I21">
        <v>201</v>
      </c>
      <c r="J21">
        <v>-0.3131070409358267</v>
      </c>
      <c r="K21">
        <v>-0.94971784279143168</v>
      </c>
      <c r="L21">
        <v>142706.71852408364</v>
      </c>
      <c r="M21">
        <v>247151.60437672501</v>
      </c>
      <c r="N21">
        <v>421045.59254760947</v>
      </c>
      <c r="O21">
        <v>62384.337747241487</v>
      </c>
      <c r="P21">
        <v>41715.18892187145</v>
      </c>
      <c r="Q21">
        <v>4.2</v>
      </c>
      <c r="R21">
        <v>87.2</v>
      </c>
      <c r="S21">
        <v>133.99999999999997</v>
      </c>
      <c r="T21">
        <v>163164.09484985308</v>
      </c>
      <c r="U21">
        <v>15019.2</v>
      </c>
      <c r="V21">
        <v>141727.3849</v>
      </c>
      <c r="W21">
        <v>15019.2</v>
      </c>
      <c r="X21">
        <v>253577.02410000001</v>
      </c>
      <c r="Y21">
        <v>15019.2</v>
      </c>
      <c r="Z21">
        <v>433726.34600000002</v>
      </c>
      <c r="AA21">
        <v>33.033999999999999</v>
      </c>
      <c r="AB21">
        <v>3.5449999999999999</v>
      </c>
      <c r="AC21">
        <v>12.694000000000001</v>
      </c>
      <c r="AD21">
        <v>49.273000000000003</v>
      </c>
      <c r="AE21">
        <v>33.033999999999999</v>
      </c>
      <c r="AF21">
        <v>81725.689460714595</v>
      </c>
      <c r="AG21">
        <v>54196.434514176217</v>
      </c>
      <c r="AH21">
        <v>1408228.320329851</v>
      </c>
    </row>
    <row r="22" spans="1:34">
      <c r="A22">
        <v>45859</v>
      </c>
      <c r="B22">
        <v>81725.689460714595</v>
      </c>
      <c r="C22">
        <v>489.608</v>
      </c>
      <c r="D22">
        <v>1643538.2164867001</v>
      </c>
      <c r="E22">
        <v>0</v>
      </c>
      <c r="F22">
        <v>1.0111195696407902</v>
      </c>
      <c r="G22">
        <v>19.8</v>
      </c>
      <c r="H22">
        <v>139.97297183227536</v>
      </c>
      <c r="I22">
        <v>202</v>
      </c>
      <c r="J22">
        <v>-0.32940848222453017</v>
      </c>
      <c r="K22">
        <v>-0.94418750883419944</v>
      </c>
      <c r="L22">
        <v>99633.96164875057</v>
      </c>
      <c r="M22">
        <v>142706.71852408364</v>
      </c>
      <c r="N22">
        <v>247151.60437672501</v>
      </c>
      <c r="O22">
        <v>48379.884811176365</v>
      </c>
      <c r="P22">
        <v>41682.05793389491</v>
      </c>
      <c r="Q22">
        <v>19.8</v>
      </c>
      <c r="R22">
        <v>107</v>
      </c>
      <c r="S22">
        <v>153.79999999999998</v>
      </c>
      <c r="T22">
        <v>108022.12321118293</v>
      </c>
      <c r="U22">
        <v>15019.2</v>
      </c>
      <c r="V22">
        <v>95597.933390000006</v>
      </c>
      <c r="W22">
        <v>15019.2</v>
      </c>
      <c r="X22">
        <v>141727.3849</v>
      </c>
      <c r="Y22">
        <v>15019.2</v>
      </c>
      <c r="Z22">
        <v>253577.02410000001</v>
      </c>
      <c r="AA22">
        <v>3.5449999999999999</v>
      </c>
      <c r="AB22">
        <v>12.694000000000001</v>
      </c>
      <c r="AC22">
        <v>6.008</v>
      </c>
      <c r="AD22">
        <v>22.247</v>
      </c>
      <c r="AE22">
        <v>12.694000000000001</v>
      </c>
      <c r="AF22">
        <v>54196.434514176217</v>
      </c>
      <c r="AG22">
        <v>1408228.320329851</v>
      </c>
      <c r="AH22">
        <v>1123235.0312024173</v>
      </c>
    </row>
    <row r="23" spans="1:34">
      <c r="A23">
        <v>45860</v>
      </c>
      <c r="B23">
        <v>54196.434514176217</v>
      </c>
      <c r="C23">
        <v>489.589</v>
      </c>
      <c r="D23">
        <v>1637507.2197397</v>
      </c>
      <c r="E23">
        <v>-6030.9967470001429</v>
      </c>
      <c r="F23">
        <v>1.0074092459171549</v>
      </c>
      <c r="G23">
        <v>0</v>
      </c>
      <c r="H23">
        <v>132.97432324066159</v>
      </c>
      <c r="I23">
        <v>203</v>
      </c>
      <c r="J23">
        <v>-0.34561231267073328</v>
      </c>
      <c r="K23">
        <v>-0.93837739174086421</v>
      </c>
      <c r="L23">
        <v>81725.689460714595</v>
      </c>
      <c r="M23">
        <v>99633.96164875057</v>
      </c>
      <c r="N23">
        <v>142706.71852408364</v>
      </c>
      <c r="O23">
        <v>38218.919706494824</v>
      </c>
      <c r="P23">
        <v>38705.211743894906</v>
      </c>
      <c r="Q23">
        <v>19.8</v>
      </c>
      <c r="R23">
        <v>107</v>
      </c>
      <c r="S23">
        <v>153.79999999999998</v>
      </c>
      <c r="T23">
        <v>78518.695207880461</v>
      </c>
      <c r="U23">
        <v>15019.2</v>
      </c>
      <c r="V23">
        <v>71557.166070000007</v>
      </c>
      <c r="W23">
        <v>15019.2</v>
      </c>
      <c r="X23">
        <v>95597.933390000006</v>
      </c>
      <c r="Y23">
        <v>15019.2</v>
      </c>
      <c r="Z23">
        <v>141727.3849</v>
      </c>
      <c r="AA23">
        <v>12.694000000000001</v>
      </c>
      <c r="AB23">
        <v>6.008</v>
      </c>
      <c r="AC23">
        <v>4.7039999999999997</v>
      </c>
      <c r="AD23">
        <v>23.406000000000002</v>
      </c>
      <c r="AE23">
        <v>12.694000000000001</v>
      </c>
      <c r="AF23">
        <v>1408228.320329851</v>
      </c>
      <c r="AG23">
        <v>1123235.0312024173</v>
      </c>
      <c r="AH23">
        <v>618651.26273834216</v>
      </c>
    </row>
    <row r="24" spans="1:34">
      <c r="A24">
        <v>45861</v>
      </c>
      <c r="B24">
        <v>1408228.320329851</v>
      </c>
      <c r="C24">
        <v>489.80099999999999</v>
      </c>
      <c r="D24">
        <v>1704320.2680112</v>
      </c>
      <c r="E24">
        <v>66813.04827150004</v>
      </c>
      <c r="F24">
        <v>1.0485132372554755</v>
      </c>
      <c r="G24">
        <v>58.6</v>
      </c>
      <c r="H24">
        <v>184.9256070786285</v>
      </c>
      <c r="I24">
        <v>204</v>
      </c>
      <c r="J24">
        <v>-0.36171373072976742</v>
      </c>
      <c r="K24">
        <v>-0.93228921317451341</v>
      </c>
      <c r="L24">
        <v>54196.434514176217</v>
      </c>
      <c r="M24">
        <v>81725.689460714595</v>
      </c>
      <c r="N24">
        <v>99633.96164875057</v>
      </c>
      <c r="O24">
        <v>783908.44873235549</v>
      </c>
      <c r="P24">
        <v>33915.234813894909</v>
      </c>
      <c r="Q24">
        <v>78.400000000000006</v>
      </c>
      <c r="R24">
        <v>86.800000000000011</v>
      </c>
      <c r="S24">
        <v>212.39999999999998</v>
      </c>
      <c r="T24">
        <v>514716.81476824731</v>
      </c>
      <c r="U24">
        <v>15019.2</v>
      </c>
      <c r="V24">
        <v>44085.754079999999</v>
      </c>
      <c r="W24">
        <v>15019.2</v>
      </c>
      <c r="X24">
        <v>71557.166070000007</v>
      </c>
      <c r="Y24">
        <v>15019.2</v>
      </c>
      <c r="Z24">
        <v>95597.933390000006</v>
      </c>
      <c r="AA24">
        <v>6.008</v>
      </c>
      <c r="AB24">
        <v>4.7039999999999997</v>
      </c>
      <c r="AC24">
        <v>4.0060000000000002</v>
      </c>
      <c r="AD24">
        <v>14.718</v>
      </c>
      <c r="AE24">
        <v>6.008</v>
      </c>
      <c r="AF24">
        <v>1123235.0312024173</v>
      </c>
      <c r="AG24">
        <v>618651.26273834216</v>
      </c>
      <c r="AH24">
        <v>482554.30601834954</v>
      </c>
    </row>
    <row r="25" spans="1:34">
      <c r="A25">
        <v>45862</v>
      </c>
      <c r="B25">
        <v>1123235.0312024173</v>
      </c>
      <c r="C25">
        <v>489.94299999999998</v>
      </c>
      <c r="D25">
        <v>1747400.294549</v>
      </c>
      <c r="E25">
        <v>43080.026537799975</v>
      </c>
      <c r="F25">
        <v>1.0750164590583295</v>
      </c>
      <c r="G25">
        <v>39.799999999999997</v>
      </c>
      <c r="H25">
        <v>215.47932672469705</v>
      </c>
      <c r="I25">
        <v>205</v>
      </c>
      <c r="J25">
        <v>-0.37770796520396466</v>
      </c>
      <c r="K25">
        <v>-0.92592477719384991</v>
      </c>
      <c r="L25">
        <v>1408228.320329851</v>
      </c>
      <c r="M25">
        <v>54196.434514176217</v>
      </c>
      <c r="N25">
        <v>81725.689460714595</v>
      </c>
      <c r="O25">
        <v>421045.59254760947</v>
      </c>
      <c r="P25">
        <v>16680.985831774797</v>
      </c>
      <c r="Q25">
        <v>98.4</v>
      </c>
      <c r="R25">
        <v>122.39999999999999</v>
      </c>
      <c r="S25">
        <v>243.60000000000002</v>
      </c>
      <c r="T25">
        <v>861886.59534881485</v>
      </c>
      <c r="U25">
        <v>15019.2</v>
      </c>
      <c r="V25">
        <v>1343213.8</v>
      </c>
      <c r="W25">
        <v>15019.2</v>
      </c>
      <c r="X25">
        <v>44085.754079999999</v>
      </c>
      <c r="Y25">
        <v>15019.2</v>
      </c>
      <c r="Z25">
        <v>71557.166070000007</v>
      </c>
      <c r="AA25">
        <v>4.7039999999999997</v>
      </c>
      <c r="AB25">
        <v>4.0060000000000002</v>
      </c>
      <c r="AC25">
        <v>21.497</v>
      </c>
      <c r="AD25">
        <v>30.207000000000001</v>
      </c>
      <c r="AE25">
        <v>21.497</v>
      </c>
      <c r="AF25">
        <v>618651.26273834216</v>
      </c>
      <c r="AG25">
        <v>482554.30601834954</v>
      </c>
      <c r="AH25">
        <v>569451.16057343001</v>
      </c>
    </row>
    <row r="26" spans="1:34">
      <c r="A26">
        <v>45863</v>
      </c>
      <c r="B26">
        <v>618651.26273834216</v>
      </c>
      <c r="C26">
        <v>489.82098000000002</v>
      </c>
      <c r="D26">
        <v>1710454.4363392999</v>
      </c>
      <c r="E26">
        <v>-36945.858209700091</v>
      </c>
      <c r="F26">
        <v>1.0522870330685543</v>
      </c>
      <c r="G26">
        <v>8.8000000000000007</v>
      </c>
      <c r="H26">
        <v>213.50536038846221</v>
      </c>
      <c r="I26">
        <v>206</v>
      </c>
      <c r="J26">
        <v>-0.39359027665646645</v>
      </c>
      <c r="K26">
        <v>-0.91928596971861054</v>
      </c>
      <c r="L26">
        <v>1123235.0312024173</v>
      </c>
      <c r="M26">
        <v>1408228.320329851</v>
      </c>
      <c r="N26">
        <v>54196.434514176217</v>
      </c>
      <c r="O26">
        <v>247151.60437672501</v>
      </c>
      <c r="P26">
        <v>9699.6258287280525</v>
      </c>
      <c r="Q26">
        <v>107.2</v>
      </c>
      <c r="R26">
        <v>127</v>
      </c>
      <c r="S26">
        <v>251</v>
      </c>
      <c r="T26">
        <v>1050038.2047568702</v>
      </c>
      <c r="U26">
        <v>15019.2</v>
      </c>
      <c r="V26">
        <v>1076278.5260000001</v>
      </c>
      <c r="W26">
        <v>15019.2</v>
      </c>
      <c r="X26">
        <v>1343213.8</v>
      </c>
      <c r="Y26">
        <v>15019.2</v>
      </c>
      <c r="Z26">
        <v>44085.754079999999</v>
      </c>
      <c r="AA26">
        <v>4.0060000000000002</v>
      </c>
      <c r="AB26">
        <v>21.497</v>
      </c>
      <c r="AC26">
        <v>5.9610000000000003</v>
      </c>
      <c r="AD26">
        <v>31.463999999999999</v>
      </c>
      <c r="AE26">
        <v>21.497</v>
      </c>
      <c r="AF26">
        <v>482554.30601834954</v>
      </c>
      <c r="AG26">
        <v>569451.16057343001</v>
      </c>
      <c r="AH26">
        <v>1013858.9276642874</v>
      </c>
    </row>
    <row r="27" spans="1:34">
      <c r="A27">
        <v>45864</v>
      </c>
      <c r="B27">
        <v>482554.30601834954</v>
      </c>
      <c r="C27">
        <v>489.76900000000001</v>
      </c>
      <c r="D27">
        <v>1692113.6615758</v>
      </c>
      <c r="E27">
        <v>-18340.774763499852</v>
      </c>
      <c r="F27">
        <v>1.041003622619243</v>
      </c>
      <c r="G27">
        <v>6</v>
      </c>
      <c r="H27">
        <v>208.83009236903908</v>
      </c>
      <c r="I27">
        <v>207</v>
      </c>
      <c r="J27">
        <v>-0.40935595881562109</v>
      </c>
      <c r="K27">
        <v>-0.91237475797072742</v>
      </c>
      <c r="L27">
        <v>618651.26273834216</v>
      </c>
      <c r="M27">
        <v>1123235.0312024173</v>
      </c>
      <c r="N27">
        <v>1408228.320329851</v>
      </c>
      <c r="O27">
        <v>142706.71852408364</v>
      </c>
      <c r="P27">
        <v>20534.222947390706</v>
      </c>
      <c r="Q27">
        <v>54.599999999999994</v>
      </c>
      <c r="R27">
        <v>133</v>
      </c>
      <c r="S27">
        <v>251.8</v>
      </c>
      <c r="T27">
        <v>741480.1999863697</v>
      </c>
      <c r="U27">
        <v>15019.2</v>
      </c>
      <c r="V27">
        <v>642135.51919999998</v>
      </c>
      <c r="W27">
        <v>15019.2</v>
      </c>
      <c r="X27">
        <v>1076278.5260000001</v>
      </c>
      <c r="Y27">
        <v>15019.2</v>
      </c>
      <c r="Z27">
        <v>1343213.8</v>
      </c>
      <c r="AA27">
        <v>21.497</v>
      </c>
      <c r="AB27">
        <v>5.9610000000000003</v>
      </c>
      <c r="AC27">
        <v>12.932</v>
      </c>
      <c r="AD27">
        <v>40.39</v>
      </c>
      <c r="AE27">
        <v>21.497</v>
      </c>
      <c r="AF27">
        <v>569451.16057343001</v>
      </c>
      <c r="AG27">
        <v>1013858.9276642874</v>
      </c>
      <c r="AH27">
        <v>693172.30903480761</v>
      </c>
    </row>
    <row r="28" spans="1:34">
      <c r="A28">
        <v>45865</v>
      </c>
      <c r="B28">
        <v>569451.16057343001</v>
      </c>
      <c r="C28">
        <v>489.73</v>
      </c>
      <c r="D28">
        <v>1682975.6527668999</v>
      </c>
      <c r="E28">
        <v>-9138.0088089001365</v>
      </c>
      <c r="F28">
        <v>1.0353818369853318</v>
      </c>
      <c r="G28">
        <v>0</v>
      </c>
      <c r="H28">
        <v>198.38858775058711</v>
      </c>
      <c r="I28">
        <v>208</v>
      </c>
      <c r="J28">
        <v>-0.42500033996955394</v>
      </c>
      <c r="K28">
        <v>-0.90519318989139752</v>
      </c>
      <c r="L28">
        <v>482554.30601834954</v>
      </c>
      <c r="M28">
        <v>618651.26273834216</v>
      </c>
      <c r="N28">
        <v>1123235.0312024173</v>
      </c>
      <c r="O28">
        <v>99633.96164875057</v>
      </c>
      <c r="P28">
        <v>62384.337747241487</v>
      </c>
      <c r="Q28">
        <v>14.8</v>
      </c>
      <c r="R28">
        <v>133</v>
      </c>
      <c r="S28">
        <v>220.2</v>
      </c>
      <c r="T28">
        <v>556885.57644337381</v>
      </c>
      <c r="U28">
        <v>15019.2</v>
      </c>
      <c r="V28">
        <v>486569.5012</v>
      </c>
      <c r="W28">
        <v>15019.2</v>
      </c>
      <c r="X28">
        <v>642135.51919999998</v>
      </c>
      <c r="Y28">
        <v>15019.2</v>
      </c>
      <c r="Z28">
        <v>1076278.5260000001</v>
      </c>
      <c r="AA28">
        <v>5.9610000000000003</v>
      </c>
      <c r="AB28">
        <v>12.932</v>
      </c>
      <c r="AC28">
        <v>28.989000000000001</v>
      </c>
      <c r="AD28">
        <v>47.882000000000005</v>
      </c>
      <c r="AE28">
        <v>28.989000000000001</v>
      </c>
      <c r="AF28">
        <v>1013858.9276642874</v>
      </c>
      <c r="AG28">
        <v>693172.30903480761</v>
      </c>
      <c r="AH28">
        <v>814190.42860791693</v>
      </c>
    </row>
    <row r="29" spans="1:34">
      <c r="A29">
        <v>45866</v>
      </c>
      <c r="B29">
        <v>1013858.9276642874</v>
      </c>
      <c r="C29">
        <v>489.911</v>
      </c>
      <c r="D29">
        <v>1738141.5165156999</v>
      </c>
      <c r="E29">
        <v>55165.863748800009</v>
      </c>
      <c r="F29">
        <v>1.0693203751057203</v>
      </c>
      <c r="G29">
        <v>50.4</v>
      </c>
      <c r="H29">
        <v>238.86915836305775</v>
      </c>
      <c r="I29">
        <v>209</v>
      </c>
      <c r="J29">
        <v>-0.44051878435049519</v>
      </c>
      <c r="K29">
        <v>-0.8977433935342336</v>
      </c>
      <c r="L29">
        <v>569451.16057343001</v>
      </c>
      <c r="M29">
        <v>482554.30601834954</v>
      </c>
      <c r="N29">
        <v>618651.26273834216</v>
      </c>
      <c r="O29">
        <v>81725.689460714595</v>
      </c>
      <c r="P29">
        <v>48379.884811176365</v>
      </c>
      <c r="Q29">
        <v>56.4</v>
      </c>
      <c r="R29">
        <v>163.6</v>
      </c>
      <c r="S29">
        <v>270.59999999999997</v>
      </c>
      <c r="T29">
        <v>688621.46475202229</v>
      </c>
      <c r="U29">
        <v>15019.2</v>
      </c>
      <c r="V29">
        <v>562436.34149999998</v>
      </c>
      <c r="W29">
        <v>15019.2</v>
      </c>
      <c r="X29">
        <v>486569.5012</v>
      </c>
      <c r="Y29">
        <v>15019.2</v>
      </c>
      <c r="Z29">
        <v>642135.51919999998</v>
      </c>
      <c r="AA29">
        <v>12.932</v>
      </c>
      <c r="AB29">
        <v>28.989000000000001</v>
      </c>
      <c r="AC29">
        <v>15.487</v>
      </c>
      <c r="AD29">
        <v>57.408000000000001</v>
      </c>
      <c r="AE29">
        <v>28.989000000000001</v>
      </c>
      <c r="AF29">
        <v>693172.30903480761</v>
      </c>
      <c r="AG29">
        <v>814190.42860791693</v>
      </c>
      <c r="AH29">
        <v>524269.63406137016</v>
      </c>
    </row>
    <row r="30" spans="1:34">
      <c r="A30">
        <v>45867</v>
      </c>
      <c r="B30">
        <v>693172.30903480761</v>
      </c>
      <c r="C30">
        <v>489.82</v>
      </c>
      <c r="D30">
        <v>1710454.4363392999</v>
      </c>
      <c r="E30">
        <v>-27687.080176400021</v>
      </c>
      <c r="F30">
        <v>1.0522870330685543</v>
      </c>
      <c r="G30">
        <v>0.4</v>
      </c>
      <c r="H30">
        <v>227.32570044490487</v>
      </c>
      <c r="I30">
        <v>210</v>
      </c>
      <c r="J30">
        <v>-0.45590669350845903</v>
      </c>
      <c r="K30">
        <v>-0.89002757643467656</v>
      </c>
      <c r="L30">
        <v>1013858.9276642874</v>
      </c>
      <c r="M30">
        <v>569451.16057343001</v>
      </c>
      <c r="N30">
        <v>482554.30601834954</v>
      </c>
      <c r="O30">
        <v>54196.434514176217</v>
      </c>
      <c r="P30">
        <v>38218.919706494824</v>
      </c>
      <c r="Q30">
        <v>50.8</v>
      </c>
      <c r="R30">
        <v>164</v>
      </c>
      <c r="S30">
        <v>270.99999999999994</v>
      </c>
      <c r="T30">
        <v>758827.4657575083</v>
      </c>
      <c r="U30">
        <v>15019.2</v>
      </c>
      <c r="V30">
        <v>958067.44099999999</v>
      </c>
      <c r="W30">
        <v>15019.2</v>
      </c>
      <c r="X30">
        <v>562436.34149999998</v>
      </c>
      <c r="Y30">
        <v>15019.2</v>
      </c>
      <c r="Z30">
        <v>486569.5012</v>
      </c>
      <c r="AA30">
        <v>28.989000000000001</v>
      </c>
      <c r="AB30">
        <v>15.487</v>
      </c>
      <c r="AC30">
        <v>5.3029999999999999</v>
      </c>
      <c r="AD30">
        <v>49.778999999999996</v>
      </c>
      <c r="AE30">
        <v>28.989000000000001</v>
      </c>
      <c r="AF30">
        <v>814190.42860791693</v>
      </c>
      <c r="AG30">
        <v>524269.63406137016</v>
      </c>
      <c r="AH30">
        <v>376758.49060792051</v>
      </c>
    </row>
    <row r="31" spans="1:34">
      <c r="A31">
        <v>45868</v>
      </c>
      <c r="B31">
        <v>814190.42860791693</v>
      </c>
      <c r="C31">
        <v>489.86</v>
      </c>
      <c r="D31">
        <v>1722743.3880805001</v>
      </c>
      <c r="E31">
        <v>12288.951741200173</v>
      </c>
      <c r="F31">
        <v>1.0598473072813805</v>
      </c>
      <c r="G31">
        <v>24.8</v>
      </c>
      <c r="H31">
        <v>240.75941542265963</v>
      </c>
      <c r="I31">
        <v>211</v>
      </c>
      <c r="J31">
        <v>-0.47115950767386394</v>
      </c>
      <c r="K31">
        <v>-0.88204802495585355</v>
      </c>
      <c r="L31">
        <v>693172.30903480761</v>
      </c>
      <c r="M31">
        <v>1013858.9276642874</v>
      </c>
      <c r="N31">
        <v>569451.16057343001</v>
      </c>
      <c r="O31">
        <v>1408228.320329851</v>
      </c>
      <c r="P31">
        <v>783908.44873235549</v>
      </c>
      <c r="Q31">
        <v>75.599999999999994</v>
      </c>
      <c r="R31">
        <v>130.20000000000002</v>
      </c>
      <c r="S31">
        <v>217.00000000000003</v>
      </c>
      <c r="T31">
        <v>840407.22176900401</v>
      </c>
      <c r="U31">
        <v>15019.2</v>
      </c>
      <c r="V31">
        <v>704819.84439999994</v>
      </c>
      <c r="W31">
        <v>15019.2</v>
      </c>
      <c r="X31">
        <v>958067.44099999999</v>
      </c>
      <c r="Y31">
        <v>15019.2</v>
      </c>
      <c r="Z31">
        <v>562436.34149999998</v>
      </c>
      <c r="AA31">
        <v>15.487</v>
      </c>
      <c r="AB31">
        <v>5.3029999999999999</v>
      </c>
      <c r="AC31">
        <v>3.6779999999999999</v>
      </c>
      <c r="AD31">
        <v>24.468</v>
      </c>
      <c r="AE31">
        <v>15.487</v>
      </c>
      <c r="AF31">
        <v>524269.63406137016</v>
      </c>
      <c r="AG31">
        <v>376758.49060792051</v>
      </c>
      <c r="AH31">
        <v>279414.65755679697</v>
      </c>
    </row>
    <row r="32" spans="1:34">
      <c r="A32">
        <v>45869</v>
      </c>
      <c r="B32">
        <v>524269.63406137016</v>
      </c>
      <c r="C32">
        <v>489.78899999999999</v>
      </c>
      <c r="D32">
        <v>1698213.6426939999</v>
      </c>
      <c r="E32">
        <v>-24529.745386500144</v>
      </c>
      <c r="F32">
        <v>1.0447563861517124</v>
      </c>
      <c r="G32">
        <v>0.4</v>
      </c>
      <c r="H32">
        <v>229.12144465152664</v>
      </c>
      <c r="I32">
        <v>212</v>
      </c>
      <c r="J32">
        <v>-0.48627270710869019</v>
      </c>
      <c r="K32">
        <v>-0.87380710361108072</v>
      </c>
      <c r="L32">
        <v>814190.42860791693</v>
      </c>
      <c r="M32">
        <v>693172.30903480761</v>
      </c>
      <c r="N32">
        <v>1013858.9276642874</v>
      </c>
      <c r="O32">
        <v>1123235.0312024173</v>
      </c>
      <c r="P32">
        <v>421045.59254760947</v>
      </c>
      <c r="Q32">
        <v>25.599999999999998</v>
      </c>
      <c r="R32">
        <v>90.800000000000011</v>
      </c>
      <c r="S32">
        <v>213.20000000000002</v>
      </c>
      <c r="T32">
        <v>677210.79056803149</v>
      </c>
      <c r="U32">
        <v>15019.2</v>
      </c>
      <c r="V32">
        <v>793364.09120000002</v>
      </c>
      <c r="W32">
        <v>15019.2</v>
      </c>
      <c r="X32">
        <v>704819.84439999994</v>
      </c>
      <c r="Y32">
        <v>15019.2</v>
      </c>
      <c r="Z32">
        <v>958067.44099999999</v>
      </c>
      <c r="AA32">
        <v>5.3029999999999999</v>
      </c>
      <c r="AB32">
        <v>3.6779999999999999</v>
      </c>
      <c r="AC32">
        <v>9.6340000000000003</v>
      </c>
      <c r="AD32">
        <v>18.615000000000002</v>
      </c>
      <c r="AE32">
        <v>9.6340000000000003</v>
      </c>
      <c r="AF32">
        <v>376758.49060792051</v>
      </c>
      <c r="AG32">
        <v>279414.65755679697</v>
      </c>
      <c r="AH32">
        <v>177123.0132425187</v>
      </c>
    </row>
    <row r="33" spans="1:34">
      <c r="A33">
        <v>45870</v>
      </c>
      <c r="B33">
        <v>376758.49060792051</v>
      </c>
      <c r="C33">
        <v>489.73599999999999</v>
      </c>
      <c r="D33">
        <v>1682975.6527668999</v>
      </c>
      <c r="E33">
        <v>-15237.989927100018</v>
      </c>
      <c r="F33">
        <v>1.0353818369853318</v>
      </c>
      <c r="G33">
        <v>1.6</v>
      </c>
      <c r="H33">
        <v>219.26537241895031</v>
      </c>
      <c r="I33">
        <v>213</v>
      </c>
      <c r="J33">
        <v>-0.50124181344577556</v>
      </c>
      <c r="K33">
        <v>-0.8653072543632061</v>
      </c>
      <c r="L33">
        <v>524269.63406137016</v>
      </c>
      <c r="M33">
        <v>814190.42860791693</v>
      </c>
      <c r="N33">
        <v>693172.30903480761</v>
      </c>
      <c r="O33">
        <v>618651.26273834216</v>
      </c>
      <c r="P33">
        <v>247151.60437672501</v>
      </c>
      <c r="Q33">
        <v>26.8</v>
      </c>
      <c r="R33">
        <v>83.6</v>
      </c>
      <c r="S33">
        <v>210.60000000000002</v>
      </c>
      <c r="T33">
        <v>571739.51775906922</v>
      </c>
      <c r="U33">
        <v>15019.2</v>
      </c>
      <c r="V33">
        <v>532765.63459999999</v>
      </c>
      <c r="W33">
        <v>15019.2</v>
      </c>
      <c r="X33">
        <v>793364.09120000002</v>
      </c>
      <c r="Y33">
        <v>15019.2</v>
      </c>
      <c r="Z33">
        <v>704819.84439999994</v>
      </c>
      <c r="AA33">
        <v>3.6779999999999999</v>
      </c>
      <c r="AB33">
        <v>9.6340000000000003</v>
      </c>
      <c r="AC33">
        <v>12.491</v>
      </c>
      <c r="AD33">
        <v>25.803000000000001</v>
      </c>
      <c r="AE33">
        <v>12.491</v>
      </c>
      <c r="AF33">
        <v>279414.65755679697</v>
      </c>
      <c r="AG33">
        <v>177123.0132425187</v>
      </c>
      <c r="AH33">
        <v>95934.478331860097</v>
      </c>
    </row>
    <row r="34" spans="1:34">
      <c r="A34">
        <v>45871</v>
      </c>
      <c r="B34">
        <v>279414.65755679697</v>
      </c>
      <c r="C34">
        <v>489.70400000000001</v>
      </c>
      <c r="D34">
        <v>1673851.7406957999</v>
      </c>
      <c r="E34">
        <v>-9123.9120710999705</v>
      </c>
      <c r="F34">
        <v>1.0297687237919608</v>
      </c>
      <c r="G34">
        <v>0</v>
      </c>
      <c r="H34">
        <v>208.30210379800278</v>
      </c>
      <c r="I34">
        <v>214</v>
      </c>
      <c r="J34">
        <v>-0.51606239101585261</v>
      </c>
      <c r="K34">
        <v>-0.8565509959010037</v>
      </c>
      <c r="L34">
        <v>376758.49060792051</v>
      </c>
      <c r="M34">
        <v>524269.63406137016</v>
      </c>
      <c r="N34">
        <v>814190.42860791693</v>
      </c>
      <c r="O34">
        <v>482554.30601834954</v>
      </c>
      <c r="P34">
        <v>142706.71852408364</v>
      </c>
      <c r="Q34">
        <v>2</v>
      </c>
      <c r="R34">
        <v>77.599999999999994</v>
      </c>
      <c r="S34">
        <v>210.60000000000002</v>
      </c>
      <c r="T34">
        <v>393480.92740869586</v>
      </c>
      <c r="U34">
        <v>15019.2</v>
      </c>
      <c r="V34">
        <v>376292.07880000002</v>
      </c>
      <c r="W34">
        <v>15019.2</v>
      </c>
      <c r="X34">
        <v>532765.63459999999</v>
      </c>
      <c r="Y34">
        <v>15019.2</v>
      </c>
      <c r="Z34">
        <v>793364.09120000002</v>
      </c>
      <c r="AA34">
        <v>9.6340000000000003</v>
      </c>
      <c r="AB34">
        <v>12.491</v>
      </c>
      <c r="AC34">
        <v>6.6740000000000004</v>
      </c>
      <c r="AD34">
        <v>28.798999999999999</v>
      </c>
      <c r="AE34">
        <v>12.491</v>
      </c>
      <c r="AF34">
        <v>177123.0132425187</v>
      </c>
      <c r="AG34">
        <v>95934.478331860097</v>
      </c>
      <c r="AH34">
        <v>32089.468438052176</v>
      </c>
    </row>
    <row r="35" spans="1:34">
      <c r="A35">
        <v>45872</v>
      </c>
      <c r="B35">
        <v>177123.0132425187</v>
      </c>
      <c r="C35">
        <v>489.66</v>
      </c>
      <c r="D35">
        <v>1661708.0167959</v>
      </c>
      <c r="E35">
        <v>-12143.723899899982</v>
      </c>
      <c r="F35">
        <v>1.0222977950600747</v>
      </c>
      <c r="G35">
        <v>0</v>
      </c>
      <c r="H35">
        <v>197.88699860810263</v>
      </c>
      <c r="I35">
        <v>215</v>
      </c>
      <c r="J35">
        <v>-0.53073004816193314</v>
      </c>
      <c r="K35">
        <v>-0.84754092289283123</v>
      </c>
      <c r="L35">
        <v>279414.65755679697</v>
      </c>
      <c r="M35">
        <v>376758.49060792051</v>
      </c>
      <c r="N35">
        <v>524269.63406137016</v>
      </c>
      <c r="O35">
        <v>569451.16057343001</v>
      </c>
      <c r="P35">
        <v>99633.96164875057</v>
      </c>
      <c r="Q35">
        <v>1.6</v>
      </c>
      <c r="R35">
        <v>77.599999999999994</v>
      </c>
      <c r="S35">
        <v>210.60000000000002</v>
      </c>
      <c r="T35">
        <v>277765.38713574543</v>
      </c>
      <c r="U35">
        <v>15019.2</v>
      </c>
      <c r="V35">
        <v>272348.99449999997</v>
      </c>
      <c r="W35">
        <v>15019.2</v>
      </c>
      <c r="X35">
        <v>376292.07880000002</v>
      </c>
      <c r="Y35">
        <v>15019.2</v>
      </c>
      <c r="Z35">
        <v>532765.63459999999</v>
      </c>
      <c r="AA35">
        <v>12.491</v>
      </c>
      <c r="AB35">
        <v>6.6740000000000004</v>
      </c>
      <c r="AC35">
        <v>5.9420000000000002</v>
      </c>
      <c r="AD35">
        <v>25.106999999999999</v>
      </c>
      <c r="AE35">
        <v>12.491</v>
      </c>
      <c r="AF35">
        <v>95934.478331860097</v>
      </c>
      <c r="AG35">
        <v>32089.468438052176</v>
      </c>
      <c r="AH35">
        <v>7940.2258578997953</v>
      </c>
    </row>
    <row r="36" spans="1:34">
      <c r="A36">
        <v>45873</v>
      </c>
      <c r="B36">
        <v>95934.478331860097</v>
      </c>
      <c r="C36">
        <v>489.62</v>
      </c>
      <c r="D36">
        <v>1649588.4715396999</v>
      </c>
      <c r="E36">
        <v>-12119.545256200014</v>
      </c>
      <c r="F36">
        <v>1.0148417412483863</v>
      </c>
      <c r="G36">
        <v>0</v>
      </c>
      <c r="H36">
        <v>187.9926486776975</v>
      </c>
      <c r="I36">
        <v>216</v>
      </c>
      <c r="J36">
        <v>-0.54524043854065074</v>
      </c>
      <c r="K36">
        <v>-0.83827970521777451</v>
      </c>
      <c r="L36">
        <v>177123.0132425187</v>
      </c>
      <c r="M36">
        <v>279414.65755679697</v>
      </c>
      <c r="N36">
        <v>376758.49060792051</v>
      </c>
      <c r="O36">
        <v>1013858.9276642874</v>
      </c>
      <c r="P36">
        <v>81725.689460714595</v>
      </c>
      <c r="Q36">
        <v>0</v>
      </c>
      <c r="R36">
        <v>27.2</v>
      </c>
      <c r="S36">
        <v>190.8</v>
      </c>
      <c r="T36">
        <v>184157.38304372528</v>
      </c>
      <c r="U36">
        <v>15019.2</v>
      </c>
      <c r="V36">
        <v>173079.52970000001</v>
      </c>
      <c r="W36">
        <v>15019.2</v>
      </c>
      <c r="X36">
        <v>272348.99449999997</v>
      </c>
      <c r="Y36">
        <v>15019.2</v>
      </c>
      <c r="Z36">
        <v>376292.07880000002</v>
      </c>
      <c r="AA36">
        <v>6.6740000000000004</v>
      </c>
      <c r="AB36">
        <v>5.9420000000000002</v>
      </c>
      <c r="AC36">
        <v>9.8949999999999996</v>
      </c>
      <c r="AD36">
        <v>22.510999999999999</v>
      </c>
      <c r="AE36">
        <v>9.8949999999999996</v>
      </c>
      <c r="AF36">
        <v>32089.468438052176</v>
      </c>
      <c r="AG36">
        <v>7940.2258578997953</v>
      </c>
      <c r="AH36">
        <v>4150.6586277247634</v>
      </c>
    </row>
    <row r="37" spans="1:34">
      <c r="A37">
        <v>45874</v>
      </c>
      <c r="B37">
        <v>32089.468438052176</v>
      </c>
      <c r="C37">
        <v>489.58300000000003</v>
      </c>
      <c r="D37">
        <v>1637507.2197397</v>
      </c>
      <c r="E37">
        <v>-12081.251799999969</v>
      </c>
      <c r="F37">
        <v>1.0074092459171549</v>
      </c>
      <c r="G37">
        <v>0</v>
      </c>
      <c r="H37">
        <v>178.59301624381263</v>
      </c>
      <c r="I37">
        <v>217</v>
      </c>
      <c r="J37">
        <v>-0.55958926241017626</v>
      </c>
      <c r="K37">
        <v>-0.82877008717450396</v>
      </c>
      <c r="L37">
        <v>95934.478331860097</v>
      </c>
      <c r="M37">
        <v>177123.0132425187</v>
      </c>
      <c r="N37">
        <v>279414.65755679697</v>
      </c>
      <c r="O37">
        <v>693172.30903480761</v>
      </c>
      <c r="P37">
        <v>54196.434514176217</v>
      </c>
      <c r="Q37">
        <v>0</v>
      </c>
      <c r="R37">
        <v>26.8</v>
      </c>
      <c r="S37">
        <v>190.8</v>
      </c>
      <c r="T37">
        <v>101715.65333747699</v>
      </c>
      <c r="U37">
        <v>15019.2</v>
      </c>
      <c r="V37">
        <v>91869.173120000007</v>
      </c>
      <c r="W37">
        <v>15019.2</v>
      </c>
      <c r="X37">
        <v>173079.52970000001</v>
      </c>
      <c r="Y37">
        <v>15019.2</v>
      </c>
      <c r="Z37">
        <v>272348.99449999997</v>
      </c>
      <c r="AA37">
        <v>5.9420000000000002</v>
      </c>
      <c r="AB37">
        <v>9.8949999999999996</v>
      </c>
      <c r="AC37">
        <v>4.4790000000000001</v>
      </c>
      <c r="AD37">
        <v>20.315999999999999</v>
      </c>
      <c r="AE37">
        <v>9.8949999999999996</v>
      </c>
      <c r="AF37">
        <v>7940.2258578997953</v>
      </c>
      <c r="AG37">
        <v>4150.6586277247634</v>
      </c>
      <c r="AH37">
        <v>6751.3854260954186</v>
      </c>
    </row>
    <row r="38" spans="1:34">
      <c r="A38">
        <v>45875</v>
      </c>
      <c r="B38">
        <v>7940.2258578997953</v>
      </c>
      <c r="C38">
        <v>489.55099999999999</v>
      </c>
      <c r="D38">
        <v>1628472.3057532001</v>
      </c>
      <c r="E38">
        <v>-9034.913986499887</v>
      </c>
      <c r="F38">
        <v>1.0018508851500414</v>
      </c>
      <c r="G38">
        <v>2</v>
      </c>
      <c r="H38">
        <v>171.663365431622</v>
      </c>
      <c r="I38">
        <v>218</v>
      </c>
      <c r="J38">
        <v>-0.57377226790432434</v>
      </c>
      <c r="K38">
        <v>-0.8190148866680802</v>
      </c>
      <c r="L38">
        <v>32089.468438052176</v>
      </c>
      <c r="M38">
        <v>95934.478331860097</v>
      </c>
      <c r="N38">
        <v>177123.0132425187</v>
      </c>
      <c r="O38">
        <v>814190.42860791693</v>
      </c>
      <c r="P38">
        <v>1408228.320329851</v>
      </c>
      <c r="Q38">
        <v>2</v>
      </c>
      <c r="R38">
        <v>4</v>
      </c>
      <c r="S38">
        <v>134.20000000000002</v>
      </c>
      <c r="T38">
        <v>45321.390875937359</v>
      </c>
      <c r="U38">
        <v>15019.2</v>
      </c>
      <c r="V38">
        <v>27990.863140000001</v>
      </c>
      <c r="W38">
        <v>15019.2</v>
      </c>
      <c r="X38">
        <v>91869.173120000007</v>
      </c>
      <c r="Y38">
        <v>15019.2</v>
      </c>
      <c r="Z38">
        <v>173079.52970000001</v>
      </c>
      <c r="AA38">
        <v>9.8949999999999996</v>
      </c>
      <c r="AB38">
        <v>4.4790000000000001</v>
      </c>
      <c r="AC38">
        <v>30.931999999999999</v>
      </c>
      <c r="AD38">
        <v>45.305999999999997</v>
      </c>
      <c r="AE38">
        <v>30.931999999999999</v>
      </c>
      <c r="AF38">
        <v>4150.6586277247634</v>
      </c>
      <c r="AG38">
        <v>6751.3854260954186</v>
      </c>
      <c r="AH38">
        <v>6105.1441541046324</v>
      </c>
    </row>
    <row r="39" spans="1:34">
      <c r="A39">
        <v>45876</v>
      </c>
      <c r="B39">
        <v>4150.6586277247634</v>
      </c>
      <c r="C39">
        <v>489.517</v>
      </c>
      <c r="D39">
        <v>1616447.3000027</v>
      </c>
      <c r="E39">
        <v>-12025.005750500131</v>
      </c>
      <c r="F39">
        <v>0.99445299289696998</v>
      </c>
      <c r="G39">
        <v>0</v>
      </c>
      <c r="H39">
        <v>163.08019716004088</v>
      </c>
      <c r="I39">
        <v>219</v>
      </c>
      <c r="J39">
        <v>-0.58778525229247336</v>
      </c>
      <c r="K39">
        <v>-0.80901699437494723</v>
      </c>
      <c r="L39">
        <v>7940.2258578997953</v>
      </c>
      <c r="M39">
        <v>32089.468438052176</v>
      </c>
      <c r="N39">
        <v>95934.478331860097</v>
      </c>
      <c r="O39">
        <v>524269.63406137016</v>
      </c>
      <c r="P39">
        <v>1123235.0312024173</v>
      </c>
      <c r="Q39">
        <v>2</v>
      </c>
      <c r="R39">
        <v>3.6</v>
      </c>
      <c r="S39">
        <v>94.4</v>
      </c>
      <c r="T39">
        <v>14726.784307892245</v>
      </c>
      <c r="U39">
        <v>15019.2</v>
      </c>
      <c r="V39">
        <v>1398.950652</v>
      </c>
      <c r="W39">
        <v>15019.2</v>
      </c>
      <c r="X39">
        <v>27990.863140000001</v>
      </c>
      <c r="Y39">
        <v>15019.2</v>
      </c>
      <c r="Z39">
        <v>91869.173120000007</v>
      </c>
      <c r="AA39">
        <v>4.4790000000000001</v>
      </c>
      <c r="AB39">
        <v>30.931999999999999</v>
      </c>
      <c r="AC39">
        <v>6.6890000000000001</v>
      </c>
      <c r="AD39">
        <v>42.1</v>
      </c>
      <c r="AE39">
        <v>30.931999999999999</v>
      </c>
      <c r="AF39">
        <v>6751.3854260954186</v>
      </c>
      <c r="AG39">
        <v>6105.1441541046324</v>
      </c>
      <c r="AH39">
        <v>7134.9206135948634</v>
      </c>
    </row>
    <row r="40" spans="1:34">
      <c r="A40">
        <v>45877</v>
      </c>
      <c r="B40">
        <v>6751.3854260954186</v>
      </c>
      <c r="C40">
        <v>489.48599999999999</v>
      </c>
      <c r="D40">
        <v>1607444.5930314001</v>
      </c>
      <c r="E40">
        <v>-9002.7069712998345</v>
      </c>
      <c r="F40">
        <v>0.98891444617678392</v>
      </c>
      <c r="G40">
        <v>1.4</v>
      </c>
      <c r="H40">
        <v>156.32618730203885</v>
      </c>
      <c r="I40">
        <v>220</v>
      </c>
      <c r="J40">
        <v>-0.60162406322492268</v>
      </c>
      <c r="K40">
        <v>-0.7987793728863648</v>
      </c>
      <c r="L40">
        <v>4150.6586277247634</v>
      </c>
      <c r="M40">
        <v>7940.2258578997953</v>
      </c>
      <c r="N40">
        <v>32089.468438052176</v>
      </c>
      <c r="O40">
        <v>376758.49060792051</v>
      </c>
      <c r="P40">
        <v>618651.26273834216</v>
      </c>
      <c r="Q40">
        <v>3.4</v>
      </c>
      <c r="R40">
        <v>3.4</v>
      </c>
      <c r="S40">
        <v>87</v>
      </c>
      <c r="T40">
        <v>6280.7566372399924</v>
      </c>
      <c r="U40">
        <v>15019.2</v>
      </c>
      <c r="V40">
        <v>0</v>
      </c>
      <c r="W40">
        <v>15019.2</v>
      </c>
      <c r="X40">
        <v>1398.950652</v>
      </c>
      <c r="Y40">
        <v>15019.2</v>
      </c>
      <c r="Z40">
        <v>27990.863140000001</v>
      </c>
      <c r="AA40">
        <v>30.931999999999999</v>
      </c>
      <c r="AB40">
        <v>6.6890000000000001</v>
      </c>
      <c r="AC40">
        <v>6.0970000000000004</v>
      </c>
      <c r="AD40">
        <v>43.717999999999996</v>
      </c>
      <c r="AE40">
        <v>30.931999999999999</v>
      </c>
      <c r="AF40">
        <v>6105.1441541046324</v>
      </c>
      <c r="AG40">
        <v>7134.9206135948634</v>
      </c>
      <c r="AH40">
        <v>4248.5923766174883</v>
      </c>
    </row>
    <row r="41" spans="1:34">
      <c r="A41">
        <v>45878</v>
      </c>
      <c r="B41">
        <v>6105.1441541046324</v>
      </c>
      <c r="C41">
        <v>489.45400000000001</v>
      </c>
      <c r="D41">
        <v>1598455.4724355999</v>
      </c>
      <c r="E41">
        <v>-8989.1205958002247</v>
      </c>
      <c r="F41">
        <v>0.98338425791763662</v>
      </c>
      <c r="G41">
        <v>3.6</v>
      </c>
      <c r="H41">
        <v>152.1098779369369</v>
      </c>
      <c r="I41">
        <v>221</v>
      </c>
      <c r="J41">
        <v>-0.61528459996332774</v>
      </c>
      <c r="K41">
        <v>-0.78830505583052535</v>
      </c>
      <c r="L41">
        <v>6751.3854260954186</v>
      </c>
      <c r="M41">
        <v>4150.6586277247634</v>
      </c>
      <c r="N41">
        <v>7940.2258578997953</v>
      </c>
      <c r="O41">
        <v>279414.65755679697</v>
      </c>
      <c r="P41">
        <v>482554.30601834954</v>
      </c>
      <c r="Q41">
        <v>5</v>
      </c>
      <c r="R41">
        <v>7</v>
      </c>
      <c r="S41">
        <v>84.6</v>
      </c>
      <c r="T41">
        <v>5669.0627359749378</v>
      </c>
      <c r="U41">
        <v>15019.2</v>
      </c>
      <c r="V41">
        <v>0</v>
      </c>
      <c r="W41">
        <v>15019.2</v>
      </c>
      <c r="X41">
        <v>0</v>
      </c>
      <c r="Y41">
        <v>15019.2</v>
      </c>
      <c r="Z41">
        <v>1398.950652</v>
      </c>
      <c r="AA41">
        <v>6.6890000000000001</v>
      </c>
      <c r="AB41">
        <v>6.0970000000000004</v>
      </c>
      <c r="AC41">
        <v>3.68</v>
      </c>
      <c r="AD41">
        <v>16.466000000000001</v>
      </c>
      <c r="AE41">
        <v>6.6890000000000001</v>
      </c>
      <c r="AF41">
        <v>7134.9206135948634</v>
      </c>
      <c r="AG41">
        <v>4248.5923766174883</v>
      </c>
      <c r="AH41">
        <v>13195.054832284008</v>
      </c>
    </row>
    <row r="42" spans="1:34">
      <c r="A42">
        <v>45879</v>
      </c>
      <c r="B42">
        <v>7134.9206135948634</v>
      </c>
      <c r="C42">
        <v>489.42099999999999</v>
      </c>
      <c r="D42">
        <v>1589479.7778056001</v>
      </c>
      <c r="E42">
        <v>-8975.694629999809</v>
      </c>
      <c r="F42">
        <v>0.97786232943403084</v>
      </c>
      <c r="G42">
        <v>0.2</v>
      </c>
      <c r="H42">
        <v>144.70438404009005</v>
      </c>
      <c r="I42">
        <v>222</v>
      </c>
      <c r="J42">
        <v>-0.6287628145958345</v>
      </c>
      <c r="K42">
        <v>-0.77759714697362681</v>
      </c>
      <c r="L42">
        <v>6105.1441541046324</v>
      </c>
      <c r="M42">
        <v>6751.3854260954186</v>
      </c>
      <c r="N42">
        <v>4150.6586277247634</v>
      </c>
      <c r="O42">
        <v>177123.0132425187</v>
      </c>
      <c r="P42">
        <v>569451.16057343001</v>
      </c>
      <c r="Q42">
        <v>5.2</v>
      </c>
      <c r="R42">
        <v>7.2</v>
      </c>
      <c r="S42">
        <v>84.8</v>
      </c>
      <c r="T42">
        <v>6663.8167312649712</v>
      </c>
      <c r="U42">
        <v>15019.2</v>
      </c>
      <c r="V42">
        <v>0</v>
      </c>
      <c r="W42">
        <v>15019.2</v>
      </c>
      <c r="X42">
        <v>0</v>
      </c>
      <c r="Y42">
        <v>15019.2</v>
      </c>
      <c r="Z42">
        <v>0</v>
      </c>
      <c r="AA42">
        <v>6.0970000000000004</v>
      </c>
      <c r="AB42">
        <v>3.68</v>
      </c>
      <c r="AC42">
        <v>8.3989999999999991</v>
      </c>
      <c r="AD42">
        <v>18.176000000000002</v>
      </c>
      <c r="AE42">
        <v>8.3989999999999991</v>
      </c>
      <c r="AF42">
        <v>4248.5923766174883</v>
      </c>
      <c r="AG42">
        <v>13195.054832284008</v>
      </c>
      <c r="AH42">
        <v>58290.831188900927</v>
      </c>
    </row>
    <row r="43" spans="1:34">
      <c r="A43">
        <v>45880</v>
      </c>
      <c r="B43">
        <v>4248.5923766174883</v>
      </c>
      <c r="C43">
        <v>489.38299999999998</v>
      </c>
      <c r="D43">
        <v>1577566.834908</v>
      </c>
      <c r="E43">
        <v>-11912.942897600122</v>
      </c>
      <c r="F43">
        <v>0.97053337926119854</v>
      </c>
      <c r="G43">
        <v>0</v>
      </c>
      <c r="H43">
        <v>137.46916483808553</v>
      </c>
      <c r="I43">
        <v>223</v>
      </c>
      <c r="J43">
        <v>-0.6420547132365636</v>
      </c>
      <c r="K43">
        <v>-0.76665881930015922</v>
      </c>
      <c r="L43">
        <v>7134.9206135948634</v>
      </c>
      <c r="M43">
        <v>6105.1441541046324</v>
      </c>
      <c r="N43">
        <v>6751.3854260954186</v>
      </c>
      <c r="O43">
        <v>95934.478331860097</v>
      </c>
      <c r="P43">
        <v>1013858.9276642874</v>
      </c>
      <c r="Q43">
        <v>3.8000000000000003</v>
      </c>
      <c r="R43">
        <v>7.2</v>
      </c>
      <c r="S43">
        <v>34.4</v>
      </c>
      <c r="T43">
        <v>5829.5523814389953</v>
      </c>
      <c r="U43">
        <v>15019.2</v>
      </c>
      <c r="V43">
        <v>0</v>
      </c>
      <c r="W43">
        <v>15019.2</v>
      </c>
      <c r="X43">
        <v>0</v>
      </c>
      <c r="Y43">
        <v>15019.2</v>
      </c>
      <c r="Z43">
        <v>0</v>
      </c>
      <c r="AA43">
        <v>3.68</v>
      </c>
      <c r="AB43">
        <v>8.3989999999999991</v>
      </c>
      <c r="AC43">
        <v>10.891999999999999</v>
      </c>
      <c r="AD43">
        <v>22.970999999999997</v>
      </c>
      <c r="AE43">
        <v>10.891999999999999</v>
      </c>
      <c r="AF43">
        <v>13195.054832284008</v>
      </c>
      <c r="AG43">
        <v>58290.831188900927</v>
      </c>
      <c r="AH43">
        <v>98994.809420294972</v>
      </c>
    </row>
    <row r="44" spans="1:34">
      <c r="A44">
        <v>45881</v>
      </c>
      <c r="B44">
        <v>13195.054832284008</v>
      </c>
      <c r="C44">
        <v>489.37099999999998</v>
      </c>
      <c r="D44">
        <v>1574601.0268989</v>
      </c>
      <c r="E44">
        <v>-2965.8080090999138</v>
      </c>
      <c r="F44">
        <v>0.96870878736079924</v>
      </c>
      <c r="G44">
        <v>0</v>
      </c>
      <c r="H44">
        <v>130.59570659618126</v>
      </c>
      <c r="I44">
        <v>224</v>
      </c>
      <c r="J44">
        <v>-0.65515635720908505</v>
      </c>
      <c r="K44">
        <v>-0.75549331407268039</v>
      </c>
      <c r="L44">
        <v>4248.5923766174883</v>
      </c>
      <c r="M44">
        <v>7134.9206135948634</v>
      </c>
      <c r="N44">
        <v>6105.1441541046324</v>
      </c>
      <c r="O44">
        <v>32089.468438052176</v>
      </c>
      <c r="P44">
        <v>693172.30903480761</v>
      </c>
      <c r="Q44">
        <v>0.2</v>
      </c>
      <c r="R44">
        <v>7.2</v>
      </c>
      <c r="S44">
        <v>34</v>
      </c>
      <c r="T44">
        <v>8192.8559408321198</v>
      </c>
      <c r="U44">
        <v>15019.2</v>
      </c>
      <c r="V44">
        <v>0</v>
      </c>
      <c r="W44">
        <v>15019.2</v>
      </c>
      <c r="X44">
        <v>0</v>
      </c>
      <c r="Y44">
        <v>15019.2</v>
      </c>
      <c r="Z44">
        <v>0</v>
      </c>
      <c r="AA44">
        <v>8.3989999999999991</v>
      </c>
      <c r="AB44">
        <v>10.891999999999999</v>
      </c>
      <c r="AC44">
        <v>14.71</v>
      </c>
      <c r="AD44">
        <v>34.000999999999998</v>
      </c>
      <c r="AE44">
        <v>14.71</v>
      </c>
      <c r="AF44">
        <v>58290.831188900927</v>
      </c>
      <c r="AG44">
        <v>98994.809420294972</v>
      </c>
      <c r="AH44">
        <v>124187.95301213139</v>
      </c>
    </row>
    <row r="45" spans="1:34">
      <c r="A45">
        <v>45882</v>
      </c>
      <c r="B45">
        <v>58290.831188900927</v>
      </c>
      <c r="C45">
        <v>489.49200000000002</v>
      </c>
      <c r="D45">
        <v>1610444.0173448001</v>
      </c>
      <c r="E45">
        <v>35842.99044590001</v>
      </c>
      <c r="F45">
        <v>0.99075971913150607</v>
      </c>
      <c r="G45">
        <v>27</v>
      </c>
      <c r="H45">
        <v>151.06592126637219</v>
      </c>
      <c r="I45">
        <v>225</v>
      </c>
      <c r="J45">
        <v>-0.66806386421353325</v>
      </c>
      <c r="K45">
        <v>-0.74410393987136081</v>
      </c>
      <c r="L45">
        <v>13195.054832284008</v>
      </c>
      <c r="M45">
        <v>4248.5923766174883</v>
      </c>
      <c r="N45">
        <v>7134.9206135948634</v>
      </c>
      <c r="O45">
        <v>7940.2258578997953</v>
      </c>
      <c r="P45">
        <v>814190.42860791693</v>
      </c>
      <c r="Q45">
        <v>27</v>
      </c>
      <c r="R45">
        <v>32.200000000000003</v>
      </c>
      <c r="S45">
        <v>36.200000000000003</v>
      </c>
      <c r="T45">
        <v>25244.826132600807</v>
      </c>
      <c r="U45">
        <v>15019.2</v>
      </c>
      <c r="V45">
        <v>0</v>
      </c>
      <c r="W45">
        <v>15019.2</v>
      </c>
      <c r="X45">
        <v>0</v>
      </c>
      <c r="Y45">
        <v>15019.2</v>
      </c>
      <c r="Z45">
        <v>0</v>
      </c>
      <c r="AA45">
        <v>10.891999999999999</v>
      </c>
      <c r="AB45">
        <v>14.71</v>
      </c>
      <c r="AC45">
        <v>5.7759999999999998</v>
      </c>
      <c r="AD45">
        <v>31.378</v>
      </c>
      <c r="AE45">
        <v>14.71</v>
      </c>
      <c r="AF45">
        <v>98994.809420294972</v>
      </c>
      <c r="AG45">
        <v>124187.95301213139</v>
      </c>
      <c r="AH45">
        <v>677549.22951010696</v>
      </c>
    </row>
    <row r="46" spans="1:34">
      <c r="A46">
        <v>45883</v>
      </c>
      <c r="B46">
        <v>98994.809420294972</v>
      </c>
      <c r="C46">
        <v>489.60199999999998</v>
      </c>
      <c r="D46">
        <v>1643538.2164867001</v>
      </c>
      <c r="E46">
        <v>33094.199141900055</v>
      </c>
      <c r="F46">
        <v>1.0111195696407902</v>
      </c>
      <c r="G46">
        <v>11.6</v>
      </c>
      <c r="H46">
        <v>155.11262520305357</v>
      </c>
      <c r="I46">
        <v>226</v>
      </c>
      <c r="J46">
        <v>-0.68077340947701603</v>
      </c>
      <c r="K46">
        <v>-0.73249407161357905</v>
      </c>
      <c r="L46">
        <v>58290.831188900927</v>
      </c>
      <c r="M46">
        <v>13195.054832284008</v>
      </c>
      <c r="N46">
        <v>4248.5923766174883</v>
      </c>
      <c r="O46">
        <v>4150.6586277247634</v>
      </c>
      <c r="P46">
        <v>524269.63406137016</v>
      </c>
      <c r="Q46">
        <v>38.6</v>
      </c>
      <c r="R46">
        <v>43.800000000000004</v>
      </c>
      <c r="S46">
        <v>47.4</v>
      </c>
      <c r="T46">
        <v>56826.898480493306</v>
      </c>
      <c r="U46">
        <v>15019.2</v>
      </c>
      <c r="V46">
        <v>14373.71314</v>
      </c>
      <c r="W46">
        <v>15019.2</v>
      </c>
      <c r="X46">
        <v>0</v>
      </c>
      <c r="Y46">
        <v>15019.2</v>
      </c>
      <c r="Z46">
        <v>0</v>
      </c>
      <c r="AA46">
        <v>14.71</v>
      </c>
      <c r="AB46">
        <v>5.7759999999999998</v>
      </c>
      <c r="AC46">
        <v>3.8290000000000002</v>
      </c>
      <c r="AD46">
        <v>24.315000000000001</v>
      </c>
      <c r="AE46">
        <v>14.71</v>
      </c>
      <c r="AF46">
        <v>124187.95301213139</v>
      </c>
      <c r="AG46">
        <v>677549.22951010696</v>
      </c>
      <c r="AH46">
        <v>986564.22054553858</v>
      </c>
    </row>
    <row r="47" spans="1:34">
      <c r="A47">
        <v>45884</v>
      </c>
      <c r="B47">
        <v>124187.95301213139</v>
      </c>
      <c r="C47">
        <v>489.577</v>
      </c>
      <c r="D47">
        <v>1634494.0165122999</v>
      </c>
      <c r="E47">
        <v>-9044.1999744002242</v>
      </c>
      <c r="F47">
        <v>1.0055554960499677</v>
      </c>
      <c r="G47">
        <v>4</v>
      </c>
      <c r="H47">
        <v>151.35699394290089</v>
      </c>
      <c r="I47">
        <v>227</v>
      </c>
      <c r="J47">
        <v>-0.69328122688697713</v>
      </c>
      <c r="K47">
        <v>-0.72066714955386146</v>
      </c>
      <c r="L47">
        <v>98994.809420294972</v>
      </c>
      <c r="M47">
        <v>58290.831188900927</v>
      </c>
      <c r="N47">
        <v>13195.054832284008</v>
      </c>
      <c r="O47">
        <v>6751.3854260954186</v>
      </c>
      <c r="P47">
        <v>376758.49060792051</v>
      </c>
      <c r="Q47">
        <v>42.6</v>
      </c>
      <c r="R47">
        <v>46.4</v>
      </c>
      <c r="S47">
        <v>49.800000000000004</v>
      </c>
      <c r="T47">
        <v>93824.531207109103</v>
      </c>
      <c r="U47">
        <v>15019.2</v>
      </c>
      <c r="V47">
        <v>53219.596149999998</v>
      </c>
      <c r="W47">
        <v>15019.2</v>
      </c>
      <c r="X47">
        <v>14373.71314</v>
      </c>
      <c r="Y47">
        <v>15019.2</v>
      </c>
      <c r="Z47">
        <v>0</v>
      </c>
      <c r="AA47">
        <v>5.7759999999999998</v>
      </c>
      <c r="AB47">
        <v>3.8290000000000002</v>
      </c>
      <c r="AC47">
        <v>11.381</v>
      </c>
      <c r="AD47">
        <v>20.986000000000001</v>
      </c>
      <c r="AE47">
        <v>11.381</v>
      </c>
      <c r="AF47">
        <v>677549.22951010696</v>
      </c>
      <c r="AG47">
        <v>986564.22054553858</v>
      </c>
      <c r="AH47">
        <v>659131.97695436364</v>
      </c>
    </row>
    <row r="48" spans="1:34">
      <c r="A48">
        <v>45885</v>
      </c>
      <c r="B48">
        <v>677549.22951010696</v>
      </c>
      <c r="C48">
        <v>489.69200000000001</v>
      </c>
      <c r="D48">
        <v>1670813.4823932</v>
      </c>
      <c r="E48">
        <v>36319.465880900156</v>
      </c>
      <c r="F48">
        <v>1.0278995598159937</v>
      </c>
      <c r="G48">
        <v>32.200000000000003</v>
      </c>
      <c r="H48">
        <v>175.98914424575582</v>
      </c>
      <c r="I48">
        <v>228</v>
      </c>
      <c r="J48">
        <v>-0.70558361010717741</v>
      </c>
      <c r="K48">
        <v>-0.70862667826446002</v>
      </c>
      <c r="L48">
        <v>124187.95301213139</v>
      </c>
      <c r="M48">
        <v>98994.809420294972</v>
      </c>
      <c r="N48">
        <v>58290.831188900927</v>
      </c>
      <c r="O48">
        <v>6105.1441541046324</v>
      </c>
      <c r="P48">
        <v>279414.65755679697</v>
      </c>
      <c r="Q48">
        <v>47.800000000000004</v>
      </c>
      <c r="R48">
        <v>75</v>
      </c>
      <c r="S48">
        <v>82</v>
      </c>
      <c r="T48">
        <v>300243.99731417774</v>
      </c>
      <c r="U48">
        <v>15019.2</v>
      </c>
      <c r="V48">
        <v>118257.8576</v>
      </c>
      <c r="W48">
        <v>15019.2</v>
      </c>
      <c r="X48">
        <v>53219.596149999998</v>
      </c>
      <c r="Y48">
        <v>15019.2</v>
      </c>
      <c r="Z48">
        <v>14373.71314</v>
      </c>
      <c r="AA48">
        <v>3.8290000000000002</v>
      </c>
      <c r="AB48">
        <v>11.381</v>
      </c>
      <c r="AC48">
        <v>5.992</v>
      </c>
      <c r="AD48">
        <v>21.202000000000002</v>
      </c>
      <c r="AE48">
        <v>11.381</v>
      </c>
      <c r="AF48">
        <v>986564.22054553858</v>
      </c>
      <c r="AG48">
        <v>659131.97695436364</v>
      </c>
      <c r="AH48">
        <v>412548.03222377884</v>
      </c>
    </row>
    <row r="49" spans="1:34">
      <c r="A49">
        <v>45886</v>
      </c>
      <c r="B49">
        <v>986564.22054553858</v>
      </c>
      <c r="C49">
        <v>489.88</v>
      </c>
      <c r="D49">
        <v>1728897.6614808999</v>
      </c>
      <c r="E49">
        <v>58084.179087699857</v>
      </c>
      <c r="F49">
        <v>1.0636334719167038</v>
      </c>
      <c r="G49">
        <v>47.2</v>
      </c>
      <c r="H49">
        <v>214.38968703346802</v>
      </c>
      <c r="I49">
        <v>229</v>
      </c>
      <c r="J49">
        <v>-0.71767691367596154</v>
      </c>
      <c r="K49">
        <v>-0.69637622559687262</v>
      </c>
      <c r="L49">
        <v>677549.22951010696</v>
      </c>
      <c r="M49">
        <v>124187.95301213139</v>
      </c>
      <c r="N49">
        <v>98994.809420294972</v>
      </c>
      <c r="O49">
        <v>7134.9206135948634</v>
      </c>
      <c r="P49">
        <v>177123.0132425187</v>
      </c>
      <c r="Q49">
        <v>83.4</v>
      </c>
      <c r="R49">
        <v>122.00000000000001</v>
      </c>
      <c r="S49">
        <v>129.19999999999999</v>
      </c>
      <c r="T49">
        <v>596100.46768925898</v>
      </c>
      <c r="U49">
        <v>15019.2</v>
      </c>
      <c r="V49">
        <v>634821.46479999996</v>
      </c>
      <c r="W49">
        <v>15019.2</v>
      </c>
      <c r="X49">
        <v>118257.8576</v>
      </c>
      <c r="Y49">
        <v>15019.2</v>
      </c>
      <c r="Z49">
        <v>53219.596149999998</v>
      </c>
      <c r="AA49">
        <v>11.381</v>
      </c>
      <c r="AB49">
        <v>5.992</v>
      </c>
      <c r="AC49">
        <v>17.663</v>
      </c>
      <c r="AD49">
        <v>35.036000000000001</v>
      </c>
      <c r="AE49">
        <v>17.663</v>
      </c>
      <c r="AF49">
        <v>659131.97695436364</v>
      </c>
      <c r="AG49">
        <v>412548.03222377884</v>
      </c>
      <c r="AH49">
        <v>273036.44452348823</v>
      </c>
    </row>
    <row r="50" spans="1:34">
      <c r="A50">
        <v>45887</v>
      </c>
      <c r="B50">
        <v>659131.97695436364</v>
      </c>
      <c r="C50">
        <v>489.83300000000003</v>
      </c>
      <c r="D50">
        <v>1713524.2337388999</v>
      </c>
      <c r="E50">
        <v>-15373.427741999971</v>
      </c>
      <c r="F50">
        <v>1.0541756001821339</v>
      </c>
      <c r="G50">
        <v>10.6</v>
      </c>
      <c r="H50">
        <v>214.27020268179461</v>
      </c>
      <c r="I50">
        <v>230</v>
      </c>
      <c r="J50">
        <v>-0.72955755408648759</v>
      </c>
      <c r="K50">
        <v>-0.6839194216246105</v>
      </c>
      <c r="L50">
        <v>986564.22054553858</v>
      </c>
      <c r="M50">
        <v>677549.22951010696</v>
      </c>
      <c r="N50">
        <v>124187.95301213139</v>
      </c>
      <c r="O50">
        <v>4248.5923766174883</v>
      </c>
      <c r="P50">
        <v>95934.478331860097</v>
      </c>
      <c r="Q50">
        <v>90</v>
      </c>
      <c r="R50">
        <v>132.60000000000002</v>
      </c>
      <c r="S50">
        <v>139.79999999999998</v>
      </c>
      <c r="T50">
        <v>774415.14233666973</v>
      </c>
      <c r="U50">
        <v>15019.2</v>
      </c>
      <c r="V50">
        <v>926807.14509999997</v>
      </c>
      <c r="W50">
        <v>15019.2</v>
      </c>
      <c r="X50">
        <v>634821.46479999996</v>
      </c>
      <c r="Y50">
        <v>15019.2</v>
      </c>
      <c r="Z50">
        <v>118257.8576</v>
      </c>
      <c r="AA50">
        <v>5.992</v>
      </c>
      <c r="AB50">
        <v>17.663</v>
      </c>
      <c r="AC50">
        <v>4.5309999999999997</v>
      </c>
      <c r="AD50">
        <v>28.186</v>
      </c>
      <c r="AE50">
        <v>17.663</v>
      </c>
      <c r="AF50">
        <v>412548.03222377884</v>
      </c>
      <c r="AG50">
        <v>273036.44452348823</v>
      </c>
      <c r="AH50">
        <v>180929.54104251869</v>
      </c>
    </row>
    <row r="51" spans="1:34">
      <c r="A51">
        <v>45888</v>
      </c>
      <c r="B51">
        <v>412548.03222377884</v>
      </c>
      <c r="C51">
        <v>489.75700000000001</v>
      </c>
      <c r="D51">
        <v>1689066.0691295001</v>
      </c>
      <c r="E51">
        <v>-24458.164609399857</v>
      </c>
      <c r="F51">
        <v>1.0391287161936835</v>
      </c>
      <c r="G51">
        <v>0</v>
      </c>
      <c r="H51">
        <v>203.55669254770487</v>
      </c>
      <c r="I51">
        <v>231</v>
      </c>
      <c r="J51">
        <v>-0.74122201084859574</v>
      </c>
      <c r="K51">
        <v>-0.67125995756753154</v>
      </c>
      <c r="L51">
        <v>659131.97695436364</v>
      </c>
      <c r="M51">
        <v>986564.22054553858</v>
      </c>
      <c r="N51">
        <v>677549.22951010696</v>
      </c>
      <c r="O51">
        <v>13195.054832284008</v>
      </c>
      <c r="P51">
        <v>32089.468438052176</v>
      </c>
      <c r="Q51">
        <v>57.800000000000004</v>
      </c>
      <c r="R51">
        <v>132.60000000000002</v>
      </c>
      <c r="S51">
        <v>139.79999999999998</v>
      </c>
      <c r="T51">
        <v>686081.40990789363</v>
      </c>
      <c r="U51">
        <v>15019.2</v>
      </c>
      <c r="V51">
        <v>661558.46109999996</v>
      </c>
      <c r="W51">
        <v>15019.2</v>
      </c>
      <c r="X51">
        <v>926807.14509999997</v>
      </c>
      <c r="Y51">
        <v>15019.2</v>
      </c>
      <c r="Z51">
        <v>634821.46479999996</v>
      </c>
      <c r="AA51">
        <v>17.663</v>
      </c>
      <c r="AB51">
        <v>4.5309999999999997</v>
      </c>
      <c r="AC51">
        <v>6.98</v>
      </c>
      <c r="AD51">
        <v>29.173999999999999</v>
      </c>
      <c r="AE51">
        <v>17.663</v>
      </c>
      <c r="AF51">
        <v>273036.44452348823</v>
      </c>
      <c r="AG51">
        <v>180929.54104251869</v>
      </c>
      <c r="AH51">
        <v>166176.7553640838</v>
      </c>
    </row>
    <row r="52" spans="1:34">
      <c r="A52">
        <v>45889</v>
      </c>
      <c r="B52">
        <v>273036.44452348823</v>
      </c>
      <c r="C52">
        <v>489.70499999999998</v>
      </c>
      <c r="D52">
        <v>1673851.7406957999</v>
      </c>
      <c r="E52">
        <v>-15214.328433700139</v>
      </c>
      <c r="F52">
        <v>1.0297687237919608</v>
      </c>
      <c r="G52">
        <v>0.8</v>
      </c>
      <c r="H52">
        <v>194.17885792031962</v>
      </c>
      <c r="I52">
        <v>232</v>
      </c>
      <c r="J52">
        <v>-0.75266682753200831</v>
      </c>
      <c r="K52">
        <v>-0.65840158469804888</v>
      </c>
      <c r="L52">
        <v>412548.03222377884</v>
      </c>
      <c r="M52">
        <v>659131.97695436364</v>
      </c>
      <c r="N52">
        <v>986564.22054553858</v>
      </c>
      <c r="O52">
        <v>58290.831188900927</v>
      </c>
      <c r="P52">
        <v>7940.2258578997953</v>
      </c>
      <c r="Q52">
        <v>11.4</v>
      </c>
      <c r="R52">
        <v>106.39999999999999</v>
      </c>
      <c r="S52">
        <v>138.60000000000002</v>
      </c>
      <c r="T52">
        <v>448238.81790054357</v>
      </c>
      <c r="U52">
        <v>15019.2</v>
      </c>
      <c r="V52">
        <v>420813.59080000001</v>
      </c>
      <c r="W52">
        <v>15019.2</v>
      </c>
      <c r="X52">
        <v>661558.46109999996</v>
      </c>
      <c r="Y52">
        <v>15019.2</v>
      </c>
      <c r="Z52">
        <v>926807.14509999997</v>
      </c>
      <c r="AA52">
        <v>4.5309999999999997</v>
      </c>
      <c r="AB52">
        <v>6.98</v>
      </c>
      <c r="AC52">
        <v>8.3119999999999994</v>
      </c>
      <c r="AD52">
        <v>19.823</v>
      </c>
      <c r="AE52">
        <v>8.3119999999999994</v>
      </c>
      <c r="AF52">
        <v>180929.54104251869</v>
      </c>
      <c r="AG52">
        <v>166176.7553640838</v>
      </c>
      <c r="AH52">
        <v>178085.30122443952</v>
      </c>
    </row>
    <row r="53" spans="1:34">
      <c r="A53">
        <v>45890</v>
      </c>
      <c r="B53">
        <v>180929.54104251869</v>
      </c>
      <c r="C53">
        <v>489.666</v>
      </c>
      <c r="D53">
        <v>1661708.0167959</v>
      </c>
      <c r="E53">
        <v>-12143.723899899982</v>
      </c>
      <c r="F53">
        <v>1.0222977950600747</v>
      </c>
      <c r="G53">
        <v>0</v>
      </c>
      <c r="H53">
        <v>184.46991502430362</v>
      </c>
      <c r="I53">
        <v>233</v>
      </c>
      <c r="J53">
        <v>-0.76388861279054288</v>
      </c>
      <c r="K53">
        <v>-0.64534811322954999</v>
      </c>
      <c r="L53">
        <v>273036.44452348823</v>
      </c>
      <c r="M53">
        <v>412548.03222377884</v>
      </c>
      <c r="N53">
        <v>659131.97695436364</v>
      </c>
      <c r="O53">
        <v>98994.809420294972</v>
      </c>
      <c r="P53">
        <v>4150.6586277247634</v>
      </c>
      <c r="Q53">
        <v>0.8</v>
      </c>
      <c r="R53">
        <v>94.8</v>
      </c>
      <c r="S53">
        <v>138.60000000000002</v>
      </c>
      <c r="T53">
        <v>288838.00592992856</v>
      </c>
      <c r="U53">
        <v>15019.2</v>
      </c>
      <c r="V53">
        <v>272304.3187</v>
      </c>
      <c r="W53">
        <v>15019.2</v>
      </c>
      <c r="X53">
        <v>420813.59080000001</v>
      </c>
      <c r="Y53">
        <v>15019.2</v>
      </c>
      <c r="Z53">
        <v>661558.46109999996</v>
      </c>
      <c r="AA53">
        <v>6.98</v>
      </c>
      <c r="AB53">
        <v>8.3119999999999994</v>
      </c>
      <c r="AC53">
        <v>15.516</v>
      </c>
      <c r="AD53">
        <v>30.808</v>
      </c>
      <c r="AE53">
        <v>15.516</v>
      </c>
      <c r="AF53">
        <v>166176.7553640838</v>
      </c>
      <c r="AG53">
        <v>178085.30122443952</v>
      </c>
      <c r="AH53">
        <v>337514.60830241977</v>
      </c>
    </row>
    <row r="54" spans="1:34">
      <c r="A54">
        <v>45891</v>
      </c>
      <c r="B54">
        <v>166176.7553640838</v>
      </c>
      <c r="C54">
        <v>489.654</v>
      </c>
      <c r="D54">
        <v>1658675.7961466999</v>
      </c>
      <c r="E54">
        <v>-3032.2206492000259</v>
      </c>
      <c r="F54">
        <v>1.0204323455030642</v>
      </c>
      <c r="G54">
        <v>15.2</v>
      </c>
      <c r="H54">
        <v>190.44641927308842</v>
      </c>
      <c r="I54">
        <v>234</v>
      </c>
      <c r="J54">
        <v>-0.77488404136704059</v>
      </c>
      <c r="K54">
        <v>-0.63210341118734881</v>
      </c>
      <c r="L54">
        <v>180929.54104251869</v>
      </c>
      <c r="M54">
        <v>273036.44452348823</v>
      </c>
      <c r="N54">
        <v>412548.03222377884</v>
      </c>
      <c r="O54">
        <v>124187.95301213139</v>
      </c>
      <c r="P54">
        <v>6751.3854260954186</v>
      </c>
      <c r="Q54">
        <v>16</v>
      </c>
      <c r="R54">
        <v>106</v>
      </c>
      <c r="S54">
        <v>152.4</v>
      </c>
      <c r="T54">
        <v>206714.24697669689</v>
      </c>
      <c r="U54">
        <v>15019.2</v>
      </c>
      <c r="V54">
        <v>176886.0575</v>
      </c>
      <c r="W54">
        <v>15019.2</v>
      </c>
      <c r="X54">
        <v>272304.3187</v>
      </c>
      <c r="Y54">
        <v>15019.2</v>
      </c>
      <c r="Z54">
        <v>420813.59080000001</v>
      </c>
      <c r="AA54">
        <v>8.3119999999999994</v>
      </c>
      <c r="AB54">
        <v>15.516</v>
      </c>
      <c r="AC54">
        <v>12.992000000000001</v>
      </c>
      <c r="AD54">
        <v>36.82</v>
      </c>
      <c r="AE54">
        <v>15.516</v>
      </c>
      <c r="AF54">
        <v>178085.30122443952</v>
      </c>
      <c r="AG54">
        <v>337514.60830241977</v>
      </c>
      <c r="AH54">
        <v>215817.96342063436</v>
      </c>
    </row>
    <row r="55" spans="1:34">
      <c r="A55">
        <v>45892</v>
      </c>
      <c r="B55">
        <v>178085.30122443952</v>
      </c>
      <c r="C55">
        <v>489.63400000000001</v>
      </c>
      <c r="D55">
        <v>1652616.0060848999</v>
      </c>
      <c r="E55">
        <v>-6059.7900618000422</v>
      </c>
      <c r="F55">
        <v>1.0167043078718501</v>
      </c>
      <c r="G55">
        <v>13.4</v>
      </c>
      <c r="H55">
        <v>194.32409830943399</v>
      </c>
      <c r="I55">
        <v>235</v>
      </c>
      <c r="J55">
        <v>-0.78564985507871443</v>
      </c>
      <c r="K55">
        <v>-0.61867140326250325</v>
      </c>
      <c r="L55">
        <v>166176.7553640838</v>
      </c>
      <c r="M55">
        <v>180929.54104251869</v>
      </c>
      <c r="N55">
        <v>273036.44452348823</v>
      </c>
      <c r="O55">
        <v>677549.22951010696</v>
      </c>
      <c r="P55">
        <v>6105.1441541046324</v>
      </c>
      <c r="Q55">
        <v>28.6</v>
      </c>
      <c r="R55">
        <v>87.2</v>
      </c>
      <c r="S55">
        <v>162.20000000000002</v>
      </c>
      <c r="T55">
        <v>175063.865877014</v>
      </c>
      <c r="U55">
        <v>15019.2</v>
      </c>
      <c r="V55">
        <v>157630.1244</v>
      </c>
      <c r="W55">
        <v>15019.2</v>
      </c>
      <c r="X55">
        <v>176886.0575</v>
      </c>
      <c r="Y55">
        <v>15019.2</v>
      </c>
      <c r="Z55">
        <v>272304.3187</v>
      </c>
      <c r="AA55">
        <v>15.516</v>
      </c>
      <c r="AB55">
        <v>12.992000000000001</v>
      </c>
      <c r="AC55">
        <v>28.321000000000002</v>
      </c>
      <c r="AD55">
        <v>56.829000000000008</v>
      </c>
      <c r="AE55">
        <v>28.321000000000002</v>
      </c>
      <c r="AF55">
        <v>337514.60830241977</v>
      </c>
      <c r="AG55">
        <v>215817.96342063436</v>
      </c>
      <c r="AH55">
        <v>237530.48619131639</v>
      </c>
    </row>
    <row r="56" spans="1:34">
      <c r="A56">
        <v>45893</v>
      </c>
      <c r="B56">
        <v>337514.60830241977</v>
      </c>
      <c r="C56">
        <v>489.70499999999998</v>
      </c>
      <c r="D56">
        <v>1673851.7406957999</v>
      </c>
      <c r="E56">
        <v>21235.73461090005</v>
      </c>
      <c r="F56">
        <v>1.0297687237919608</v>
      </c>
      <c r="G56">
        <v>7.2</v>
      </c>
      <c r="H56">
        <v>191.80789339396227</v>
      </c>
      <c r="I56">
        <v>236</v>
      </c>
      <c r="J56">
        <v>-0.79618286378261538</v>
      </c>
      <c r="K56">
        <v>-0.60505606964884939</v>
      </c>
      <c r="L56">
        <v>178085.30122443952</v>
      </c>
      <c r="M56">
        <v>166176.7553640838</v>
      </c>
      <c r="N56">
        <v>180929.54104251869</v>
      </c>
      <c r="O56">
        <v>986564.22054553858</v>
      </c>
      <c r="P56">
        <v>7134.9206135948634</v>
      </c>
      <c r="Q56">
        <v>35.800000000000004</v>
      </c>
      <c r="R56">
        <v>47.2</v>
      </c>
      <c r="S56">
        <v>169.20000000000002</v>
      </c>
      <c r="T56">
        <v>227258.88829698102</v>
      </c>
      <c r="U56">
        <v>15019.2</v>
      </c>
      <c r="V56">
        <v>172017.7188</v>
      </c>
      <c r="W56">
        <v>15019.2</v>
      </c>
      <c r="X56">
        <v>157630.1244</v>
      </c>
      <c r="Y56">
        <v>15019.2</v>
      </c>
      <c r="Z56">
        <v>176886.0575</v>
      </c>
      <c r="AA56">
        <v>12.992000000000001</v>
      </c>
      <c r="AB56">
        <v>28.321000000000002</v>
      </c>
      <c r="AC56">
        <v>7.79</v>
      </c>
      <c r="AD56">
        <v>49.103000000000002</v>
      </c>
      <c r="AE56">
        <v>28.321000000000002</v>
      </c>
      <c r="AF56">
        <v>215817.96342063436</v>
      </c>
      <c r="AG56">
        <v>237530.48619131639</v>
      </c>
      <c r="AH56">
        <v>933148.84322041948</v>
      </c>
    </row>
    <row r="57" spans="1:34">
      <c r="A57">
        <v>45894</v>
      </c>
      <c r="B57">
        <v>215817.96342063436</v>
      </c>
      <c r="C57">
        <v>489.68599999999998</v>
      </c>
      <c r="D57">
        <v>1667776.8298903999</v>
      </c>
      <c r="E57">
        <v>-6074.9108053999953</v>
      </c>
      <c r="F57">
        <v>1.026031383742581</v>
      </c>
      <c r="G57">
        <v>14</v>
      </c>
      <c r="H57">
        <v>196.21749872426415</v>
      </c>
      <c r="I57">
        <v>237</v>
      </c>
      <c r="J57">
        <v>-0.80647994632094466</v>
      </c>
      <c r="K57">
        <v>-0.59126144486357834</v>
      </c>
      <c r="L57">
        <v>337514.60830241977</v>
      </c>
      <c r="M57">
        <v>178085.30122443952</v>
      </c>
      <c r="N57">
        <v>166176.7553640838</v>
      </c>
      <c r="O57">
        <v>659131.97695436364</v>
      </c>
      <c r="P57">
        <v>4248.5923766174883</v>
      </c>
      <c r="Q57">
        <v>34.6</v>
      </c>
      <c r="R57">
        <v>50.6</v>
      </c>
      <c r="S57">
        <v>183.20000000000002</v>
      </c>
      <c r="T57">
        <v>243805.95764916457</v>
      </c>
      <c r="U57">
        <v>15019.2</v>
      </c>
      <c r="V57">
        <v>302277.38640000002</v>
      </c>
      <c r="W57">
        <v>15019.2</v>
      </c>
      <c r="X57">
        <v>172017.7188</v>
      </c>
      <c r="Y57">
        <v>15019.2</v>
      </c>
      <c r="Z57">
        <v>157630.1244</v>
      </c>
      <c r="AA57">
        <v>28.321000000000002</v>
      </c>
      <c r="AB57">
        <v>7.79</v>
      </c>
      <c r="AC57">
        <v>8.4710000000000001</v>
      </c>
      <c r="AD57">
        <v>44.582000000000008</v>
      </c>
      <c r="AE57">
        <v>28.321000000000002</v>
      </c>
      <c r="AF57">
        <v>237530.48619131639</v>
      </c>
      <c r="AG57">
        <v>933148.84322041948</v>
      </c>
      <c r="AH57">
        <v>682947.49308773025</v>
      </c>
    </row>
    <row r="58" spans="1:34">
      <c r="A58">
        <v>45895</v>
      </c>
      <c r="B58">
        <v>237530.48619131639</v>
      </c>
      <c r="C58">
        <v>489.64800000000002</v>
      </c>
      <c r="D58">
        <v>1655645.1614623</v>
      </c>
      <c r="E58">
        <v>-12131.668428099947</v>
      </c>
      <c r="F58">
        <v>1.018567871645937</v>
      </c>
      <c r="G58">
        <v>12.8</v>
      </c>
      <c r="H58">
        <v>199.20662378805093</v>
      </c>
      <c r="I58">
        <v>238</v>
      </c>
      <c r="J58">
        <v>-0.81653805144591574</v>
      </c>
      <c r="K58">
        <v>-0.57729161655172778</v>
      </c>
      <c r="L58">
        <v>215817.96342063436</v>
      </c>
      <c r="M58">
        <v>337514.60830241977</v>
      </c>
      <c r="N58">
        <v>178085.30122443952</v>
      </c>
      <c r="O58">
        <v>412548.03222377884</v>
      </c>
      <c r="P58">
        <v>13195.054832284008</v>
      </c>
      <c r="Q58">
        <v>34</v>
      </c>
      <c r="R58">
        <v>63.400000000000006</v>
      </c>
      <c r="S58">
        <v>196.00000000000003</v>
      </c>
      <c r="T58">
        <v>263621.01930479018</v>
      </c>
      <c r="U58">
        <v>15019.2</v>
      </c>
      <c r="V58">
        <v>209954.82500000001</v>
      </c>
      <c r="W58">
        <v>15019.2</v>
      </c>
      <c r="X58">
        <v>302277.38640000002</v>
      </c>
      <c r="Y58">
        <v>15019.2</v>
      </c>
      <c r="Z58">
        <v>172017.7188</v>
      </c>
      <c r="AA58">
        <v>7.79</v>
      </c>
      <c r="AB58">
        <v>8.4710000000000001</v>
      </c>
      <c r="AC58">
        <v>3.2040000000000002</v>
      </c>
      <c r="AD58">
        <v>19.465</v>
      </c>
      <c r="AE58">
        <v>8.4710000000000001</v>
      </c>
      <c r="AF58">
        <v>933148.84322041948</v>
      </c>
      <c r="AG58">
        <v>682947.49308773025</v>
      </c>
      <c r="AH58">
        <v>457141.1065816881</v>
      </c>
    </row>
    <row r="59" spans="1:34">
      <c r="A59">
        <v>45896</v>
      </c>
      <c r="B59">
        <v>933148.84322041948</v>
      </c>
      <c r="C59">
        <v>489.87200000000001</v>
      </c>
      <c r="D59">
        <v>1725819.6938243001</v>
      </c>
      <c r="E59">
        <v>70174.532362000085</v>
      </c>
      <c r="F59">
        <v>1.0617398783871526</v>
      </c>
      <c r="G59">
        <v>36.4</v>
      </c>
      <c r="H59">
        <v>225.64629259864839</v>
      </c>
      <c r="I59">
        <v>239</v>
      </c>
      <c r="J59">
        <v>-0.82635419872390936</v>
      </c>
      <c r="K59">
        <v>-0.56315072427491886</v>
      </c>
      <c r="L59">
        <v>237530.48619131639</v>
      </c>
      <c r="M59">
        <v>215817.96342063436</v>
      </c>
      <c r="N59">
        <v>337514.60830241977</v>
      </c>
      <c r="O59">
        <v>273036.44452348823</v>
      </c>
      <c r="P59">
        <v>58290.831188900927</v>
      </c>
      <c r="Q59">
        <v>63.2</v>
      </c>
      <c r="R59">
        <v>99</v>
      </c>
      <c r="S59">
        <v>205.4</v>
      </c>
      <c r="T59">
        <v>462165.76427745679</v>
      </c>
      <c r="U59">
        <v>15019.2</v>
      </c>
      <c r="V59">
        <v>237354.42230000001</v>
      </c>
      <c r="W59">
        <v>15019.2</v>
      </c>
      <c r="X59">
        <v>209954.82500000001</v>
      </c>
      <c r="Y59">
        <v>15019.2</v>
      </c>
      <c r="Z59">
        <v>302277.38640000002</v>
      </c>
      <c r="AA59">
        <v>8.4710000000000001</v>
      </c>
      <c r="AB59">
        <v>3.2040000000000002</v>
      </c>
      <c r="AC59">
        <v>6.0037000000000003</v>
      </c>
      <c r="AD59">
        <v>17.678699999999999</v>
      </c>
      <c r="AE59">
        <v>8.4710000000000001</v>
      </c>
      <c r="AF59">
        <v>682947.49308773025</v>
      </c>
      <c r="AG59">
        <v>457141.1065816881</v>
      </c>
      <c r="AH59">
        <v>337714.76111845404</v>
      </c>
    </row>
    <row r="60" spans="1:34">
      <c r="A60">
        <v>45897</v>
      </c>
      <c r="B60">
        <v>682947.49308773025</v>
      </c>
      <c r="C60">
        <v>489.839</v>
      </c>
      <c r="D60">
        <v>1713524.2337388999</v>
      </c>
      <c r="E60">
        <v>-12295.460085400147</v>
      </c>
      <c r="F60">
        <v>1.0541756001821339</v>
      </c>
      <c r="G60">
        <v>23</v>
      </c>
      <c r="H60">
        <v>237.36397796871594</v>
      </c>
      <c r="I60">
        <v>240</v>
      </c>
      <c r="J60">
        <v>-0.83592547941863649</v>
      </c>
      <c r="K60">
        <v>-0.54884295828471985</v>
      </c>
      <c r="L60">
        <v>933148.84322041948</v>
      </c>
      <c r="M60">
        <v>237530.48619131639</v>
      </c>
      <c r="N60">
        <v>215817.96342063436</v>
      </c>
      <c r="O60">
        <v>180929.54104251869</v>
      </c>
      <c r="P60">
        <v>98994.809420294972</v>
      </c>
      <c r="Q60">
        <v>72.2</v>
      </c>
      <c r="R60">
        <v>122</v>
      </c>
      <c r="S60">
        <v>216.8</v>
      </c>
      <c r="T60">
        <v>617875.60749982204</v>
      </c>
      <c r="U60">
        <v>15019.2</v>
      </c>
      <c r="V60">
        <v>857970.94030000002</v>
      </c>
      <c r="W60">
        <v>15019.2</v>
      </c>
      <c r="X60">
        <v>237354.42230000001</v>
      </c>
      <c r="Y60">
        <v>15019.2</v>
      </c>
      <c r="Z60">
        <v>209954.82500000001</v>
      </c>
      <c r="AA60">
        <v>3.2040000000000002</v>
      </c>
      <c r="AB60">
        <v>6.0037000000000003</v>
      </c>
      <c r="AC60">
        <v>4.5449999999999999</v>
      </c>
      <c r="AD60">
        <v>13.752700000000001</v>
      </c>
      <c r="AE60">
        <v>6.0037000000000003</v>
      </c>
      <c r="AF60">
        <v>457141.1065816881</v>
      </c>
      <c r="AG60">
        <v>337714.76111845404</v>
      </c>
      <c r="AH60">
        <v>299004.80630702799</v>
      </c>
    </row>
    <row r="61" spans="1:34">
      <c r="A61">
        <v>45898</v>
      </c>
      <c r="B61">
        <v>457141.1065816881</v>
      </c>
      <c r="C61">
        <v>489.77</v>
      </c>
      <c r="D61">
        <v>1695162.8519716</v>
      </c>
      <c r="E61">
        <v>-18361.381767299958</v>
      </c>
      <c r="F61">
        <v>1.0428795121177814</v>
      </c>
      <c r="G61">
        <v>0</v>
      </c>
      <c r="H61">
        <v>225.49577907028012</v>
      </c>
      <c r="I61">
        <v>241</v>
      </c>
      <c r="J61">
        <v>-0.84524905735306333</v>
      </c>
      <c r="K61">
        <v>-0.53437255828097852</v>
      </c>
      <c r="L61">
        <v>682947.49308773025</v>
      </c>
      <c r="M61">
        <v>933148.84322041948</v>
      </c>
      <c r="N61">
        <v>237530.48619131639</v>
      </c>
      <c r="O61">
        <v>166176.7553640838</v>
      </c>
      <c r="P61">
        <v>124187.95301213139</v>
      </c>
      <c r="Q61">
        <v>59.4</v>
      </c>
      <c r="R61">
        <v>106.80000000000001</v>
      </c>
      <c r="S61">
        <v>212.80000000000004</v>
      </c>
      <c r="T61">
        <v>691079.14762994589</v>
      </c>
      <c r="U61">
        <v>15019.2</v>
      </c>
      <c r="V61">
        <v>686103.61320000002</v>
      </c>
      <c r="W61">
        <v>15019.2</v>
      </c>
      <c r="X61">
        <v>857970.94030000002</v>
      </c>
      <c r="Y61">
        <v>15019.2</v>
      </c>
      <c r="Z61">
        <v>237354.42230000001</v>
      </c>
      <c r="AA61">
        <v>6.0037000000000003</v>
      </c>
      <c r="AB61">
        <v>4.5449999999999999</v>
      </c>
      <c r="AC61">
        <v>3.915</v>
      </c>
      <c r="AD61">
        <v>14.463699999999999</v>
      </c>
      <c r="AE61">
        <v>6.0037000000000003</v>
      </c>
      <c r="AF61">
        <v>337714.76111845404</v>
      </c>
      <c r="AG61">
        <v>299004.80630702799</v>
      </c>
      <c r="AH61">
        <v>237129.5711383255</v>
      </c>
    </row>
    <row r="62" spans="1:34">
      <c r="A62">
        <v>45899</v>
      </c>
      <c r="B62">
        <v>337714.76111845404</v>
      </c>
      <c r="C62">
        <v>489.71699999999998</v>
      </c>
      <c r="D62">
        <v>1676891.4600323001</v>
      </c>
      <c r="E62">
        <v>-18271.39193929988</v>
      </c>
      <c r="F62">
        <v>1.0316387866091923</v>
      </c>
      <c r="G62">
        <v>0</v>
      </c>
      <c r="H62">
        <v>214.2209901167661</v>
      </c>
      <c r="I62">
        <v>242</v>
      </c>
      <c r="J62">
        <v>-0.85432216974982689</v>
      </c>
      <c r="K62">
        <v>-0.51974381215551568</v>
      </c>
      <c r="L62">
        <v>457141.1065816881</v>
      </c>
      <c r="M62">
        <v>682947.49308773025</v>
      </c>
      <c r="N62">
        <v>933148.84322041948</v>
      </c>
      <c r="O62">
        <v>178085.30122443952</v>
      </c>
      <c r="P62">
        <v>677549.22951010696</v>
      </c>
      <c r="Q62">
        <v>23</v>
      </c>
      <c r="R62">
        <v>93.4</v>
      </c>
      <c r="S62">
        <v>180.6</v>
      </c>
      <c r="T62">
        <v>492601.12026262406</v>
      </c>
      <c r="U62">
        <v>15019.2</v>
      </c>
      <c r="V62">
        <v>459308.64809999999</v>
      </c>
      <c r="W62">
        <v>15019.2</v>
      </c>
      <c r="X62">
        <v>686103.61320000002</v>
      </c>
      <c r="Y62">
        <v>15019.2</v>
      </c>
      <c r="Z62">
        <v>857970.94030000002</v>
      </c>
      <c r="AA62">
        <v>4.5449999999999999</v>
      </c>
      <c r="AB62">
        <v>3.915</v>
      </c>
      <c r="AC62">
        <v>7.0170000000000003</v>
      </c>
      <c r="AD62">
        <v>15.477</v>
      </c>
      <c r="AE62">
        <v>7.0170000000000003</v>
      </c>
      <c r="AF62">
        <v>299004.80630702799</v>
      </c>
      <c r="AG62">
        <v>237129.5711383255</v>
      </c>
      <c r="AH62">
        <v>196072.64086824178</v>
      </c>
    </row>
    <row r="63" spans="1:34">
      <c r="A63">
        <v>45900</v>
      </c>
      <c r="B63">
        <v>299004.80630702799</v>
      </c>
      <c r="C63">
        <v>489.70499999999998</v>
      </c>
      <c r="D63">
        <v>1673851.7406957999</v>
      </c>
      <c r="E63">
        <v>-3039.7193365001585</v>
      </c>
      <c r="F63">
        <v>1.0297687237919608</v>
      </c>
      <c r="G63">
        <v>13.4</v>
      </c>
      <c r="H63">
        <v>216.9099406109278</v>
      </c>
      <c r="I63">
        <v>243</v>
      </c>
      <c r="J63">
        <v>-0.86314212804991153</v>
      </c>
      <c r="K63">
        <v>-0.5049610547215202</v>
      </c>
      <c r="L63">
        <v>337714.76111845404</v>
      </c>
      <c r="M63">
        <v>457141.1065816881</v>
      </c>
      <c r="N63">
        <v>682947.49308773025</v>
      </c>
      <c r="O63">
        <v>337514.60830241977</v>
      </c>
      <c r="P63">
        <v>986564.22054553858</v>
      </c>
      <c r="Q63">
        <v>13.4</v>
      </c>
      <c r="R63">
        <v>99.600000000000009</v>
      </c>
      <c r="S63">
        <v>146.80000000000001</v>
      </c>
      <c r="T63">
        <v>364620.22466905671</v>
      </c>
      <c r="U63">
        <v>15019.2</v>
      </c>
      <c r="V63">
        <v>339795.97820000001</v>
      </c>
      <c r="W63">
        <v>15019.2</v>
      </c>
      <c r="X63">
        <v>459308.64809999999</v>
      </c>
      <c r="Y63">
        <v>15019.2</v>
      </c>
      <c r="Z63">
        <v>686103.61320000002</v>
      </c>
      <c r="AA63">
        <v>3.915</v>
      </c>
      <c r="AB63">
        <v>7.0170000000000003</v>
      </c>
      <c r="AC63">
        <v>2.2290000000000001</v>
      </c>
      <c r="AD63">
        <v>13.161000000000001</v>
      </c>
      <c r="AE63">
        <v>7.0170000000000003</v>
      </c>
      <c r="AF63">
        <v>237129.5711383255</v>
      </c>
      <c r="AG63">
        <v>196072.64086824178</v>
      </c>
      <c r="AH63">
        <v>192464.81475623159</v>
      </c>
    </row>
    <row r="64" spans="1:34">
      <c r="A64">
        <v>45901</v>
      </c>
      <c r="B64">
        <v>237129.5711383255</v>
      </c>
      <c r="C64">
        <v>489.68</v>
      </c>
      <c r="D64">
        <v>1667776.8298903999</v>
      </c>
      <c r="E64">
        <v>-6074.9108053999953</v>
      </c>
      <c r="F64">
        <v>1.026031383742581</v>
      </c>
      <c r="G64">
        <v>3.8</v>
      </c>
      <c r="H64">
        <v>209.86444358038142</v>
      </c>
      <c r="I64">
        <v>244</v>
      </c>
      <c r="J64">
        <v>-0.87170631870932169</v>
      </c>
      <c r="K64">
        <v>-0.4900286664290594</v>
      </c>
      <c r="L64">
        <v>299004.80630702799</v>
      </c>
      <c r="M64">
        <v>337714.76111845404</v>
      </c>
      <c r="N64">
        <v>457141.1065816881</v>
      </c>
      <c r="O64">
        <v>215817.96342063436</v>
      </c>
      <c r="P64">
        <v>659131.97695436364</v>
      </c>
      <c r="Q64">
        <v>17.2</v>
      </c>
      <c r="R64">
        <v>89.4</v>
      </c>
      <c r="S64">
        <v>140.00000000000003</v>
      </c>
      <c r="T64">
        <v>291283.0461879358</v>
      </c>
      <c r="U64">
        <v>15019.2</v>
      </c>
      <c r="V64">
        <v>289927.22509999998</v>
      </c>
      <c r="W64">
        <v>15019.2</v>
      </c>
      <c r="X64">
        <v>339795.97820000001</v>
      </c>
      <c r="Y64">
        <v>15019.2</v>
      </c>
      <c r="Z64">
        <v>459308.64809999999</v>
      </c>
      <c r="AA64">
        <v>7.0170000000000003</v>
      </c>
      <c r="AB64">
        <v>2.2290000000000001</v>
      </c>
      <c r="AC64">
        <v>3.9769999999999999</v>
      </c>
      <c r="AD64">
        <v>13.223000000000001</v>
      </c>
      <c r="AE64">
        <v>7.0170000000000003</v>
      </c>
      <c r="AF64">
        <v>196072.64086824178</v>
      </c>
      <c r="AG64">
        <v>192464.81475623159</v>
      </c>
      <c r="AH64">
        <v>128748.91688506235</v>
      </c>
    </row>
    <row r="65" spans="1:34">
      <c r="A65">
        <v>45902</v>
      </c>
      <c r="B65">
        <v>196072.64086824178</v>
      </c>
      <c r="C65">
        <v>489.661</v>
      </c>
      <c r="D65">
        <v>1661708.0167959</v>
      </c>
      <c r="E65">
        <v>-6068.8130944999866</v>
      </c>
      <c r="F65">
        <v>1.0222977950600747</v>
      </c>
      <c r="G65">
        <v>1.4</v>
      </c>
      <c r="H65">
        <v>200.77122140136234</v>
      </c>
      <c r="I65">
        <v>245</v>
      </c>
      <c r="J65">
        <v>-0.88001220397353563</v>
      </c>
      <c r="K65">
        <v>-0.47495107206705017</v>
      </c>
      <c r="L65">
        <v>237129.5711383255</v>
      </c>
      <c r="M65">
        <v>299004.80630702799</v>
      </c>
      <c r="N65">
        <v>337714.76111845404</v>
      </c>
      <c r="O65">
        <v>237530.48619131639</v>
      </c>
      <c r="P65">
        <v>412548.03222377884</v>
      </c>
      <c r="Q65">
        <v>18.599999999999998</v>
      </c>
      <c r="R65">
        <v>78</v>
      </c>
      <c r="S65">
        <v>141.40000000000003</v>
      </c>
      <c r="T65">
        <v>244069.00610453173</v>
      </c>
      <c r="U65">
        <v>15019.199999999999</v>
      </c>
      <c r="V65">
        <v>228179.2309</v>
      </c>
      <c r="W65">
        <v>15019.2</v>
      </c>
      <c r="X65">
        <v>289927.22509999998</v>
      </c>
      <c r="Y65">
        <v>15019.2</v>
      </c>
      <c r="Z65">
        <v>339795.97820000001</v>
      </c>
      <c r="AA65">
        <v>2.2290000000000001</v>
      </c>
      <c r="AB65">
        <v>3.9769999999999999</v>
      </c>
      <c r="AC65">
        <v>19.172999999999998</v>
      </c>
      <c r="AD65">
        <v>25.378999999999998</v>
      </c>
      <c r="AE65">
        <v>19.172999999999998</v>
      </c>
      <c r="AF65">
        <v>192464.81475623159</v>
      </c>
      <c r="AG65">
        <v>128748.91688506235</v>
      </c>
      <c r="AH65">
        <v>78859.649736720108</v>
      </c>
    </row>
    <row r="66" spans="1:34">
      <c r="A66">
        <v>45903</v>
      </c>
      <c r="B66">
        <v>192464.81475623159</v>
      </c>
      <c r="C66">
        <v>489.661</v>
      </c>
      <c r="D66">
        <v>1661708.0167959</v>
      </c>
      <c r="E66">
        <v>0</v>
      </c>
      <c r="F66">
        <v>1.0222977950600747</v>
      </c>
      <c r="G66">
        <v>3.2</v>
      </c>
      <c r="H66">
        <v>193.93266033129422</v>
      </c>
      <c r="I66">
        <v>246</v>
      </c>
      <c r="J66">
        <v>-0.888057322629493</v>
      </c>
      <c r="K66">
        <v>-0.45973273945210458</v>
      </c>
      <c r="L66">
        <v>196072.64086824178</v>
      </c>
      <c r="M66">
        <v>237129.5711383255</v>
      </c>
      <c r="N66">
        <v>299004.80630702799</v>
      </c>
      <c r="O66">
        <v>933148.84322041948</v>
      </c>
      <c r="P66">
        <v>273036.44452348823</v>
      </c>
      <c r="Q66">
        <v>8.3999999999999986</v>
      </c>
      <c r="R66">
        <v>44.8</v>
      </c>
      <c r="S66">
        <v>143.80000000000001</v>
      </c>
      <c r="T66">
        <v>208555.67558759963</v>
      </c>
      <c r="U66">
        <v>15019.199999999999</v>
      </c>
      <c r="V66">
        <v>186388.3193</v>
      </c>
      <c r="W66">
        <v>15019.199999999999</v>
      </c>
      <c r="X66">
        <v>228179.2309</v>
      </c>
      <c r="Y66">
        <v>15019.2</v>
      </c>
      <c r="Z66">
        <v>289927.22509999998</v>
      </c>
      <c r="AA66">
        <v>3.9769999999999999</v>
      </c>
      <c r="AB66">
        <v>19.172999999999998</v>
      </c>
      <c r="AC66">
        <v>20.103000000000002</v>
      </c>
      <c r="AD66">
        <v>43.253</v>
      </c>
      <c r="AE66">
        <v>20.103000000000002</v>
      </c>
      <c r="AF66">
        <v>128748.91688506235</v>
      </c>
      <c r="AG66">
        <v>78859.649736720108</v>
      </c>
      <c r="AH66">
        <v>44276.176947026448</v>
      </c>
    </row>
    <row r="67" spans="1:34">
      <c r="A67">
        <v>45904</v>
      </c>
      <c r="B67">
        <v>128748.91688506235</v>
      </c>
      <c r="C67">
        <v>489.63997999999998</v>
      </c>
      <c r="D67">
        <v>1652616.0060848999</v>
      </c>
      <c r="E67">
        <v>-9092.0107110000681</v>
      </c>
      <c r="F67">
        <v>1.0167043078718501</v>
      </c>
      <c r="G67">
        <v>0</v>
      </c>
      <c r="H67">
        <v>184.23602731472948</v>
      </c>
      <c r="I67">
        <v>247</v>
      </c>
      <c r="J67">
        <v>-0.89583929073490887</v>
      </c>
      <c r="K67">
        <v>-0.44437817810461339</v>
      </c>
      <c r="L67">
        <v>192464.81475623159</v>
      </c>
      <c r="M67">
        <v>196072.64086824178</v>
      </c>
      <c r="N67">
        <v>237129.5711383255</v>
      </c>
      <c r="O67">
        <v>682947.49308773025</v>
      </c>
      <c r="P67">
        <v>180929.54104251869</v>
      </c>
      <c r="Q67">
        <v>4.5999999999999996</v>
      </c>
      <c r="R67">
        <v>21.799999999999997</v>
      </c>
      <c r="S67">
        <v>143.80000000000001</v>
      </c>
      <c r="T67">
        <v>172428.79083651191</v>
      </c>
      <c r="U67">
        <v>15019.199999999999</v>
      </c>
      <c r="V67">
        <v>177257.60769999999</v>
      </c>
      <c r="W67">
        <v>15019.199999999999</v>
      </c>
      <c r="X67">
        <v>186388.3193</v>
      </c>
      <c r="Y67">
        <v>15019.199999999999</v>
      </c>
      <c r="Z67">
        <v>228179.2309</v>
      </c>
      <c r="AA67">
        <v>19.172999999999998</v>
      </c>
      <c r="AB67">
        <v>20.103000000000002</v>
      </c>
      <c r="AC67">
        <v>2.8490000000000002</v>
      </c>
      <c r="AD67">
        <v>42.125</v>
      </c>
      <c r="AE67">
        <v>20.103000000000002</v>
      </c>
      <c r="AF67">
        <v>78859.649736720108</v>
      </c>
      <c r="AG67">
        <v>44276.176947026448</v>
      </c>
      <c r="AH67">
        <v>21265.004473392863</v>
      </c>
    </row>
    <row r="68" spans="1:34">
      <c r="A68">
        <v>45905</v>
      </c>
      <c r="B68">
        <v>78859.649736720108</v>
      </c>
      <c r="C68">
        <v>489.608</v>
      </c>
      <c r="D68">
        <v>1643538.2164867001</v>
      </c>
      <c r="E68">
        <v>-9077.7895981997717</v>
      </c>
      <c r="F68">
        <v>1.0111195696407902</v>
      </c>
      <c r="G68">
        <v>0</v>
      </c>
      <c r="H68">
        <v>175.02422594899301</v>
      </c>
      <c r="I68">
        <v>248</v>
      </c>
      <c r="J68">
        <v>-0.90335580232468415</v>
      </c>
      <c r="K68">
        <v>-0.42889193791248409</v>
      </c>
      <c r="L68">
        <v>128748.91688506235</v>
      </c>
      <c r="M68">
        <v>192464.81475623159</v>
      </c>
      <c r="N68">
        <v>196072.64086824178</v>
      </c>
      <c r="O68">
        <v>457141.1065816881</v>
      </c>
      <c r="P68">
        <v>166176.7553640838</v>
      </c>
      <c r="Q68">
        <v>3.2</v>
      </c>
      <c r="R68">
        <v>21.799999999999997</v>
      </c>
      <c r="S68">
        <v>128.60000000000002</v>
      </c>
      <c r="T68">
        <v>133357.79379267138</v>
      </c>
      <c r="U68">
        <v>15019.199999999999</v>
      </c>
      <c r="V68">
        <v>121664.9271</v>
      </c>
      <c r="W68">
        <v>15019.199999999999</v>
      </c>
      <c r="X68">
        <v>177257.60769999999</v>
      </c>
      <c r="Y68">
        <v>15019.199999999999</v>
      </c>
      <c r="Z68">
        <v>186388.3193</v>
      </c>
      <c r="AA68">
        <v>20.103000000000002</v>
      </c>
      <c r="AB68">
        <v>2.8490000000000002</v>
      </c>
      <c r="AC68">
        <v>9.7469999999999999</v>
      </c>
      <c r="AD68">
        <v>32.698999999999998</v>
      </c>
      <c r="AE68">
        <v>20.103000000000002</v>
      </c>
      <c r="AF68">
        <v>44276.176947026448</v>
      </c>
      <c r="AG68">
        <v>21265.004473392863</v>
      </c>
      <c r="AH68">
        <v>9147.6059040011987</v>
      </c>
    </row>
    <row r="69" spans="1:34">
      <c r="A69">
        <v>45906</v>
      </c>
      <c r="B69">
        <v>44276.176947026448</v>
      </c>
      <c r="C69">
        <v>489.589</v>
      </c>
      <c r="D69">
        <v>1637507.2197397</v>
      </c>
      <c r="E69">
        <v>-6030.9967470001429</v>
      </c>
      <c r="F69">
        <v>1.0074092459171549</v>
      </c>
      <c r="G69">
        <v>0</v>
      </c>
      <c r="H69">
        <v>166.27301465154335</v>
      </c>
      <c r="I69">
        <v>249</v>
      </c>
      <c r="J69">
        <v>-0.91060463009421622</v>
      </c>
      <c r="K69">
        <v>-0.41327860778290443</v>
      </c>
      <c r="L69">
        <v>78859.649736720108</v>
      </c>
      <c r="M69">
        <v>128748.91688506235</v>
      </c>
      <c r="N69">
        <v>192464.81475623159</v>
      </c>
      <c r="O69">
        <v>337714.76111845404</v>
      </c>
      <c r="P69">
        <v>178085.30122443952</v>
      </c>
      <c r="Q69">
        <v>0</v>
      </c>
      <c r="R69">
        <v>21.799999999999997</v>
      </c>
      <c r="S69">
        <v>115.20000000000002</v>
      </c>
      <c r="T69">
        <v>83961.581189602977</v>
      </c>
      <c r="U69">
        <v>15019.199999999999</v>
      </c>
      <c r="V69">
        <v>71765.656430000003</v>
      </c>
      <c r="W69">
        <v>15019.199999999999</v>
      </c>
      <c r="X69">
        <v>121664.9271</v>
      </c>
      <c r="Y69">
        <v>15019.199999999999</v>
      </c>
      <c r="Z69">
        <v>177257.60769999999</v>
      </c>
      <c r="AA69">
        <v>2.8490000000000002</v>
      </c>
      <c r="AB69">
        <v>9.7469999999999999</v>
      </c>
      <c r="AC69">
        <v>6.5410000000000004</v>
      </c>
      <c r="AD69">
        <v>19.137</v>
      </c>
      <c r="AE69">
        <v>9.7469999999999999</v>
      </c>
      <c r="AF69">
        <v>21265.004473392863</v>
      </c>
      <c r="AG69">
        <v>9147.6059040011987</v>
      </c>
      <c r="AH69">
        <v>7149.8358157044286</v>
      </c>
    </row>
    <row r="70" spans="1:34">
      <c r="A70">
        <v>45907</v>
      </c>
      <c r="B70">
        <v>21265.004473392863</v>
      </c>
      <c r="C70">
        <v>489.56400000000002</v>
      </c>
      <c r="D70">
        <v>1631482.3951735001</v>
      </c>
      <c r="E70">
        <v>-6024.8245661999099</v>
      </c>
      <c r="F70">
        <v>1.0037027193749493</v>
      </c>
      <c r="G70">
        <v>0</v>
      </c>
      <c r="H70">
        <v>157.95936391896618</v>
      </c>
      <c r="I70">
        <v>250</v>
      </c>
      <c r="J70">
        <v>-0.91758362605939336</v>
      </c>
      <c r="K70">
        <v>-0.39754281428255661</v>
      </c>
      <c r="L70">
        <v>44276.176947026448</v>
      </c>
      <c r="M70">
        <v>78859.649736720108</v>
      </c>
      <c r="N70">
        <v>128748.91688506235</v>
      </c>
      <c r="O70">
        <v>299004.80630702799</v>
      </c>
      <c r="P70">
        <v>337514.60830241977</v>
      </c>
      <c r="Q70">
        <v>0</v>
      </c>
      <c r="R70">
        <v>8.3999999999999986</v>
      </c>
      <c r="S70">
        <v>108.00000000000001</v>
      </c>
      <c r="T70">
        <v>48133.610385713138</v>
      </c>
      <c r="U70">
        <v>15019.199999999999</v>
      </c>
      <c r="V70">
        <v>34136.719790000003</v>
      </c>
      <c r="W70">
        <v>15019.199999999999</v>
      </c>
      <c r="X70">
        <v>71765.656430000003</v>
      </c>
      <c r="Y70">
        <v>15019.199999999999</v>
      </c>
      <c r="Z70">
        <v>121664.9271</v>
      </c>
      <c r="AA70">
        <v>9.7469999999999999</v>
      </c>
      <c r="AB70">
        <v>6.5410000000000004</v>
      </c>
      <c r="AC70">
        <v>38.929000000000002</v>
      </c>
      <c r="AD70">
        <v>55.216999999999999</v>
      </c>
      <c r="AE70">
        <v>38.929000000000002</v>
      </c>
      <c r="AF70">
        <v>9147.6059040011987</v>
      </c>
      <c r="AG70">
        <v>7149.8358157044286</v>
      </c>
      <c r="AH70">
        <v>7161.8376565521703</v>
      </c>
    </row>
    <row r="71" spans="1:34">
      <c r="A71">
        <v>45908</v>
      </c>
      <c r="B71">
        <v>9147.6059040011987</v>
      </c>
      <c r="C71">
        <v>489.54399999999998</v>
      </c>
      <c r="D71">
        <v>1625463.7590197001</v>
      </c>
      <c r="E71">
        <v>-6018.6361537999474</v>
      </c>
      <c r="F71">
        <v>1</v>
      </c>
      <c r="G71">
        <v>4.4000000000000004</v>
      </c>
      <c r="H71">
        <v>154.46139572301786</v>
      </c>
      <c r="I71">
        <v>251</v>
      </c>
      <c r="J71">
        <v>-0.92429072219309338</v>
      </c>
      <c r="K71">
        <v>-0.38168922026665858</v>
      </c>
      <c r="L71">
        <v>21265.004473392863</v>
      </c>
      <c r="M71">
        <v>44276.176947026448</v>
      </c>
      <c r="N71">
        <v>78859.649736720108</v>
      </c>
      <c r="O71">
        <v>237129.5711383255</v>
      </c>
      <c r="P71">
        <v>215817.96342063436</v>
      </c>
      <c r="Q71">
        <v>4.4000000000000004</v>
      </c>
      <c r="R71">
        <v>9</v>
      </c>
      <c r="S71">
        <v>98.40000000000002</v>
      </c>
      <c r="T71">
        <v>24896.262441473504</v>
      </c>
      <c r="U71">
        <v>15019.199999999999</v>
      </c>
      <c r="V71">
        <v>11120.572969999999</v>
      </c>
      <c r="W71">
        <v>15019.199999999999</v>
      </c>
      <c r="X71">
        <v>34136.719790000003</v>
      </c>
      <c r="Y71">
        <v>15019.199999999999</v>
      </c>
      <c r="Z71">
        <v>71765.656430000003</v>
      </c>
      <c r="AA71">
        <v>6.5410000000000004</v>
      </c>
      <c r="AB71">
        <v>38.929000000000002</v>
      </c>
      <c r="AC71">
        <v>13.03</v>
      </c>
      <c r="AD71">
        <v>58.5</v>
      </c>
      <c r="AE71">
        <v>38.929000000000002</v>
      </c>
      <c r="AF71">
        <v>7149.8358157044286</v>
      </c>
      <c r="AG71">
        <v>7161.8376565521703</v>
      </c>
      <c r="AH71">
        <v>11367.816099604432</v>
      </c>
    </row>
    <row r="72" spans="1:34">
      <c r="A72">
        <v>45909</v>
      </c>
      <c r="B72">
        <v>7149.8358157044286</v>
      </c>
      <c r="C72">
        <v>489.51799999999997</v>
      </c>
      <c r="D72">
        <v>1616447.3000027</v>
      </c>
      <c r="E72">
        <v>-9016.4590170001611</v>
      </c>
      <c r="F72">
        <v>0.99445299289696998</v>
      </c>
      <c r="G72">
        <v>0</v>
      </c>
      <c r="H72">
        <v>146.73832593686697</v>
      </c>
      <c r="I72">
        <v>252</v>
      </c>
      <c r="J72">
        <v>-0.93072393103797935</v>
      </c>
      <c r="K72">
        <v>-0.36572252349726919</v>
      </c>
      <c r="L72">
        <v>9147.6059040011987</v>
      </c>
      <c r="M72">
        <v>21265.004473392863</v>
      </c>
      <c r="N72">
        <v>44276.176947026448</v>
      </c>
      <c r="O72">
        <v>196072.64086824178</v>
      </c>
      <c r="P72">
        <v>237530.48619131639</v>
      </c>
      <c r="Q72">
        <v>4.4000000000000004</v>
      </c>
      <c r="R72">
        <v>7.6000000000000005</v>
      </c>
      <c r="S72">
        <v>85.600000000000009</v>
      </c>
      <c r="T72">
        <v>12520.815397699496</v>
      </c>
      <c r="U72">
        <v>15019.199999999999</v>
      </c>
      <c r="V72">
        <v>321.58828549999998</v>
      </c>
      <c r="W72">
        <v>15019.199999999999</v>
      </c>
      <c r="X72">
        <v>11120.572969999999</v>
      </c>
      <c r="Y72">
        <v>15019.199999999999</v>
      </c>
      <c r="Z72">
        <v>34136.719790000003</v>
      </c>
      <c r="AA72">
        <v>38.929000000000002</v>
      </c>
      <c r="AB72">
        <v>13.03</v>
      </c>
      <c r="AC72">
        <v>15.541</v>
      </c>
      <c r="AD72">
        <v>67.5</v>
      </c>
      <c r="AE72">
        <v>38.929000000000002</v>
      </c>
      <c r="AF72">
        <v>7161.8376565521703</v>
      </c>
      <c r="AG72">
        <v>11367.816099604432</v>
      </c>
      <c r="AH72">
        <v>7177.536098438658</v>
      </c>
    </row>
    <row r="73" spans="1:34">
      <c r="A73">
        <v>45910</v>
      </c>
      <c r="B73">
        <v>7161.8376565521703</v>
      </c>
      <c r="C73">
        <v>489.48599999999999</v>
      </c>
      <c r="D73">
        <v>1607444.5930314001</v>
      </c>
      <c r="E73">
        <v>-9002.7069712998345</v>
      </c>
      <c r="F73">
        <v>0.98891444617678392</v>
      </c>
      <c r="G73">
        <v>0</v>
      </c>
      <c r="H73">
        <v>139.40140964002362</v>
      </c>
      <c r="I73">
        <v>253</v>
      </c>
      <c r="J73">
        <v>-0.93688134629543152</v>
      </c>
      <c r="K73">
        <v>-0.34964745525122826</v>
      </c>
      <c r="L73">
        <v>7149.8358157044286</v>
      </c>
      <c r="M73">
        <v>9147.6059040011987</v>
      </c>
      <c r="N73">
        <v>21265.004473392863</v>
      </c>
      <c r="O73">
        <v>192464.81475623159</v>
      </c>
      <c r="P73">
        <v>933148.84322041948</v>
      </c>
      <c r="Q73">
        <v>4.4000000000000004</v>
      </c>
      <c r="R73">
        <v>4.4000000000000004</v>
      </c>
      <c r="S73">
        <v>49.199999999999996</v>
      </c>
      <c r="T73">
        <v>7819.7597920859334</v>
      </c>
      <c r="U73">
        <v>15019.199999999999</v>
      </c>
      <c r="V73">
        <v>0</v>
      </c>
      <c r="W73">
        <v>15019.199999999999</v>
      </c>
      <c r="X73">
        <v>321.58828549999998</v>
      </c>
      <c r="Y73">
        <v>15019.199999999999</v>
      </c>
      <c r="Z73">
        <v>11120.572969999999</v>
      </c>
      <c r="AA73">
        <v>13.03</v>
      </c>
      <c r="AB73">
        <v>15.541</v>
      </c>
      <c r="AC73">
        <v>3.63</v>
      </c>
      <c r="AD73">
        <v>32.201000000000001</v>
      </c>
      <c r="AE73">
        <v>15.541</v>
      </c>
      <c r="AF73">
        <v>11367.816099604432</v>
      </c>
      <c r="AG73">
        <v>7177.536098438658</v>
      </c>
      <c r="AH73">
        <v>4201.3925110004157</v>
      </c>
    </row>
    <row r="74" spans="1:34">
      <c r="A74">
        <v>45911</v>
      </c>
      <c r="B74">
        <v>11367.816099604432</v>
      </c>
      <c r="C74">
        <v>489.47399999999999</v>
      </c>
      <c r="D74">
        <v>1604446.7185589999</v>
      </c>
      <c r="E74">
        <v>-2997.8744724001735</v>
      </c>
      <c r="F74">
        <v>0.98707012669825667</v>
      </c>
      <c r="G74">
        <v>6</v>
      </c>
      <c r="H74">
        <v>138.43133915802244</v>
      </c>
      <c r="I74">
        <v>254</v>
      </c>
      <c r="J74">
        <v>-0.94276114339042061</v>
      </c>
      <c r="K74">
        <v>-0.33346877891818705</v>
      </c>
      <c r="L74">
        <v>7161.8376565521703</v>
      </c>
      <c r="M74">
        <v>7149.8358157044286</v>
      </c>
      <c r="N74">
        <v>9147.6059040011987</v>
      </c>
      <c r="O74">
        <v>128748.91688506235</v>
      </c>
      <c r="P74">
        <v>682947.49308773025</v>
      </c>
      <c r="Q74">
        <v>6</v>
      </c>
      <c r="R74">
        <v>10.4</v>
      </c>
      <c r="S74">
        <v>32.199999999999996</v>
      </c>
      <c r="T74">
        <v>8559.8298572870099</v>
      </c>
      <c r="U74">
        <v>15019.199999999999</v>
      </c>
      <c r="V74">
        <v>0</v>
      </c>
      <c r="W74">
        <v>15019.199999999999</v>
      </c>
      <c r="X74">
        <v>0</v>
      </c>
      <c r="Y74">
        <v>15019.199999999999</v>
      </c>
      <c r="Z74">
        <v>321.58828549999998</v>
      </c>
      <c r="AA74">
        <v>15.541</v>
      </c>
      <c r="AB74">
        <v>3.63</v>
      </c>
      <c r="AC74">
        <v>1.3680000000000001</v>
      </c>
      <c r="AD74">
        <v>20.538999999999998</v>
      </c>
      <c r="AE74">
        <v>15.541</v>
      </c>
      <c r="AF74">
        <v>7177.536098438658</v>
      </c>
      <c r="AG74">
        <v>4201.3925110004157</v>
      </c>
      <c r="AH74">
        <v>7248.7242808551546</v>
      </c>
    </row>
    <row r="75" spans="1:34">
      <c r="A75">
        <v>45912</v>
      </c>
      <c r="B75">
        <v>7177.536098438658</v>
      </c>
      <c r="C75">
        <v>489.44799999999998</v>
      </c>
      <c r="D75">
        <v>1595462.0162961001</v>
      </c>
      <c r="E75">
        <v>-8984.7022628998384</v>
      </c>
      <c r="F75">
        <v>0.98154265663745477</v>
      </c>
      <c r="G75">
        <v>0</v>
      </c>
      <c r="H75">
        <v>131.50977220012132</v>
      </c>
      <c r="I75">
        <v>255</v>
      </c>
      <c r="J75">
        <v>-0.94836158001217163</v>
      </c>
      <c r="K75">
        <v>-0.31719128858910595</v>
      </c>
      <c r="L75">
        <v>11367.816099604432</v>
      </c>
      <c r="M75">
        <v>7161.8376565521703</v>
      </c>
      <c r="N75">
        <v>7149.8358157044286</v>
      </c>
      <c r="O75">
        <v>78859.649736720108</v>
      </c>
      <c r="P75">
        <v>457141.1065816881</v>
      </c>
      <c r="Q75">
        <v>6</v>
      </c>
      <c r="R75">
        <v>10.4</v>
      </c>
      <c r="S75">
        <v>32.199999999999996</v>
      </c>
      <c r="T75">
        <v>8569.0632848650857</v>
      </c>
      <c r="U75">
        <v>15019.199999999999</v>
      </c>
      <c r="V75">
        <v>0</v>
      </c>
      <c r="W75">
        <v>15019.199999999999</v>
      </c>
      <c r="X75">
        <v>0</v>
      </c>
      <c r="Y75">
        <v>15019.199999999999</v>
      </c>
      <c r="Z75">
        <v>0</v>
      </c>
      <c r="AA75">
        <v>3.63</v>
      </c>
      <c r="AB75">
        <v>1.3680000000000001</v>
      </c>
      <c r="AC75">
        <v>2.5950000000000002</v>
      </c>
      <c r="AD75">
        <v>7.593</v>
      </c>
      <c r="AE75">
        <v>3.63</v>
      </c>
      <c r="AF75">
        <v>4201.3925110004157</v>
      </c>
      <c r="AG75">
        <v>7248.7242808551546</v>
      </c>
      <c r="AH75">
        <v>5663.2748590990486</v>
      </c>
    </row>
    <row r="76" spans="1:34">
      <c r="A76">
        <v>45913</v>
      </c>
      <c r="B76">
        <v>4201.3925110004157</v>
      </c>
      <c r="C76">
        <v>489.40899999999999</v>
      </c>
      <c r="D76">
        <v>1583503.9153768001</v>
      </c>
      <c r="E76">
        <v>-11958.100919299992</v>
      </c>
      <c r="F76">
        <v>0.9741859248414092</v>
      </c>
      <c r="G76">
        <v>0</v>
      </c>
      <c r="H76">
        <v>124.93428359011524</v>
      </c>
      <c r="I76">
        <v>256</v>
      </c>
      <c r="J76">
        <v>-0.95368099663044548</v>
      </c>
      <c r="K76">
        <v>-0.30081980763566801</v>
      </c>
      <c r="L76">
        <v>7177.536098438658</v>
      </c>
      <c r="M76">
        <v>11367.816099604432</v>
      </c>
      <c r="N76">
        <v>7161.8376565521703</v>
      </c>
      <c r="O76">
        <v>44276.176947026448</v>
      </c>
      <c r="P76">
        <v>337714.76111845404</v>
      </c>
      <c r="Q76">
        <v>6</v>
      </c>
      <c r="R76">
        <v>10.4</v>
      </c>
      <c r="S76">
        <v>32.199999999999996</v>
      </c>
      <c r="T76">
        <v>7582.2482363478348</v>
      </c>
      <c r="U76">
        <v>15019.199999999999</v>
      </c>
      <c r="V76">
        <v>0</v>
      </c>
      <c r="W76">
        <v>15019.199999999999</v>
      </c>
      <c r="X76">
        <v>0</v>
      </c>
      <c r="Y76">
        <v>15019.199999999999</v>
      </c>
      <c r="Z76">
        <v>0</v>
      </c>
      <c r="AA76">
        <v>1.3680000000000001</v>
      </c>
      <c r="AB76">
        <v>2.5950000000000002</v>
      </c>
      <c r="AC76">
        <v>8.984</v>
      </c>
      <c r="AD76">
        <v>12.946999999999999</v>
      </c>
      <c r="AE76">
        <v>8.984</v>
      </c>
      <c r="AF76">
        <v>7248.7242808551546</v>
      </c>
      <c r="AG76">
        <v>5663.2748590990486</v>
      </c>
      <c r="AH76">
        <v>11472.309566763399</v>
      </c>
    </row>
    <row r="77" spans="1:34">
      <c r="A77">
        <v>45914</v>
      </c>
      <c r="B77">
        <v>7248.7242808551546</v>
      </c>
      <c r="C77">
        <v>489.37200000000001</v>
      </c>
      <c r="D77">
        <v>1574601.0268989</v>
      </c>
      <c r="E77">
        <v>-8902.8884779000655</v>
      </c>
      <c r="F77">
        <v>0.96870878736079924</v>
      </c>
      <c r="G77">
        <v>0</v>
      </c>
      <c r="H77">
        <v>118.68756941060947</v>
      </c>
      <c r="I77">
        <v>257</v>
      </c>
      <c r="J77">
        <v>-0.95871781698729641</v>
      </c>
      <c r="K77">
        <v>-0.28435918728100362</v>
      </c>
      <c r="L77">
        <v>4201.3925110004157</v>
      </c>
      <c r="M77">
        <v>7177.536098438658</v>
      </c>
      <c r="N77">
        <v>11367.816099604432</v>
      </c>
      <c r="O77">
        <v>21265.004473392863</v>
      </c>
      <c r="P77">
        <v>299004.80630702799</v>
      </c>
      <c r="Q77">
        <v>0</v>
      </c>
      <c r="R77">
        <v>10.4</v>
      </c>
      <c r="S77">
        <v>18.799999999999997</v>
      </c>
      <c r="T77">
        <v>6209.2176300980764</v>
      </c>
      <c r="U77">
        <v>15019.199999999999</v>
      </c>
      <c r="V77">
        <v>0</v>
      </c>
      <c r="W77">
        <v>15019.199999999999</v>
      </c>
      <c r="X77">
        <v>0</v>
      </c>
      <c r="Y77">
        <v>15019.199999999999</v>
      </c>
      <c r="Z77">
        <v>0</v>
      </c>
      <c r="AA77">
        <v>2.5950000000000002</v>
      </c>
      <c r="AB77">
        <v>8.984</v>
      </c>
      <c r="AC77">
        <v>5.7530000000000001</v>
      </c>
      <c r="AD77">
        <v>17.332000000000001</v>
      </c>
      <c r="AE77">
        <v>8.984</v>
      </c>
      <c r="AF77">
        <v>5663.2748590990486</v>
      </c>
      <c r="AG77">
        <v>11472.309566763399</v>
      </c>
      <c r="AH77">
        <v>13190.014880184803</v>
      </c>
    </row>
    <row r="78" spans="1:34">
      <c r="A78">
        <v>45915</v>
      </c>
      <c r="B78">
        <v>5663.2748590990486</v>
      </c>
      <c r="C78">
        <v>489.35899999999998</v>
      </c>
      <c r="D78">
        <v>1568674.6777429001</v>
      </c>
      <c r="E78">
        <v>-5926.3491559999529</v>
      </c>
      <c r="F78">
        <v>0.96506284378124252</v>
      </c>
      <c r="G78">
        <v>15.4</v>
      </c>
      <c r="H78">
        <v>128.15319094007899</v>
      </c>
      <c r="I78">
        <v>258</v>
      </c>
      <c r="J78">
        <v>-0.9634705485641486</v>
      </c>
      <c r="K78">
        <v>-0.26781430516217486</v>
      </c>
      <c r="L78">
        <v>7248.7242808551546</v>
      </c>
      <c r="M78">
        <v>4201.3925110004157</v>
      </c>
      <c r="N78">
        <v>7177.536098438658</v>
      </c>
      <c r="O78">
        <v>9147.6059040011987</v>
      </c>
      <c r="P78">
        <v>237129.5711383255</v>
      </c>
      <c r="Q78">
        <v>15.4</v>
      </c>
      <c r="R78">
        <v>21.4</v>
      </c>
      <c r="S78">
        <v>30.4</v>
      </c>
      <c r="T78">
        <v>5704.4638836515396</v>
      </c>
      <c r="U78">
        <v>15019.199999999999</v>
      </c>
      <c r="V78">
        <v>0</v>
      </c>
      <c r="W78">
        <v>15019.199999999999</v>
      </c>
      <c r="X78">
        <v>0</v>
      </c>
      <c r="Y78">
        <v>15019.199999999999</v>
      </c>
      <c r="Z78">
        <v>0</v>
      </c>
      <c r="AA78">
        <v>8.984</v>
      </c>
      <c r="AB78">
        <v>5.7530000000000001</v>
      </c>
      <c r="AC78">
        <v>0.13200000000000001</v>
      </c>
      <c r="AD78">
        <v>14.869</v>
      </c>
      <c r="AE78">
        <v>8.984</v>
      </c>
      <c r="AF78">
        <v>11472.309566763399</v>
      </c>
      <c r="AG78">
        <v>13190.014880184803</v>
      </c>
      <c r="AH78">
        <v>1374.8609051012572</v>
      </c>
    </row>
    <row r="79" spans="1:34">
      <c r="A79">
        <v>45916</v>
      </c>
      <c r="B79">
        <v>11472.309566763399</v>
      </c>
      <c r="C79">
        <v>489.34300000000002</v>
      </c>
      <c r="D79">
        <v>1565714.0163252</v>
      </c>
      <c r="E79">
        <v>-2960.6614177001175</v>
      </c>
      <c r="F79">
        <v>0.96324141811040154</v>
      </c>
      <c r="G79">
        <v>5.8</v>
      </c>
      <c r="H79">
        <v>127.54553139307502</v>
      </c>
      <c r="I79">
        <v>259</v>
      </c>
      <c r="J79">
        <v>-0.96793778302406408</v>
      </c>
      <c r="K79">
        <v>-0.25119006388481957</v>
      </c>
      <c r="L79">
        <v>5663.2748590990486</v>
      </c>
      <c r="M79">
        <v>7248.7242808551546</v>
      </c>
      <c r="N79">
        <v>4201.3925110004157</v>
      </c>
      <c r="O79">
        <v>7149.8358157044286</v>
      </c>
      <c r="P79">
        <v>196072.64086824178</v>
      </c>
      <c r="Q79">
        <v>21.2</v>
      </c>
      <c r="R79">
        <v>27.2</v>
      </c>
      <c r="S79">
        <v>34.799999999999997</v>
      </c>
      <c r="T79">
        <v>8128.1029022392004</v>
      </c>
      <c r="U79">
        <v>15019.199999999999</v>
      </c>
      <c r="V79">
        <v>0</v>
      </c>
      <c r="W79">
        <v>15019.199999999999</v>
      </c>
      <c r="X79">
        <v>0</v>
      </c>
      <c r="Y79">
        <v>15019.199999999999</v>
      </c>
      <c r="Z79">
        <v>0</v>
      </c>
      <c r="AA79">
        <v>5.7530000000000001</v>
      </c>
      <c r="AB79">
        <v>0.13200000000000001</v>
      </c>
      <c r="AC79">
        <v>3.5000000000000003E-2</v>
      </c>
      <c r="AD79">
        <v>5.92</v>
      </c>
      <c r="AE79">
        <v>5.7530000000000001</v>
      </c>
      <c r="AF79">
        <v>13190.014880184803</v>
      </c>
      <c r="AG79">
        <v>1374.8609051012572</v>
      </c>
      <c r="AH79">
        <v>2823.6028583486882</v>
      </c>
    </row>
    <row r="80" spans="1:34">
      <c r="A80">
        <v>45917</v>
      </c>
      <c r="B80">
        <v>13190.014880184803</v>
      </c>
      <c r="C80">
        <v>489.33699999999999</v>
      </c>
      <c r="D80">
        <v>1562754.9976601</v>
      </c>
      <c r="E80">
        <v>-2959.0186650999822</v>
      </c>
      <c r="F80">
        <v>0.96142100307581202</v>
      </c>
      <c r="G80">
        <v>0</v>
      </c>
      <c r="H80">
        <v>121.16825482342126</v>
      </c>
      <c r="I80">
        <v>260</v>
      </c>
      <c r="J80">
        <v>-0.97211819662906118</v>
      </c>
      <c r="K80">
        <v>-0.23449138957041052</v>
      </c>
      <c r="L80">
        <v>11472.309566763399</v>
      </c>
      <c r="M80">
        <v>5663.2748590990486</v>
      </c>
      <c r="N80">
        <v>7248.7242808551546</v>
      </c>
      <c r="O80">
        <v>7161.8376565521703</v>
      </c>
      <c r="P80">
        <v>192464.81475623159</v>
      </c>
      <c r="Q80">
        <v>21.2</v>
      </c>
      <c r="R80">
        <v>27.2</v>
      </c>
      <c r="S80">
        <v>31.6</v>
      </c>
      <c r="T80">
        <v>10108.533102015752</v>
      </c>
      <c r="U80">
        <v>15019.199999999999</v>
      </c>
      <c r="V80">
        <v>0</v>
      </c>
      <c r="W80">
        <v>15019.199999999999</v>
      </c>
      <c r="X80">
        <v>0</v>
      </c>
      <c r="Y80">
        <v>15019.199999999999</v>
      </c>
      <c r="Z80">
        <v>0</v>
      </c>
      <c r="AA80">
        <v>0.13200000000000001</v>
      </c>
      <c r="AB80">
        <v>3.5000000000000003E-2</v>
      </c>
      <c r="AC80">
        <v>1.5469999999999999</v>
      </c>
      <c r="AD80">
        <v>1.714</v>
      </c>
      <c r="AE80">
        <v>1.5469999999999999</v>
      </c>
      <c r="AF80">
        <v>1374.8609051012572</v>
      </c>
      <c r="AG80">
        <v>2823.6028583486882</v>
      </c>
      <c r="AH80">
        <v>970.08652436549107</v>
      </c>
    </row>
    <row r="81" spans="1:34">
      <c r="A81">
        <v>45918</v>
      </c>
      <c r="B81">
        <v>1374.8609051012572</v>
      </c>
      <c r="C81">
        <v>489.28399999999999</v>
      </c>
      <c r="D81">
        <v>1547983.8767252001</v>
      </c>
      <c r="E81">
        <v>-14771.120934899896</v>
      </c>
      <c r="F81">
        <v>0.95233367593429008</v>
      </c>
      <c r="G81">
        <v>0</v>
      </c>
      <c r="H81">
        <v>115.1098420822502</v>
      </c>
      <c r="I81">
        <v>261</v>
      </c>
      <c r="J81">
        <v>-0.97601055063236819</v>
      </c>
      <c r="K81">
        <v>-0.21772323039653224</v>
      </c>
      <c r="L81">
        <v>13190.014880184803</v>
      </c>
      <c r="M81">
        <v>11472.309566763399</v>
      </c>
      <c r="N81">
        <v>5663.2748590990486</v>
      </c>
      <c r="O81">
        <v>11367.816099604432</v>
      </c>
      <c r="P81">
        <v>128748.91688506235</v>
      </c>
      <c r="Q81">
        <v>5.8</v>
      </c>
      <c r="R81">
        <v>21.2</v>
      </c>
      <c r="S81">
        <v>31.6</v>
      </c>
      <c r="T81">
        <v>8679.0617840164869</v>
      </c>
      <c r="U81">
        <v>15019.199999999999</v>
      </c>
      <c r="V81">
        <v>0</v>
      </c>
      <c r="W81">
        <v>15019.199999999999</v>
      </c>
      <c r="X81">
        <v>0</v>
      </c>
      <c r="Y81">
        <v>15019.199999999999</v>
      </c>
      <c r="Z81">
        <v>0</v>
      </c>
      <c r="AA81">
        <v>3.5000000000000003E-2</v>
      </c>
      <c r="AB81">
        <v>1.5469999999999999</v>
      </c>
      <c r="AC81">
        <v>8.423</v>
      </c>
      <c r="AD81">
        <v>10.004999999999999</v>
      </c>
      <c r="AE81">
        <v>8.423</v>
      </c>
      <c r="AF81">
        <v>2823.6028583486882</v>
      </c>
      <c r="AG81">
        <v>970.08652436549107</v>
      </c>
      <c r="AH81">
        <v>8280.18768312879</v>
      </c>
    </row>
    <row r="82" spans="1:34">
      <c r="A82">
        <v>45919</v>
      </c>
      <c r="B82">
        <v>2823.6028583486882</v>
      </c>
      <c r="C82">
        <v>489.24599999999998</v>
      </c>
      <c r="D82">
        <v>1536194.8351113</v>
      </c>
      <c r="E82">
        <v>-11789.041613900103</v>
      </c>
      <c r="F82">
        <v>0.94508095095135358</v>
      </c>
      <c r="G82">
        <v>5.2</v>
      </c>
      <c r="H82">
        <v>114.55434997813768</v>
      </c>
      <c r="I82">
        <v>262</v>
      </c>
      <c r="J82">
        <v>-0.97961369164549006</v>
      </c>
      <c r="K82">
        <v>-0.20089055513063528</v>
      </c>
      <c r="L82">
        <v>1374.8609051012572</v>
      </c>
      <c r="M82">
        <v>13190.014880184803</v>
      </c>
      <c r="N82">
        <v>11472.309566763399</v>
      </c>
      <c r="O82">
        <v>7177.536098438658</v>
      </c>
      <c r="P82">
        <v>78859.649736720108</v>
      </c>
      <c r="Q82">
        <v>5.2</v>
      </c>
      <c r="R82">
        <v>26.4</v>
      </c>
      <c r="S82">
        <v>36.800000000000004</v>
      </c>
      <c r="T82">
        <v>5796.1595478782501</v>
      </c>
      <c r="U82">
        <v>15019.199999999999</v>
      </c>
      <c r="V82">
        <v>0</v>
      </c>
      <c r="W82">
        <v>15019.199999999999</v>
      </c>
      <c r="X82">
        <v>0</v>
      </c>
      <c r="Y82">
        <v>15019.199999999999</v>
      </c>
      <c r="Z82">
        <v>0</v>
      </c>
      <c r="AA82">
        <v>1.5469999999999999</v>
      </c>
      <c r="AB82">
        <v>8.423</v>
      </c>
      <c r="AC82">
        <v>2.5350000000000001</v>
      </c>
      <c r="AD82">
        <v>12.505000000000001</v>
      </c>
      <c r="AE82">
        <v>8.423</v>
      </c>
      <c r="AF82">
        <v>970.08652436549107</v>
      </c>
      <c r="AG82">
        <v>8280.18768312879</v>
      </c>
      <c r="AH82">
        <v>3890.8091359720329</v>
      </c>
    </row>
    <row r="83" spans="1:34">
      <c r="A83">
        <v>45920</v>
      </c>
      <c r="B83">
        <v>970.08652436549107</v>
      </c>
      <c r="C83">
        <v>489.19799999999998</v>
      </c>
      <c r="D83">
        <v>1521494.7669134</v>
      </c>
      <c r="E83">
        <v>-14700.068197899964</v>
      </c>
      <c r="F83">
        <v>0.93603733609600581</v>
      </c>
      <c r="G83">
        <v>1.6</v>
      </c>
      <c r="H83">
        <v>110.42663247923079</v>
      </c>
      <c r="I83">
        <v>263</v>
      </c>
      <c r="J83">
        <v>-0.98292655197998224</v>
      </c>
      <c r="K83">
        <v>-0.18399835165767986</v>
      </c>
      <c r="L83">
        <v>2823.6028583486882</v>
      </c>
      <c r="M83">
        <v>1374.8609051012572</v>
      </c>
      <c r="N83">
        <v>13190.014880184803</v>
      </c>
      <c r="O83">
        <v>4201.3925110004157</v>
      </c>
      <c r="P83">
        <v>44276.176947026448</v>
      </c>
      <c r="Q83">
        <v>6.8000000000000007</v>
      </c>
      <c r="R83">
        <v>28</v>
      </c>
      <c r="S83">
        <v>38.400000000000006</v>
      </c>
      <c r="T83">
        <v>1722.8500959384785</v>
      </c>
      <c r="U83">
        <v>15019.199999999999</v>
      </c>
      <c r="V83">
        <v>0</v>
      </c>
      <c r="W83">
        <v>15019.199999999999</v>
      </c>
      <c r="X83">
        <v>0</v>
      </c>
      <c r="Y83">
        <v>15019.199999999999</v>
      </c>
      <c r="Z83">
        <v>0</v>
      </c>
      <c r="AA83">
        <v>8.423</v>
      </c>
      <c r="AB83">
        <v>2.5350000000000001</v>
      </c>
      <c r="AC83">
        <v>1.0329999999999999</v>
      </c>
      <c r="AD83">
        <v>11.991</v>
      </c>
      <c r="AE83">
        <v>8.423</v>
      </c>
      <c r="AF83">
        <v>8280.18768312879</v>
      </c>
      <c r="AG83">
        <v>3890.8091359720329</v>
      </c>
      <c r="AH83">
        <v>1038.3203905585058</v>
      </c>
    </row>
    <row r="84" spans="1:34">
      <c r="A84">
        <v>45921</v>
      </c>
      <c r="B84">
        <v>8280.18768312879</v>
      </c>
      <c r="C84">
        <v>489.173</v>
      </c>
      <c r="D84">
        <v>1515629.6565953</v>
      </c>
      <c r="E84">
        <v>-5865.1103181000799</v>
      </c>
      <c r="F84">
        <v>0.93242906720317165</v>
      </c>
      <c r="G84">
        <v>6.8</v>
      </c>
      <c r="H84">
        <v>111.70530085526924</v>
      </c>
      <c r="I84">
        <v>264</v>
      </c>
      <c r="J84">
        <v>-0.98594814996383029</v>
      </c>
      <c r="K84">
        <v>-0.16705162550211949</v>
      </c>
      <c r="L84">
        <v>970.08652436549107</v>
      </c>
      <c r="M84">
        <v>2823.6028583486882</v>
      </c>
      <c r="N84">
        <v>1374.8609051012572</v>
      </c>
      <c r="O84">
        <v>7248.7242808551546</v>
      </c>
      <c r="P84">
        <v>21265.004473392863</v>
      </c>
      <c r="Q84">
        <v>13.600000000000001</v>
      </c>
      <c r="R84">
        <v>34.799999999999997</v>
      </c>
      <c r="S84">
        <v>45.2</v>
      </c>
      <c r="T84">
        <v>4024.6256886143233</v>
      </c>
      <c r="U84">
        <v>15019.199999999999</v>
      </c>
      <c r="V84">
        <v>0</v>
      </c>
      <c r="W84">
        <v>15019.199999999999</v>
      </c>
      <c r="X84">
        <v>0</v>
      </c>
      <c r="Y84">
        <v>15019.199999999999</v>
      </c>
      <c r="Z84">
        <v>0</v>
      </c>
      <c r="AA84">
        <v>2.5350000000000001</v>
      </c>
      <c r="AB84">
        <v>1.0329999999999999</v>
      </c>
      <c r="AC84">
        <v>3.4990000000000001</v>
      </c>
      <c r="AD84">
        <v>7.0670000000000002</v>
      </c>
      <c r="AE84">
        <v>3.4990000000000001</v>
      </c>
      <c r="AF84">
        <v>3890.8091359720329</v>
      </c>
      <c r="AG84">
        <v>1038.3203905585058</v>
      </c>
      <c r="AH84">
        <v>1525.7634288202905</v>
      </c>
    </row>
    <row r="85" spans="1:34">
      <c r="A85">
        <v>45922</v>
      </c>
      <c r="B85">
        <v>3890.8091359720329</v>
      </c>
      <c r="C85">
        <v>489.13499999999999</v>
      </c>
      <c r="D85">
        <v>1503910.109441</v>
      </c>
      <c r="E85">
        <v>-11719.547154299915</v>
      </c>
      <c r="F85">
        <v>0.9252190958400649</v>
      </c>
      <c r="G85">
        <v>1.8</v>
      </c>
      <c r="H85">
        <v>107.92003581250577</v>
      </c>
      <c r="I85">
        <v>265</v>
      </c>
      <c r="J85">
        <v>-0.98867759023234036</v>
      </c>
      <c r="K85">
        <v>-0.15005539834465262</v>
      </c>
      <c r="L85">
        <v>8280.18768312879</v>
      </c>
      <c r="M85">
        <v>970.08652436549107</v>
      </c>
      <c r="N85">
        <v>2823.6028583486882</v>
      </c>
      <c r="O85">
        <v>5663.2748590990486</v>
      </c>
      <c r="P85">
        <v>9147.6059040011987</v>
      </c>
      <c r="Q85">
        <v>10.200000000000001</v>
      </c>
      <c r="R85">
        <v>21.2</v>
      </c>
      <c r="S85">
        <v>42.599999999999994</v>
      </c>
      <c r="T85">
        <v>4380.3611144887718</v>
      </c>
      <c r="U85">
        <v>15019.199999999999</v>
      </c>
      <c r="V85">
        <v>0</v>
      </c>
      <c r="W85">
        <v>15019.199999999999</v>
      </c>
      <c r="X85">
        <v>0</v>
      </c>
      <c r="Y85">
        <v>15019.199999999999</v>
      </c>
      <c r="Z85">
        <v>0</v>
      </c>
      <c r="AA85">
        <v>1.0329999999999999</v>
      </c>
      <c r="AB85">
        <v>3.4990000000000001</v>
      </c>
      <c r="AC85">
        <v>0.82199999999999995</v>
      </c>
      <c r="AD85">
        <v>5.3540000000000001</v>
      </c>
      <c r="AE85">
        <v>3.4990000000000001</v>
      </c>
      <c r="AF85">
        <v>1038.3203905585058</v>
      </c>
      <c r="AG85">
        <v>1525.7634288202905</v>
      </c>
      <c r="AH85">
        <v>13797.653686861006</v>
      </c>
    </row>
    <row r="86" spans="1:34">
      <c r="A86">
        <v>45923</v>
      </c>
      <c r="B86">
        <v>1038.3203905585058</v>
      </c>
      <c r="C86">
        <v>489.089</v>
      </c>
      <c r="D86">
        <v>1489280.5058130999</v>
      </c>
      <c r="E86">
        <v>-14629.603627900127</v>
      </c>
      <c r="F86">
        <v>0.9162188314252353</v>
      </c>
      <c r="G86">
        <v>1.6</v>
      </c>
      <c r="H86">
        <v>104.12403402188048</v>
      </c>
      <c r="I86">
        <v>266</v>
      </c>
      <c r="J86">
        <v>-0.99111406399345459</v>
      </c>
      <c r="K86">
        <v>-0.13301470653419636</v>
      </c>
      <c r="L86">
        <v>3890.8091359720329</v>
      </c>
      <c r="M86">
        <v>8280.18768312879</v>
      </c>
      <c r="N86">
        <v>970.08652436549107</v>
      </c>
      <c r="O86">
        <v>11472.309566763399</v>
      </c>
      <c r="P86">
        <v>7149.8358157044286</v>
      </c>
      <c r="Q86">
        <v>10.199999999999999</v>
      </c>
      <c r="R86">
        <v>17.000000000000004</v>
      </c>
      <c r="S86">
        <v>44.199999999999996</v>
      </c>
      <c r="T86">
        <v>4403.1057365531096</v>
      </c>
      <c r="U86">
        <v>15019.199999999999</v>
      </c>
      <c r="V86">
        <v>0</v>
      </c>
      <c r="W86">
        <v>15019.199999999999</v>
      </c>
      <c r="X86">
        <v>0</v>
      </c>
      <c r="Y86">
        <v>15019.199999999999</v>
      </c>
      <c r="Z86">
        <v>0</v>
      </c>
      <c r="AA86">
        <v>3.4990000000000001</v>
      </c>
      <c r="AB86">
        <v>0.82199999999999995</v>
      </c>
      <c r="AC86">
        <v>10.321</v>
      </c>
      <c r="AD86">
        <v>14.641999999999999</v>
      </c>
      <c r="AE86">
        <v>10.321</v>
      </c>
      <c r="AF86">
        <v>1525.7634288202905</v>
      </c>
      <c r="AG86">
        <v>13797.653686861006</v>
      </c>
      <c r="AH86">
        <v>7375.9657542117529</v>
      </c>
    </row>
    <row r="87" spans="1:34">
      <c r="A87">
        <v>45924</v>
      </c>
      <c r="B87">
        <v>1525.7634288202905</v>
      </c>
      <c r="C87">
        <v>489.03197999999998</v>
      </c>
      <c r="D87">
        <v>1474672.1813453001</v>
      </c>
      <c r="E87">
        <v>-14608.324467799859</v>
      </c>
      <c r="F87">
        <v>0.90723165814207951</v>
      </c>
      <c r="G87">
        <v>0</v>
      </c>
      <c r="H87">
        <v>98.917832320786445</v>
      </c>
      <c r="I87">
        <v>267</v>
      </c>
      <c r="J87">
        <v>-0.99325684926741431</v>
      </c>
      <c r="K87">
        <v>-0.11593459959550066</v>
      </c>
      <c r="L87">
        <v>1038.3203905585058</v>
      </c>
      <c r="M87">
        <v>3890.8091359720329</v>
      </c>
      <c r="N87">
        <v>8280.18768312879</v>
      </c>
      <c r="O87">
        <v>13190.014880184803</v>
      </c>
      <c r="P87">
        <v>7161.8376565521703</v>
      </c>
      <c r="Q87">
        <v>3.4000000000000004</v>
      </c>
      <c r="R87">
        <v>17.000000000000004</v>
      </c>
      <c r="S87">
        <v>44.199999999999996</v>
      </c>
      <c r="T87">
        <v>2151.6309851169431</v>
      </c>
      <c r="U87">
        <v>15019.199999999999</v>
      </c>
      <c r="V87">
        <v>0</v>
      </c>
      <c r="W87">
        <v>15019.199999999999</v>
      </c>
      <c r="X87">
        <v>0</v>
      </c>
      <c r="Y87">
        <v>15019.199999999999</v>
      </c>
      <c r="Z87">
        <v>0</v>
      </c>
      <c r="AA87">
        <v>0.82199999999999995</v>
      </c>
      <c r="AB87">
        <v>10.321</v>
      </c>
      <c r="AC87">
        <v>2.36</v>
      </c>
      <c r="AD87">
        <v>13.502999999999998</v>
      </c>
      <c r="AE87">
        <v>10.321</v>
      </c>
      <c r="AF87">
        <v>13797.653686861006</v>
      </c>
      <c r="AG87">
        <v>7375.9657542117529</v>
      </c>
      <c r="AH87">
        <v>7382.3171617782627</v>
      </c>
    </row>
    <row r="88" spans="1:34">
      <c r="A88">
        <v>45925</v>
      </c>
      <c r="B88">
        <v>13797.653686861006</v>
      </c>
      <c r="C88">
        <v>489.04399999999998</v>
      </c>
      <c r="D88">
        <v>1477592.1420386999</v>
      </c>
      <c r="E88">
        <v>2919.9606933998875</v>
      </c>
      <c r="F88">
        <v>0.90902804435936491</v>
      </c>
      <c r="G88">
        <v>18</v>
      </c>
      <c r="H88">
        <v>111.97194070474711</v>
      </c>
      <c r="I88">
        <v>268</v>
      </c>
      <c r="J88">
        <v>-0.99510531110069744</v>
      </c>
      <c r="K88">
        <v>-9.8820138732872112E-2</v>
      </c>
      <c r="L88">
        <v>1525.7634288202905</v>
      </c>
      <c r="M88">
        <v>1038.3203905585058</v>
      </c>
      <c r="N88">
        <v>3890.8091359720329</v>
      </c>
      <c r="O88">
        <v>1374.8609051012572</v>
      </c>
      <c r="P88">
        <v>11367.816099604432</v>
      </c>
      <c r="Q88">
        <v>19.600000000000001</v>
      </c>
      <c r="R88">
        <v>35</v>
      </c>
      <c r="S88">
        <v>56.199999999999996</v>
      </c>
      <c r="T88">
        <v>5453.9125020799338</v>
      </c>
      <c r="U88">
        <v>15019.199999999999</v>
      </c>
      <c r="V88">
        <v>0</v>
      </c>
      <c r="W88">
        <v>15019.199999999999</v>
      </c>
      <c r="X88">
        <v>0</v>
      </c>
      <c r="Y88">
        <v>15019.199999999999</v>
      </c>
      <c r="Z88">
        <v>0</v>
      </c>
      <c r="AA88">
        <v>10.321</v>
      </c>
      <c r="AB88">
        <v>2.36</v>
      </c>
      <c r="AC88">
        <v>3.7850000000000001</v>
      </c>
      <c r="AD88">
        <v>16.466000000000001</v>
      </c>
      <c r="AE88">
        <v>10.321</v>
      </c>
      <c r="AF88">
        <v>7375.9657542117529</v>
      </c>
      <c r="AG88">
        <v>7382.3171617782627</v>
      </c>
      <c r="AH88">
        <v>7097.3228930266096</v>
      </c>
    </row>
    <row r="89" spans="1:34">
      <c r="A89">
        <v>45926</v>
      </c>
      <c r="B89">
        <v>7375.9657542117529</v>
      </c>
      <c r="C89">
        <v>489.01799999999997</v>
      </c>
      <c r="D89">
        <v>1468834.6627917001</v>
      </c>
      <c r="E89">
        <v>-8757.4792469998356</v>
      </c>
      <c r="F89">
        <v>0.9036403639522167</v>
      </c>
      <c r="G89">
        <v>0</v>
      </c>
      <c r="H89">
        <v>106.37334366950975</v>
      </c>
      <c r="I89">
        <v>269</v>
      </c>
      <c r="J89">
        <v>-0.99665890175417005</v>
      </c>
      <c r="K89">
        <v>-8.1676395330422882E-2</v>
      </c>
      <c r="L89">
        <v>13797.653686861006</v>
      </c>
      <c r="M89">
        <v>1525.7634288202905</v>
      </c>
      <c r="N89">
        <v>1038.3203905585058</v>
      </c>
      <c r="O89">
        <v>2823.6028583486882</v>
      </c>
      <c r="P89">
        <v>7177.536098438658</v>
      </c>
      <c r="Q89">
        <v>18</v>
      </c>
      <c r="R89">
        <v>29.8</v>
      </c>
      <c r="S89">
        <v>56.199999999999996</v>
      </c>
      <c r="T89">
        <v>7566.4609566310164</v>
      </c>
      <c r="U89">
        <v>15019.199999999999</v>
      </c>
      <c r="V89">
        <v>0</v>
      </c>
      <c r="W89">
        <v>15019.199999999999</v>
      </c>
      <c r="X89">
        <v>0</v>
      </c>
      <c r="Y89">
        <v>15019.199999999999</v>
      </c>
      <c r="Z89">
        <v>0</v>
      </c>
      <c r="AA89">
        <v>2.36</v>
      </c>
      <c r="AB89">
        <v>3.7850000000000001</v>
      </c>
      <c r="AC89">
        <v>0.38900000000000001</v>
      </c>
      <c r="AD89">
        <v>6.5339999999999998</v>
      </c>
      <c r="AE89">
        <v>3.7850000000000001</v>
      </c>
      <c r="AF89">
        <v>7382.3171617782627</v>
      </c>
      <c r="AG89">
        <v>7097.3228930266096</v>
      </c>
      <c r="AH89">
        <v>4484.044160908431</v>
      </c>
    </row>
    <row r="90" spans="1:34">
      <c r="A90">
        <v>45927</v>
      </c>
      <c r="B90">
        <v>7382.3171617782627</v>
      </c>
      <c r="C90">
        <v>488.98599999999999</v>
      </c>
      <c r="D90">
        <v>1460084.4867827999</v>
      </c>
      <c r="E90">
        <v>-8750.1760089001618</v>
      </c>
      <c r="F90">
        <v>0.89825717656317439</v>
      </c>
      <c r="G90">
        <v>0</v>
      </c>
      <c r="H90">
        <v>101.05467648603425</v>
      </c>
      <c r="I90">
        <v>270</v>
      </c>
      <c r="J90">
        <v>-0.99791716086539217</v>
      </c>
      <c r="K90">
        <v>-6.4508449449316246E-2</v>
      </c>
      <c r="L90">
        <v>7375.9657542117529</v>
      </c>
      <c r="M90">
        <v>13797.653686861006</v>
      </c>
      <c r="N90">
        <v>1525.7634288202905</v>
      </c>
      <c r="O90">
        <v>970.08652436549107</v>
      </c>
      <c r="P90">
        <v>4201.3925110004157</v>
      </c>
      <c r="Q90">
        <v>18</v>
      </c>
      <c r="R90">
        <v>28.2</v>
      </c>
      <c r="S90">
        <v>56.199999999999996</v>
      </c>
      <c r="T90">
        <v>9518.6455342836725</v>
      </c>
      <c r="U90">
        <v>15019.199999999999</v>
      </c>
      <c r="V90">
        <v>0</v>
      </c>
      <c r="W90">
        <v>15019.199999999999</v>
      </c>
      <c r="X90">
        <v>0</v>
      </c>
      <c r="Y90">
        <v>15019.199999999999</v>
      </c>
      <c r="Z90">
        <v>0</v>
      </c>
      <c r="AA90">
        <v>3.7850000000000001</v>
      </c>
      <c r="AB90">
        <v>0.38900000000000001</v>
      </c>
      <c r="AC90">
        <v>0</v>
      </c>
      <c r="AD90">
        <v>4.1740000000000004</v>
      </c>
      <c r="AE90">
        <v>3.7850000000000001</v>
      </c>
      <c r="AF90">
        <v>7097.3228930266096</v>
      </c>
      <c r="AG90">
        <v>4484.044160908431</v>
      </c>
      <c r="AH90">
        <v>5657.864205080682</v>
      </c>
    </row>
    <row r="91" spans="1:34">
      <c r="A91">
        <v>45928</v>
      </c>
      <c r="B91">
        <v>7097.3228930266096</v>
      </c>
      <c r="C91">
        <v>488.95600000000002</v>
      </c>
      <c r="D91">
        <v>1451341.5620411001</v>
      </c>
      <c r="E91">
        <v>-8742.924741699826</v>
      </c>
      <c r="F91">
        <v>0.89287845021927081</v>
      </c>
      <c r="G91">
        <v>1</v>
      </c>
      <c r="H91">
        <v>97.001942661732542</v>
      </c>
      <c r="I91">
        <v>271</v>
      </c>
      <c r="J91">
        <v>-0.99887971558503352</v>
      </c>
      <c r="K91">
        <v>-4.7321388322432323E-2</v>
      </c>
      <c r="L91">
        <v>7382.3171617782627</v>
      </c>
      <c r="M91">
        <v>7375.9657542117529</v>
      </c>
      <c r="N91">
        <v>13797.653686861006</v>
      </c>
      <c r="O91">
        <v>8280.18768312879</v>
      </c>
      <c r="P91">
        <v>7248.7242808551546</v>
      </c>
      <c r="Q91">
        <v>1</v>
      </c>
      <c r="R91">
        <v>22.4</v>
      </c>
      <c r="S91">
        <v>57.199999999999996</v>
      </c>
      <c r="T91">
        <v>7285.2019363388754</v>
      </c>
      <c r="U91">
        <v>15019.199999999999</v>
      </c>
      <c r="V91">
        <v>0</v>
      </c>
      <c r="W91">
        <v>15019.199999999999</v>
      </c>
      <c r="X91">
        <v>0</v>
      </c>
      <c r="Y91">
        <v>15019.199999999999</v>
      </c>
      <c r="Z91">
        <v>0</v>
      </c>
      <c r="AA91">
        <v>0.38900000000000001</v>
      </c>
      <c r="AB91">
        <v>0</v>
      </c>
      <c r="AC91">
        <v>3.258</v>
      </c>
      <c r="AD91">
        <v>3.6470000000000002</v>
      </c>
      <c r="AE91">
        <v>3.258</v>
      </c>
      <c r="AF91">
        <v>4484.044160908431</v>
      </c>
      <c r="AG91">
        <v>5657.864205080682</v>
      </c>
      <c r="AH91">
        <v>15817.94020789491</v>
      </c>
    </row>
    <row r="92" spans="1:34">
      <c r="A92">
        <v>45929</v>
      </c>
      <c r="B92">
        <v>4484.044160908431</v>
      </c>
      <c r="C92">
        <v>488.91</v>
      </c>
      <c r="D92">
        <v>1439695.2819463999</v>
      </c>
      <c r="E92">
        <v>-11646.280094700167</v>
      </c>
      <c r="F92">
        <v>0.88571355341362079</v>
      </c>
      <c r="G92">
        <v>0</v>
      </c>
      <c r="H92">
        <v>92.151845528645907</v>
      </c>
      <c r="I92">
        <v>272</v>
      </c>
      <c r="J92">
        <v>-0.99954628068735729</v>
      </c>
      <c r="K92">
        <v>-3.012030484690836E-2</v>
      </c>
      <c r="L92">
        <v>7097.3228930266096</v>
      </c>
      <c r="M92">
        <v>7382.3171617782627</v>
      </c>
      <c r="N92">
        <v>7375.9657542117529</v>
      </c>
      <c r="O92">
        <v>3890.8091359720329</v>
      </c>
      <c r="P92">
        <v>5663.2748590990486</v>
      </c>
      <c r="Q92">
        <v>1</v>
      </c>
      <c r="R92">
        <v>20.6</v>
      </c>
      <c r="S92">
        <v>41.8</v>
      </c>
      <c r="T92">
        <v>6321.2280719044347</v>
      </c>
      <c r="U92">
        <v>15019.199999999999</v>
      </c>
      <c r="V92">
        <v>0</v>
      </c>
      <c r="W92">
        <v>15019.199999999999</v>
      </c>
      <c r="X92">
        <v>0</v>
      </c>
      <c r="Y92">
        <v>15019.199999999999</v>
      </c>
      <c r="Z92">
        <v>0</v>
      </c>
      <c r="AA92">
        <v>0</v>
      </c>
      <c r="AB92">
        <v>3.258</v>
      </c>
      <c r="AC92">
        <v>4.5060000000000002</v>
      </c>
      <c r="AD92">
        <v>7.7640000000000002</v>
      </c>
      <c r="AE92">
        <v>4.5060000000000002</v>
      </c>
      <c r="AF92">
        <v>5657.864205080682</v>
      </c>
      <c r="AG92">
        <v>15817.94020789491</v>
      </c>
      <c r="AH92">
        <v>6919.1413482762027</v>
      </c>
    </row>
    <row r="93" spans="1:34">
      <c r="A93">
        <v>45930</v>
      </c>
      <c r="B93">
        <v>5657.864205080682</v>
      </c>
      <c r="C93">
        <v>488.892</v>
      </c>
      <c r="D93">
        <v>1433876.8830075001</v>
      </c>
      <c r="E93">
        <v>-5818.3989388998598</v>
      </c>
      <c r="F93">
        <v>0.88213402178357758</v>
      </c>
      <c r="G93">
        <v>16</v>
      </c>
      <c r="H93">
        <v>103.54425325221361</v>
      </c>
      <c r="I93">
        <v>273</v>
      </c>
      <c r="J93">
        <v>-0.99991665865473789</v>
      </c>
      <c r="K93">
        <v>-1.2910296075008843E-2</v>
      </c>
      <c r="L93">
        <v>4484.044160908431</v>
      </c>
      <c r="M93">
        <v>7097.3228930266096</v>
      </c>
      <c r="N93">
        <v>7382.3171617782627</v>
      </c>
      <c r="O93">
        <v>1038.3203905585058</v>
      </c>
      <c r="P93">
        <v>11472.309566763399</v>
      </c>
      <c r="Q93">
        <v>17</v>
      </c>
      <c r="R93">
        <v>35</v>
      </c>
      <c r="S93">
        <v>52</v>
      </c>
      <c r="T93">
        <v>5746.4104196719081</v>
      </c>
      <c r="U93">
        <v>15019.199999999999</v>
      </c>
      <c r="V93">
        <v>0</v>
      </c>
      <c r="W93">
        <v>15019.199999999999</v>
      </c>
      <c r="X93">
        <v>0</v>
      </c>
      <c r="Y93">
        <v>15019.199999999999</v>
      </c>
      <c r="Z93">
        <v>0</v>
      </c>
      <c r="AA93">
        <v>3.258</v>
      </c>
      <c r="AB93">
        <v>4.5060000000000002</v>
      </c>
      <c r="AC93">
        <v>7.7629999999999999</v>
      </c>
      <c r="AD93">
        <v>15.527000000000001</v>
      </c>
      <c r="AE93">
        <v>7.7629999999999999</v>
      </c>
      <c r="AF93">
        <v>15817.94020789491</v>
      </c>
      <c r="AG93">
        <v>6919.1413482762027</v>
      </c>
      <c r="AH93">
        <v>13143.437283754383</v>
      </c>
    </row>
    <row r="94" spans="1:34">
      <c r="A94">
        <v>45931</v>
      </c>
      <c r="B94">
        <v>15817.94020789491</v>
      </c>
      <c r="C94">
        <v>488.904</v>
      </c>
      <c r="D94">
        <v>1436785.6733039999</v>
      </c>
      <c r="E94">
        <v>2908.7902964998502</v>
      </c>
      <c r="F94">
        <v>0.88392353587170103</v>
      </c>
      <c r="G94">
        <v>10.8</v>
      </c>
      <c r="H94">
        <v>109.16704058960292</v>
      </c>
      <c r="I94">
        <v>274</v>
      </c>
      <c r="J94">
        <v>-0.99999073973619013</v>
      </c>
      <c r="K94">
        <v>4.3035382962438211E-3</v>
      </c>
      <c r="L94">
        <v>5657.864205080682</v>
      </c>
      <c r="M94">
        <v>4484.044160908431</v>
      </c>
      <c r="N94">
        <v>7097.3228930266096</v>
      </c>
      <c r="O94">
        <v>1525.7634288202905</v>
      </c>
      <c r="P94">
        <v>13190.014880184803</v>
      </c>
      <c r="Q94">
        <v>26.8</v>
      </c>
      <c r="R94">
        <v>45.8</v>
      </c>
      <c r="S94">
        <v>62.8</v>
      </c>
      <c r="T94">
        <v>8653.2828579613415</v>
      </c>
      <c r="U94">
        <v>15019.199999999999</v>
      </c>
      <c r="V94">
        <v>0</v>
      </c>
      <c r="W94">
        <v>15019.199999999999</v>
      </c>
      <c r="X94">
        <v>0</v>
      </c>
      <c r="Y94">
        <v>15019.199999999999</v>
      </c>
      <c r="Z94">
        <v>0</v>
      </c>
      <c r="AA94">
        <v>4.5060000000000002</v>
      </c>
      <c r="AB94">
        <v>7.7629999999999999</v>
      </c>
      <c r="AC94">
        <v>6.7880000000000003</v>
      </c>
      <c r="AD94">
        <v>19.057000000000002</v>
      </c>
      <c r="AE94">
        <v>7.7629999999999999</v>
      </c>
      <c r="AF94">
        <v>6919.1413482762027</v>
      </c>
      <c r="AG94">
        <v>13143.437283754383</v>
      </c>
      <c r="AH94">
        <v>9657.860847183736</v>
      </c>
    </row>
    <row r="95" spans="1:34">
      <c r="A95">
        <v>45932</v>
      </c>
      <c r="B95">
        <v>6919.1413482762027</v>
      </c>
      <c r="C95">
        <v>488.87900000000002</v>
      </c>
      <c r="D95">
        <v>1428061.5598544001</v>
      </c>
      <c r="E95">
        <v>-8724.1134495998267</v>
      </c>
      <c r="F95">
        <v>0.87855638240476608</v>
      </c>
      <c r="G95">
        <v>1.4</v>
      </c>
      <c r="H95">
        <v>105.10868856012277</v>
      </c>
      <c r="I95">
        <v>275</v>
      </c>
      <c r="J95">
        <v>-0.99976850197989087</v>
      </c>
      <c r="K95">
        <v>2.1516097436222233E-2</v>
      </c>
      <c r="L95">
        <v>15817.94020789491</v>
      </c>
      <c r="M95">
        <v>5657.864205080682</v>
      </c>
      <c r="N95">
        <v>4484.044160908431</v>
      </c>
      <c r="O95">
        <v>13797.653686861006</v>
      </c>
      <c r="P95">
        <v>1374.8609051012572</v>
      </c>
      <c r="Q95">
        <v>28.2</v>
      </c>
      <c r="R95">
        <v>29.2</v>
      </c>
      <c r="S95">
        <v>64.2</v>
      </c>
      <c r="T95">
        <v>9464.9819204172654</v>
      </c>
      <c r="U95">
        <v>15019.199999999999</v>
      </c>
      <c r="V95">
        <v>0</v>
      </c>
      <c r="W95">
        <v>15019.199999999999</v>
      </c>
      <c r="X95">
        <v>0</v>
      </c>
      <c r="Y95">
        <v>15019.199999999999</v>
      </c>
      <c r="Z95">
        <v>0</v>
      </c>
      <c r="AA95">
        <v>7.7629999999999999</v>
      </c>
      <c r="AB95">
        <v>6.7880000000000003</v>
      </c>
      <c r="AC95">
        <v>8.6340000000000003</v>
      </c>
      <c r="AD95">
        <v>23.185000000000002</v>
      </c>
      <c r="AE95">
        <v>8.6340000000000003</v>
      </c>
      <c r="AF95">
        <v>13143.437283754383</v>
      </c>
      <c r="AG95">
        <v>9657.860847183736</v>
      </c>
      <c r="AH95">
        <v>9370.3604702878874</v>
      </c>
    </row>
    <row r="96" spans="1:34">
      <c r="A96">
        <v>45933</v>
      </c>
      <c r="B96">
        <v>13143.437283754383</v>
      </c>
      <c r="C96">
        <v>488.86599999999999</v>
      </c>
      <c r="D96">
        <v>1425155.0669104999</v>
      </c>
      <c r="E96">
        <v>-2906.4929439001717</v>
      </c>
      <c r="F96">
        <v>0.87676828166873177</v>
      </c>
      <c r="G96">
        <v>0</v>
      </c>
      <c r="H96">
        <v>99.853254132116632</v>
      </c>
      <c r="I96">
        <v>276</v>
      </c>
      <c r="J96">
        <v>-0.99925001123968349</v>
      </c>
      <c r="K96">
        <v>3.8722280892173992E-2</v>
      </c>
      <c r="L96">
        <v>6919.1413482762027</v>
      </c>
      <c r="M96">
        <v>15817.94020789491</v>
      </c>
      <c r="N96">
        <v>5657.864205080682</v>
      </c>
      <c r="O96">
        <v>7375.9657542117529</v>
      </c>
      <c r="P96">
        <v>2823.6028583486882</v>
      </c>
      <c r="Q96">
        <v>12.200000000000001</v>
      </c>
      <c r="R96">
        <v>29.2</v>
      </c>
      <c r="S96">
        <v>58.999999999999993</v>
      </c>
      <c r="T96">
        <v>11960.172946641833</v>
      </c>
      <c r="U96">
        <v>15019.199999999999</v>
      </c>
      <c r="V96">
        <v>0</v>
      </c>
      <c r="W96">
        <v>15019.199999999999</v>
      </c>
      <c r="X96">
        <v>0</v>
      </c>
      <c r="Y96">
        <v>15019.199999999999</v>
      </c>
      <c r="Z96">
        <v>0</v>
      </c>
      <c r="AA96">
        <v>6.7880000000000003</v>
      </c>
      <c r="AB96">
        <v>8.6340000000000003</v>
      </c>
      <c r="AC96">
        <v>2.278</v>
      </c>
      <c r="AD96">
        <v>17.7</v>
      </c>
      <c r="AE96">
        <v>8.6340000000000003</v>
      </c>
      <c r="AF96">
        <v>9657.860847183736</v>
      </c>
      <c r="AG96">
        <v>9370.3604702878874</v>
      </c>
      <c r="AH96">
        <v>4441.7191053469041</v>
      </c>
    </row>
    <row r="97" spans="1:34">
      <c r="A97">
        <v>45934</v>
      </c>
      <c r="B97">
        <v>9657.860847183736</v>
      </c>
      <c r="C97">
        <v>488.84800000000001</v>
      </c>
      <c r="D97">
        <v>1419344.4679610999</v>
      </c>
      <c r="E97">
        <v>-5810.5989494000096</v>
      </c>
      <c r="F97">
        <v>0.8731935486627469</v>
      </c>
      <c r="G97">
        <v>2</v>
      </c>
      <c r="H97">
        <v>96.86059142551079</v>
      </c>
      <c r="I97">
        <v>277</v>
      </c>
      <c r="J97">
        <v>-0.99843542115556427</v>
      </c>
      <c r="K97">
        <v>5.5916990100603019E-2</v>
      </c>
      <c r="L97">
        <v>13143.437283754383</v>
      </c>
      <c r="M97">
        <v>6919.1413482762027</v>
      </c>
      <c r="N97">
        <v>15817.94020789491</v>
      </c>
      <c r="O97">
        <v>7382.3171617782627</v>
      </c>
      <c r="P97">
        <v>970.08652436549107</v>
      </c>
      <c r="Q97">
        <v>3.4</v>
      </c>
      <c r="R97">
        <v>31.2</v>
      </c>
      <c r="S97">
        <v>59.4</v>
      </c>
      <c r="T97">
        <v>9906.8131597381071</v>
      </c>
      <c r="U97">
        <v>15019.199999999999</v>
      </c>
      <c r="V97">
        <v>0</v>
      </c>
      <c r="W97">
        <v>15019.199999999999</v>
      </c>
      <c r="X97">
        <v>0</v>
      </c>
      <c r="Y97">
        <v>15019.199999999999</v>
      </c>
      <c r="Z97">
        <v>0</v>
      </c>
      <c r="AA97">
        <v>8.6340000000000003</v>
      </c>
      <c r="AB97">
        <v>2.278</v>
      </c>
      <c r="AC97">
        <v>1.2110000000000001</v>
      </c>
      <c r="AD97">
        <v>12.123000000000001</v>
      </c>
      <c r="AE97">
        <v>8.6340000000000003</v>
      </c>
      <c r="AF97">
        <v>9370.3604702878874</v>
      </c>
      <c r="AG97">
        <v>4441.7191053469041</v>
      </c>
      <c r="AH97">
        <v>4452.9563767526815</v>
      </c>
    </row>
    <row r="98" spans="1:34">
      <c r="A98">
        <v>45935</v>
      </c>
      <c r="B98">
        <v>9370.3604702878874</v>
      </c>
      <c r="C98">
        <v>488.82098000000002</v>
      </c>
      <c r="D98">
        <v>1413536.9222839</v>
      </c>
      <c r="E98">
        <v>-5807.5456771999598</v>
      </c>
      <c r="F98">
        <v>0.86962069405742337</v>
      </c>
      <c r="G98">
        <v>3</v>
      </c>
      <c r="H98">
        <v>95.01756185423524</v>
      </c>
      <c r="I98">
        <v>278</v>
      </c>
      <c r="J98">
        <v>-0.99732497310815549</v>
      </c>
      <c r="K98">
        <v>7.309512989807776E-2</v>
      </c>
      <c r="L98">
        <v>9657.860847183736</v>
      </c>
      <c r="M98">
        <v>13143.437283754383</v>
      </c>
      <c r="N98">
        <v>6919.1413482762027</v>
      </c>
      <c r="O98">
        <v>7097.3228930266096</v>
      </c>
      <c r="P98">
        <v>8280.18768312879</v>
      </c>
      <c r="Q98">
        <v>5</v>
      </c>
      <c r="R98">
        <v>33.200000000000003</v>
      </c>
      <c r="S98">
        <v>55.6</v>
      </c>
      <c r="T98">
        <v>10723.88620040867</v>
      </c>
      <c r="U98">
        <v>15019.199999999999</v>
      </c>
      <c r="V98">
        <v>0</v>
      </c>
      <c r="W98">
        <v>15019.199999999999</v>
      </c>
      <c r="X98">
        <v>0</v>
      </c>
      <c r="Y98">
        <v>15019.199999999999</v>
      </c>
      <c r="Z98">
        <v>0</v>
      </c>
      <c r="AA98">
        <v>2.278</v>
      </c>
      <c r="AB98">
        <v>1.2110000000000001</v>
      </c>
      <c r="AC98">
        <v>7.19</v>
      </c>
      <c r="AD98">
        <v>10.679</v>
      </c>
      <c r="AE98">
        <v>7.19</v>
      </c>
      <c r="AF98">
        <v>4441.7191053469041</v>
      </c>
      <c r="AG98">
        <v>4452.9563767526815</v>
      </c>
      <c r="AH98">
        <v>17843.03491368231</v>
      </c>
    </row>
    <row r="99" spans="1:34">
      <c r="A99">
        <v>45936</v>
      </c>
      <c r="B99">
        <v>4441.7191053469041</v>
      </c>
      <c r="C99">
        <v>488.78899999999999</v>
      </c>
      <c r="D99">
        <v>1401930.9575960001</v>
      </c>
      <c r="E99">
        <v>-11605.964687899919</v>
      </c>
      <c r="F99">
        <v>0.86248059965451929</v>
      </c>
      <c r="G99">
        <v>0</v>
      </c>
      <c r="H99">
        <v>90.266683761523467</v>
      </c>
      <c r="I99">
        <v>279</v>
      </c>
      <c r="J99">
        <v>-0.99591899614717916</v>
      </c>
      <c r="K99">
        <v>9.0251610031040694E-2</v>
      </c>
      <c r="L99">
        <v>9370.3604702878874</v>
      </c>
      <c r="M99">
        <v>9657.860847183736</v>
      </c>
      <c r="N99">
        <v>13143.437283754383</v>
      </c>
      <c r="O99">
        <v>4484.044160908431</v>
      </c>
      <c r="P99">
        <v>3890.8091359720329</v>
      </c>
      <c r="Q99">
        <v>5</v>
      </c>
      <c r="R99">
        <v>33.200000000000003</v>
      </c>
      <c r="S99">
        <v>53.800000000000004</v>
      </c>
      <c r="T99">
        <v>7823.3134742728425</v>
      </c>
      <c r="U99">
        <v>15019.199999999999</v>
      </c>
      <c r="V99">
        <v>0</v>
      </c>
      <c r="W99">
        <v>15019.199999999999</v>
      </c>
      <c r="X99">
        <v>0</v>
      </c>
      <c r="Y99">
        <v>15019.199999999999</v>
      </c>
      <c r="Z99">
        <v>0</v>
      </c>
      <c r="AA99">
        <v>1.2110000000000001</v>
      </c>
      <c r="AB99">
        <v>7.19</v>
      </c>
      <c r="AC99">
        <v>0.81899999999999995</v>
      </c>
      <c r="AD99">
        <v>9.2199999999999989</v>
      </c>
      <c r="AE99">
        <v>7.19</v>
      </c>
      <c r="AF99">
        <v>4452.9563767526815</v>
      </c>
      <c r="AG99">
        <v>17843.03491368231</v>
      </c>
      <c r="AH99">
        <v>62279.205948142459</v>
      </c>
    </row>
    <row r="100" spans="1:34">
      <c r="A100">
        <v>45937</v>
      </c>
      <c r="B100">
        <v>4452.9563767526815</v>
      </c>
      <c r="C100">
        <v>488.745</v>
      </c>
      <c r="D100">
        <v>1390337.3398593001</v>
      </c>
      <c r="E100">
        <v>-11593.617736699991</v>
      </c>
      <c r="F100">
        <v>0.8553481012076195</v>
      </c>
      <c r="G100">
        <v>0</v>
      </c>
      <c r="H100">
        <v>85.753349573447295</v>
      </c>
      <c r="I100">
        <v>280</v>
      </c>
      <c r="J100">
        <v>-0.99421790689395195</v>
      </c>
      <c r="K100">
        <v>0.10738134666416306</v>
      </c>
      <c r="L100">
        <v>4441.7191053469041</v>
      </c>
      <c r="M100">
        <v>9370.3604702878874</v>
      </c>
      <c r="N100">
        <v>9657.860847183736</v>
      </c>
      <c r="O100">
        <v>5657.864205080682</v>
      </c>
      <c r="P100">
        <v>1038.3203905585058</v>
      </c>
      <c r="Q100">
        <v>3</v>
      </c>
      <c r="R100">
        <v>17.200000000000003</v>
      </c>
      <c r="S100">
        <v>52.199999999999996</v>
      </c>
      <c r="T100">
        <v>6088.345317462491</v>
      </c>
      <c r="U100">
        <v>15019.199999999999</v>
      </c>
      <c r="V100">
        <v>0</v>
      </c>
      <c r="W100">
        <v>15019.199999999999</v>
      </c>
      <c r="X100">
        <v>0</v>
      </c>
      <c r="Y100">
        <v>15019.199999999999</v>
      </c>
      <c r="Z100">
        <v>0</v>
      </c>
      <c r="AA100">
        <v>7.19</v>
      </c>
      <c r="AB100">
        <v>0.81899999999999995</v>
      </c>
      <c r="AC100">
        <v>2.3860000000000001</v>
      </c>
      <c r="AD100">
        <v>10.395</v>
      </c>
      <c r="AE100">
        <v>7.19</v>
      </c>
      <c r="AF100">
        <v>17843.03491368231</v>
      </c>
      <c r="AG100">
        <v>62279.205948142459</v>
      </c>
      <c r="AH100">
        <v>24086.847755427094</v>
      </c>
    </row>
    <row r="101" spans="1:34">
      <c r="A101">
        <v>45938</v>
      </c>
      <c r="B101">
        <v>17843.03491368231</v>
      </c>
      <c r="C101">
        <v>488.75198</v>
      </c>
      <c r="D101">
        <v>1393234.6316031001</v>
      </c>
      <c r="E101">
        <v>2897.2917438000441</v>
      </c>
      <c r="F101">
        <v>0.85713054128216615</v>
      </c>
      <c r="G101">
        <v>3.8</v>
      </c>
      <c r="H101">
        <v>85.265682094774917</v>
      </c>
      <c r="I101">
        <v>281</v>
      </c>
      <c r="J101">
        <v>-0.99222220941793238</v>
      </c>
      <c r="K101">
        <v>0.12447926388678869</v>
      </c>
      <c r="L101">
        <v>4452.9563767526815</v>
      </c>
      <c r="M101">
        <v>4441.7191053469041</v>
      </c>
      <c r="N101">
        <v>9370.3604702878874</v>
      </c>
      <c r="O101">
        <v>15817.94020789491</v>
      </c>
      <c r="P101">
        <v>1525.7634288202905</v>
      </c>
      <c r="Q101">
        <v>3.8</v>
      </c>
      <c r="R101">
        <v>10.199999999999999</v>
      </c>
      <c r="S101">
        <v>55.999999999999993</v>
      </c>
      <c r="T101">
        <v>8912.5701319272976</v>
      </c>
      <c r="U101">
        <v>15019.199999999999</v>
      </c>
      <c r="V101">
        <v>0</v>
      </c>
      <c r="W101">
        <v>15019.199999999999</v>
      </c>
      <c r="X101">
        <v>0</v>
      </c>
      <c r="Y101">
        <v>15019.199999999999</v>
      </c>
      <c r="Z101">
        <v>0</v>
      </c>
      <c r="AA101">
        <v>0.81899999999999995</v>
      </c>
      <c r="AB101">
        <v>2.3860000000000001</v>
      </c>
      <c r="AC101">
        <v>1.1839999999999999</v>
      </c>
      <c r="AD101">
        <v>4.3890000000000002</v>
      </c>
      <c r="AE101">
        <v>2.3860000000000001</v>
      </c>
      <c r="AF101">
        <v>62279.205948142459</v>
      </c>
      <c r="AG101">
        <v>24086.847755427094</v>
      </c>
      <c r="AH101">
        <v>13139.926765396176</v>
      </c>
    </row>
    <row r="102" spans="1:34">
      <c r="A102">
        <v>45939</v>
      </c>
      <c r="B102">
        <v>62279.205948142459</v>
      </c>
      <c r="C102">
        <v>488.91</v>
      </c>
      <c r="D102">
        <v>1439695.2819463999</v>
      </c>
      <c r="E102">
        <v>46460.650343299843</v>
      </c>
      <c r="F102">
        <v>0.88571355341362079</v>
      </c>
      <c r="G102">
        <v>0.8</v>
      </c>
      <c r="H102">
        <v>81.80239799003617</v>
      </c>
      <c r="I102">
        <v>282</v>
      </c>
      <c r="J102">
        <v>-0.98993249508735304</v>
      </c>
      <c r="K102">
        <v>0.14154029521704301</v>
      </c>
      <c r="L102">
        <v>17843.03491368231</v>
      </c>
      <c r="M102">
        <v>4452.9563767526815</v>
      </c>
      <c r="N102">
        <v>4441.7191053469041</v>
      </c>
      <c r="O102">
        <v>6919.1413482762027</v>
      </c>
      <c r="P102">
        <v>13797.653686861006</v>
      </c>
      <c r="Q102">
        <v>4.5999999999999996</v>
      </c>
      <c r="R102">
        <v>9.6000000000000014</v>
      </c>
      <c r="S102">
        <v>38.799999999999997</v>
      </c>
      <c r="T102">
        <v>28191.732412859146</v>
      </c>
      <c r="U102">
        <v>15019.199999999999</v>
      </c>
      <c r="V102">
        <v>0</v>
      </c>
      <c r="W102">
        <v>15019.199999999999</v>
      </c>
      <c r="X102">
        <v>0</v>
      </c>
      <c r="Y102">
        <v>15019.199999999999</v>
      </c>
      <c r="Z102">
        <v>0</v>
      </c>
      <c r="AA102">
        <v>2.3860000000000001</v>
      </c>
      <c r="AB102">
        <v>1.1839999999999999</v>
      </c>
      <c r="AC102">
        <v>11.846</v>
      </c>
      <c r="AD102">
        <v>15.416</v>
      </c>
      <c r="AE102">
        <v>11.846</v>
      </c>
      <c r="AF102">
        <v>24086.847755427094</v>
      </c>
      <c r="AG102">
        <v>13139.926765396176</v>
      </c>
      <c r="AH102">
        <v>10229.760917854082</v>
      </c>
    </row>
    <row r="103" spans="1:34">
      <c r="A103">
        <v>45940</v>
      </c>
      <c r="B103">
        <v>24086.847755427094</v>
      </c>
      <c r="C103">
        <v>488.94299999999998</v>
      </c>
      <c r="D103">
        <v>1448428.8738585</v>
      </c>
      <c r="E103">
        <v>8733.5919121000916</v>
      </c>
      <c r="F103">
        <v>0.89108653811637861</v>
      </c>
      <c r="G103">
        <v>2.4</v>
      </c>
      <c r="H103">
        <v>80.11227809053436</v>
      </c>
      <c r="I103">
        <v>283</v>
      </c>
      <c r="J103">
        <v>-0.98734944239398637</v>
      </c>
      <c r="K103">
        <v>0.15855938510313475</v>
      </c>
      <c r="L103">
        <v>62279.205948142459</v>
      </c>
      <c r="M103">
        <v>17843.03491368231</v>
      </c>
      <c r="N103">
        <v>4452.9563767526815</v>
      </c>
      <c r="O103">
        <v>13143.437283754383</v>
      </c>
      <c r="P103">
        <v>7375.9657542117529</v>
      </c>
      <c r="Q103">
        <v>7</v>
      </c>
      <c r="R103">
        <v>12.000000000000002</v>
      </c>
      <c r="S103">
        <v>41.199999999999996</v>
      </c>
      <c r="T103">
        <v>34736.362872417289</v>
      </c>
      <c r="U103">
        <v>15019.199999999999</v>
      </c>
      <c r="V103">
        <v>0</v>
      </c>
      <c r="W103">
        <v>15019.199999999999</v>
      </c>
      <c r="X103">
        <v>0</v>
      </c>
      <c r="Y103">
        <v>15019.199999999999</v>
      </c>
      <c r="Z103">
        <v>0</v>
      </c>
      <c r="AA103">
        <v>1.1839999999999999</v>
      </c>
      <c r="AB103">
        <v>11.846</v>
      </c>
      <c r="AC103">
        <v>5.1669999999999998</v>
      </c>
      <c r="AD103">
        <v>18.196999999999999</v>
      </c>
      <c r="AE103">
        <v>11.846</v>
      </c>
      <c r="AF103">
        <v>13139.926765396176</v>
      </c>
      <c r="AG103">
        <v>10229.760917854082</v>
      </c>
      <c r="AH103">
        <v>10232.383184925226</v>
      </c>
    </row>
    <row r="104" spans="1:34">
      <c r="A104">
        <v>45941</v>
      </c>
      <c r="B104">
        <v>13139.926765396176</v>
      </c>
      <c r="C104">
        <v>488.93599999999998</v>
      </c>
      <c r="D104">
        <v>1445516.8740723</v>
      </c>
      <c r="E104">
        <v>-2911.9997862000018</v>
      </c>
      <c r="F104">
        <v>0.88929504952117533</v>
      </c>
      <c r="G104">
        <v>0</v>
      </c>
      <c r="H104">
        <v>76.106664186007634</v>
      </c>
      <c r="I104">
        <v>284</v>
      </c>
      <c r="J104">
        <v>-0.98447381675209233</v>
      </c>
      <c r="K104">
        <v>0.17553149042142777</v>
      </c>
      <c r="L104">
        <v>24086.847755427094</v>
      </c>
      <c r="M104">
        <v>62279.205948142459</v>
      </c>
      <c r="N104">
        <v>17843.03491368231</v>
      </c>
      <c r="O104">
        <v>9657.860847183736</v>
      </c>
      <c r="P104">
        <v>7382.3171617782627</v>
      </c>
      <c r="Q104">
        <v>3.2</v>
      </c>
      <c r="R104">
        <v>10</v>
      </c>
      <c r="S104">
        <v>41.199999999999996</v>
      </c>
      <c r="T104">
        <v>33168.660156321908</v>
      </c>
      <c r="U104">
        <v>15019.199999999999</v>
      </c>
      <c r="V104">
        <v>0</v>
      </c>
      <c r="W104">
        <v>15019.199999999999</v>
      </c>
      <c r="X104">
        <v>0</v>
      </c>
      <c r="Y104">
        <v>15019.199999999999</v>
      </c>
      <c r="Z104">
        <v>0</v>
      </c>
      <c r="AA104">
        <v>11.846</v>
      </c>
      <c r="AB104">
        <v>5.1669999999999998</v>
      </c>
      <c r="AC104">
        <v>0.60699999999999998</v>
      </c>
      <c r="AD104">
        <v>17.619999999999997</v>
      </c>
      <c r="AE104">
        <v>11.846</v>
      </c>
      <c r="AF104">
        <v>10229.760917854082</v>
      </c>
      <c r="AG104">
        <v>10232.383184925226</v>
      </c>
      <c r="AH104">
        <v>9595.3837436983231</v>
      </c>
    </row>
    <row r="105" spans="1:34">
      <c r="A105">
        <v>45942</v>
      </c>
      <c r="B105">
        <v>10229.760917854082</v>
      </c>
      <c r="C105">
        <v>488.91699999999997</v>
      </c>
      <c r="D105">
        <v>1439695.2819463999</v>
      </c>
      <c r="E105">
        <v>-5821.5921259000897</v>
      </c>
      <c r="F105">
        <v>0.88571355341362079</v>
      </c>
      <c r="G105">
        <v>0</v>
      </c>
      <c r="H105">
        <v>72.301330976707249</v>
      </c>
      <c r="I105">
        <v>285</v>
      </c>
      <c r="J105">
        <v>-0.98130647027160933</v>
      </c>
      <c r="K105">
        <v>0.19245158197082995</v>
      </c>
      <c r="L105">
        <v>13139.926765396176</v>
      </c>
      <c r="M105">
        <v>24086.847755427094</v>
      </c>
      <c r="N105">
        <v>62279.205948142459</v>
      </c>
      <c r="O105">
        <v>9370.3604702878874</v>
      </c>
      <c r="P105">
        <v>7097.3228930266096</v>
      </c>
      <c r="Q105">
        <v>2.4</v>
      </c>
      <c r="R105">
        <v>7</v>
      </c>
      <c r="S105">
        <v>40.199999999999996</v>
      </c>
      <c r="T105">
        <v>15818.845146225782</v>
      </c>
      <c r="U105">
        <v>15019.199999999999</v>
      </c>
      <c r="V105">
        <v>0</v>
      </c>
      <c r="W105">
        <v>15019.199999999999</v>
      </c>
      <c r="X105">
        <v>0</v>
      </c>
      <c r="Y105">
        <v>15019.199999999999</v>
      </c>
      <c r="Z105">
        <v>0</v>
      </c>
      <c r="AA105">
        <v>5.1669999999999998</v>
      </c>
      <c r="AB105">
        <v>0.60699999999999998</v>
      </c>
      <c r="AC105">
        <v>0.8</v>
      </c>
      <c r="AD105">
        <v>6.5739999999999998</v>
      </c>
      <c r="AE105">
        <v>5.1669999999999998</v>
      </c>
      <c r="AF105">
        <v>10232.383184925226</v>
      </c>
      <c r="AG105">
        <v>9595.3837436983231</v>
      </c>
      <c r="AH105">
        <v>41838.353770982081</v>
      </c>
    </row>
    <row r="106" spans="1:34">
      <c r="A106">
        <v>45943</v>
      </c>
      <c r="B106">
        <v>10232.383184925226</v>
      </c>
      <c r="C106">
        <v>488.89100000000002</v>
      </c>
      <c r="D106">
        <v>1433876.8830075001</v>
      </c>
      <c r="E106">
        <v>-5818.3989388998598</v>
      </c>
      <c r="F106">
        <v>0.88213402178357758</v>
      </c>
      <c r="G106">
        <v>0</v>
      </c>
      <c r="H106">
        <v>68.686264427871876</v>
      </c>
      <c r="I106">
        <v>286</v>
      </c>
      <c r="J106">
        <v>-0.9778483415056568</v>
      </c>
      <c r="K106">
        <v>0.20931464596304888</v>
      </c>
      <c r="L106">
        <v>10229.760917854082</v>
      </c>
      <c r="M106">
        <v>13139.926765396176</v>
      </c>
      <c r="N106">
        <v>24086.847755427094</v>
      </c>
      <c r="O106">
        <v>4441.7191053469041</v>
      </c>
      <c r="P106">
        <v>4484.044160908431</v>
      </c>
      <c r="Q106">
        <v>0</v>
      </c>
      <c r="R106">
        <v>7</v>
      </c>
      <c r="S106">
        <v>40.199999999999996</v>
      </c>
      <c r="T106">
        <v>11200.690289391829</v>
      </c>
      <c r="U106">
        <v>15019.199999999999</v>
      </c>
      <c r="V106">
        <v>0</v>
      </c>
      <c r="W106">
        <v>15019.199999999999</v>
      </c>
      <c r="X106">
        <v>0</v>
      </c>
      <c r="Y106">
        <v>15019.199999999999</v>
      </c>
      <c r="Z106">
        <v>0</v>
      </c>
      <c r="AA106">
        <v>0.60699999999999998</v>
      </c>
      <c r="AB106">
        <v>0.8</v>
      </c>
      <c r="AC106">
        <v>6.9999999999999999E-4</v>
      </c>
      <c r="AD106">
        <v>1.4077</v>
      </c>
      <c r="AE106">
        <v>0.8</v>
      </c>
      <c r="AF106">
        <v>9595.3837436983231</v>
      </c>
      <c r="AG106">
        <v>41838.353770982081</v>
      </c>
      <c r="AH106">
        <v>42136.963545253326</v>
      </c>
    </row>
    <row r="107" spans="1:34">
      <c r="A107">
        <v>45944</v>
      </c>
      <c r="B107">
        <v>9595.3837436983231</v>
      </c>
      <c r="C107">
        <v>488.87200000000001</v>
      </c>
      <c r="D107">
        <v>1428061.5598544001</v>
      </c>
      <c r="E107">
        <v>-5815.3231530999765</v>
      </c>
      <c r="F107">
        <v>0.87855638240476608</v>
      </c>
      <c r="G107">
        <v>2.2000000000000002</v>
      </c>
      <c r="H107">
        <v>67.451951206478284</v>
      </c>
      <c r="I107">
        <v>287</v>
      </c>
      <c r="J107">
        <v>-0.97410045517242061</v>
      </c>
      <c r="K107">
        <v>0.22611568550828803</v>
      </c>
      <c r="L107">
        <v>10232.383184925226</v>
      </c>
      <c r="M107">
        <v>10229.760917854082</v>
      </c>
      <c r="N107">
        <v>13139.926765396176</v>
      </c>
      <c r="O107">
        <v>4452.9563767526815</v>
      </c>
      <c r="P107">
        <v>5657.864205080682</v>
      </c>
      <c r="Q107">
        <v>2.2000000000000002</v>
      </c>
      <c r="R107">
        <v>9.1999999999999993</v>
      </c>
      <c r="S107">
        <v>26.400000000000002</v>
      </c>
      <c r="T107">
        <v>10019.175948825878</v>
      </c>
      <c r="U107">
        <v>15019.199999999999</v>
      </c>
      <c r="V107">
        <v>0</v>
      </c>
      <c r="W107">
        <v>15019.199999999999</v>
      </c>
      <c r="X107">
        <v>0</v>
      </c>
      <c r="Y107">
        <v>15019.199999999999</v>
      </c>
      <c r="Z107">
        <v>0</v>
      </c>
      <c r="AA107">
        <v>0.8</v>
      </c>
      <c r="AB107">
        <v>6.9999999999999999E-4</v>
      </c>
      <c r="AC107">
        <v>0</v>
      </c>
      <c r="AD107">
        <v>0.80070000000000008</v>
      </c>
      <c r="AE107">
        <v>0.8</v>
      </c>
      <c r="AF107">
        <v>41838.353770982081</v>
      </c>
      <c r="AG107">
        <v>42136.963545253326</v>
      </c>
      <c r="AH107">
        <v>73149.231376409327</v>
      </c>
    </row>
    <row r="108" spans="1:34">
      <c r="A108">
        <v>45945</v>
      </c>
      <c r="B108">
        <v>41838.353770982081</v>
      </c>
      <c r="C108">
        <v>488.96100000000001</v>
      </c>
      <c r="D108">
        <v>1454255.0691730001</v>
      </c>
      <c r="E108">
        <v>26193.509318599943</v>
      </c>
      <c r="F108">
        <v>0.89467086614717628</v>
      </c>
      <c r="G108">
        <v>1.4</v>
      </c>
      <c r="H108">
        <v>65.479353646154379</v>
      </c>
      <c r="I108">
        <v>288</v>
      </c>
      <c r="J108">
        <v>-0.97006392185150703</v>
      </c>
      <c r="K108">
        <v>0.2428497220959358</v>
      </c>
      <c r="L108">
        <v>9595.3837436983231</v>
      </c>
      <c r="M108">
        <v>10232.383184925226</v>
      </c>
      <c r="N108">
        <v>10229.760917854082</v>
      </c>
      <c r="O108">
        <v>17843.03491368231</v>
      </c>
      <c r="P108">
        <v>15817.94020789491</v>
      </c>
      <c r="Q108">
        <v>3.6</v>
      </c>
      <c r="R108">
        <v>6.8000000000000007</v>
      </c>
      <c r="S108">
        <v>17</v>
      </c>
      <c r="T108">
        <v>20555.373566535211</v>
      </c>
      <c r="U108">
        <v>15019.199999999999</v>
      </c>
      <c r="V108">
        <v>0</v>
      </c>
      <c r="W108">
        <v>15019.199999999999</v>
      </c>
      <c r="X108">
        <v>0</v>
      </c>
      <c r="Y108">
        <v>15019.199999999999</v>
      </c>
      <c r="Z108">
        <v>0</v>
      </c>
      <c r="AA108">
        <v>6.9999999999999999E-4</v>
      </c>
      <c r="AB108">
        <v>0</v>
      </c>
      <c r="AC108">
        <v>0</v>
      </c>
      <c r="AD108">
        <v>6.9999999999999999E-4</v>
      </c>
      <c r="AE108">
        <v>6.9999999999999999E-4</v>
      </c>
      <c r="AF108">
        <v>42136.963545253326</v>
      </c>
      <c r="AG108">
        <v>73149.231376409327</v>
      </c>
      <c r="AH108">
        <v>57575.848315913776</v>
      </c>
    </row>
    <row r="109" spans="1:34">
      <c r="A109">
        <v>45946</v>
      </c>
      <c r="B109">
        <v>42136.963545253326</v>
      </c>
      <c r="C109">
        <v>489.07</v>
      </c>
      <c r="D109">
        <v>1486357.15604</v>
      </c>
      <c r="E109">
        <v>32102.086866999976</v>
      </c>
      <c r="F109">
        <v>0.91442036021547857</v>
      </c>
      <c r="G109">
        <v>20.6</v>
      </c>
      <c r="H109">
        <v>82.805385963846661</v>
      </c>
      <c r="I109">
        <v>289</v>
      </c>
      <c r="J109">
        <v>-0.965739937654855</v>
      </c>
      <c r="K109">
        <v>0.25951179706979943</v>
      </c>
      <c r="L109">
        <v>41838.353770982081</v>
      </c>
      <c r="M109">
        <v>9595.3837436983231</v>
      </c>
      <c r="N109">
        <v>10232.383184925226</v>
      </c>
      <c r="O109">
        <v>62279.205948142459</v>
      </c>
      <c r="P109">
        <v>6919.1413482762027</v>
      </c>
      <c r="Q109">
        <v>24.200000000000003</v>
      </c>
      <c r="R109">
        <v>26.6</v>
      </c>
      <c r="S109">
        <v>36.200000000000003</v>
      </c>
      <c r="T109">
        <v>31190.233686644573</v>
      </c>
      <c r="U109">
        <v>15019.199999999999</v>
      </c>
      <c r="V109">
        <v>0</v>
      </c>
      <c r="W109">
        <v>15019.199999999999</v>
      </c>
      <c r="X109">
        <v>0</v>
      </c>
      <c r="Y109">
        <v>15019.199999999999</v>
      </c>
      <c r="Z109">
        <v>0</v>
      </c>
      <c r="AA109">
        <v>0</v>
      </c>
      <c r="AB109">
        <v>0</v>
      </c>
      <c r="AC109">
        <v>2.4E-2</v>
      </c>
      <c r="AD109">
        <v>2.4E-2</v>
      </c>
      <c r="AE109">
        <v>2.4E-2</v>
      </c>
      <c r="AF109">
        <v>73149.231376409327</v>
      </c>
      <c r="AG109">
        <v>57575.848315913776</v>
      </c>
      <c r="AH109">
        <v>59597.44767041102</v>
      </c>
    </row>
    <row r="110" spans="1:34">
      <c r="A110">
        <v>45947</v>
      </c>
      <c r="B110">
        <v>73149.231376409327</v>
      </c>
      <c r="C110">
        <v>489.28500000000003</v>
      </c>
      <c r="D110">
        <v>1547983.8767252001</v>
      </c>
      <c r="E110">
        <v>61626.720685200067</v>
      </c>
      <c r="F110">
        <v>0.95233367593429008</v>
      </c>
      <c r="G110">
        <v>15.4</v>
      </c>
      <c r="H110">
        <v>94.06511666565433</v>
      </c>
      <c r="I110">
        <v>290</v>
      </c>
      <c r="J110">
        <v>-0.96112978387230075</v>
      </c>
      <c r="K110">
        <v>0.27609697309746883</v>
      </c>
      <c r="L110">
        <v>42136.963545253326</v>
      </c>
      <c r="M110">
        <v>41838.353770982081</v>
      </c>
      <c r="N110">
        <v>9595.3837436983231</v>
      </c>
      <c r="O110">
        <v>24086.847755427094</v>
      </c>
      <c r="P110">
        <v>13143.437283754383</v>
      </c>
      <c r="Q110">
        <v>37.4</v>
      </c>
      <c r="R110">
        <v>39.6</v>
      </c>
      <c r="S110">
        <v>51.6</v>
      </c>
      <c r="T110">
        <v>52374.849564214914</v>
      </c>
      <c r="U110">
        <v>15019.199999999999</v>
      </c>
      <c r="V110">
        <v>0</v>
      </c>
      <c r="W110">
        <v>15019.199999999999</v>
      </c>
      <c r="X110">
        <v>0</v>
      </c>
      <c r="Y110">
        <v>15019.199999999999</v>
      </c>
      <c r="Z110">
        <v>0</v>
      </c>
      <c r="AA110">
        <v>0</v>
      </c>
      <c r="AB110">
        <v>2.4E-2</v>
      </c>
      <c r="AC110">
        <v>0</v>
      </c>
      <c r="AD110">
        <v>2.4E-2</v>
      </c>
      <c r="AE110">
        <v>2.4E-2</v>
      </c>
      <c r="AF110">
        <v>57575.848315913776</v>
      </c>
      <c r="AG110">
        <v>59597.44767041102</v>
      </c>
      <c r="AH110">
        <v>160128.78104252563</v>
      </c>
    </row>
    <row r="111" spans="1:34">
      <c r="A111">
        <v>45948</v>
      </c>
      <c r="B111">
        <v>57575.848315913776</v>
      </c>
      <c r="C111">
        <v>489.42399999999998</v>
      </c>
      <c r="D111">
        <v>1589479.7778056001</v>
      </c>
      <c r="E111">
        <v>41495.901080399984</v>
      </c>
      <c r="F111">
        <v>0.97786232943403084</v>
      </c>
      <c r="G111">
        <v>0</v>
      </c>
      <c r="H111">
        <v>89.361860832371605</v>
      </c>
      <c r="I111">
        <v>291</v>
      </c>
      <c r="J111">
        <v>-0.95623482659190584</v>
      </c>
      <c r="K111">
        <v>0.29260033563334792</v>
      </c>
      <c r="L111">
        <v>73149.231376409327</v>
      </c>
      <c r="M111">
        <v>42136.963545253326</v>
      </c>
      <c r="N111">
        <v>41838.353770982081</v>
      </c>
      <c r="O111">
        <v>13139.926765396176</v>
      </c>
      <c r="P111">
        <v>9657.860847183736</v>
      </c>
      <c r="Q111">
        <v>36</v>
      </c>
      <c r="R111">
        <v>39.6</v>
      </c>
      <c r="S111">
        <v>49.6</v>
      </c>
      <c r="T111">
        <v>57620.681079192145</v>
      </c>
      <c r="U111">
        <v>15019.199999999999</v>
      </c>
      <c r="V111">
        <v>0</v>
      </c>
      <c r="W111">
        <v>15019.199999999999</v>
      </c>
      <c r="X111">
        <v>0</v>
      </c>
      <c r="Y111">
        <v>15019.199999999999</v>
      </c>
      <c r="Z111">
        <v>0</v>
      </c>
      <c r="AA111">
        <v>2.4E-2</v>
      </c>
      <c r="AB111">
        <v>0</v>
      </c>
      <c r="AC111">
        <v>0</v>
      </c>
      <c r="AD111">
        <v>2.4E-2</v>
      </c>
      <c r="AE111">
        <v>2.4E-2</v>
      </c>
      <c r="AF111">
        <v>59597.44767041102</v>
      </c>
      <c r="AG111">
        <v>160128.78104252563</v>
      </c>
      <c r="AH111">
        <v>224197.73004406077</v>
      </c>
    </row>
    <row r="112" spans="1:34">
      <c r="A112">
        <v>45949</v>
      </c>
      <c r="B112">
        <v>59597.44767041102</v>
      </c>
      <c r="C112">
        <v>489.52798000000001</v>
      </c>
      <c r="D112">
        <v>1619451.3170382001</v>
      </c>
      <c r="E112">
        <v>29971.539232600015</v>
      </c>
      <c r="F112">
        <v>0.99630109133584988</v>
      </c>
      <c r="G112">
        <v>0</v>
      </c>
      <c r="H112">
        <v>84.893767790753017</v>
      </c>
      <c r="I112">
        <v>292</v>
      </c>
      <c r="J112">
        <v>-0.95105651629515364</v>
      </c>
      <c r="K112">
        <v>0.30901699437494723</v>
      </c>
      <c r="L112">
        <v>57575.848315913776</v>
      </c>
      <c r="M112">
        <v>73149.231376409327</v>
      </c>
      <c r="N112">
        <v>42136.963545253326</v>
      </c>
      <c r="O112">
        <v>10229.760917854082</v>
      </c>
      <c r="P112">
        <v>9370.3604702878874</v>
      </c>
      <c r="Q112">
        <v>15.4</v>
      </c>
      <c r="R112">
        <v>39.6</v>
      </c>
      <c r="S112">
        <v>46.6</v>
      </c>
      <c r="T112">
        <v>63440.84245424471</v>
      </c>
      <c r="U112">
        <v>15019.199999999999</v>
      </c>
      <c r="V112">
        <v>0</v>
      </c>
      <c r="W112">
        <v>15019.199999999999</v>
      </c>
      <c r="X112">
        <v>0</v>
      </c>
      <c r="Y112">
        <v>15019.199999999999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160128.78104252563</v>
      </c>
      <c r="AG112">
        <v>224197.73004406077</v>
      </c>
      <c r="AH112">
        <v>225138.18840221464</v>
      </c>
    </row>
    <row r="113" spans="1:34">
      <c r="A113">
        <v>45950</v>
      </c>
      <c r="B113">
        <v>160128.78104252563</v>
      </c>
      <c r="C113">
        <v>489.61799999999999</v>
      </c>
      <c r="D113">
        <v>1646562.4785364</v>
      </c>
      <c r="E113">
        <v>27111.161498199916</v>
      </c>
      <c r="F113">
        <v>1.0129801229954363</v>
      </c>
      <c r="G113">
        <v>5.2</v>
      </c>
      <c r="H113">
        <v>85.849079401215363</v>
      </c>
      <c r="I113">
        <v>293</v>
      </c>
      <c r="J113">
        <v>-0.9455963874271428</v>
      </c>
      <c r="K113">
        <v>0.32534208471197951</v>
      </c>
      <c r="L113">
        <v>59597.44767041102</v>
      </c>
      <c r="M113">
        <v>57575.848315913776</v>
      </c>
      <c r="N113">
        <v>73149.231376409327</v>
      </c>
      <c r="O113">
        <v>10232.383184925226</v>
      </c>
      <c r="P113">
        <v>4441.7191053469041</v>
      </c>
      <c r="Q113">
        <v>5.2</v>
      </c>
      <c r="R113">
        <v>44.800000000000004</v>
      </c>
      <c r="S113">
        <v>51.800000000000004</v>
      </c>
      <c r="T113">
        <v>92434.025676283476</v>
      </c>
      <c r="U113">
        <v>15019.199999999999</v>
      </c>
      <c r="V113">
        <v>13540.567419999999</v>
      </c>
      <c r="W113">
        <v>15019.199999999999</v>
      </c>
      <c r="X113">
        <v>0</v>
      </c>
      <c r="Y113">
        <v>15019.199999999999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224197.73004406077</v>
      </c>
      <c r="AG113">
        <v>225138.18840221464</v>
      </c>
      <c r="AH113">
        <v>173020.97051566088</v>
      </c>
    </row>
    <row r="114" spans="1:34">
      <c r="A114">
        <v>45951</v>
      </c>
      <c r="B114">
        <v>224197.73004406077</v>
      </c>
      <c r="C114">
        <v>489.65697999999998</v>
      </c>
      <c r="D114">
        <v>1658675.7961466999</v>
      </c>
      <c r="E114">
        <v>12113.317610299913</v>
      </c>
      <c r="F114">
        <v>1.0204323455030642</v>
      </c>
      <c r="G114">
        <v>0</v>
      </c>
      <c r="H114">
        <v>81.556625431154586</v>
      </c>
      <c r="I114">
        <v>294</v>
      </c>
      <c r="J114">
        <v>-0.93985605794189531</v>
      </c>
      <c r="K114">
        <v>0.341570769167856</v>
      </c>
      <c r="L114">
        <v>160128.78104252563</v>
      </c>
      <c r="M114">
        <v>59597.44767041102</v>
      </c>
      <c r="N114">
        <v>57575.848315913776</v>
      </c>
      <c r="O114">
        <v>9595.3837436983231</v>
      </c>
      <c r="P114">
        <v>4452.9563767526815</v>
      </c>
      <c r="Q114">
        <v>5.2</v>
      </c>
      <c r="R114">
        <v>42.6</v>
      </c>
      <c r="S114">
        <v>51.800000000000004</v>
      </c>
      <c r="T114">
        <v>147974.65291899914</v>
      </c>
      <c r="U114">
        <v>15019.199999999999</v>
      </c>
      <c r="V114">
        <v>118498.07309999999</v>
      </c>
      <c r="W114">
        <v>15019.199999999999</v>
      </c>
      <c r="X114">
        <v>13540.567419999999</v>
      </c>
      <c r="Y114">
        <v>15019.199999999999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225138.18840221464</v>
      </c>
      <c r="AG114">
        <v>173020.97051566088</v>
      </c>
      <c r="AH114">
        <v>130773.2730821234</v>
      </c>
    </row>
    <row r="115" spans="1:34">
      <c r="A115">
        <v>45952</v>
      </c>
      <c r="B115">
        <v>225138.18840221464</v>
      </c>
      <c r="C115">
        <v>489.67099999999999</v>
      </c>
      <c r="D115">
        <v>1664741.6725647999</v>
      </c>
      <c r="E115">
        <v>6065.8764180999715</v>
      </c>
      <c r="F115">
        <v>1.0241641275156992</v>
      </c>
      <c r="G115">
        <v>0</v>
      </c>
      <c r="H115">
        <v>77.478794159596859</v>
      </c>
      <c r="I115">
        <v>295</v>
      </c>
      <c r="J115">
        <v>-0.93383722882292519</v>
      </c>
      <c r="K115">
        <v>0.35769823883312546</v>
      </c>
      <c r="L115">
        <v>224197.73004406077</v>
      </c>
      <c r="M115">
        <v>160128.78104252563</v>
      </c>
      <c r="N115">
        <v>59597.44767041102</v>
      </c>
      <c r="O115">
        <v>41838.353770982081</v>
      </c>
      <c r="P115">
        <v>17843.03491368231</v>
      </c>
      <c r="Q115">
        <v>5.2</v>
      </c>
      <c r="R115">
        <v>41.2</v>
      </c>
      <c r="S115">
        <v>48.000000000000007</v>
      </c>
      <c r="T115">
        <v>203154.89982960036</v>
      </c>
      <c r="U115">
        <v>15019.199999999999</v>
      </c>
      <c r="V115">
        <v>195989.51560000001</v>
      </c>
      <c r="W115">
        <v>15019.199999999999</v>
      </c>
      <c r="X115">
        <v>118498.07309999999</v>
      </c>
      <c r="Y115">
        <v>15019.199999999999</v>
      </c>
      <c r="Z115">
        <v>13540.567419999999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173020.97051566088</v>
      </c>
      <c r="AG115">
        <v>130773.2730821234</v>
      </c>
      <c r="AH115">
        <v>77792.348775952967</v>
      </c>
    </row>
    <row r="116" spans="1:34">
      <c r="A116">
        <v>45953</v>
      </c>
      <c r="B116">
        <v>173020.97051566088</v>
      </c>
      <c r="C116">
        <v>489.65697999999998</v>
      </c>
      <c r="D116">
        <v>1658675.7961466999</v>
      </c>
      <c r="E116">
        <v>-6065.8764180999715</v>
      </c>
      <c r="F116">
        <v>1.0204323455030642</v>
      </c>
      <c r="G116">
        <v>0</v>
      </c>
      <c r="H116">
        <v>73.604854451617015</v>
      </c>
      <c r="I116">
        <v>296</v>
      </c>
      <c r="J116">
        <v>-0.92754168357919653</v>
      </c>
      <c r="K116">
        <v>0.37371971479046923</v>
      </c>
      <c r="L116">
        <v>225138.18840221464</v>
      </c>
      <c r="M116">
        <v>224197.73004406077</v>
      </c>
      <c r="N116">
        <v>160128.78104252563</v>
      </c>
      <c r="O116">
        <v>42136.963545253326</v>
      </c>
      <c r="P116">
        <v>62279.205948142459</v>
      </c>
      <c r="Q116">
        <v>0</v>
      </c>
      <c r="R116">
        <v>20.6</v>
      </c>
      <c r="S116">
        <v>47.2</v>
      </c>
      <c r="T116">
        <v>207452.29632064546</v>
      </c>
      <c r="U116">
        <v>15019.199999999999</v>
      </c>
      <c r="V116">
        <v>202976.33369999999</v>
      </c>
      <c r="W116">
        <v>15019.199999999999</v>
      </c>
      <c r="X116">
        <v>195989.51560000001</v>
      </c>
      <c r="Y116">
        <v>15019.199999999999</v>
      </c>
      <c r="Z116">
        <v>118498.07309999999</v>
      </c>
      <c r="AA116">
        <v>0</v>
      </c>
      <c r="AB116">
        <v>0</v>
      </c>
      <c r="AC116">
        <v>3.5000000000000003E-2</v>
      </c>
      <c r="AD116">
        <v>3.5000000000000003E-2</v>
      </c>
      <c r="AE116">
        <v>3.5000000000000003E-2</v>
      </c>
      <c r="AF116">
        <v>130773.2730821234</v>
      </c>
      <c r="AG116">
        <v>77792.348775952967</v>
      </c>
      <c r="AH116">
        <v>44784.932004664217</v>
      </c>
    </row>
    <row r="117" spans="1:34">
      <c r="A117">
        <v>45954</v>
      </c>
      <c r="B117">
        <v>130773.2730821234</v>
      </c>
      <c r="C117">
        <v>489.63799999999998</v>
      </c>
      <c r="D117">
        <v>1652616.0060848999</v>
      </c>
      <c r="E117">
        <v>-6059.7900618000422</v>
      </c>
      <c r="F117">
        <v>1.0167043078718501</v>
      </c>
      <c r="G117">
        <v>0</v>
      </c>
      <c r="H117">
        <v>69.924611729036158</v>
      </c>
      <c r="I117">
        <v>297</v>
      </c>
      <c r="J117">
        <v>-0.92097128771663461</v>
      </c>
      <c r="K117">
        <v>0.38963044953078774</v>
      </c>
      <c r="L117">
        <v>173020.97051566088</v>
      </c>
      <c r="M117">
        <v>225138.18840221464</v>
      </c>
      <c r="N117">
        <v>224197.73004406077</v>
      </c>
      <c r="O117">
        <v>73149.231376409327</v>
      </c>
      <c r="P117">
        <v>24086.847755427094</v>
      </c>
      <c r="Q117">
        <v>0</v>
      </c>
      <c r="R117">
        <v>5.2</v>
      </c>
      <c r="S117">
        <v>44.800000000000004</v>
      </c>
      <c r="T117">
        <v>176310.81066666628</v>
      </c>
      <c r="U117">
        <v>15019.199999999999</v>
      </c>
      <c r="V117">
        <v>162991.95009999999</v>
      </c>
      <c r="W117">
        <v>15019.199999999999</v>
      </c>
      <c r="X117">
        <v>202976.33369999999</v>
      </c>
      <c r="Y117">
        <v>15019.199999999999</v>
      </c>
      <c r="Z117">
        <v>195989.51560000001</v>
      </c>
      <c r="AA117">
        <v>0</v>
      </c>
      <c r="AB117">
        <v>3.5000000000000003E-2</v>
      </c>
      <c r="AC117">
        <v>1.1659999999999999</v>
      </c>
      <c r="AD117">
        <v>1.2009999999999998</v>
      </c>
      <c r="AE117">
        <v>1.1659999999999999</v>
      </c>
      <c r="AF117">
        <v>77792.348775952967</v>
      </c>
      <c r="AG117">
        <v>44784.932004664217</v>
      </c>
      <c r="AH117">
        <v>18567.957467475244</v>
      </c>
    </row>
    <row r="118" spans="1:34">
      <c r="A118">
        <v>45955</v>
      </c>
      <c r="B118">
        <v>77792.348775952967</v>
      </c>
      <c r="C118">
        <v>489.60599999999999</v>
      </c>
      <c r="D118">
        <v>1643538.2164867001</v>
      </c>
      <c r="E118">
        <v>-9077.7895981997717</v>
      </c>
      <c r="F118">
        <v>1.0111195696407902</v>
      </c>
      <c r="G118">
        <v>0</v>
      </c>
      <c r="H118">
        <v>66.428381142584342</v>
      </c>
      <c r="I118">
        <v>298</v>
      </c>
      <c r="J118">
        <v>-0.9141279881853337</v>
      </c>
      <c r="K118">
        <v>0.40542572835999729</v>
      </c>
      <c r="L118">
        <v>130773.2730821234</v>
      </c>
      <c r="M118">
        <v>173020.97051566088</v>
      </c>
      <c r="N118">
        <v>225138.18840221464</v>
      </c>
      <c r="O118">
        <v>57575.848315913776</v>
      </c>
      <c r="P118">
        <v>13139.926765396176</v>
      </c>
      <c r="Q118">
        <v>0</v>
      </c>
      <c r="R118">
        <v>5.2</v>
      </c>
      <c r="S118">
        <v>44.800000000000004</v>
      </c>
      <c r="T118">
        <v>127195.53079124575</v>
      </c>
      <c r="U118">
        <v>15019.199999999999</v>
      </c>
      <c r="V118">
        <v>120739.24830000001</v>
      </c>
      <c r="W118">
        <v>15019.199999999999</v>
      </c>
      <c r="X118">
        <v>162991.95009999999</v>
      </c>
      <c r="Y118">
        <v>15019.199999999999</v>
      </c>
      <c r="Z118">
        <v>202976.33369999999</v>
      </c>
      <c r="AA118">
        <v>3.5000000000000003E-2</v>
      </c>
      <c r="AB118">
        <v>1.1659999999999999</v>
      </c>
      <c r="AC118">
        <v>0.56899999999999995</v>
      </c>
      <c r="AD118">
        <v>1.7699999999999998</v>
      </c>
      <c r="AE118">
        <v>1.1659999999999999</v>
      </c>
      <c r="AF118">
        <v>44784.932004664217</v>
      </c>
      <c r="AG118">
        <v>18567.957467475244</v>
      </c>
      <c r="AH118">
        <v>10123.898591554334</v>
      </c>
    </row>
    <row r="119" spans="1:34">
      <c r="A119">
        <v>45956</v>
      </c>
      <c r="B119">
        <v>44784.932004664217</v>
      </c>
      <c r="C119">
        <v>489.58699999999999</v>
      </c>
      <c r="D119">
        <v>1637507.2197397</v>
      </c>
      <c r="E119">
        <v>-6030.9967470001429</v>
      </c>
      <c r="F119">
        <v>1.0074092459171549</v>
      </c>
      <c r="G119">
        <v>0</v>
      </c>
      <c r="H119">
        <v>63.106962085455123</v>
      </c>
      <c r="I119">
        <v>299</v>
      </c>
      <c r="J119">
        <v>-0.90701381280263615</v>
      </c>
      <c r="K119">
        <v>0.42110087079608916</v>
      </c>
      <c r="L119">
        <v>77792.348775952967</v>
      </c>
      <c r="M119">
        <v>130773.2730821234</v>
      </c>
      <c r="N119">
        <v>173020.97051566088</v>
      </c>
      <c r="O119">
        <v>59597.44767041102</v>
      </c>
      <c r="P119">
        <v>10229.760917854082</v>
      </c>
      <c r="Q119">
        <v>0</v>
      </c>
      <c r="R119">
        <v>5.2</v>
      </c>
      <c r="S119">
        <v>44.800000000000004</v>
      </c>
      <c r="T119">
        <v>84450.184620913526</v>
      </c>
      <c r="U119">
        <v>15019.199999999999</v>
      </c>
      <c r="V119">
        <v>70780.242159999994</v>
      </c>
      <c r="W119">
        <v>15019.199999999999</v>
      </c>
      <c r="X119">
        <v>120739.24830000001</v>
      </c>
      <c r="Y119">
        <v>15019.199999999999</v>
      </c>
      <c r="Z119">
        <v>162991.95009999999</v>
      </c>
      <c r="AA119">
        <v>1.1659999999999999</v>
      </c>
      <c r="AB119">
        <v>0.56899999999999995</v>
      </c>
      <c r="AC119">
        <v>4.3999999999999997E-2</v>
      </c>
      <c r="AD119">
        <v>1.7789999999999999</v>
      </c>
      <c r="AE119">
        <v>1.1659999999999999</v>
      </c>
      <c r="AF119">
        <v>18567.957467475244</v>
      </c>
      <c r="AG119">
        <v>10123.898591554334</v>
      </c>
      <c r="AH119">
        <v>10072.899036310992</v>
      </c>
    </row>
    <row r="120" spans="1:34">
      <c r="A120">
        <v>45957</v>
      </c>
      <c r="B120">
        <v>18567.957467475244</v>
      </c>
      <c r="C120">
        <v>489.56099999999998</v>
      </c>
      <c r="D120">
        <v>1631482.3951735001</v>
      </c>
      <c r="E120">
        <v>-6024.8245661999099</v>
      </c>
      <c r="F120">
        <v>1.0037027193749493</v>
      </c>
      <c r="G120">
        <v>0</v>
      </c>
      <c r="H120">
        <v>59.951613981182362</v>
      </c>
      <c r="I120">
        <v>300</v>
      </c>
      <c r="J120">
        <v>-0.89963086965224337</v>
      </c>
      <c r="K120">
        <v>0.43665123195606381</v>
      </c>
      <c r="L120">
        <v>44784.932004664217</v>
      </c>
      <c r="M120">
        <v>77792.348775952967</v>
      </c>
      <c r="N120">
        <v>130773.2730821234</v>
      </c>
      <c r="O120">
        <v>160128.78104252563</v>
      </c>
      <c r="P120">
        <v>10232.383184925226</v>
      </c>
      <c r="Q120">
        <v>0</v>
      </c>
      <c r="R120">
        <v>0</v>
      </c>
      <c r="S120">
        <v>44.800000000000004</v>
      </c>
      <c r="T120">
        <v>47048.412749364135</v>
      </c>
      <c r="U120">
        <v>15019.199999999999</v>
      </c>
      <c r="V120">
        <v>34727.267890000003</v>
      </c>
      <c r="W120">
        <v>15019.199999999999</v>
      </c>
      <c r="X120">
        <v>70780.242159999994</v>
      </c>
      <c r="Y120">
        <v>15019.199999999999</v>
      </c>
      <c r="Z120">
        <v>120739.24830000001</v>
      </c>
      <c r="AA120">
        <v>0.56899999999999995</v>
      </c>
      <c r="AB120">
        <v>4.3999999999999997E-2</v>
      </c>
      <c r="AC120">
        <v>8.9999999999999993E-3</v>
      </c>
      <c r="AD120">
        <v>0.622</v>
      </c>
      <c r="AE120">
        <v>0.56899999999999995</v>
      </c>
      <c r="AF120">
        <v>10123.898591554334</v>
      </c>
      <c r="AG120">
        <v>10072.899036310992</v>
      </c>
      <c r="AH120">
        <v>10077.865167052254</v>
      </c>
    </row>
    <row r="121" spans="1:34">
      <c r="A121">
        <v>45958</v>
      </c>
      <c r="B121">
        <v>10123.898591554334</v>
      </c>
      <c r="C121">
        <v>489.54199999999997</v>
      </c>
      <c r="D121">
        <v>1625463.7590197001</v>
      </c>
      <c r="E121">
        <v>-6018.6361537999474</v>
      </c>
      <c r="F121">
        <v>1</v>
      </c>
      <c r="G121">
        <v>0</v>
      </c>
      <c r="H121">
        <v>56.954033282123241</v>
      </c>
      <c r="I121">
        <v>301</v>
      </c>
      <c r="J121">
        <v>-0.89198134645954874</v>
      </c>
      <c r="K121">
        <v>0.45207220393230374</v>
      </c>
      <c r="L121">
        <v>18567.957467475244</v>
      </c>
      <c r="M121">
        <v>44784.932004664217</v>
      </c>
      <c r="N121">
        <v>77792.348775952967</v>
      </c>
      <c r="O121">
        <v>224197.73004406077</v>
      </c>
      <c r="P121">
        <v>9595.3837436983231</v>
      </c>
      <c r="Q121">
        <v>0</v>
      </c>
      <c r="R121">
        <v>0</v>
      </c>
      <c r="S121">
        <v>42.6</v>
      </c>
      <c r="T121">
        <v>24492.262687897932</v>
      </c>
      <c r="U121">
        <v>15019.199999999999</v>
      </c>
      <c r="V121">
        <v>8505.2347019999997</v>
      </c>
      <c r="W121">
        <v>15019.199999999999</v>
      </c>
      <c r="X121">
        <v>34727.267890000003</v>
      </c>
      <c r="Y121">
        <v>15019.199999999999</v>
      </c>
      <c r="Z121">
        <v>70780.242159999994</v>
      </c>
      <c r="AA121">
        <v>4.3999999999999997E-2</v>
      </c>
      <c r="AB121">
        <v>8.9999999999999993E-3</v>
      </c>
      <c r="AC121">
        <v>0.21099999999999999</v>
      </c>
      <c r="AD121">
        <v>0.26400000000000001</v>
      </c>
      <c r="AE121">
        <v>0.21099999999999999</v>
      </c>
      <c r="AF121">
        <v>10072.899036310992</v>
      </c>
      <c r="AG121">
        <v>10077.865167052254</v>
      </c>
      <c r="AH121">
        <v>10082.828486909842</v>
      </c>
    </row>
    <row r="122" spans="1:34">
      <c r="A122">
        <v>45959</v>
      </c>
      <c r="B122">
        <v>10072.899036310992</v>
      </c>
      <c r="C122">
        <v>489.52100000000002</v>
      </c>
      <c r="D122">
        <v>1619451.3170382001</v>
      </c>
      <c r="E122">
        <v>-6012.4419815000147</v>
      </c>
      <c r="F122">
        <v>0.99630109133584988</v>
      </c>
      <c r="G122">
        <v>0</v>
      </c>
      <c r="H122">
        <v>54.106331618017073</v>
      </c>
      <c r="I122">
        <v>302</v>
      </c>
      <c r="J122">
        <v>-0.88406750994336369</v>
      </c>
      <c r="K122">
        <v>0.46735921715800205</v>
      </c>
      <c r="L122">
        <v>10123.898591554334</v>
      </c>
      <c r="M122">
        <v>18567.957467475244</v>
      </c>
      <c r="N122">
        <v>44784.932004664217</v>
      </c>
      <c r="O122">
        <v>225138.18840221464</v>
      </c>
      <c r="P122">
        <v>41838.353770982081</v>
      </c>
      <c r="Q122">
        <v>0</v>
      </c>
      <c r="R122">
        <v>0</v>
      </c>
      <c r="S122">
        <v>41.2</v>
      </c>
      <c r="T122">
        <v>12921.585031780191</v>
      </c>
      <c r="U122">
        <v>15019.199999999999</v>
      </c>
      <c r="V122">
        <v>56.094737610000003</v>
      </c>
      <c r="W122">
        <v>15019.199999999999</v>
      </c>
      <c r="X122">
        <v>8505.2347019999997</v>
      </c>
      <c r="Y122">
        <v>15019.199999999999</v>
      </c>
      <c r="Z122">
        <v>34727.267890000003</v>
      </c>
      <c r="AA122">
        <v>8.9999999999999993E-3</v>
      </c>
      <c r="AB122">
        <v>0.21099999999999999</v>
      </c>
      <c r="AC122">
        <v>0.84799999999999998</v>
      </c>
      <c r="AD122">
        <v>1.0680000000000001</v>
      </c>
      <c r="AE122">
        <v>0.84799999999999998</v>
      </c>
      <c r="AF122">
        <v>10077.865167052254</v>
      </c>
      <c r="AG122">
        <v>10082.828486909842</v>
      </c>
      <c r="AH122">
        <v>8473.8119836439928</v>
      </c>
    </row>
    <row r="123" spans="1:34">
      <c r="A123">
        <v>45960</v>
      </c>
      <c r="B123">
        <v>10077.865167052254</v>
      </c>
      <c r="C123">
        <v>489.50198</v>
      </c>
      <c r="D123">
        <v>1613444.9319478001</v>
      </c>
      <c r="E123">
        <v>-6006.3850903999992</v>
      </c>
      <c r="F123">
        <v>0.99260590892586342</v>
      </c>
      <c r="G123">
        <v>0</v>
      </c>
      <c r="H123">
        <v>51.401015037116217</v>
      </c>
      <c r="I123">
        <v>303</v>
      </c>
      <c r="J123">
        <v>-0.8758917051442433</v>
      </c>
      <c r="K123">
        <v>0.48250774176121763</v>
      </c>
      <c r="L123">
        <v>10072.899036310992</v>
      </c>
      <c r="M123">
        <v>10123.898591554334</v>
      </c>
      <c r="N123">
        <v>18567.957467475244</v>
      </c>
      <c r="O123">
        <v>173020.97051566088</v>
      </c>
      <c r="P123">
        <v>42136.963545253326</v>
      </c>
      <c r="Q123">
        <v>0</v>
      </c>
      <c r="R123">
        <v>0</v>
      </c>
      <c r="S123">
        <v>20.6</v>
      </c>
      <c r="T123">
        <v>10091.554264972527</v>
      </c>
      <c r="U123">
        <v>15019.199999999999</v>
      </c>
      <c r="V123">
        <v>0</v>
      </c>
      <c r="W123">
        <v>15019.199999999999</v>
      </c>
      <c r="X123">
        <v>56.094737610000003</v>
      </c>
      <c r="Y123">
        <v>15019.199999999999</v>
      </c>
      <c r="Z123">
        <v>8505.2347019999997</v>
      </c>
      <c r="AA123">
        <v>0.21099999999999999</v>
      </c>
      <c r="AB123">
        <v>0.84799999999999998</v>
      </c>
      <c r="AC123">
        <v>0.105</v>
      </c>
      <c r="AD123">
        <v>1.1639999999999999</v>
      </c>
      <c r="AE123">
        <v>0.84799999999999998</v>
      </c>
      <c r="AF123">
        <v>10082.828486909842</v>
      </c>
      <c r="AG123">
        <v>8473.8119836439928</v>
      </c>
      <c r="AH123">
        <v>13211.637814588374</v>
      </c>
    </row>
    <row r="124" spans="1:34">
      <c r="A124">
        <v>45961</v>
      </c>
      <c r="B124">
        <v>10082.828486909842</v>
      </c>
      <c r="C124">
        <v>489.483</v>
      </c>
      <c r="D124">
        <v>1607444.5930314001</v>
      </c>
      <c r="E124">
        <v>-6000.3389163999818</v>
      </c>
      <c r="F124">
        <v>0.98891444617678392</v>
      </c>
      <c r="G124">
        <v>0</v>
      </c>
      <c r="H124">
        <v>48.830964285260407</v>
      </c>
      <c r="I124">
        <v>304</v>
      </c>
      <c r="J124">
        <v>-0.86745635472959715</v>
      </c>
      <c r="K124">
        <v>0.49751328890718027</v>
      </c>
      <c r="L124">
        <v>10077.865167052254</v>
      </c>
      <c r="M124">
        <v>10072.899036310992</v>
      </c>
      <c r="N124">
        <v>10123.898591554334</v>
      </c>
      <c r="O124">
        <v>130773.2730821234</v>
      </c>
      <c r="P124">
        <v>73149.231376409327</v>
      </c>
      <c r="Q124">
        <v>0</v>
      </c>
      <c r="R124">
        <v>0</v>
      </c>
      <c r="S124">
        <v>5.2</v>
      </c>
      <c r="T124">
        <v>10077.864230091029</v>
      </c>
      <c r="U124">
        <v>15019.199999999999</v>
      </c>
      <c r="V124">
        <v>0</v>
      </c>
      <c r="W124">
        <v>15019.199999999999</v>
      </c>
      <c r="X124">
        <v>0</v>
      </c>
      <c r="Y124">
        <v>15019.199999999999</v>
      </c>
      <c r="Z124">
        <v>56.094737610000003</v>
      </c>
      <c r="AA124">
        <v>0.84799999999999998</v>
      </c>
      <c r="AB124">
        <v>0.105</v>
      </c>
      <c r="AC124">
        <v>5.0000000000000001E-4</v>
      </c>
      <c r="AD124">
        <v>0.9534999999999999</v>
      </c>
      <c r="AE124">
        <v>0.84799999999999998</v>
      </c>
      <c r="AF124">
        <v>8473.8119836439928</v>
      </c>
      <c r="AG124">
        <v>13211.637814588374</v>
      </c>
      <c r="AH124">
        <v>6860.0464442048233</v>
      </c>
    </row>
    <row r="125" spans="1:34">
      <c r="A125">
        <v>45962</v>
      </c>
      <c r="B125">
        <v>8473.8119836439928</v>
      </c>
      <c r="C125">
        <v>489.483</v>
      </c>
      <c r="D125">
        <v>1607444.5930314001</v>
      </c>
      <c r="E125">
        <v>0</v>
      </c>
      <c r="F125">
        <v>0.98891444617678392</v>
      </c>
      <c r="G125">
        <v>25.2</v>
      </c>
      <c r="H125">
        <v>71.589416070997387</v>
      </c>
      <c r="I125">
        <v>305</v>
      </c>
      <c r="J125">
        <v>-0.8587639582758031</v>
      </c>
      <c r="K125">
        <v>0.51237141212842352</v>
      </c>
      <c r="L125">
        <v>10082.828486909842</v>
      </c>
      <c r="M125">
        <v>10077.865167052254</v>
      </c>
      <c r="N125">
        <v>10072.899036310992</v>
      </c>
      <c r="O125">
        <v>77792.348775952967</v>
      </c>
      <c r="P125">
        <v>57575.848315913776</v>
      </c>
      <c r="Q125">
        <v>25.2</v>
      </c>
      <c r="R125">
        <v>25.2</v>
      </c>
      <c r="S125">
        <v>30.4</v>
      </c>
      <c r="T125">
        <v>9544.8352125353631</v>
      </c>
      <c r="U125">
        <v>15019.199999999999</v>
      </c>
      <c r="V125">
        <v>0</v>
      </c>
      <c r="W125">
        <v>15019.199999999999</v>
      </c>
      <c r="X125">
        <v>0</v>
      </c>
      <c r="Y125">
        <v>15019.199999999999</v>
      </c>
      <c r="Z125">
        <v>0</v>
      </c>
      <c r="AA125">
        <v>0.105</v>
      </c>
      <c r="AB125">
        <v>5.0000000000000001E-4</v>
      </c>
      <c r="AC125">
        <v>0</v>
      </c>
      <c r="AD125">
        <v>0.1055</v>
      </c>
      <c r="AE125">
        <v>0.105</v>
      </c>
      <c r="AF125">
        <v>13211.637814588374</v>
      </c>
      <c r="AG125">
        <v>6860.0464442048233</v>
      </c>
      <c r="AH125">
        <v>10042.452992125218</v>
      </c>
    </row>
    <row r="126" spans="1:34">
      <c r="A126">
        <v>45963</v>
      </c>
      <c r="B126">
        <v>13211.637814588374</v>
      </c>
      <c r="C126">
        <v>489.483</v>
      </c>
      <c r="D126">
        <v>1607444.5930314001</v>
      </c>
      <c r="E126">
        <v>0</v>
      </c>
      <c r="F126">
        <v>0.98891444617678392</v>
      </c>
      <c r="G126">
        <v>9.4</v>
      </c>
      <c r="H126">
        <v>77.409945267447526</v>
      </c>
      <c r="I126">
        <v>306</v>
      </c>
      <c r="J126">
        <v>-0.84981709152752771</v>
      </c>
      <c r="K126">
        <v>0.52707770864237236</v>
      </c>
      <c r="L126">
        <v>8473.8119836439928</v>
      </c>
      <c r="M126">
        <v>10082.828486909842</v>
      </c>
      <c r="N126">
        <v>10077.865167052254</v>
      </c>
      <c r="O126">
        <v>44784.932004664217</v>
      </c>
      <c r="P126">
        <v>59597.44767041102</v>
      </c>
      <c r="Q126">
        <v>34.6</v>
      </c>
      <c r="R126">
        <v>34.6</v>
      </c>
      <c r="S126">
        <v>39.799999999999997</v>
      </c>
      <c r="T126">
        <v>10589.426095047404</v>
      </c>
      <c r="U126">
        <v>15019.199999999999</v>
      </c>
      <c r="V126">
        <v>0</v>
      </c>
      <c r="W126">
        <v>15019.199999999999</v>
      </c>
      <c r="X126">
        <v>0</v>
      </c>
      <c r="Y126">
        <v>15019.199999999999</v>
      </c>
      <c r="Z126">
        <v>0</v>
      </c>
      <c r="AA126">
        <v>5.0000000000000001E-4</v>
      </c>
      <c r="AB126">
        <v>0</v>
      </c>
      <c r="AC126">
        <v>0</v>
      </c>
      <c r="AD126">
        <v>5.0000000000000001E-4</v>
      </c>
      <c r="AE126">
        <v>5.0000000000000001E-4</v>
      </c>
      <c r="AF126">
        <v>6860.0464442048233</v>
      </c>
      <c r="AG126">
        <v>10042.452992125218</v>
      </c>
      <c r="AH126">
        <v>16504.947544731822</v>
      </c>
    </row>
    <row r="127" spans="1:34">
      <c r="A127">
        <v>45964</v>
      </c>
      <c r="B127">
        <v>6860.0464442048233</v>
      </c>
      <c r="C127">
        <v>489.45100000000002</v>
      </c>
      <c r="D127">
        <v>1598455.4724355999</v>
      </c>
      <c r="E127">
        <v>-8989.1205958002247</v>
      </c>
      <c r="F127">
        <v>0.98338425791763662</v>
      </c>
      <c r="G127">
        <v>0.6</v>
      </c>
      <c r="H127">
        <v>74.139448004075135</v>
      </c>
      <c r="I127">
        <v>307</v>
      </c>
      <c r="J127">
        <v>-0.84061840563447832</v>
      </c>
      <c r="K127">
        <v>0.54162782065598114</v>
      </c>
      <c r="L127">
        <v>13211.637814588374</v>
      </c>
      <c r="M127">
        <v>8473.8119836439928</v>
      </c>
      <c r="N127">
        <v>10082.828486909842</v>
      </c>
      <c r="O127">
        <v>18567.957467475244</v>
      </c>
      <c r="P127">
        <v>160128.78104252563</v>
      </c>
      <c r="Q127">
        <v>35.200000000000003</v>
      </c>
      <c r="R127">
        <v>35.200000000000003</v>
      </c>
      <c r="S127">
        <v>35.200000000000003</v>
      </c>
      <c r="T127">
        <v>9515.1654141457311</v>
      </c>
      <c r="U127">
        <v>15019.199999999999</v>
      </c>
      <c r="V127">
        <v>0</v>
      </c>
      <c r="W127">
        <v>15019.199999999999</v>
      </c>
      <c r="X127">
        <v>0</v>
      </c>
      <c r="Y127">
        <v>15019.199999999999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10042.452992125218</v>
      </c>
      <c r="AG127">
        <v>16504.947544731822</v>
      </c>
      <c r="AH127">
        <v>15909.049794822722</v>
      </c>
    </row>
    <row r="128" spans="1:34">
      <c r="A128">
        <v>45965</v>
      </c>
      <c r="B128">
        <v>10042.452992125218</v>
      </c>
      <c r="C128">
        <v>489.43799999999999</v>
      </c>
      <c r="D128">
        <v>1592470.1267521</v>
      </c>
      <c r="E128">
        <v>-5985.3456834999379</v>
      </c>
      <c r="F128">
        <v>0.97970201914098765</v>
      </c>
      <c r="G128">
        <v>0</v>
      </c>
      <c r="H128">
        <v>70.432475603871382</v>
      </c>
      <c r="I128">
        <v>308</v>
      </c>
      <c r="J128">
        <v>-0.83117062636580785</v>
      </c>
      <c r="K128">
        <v>0.55601743665704462</v>
      </c>
      <c r="L128">
        <v>6860.0464442048233</v>
      </c>
      <c r="M128">
        <v>13211.637814588374</v>
      </c>
      <c r="N128">
        <v>8473.8119836439928</v>
      </c>
      <c r="O128">
        <v>10123.898591554334</v>
      </c>
      <c r="P128">
        <v>224197.73004406077</v>
      </c>
      <c r="Q128">
        <v>10</v>
      </c>
      <c r="R128">
        <v>35.200000000000003</v>
      </c>
      <c r="S128">
        <v>35.200000000000003</v>
      </c>
      <c r="T128">
        <v>10038.045750306139</v>
      </c>
      <c r="U128">
        <v>15019.199999999999</v>
      </c>
      <c r="V128">
        <v>0</v>
      </c>
      <c r="W128">
        <v>15019.199999999999</v>
      </c>
      <c r="X128">
        <v>0</v>
      </c>
      <c r="Y128">
        <v>15019.199999999999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16504.947544731822</v>
      </c>
      <c r="AG128">
        <v>15909.049794822722</v>
      </c>
      <c r="AH128">
        <v>4769.2512178835768</v>
      </c>
    </row>
    <row r="129" spans="1:34">
      <c r="A129">
        <v>45966</v>
      </c>
      <c r="B129">
        <v>16504.947544731822</v>
      </c>
      <c r="C129">
        <v>489.45100000000002</v>
      </c>
      <c r="D129">
        <v>1598455.4724355999</v>
      </c>
      <c r="E129">
        <v>5985.3456834999379</v>
      </c>
      <c r="F129">
        <v>0.98338425791763662</v>
      </c>
      <c r="G129">
        <v>18.399999999999999</v>
      </c>
      <c r="H129">
        <v>85.310851823677808</v>
      </c>
      <c r="I129">
        <v>309</v>
      </c>
      <c r="J129">
        <v>-0.82147655330241454</v>
      </c>
      <c r="K129">
        <v>0.57024229269178672</v>
      </c>
      <c r="L129">
        <v>10042.452992125218</v>
      </c>
      <c r="M129">
        <v>6860.0464442048233</v>
      </c>
      <c r="N129">
        <v>13211.637814588374</v>
      </c>
      <c r="O129">
        <v>10072.899036310992</v>
      </c>
      <c r="P129">
        <v>225138.18840221464</v>
      </c>
      <c r="Q129">
        <v>19</v>
      </c>
      <c r="R129">
        <v>53.6</v>
      </c>
      <c r="S129">
        <v>53.6</v>
      </c>
      <c r="T129">
        <v>11135.815660353954</v>
      </c>
      <c r="U129">
        <v>15019.199999999999</v>
      </c>
      <c r="V129">
        <v>0</v>
      </c>
      <c r="W129">
        <v>15019.199999999999</v>
      </c>
      <c r="X129">
        <v>0</v>
      </c>
      <c r="Y129">
        <v>15019.199999999999</v>
      </c>
      <c r="Z129">
        <v>0</v>
      </c>
      <c r="AA129">
        <v>0</v>
      </c>
      <c r="AB129">
        <v>0</v>
      </c>
      <c r="AC129">
        <v>7.609</v>
      </c>
      <c r="AD129">
        <v>7.609</v>
      </c>
      <c r="AE129">
        <v>7.609</v>
      </c>
      <c r="AF129">
        <v>15909.049794822722</v>
      </c>
      <c r="AG129">
        <v>4769.2512178835768</v>
      </c>
      <c r="AH129">
        <v>41386.163178485738</v>
      </c>
    </row>
    <row r="130" spans="1:34">
      <c r="A130">
        <v>45967</v>
      </c>
      <c r="B130">
        <v>15909.049794822722</v>
      </c>
      <c r="C130">
        <v>489.45699999999999</v>
      </c>
      <c r="D130">
        <v>1598455.4724355999</v>
      </c>
      <c r="E130">
        <v>0</v>
      </c>
      <c r="F130">
        <v>0.98338425791763662</v>
      </c>
      <c r="G130">
        <v>0.4</v>
      </c>
      <c r="H130">
        <v>81.445309232493926</v>
      </c>
      <c r="I130">
        <v>310</v>
      </c>
      <c r="J130">
        <v>-0.81153905900736112</v>
      </c>
      <c r="K130">
        <v>0.58429817362836833</v>
      </c>
      <c r="L130">
        <v>16504.947544731822</v>
      </c>
      <c r="M130">
        <v>10042.452992125218</v>
      </c>
      <c r="N130">
        <v>6860.0464442048233</v>
      </c>
      <c r="O130">
        <v>10077.865167052254</v>
      </c>
      <c r="P130">
        <v>173020.97051566088</v>
      </c>
      <c r="Q130">
        <v>18.799999999999997</v>
      </c>
      <c r="R130">
        <v>54</v>
      </c>
      <c r="S130">
        <v>54</v>
      </c>
      <c r="T130">
        <v>14152.150110559922</v>
      </c>
      <c r="U130">
        <v>15019.199999999999</v>
      </c>
      <c r="V130">
        <v>0</v>
      </c>
      <c r="W130">
        <v>15019.199999999999</v>
      </c>
      <c r="X130">
        <v>0</v>
      </c>
      <c r="Y130">
        <v>15019.199999999999</v>
      </c>
      <c r="Z130">
        <v>0</v>
      </c>
      <c r="AA130">
        <v>0</v>
      </c>
      <c r="AB130">
        <v>7.609</v>
      </c>
      <c r="AC130">
        <v>0</v>
      </c>
      <c r="AD130">
        <v>7.609</v>
      </c>
      <c r="AE130">
        <v>7.609</v>
      </c>
      <c r="AF130">
        <v>4769.2512178835768</v>
      </c>
      <c r="AG130">
        <v>41386.163178485738</v>
      </c>
      <c r="AH130">
        <v>324364.26175055519</v>
      </c>
    </row>
    <row r="131" spans="1:34">
      <c r="A131">
        <v>45968</v>
      </c>
      <c r="B131">
        <v>4769.2512178835768</v>
      </c>
      <c r="C131">
        <v>489.44499999999999</v>
      </c>
      <c r="D131">
        <v>1595462.0162961001</v>
      </c>
      <c r="E131">
        <v>-2993.4561394997872</v>
      </c>
      <c r="F131">
        <v>0.98154265663745477</v>
      </c>
      <c r="G131">
        <v>0</v>
      </c>
      <c r="H131">
        <v>77.373043770869231</v>
      </c>
      <c r="I131">
        <v>311</v>
      </c>
      <c r="J131">
        <v>-0.80136108817467699</v>
      </c>
      <c r="K131">
        <v>0.59818091440591592</v>
      </c>
      <c r="L131">
        <v>15909.049794822722</v>
      </c>
      <c r="M131">
        <v>16504.947544731822</v>
      </c>
      <c r="N131">
        <v>10042.452992125218</v>
      </c>
      <c r="O131">
        <v>10082.828486909842</v>
      </c>
      <c r="P131">
        <v>130773.2730821234</v>
      </c>
      <c r="Q131">
        <v>18.799999999999997</v>
      </c>
      <c r="R131">
        <v>54</v>
      </c>
      <c r="S131">
        <v>54</v>
      </c>
      <c r="T131">
        <v>12394.416185812706</v>
      </c>
      <c r="U131">
        <v>15019.199999999999</v>
      </c>
      <c r="V131">
        <v>0</v>
      </c>
      <c r="W131">
        <v>15019.199999999999</v>
      </c>
      <c r="X131">
        <v>0</v>
      </c>
      <c r="Y131">
        <v>15019.199999999999</v>
      </c>
      <c r="Z131">
        <v>0</v>
      </c>
      <c r="AA131">
        <v>7.609</v>
      </c>
      <c r="AB131">
        <v>0</v>
      </c>
      <c r="AC131">
        <v>5.0000000000000001E-3</v>
      </c>
      <c r="AD131">
        <v>7.6139999999999999</v>
      </c>
      <c r="AE131">
        <v>7.609</v>
      </c>
      <c r="AF131">
        <v>41386.163178485738</v>
      </c>
      <c r="AG131">
        <v>324364.26175055519</v>
      </c>
      <c r="AH131">
        <v>368655.75888458063</v>
      </c>
    </row>
    <row r="132" spans="1:34">
      <c r="A132">
        <v>45969</v>
      </c>
      <c r="B132">
        <v>41386.163178485738</v>
      </c>
      <c r="C132">
        <v>489.464</v>
      </c>
      <c r="D132">
        <v>1601450.3446648</v>
      </c>
      <c r="E132">
        <v>5988.3283686998766</v>
      </c>
      <c r="F132">
        <v>0.98522673038900455</v>
      </c>
      <c r="G132">
        <v>0.4</v>
      </c>
      <c r="H132">
        <v>73.904391582325772</v>
      </c>
      <c r="I132">
        <v>312</v>
      </c>
      <c r="J132">
        <v>-0.79094565675677742</v>
      </c>
      <c r="K132">
        <v>0.61188640126872418</v>
      </c>
      <c r="L132">
        <v>4769.2512178835768</v>
      </c>
      <c r="M132">
        <v>15909.049794822722</v>
      </c>
      <c r="N132">
        <v>16504.947544731822</v>
      </c>
      <c r="O132">
        <v>8473.8119836439928</v>
      </c>
      <c r="P132">
        <v>77792.348775952967</v>
      </c>
      <c r="Q132">
        <v>0.8</v>
      </c>
      <c r="R132">
        <v>29.199999999999996</v>
      </c>
      <c r="S132">
        <v>54.4</v>
      </c>
      <c r="T132">
        <v>20688.154730397346</v>
      </c>
      <c r="U132">
        <v>6753.5999999999995</v>
      </c>
      <c r="V132">
        <v>0</v>
      </c>
      <c r="W132">
        <v>15019.199999999999</v>
      </c>
      <c r="X132">
        <v>0</v>
      </c>
      <c r="Y132">
        <v>15019.199999999999</v>
      </c>
      <c r="Z132">
        <v>0</v>
      </c>
      <c r="AA132">
        <v>0</v>
      </c>
      <c r="AB132">
        <v>5.0000000000000001E-3</v>
      </c>
      <c r="AC132">
        <v>0</v>
      </c>
      <c r="AD132">
        <v>5.0000000000000001E-3</v>
      </c>
      <c r="AE132">
        <v>5.0000000000000001E-3</v>
      </c>
      <c r="AF132">
        <v>324364.26175055519</v>
      </c>
      <c r="AG132">
        <v>368655.75888458063</v>
      </c>
      <c r="AH132">
        <v>323848.51073321624</v>
      </c>
    </row>
    <row r="133" spans="1:34">
      <c r="A133">
        <v>45970</v>
      </c>
      <c r="B133">
        <v>324364.26175055519</v>
      </c>
      <c r="C133">
        <v>489.67700000000002</v>
      </c>
      <c r="D133">
        <v>1664741.6725647999</v>
      </c>
      <c r="E133">
        <v>63291.327899999917</v>
      </c>
      <c r="F133">
        <v>1.0241641275156992</v>
      </c>
      <c r="G133">
        <v>42.4</v>
      </c>
      <c r="H133">
        <v>112.60917200320947</v>
      </c>
      <c r="I133">
        <v>313</v>
      </c>
      <c r="J133">
        <v>-0.78029585107077604</v>
      </c>
      <c r="K133">
        <v>0.62541057298524572</v>
      </c>
      <c r="L133">
        <v>41386.163178485738</v>
      </c>
      <c r="M133">
        <v>4769.2512178835768</v>
      </c>
      <c r="N133">
        <v>15909.049794822722</v>
      </c>
      <c r="O133">
        <v>13211.637814588374</v>
      </c>
      <c r="P133">
        <v>44784.932004664217</v>
      </c>
      <c r="Q133">
        <v>42.8</v>
      </c>
      <c r="R133">
        <v>62.199999999999996</v>
      </c>
      <c r="S133">
        <v>96.8</v>
      </c>
      <c r="T133">
        <v>123506.5587156415</v>
      </c>
      <c r="U133">
        <v>696.59999999999991</v>
      </c>
      <c r="V133">
        <v>33810.935879999997</v>
      </c>
      <c r="W133">
        <v>6753.5999999999995</v>
      </c>
      <c r="X133">
        <v>0</v>
      </c>
      <c r="Y133">
        <v>15019.199999999999</v>
      </c>
      <c r="Z133">
        <v>0</v>
      </c>
      <c r="AA133">
        <v>5.0000000000000001E-3</v>
      </c>
      <c r="AB133">
        <v>0</v>
      </c>
      <c r="AC133">
        <v>0</v>
      </c>
      <c r="AD133">
        <v>5.0000000000000001E-3</v>
      </c>
      <c r="AE133">
        <v>5.0000000000000001E-3</v>
      </c>
      <c r="AF133">
        <v>368655.75888458063</v>
      </c>
      <c r="AG133">
        <v>323848.51073321624</v>
      </c>
      <c r="AH133">
        <v>280267.58193712565</v>
      </c>
    </row>
    <row r="134" spans="1:34">
      <c r="A134">
        <v>45971</v>
      </c>
      <c r="B134">
        <v>368655.75888458063</v>
      </c>
      <c r="C134">
        <v>489.721</v>
      </c>
      <c r="D134">
        <v>1679932.8392697</v>
      </c>
      <c r="E134">
        <v>15191.166704900097</v>
      </c>
      <c r="F134">
        <v>1.0335098706124641</v>
      </c>
      <c r="G134">
        <v>9.4</v>
      </c>
      <c r="H134">
        <v>116.37871340304899</v>
      </c>
      <c r="I134">
        <v>314</v>
      </c>
      <c r="J134">
        <v>-0.76941482688393814</v>
      </c>
      <c r="K134">
        <v>0.63874942205152685</v>
      </c>
      <c r="L134">
        <v>324364.26175055519</v>
      </c>
      <c r="M134">
        <v>41386.163178485738</v>
      </c>
      <c r="N134">
        <v>4769.2512178835768</v>
      </c>
      <c r="O134">
        <v>6860.0464442048233</v>
      </c>
      <c r="P134">
        <v>18567.957467475244</v>
      </c>
      <c r="Q134">
        <v>52.199999999999996</v>
      </c>
      <c r="R134">
        <v>71</v>
      </c>
      <c r="S134">
        <v>106.2</v>
      </c>
      <c r="T134">
        <v>244802.06127120717</v>
      </c>
      <c r="U134">
        <v>0</v>
      </c>
      <c r="V134">
        <v>272915.62709999998</v>
      </c>
      <c r="W134">
        <v>696.59999999999991</v>
      </c>
      <c r="X134">
        <v>33810.935879999997</v>
      </c>
      <c r="Y134">
        <v>6753.5999999999995</v>
      </c>
      <c r="Z134">
        <v>0</v>
      </c>
      <c r="AA134">
        <v>0</v>
      </c>
      <c r="AB134">
        <v>0</v>
      </c>
      <c r="AC134">
        <v>7.0999999999999994E-2</v>
      </c>
      <c r="AD134">
        <v>7.0999999999999994E-2</v>
      </c>
      <c r="AE134">
        <v>7.0999999999999994E-2</v>
      </c>
      <c r="AF134">
        <v>323848.51073321624</v>
      </c>
      <c r="AG134">
        <v>280267.58193712565</v>
      </c>
      <c r="AH134">
        <v>238079.59356554842</v>
      </c>
    </row>
    <row r="135" spans="1:34">
      <c r="A135">
        <v>45972</v>
      </c>
      <c r="B135">
        <v>323848.51073321624</v>
      </c>
      <c r="C135">
        <v>489.71499999999997</v>
      </c>
      <c r="D135">
        <v>1676891.4600323001</v>
      </c>
      <c r="E135">
        <v>-3041.3792373999022</v>
      </c>
      <c r="F135">
        <v>1.0316387866091923</v>
      </c>
      <c r="G135">
        <v>0</v>
      </c>
      <c r="H135">
        <v>110.55977773289653</v>
      </c>
      <c r="I135">
        <v>315</v>
      </c>
      <c r="J135">
        <v>-0.75830580847856255</v>
      </c>
      <c r="K135">
        <v>0.65189899587871247</v>
      </c>
      <c r="L135">
        <v>368655.75888458063</v>
      </c>
      <c r="M135">
        <v>324364.26175055519</v>
      </c>
      <c r="N135">
        <v>41386.163178485738</v>
      </c>
      <c r="O135">
        <v>10042.452992125218</v>
      </c>
      <c r="P135">
        <v>10123.898591554334</v>
      </c>
      <c r="Q135">
        <v>51.8</v>
      </c>
      <c r="R135">
        <v>71</v>
      </c>
      <c r="S135">
        <v>106.2</v>
      </c>
      <c r="T135">
        <v>338956.17712278402</v>
      </c>
      <c r="U135">
        <v>0</v>
      </c>
      <c r="V135">
        <v>355298.22330000001</v>
      </c>
      <c r="W135">
        <v>0</v>
      </c>
      <c r="X135">
        <v>272915.62709999998</v>
      </c>
      <c r="Y135">
        <v>696.59999999999991</v>
      </c>
      <c r="Z135">
        <v>33810.935879999997</v>
      </c>
      <c r="AA135">
        <v>0</v>
      </c>
      <c r="AB135">
        <v>7.0999999999999994E-2</v>
      </c>
      <c r="AC135">
        <v>5.9999999999999995E-4</v>
      </c>
      <c r="AD135">
        <v>7.1599999999999997E-2</v>
      </c>
      <c r="AE135">
        <v>7.0999999999999994E-2</v>
      </c>
      <c r="AF135">
        <v>280267.58193712565</v>
      </c>
      <c r="AG135">
        <v>238079.59356554842</v>
      </c>
      <c r="AH135">
        <v>213597.80433420843</v>
      </c>
    </row>
    <row r="136" spans="1:34">
      <c r="A136">
        <v>45973</v>
      </c>
      <c r="B136">
        <v>280267.58193712565</v>
      </c>
      <c r="C136">
        <v>489.702</v>
      </c>
      <c r="D136">
        <v>1673851.7406957999</v>
      </c>
      <c r="E136">
        <v>-3039.7193365001585</v>
      </c>
      <c r="F136">
        <v>1.0297687237919608</v>
      </c>
      <c r="G136">
        <v>0</v>
      </c>
      <c r="H136">
        <v>105.0317888462517</v>
      </c>
      <c r="I136">
        <v>316</v>
      </c>
      <c r="J136">
        <v>-0.7469720876965551</v>
      </c>
      <c r="K136">
        <v>0.66485539796428661</v>
      </c>
      <c r="L136">
        <v>323848.51073321624</v>
      </c>
      <c r="M136">
        <v>368655.75888458063</v>
      </c>
      <c r="N136">
        <v>324364.26175055519</v>
      </c>
      <c r="O136">
        <v>16504.947544731822</v>
      </c>
      <c r="P136">
        <v>10072.899036310992</v>
      </c>
      <c r="Q136">
        <v>9.4</v>
      </c>
      <c r="R136">
        <v>52.599999999999994</v>
      </c>
      <c r="S136">
        <v>106.2</v>
      </c>
      <c r="T136">
        <v>324257.28385164082</v>
      </c>
      <c r="U136">
        <v>0</v>
      </c>
      <c r="V136">
        <v>325864.47610000003</v>
      </c>
      <c r="W136">
        <v>0</v>
      </c>
      <c r="X136">
        <v>355298.22330000001</v>
      </c>
      <c r="Y136">
        <v>0</v>
      </c>
      <c r="Z136">
        <v>272915.62709999998</v>
      </c>
      <c r="AA136">
        <v>7.0999999999999994E-2</v>
      </c>
      <c r="AB136">
        <v>5.9999999999999995E-4</v>
      </c>
      <c r="AC136">
        <v>2.391</v>
      </c>
      <c r="AD136">
        <v>2.4626000000000001</v>
      </c>
      <c r="AE136">
        <v>2.391</v>
      </c>
      <c r="AF136">
        <v>238079.59356554842</v>
      </c>
      <c r="AG136">
        <v>213597.80433420843</v>
      </c>
      <c r="AH136">
        <v>192495.62577584962</v>
      </c>
    </row>
    <row r="137" spans="1:34">
      <c r="A137">
        <v>45974</v>
      </c>
      <c r="B137">
        <v>238079.59356554842</v>
      </c>
      <c r="C137">
        <v>489.68297999999999</v>
      </c>
      <c r="D137">
        <v>1667776.8298903999</v>
      </c>
      <c r="E137">
        <v>-6074.9108053999953</v>
      </c>
      <c r="F137">
        <v>1.026031383742581</v>
      </c>
      <c r="G137">
        <v>0</v>
      </c>
      <c r="H137">
        <v>99.780199403939108</v>
      </c>
      <c r="I137">
        <v>317</v>
      </c>
      <c r="J137">
        <v>-0.73541702296398581</v>
      </c>
      <c r="K137">
        <v>0.6776147890466887</v>
      </c>
      <c r="L137">
        <v>280267.58193712565</v>
      </c>
      <c r="M137">
        <v>323848.51073321624</v>
      </c>
      <c r="N137">
        <v>368655.75888458063</v>
      </c>
      <c r="O137">
        <v>15909.049794822722</v>
      </c>
      <c r="P137">
        <v>10077.865167052254</v>
      </c>
      <c r="Q137">
        <v>0</v>
      </c>
      <c r="R137">
        <v>52.199999999999996</v>
      </c>
      <c r="S137">
        <v>106.2</v>
      </c>
      <c r="T137">
        <v>280731.89541196346</v>
      </c>
      <c r="U137">
        <v>0</v>
      </c>
      <c r="V137">
        <v>282282.41340000002</v>
      </c>
      <c r="W137">
        <v>0</v>
      </c>
      <c r="X137">
        <v>325864.47610000003</v>
      </c>
      <c r="Y137">
        <v>0</v>
      </c>
      <c r="Z137">
        <v>355298.22330000001</v>
      </c>
      <c r="AA137">
        <v>5.9999999999999995E-4</v>
      </c>
      <c r="AB137">
        <v>2.391</v>
      </c>
      <c r="AC137">
        <v>0</v>
      </c>
      <c r="AD137">
        <v>2.3915999999999999</v>
      </c>
      <c r="AE137">
        <v>2.391</v>
      </c>
      <c r="AF137">
        <v>213597.80433420843</v>
      </c>
      <c r="AG137">
        <v>192495.62577584962</v>
      </c>
      <c r="AH137">
        <v>175733.50779371275</v>
      </c>
    </row>
    <row r="138" spans="1:34">
      <c r="A138">
        <v>45975</v>
      </c>
      <c r="B138">
        <v>213597.80433420843</v>
      </c>
      <c r="C138">
        <v>489.67099999999999</v>
      </c>
      <c r="D138">
        <v>1664741.6725647999</v>
      </c>
      <c r="E138">
        <v>-3035.1573256000411</v>
      </c>
      <c r="F138">
        <v>1.0241641275156992</v>
      </c>
      <c r="G138">
        <v>0</v>
      </c>
      <c r="H138">
        <v>94.791189433742147</v>
      </c>
      <c r="I138">
        <v>318</v>
      </c>
      <c r="J138">
        <v>-0.72364403829591228</v>
      </c>
      <c r="K138">
        <v>0.69017338824297203</v>
      </c>
      <c r="L138">
        <v>238079.59356554842</v>
      </c>
      <c r="M138">
        <v>280267.58193712565</v>
      </c>
      <c r="N138">
        <v>323848.51073321624</v>
      </c>
      <c r="O138">
        <v>4769.2512178835768</v>
      </c>
      <c r="P138">
        <v>10082.828486909842</v>
      </c>
      <c r="Q138">
        <v>0</v>
      </c>
      <c r="R138">
        <v>52.199999999999996</v>
      </c>
      <c r="S138">
        <v>106.2</v>
      </c>
      <c r="T138">
        <v>243981.65994562753</v>
      </c>
      <c r="U138">
        <v>0</v>
      </c>
      <c r="V138">
        <v>243130.6606</v>
      </c>
      <c r="W138">
        <v>0</v>
      </c>
      <c r="X138">
        <v>282282.41340000002</v>
      </c>
      <c r="Y138">
        <v>0</v>
      </c>
      <c r="Z138">
        <v>325864.47610000003</v>
      </c>
      <c r="AA138">
        <v>2.391</v>
      </c>
      <c r="AB138">
        <v>0</v>
      </c>
      <c r="AC138">
        <v>0</v>
      </c>
      <c r="AD138">
        <v>2.391</v>
      </c>
      <c r="AE138">
        <v>2.391</v>
      </c>
      <c r="AF138">
        <v>192495.62577584962</v>
      </c>
      <c r="AG138">
        <v>175733.50779371275</v>
      </c>
      <c r="AH138">
        <v>177813.58794291277</v>
      </c>
    </row>
    <row r="139" spans="1:34">
      <c r="A139">
        <v>45976</v>
      </c>
      <c r="B139">
        <v>192495.62577584962</v>
      </c>
      <c r="C139">
        <v>489.66399999999999</v>
      </c>
      <c r="D139">
        <v>1661708.0167959</v>
      </c>
      <c r="E139">
        <v>-3033.6557688999455</v>
      </c>
      <c r="F139">
        <v>1.0222977950600747</v>
      </c>
      <c r="G139">
        <v>0</v>
      </c>
      <c r="H139">
        <v>90.051629962055031</v>
      </c>
      <c r="I139">
        <v>319</v>
      </c>
      <c r="J139">
        <v>-0.71165662228177506</v>
      </c>
      <c r="K139">
        <v>0.70252747416915662</v>
      </c>
      <c r="L139">
        <v>213597.80433420843</v>
      </c>
      <c r="M139">
        <v>238079.59356554842</v>
      </c>
      <c r="N139">
        <v>280267.58193712565</v>
      </c>
      <c r="O139">
        <v>41386.163178485738</v>
      </c>
      <c r="P139">
        <v>8473.8119836439928</v>
      </c>
      <c r="Q139">
        <v>0</v>
      </c>
      <c r="R139">
        <v>51.8</v>
      </c>
      <c r="S139">
        <v>81</v>
      </c>
      <c r="T139">
        <v>214724.34122520217</v>
      </c>
      <c r="U139">
        <v>0</v>
      </c>
      <c r="V139">
        <v>215609.6355</v>
      </c>
      <c r="W139">
        <v>0</v>
      </c>
      <c r="X139">
        <v>243130.6606</v>
      </c>
      <c r="Y139">
        <v>0</v>
      </c>
      <c r="Z139">
        <v>282282.41340000002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175733.50779371275</v>
      </c>
      <c r="AG139">
        <v>177813.58794291277</v>
      </c>
      <c r="AH139">
        <v>478550.42526226019</v>
      </c>
    </row>
    <row r="140" spans="1:34">
      <c r="A140">
        <v>45977</v>
      </c>
      <c r="B140">
        <v>175733.50779371275</v>
      </c>
      <c r="C140">
        <v>489.65800000000002</v>
      </c>
      <c r="D140">
        <v>1658675.7961466999</v>
      </c>
      <c r="E140">
        <v>-3032.2206492000259</v>
      </c>
      <c r="F140">
        <v>1.0204323455030642</v>
      </c>
      <c r="G140">
        <v>0</v>
      </c>
      <c r="H140">
        <v>85.549048463952275</v>
      </c>
      <c r="I140">
        <v>320</v>
      </c>
      <c r="J140">
        <v>-0.69945832705164712</v>
      </c>
      <c r="K140">
        <v>0.71467338604296093</v>
      </c>
      <c r="L140">
        <v>192495.62577584962</v>
      </c>
      <c r="M140">
        <v>213597.80433420843</v>
      </c>
      <c r="N140">
        <v>238079.59356554842</v>
      </c>
      <c r="O140">
        <v>324364.26175055519</v>
      </c>
      <c r="P140">
        <v>13211.637814588374</v>
      </c>
      <c r="Q140">
        <v>0</v>
      </c>
      <c r="R140">
        <v>9.4</v>
      </c>
      <c r="S140">
        <v>71.599999999999994</v>
      </c>
      <c r="T140">
        <v>193942.31263459029</v>
      </c>
      <c r="U140">
        <v>0</v>
      </c>
      <c r="V140">
        <v>194506.47029999999</v>
      </c>
      <c r="W140">
        <v>0</v>
      </c>
      <c r="X140">
        <v>215609.6355</v>
      </c>
      <c r="Y140">
        <v>0</v>
      </c>
      <c r="Z140">
        <v>243130.6606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177813.58794291277</v>
      </c>
      <c r="AG140">
        <v>478550.42526226019</v>
      </c>
      <c r="AH140">
        <v>957422.96408633795</v>
      </c>
    </row>
    <row r="141" spans="1:34">
      <c r="A141">
        <v>45978</v>
      </c>
      <c r="B141">
        <v>177813.58794291277</v>
      </c>
      <c r="C141">
        <v>489.65697999999998</v>
      </c>
      <c r="D141">
        <v>1658675.7961466999</v>
      </c>
      <c r="E141">
        <v>0</v>
      </c>
      <c r="F141">
        <v>1.0204323455030642</v>
      </c>
      <c r="G141">
        <v>0</v>
      </c>
      <c r="H141">
        <v>81.271596040754659</v>
      </c>
      <c r="I141">
        <v>321</v>
      </c>
      <c r="J141">
        <v>-0.68705276722366748</v>
      </c>
      <c r="K141">
        <v>0.72660752476856505</v>
      </c>
      <c r="L141">
        <v>175733.50779371275</v>
      </c>
      <c r="M141">
        <v>192495.62577584962</v>
      </c>
      <c r="N141">
        <v>213597.80433420843</v>
      </c>
      <c r="O141">
        <v>368655.75888458063</v>
      </c>
      <c r="P141">
        <v>6860.0464442048233</v>
      </c>
      <c r="Q141">
        <v>0</v>
      </c>
      <c r="R141">
        <v>0</v>
      </c>
      <c r="S141">
        <v>71</v>
      </c>
      <c r="T141">
        <v>182014.24050415834</v>
      </c>
      <c r="U141">
        <v>0</v>
      </c>
      <c r="V141">
        <v>177743.4307</v>
      </c>
      <c r="W141">
        <v>0</v>
      </c>
      <c r="X141">
        <v>194506.47029999999</v>
      </c>
      <c r="Y141">
        <v>0</v>
      </c>
      <c r="Z141">
        <v>215609.6355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478550.42526226019</v>
      </c>
      <c r="AG141">
        <v>957422.96408633795</v>
      </c>
      <c r="AH141">
        <v>893123.02810431598</v>
      </c>
    </row>
    <row r="142" spans="1:34">
      <c r="A142">
        <v>45979</v>
      </c>
      <c r="B142">
        <v>478550.42526226019</v>
      </c>
      <c r="C142">
        <v>489.72699999999998</v>
      </c>
      <c r="D142">
        <v>1679932.8392697</v>
      </c>
      <c r="E142">
        <v>21257.043123000069</v>
      </c>
      <c r="F142">
        <v>1.0335098706124641</v>
      </c>
      <c r="G142">
        <v>41.2</v>
      </c>
      <c r="H142">
        <v>118.40801623871693</v>
      </c>
      <c r="I142">
        <v>322</v>
      </c>
      <c r="J142">
        <v>-0.67444361883294568</v>
      </c>
      <c r="K142">
        <v>0.73832635400310631</v>
      </c>
      <c r="L142">
        <v>177813.58794291277</v>
      </c>
      <c r="M142">
        <v>175733.50779371275</v>
      </c>
      <c r="N142">
        <v>192495.62577584962</v>
      </c>
      <c r="O142">
        <v>323848.51073321624</v>
      </c>
      <c r="P142">
        <v>10042.452992125218</v>
      </c>
      <c r="Q142">
        <v>41.2</v>
      </c>
      <c r="R142">
        <v>41.2</v>
      </c>
      <c r="S142">
        <v>112.2</v>
      </c>
      <c r="T142">
        <v>277365.84033296187</v>
      </c>
      <c r="U142">
        <v>0</v>
      </c>
      <c r="V142">
        <v>176791.29019999999</v>
      </c>
      <c r="W142">
        <v>0</v>
      </c>
      <c r="X142">
        <v>177743.4307</v>
      </c>
      <c r="Y142">
        <v>0</v>
      </c>
      <c r="Z142">
        <v>194506.47029999999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957422.96408633795</v>
      </c>
      <c r="AG142">
        <v>893123.02810431598</v>
      </c>
      <c r="AH142">
        <v>612855.68405975844</v>
      </c>
    </row>
    <row r="143" spans="1:34">
      <c r="A143">
        <v>45980</v>
      </c>
      <c r="B143">
        <v>957422.96408633795</v>
      </c>
      <c r="C143">
        <v>489.85700000000003</v>
      </c>
      <c r="D143">
        <v>1719668.7023854</v>
      </c>
      <c r="E143">
        <v>39735.863115699962</v>
      </c>
      <c r="F143">
        <v>1.0579557328442153</v>
      </c>
      <c r="G143">
        <v>31.2</v>
      </c>
      <c r="H143">
        <v>143.68761542678106</v>
      </c>
      <c r="I143">
        <v>323</v>
      </c>
      <c r="J143">
        <v>-0.66163461824227898</v>
      </c>
      <c r="K143">
        <v>0.749826401204568</v>
      </c>
      <c r="L143">
        <v>478550.42526226019</v>
      </c>
      <c r="M143">
        <v>177813.58794291277</v>
      </c>
      <c r="N143">
        <v>175733.50779371275</v>
      </c>
      <c r="O143">
        <v>280267.58193712565</v>
      </c>
      <c r="P143">
        <v>16504.947544731822</v>
      </c>
      <c r="Q143">
        <v>72.400000000000006</v>
      </c>
      <c r="R143">
        <v>72.400000000000006</v>
      </c>
      <c r="S143">
        <v>125</v>
      </c>
      <c r="T143">
        <v>537928.9924305036</v>
      </c>
      <c r="U143">
        <v>0</v>
      </c>
      <c r="V143">
        <v>468800.891</v>
      </c>
      <c r="W143">
        <v>0</v>
      </c>
      <c r="X143">
        <v>176791.29019999999</v>
      </c>
      <c r="Y143">
        <v>0</v>
      </c>
      <c r="Z143">
        <v>177743.4307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893123.02810431598</v>
      </c>
      <c r="AG143">
        <v>612855.68405975844</v>
      </c>
      <c r="AH143">
        <v>490683.84776837972</v>
      </c>
    </row>
    <row r="144" spans="1:34">
      <c r="A144">
        <v>45981</v>
      </c>
      <c r="B144">
        <v>893123.02810431598</v>
      </c>
      <c r="C144">
        <v>489.88997999999998</v>
      </c>
      <c r="D144">
        <v>1728897.6614808999</v>
      </c>
      <c r="E144">
        <v>9228.9590954999439</v>
      </c>
      <c r="F144">
        <v>1.0636334719167038</v>
      </c>
      <c r="G144">
        <v>16.399999999999999</v>
      </c>
      <c r="H144">
        <v>152.90323465544202</v>
      </c>
      <c r="I144">
        <v>324</v>
      </c>
      <c r="J144">
        <v>-0.64862956103498182</v>
      </c>
      <c r="K144">
        <v>0.76110425866077425</v>
      </c>
      <c r="L144">
        <v>957422.96408633795</v>
      </c>
      <c r="M144">
        <v>478550.42526226019</v>
      </c>
      <c r="N144">
        <v>177813.58794291277</v>
      </c>
      <c r="O144">
        <v>238079.59356554842</v>
      </c>
      <c r="P144">
        <v>15909.049794822722</v>
      </c>
      <c r="Q144">
        <v>88.800000000000011</v>
      </c>
      <c r="R144">
        <v>88.800000000000011</v>
      </c>
      <c r="S144">
        <v>141</v>
      </c>
      <c r="T144">
        <v>776365.47248430469</v>
      </c>
      <c r="U144">
        <v>0</v>
      </c>
      <c r="V144">
        <v>926241.01080000005</v>
      </c>
      <c r="W144">
        <v>0</v>
      </c>
      <c r="X144">
        <v>468800.891</v>
      </c>
      <c r="Y144">
        <v>0</v>
      </c>
      <c r="Z144">
        <v>176791.29019999999</v>
      </c>
      <c r="AA144">
        <v>0</v>
      </c>
      <c r="AB144">
        <v>0</v>
      </c>
      <c r="AC144">
        <v>7.5999999999999998E-2</v>
      </c>
      <c r="AD144">
        <v>7.5999999999999998E-2</v>
      </c>
      <c r="AE144">
        <v>7.5999999999999998E-2</v>
      </c>
      <c r="AF144">
        <v>612855.68405975844</v>
      </c>
      <c r="AG144">
        <v>490683.84776837972</v>
      </c>
      <c r="AH144">
        <v>433718.86956598249</v>
      </c>
    </row>
    <row r="145" spans="1:34">
      <c r="A145">
        <v>45982</v>
      </c>
      <c r="B145">
        <v>612855.68405975844</v>
      </c>
      <c r="C145">
        <v>489.81799999999998</v>
      </c>
      <c r="D145">
        <v>1707386.3914463001</v>
      </c>
      <c r="E145">
        <v>-21511.270034599816</v>
      </c>
      <c r="F145">
        <v>1.0503995441128793</v>
      </c>
      <c r="G145">
        <v>0</v>
      </c>
      <c r="H145">
        <v>145.25807292266992</v>
      </c>
      <c r="I145">
        <v>325</v>
      </c>
      <c r="J145">
        <v>-0.63543230089017755</v>
      </c>
      <c r="K145">
        <v>0.77215658449916413</v>
      </c>
      <c r="L145">
        <v>893123.02810431598</v>
      </c>
      <c r="M145">
        <v>957422.96408633795</v>
      </c>
      <c r="N145">
        <v>478550.42526226019</v>
      </c>
      <c r="O145">
        <v>213597.80433420843</v>
      </c>
      <c r="P145">
        <v>4769.2512178835768</v>
      </c>
      <c r="Q145">
        <v>47.599999999999994</v>
      </c>
      <c r="R145">
        <v>88.800000000000011</v>
      </c>
      <c r="S145">
        <v>141</v>
      </c>
      <c r="T145">
        <v>821133.89208347071</v>
      </c>
      <c r="U145">
        <v>0</v>
      </c>
      <c r="V145">
        <v>887904.93900000001</v>
      </c>
      <c r="W145">
        <v>0</v>
      </c>
      <c r="X145">
        <v>926241.01080000005</v>
      </c>
      <c r="Y145">
        <v>0</v>
      </c>
      <c r="Z145">
        <v>468800.891</v>
      </c>
      <c r="AA145">
        <v>0</v>
      </c>
      <c r="AB145">
        <v>7.5999999999999998E-2</v>
      </c>
      <c r="AC145">
        <v>0.45400000000000001</v>
      </c>
      <c r="AD145">
        <v>0.53</v>
      </c>
      <c r="AE145">
        <v>0.45400000000000001</v>
      </c>
      <c r="AF145">
        <v>490683.84776837972</v>
      </c>
      <c r="AG145">
        <v>433718.86956598249</v>
      </c>
      <c r="AH145">
        <v>379498.75290643546</v>
      </c>
    </row>
    <row r="146" spans="1:34">
      <c r="A146">
        <v>45983</v>
      </c>
      <c r="B146">
        <v>490683.84776837972</v>
      </c>
      <c r="C146">
        <v>489.774</v>
      </c>
      <c r="D146">
        <v>1695162.8519716</v>
      </c>
      <c r="E146">
        <v>-12223.539474700112</v>
      </c>
      <c r="F146">
        <v>1.0428795121177814</v>
      </c>
      <c r="G146">
        <v>0</v>
      </c>
      <c r="H146">
        <v>137.99516927653642</v>
      </c>
      <c r="I146">
        <v>326</v>
      </c>
      <c r="J146">
        <v>-0.62204674844086805</v>
      </c>
      <c r="K146">
        <v>0.7829801036770625</v>
      </c>
      <c r="L146">
        <v>612855.68405975844</v>
      </c>
      <c r="M146">
        <v>893123.02810431598</v>
      </c>
      <c r="N146">
        <v>957422.96408633795</v>
      </c>
      <c r="O146">
        <v>192495.62577584962</v>
      </c>
      <c r="P146">
        <v>41386.163178485738</v>
      </c>
      <c r="Q146">
        <v>16.399999999999999</v>
      </c>
      <c r="R146">
        <v>88.800000000000011</v>
      </c>
      <c r="S146">
        <v>140.6</v>
      </c>
      <c r="T146">
        <v>665554.18664415134</v>
      </c>
      <c r="U146">
        <v>0</v>
      </c>
      <c r="V146">
        <v>633332.48789999995</v>
      </c>
      <c r="W146">
        <v>0</v>
      </c>
      <c r="X146">
        <v>887904.93900000001</v>
      </c>
      <c r="Y146">
        <v>0</v>
      </c>
      <c r="Z146">
        <v>926241.01080000005</v>
      </c>
      <c r="AA146">
        <v>7.5999999999999998E-2</v>
      </c>
      <c r="AB146">
        <v>0.45400000000000001</v>
      </c>
      <c r="AC146">
        <v>4.3999999999999997E-2</v>
      </c>
      <c r="AD146">
        <v>0.57400000000000007</v>
      </c>
      <c r="AE146">
        <v>0.45400000000000001</v>
      </c>
      <c r="AF146">
        <v>433718.86956598249</v>
      </c>
      <c r="AG146">
        <v>379498.75290643546</v>
      </c>
      <c r="AH146">
        <v>345857.69810574956</v>
      </c>
    </row>
    <row r="147" spans="1:34">
      <c r="A147">
        <v>45984</v>
      </c>
      <c r="B147">
        <v>433718.86956598249</v>
      </c>
      <c r="C147">
        <v>489.75400000000002</v>
      </c>
      <c r="D147">
        <v>1689066.0691295001</v>
      </c>
      <c r="E147">
        <v>-6096.7828420998994</v>
      </c>
      <c r="F147">
        <v>1.0391287161936835</v>
      </c>
      <c r="G147">
        <v>0</v>
      </c>
      <c r="H147">
        <v>131.09541081270959</v>
      </c>
      <c r="I147">
        <v>327</v>
      </c>
      <c r="J147">
        <v>-0.60847687011512641</v>
      </c>
      <c r="K147">
        <v>0.79357160895214718</v>
      </c>
      <c r="L147">
        <v>490683.84776837972</v>
      </c>
      <c r="M147">
        <v>612855.68405975844</v>
      </c>
      <c r="N147">
        <v>893123.02810431598</v>
      </c>
      <c r="O147">
        <v>175733.50779371275</v>
      </c>
      <c r="P147">
        <v>324364.26175055519</v>
      </c>
      <c r="Q147">
        <v>0</v>
      </c>
      <c r="R147">
        <v>88.800000000000011</v>
      </c>
      <c r="S147">
        <v>98.199999999999989</v>
      </c>
      <c r="T147">
        <v>512419.46713137347</v>
      </c>
      <c r="U147">
        <v>0</v>
      </c>
      <c r="V147">
        <v>501878.75870000001</v>
      </c>
      <c r="W147">
        <v>0</v>
      </c>
      <c r="X147">
        <v>633332.48789999995</v>
      </c>
      <c r="Y147">
        <v>0</v>
      </c>
      <c r="Z147">
        <v>887904.93900000001</v>
      </c>
      <c r="AA147">
        <v>0.45400000000000001</v>
      </c>
      <c r="AB147">
        <v>4.3999999999999997E-2</v>
      </c>
      <c r="AC147">
        <v>0</v>
      </c>
      <c r="AD147">
        <v>0.498</v>
      </c>
      <c r="AE147">
        <v>0.45400000000000001</v>
      </c>
      <c r="AF147">
        <v>379498.75290643546</v>
      </c>
      <c r="AG147">
        <v>345857.69810574956</v>
      </c>
      <c r="AH147">
        <v>310615.11739972571</v>
      </c>
    </row>
    <row r="148" spans="1:34">
      <c r="A148">
        <v>45985</v>
      </c>
      <c r="B148">
        <v>379498.75290643546</v>
      </c>
      <c r="C148">
        <v>489.73399999999998</v>
      </c>
      <c r="D148">
        <v>1682975.6527668999</v>
      </c>
      <c r="E148">
        <v>-6090.4163626001682</v>
      </c>
      <c r="F148">
        <v>1.0353818369853318</v>
      </c>
      <c r="G148">
        <v>0</v>
      </c>
      <c r="H148">
        <v>124.5406402720741</v>
      </c>
      <c r="I148">
        <v>328</v>
      </c>
      <c r="J148">
        <v>-0.59472668696076403</v>
      </c>
      <c r="K148">
        <v>0.80392796183282078</v>
      </c>
      <c r="L148">
        <v>433718.86956598249</v>
      </c>
      <c r="M148">
        <v>490683.84776837972</v>
      </c>
      <c r="N148">
        <v>612855.68405975844</v>
      </c>
      <c r="O148">
        <v>177813.58794291277</v>
      </c>
      <c r="P148">
        <v>368655.75888458063</v>
      </c>
      <c r="Q148">
        <v>0</v>
      </c>
      <c r="R148">
        <v>88.800000000000011</v>
      </c>
      <c r="S148">
        <v>88.800000000000011</v>
      </c>
      <c r="T148">
        <v>434633.82341359922</v>
      </c>
      <c r="U148">
        <v>0</v>
      </c>
      <c r="V148">
        <v>438788.10629999998</v>
      </c>
      <c r="W148">
        <v>0</v>
      </c>
      <c r="X148">
        <v>501878.75870000001</v>
      </c>
      <c r="Y148">
        <v>0</v>
      </c>
      <c r="Z148">
        <v>633332.48789999995</v>
      </c>
      <c r="AA148">
        <v>4.3999999999999997E-2</v>
      </c>
      <c r="AB148">
        <v>0</v>
      </c>
      <c r="AC148">
        <v>1.4999999999999999E-4</v>
      </c>
      <c r="AD148">
        <v>4.4149999999999995E-2</v>
      </c>
      <c r="AE148">
        <v>4.3999999999999997E-2</v>
      </c>
      <c r="AF148">
        <v>345857.69810574956</v>
      </c>
      <c r="AG148">
        <v>310615.11739972571</v>
      </c>
      <c r="AH148">
        <v>288864.69826402166</v>
      </c>
    </row>
    <row r="149" spans="1:34">
      <c r="A149">
        <v>45986</v>
      </c>
      <c r="B149">
        <v>345857.69810574956</v>
      </c>
      <c r="C149">
        <v>489.721</v>
      </c>
      <c r="D149">
        <v>1679932.8392697</v>
      </c>
      <c r="E149">
        <v>-3042.8134971999098</v>
      </c>
      <c r="F149">
        <v>1.0335098706124641</v>
      </c>
      <c r="G149">
        <v>0</v>
      </c>
      <c r="H149">
        <v>118.3136082584704</v>
      </c>
      <c r="I149">
        <v>329</v>
      </c>
      <c r="J149">
        <v>-0.58080027345380125</v>
      </c>
      <c r="K149">
        <v>0.81404609350821755</v>
      </c>
      <c r="L149">
        <v>379498.75290643546</v>
      </c>
      <c r="M149">
        <v>433718.86956598249</v>
      </c>
      <c r="N149">
        <v>490683.84776837972</v>
      </c>
      <c r="O149">
        <v>478550.42526226019</v>
      </c>
      <c r="P149">
        <v>323848.51073321624</v>
      </c>
      <c r="Q149">
        <v>0</v>
      </c>
      <c r="R149">
        <v>47.599999999999994</v>
      </c>
      <c r="S149">
        <v>88.800000000000011</v>
      </c>
      <c r="T149">
        <v>386358.44019272254</v>
      </c>
      <c r="U149">
        <v>0</v>
      </c>
      <c r="V149">
        <v>384562.6948</v>
      </c>
      <c r="W149">
        <v>0</v>
      </c>
      <c r="X149">
        <v>438788.10629999998</v>
      </c>
      <c r="Y149">
        <v>0</v>
      </c>
      <c r="Z149">
        <v>501878.75870000001</v>
      </c>
      <c r="AA149">
        <v>0</v>
      </c>
      <c r="AB149">
        <v>1.4999999999999999E-4</v>
      </c>
      <c r="AC149">
        <v>6.3E-2</v>
      </c>
      <c r="AD149">
        <v>6.3149999999999998E-2</v>
      </c>
      <c r="AE149">
        <v>6.3E-2</v>
      </c>
      <c r="AF149">
        <v>310615.11739972571</v>
      </c>
      <c r="AG149">
        <v>288864.69826402166</v>
      </c>
      <c r="AH149">
        <v>272042.76256662153</v>
      </c>
    </row>
    <row r="150" spans="1:34">
      <c r="A150">
        <v>45987</v>
      </c>
      <c r="B150">
        <v>310615.11739972571</v>
      </c>
      <c r="C150">
        <v>489.70898</v>
      </c>
      <c r="D150">
        <v>1673851.7406957999</v>
      </c>
      <c r="E150">
        <v>-6081.0985739000607</v>
      </c>
      <c r="F150">
        <v>1.0297687237919608</v>
      </c>
      <c r="G150">
        <v>0</v>
      </c>
      <c r="H150">
        <v>112.39792784554687</v>
      </c>
      <c r="I150">
        <v>330</v>
      </c>
      <c r="J150">
        <v>-0.56670175629111841</v>
      </c>
      <c r="K150">
        <v>0.82392300575755362</v>
      </c>
      <c r="L150">
        <v>345857.69810574956</v>
      </c>
      <c r="M150">
        <v>379498.75290643546</v>
      </c>
      <c r="N150">
        <v>433718.86956598249</v>
      </c>
      <c r="O150">
        <v>957422.96408633795</v>
      </c>
      <c r="P150">
        <v>280267.58193712565</v>
      </c>
      <c r="Q150">
        <v>0</v>
      </c>
      <c r="R150">
        <v>16.399999999999999</v>
      </c>
      <c r="S150">
        <v>88.800000000000011</v>
      </c>
      <c r="T150">
        <v>345323.85613730358</v>
      </c>
      <c r="U150">
        <v>0</v>
      </c>
      <c r="V150">
        <v>347874.56880000001</v>
      </c>
      <c r="W150">
        <v>0</v>
      </c>
      <c r="X150">
        <v>384562.6948</v>
      </c>
      <c r="Y150">
        <v>0</v>
      </c>
      <c r="Z150">
        <v>438788.10629999998</v>
      </c>
      <c r="AA150">
        <v>1.4999999999999999E-4</v>
      </c>
      <c r="AB150">
        <v>6.3E-2</v>
      </c>
      <c r="AC150">
        <v>8.9860000000000007</v>
      </c>
      <c r="AD150">
        <v>9.0491500000000009</v>
      </c>
      <c r="AE150">
        <v>8.9860000000000007</v>
      </c>
      <c r="AF150">
        <v>288864.69826402166</v>
      </c>
      <c r="AG150">
        <v>272042.76256662153</v>
      </c>
      <c r="AH150">
        <v>252600.3418681483</v>
      </c>
    </row>
    <row r="151" spans="1:34">
      <c r="A151">
        <v>45988</v>
      </c>
      <c r="B151">
        <v>288864.69826402166</v>
      </c>
      <c r="C151">
        <v>489.697</v>
      </c>
      <c r="D151">
        <v>1670813.4823932</v>
      </c>
      <c r="E151">
        <v>-3038.2583025998902</v>
      </c>
      <c r="F151">
        <v>1.0278995598159937</v>
      </c>
      <c r="G151">
        <v>0</v>
      </c>
      <c r="H151">
        <v>106.77803145326952</v>
      </c>
      <c r="I151">
        <v>331</v>
      </c>
      <c r="J151">
        <v>-0.55243531316762029</v>
      </c>
      <c r="K151">
        <v>0.83355577183856955</v>
      </c>
      <c r="L151">
        <v>310615.11739972571</v>
      </c>
      <c r="M151">
        <v>345857.69810574956</v>
      </c>
      <c r="N151">
        <v>379498.75290643546</v>
      </c>
      <c r="O151">
        <v>893123.02810431598</v>
      </c>
      <c r="P151">
        <v>238079.59356554842</v>
      </c>
      <c r="Q151">
        <v>0</v>
      </c>
      <c r="R151">
        <v>0</v>
      </c>
      <c r="S151">
        <v>88.800000000000011</v>
      </c>
      <c r="T151">
        <v>315112.50458983233</v>
      </c>
      <c r="U151">
        <v>0</v>
      </c>
      <c r="V151">
        <v>315671.32809999998</v>
      </c>
      <c r="W151">
        <v>0</v>
      </c>
      <c r="X151">
        <v>347874.56880000001</v>
      </c>
      <c r="Y151">
        <v>0</v>
      </c>
      <c r="Z151">
        <v>384562.6948</v>
      </c>
      <c r="AA151">
        <v>6.3E-2</v>
      </c>
      <c r="AB151">
        <v>8.9860000000000007</v>
      </c>
      <c r="AC151">
        <v>8.1000000000000003E-2</v>
      </c>
      <c r="AD151">
        <v>9.1300000000000008</v>
      </c>
      <c r="AE151">
        <v>8.9860000000000007</v>
      </c>
      <c r="AF151">
        <v>272042.76256662153</v>
      </c>
      <c r="AG151">
        <v>252600.3418681483</v>
      </c>
      <c r="AH151">
        <v>244914.34617094841</v>
      </c>
    </row>
    <row r="152" spans="1:34">
      <c r="A152">
        <v>45989</v>
      </c>
      <c r="B152">
        <v>272042.76256662153</v>
      </c>
      <c r="C152">
        <v>489.69099999999997</v>
      </c>
      <c r="D152">
        <v>1670813.4823932</v>
      </c>
      <c r="E152">
        <v>0</v>
      </c>
      <c r="F152">
        <v>1.0278995598159937</v>
      </c>
      <c r="G152">
        <v>0</v>
      </c>
      <c r="H152">
        <v>101.43912988060605</v>
      </c>
      <c r="I152">
        <v>332</v>
      </c>
      <c r="J152">
        <v>-0.53800517153829919</v>
      </c>
      <c r="K152">
        <v>0.84294153735478317</v>
      </c>
      <c r="L152">
        <v>288864.69826402166</v>
      </c>
      <c r="M152">
        <v>310615.11739972571</v>
      </c>
      <c r="N152">
        <v>345857.69810574956</v>
      </c>
      <c r="O152">
        <v>612855.68405975844</v>
      </c>
      <c r="P152">
        <v>213597.80433420843</v>
      </c>
      <c r="Q152">
        <v>0</v>
      </c>
      <c r="R152">
        <v>0</v>
      </c>
      <c r="S152">
        <v>88.800000000000011</v>
      </c>
      <c r="T152">
        <v>290507.52607678965</v>
      </c>
      <c r="U152">
        <v>0</v>
      </c>
      <c r="V152">
        <v>290878.59220000001</v>
      </c>
      <c r="W152">
        <v>0</v>
      </c>
      <c r="X152">
        <v>315671.32809999998</v>
      </c>
      <c r="Y152">
        <v>0</v>
      </c>
      <c r="Z152">
        <v>347874.56880000001</v>
      </c>
      <c r="AA152">
        <v>8.9860000000000007</v>
      </c>
      <c r="AB152">
        <v>8.1000000000000003E-2</v>
      </c>
      <c r="AC152">
        <v>0</v>
      </c>
      <c r="AD152">
        <v>9.0670000000000002</v>
      </c>
      <c r="AE152">
        <v>8.9860000000000007</v>
      </c>
      <c r="AF152">
        <v>252600.3418681483</v>
      </c>
      <c r="AG152">
        <v>244914.34617094841</v>
      </c>
      <c r="AH152">
        <v>234203.99536424226</v>
      </c>
    </row>
    <row r="153" spans="1:34">
      <c r="A153">
        <v>45990</v>
      </c>
      <c r="B153">
        <v>252600.3418681483</v>
      </c>
      <c r="C153">
        <v>489.68400000000003</v>
      </c>
      <c r="D153">
        <v>1667776.8298903999</v>
      </c>
      <c r="E153">
        <v>-3036.6525028001051</v>
      </c>
      <c r="F153">
        <v>1.026031383742581</v>
      </c>
      <c r="G153">
        <v>0</v>
      </c>
      <c r="H153">
        <v>96.367173386575743</v>
      </c>
      <c r="I153">
        <v>333</v>
      </c>
      <c r="J153">
        <v>-0.52341560736555026</v>
      </c>
      <c r="K153">
        <v>0.8520775211013093</v>
      </c>
      <c r="L153">
        <v>272042.76256662153</v>
      </c>
      <c r="M153">
        <v>288864.69826402166</v>
      </c>
      <c r="N153">
        <v>310615.11739972571</v>
      </c>
      <c r="O153">
        <v>490683.84776837972</v>
      </c>
      <c r="P153">
        <v>192495.62577584962</v>
      </c>
      <c r="Q153">
        <v>0</v>
      </c>
      <c r="R153">
        <v>0</v>
      </c>
      <c r="S153">
        <v>88.800000000000011</v>
      </c>
      <c r="T153">
        <v>271169.26756626385</v>
      </c>
      <c r="U153">
        <v>0</v>
      </c>
      <c r="V153">
        <v>271018.3982</v>
      </c>
      <c r="W153">
        <v>0</v>
      </c>
      <c r="X153">
        <v>290878.59220000001</v>
      </c>
      <c r="Y153">
        <v>0</v>
      </c>
      <c r="Z153">
        <v>315671.32809999998</v>
      </c>
      <c r="AA153">
        <v>8.1000000000000003E-2</v>
      </c>
      <c r="AB153">
        <v>0</v>
      </c>
      <c r="AC153">
        <v>0</v>
      </c>
      <c r="AD153">
        <v>8.1000000000000003E-2</v>
      </c>
      <c r="AE153">
        <v>8.1000000000000003E-2</v>
      </c>
      <c r="AF153">
        <v>244914.34617094841</v>
      </c>
      <c r="AG153">
        <v>234203.99536424226</v>
      </c>
      <c r="AH153">
        <v>228969.81399944241</v>
      </c>
    </row>
    <row r="154" spans="1:34">
      <c r="A154">
        <v>45991</v>
      </c>
      <c r="B154">
        <v>244914.34617094841</v>
      </c>
      <c r="C154">
        <v>489.68400000000003</v>
      </c>
      <c r="D154">
        <v>1667776.8298903999</v>
      </c>
      <c r="E154">
        <v>0</v>
      </c>
      <c r="F154">
        <v>1.026031383742581</v>
      </c>
      <c r="G154">
        <v>0</v>
      </c>
      <c r="H154">
        <v>91.548814717246955</v>
      </c>
      <c r="I154">
        <v>334</v>
      </c>
      <c r="J154">
        <v>-0.50867094385210421</v>
      </c>
      <c r="K154">
        <v>0.86096101588899454</v>
      </c>
      <c r="L154">
        <v>252600.3418681483</v>
      </c>
      <c r="M154">
        <v>272042.76256662153</v>
      </c>
      <c r="N154">
        <v>288864.69826402166</v>
      </c>
      <c r="O154">
        <v>433718.86956598249</v>
      </c>
      <c r="P154">
        <v>175733.50779371275</v>
      </c>
      <c r="Q154">
        <v>0</v>
      </c>
      <c r="R154">
        <v>0</v>
      </c>
      <c r="S154">
        <v>88.800000000000011</v>
      </c>
      <c r="T154">
        <v>256519.15020190607</v>
      </c>
      <c r="U154">
        <v>0</v>
      </c>
      <c r="V154">
        <v>254613.15059999999</v>
      </c>
      <c r="W154">
        <v>0</v>
      </c>
      <c r="X154">
        <v>271018.3982</v>
      </c>
      <c r="Y154">
        <v>0</v>
      </c>
      <c r="Z154">
        <v>290878.59220000001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234203.99536424226</v>
      </c>
      <c r="AG154">
        <v>228969.81399944241</v>
      </c>
      <c r="AH154">
        <v>221736.01499944241</v>
      </c>
    </row>
    <row r="155" spans="1:34">
      <c r="A155">
        <v>45992</v>
      </c>
      <c r="B155">
        <v>234203.99536424226</v>
      </c>
      <c r="C155">
        <v>489.678</v>
      </c>
      <c r="D155">
        <v>1664741.6725647999</v>
      </c>
      <c r="E155">
        <v>-3035.1573256000411</v>
      </c>
      <c r="F155">
        <v>1.0241641275156992</v>
      </c>
      <c r="G155">
        <v>0</v>
      </c>
      <c r="H155">
        <v>86.971373981384602</v>
      </c>
      <c r="I155">
        <v>335</v>
      </c>
      <c r="J155">
        <v>-0.49377555015997737</v>
      </c>
      <c r="K155">
        <v>0.8695893893466109</v>
      </c>
      <c r="L155">
        <v>244914.34617094841</v>
      </c>
      <c r="M155">
        <v>252600.3418681483</v>
      </c>
      <c r="N155">
        <v>272042.76256662153</v>
      </c>
      <c r="O155">
        <v>379498.75290643546</v>
      </c>
      <c r="P155">
        <v>177813.58794291277</v>
      </c>
      <c r="Q155">
        <v>0</v>
      </c>
      <c r="R155">
        <v>0</v>
      </c>
      <c r="S155">
        <v>88.800000000000011</v>
      </c>
      <c r="T155">
        <v>243906.22780111301</v>
      </c>
      <c r="U155">
        <v>0</v>
      </c>
      <c r="V155">
        <v>243890.5024</v>
      </c>
      <c r="W155">
        <v>0</v>
      </c>
      <c r="X155">
        <v>254613.15059999999</v>
      </c>
      <c r="Y155">
        <v>0</v>
      </c>
      <c r="Z155">
        <v>271018.3982</v>
      </c>
      <c r="AA155">
        <v>0</v>
      </c>
      <c r="AB155">
        <v>0</v>
      </c>
      <c r="AC155">
        <v>0.26</v>
      </c>
      <c r="AD155">
        <v>0.26</v>
      </c>
      <c r="AE155">
        <v>0.26</v>
      </c>
      <c r="AF155">
        <v>228969.81399944241</v>
      </c>
      <c r="AG155">
        <v>221736.01499944241</v>
      </c>
      <c r="AH155">
        <v>209256.1982606207</v>
      </c>
    </row>
    <row r="156" spans="1:34">
      <c r="A156">
        <v>45993</v>
      </c>
      <c r="B156">
        <v>228969.81399944241</v>
      </c>
      <c r="C156">
        <v>489.67099999999999</v>
      </c>
      <c r="D156">
        <v>1664741.6725647999</v>
      </c>
      <c r="E156">
        <v>0</v>
      </c>
      <c r="F156">
        <v>1.0241641275156992</v>
      </c>
      <c r="G156">
        <v>0</v>
      </c>
      <c r="H156">
        <v>82.622805282315369</v>
      </c>
      <c r="I156">
        <v>336</v>
      </c>
      <c r="J156">
        <v>-0.47873384011578829</v>
      </c>
      <c r="K156">
        <v>0.87796008470088827</v>
      </c>
      <c r="L156">
        <v>234203.99536424226</v>
      </c>
      <c r="M156">
        <v>244914.34617094841</v>
      </c>
      <c r="N156">
        <v>252600.3418681483</v>
      </c>
      <c r="O156">
        <v>345857.69810574956</v>
      </c>
      <c r="P156">
        <v>478550.42526226019</v>
      </c>
      <c r="Q156">
        <v>0</v>
      </c>
      <c r="R156">
        <v>0</v>
      </c>
      <c r="S156">
        <v>47.599999999999994</v>
      </c>
      <c r="T156">
        <v>236029.38517821103</v>
      </c>
      <c r="U156">
        <v>0</v>
      </c>
      <c r="V156">
        <v>236252.95740000001</v>
      </c>
      <c r="W156">
        <v>0</v>
      </c>
      <c r="X156">
        <v>243890.5024</v>
      </c>
      <c r="Y156">
        <v>0</v>
      </c>
      <c r="Z156">
        <v>254613.15059999999</v>
      </c>
      <c r="AA156">
        <v>0</v>
      </c>
      <c r="AB156">
        <v>0.26</v>
      </c>
      <c r="AC156">
        <v>0</v>
      </c>
      <c r="AD156">
        <v>0.26</v>
      </c>
      <c r="AE156">
        <v>0.26</v>
      </c>
      <c r="AF156">
        <v>221736.01499944241</v>
      </c>
      <c r="AG156">
        <v>209256.1982606207</v>
      </c>
      <c r="AH156">
        <v>204367.78662952065</v>
      </c>
    </row>
    <row r="157" spans="1:34">
      <c r="A157">
        <v>45994</v>
      </c>
      <c r="B157">
        <v>221736.01499944241</v>
      </c>
      <c r="C157">
        <v>489.67099999999999</v>
      </c>
      <c r="D157">
        <v>1664741.6725647999</v>
      </c>
      <c r="E157">
        <v>0</v>
      </c>
      <c r="F157">
        <v>1.0241641275156992</v>
      </c>
      <c r="G157">
        <v>0</v>
      </c>
      <c r="H157">
        <v>78.491665018199598</v>
      </c>
      <c r="I157">
        <v>337</v>
      </c>
      <c r="J157">
        <v>-0.46355027090285122</v>
      </c>
      <c r="K157">
        <v>0.88607062153413785</v>
      </c>
      <c r="L157">
        <v>228969.81399944241</v>
      </c>
      <c r="M157">
        <v>234203.99536424226</v>
      </c>
      <c r="N157">
        <v>244914.34617094841</v>
      </c>
      <c r="O157">
        <v>310615.11739972571</v>
      </c>
      <c r="P157">
        <v>957422.96408633795</v>
      </c>
      <c r="Q157">
        <v>0</v>
      </c>
      <c r="R157">
        <v>0</v>
      </c>
      <c r="S157">
        <v>16.399999999999999</v>
      </c>
      <c r="T157">
        <v>228303.27478770903</v>
      </c>
      <c r="U157">
        <v>0</v>
      </c>
      <c r="V157">
        <v>227983.61859999999</v>
      </c>
      <c r="W157">
        <v>0</v>
      </c>
      <c r="X157">
        <v>236252.95740000001</v>
      </c>
      <c r="Y157">
        <v>0</v>
      </c>
      <c r="Z157">
        <v>243890.5024</v>
      </c>
      <c r="AA157">
        <v>0.26</v>
      </c>
      <c r="AB157">
        <v>0</v>
      </c>
      <c r="AC157">
        <v>0</v>
      </c>
      <c r="AD157">
        <v>0.26</v>
      </c>
      <c r="AE157">
        <v>0.26</v>
      </c>
      <c r="AF157">
        <v>209256.1982606207</v>
      </c>
      <c r="AG157">
        <v>204367.78662952065</v>
      </c>
      <c r="AH157">
        <v>195214.23592952066</v>
      </c>
    </row>
    <row r="158" spans="1:34">
      <c r="A158">
        <v>45995</v>
      </c>
      <c r="B158">
        <v>209256.1982606207</v>
      </c>
      <c r="C158">
        <v>489.66399999999999</v>
      </c>
      <c r="D158">
        <v>1661708.0167959</v>
      </c>
      <c r="E158">
        <v>-3033.6557688999455</v>
      </c>
      <c r="F158">
        <v>1.0222977950600747</v>
      </c>
      <c r="G158">
        <v>0</v>
      </c>
      <c r="H158">
        <v>74.567081767289608</v>
      </c>
      <c r="I158">
        <v>338</v>
      </c>
      <c r="J158">
        <v>-0.44822934174041063</v>
      </c>
      <c r="K158">
        <v>0.89391859651925698</v>
      </c>
      <c r="L158">
        <v>221736.01499944241</v>
      </c>
      <c r="M158">
        <v>228969.81399944241</v>
      </c>
      <c r="N158">
        <v>234203.99536424226</v>
      </c>
      <c r="O158">
        <v>288864.69826402166</v>
      </c>
      <c r="P158">
        <v>893123.02810431598</v>
      </c>
      <c r="Q158">
        <v>0</v>
      </c>
      <c r="R158">
        <v>0</v>
      </c>
      <c r="S158">
        <v>0</v>
      </c>
      <c r="T158">
        <v>219987.34241983519</v>
      </c>
      <c r="U158">
        <v>0</v>
      </c>
      <c r="V158">
        <v>220749.81959999999</v>
      </c>
      <c r="W158">
        <v>0</v>
      </c>
      <c r="X158">
        <v>227983.61859999999</v>
      </c>
      <c r="Y158">
        <v>0</v>
      </c>
      <c r="Z158">
        <v>236252.95740000001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204367.78662952065</v>
      </c>
      <c r="AG158">
        <v>195214.23592952066</v>
      </c>
      <c r="AH158">
        <v>178996.50787327875</v>
      </c>
    </row>
    <row r="159" spans="1:34">
      <c r="A159">
        <v>45996</v>
      </c>
      <c r="B159">
        <v>204367.78662952065</v>
      </c>
      <c r="C159">
        <v>489.66399999999999</v>
      </c>
      <c r="D159">
        <v>1661708.0167959</v>
      </c>
      <c r="E159">
        <v>0</v>
      </c>
      <c r="F159">
        <v>1.0222977950600747</v>
      </c>
      <c r="G159">
        <v>0</v>
      </c>
      <c r="H159">
        <v>70.838727678925125</v>
      </c>
      <c r="I159">
        <v>339</v>
      </c>
      <c r="J159">
        <v>-0.43277559255043169</v>
      </c>
      <c r="K159">
        <v>0.90150168413188381</v>
      </c>
      <c r="L159">
        <v>209256.1982606207</v>
      </c>
      <c r="M159">
        <v>221736.01499944241</v>
      </c>
      <c r="N159">
        <v>228969.81399944241</v>
      </c>
      <c r="O159">
        <v>272042.76256662153</v>
      </c>
      <c r="P159">
        <v>612855.68405975844</v>
      </c>
      <c r="Q159">
        <v>0</v>
      </c>
      <c r="R159">
        <v>0</v>
      </c>
      <c r="S159">
        <v>0</v>
      </c>
      <c r="T159">
        <v>211786.66662986125</v>
      </c>
      <c r="U159">
        <v>0</v>
      </c>
      <c r="V159">
        <v>211304.1551</v>
      </c>
      <c r="W159">
        <v>0</v>
      </c>
      <c r="X159">
        <v>220749.81959999999</v>
      </c>
      <c r="Y159">
        <v>0</v>
      </c>
      <c r="Z159">
        <v>227983.61859999999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195214.23592952066</v>
      </c>
      <c r="AG159">
        <v>178996.50787327875</v>
      </c>
      <c r="AH159">
        <v>176209.41962247877</v>
      </c>
    </row>
    <row r="160" spans="1:34">
      <c r="A160">
        <v>45997</v>
      </c>
      <c r="B160">
        <v>195214.23592952066</v>
      </c>
      <c r="C160">
        <v>489.66399999999999</v>
      </c>
      <c r="D160">
        <v>1661708.0167959</v>
      </c>
      <c r="E160">
        <v>0</v>
      </c>
      <c r="F160">
        <v>1.0222977950600747</v>
      </c>
      <c r="G160">
        <v>0</v>
      </c>
      <c r="H160">
        <v>67.29679129497886</v>
      </c>
      <c r="I160">
        <v>340</v>
      </c>
      <c r="J160">
        <v>-0.41719360261231697</v>
      </c>
      <c r="K160">
        <v>0.90881763733950283</v>
      </c>
      <c r="L160">
        <v>204367.78662952065</v>
      </c>
      <c r="M160">
        <v>209256.1982606207</v>
      </c>
      <c r="N160">
        <v>221736.01499944241</v>
      </c>
      <c r="O160">
        <v>252600.3418681483</v>
      </c>
      <c r="P160">
        <v>490683.84776837972</v>
      </c>
      <c r="Q160">
        <v>0</v>
      </c>
      <c r="R160">
        <v>0</v>
      </c>
      <c r="S160">
        <v>0</v>
      </c>
      <c r="T160">
        <v>202946.07360655398</v>
      </c>
      <c r="U160">
        <v>0</v>
      </c>
      <c r="V160">
        <v>203382.0877</v>
      </c>
      <c r="W160">
        <v>0</v>
      </c>
      <c r="X160">
        <v>211304.1551</v>
      </c>
      <c r="Y160">
        <v>0</v>
      </c>
      <c r="Z160">
        <v>220749.81959999999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178996.50787327875</v>
      </c>
      <c r="AG160">
        <v>176209.41962247877</v>
      </c>
      <c r="AH160">
        <v>163832.40842247877</v>
      </c>
    </row>
    <row r="161" spans="1:34">
      <c r="A161">
        <v>45998</v>
      </c>
      <c r="B161">
        <v>178996.50787327875</v>
      </c>
      <c r="C161">
        <v>489.65697999999998</v>
      </c>
      <c r="D161">
        <v>1658675.7961466999</v>
      </c>
      <c r="E161">
        <v>-3032.2206492000259</v>
      </c>
      <c r="F161">
        <v>1.0204323455030642</v>
      </c>
      <c r="G161">
        <v>0</v>
      </c>
      <c r="H161">
        <v>63.931951730229912</v>
      </c>
      <c r="I161">
        <v>341</v>
      </c>
      <c r="J161">
        <v>-0.40148798920597373</v>
      </c>
      <c r="K161">
        <v>0.91586428826728683</v>
      </c>
      <c r="L161">
        <v>195214.23592952066</v>
      </c>
      <c r="M161">
        <v>204367.78662952065</v>
      </c>
      <c r="N161">
        <v>209256.1982606207</v>
      </c>
      <c r="O161">
        <v>244914.34617094841</v>
      </c>
      <c r="P161">
        <v>433718.86956598249</v>
      </c>
      <c r="Q161">
        <v>0</v>
      </c>
      <c r="R161">
        <v>0</v>
      </c>
      <c r="S161">
        <v>0</v>
      </c>
      <c r="T161">
        <v>192859.51014410667</v>
      </c>
      <c r="U161">
        <v>0</v>
      </c>
      <c r="V161">
        <v>194228.53700000001</v>
      </c>
      <c r="W161">
        <v>0</v>
      </c>
      <c r="X161">
        <v>203382.0877</v>
      </c>
      <c r="Y161">
        <v>0</v>
      </c>
      <c r="Z161">
        <v>211304.1551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176209.41962247877</v>
      </c>
      <c r="AG161">
        <v>163832.40842247877</v>
      </c>
      <c r="AH161">
        <v>157267.65214386521</v>
      </c>
    </row>
    <row r="162" spans="1:34">
      <c r="A162">
        <v>45999</v>
      </c>
      <c r="B162">
        <v>176209.41962247877</v>
      </c>
      <c r="C162">
        <v>489.65697999999998</v>
      </c>
      <c r="D162">
        <v>1658675.7961466999</v>
      </c>
      <c r="E162">
        <v>0</v>
      </c>
      <c r="F162">
        <v>1.0204323455030642</v>
      </c>
      <c r="G162">
        <v>0</v>
      </c>
      <c r="H162">
        <v>60.735354143718411</v>
      </c>
      <c r="I162">
        <v>342</v>
      </c>
      <c r="J162">
        <v>-0.38566340624360745</v>
      </c>
      <c r="K162">
        <v>0.92263954884048749</v>
      </c>
      <c r="L162">
        <v>178996.50787327875</v>
      </c>
      <c r="M162">
        <v>195214.23592952066</v>
      </c>
      <c r="N162">
        <v>204367.78662952065</v>
      </c>
      <c r="O162">
        <v>234203.99536424226</v>
      </c>
      <c r="P162">
        <v>379498.75290643546</v>
      </c>
      <c r="Q162">
        <v>0</v>
      </c>
      <c r="R162">
        <v>0</v>
      </c>
      <c r="S162">
        <v>0</v>
      </c>
      <c r="T162">
        <v>183473.38780842605</v>
      </c>
      <c r="U162">
        <v>0</v>
      </c>
      <c r="V162">
        <v>181043.52470000001</v>
      </c>
      <c r="W162">
        <v>0</v>
      </c>
      <c r="X162">
        <v>194228.53700000001</v>
      </c>
      <c r="Y162">
        <v>0</v>
      </c>
      <c r="Z162">
        <v>203382.0877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163832.40842247877</v>
      </c>
      <c r="AG162">
        <v>157267.65214386521</v>
      </c>
      <c r="AH162">
        <v>145062.07728889663</v>
      </c>
    </row>
    <row r="163" spans="1:34">
      <c r="A163">
        <v>46000</v>
      </c>
      <c r="B163">
        <v>163832.40842247877</v>
      </c>
      <c r="C163">
        <v>489.65100000000001</v>
      </c>
      <c r="D163">
        <v>1658675.7961466999</v>
      </c>
      <c r="E163">
        <v>0</v>
      </c>
      <c r="F163">
        <v>1.0204323455030642</v>
      </c>
      <c r="G163">
        <v>0</v>
      </c>
      <c r="H163">
        <v>57.698586436532487</v>
      </c>
      <c r="I163">
        <v>343</v>
      </c>
      <c r="J163">
        <v>-0.36972454289067319</v>
      </c>
      <c r="K163">
        <v>0.9291414114031743</v>
      </c>
      <c r="L163">
        <v>176209.41962247877</v>
      </c>
      <c r="M163">
        <v>178996.50787327875</v>
      </c>
      <c r="N163">
        <v>195214.23592952066</v>
      </c>
      <c r="O163">
        <v>228969.81399944241</v>
      </c>
      <c r="P163">
        <v>345857.69810574956</v>
      </c>
      <c r="Q163">
        <v>0</v>
      </c>
      <c r="R163">
        <v>0</v>
      </c>
      <c r="S163">
        <v>0</v>
      </c>
      <c r="T163">
        <v>173012.77863941211</v>
      </c>
      <c r="U163">
        <v>0</v>
      </c>
      <c r="V163">
        <v>175224.21580000001</v>
      </c>
      <c r="W163">
        <v>0</v>
      </c>
      <c r="X163">
        <v>181043.52470000001</v>
      </c>
      <c r="Y163">
        <v>0</v>
      </c>
      <c r="Z163">
        <v>194228.53700000001</v>
      </c>
      <c r="AA163">
        <v>0</v>
      </c>
      <c r="AB163">
        <v>0</v>
      </c>
      <c r="AC163">
        <v>2.641</v>
      </c>
      <c r="AD163">
        <v>2.641</v>
      </c>
      <c r="AE163">
        <v>2.641</v>
      </c>
      <c r="AF163">
        <v>157267.65214386521</v>
      </c>
      <c r="AG163">
        <v>145062.07728889663</v>
      </c>
      <c r="AH163">
        <v>161541.79408427881</v>
      </c>
    </row>
    <row r="164" spans="1:34">
      <c r="A164">
        <v>46001</v>
      </c>
      <c r="B164">
        <v>157267.65214386521</v>
      </c>
      <c r="C164">
        <v>489.64499999999998</v>
      </c>
      <c r="D164">
        <v>1655645.1614623</v>
      </c>
      <c r="E164">
        <v>-3030.6346843999345</v>
      </c>
      <c r="F164">
        <v>1.018567871645937</v>
      </c>
      <c r="G164">
        <v>0</v>
      </c>
      <c r="H164">
        <v>54.813657114705862</v>
      </c>
      <c r="I164">
        <v>344</v>
      </c>
      <c r="J164">
        <v>-0.35367612217637207</v>
      </c>
      <c r="K164">
        <v>0.93536794931314804</v>
      </c>
      <c r="L164">
        <v>163832.40842247877</v>
      </c>
      <c r="M164">
        <v>176209.41962247877</v>
      </c>
      <c r="N164">
        <v>178996.50787327875</v>
      </c>
      <c r="O164">
        <v>221736.01499944241</v>
      </c>
      <c r="P164">
        <v>310615.11739972571</v>
      </c>
      <c r="Q164">
        <v>0</v>
      </c>
      <c r="R164">
        <v>0</v>
      </c>
      <c r="S164">
        <v>0</v>
      </c>
      <c r="T164">
        <v>165769.82672960756</v>
      </c>
      <c r="U164">
        <v>0</v>
      </c>
      <c r="V164">
        <v>162847.2046</v>
      </c>
      <c r="W164">
        <v>0</v>
      </c>
      <c r="X164">
        <v>175224.21580000001</v>
      </c>
      <c r="Y164">
        <v>0</v>
      </c>
      <c r="Z164">
        <v>181043.52470000001</v>
      </c>
      <c r="AA164">
        <v>0</v>
      </c>
      <c r="AB164">
        <v>2.641</v>
      </c>
      <c r="AC164">
        <v>4.2939999999999996</v>
      </c>
      <c r="AD164">
        <v>6.9349999999999996</v>
      </c>
      <c r="AE164">
        <v>4.2939999999999996</v>
      </c>
      <c r="AF164">
        <v>145062.07728889663</v>
      </c>
      <c r="AG164">
        <v>161541.79408427881</v>
      </c>
      <c r="AH164">
        <v>143688.1908044967</v>
      </c>
    </row>
    <row r="165" spans="1:34">
      <c r="A165">
        <v>46002</v>
      </c>
      <c r="B165">
        <v>145062.07728889663</v>
      </c>
      <c r="C165">
        <v>489.63799999999998</v>
      </c>
      <c r="D165">
        <v>1652616.0060848999</v>
      </c>
      <c r="E165">
        <v>-3029.1553774001077</v>
      </c>
      <c r="F165">
        <v>1.0167043078718501</v>
      </c>
      <c r="G165">
        <v>0</v>
      </c>
      <c r="H165">
        <v>52.072974258970568</v>
      </c>
      <c r="I165">
        <v>345</v>
      </c>
      <c r="J165">
        <v>-0.33752289959411347</v>
      </c>
      <c r="K165">
        <v>0.94131731751284697</v>
      </c>
      <c r="L165">
        <v>157267.65214386521</v>
      </c>
      <c r="M165">
        <v>163832.40842247877</v>
      </c>
      <c r="N165">
        <v>176209.41962247877</v>
      </c>
      <c r="O165">
        <v>209256.1982606207</v>
      </c>
      <c r="P165">
        <v>288864.69826402166</v>
      </c>
      <c r="Q165">
        <v>0</v>
      </c>
      <c r="R165">
        <v>0</v>
      </c>
      <c r="S165">
        <v>0</v>
      </c>
      <c r="T165">
        <v>155387.37928508021</v>
      </c>
      <c r="U165">
        <v>0</v>
      </c>
      <c r="V165">
        <v>159313.5778</v>
      </c>
      <c r="W165">
        <v>0</v>
      </c>
      <c r="X165">
        <v>162847.2046</v>
      </c>
      <c r="Y165">
        <v>0</v>
      </c>
      <c r="Z165">
        <v>175224.21580000001</v>
      </c>
      <c r="AA165">
        <v>2.641</v>
      </c>
      <c r="AB165">
        <v>4.2939999999999996</v>
      </c>
      <c r="AC165">
        <v>0.38</v>
      </c>
      <c r="AD165">
        <v>7.3149999999999995</v>
      </c>
      <c r="AE165">
        <v>4.2939999999999996</v>
      </c>
      <c r="AF165">
        <v>161541.79408427881</v>
      </c>
      <c r="AG165">
        <v>143688.1908044967</v>
      </c>
      <c r="AH165">
        <v>152568.33660566524</v>
      </c>
    </row>
    <row r="166" spans="1:34">
      <c r="A166">
        <v>46003</v>
      </c>
      <c r="B166">
        <v>161541.79408427881</v>
      </c>
      <c r="C166">
        <v>489.65100000000001</v>
      </c>
      <c r="D166">
        <v>1658675.7961466999</v>
      </c>
      <c r="E166">
        <v>6059.7900618000422</v>
      </c>
      <c r="F166">
        <v>1.0204323455030642</v>
      </c>
      <c r="G166">
        <v>0</v>
      </c>
      <c r="H166">
        <v>49.469325546022034</v>
      </c>
      <c r="I166">
        <v>346</v>
      </c>
      <c r="J166">
        <v>-0.32126966169236515</v>
      </c>
      <c r="K166">
        <v>0.94698775307607508</v>
      </c>
      <c r="L166">
        <v>145062.07728889663</v>
      </c>
      <c r="M166">
        <v>157267.65214386521</v>
      </c>
      <c r="N166">
        <v>163832.40842247877</v>
      </c>
      <c r="O166">
        <v>204367.78662952065</v>
      </c>
      <c r="P166">
        <v>272042.76256662153</v>
      </c>
      <c r="Q166">
        <v>0</v>
      </c>
      <c r="R166">
        <v>0</v>
      </c>
      <c r="S166">
        <v>0</v>
      </c>
      <c r="T166">
        <v>154623.84117234687</v>
      </c>
      <c r="U166">
        <v>0</v>
      </c>
      <c r="V166">
        <v>147107.0209</v>
      </c>
      <c r="W166">
        <v>0</v>
      </c>
      <c r="X166">
        <v>159313.5778</v>
      </c>
      <c r="Y166">
        <v>0</v>
      </c>
      <c r="Z166">
        <v>162847.2046</v>
      </c>
      <c r="AA166">
        <v>4.2939999999999996</v>
      </c>
      <c r="AB166">
        <v>0.38</v>
      </c>
      <c r="AC166">
        <v>0.36299999999999999</v>
      </c>
      <c r="AD166">
        <v>5.036999999999999</v>
      </c>
      <c r="AE166">
        <v>4.2939999999999996</v>
      </c>
      <c r="AF166">
        <v>143688.1908044967</v>
      </c>
      <c r="AG166">
        <v>152568.33660566524</v>
      </c>
      <c r="AH166">
        <v>147995.95882826514</v>
      </c>
    </row>
    <row r="167" spans="1:34">
      <c r="A167">
        <v>46004</v>
      </c>
      <c r="B167">
        <v>143688.1908044967</v>
      </c>
      <c r="C167">
        <v>489.63799999999998</v>
      </c>
      <c r="D167">
        <v>1652616.0060848999</v>
      </c>
      <c r="E167">
        <v>-6059.7900618000422</v>
      </c>
      <c r="F167">
        <v>1.0167043078718501</v>
      </c>
      <c r="G167">
        <v>0</v>
      </c>
      <c r="H167">
        <v>46.995859268720928</v>
      </c>
      <c r="I167">
        <v>347</v>
      </c>
      <c r="J167">
        <v>-0.3049212246562894</v>
      </c>
      <c r="K167">
        <v>0.95237757573039727</v>
      </c>
      <c r="L167">
        <v>161541.79408427881</v>
      </c>
      <c r="M167">
        <v>145062.07728889663</v>
      </c>
      <c r="N167">
        <v>157267.65214386521</v>
      </c>
      <c r="O167">
        <v>195214.23592952066</v>
      </c>
      <c r="P167">
        <v>252600.3418681483</v>
      </c>
      <c r="Q167">
        <v>0</v>
      </c>
      <c r="R167">
        <v>0</v>
      </c>
      <c r="S167">
        <v>0</v>
      </c>
      <c r="T167">
        <v>150097.35405922405</v>
      </c>
      <c r="U167">
        <v>0</v>
      </c>
      <c r="V167">
        <v>154496.8002</v>
      </c>
      <c r="W167">
        <v>0</v>
      </c>
      <c r="X167">
        <v>147107.0209</v>
      </c>
      <c r="Y167">
        <v>0</v>
      </c>
      <c r="Z167">
        <v>159313.5778</v>
      </c>
      <c r="AA167">
        <v>0.38</v>
      </c>
      <c r="AB167">
        <v>0.36299999999999999</v>
      </c>
      <c r="AC167">
        <v>0.76800000000000002</v>
      </c>
      <c r="AD167">
        <v>1.5110000000000001</v>
      </c>
      <c r="AE167">
        <v>0.76800000000000002</v>
      </c>
      <c r="AF167">
        <v>152568.33660566524</v>
      </c>
      <c r="AG167">
        <v>147995.95882826514</v>
      </c>
      <c r="AH167">
        <v>134491.21018889663</v>
      </c>
    </row>
    <row r="168" spans="1:34">
      <c r="A168">
        <v>46005</v>
      </c>
      <c r="B168">
        <v>152568.33660566524</v>
      </c>
      <c r="C168">
        <v>489.64400000000001</v>
      </c>
      <c r="D168">
        <v>1655645.1614623</v>
      </c>
      <c r="E168">
        <v>3029.1553774001077</v>
      </c>
      <c r="F168">
        <v>1.018567871645937</v>
      </c>
      <c r="G168">
        <v>0</v>
      </c>
      <c r="H168">
        <v>44.646066305284876</v>
      </c>
      <c r="I168">
        <v>348</v>
      </c>
      <c r="J168">
        <v>-0.28848243288060982</v>
      </c>
      <c r="K168">
        <v>0.95748518835503893</v>
      </c>
      <c r="L168">
        <v>143688.1908044967</v>
      </c>
      <c r="M168">
        <v>161541.79408427881</v>
      </c>
      <c r="N168">
        <v>145062.07728889663</v>
      </c>
      <c r="O168">
        <v>178996.50787327875</v>
      </c>
      <c r="P168">
        <v>244914.34617094841</v>
      </c>
      <c r="Q168">
        <v>0</v>
      </c>
      <c r="R168">
        <v>0</v>
      </c>
      <c r="S168">
        <v>0</v>
      </c>
      <c r="T168">
        <v>152599.44049814693</v>
      </c>
      <c r="U168">
        <v>0</v>
      </c>
      <c r="V168">
        <v>148763.7691</v>
      </c>
      <c r="W168">
        <v>0</v>
      </c>
      <c r="X168">
        <v>154496.8002</v>
      </c>
      <c r="Y168">
        <v>0</v>
      </c>
      <c r="Z168">
        <v>147107.0209</v>
      </c>
      <c r="AA168">
        <v>0.36299999999999999</v>
      </c>
      <c r="AB168">
        <v>0.76800000000000002</v>
      </c>
      <c r="AC168">
        <v>7.9000000000000001E-2</v>
      </c>
      <c r="AD168">
        <v>1.21</v>
      </c>
      <c r="AE168">
        <v>0.76800000000000002</v>
      </c>
      <c r="AF168">
        <v>147995.95882826514</v>
      </c>
      <c r="AG168">
        <v>134491.21018889663</v>
      </c>
      <c r="AH168">
        <v>135923.13246629672</v>
      </c>
    </row>
    <row r="169" spans="1:34">
      <c r="A169">
        <v>46006</v>
      </c>
      <c r="B169">
        <v>147995.95882826514</v>
      </c>
      <c r="C169">
        <v>489.64400000000001</v>
      </c>
      <c r="D169">
        <v>1655645.1614623</v>
      </c>
      <c r="E169">
        <v>0</v>
      </c>
      <c r="F169">
        <v>1.018567871645937</v>
      </c>
      <c r="G169">
        <v>0</v>
      </c>
      <c r="H169">
        <v>42.413762990020629</v>
      </c>
      <c r="I169">
        <v>349</v>
      </c>
      <c r="J169">
        <v>-0.27195815753410524</v>
      </c>
      <c r="K169">
        <v>0.96230907745414873</v>
      </c>
      <c r="L169">
        <v>152568.33660566524</v>
      </c>
      <c r="M169">
        <v>143688.1908044967</v>
      </c>
      <c r="N169">
        <v>161541.79408427881</v>
      </c>
      <c r="O169">
        <v>176209.41962247877</v>
      </c>
      <c r="P169">
        <v>234203.99536424226</v>
      </c>
      <c r="Q169">
        <v>0</v>
      </c>
      <c r="R169">
        <v>0</v>
      </c>
      <c r="S169">
        <v>0</v>
      </c>
      <c r="T169">
        <v>148084.16207947567</v>
      </c>
      <c r="U169">
        <v>0</v>
      </c>
      <c r="V169">
        <v>148554.47219999999</v>
      </c>
      <c r="W169">
        <v>0</v>
      </c>
      <c r="X169">
        <v>148763.7691</v>
      </c>
      <c r="Y169">
        <v>0</v>
      </c>
      <c r="Z169">
        <v>154496.8002</v>
      </c>
      <c r="AA169">
        <v>0.76800000000000002</v>
      </c>
      <c r="AB169">
        <v>7.9000000000000001E-2</v>
      </c>
      <c r="AC169">
        <v>0</v>
      </c>
      <c r="AD169">
        <v>0.84699999999999998</v>
      </c>
      <c r="AE169">
        <v>0.76800000000000002</v>
      </c>
      <c r="AF169">
        <v>134491.21018889663</v>
      </c>
      <c r="AG169">
        <v>135923.13246629672</v>
      </c>
      <c r="AH169">
        <v>126557.10026629671</v>
      </c>
    </row>
    <row r="170" spans="1:34">
      <c r="A170">
        <v>46007</v>
      </c>
      <c r="B170">
        <v>134491.21018889663</v>
      </c>
      <c r="C170">
        <v>489.63799999999998</v>
      </c>
      <c r="D170">
        <v>1652616.0060848999</v>
      </c>
      <c r="E170">
        <v>-3029.1553774001077</v>
      </c>
      <c r="F170">
        <v>1.0167043078718501</v>
      </c>
      <c r="G170">
        <v>0</v>
      </c>
      <c r="H170">
        <v>40.293074840519594</v>
      </c>
      <c r="I170">
        <v>350</v>
      </c>
      <c r="J170">
        <v>-0.25535329511618809</v>
      </c>
      <c r="K170">
        <v>0.96684781360527727</v>
      </c>
      <c r="L170">
        <v>147995.95882826514</v>
      </c>
      <c r="M170">
        <v>152568.33660566524</v>
      </c>
      <c r="N170">
        <v>143688.1908044967</v>
      </c>
      <c r="O170">
        <v>163832.40842247877</v>
      </c>
      <c r="P170">
        <v>228969.81399944241</v>
      </c>
      <c r="Q170">
        <v>0</v>
      </c>
      <c r="R170">
        <v>0</v>
      </c>
      <c r="S170">
        <v>0</v>
      </c>
      <c r="T170">
        <v>145018.50187427565</v>
      </c>
      <c r="U170">
        <v>0</v>
      </c>
      <c r="V170">
        <v>147011.24979999999</v>
      </c>
      <c r="W170">
        <v>0</v>
      </c>
      <c r="X170">
        <v>148554.47219999999</v>
      </c>
      <c r="Y170">
        <v>0</v>
      </c>
      <c r="Z170">
        <v>148763.7691</v>
      </c>
      <c r="AA170">
        <v>7.9000000000000001E-2</v>
      </c>
      <c r="AB170">
        <v>0</v>
      </c>
      <c r="AC170">
        <v>5.3979999999999997</v>
      </c>
      <c r="AD170">
        <v>5.4769999999999994</v>
      </c>
      <c r="AE170">
        <v>5.3979999999999997</v>
      </c>
      <c r="AF170">
        <v>135923.13246629672</v>
      </c>
      <c r="AG170">
        <v>126557.10026629671</v>
      </c>
      <c r="AH170">
        <v>115580.61307334204</v>
      </c>
    </row>
    <row r="171" spans="1:34">
      <c r="A171">
        <v>46008</v>
      </c>
      <c r="B171">
        <v>135923.13246629672</v>
      </c>
      <c r="C171">
        <v>489.63799999999998</v>
      </c>
      <c r="D171">
        <v>1652616.0060848999</v>
      </c>
      <c r="E171">
        <v>0</v>
      </c>
      <c r="F171">
        <v>1.0167043078718501</v>
      </c>
      <c r="G171">
        <v>0</v>
      </c>
      <c r="H171">
        <v>38.27842109849361</v>
      </c>
      <c r="I171">
        <v>351</v>
      </c>
      <c r="J171">
        <v>-0.23867276600594997</v>
      </c>
      <c r="K171">
        <v>0.97110005188295045</v>
      </c>
      <c r="L171">
        <v>134491.21018889663</v>
      </c>
      <c r="M171">
        <v>147995.95882826514</v>
      </c>
      <c r="N171">
        <v>152568.33660566524</v>
      </c>
      <c r="O171">
        <v>157267.65214386521</v>
      </c>
      <c r="P171">
        <v>221736.01499944241</v>
      </c>
      <c r="Q171">
        <v>0</v>
      </c>
      <c r="R171">
        <v>0</v>
      </c>
      <c r="S171">
        <v>0</v>
      </c>
      <c r="T171">
        <v>139470.10049448616</v>
      </c>
      <c r="U171">
        <v>0</v>
      </c>
      <c r="V171">
        <v>136536.1538</v>
      </c>
      <c r="W171">
        <v>0</v>
      </c>
      <c r="X171">
        <v>147011.24979999999</v>
      </c>
      <c r="Y171">
        <v>0</v>
      </c>
      <c r="Z171">
        <v>148554.47219999999</v>
      </c>
      <c r="AA171">
        <v>0</v>
      </c>
      <c r="AB171">
        <v>5.3979999999999997</v>
      </c>
      <c r="AC171">
        <v>1.171</v>
      </c>
      <c r="AD171">
        <v>6.569</v>
      </c>
      <c r="AE171">
        <v>5.3979999999999997</v>
      </c>
      <c r="AF171">
        <v>126557.10026629671</v>
      </c>
      <c r="AG171">
        <v>115580.61307334204</v>
      </c>
      <c r="AH171">
        <v>109427.09161854199</v>
      </c>
    </row>
    <row r="172" spans="1:34">
      <c r="A172">
        <v>46009</v>
      </c>
      <c r="B172">
        <v>126557.10026629671</v>
      </c>
      <c r="C172">
        <v>489.63099999999997</v>
      </c>
      <c r="D172">
        <v>1652616.0060848999</v>
      </c>
      <c r="E172">
        <v>0</v>
      </c>
      <c r="F172">
        <v>1.0167043078718501</v>
      </c>
      <c r="G172">
        <v>0</v>
      </c>
      <c r="H172">
        <v>36.364500043568924</v>
      </c>
      <c r="I172">
        <v>352</v>
      </c>
      <c r="J172">
        <v>-0.22192151300416674</v>
      </c>
      <c r="K172">
        <v>0.97506453225719447</v>
      </c>
      <c r="L172">
        <v>135923.13246629672</v>
      </c>
      <c r="M172">
        <v>134491.21018889663</v>
      </c>
      <c r="N172">
        <v>147995.95882826514</v>
      </c>
      <c r="O172">
        <v>145062.07728889663</v>
      </c>
      <c r="P172">
        <v>209256.1982606207</v>
      </c>
      <c r="Q172">
        <v>0</v>
      </c>
      <c r="R172">
        <v>0</v>
      </c>
      <c r="S172">
        <v>0</v>
      </c>
      <c r="T172">
        <v>132323.81430716335</v>
      </c>
      <c r="U172">
        <v>0</v>
      </c>
      <c r="V172">
        <v>134938.92069999999</v>
      </c>
      <c r="W172">
        <v>0</v>
      </c>
      <c r="X172">
        <v>136536.1538</v>
      </c>
      <c r="Y172">
        <v>0</v>
      </c>
      <c r="Z172">
        <v>147011.24979999999</v>
      </c>
      <c r="AA172">
        <v>5.3979999999999997</v>
      </c>
      <c r="AB172">
        <v>1.171</v>
      </c>
      <c r="AC172">
        <v>0</v>
      </c>
      <c r="AD172">
        <v>6.569</v>
      </c>
      <c r="AE172">
        <v>5.3979999999999997</v>
      </c>
      <c r="AF172">
        <v>115580.61307334204</v>
      </c>
      <c r="AG172">
        <v>109427.09161854199</v>
      </c>
      <c r="AH172">
        <v>112236.09011854199</v>
      </c>
    </row>
    <row r="173" spans="1:34">
      <c r="A173">
        <v>46010</v>
      </c>
      <c r="B173">
        <v>115580.61307334204</v>
      </c>
      <c r="C173">
        <v>489.625</v>
      </c>
      <c r="D173">
        <v>1649588.4715396999</v>
      </c>
      <c r="E173">
        <v>-3027.5345451999456</v>
      </c>
      <c r="F173">
        <v>1.0148417412483863</v>
      </c>
      <c r="G173">
        <v>0</v>
      </c>
      <c r="H173">
        <v>34.546275041390473</v>
      </c>
      <c r="I173">
        <v>353</v>
      </c>
      <c r="J173">
        <v>-0.20510449986861926</v>
      </c>
      <c r="K173">
        <v>0.97874007996691526</v>
      </c>
      <c r="L173">
        <v>126557.10026629671</v>
      </c>
      <c r="M173">
        <v>135923.13246629672</v>
      </c>
      <c r="N173">
        <v>134491.21018889663</v>
      </c>
      <c r="O173">
        <v>161541.79408427881</v>
      </c>
      <c r="P173">
        <v>204367.78662952065</v>
      </c>
      <c r="Q173">
        <v>0</v>
      </c>
      <c r="R173">
        <v>0</v>
      </c>
      <c r="S173">
        <v>0</v>
      </c>
      <c r="T173">
        <v>126020.28193531181</v>
      </c>
      <c r="U173">
        <v>0</v>
      </c>
      <c r="V173">
        <v>125572.8885</v>
      </c>
      <c r="W173">
        <v>0</v>
      </c>
      <c r="X173">
        <v>134938.92069999999</v>
      </c>
      <c r="Y173">
        <v>0</v>
      </c>
      <c r="Z173">
        <v>136536.1538</v>
      </c>
      <c r="AA173">
        <v>1.171</v>
      </c>
      <c r="AB173">
        <v>0</v>
      </c>
      <c r="AC173">
        <v>0</v>
      </c>
      <c r="AD173">
        <v>1.171</v>
      </c>
      <c r="AE173">
        <v>1.171</v>
      </c>
      <c r="AF173">
        <v>109427.09161854199</v>
      </c>
      <c r="AG173">
        <v>112236.09011854199</v>
      </c>
      <c r="AH173">
        <v>105147.56961854199</v>
      </c>
    </row>
    <row r="174" spans="1:34">
      <c r="A174">
        <v>46011</v>
      </c>
      <c r="B174">
        <v>109427.09161854199</v>
      </c>
      <c r="C174">
        <v>489.625</v>
      </c>
      <c r="D174">
        <v>1649588.4715396999</v>
      </c>
      <c r="E174">
        <v>0</v>
      </c>
      <c r="F174">
        <v>1.0148417412483863</v>
      </c>
      <c r="G174">
        <v>0</v>
      </c>
      <c r="H174">
        <v>32.818961289320946</v>
      </c>
      <c r="I174">
        <v>354</v>
      </c>
      <c r="J174">
        <v>-0.18822670984324391</v>
      </c>
      <c r="K174">
        <v>0.98212560586800057</v>
      </c>
      <c r="L174">
        <v>115580.61307334204</v>
      </c>
      <c r="M174">
        <v>126557.10026629671</v>
      </c>
      <c r="N174">
        <v>135923.13246629672</v>
      </c>
      <c r="O174">
        <v>143688.1908044967</v>
      </c>
      <c r="P174">
        <v>195214.23592952066</v>
      </c>
      <c r="Q174">
        <v>0</v>
      </c>
      <c r="R174">
        <v>0</v>
      </c>
      <c r="S174">
        <v>0</v>
      </c>
      <c r="T174">
        <v>117188.26831939358</v>
      </c>
      <c r="U174">
        <v>0</v>
      </c>
      <c r="V174">
        <v>117624.4418</v>
      </c>
      <c r="W174">
        <v>0</v>
      </c>
      <c r="X174">
        <v>125572.8885</v>
      </c>
      <c r="Y174">
        <v>0</v>
      </c>
      <c r="Z174">
        <v>134938.92069999999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112236.09011854199</v>
      </c>
      <c r="AG174">
        <v>105147.56961854199</v>
      </c>
      <c r="AH174">
        <v>97996.566070838511</v>
      </c>
    </row>
    <row r="175" spans="1:34">
      <c r="A175">
        <v>46012</v>
      </c>
      <c r="B175">
        <v>112236.09011854199</v>
      </c>
      <c r="C175">
        <v>489.625</v>
      </c>
      <c r="D175">
        <v>1649588.4715396999</v>
      </c>
      <c r="E175">
        <v>0</v>
      </c>
      <c r="F175">
        <v>1.0148417412483863</v>
      </c>
      <c r="G175">
        <v>0</v>
      </c>
      <c r="H175">
        <v>31.178013224854897</v>
      </c>
      <c r="I175">
        <v>355</v>
      </c>
      <c r="J175">
        <v>-0.17129314418147781</v>
      </c>
      <c r="K175">
        <v>0.98522010675606064</v>
      </c>
      <c r="L175">
        <v>109427.09161854199</v>
      </c>
      <c r="M175">
        <v>115580.61307334204</v>
      </c>
      <c r="N175">
        <v>126557.10026629671</v>
      </c>
      <c r="O175">
        <v>152568.33660566524</v>
      </c>
      <c r="P175">
        <v>178996.50787327875</v>
      </c>
      <c r="Q175">
        <v>0</v>
      </c>
      <c r="R175">
        <v>0</v>
      </c>
      <c r="S175">
        <v>0</v>
      </c>
      <c r="T175">
        <v>112414.59827014203</v>
      </c>
      <c r="U175">
        <v>0</v>
      </c>
      <c r="V175">
        <v>108443.3858</v>
      </c>
      <c r="W175">
        <v>0</v>
      </c>
      <c r="X175">
        <v>117624.4418</v>
      </c>
      <c r="Y175">
        <v>0</v>
      </c>
      <c r="Z175">
        <v>125572.8885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105147.56961854199</v>
      </c>
      <c r="AG175">
        <v>97996.566070838511</v>
      </c>
      <c r="AH175">
        <v>97696.448964138428</v>
      </c>
    </row>
    <row r="176" spans="1:34">
      <c r="A176">
        <v>46013</v>
      </c>
      <c r="B176">
        <v>105147.56961854199</v>
      </c>
      <c r="C176">
        <v>489.625</v>
      </c>
      <c r="D176">
        <v>1649588.4715396999</v>
      </c>
      <c r="E176">
        <v>0</v>
      </c>
      <c r="F176">
        <v>1.0148417412483863</v>
      </c>
      <c r="G176">
        <v>0</v>
      </c>
      <c r="H176">
        <v>29.619112563612152</v>
      </c>
      <c r="I176">
        <v>356</v>
      </c>
      <c r="J176">
        <v>-0.154308820664281</v>
      </c>
      <c r="K176">
        <v>0.98802266566369756</v>
      </c>
      <c r="L176">
        <v>112236.09011854199</v>
      </c>
      <c r="M176">
        <v>109427.09161854199</v>
      </c>
      <c r="N176">
        <v>115580.61307334204</v>
      </c>
      <c r="O176">
        <v>147995.95882826514</v>
      </c>
      <c r="P176">
        <v>176209.41962247877</v>
      </c>
      <c r="Q176">
        <v>0</v>
      </c>
      <c r="R176">
        <v>0</v>
      </c>
      <c r="S176">
        <v>0</v>
      </c>
      <c r="T176">
        <v>108936.917118542</v>
      </c>
      <c r="U176">
        <v>0</v>
      </c>
      <c r="V176">
        <v>111252.38430000001</v>
      </c>
      <c r="W176">
        <v>0</v>
      </c>
      <c r="X176">
        <v>108443.3858</v>
      </c>
      <c r="Y176">
        <v>0</v>
      </c>
      <c r="Z176">
        <v>117624.4418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97996.566070838511</v>
      </c>
      <c r="AG176">
        <v>97696.448964138428</v>
      </c>
      <c r="AH176">
        <v>99768.461594138425</v>
      </c>
    </row>
    <row r="177" spans="1:34">
      <c r="A177">
        <v>46014</v>
      </c>
      <c r="B177">
        <v>97996.566070838511</v>
      </c>
      <c r="C177">
        <v>489.61799999999999</v>
      </c>
      <c r="D177">
        <v>1646562.4785364</v>
      </c>
      <c r="E177">
        <v>-3025.9930032999255</v>
      </c>
      <c r="F177">
        <v>1.0129801229954363</v>
      </c>
      <c r="G177">
        <v>0</v>
      </c>
      <c r="H177">
        <v>28.138156935431542</v>
      </c>
      <c r="I177">
        <v>357</v>
      </c>
      <c r="J177">
        <v>-0.13727877211326517</v>
      </c>
      <c r="K177">
        <v>0.99053245213222274</v>
      </c>
      <c r="L177">
        <v>105147.56961854199</v>
      </c>
      <c r="M177">
        <v>112236.09011854199</v>
      </c>
      <c r="N177">
        <v>109427.09161854199</v>
      </c>
      <c r="O177">
        <v>134491.21018889663</v>
      </c>
      <c r="P177">
        <v>163832.40842247877</v>
      </c>
      <c r="Q177">
        <v>0</v>
      </c>
      <c r="R177">
        <v>0</v>
      </c>
      <c r="S177">
        <v>0</v>
      </c>
      <c r="T177">
        <v>105126.74193597418</v>
      </c>
      <c r="U177">
        <v>0</v>
      </c>
      <c r="V177">
        <v>104163.86380000001</v>
      </c>
      <c r="W177">
        <v>0</v>
      </c>
      <c r="X177">
        <v>111252.38430000001</v>
      </c>
      <c r="Y177">
        <v>0</v>
      </c>
      <c r="Z177">
        <v>108443.3858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97696.448964138428</v>
      </c>
      <c r="AG177">
        <v>99768.461594138425</v>
      </c>
      <c r="AH177">
        <v>98376.125304138433</v>
      </c>
    </row>
    <row r="178" spans="1:34">
      <c r="A178">
        <v>46015</v>
      </c>
      <c r="B178">
        <v>97696.448964138428</v>
      </c>
      <c r="C178">
        <v>489.61799999999999</v>
      </c>
      <c r="D178">
        <v>1646562.4785364</v>
      </c>
      <c r="E178">
        <v>0</v>
      </c>
      <c r="F178">
        <v>1.0129801229954363</v>
      </c>
      <c r="G178">
        <v>0</v>
      </c>
      <c r="H178">
        <v>26.731249088659965</v>
      </c>
      <c r="I178">
        <v>358</v>
      </c>
      <c r="J178">
        <v>-0.12020804489935275</v>
      </c>
      <c r="K178">
        <v>0.99274872245774015</v>
      </c>
      <c r="L178">
        <v>97996.566070838511</v>
      </c>
      <c r="M178">
        <v>105147.56961854199</v>
      </c>
      <c r="N178">
        <v>112236.09011854199</v>
      </c>
      <c r="O178">
        <v>135923.13246629672</v>
      </c>
      <c r="P178">
        <v>157267.65214386521</v>
      </c>
      <c r="Q178">
        <v>0</v>
      </c>
      <c r="R178">
        <v>0</v>
      </c>
      <c r="S178">
        <v>0</v>
      </c>
      <c r="T178">
        <v>100280.19488450633</v>
      </c>
      <c r="U178">
        <v>0</v>
      </c>
      <c r="V178">
        <v>100039.38280000001</v>
      </c>
      <c r="W178">
        <v>0</v>
      </c>
      <c r="X178">
        <v>104163.86380000001</v>
      </c>
      <c r="Y178">
        <v>0</v>
      </c>
      <c r="Z178">
        <v>111252.38430000001</v>
      </c>
      <c r="AA178">
        <v>0</v>
      </c>
      <c r="AB178">
        <v>0</v>
      </c>
      <c r="AC178">
        <v>1.0999999999999999E-2</v>
      </c>
      <c r="AD178">
        <v>1.0999999999999999E-2</v>
      </c>
      <c r="AE178">
        <v>1.0999999999999999E-2</v>
      </c>
      <c r="AF178">
        <v>99768.461594138425</v>
      </c>
      <c r="AG178">
        <v>98376.125304138433</v>
      </c>
      <c r="AH178">
        <v>91510.302444138433</v>
      </c>
    </row>
    <row r="179" spans="1:34">
      <c r="A179">
        <v>46016</v>
      </c>
      <c r="B179">
        <v>99768.461594138425</v>
      </c>
      <c r="C179">
        <v>489.61799999999999</v>
      </c>
      <c r="D179">
        <v>1646562.4785364</v>
      </c>
      <c r="E179">
        <v>0</v>
      </c>
      <c r="F179">
        <v>1.0129801229954363</v>
      </c>
      <c r="G179">
        <v>0</v>
      </c>
      <c r="H179">
        <v>25.394686634226964</v>
      </c>
      <c r="I179">
        <v>359</v>
      </c>
      <c r="J179">
        <v>-0.10310169744743544</v>
      </c>
      <c r="K179">
        <v>0.99467081991152106</v>
      </c>
      <c r="L179">
        <v>97696.448964138428</v>
      </c>
      <c r="M179">
        <v>97996.566070838511</v>
      </c>
      <c r="N179">
        <v>105147.56961854199</v>
      </c>
      <c r="O179">
        <v>126557.10026629671</v>
      </c>
      <c r="P179">
        <v>145062.07728889663</v>
      </c>
      <c r="Q179">
        <v>0</v>
      </c>
      <c r="R179">
        <v>0</v>
      </c>
      <c r="S179">
        <v>0</v>
      </c>
      <c r="T179">
        <v>98487.158876371788</v>
      </c>
      <c r="U179">
        <v>0</v>
      </c>
      <c r="V179">
        <v>96713.272689999998</v>
      </c>
      <c r="W179">
        <v>0</v>
      </c>
      <c r="X179">
        <v>100039.38280000001</v>
      </c>
      <c r="Y179">
        <v>0</v>
      </c>
      <c r="Z179">
        <v>104163.86380000001</v>
      </c>
      <c r="AA179">
        <v>0</v>
      </c>
      <c r="AB179">
        <v>1.0999999999999999E-2</v>
      </c>
      <c r="AC179">
        <v>1.339</v>
      </c>
      <c r="AD179">
        <v>1.3499999999999999</v>
      </c>
      <c r="AE179">
        <v>1.339</v>
      </c>
      <c r="AF179">
        <v>98376.125304138433</v>
      </c>
      <c r="AG179">
        <v>91510.302444138433</v>
      </c>
      <c r="AH179">
        <v>84241.414214138436</v>
      </c>
    </row>
    <row r="180" spans="1:34">
      <c r="A180">
        <v>46017</v>
      </c>
      <c r="B180">
        <v>98376.125304138433</v>
      </c>
      <c r="C180">
        <v>489.61900000000003</v>
      </c>
      <c r="D180">
        <v>1646562.4785364</v>
      </c>
      <c r="E180">
        <v>0</v>
      </c>
      <c r="F180">
        <v>1.0129801229954363</v>
      </c>
      <c r="G180">
        <v>0</v>
      </c>
      <c r="H180">
        <v>24.124952302515617</v>
      </c>
      <c r="I180">
        <v>360</v>
      </c>
      <c r="J180">
        <v>-8.5964798737446696E-2</v>
      </c>
      <c r="K180">
        <v>0.99629817493460771</v>
      </c>
      <c r="L180">
        <v>99768.461594138425</v>
      </c>
      <c r="M180">
        <v>97696.448964138428</v>
      </c>
      <c r="N180">
        <v>97996.566070838511</v>
      </c>
      <c r="O180">
        <v>115580.61307334204</v>
      </c>
      <c r="P180">
        <v>161541.79408427881</v>
      </c>
      <c r="Q180">
        <v>0</v>
      </c>
      <c r="R180">
        <v>0</v>
      </c>
      <c r="S180">
        <v>0</v>
      </c>
      <c r="T180">
        <v>98613.678620805105</v>
      </c>
      <c r="U180">
        <v>0</v>
      </c>
      <c r="V180">
        <v>98785.285319999995</v>
      </c>
      <c r="W180">
        <v>0</v>
      </c>
      <c r="X180">
        <v>96713.272689999998</v>
      </c>
      <c r="Y180">
        <v>0</v>
      </c>
      <c r="Z180">
        <v>100039.38280000001</v>
      </c>
      <c r="AA180">
        <v>1.0999999999999999E-2</v>
      </c>
      <c r="AB180">
        <v>1.339</v>
      </c>
      <c r="AC180">
        <v>0</v>
      </c>
      <c r="AD180">
        <v>1.3499999999999999</v>
      </c>
      <c r="AE180">
        <v>1.339</v>
      </c>
      <c r="AF180">
        <v>91510.302444138433</v>
      </c>
      <c r="AG180">
        <v>84241.414214138436</v>
      </c>
      <c r="AH180">
        <v>76839.843350189229</v>
      </c>
    </row>
    <row r="181" spans="1:34">
      <c r="A181">
        <v>46018</v>
      </c>
      <c r="B181">
        <v>91510.302444138433</v>
      </c>
      <c r="C181">
        <v>489.61799999999999</v>
      </c>
      <c r="D181">
        <v>1646562.4785364</v>
      </c>
      <c r="E181">
        <v>0</v>
      </c>
      <c r="F181">
        <v>1.0129801229954363</v>
      </c>
      <c r="G181">
        <v>0</v>
      </c>
      <c r="H181">
        <v>22.918704687389834</v>
      </c>
      <c r="I181">
        <v>361</v>
      </c>
      <c r="J181">
        <v>-6.880242680232064E-2</v>
      </c>
      <c r="K181">
        <v>0.9976303053065857</v>
      </c>
      <c r="L181">
        <v>98376.125304138433</v>
      </c>
      <c r="M181">
        <v>99768.461594138425</v>
      </c>
      <c r="N181">
        <v>97696.448964138428</v>
      </c>
      <c r="O181">
        <v>109427.09161854199</v>
      </c>
      <c r="P181">
        <v>143688.1908044967</v>
      </c>
      <c r="Q181">
        <v>0</v>
      </c>
      <c r="R181">
        <v>0</v>
      </c>
      <c r="S181">
        <v>0</v>
      </c>
      <c r="T181">
        <v>96551.629780805102</v>
      </c>
      <c r="U181">
        <v>0</v>
      </c>
      <c r="V181">
        <v>97392.949030000003</v>
      </c>
      <c r="W181">
        <v>0</v>
      </c>
      <c r="X181">
        <v>98785.285319999995</v>
      </c>
      <c r="Y181">
        <v>0</v>
      </c>
      <c r="Z181">
        <v>96713.272689999998</v>
      </c>
      <c r="AA181">
        <v>1.339</v>
      </c>
      <c r="AB181">
        <v>0</v>
      </c>
      <c r="AC181">
        <v>0</v>
      </c>
      <c r="AD181">
        <v>1.339</v>
      </c>
      <c r="AE181">
        <v>1.339</v>
      </c>
      <c r="AF181">
        <v>84241.414214138436</v>
      </c>
      <c r="AG181">
        <v>76839.843350189229</v>
      </c>
      <c r="AH181">
        <v>72948.155639889126</v>
      </c>
    </row>
    <row r="182" spans="1:34">
      <c r="A182">
        <v>46019</v>
      </c>
      <c r="B182">
        <v>84241.414214138436</v>
      </c>
      <c r="C182">
        <v>489.61200000000002</v>
      </c>
      <c r="D182">
        <v>1646562.4785364</v>
      </c>
      <c r="E182">
        <v>0</v>
      </c>
      <c r="F182">
        <v>1.0129801229954363</v>
      </c>
      <c r="G182">
        <v>0</v>
      </c>
      <c r="H182">
        <v>21.772769453020342</v>
      </c>
      <c r="I182">
        <v>362</v>
      </c>
      <c r="J182">
        <v>-5.161966722325418E-2</v>
      </c>
      <c r="K182">
        <v>0.99866681628847587</v>
      </c>
      <c r="L182">
        <v>91510.302444138433</v>
      </c>
      <c r="M182">
        <v>98376.125304138433</v>
      </c>
      <c r="N182">
        <v>99768.461594138425</v>
      </c>
      <c r="O182">
        <v>112236.09011854199</v>
      </c>
      <c r="P182">
        <v>152568.33660566524</v>
      </c>
      <c r="Q182">
        <v>0</v>
      </c>
      <c r="R182">
        <v>0</v>
      </c>
      <c r="S182">
        <v>0</v>
      </c>
      <c r="T182">
        <v>91375.947320805091</v>
      </c>
      <c r="U182">
        <v>0</v>
      </c>
      <c r="V182">
        <v>90527.126170000003</v>
      </c>
      <c r="W182">
        <v>0</v>
      </c>
      <c r="X182">
        <v>97392.949030000003</v>
      </c>
      <c r="Y182">
        <v>0</v>
      </c>
      <c r="Z182">
        <v>98785.285319999995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76839.843350189229</v>
      </c>
      <c r="AG182">
        <v>72948.155639889126</v>
      </c>
      <c r="AH182">
        <v>69626.237029889133</v>
      </c>
    </row>
    <row r="183" spans="1:34">
      <c r="A183">
        <v>46020</v>
      </c>
      <c r="B183">
        <v>76839.843350189229</v>
      </c>
      <c r="C183">
        <v>489.60599999999999</v>
      </c>
      <c r="D183">
        <v>1643538.2164867001</v>
      </c>
      <c r="E183">
        <v>-3024.2620496999007</v>
      </c>
      <c r="F183">
        <v>1.0111195696407902</v>
      </c>
      <c r="G183">
        <v>0</v>
      </c>
      <c r="H183">
        <v>20.684130980369325</v>
      </c>
      <c r="I183">
        <v>363</v>
      </c>
      <c r="J183">
        <v>-3.4421611622745804E-2</v>
      </c>
      <c r="K183">
        <v>0.9994074007397048</v>
      </c>
      <c r="L183">
        <v>84241.414214138436</v>
      </c>
      <c r="M183">
        <v>91510.302444138433</v>
      </c>
      <c r="N183">
        <v>98376.125304138433</v>
      </c>
      <c r="O183">
        <v>105147.56961854199</v>
      </c>
      <c r="P183">
        <v>147995.95882826514</v>
      </c>
      <c r="Q183">
        <v>0</v>
      </c>
      <c r="R183">
        <v>0</v>
      </c>
      <c r="S183">
        <v>0</v>
      </c>
      <c r="T183">
        <v>84197.186669488685</v>
      </c>
      <c r="U183">
        <v>0</v>
      </c>
      <c r="V183">
        <v>83258.237940000006</v>
      </c>
      <c r="W183">
        <v>0</v>
      </c>
      <c r="X183">
        <v>90527.126170000003</v>
      </c>
      <c r="Y183">
        <v>0</v>
      </c>
      <c r="Z183">
        <v>97392.949030000003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72948.155639889126</v>
      </c>
      <c r="AG183">
        <v>69626.237029889133</v>
      </c>
      <c r="AH183">
        <v>78402.863886589228</v>
      </c>
    </row>
    <row r="184" spans="1:34">
      <c r="A184">
        <v>46021</v>
      </c>
      <c r="B184">
        <v>72948.155639889126</v>
      </c>
      <c r="C184">
        <v>489.60599999999999</v>
      </c>
      <c r="D184">
        <v>1643538.2164867001</v>
      </c>
      <c r="E184">
        <v>0</v>
      </c>
      <c r="F184">
        <v>1.0111195696407902</v>
      </c>
      <c r="G184">
        <v>0</v>
      </c>
      <c r="H184">
        <v>19.649924431350858</v>
      </c>
      <c r="I184">
        <v>364</v>
      </c>
      <c r="J184">
        <v>-1.7213356155835281E-2</v>
      </c>
      <c r="K184">
        <v>0.99985183920911624</v>
      </c>
      <c r="L184">
        <v>76839.843350189229</v>
      </c>
      <c r="M184">
        <v>84241.414214138436</v>
      </c>
      <c r="N184">
        <v>91510.302444138433</v>
      </c>
      <c r="O184">
        <v>97996.566070838511</v>
      </c>
      <c r="P184">
        <v>134491.21018889663</v>
      </c>
      <c r="Q184">
        <v>0</v>
      </c>
      <c r="R184">
        <v>0</v>
      </c>
      <c r="S184">
        <v>0</v>
      </c>
      <c r="T184">
        <v>78009.804401405607</v>
      </c>
      <c r="U184">
        <v>0</v>
      </c>
      <c r="V184">
        <v>78883.483410000001</v>
      </c>
      <c r="W184">
        <v>0</v>
      </c>
      <c r="X184">
        <v>83258.237940000006</v>
      </c>
      <c r="Y184">
        <v>0</v>
      </c>
      <c r="Z184">
        <v>90527.126170000003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69626.237029889133</v>
      </c>
      <c r="AG184">
        <v>78402.863886589228</v>
      </c>
      <c r="AH184">
        <v>69911.657463295516</v>
      </c>
    </row>
    <row r="185" spans="1:34">
      <c r="A185">
        <v>46022</v>
      </c>
      <c r="B185">
        <v>69626.237029889133</v>
      </c>
      <c r="C185">
        <v>489.60599999999999</v>
      </c>
      <c r="D185">
        <v>1643538.2164867001</v>
      </c>
      <c r="E185">
        <v>0</v>
      </c>
      <c r="F185">
        <v>1.0111195696407902</v>
      </c>
      <c r="G185">
        <v>0</v>
      </c>
      <c r="H185">
        <v>18.667428209783314</v>
      </c>
      <c r="I185">
        <v>365</v>
      </c>
      <c r="J185">
        <v>6.4314872871840123E-16</v>
      </c>
      <c r="K185">
        <v>1</v>
      </c>
      <c r="L185">
        <v>72948.155639889126</v>
      </c>
      <c r="M185">
        <v>76839.843350189229</v>
      </c>
      <c r="N185">
        <v>84241.414214138436</v>
      </c>
      <c r="O185">
        <v>97696.448964138428</v>
      </c>
      <c r="P185">
        <v>135923.13246629672</v>
      </c>
      <c r="Q185">
        <v>0</v>
      </c>
      <c r="R185">
        <v>0</v>
      </c>
      <c r="S185">
        <v>0</v>
      </c>
      <c r="T185">
        <v>73138.078673322496</v>
      </c>
      <c r="U185">
        <v>0</v>
      </c>
      <c r="V185">
        <v>71967.533649999998</v>
      </c>
      <c r="W185">
        <v>0</v>
      </c>
      <c r="X185">
        <v>78883.483410000001</v>
      </c>
      <c r="Y185">
        <v>0</v>
      </c>
      <c r="Z185">
        <v>83258.237940000006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78402.863886589228</v>
      </c>
      <c r="AG185">
        <v>69911.657463295516</v>
      </c>
      <c r="AH185">
        <v>69280.778710895713</v>
      </c>
    </row>
    <row r="186" spans="1:34">
      <c r="A186">
        <v>46023</v>
      </c>
      <c r="B186">
        <v>78402.863886589228</v>
      </c>
      <c r="C186">
        <v>489.60599999999999</v>
      </c>
      <c r="D186">
        <v>1643538.2164867001</v>
      </c>
      <c r="E186">
        <v>0</v>
      </c>
      <c r="F186">
        <v>1.0111195696407902</v>
      </c>
      <c r="G186">
        <v>0</v>
      </c>
      <c r="H186">
        <v>17.734056799294148</v>
      </c>
      <c r="I186">
        <v>1</v>
      </c>
      <c r="J186">
        <v>1.7213356155834685E-2</v>
      </c>
      <c r="K186">
        <v>0.99985183920911624</v>
      </c>
      <c r="L186">
        <v>69626.237029889133</v>
      </c>
      <c r="M186">
        <v>72948.155639889126</v>
      </c>
      <c r="N186">
        <v>76839.843350189229</v>
      </c>
      <c r="O186">
        <v>99768.461594138425</v>
      </c>
      <c r="P186">
        <v>126557.10026629671</v>
      </c>
      <c r="Q186">
        <v>0</v>
      </c>
      <c r="R186">
        <v>0</v>
      </c>
      <c r="S186">
        <v>0</v>
      </c>
      <c r="T186">
        <v>73659.085518789172</v>
      </c>
      <c r="U186">
        <v>0</v>
      </c>
      <c r="V186">
        <v>68645.615040000004</v>
      </c>
      <c r="W186">
        <v>0</v>
      </c>
      <c r="X186">
        <v>71967.533649999998</v>
      </c>
      <c r="Y186">
        <v>0</v>
      </c>
      <c r="Z186">
        <v>78883.483410000001</v>
      </c>
      <c r="AA186">
        <v>0</v>
      </c>
      <c r="AB186">
        <v>0</v>
      </c>
      <c r="AC186">
        <v>1.462</v>
      </c>
      <c r="AD186">
        <v>1.462</v>
      </c>
      <c r="AE186">
        <v>1.462</v>
      </c>
      <c r="AF186">
        <v>69911.657463295516</v>
      </c>
      <c r="AG186">
        <v>69280.778710895713</v>
      </c>
      <c r="AH186">
        <v>67163.598170895712</v>
      </c>
    </row>
    <row r="187" spans="1:34">
      <c r="A187">
        <v>46024</v>
      </c>
      <c r="B187">
        <v>69911.657463295516</v>
      </c>
      <c r="C187">
        <v>489.59899999999999</v>
      </c>
      <c r="D187">
        <v>1640521.8742390999</v>
      </c>
      <c r="E187">
        <v>-3016.3422476002015</v>
      </c>
      <c r="F187">
        <v>1.0092638886199967</v>
      </c>
      <c r="G187">
        <v>0</v>
      </c>
      <c r="H187">
        <v>16.847353959329439</v>
      </c>
      <c r="I187">
        <v>2</v>
      </c>
      <c r="J187">
        <v>3.4421611622745742E-2</v>
      </c>
      <c r="K187">
        <v>0.9994074007397048</v>
      </c>
      <c r="L187">
        <v>78402.863886589228</v>
      </c>
      <c r="M187">
        <v>69626.237029889133</v>
      </c>
      <c r="N187">
        <v>72948.155639889126</v>
      </c>
      <c r="O187">
        <v>98376.125304138433</v>
      </c>
      <c r="P187">
        <v>115580.61307334204</v>
      </c>
      <c r="Q187">
        <v>0</v>
      </c>
      <c r="R187">
        <v>0</v>
      </c>
      <c r="S187">
        <v>0</v>
      </c>
      <c r="T187">
        <v>72646.919459924626</v>
      </c>
      <c r="U187">
        <v>0</v>
      </c>
      <c r="V187">
        <v>77422.241410000002</v>
      </c>
      <c r="W187">
        <v>0</v>
      </c>
      <c r="X187">
        <v>68645.615040000004</v>
      </c>
      <c r="Y187">
        <v>0</v>
      </c>
      <c r="Z187">
        <v>71967.533649999998</v>
      </c>
      <c r="AA187">
        <v>0</v>
      </c>
      <c r="AB187">
        <v>1.462</v>
      </c>
      <c r="AC187">
        <v>0.51300000000000001</v>
      </c>
      <c r="AD187">
        <v>1.9750000000000001</v>
      </c>
      <c r="AE187">
        <v>1.462</v>
      </c>
      <c r="AF187">
        <v>69280.778710895713</v>
      </c>
      <c r="AG187">
        <v>67163.598170895712</v>
      </c>
      <c r="AH187">
        <v>55671.367700895709</v>
      </c>
    </row>
    <row r="188" spans="1:34">
      <c r="A188">
        <v>46025</v>
      </c>
      <c r="B188">
        <v>69280.778710895713</v>
      </c>
      <c r="C188">
        <v>489.59899999999999</v>
      </c>
      <c r="D188">
        <v>1640521.8742390999</v>
      </c>
      <c r="E188">
        <v>0</v>
      </c>
      <c r="F188">
        <v>1.0092638886199967</v>
      </c>
      <c r="G188">
        <v>0</v>
      </c>
      <c r="H188">
        <v>16.004986261362966</v>
      </c>
      <c r="I188">
        <v>3</v>
      </c>
      <c r="J188">
        <v>5.1619667223253764E-2</v>
      </c>
      <c r="K188">
        <v>0.99866681628847598</v>
      </c>
      <c r="L188">
        <v>69911.657463295516</v>
      </c>
      <c r="M188">
        <v>78402.863886589228</v>
      </c>
      <c r="N188">
        <v>69626.237029889133</v>
      </c>
      <c r="O188">
        <v>91510.302444138433</v>
      </c>
      <c r="P188">
        <v>109427.09161854199</v>
      </c>
      <c r="Q188">
        <v>0</v>
      </c>
      <c r="R188">
        <v>0</v>
      </c>
      <c r="S188">
        <v>0</v>
      </c>
      <c r="T188">
        <v>72531.766686926814</v>
      </c>
      <c r="U188">
        <v>0</v>
      </c>
      <c r="V188">
        <v>71947.999150000003</v>
      </c>
      <c r="W188">
        <v>0</v>
      </c>
      <c r="X188">
        <v>77422.241410000002</v>
      </c>
      <c r="Y188">
        <v>0</v>
      </c>
      <c r="Z188">
        <v>68645.615040000004</v>
      </c>
      <c r="AA188">
        <v>1.462</v>
      </c>
      <c r="AB188">
        <v>0.51300000000000001</v>
      </c>
      <c r="AC188">
        <v>0.186</v>
      </c>
      <c r="AD188">
        <v>2.161</v>
      </c>
      <c r="AE188">
        <v>1.462</v>
      </c>
      <c r="AF188">
        <v>67163.598170895712</v>
      </c>
      <c r="AG188">
        <v>55671.367700895709</v>
      </c>
      <c r="AH188">
        <v>47965.922939947508</v>
      </c>
    </row>
    <row r="189" spans="1:34">
      <c r="A189">
        <v>46026</v>
      </c>
      <c r="B189">
        <v>67163.598170895712</v>
      </c>
      <c r="C189">
        <v>489.59899999999999</v>
      </c>
      <c r="D189">
        <v>1640521.8742390999</v>
      </c>
      <c r="E189">
        <v>0</v>
      </c>
      <c r="F189">
        <v>1.0092638886199967</v>
      </c>
      <c r="G189">
        <v>0</v>
      </c>
      <c r="H189">
        <v>15.204736948294817</v>
      </c>
      <c r="I189">
        <v>4</v>
      </c>
      <c r="J189">
        <v>6.8802426802319863E-2</v>
      </c>
      <c r="K189">
        <v>0.9976303053065857</v>
      </c>
      <c r="L189">
        <v>69280.778710895713</v>
      </c>
      <c r="M189">
        <v>69911.657463295516</v>
      </c>
      <c r="N189">
        <v>78402.863886589228</v>
      </c>
      <c r="O189">
        <v>84241.414214138436</v>
      </c>
      <c r="P189">
        <v>112236.09011854199</v>
      </c>
      <c r="Q189">
        <v>0</v>
      </c>
      <c r="R189">
        <v>0</v>
      </c>
      <c r="S189">
        <v>0</v>
      </c>
      <c r="T189">
        <v>68785.344781695647</v>
      </c>
      <c r="U189">
        <v>0</v>
      </c>
      <c r="V189">
        <v>68300.778149999998</v>
      </c>
      <c r="W189">
        <v>0</v>
      </c>
      <c r="X189">
        <v>71947.999150000003</v>
      </c>
      <c r="Y189">
        <v>0</v>
      </c>
      <c r="Z189">
        <v>77422.241410000002</v>
      </c>
      <c r="AA189">
        <v>0.51300000000000001</v>
      </c>
      <c r="AB189">
        <v>0.186</v>
      </c>
      <c r="AC189">
        <v>1.3520000000000001</v>
      </c>
      <c r="AD189">
        <v>2.0510000000000002</v>
      </c>
      <c r="AE189">
        <v>1.3520000000000001</v>
      </c>
      <c r="AF189">
        <v>55671.367700895709</v>
      </c>
      <c r="AG189">
        <v>47965.922939947508</v>
      </c>
      <c r="AH189">
        <v>22168.599381770346</v>
      </c>
    </row>
    <row r="190" spans="1:34">
      <c r="A190">
        <v>46027</v>
      </c>
      <c r="B190">
        <v>55671.367700895709</v>
      </c>
      <c r="C190">
        <v>489.59300000000002</v>
      </c>
      <c r="D190">
        <v>1640521.8742390999</v>
      </c>
      <c r="E190">
        <v>0</v>
      </c>
      <c r="F190">
        <v>1.0092638886199967</v>
      </c>
      <c r="G190">
        <v>0</v>
      </c>
      <c r="H190">
        <v>14.444500100880076</v>
      </c>
      <c r="I190">
        <v>5</v>
      </c>
      <c r="J190">
        <v>8.5964798737446474E-2</v>
      </c>
      <c r="K190">
        <v>0.99629817493460782</v>
      </c>
      <c r="L190">
        <v>67163.598170895712</v>
      </c>
      <c r="M190">
        <v>69280.778710895713</v>
      </c>
      <c r="N190">
        <v>69911.657463295516</v>
      </c>
      <c r="O190">
        <v>76839.843350189229</v>
      </c>
      <c r="P190">
        <v>105147.56961854199</v>
      </c>
      <c r="Q190">
        <v>0</v>
      </c>
      <c r="R190">
        <v>0</v>
      </c>
      <c r="S190">
        <v>0</v>
      </c>
      <c r="T190">
        <v>64038.581527562375</v>
      </c>
      <c r="U190">
        <v>0</v>
      </c>
      <c r="V190">
        <v>66183.597609999997</v>
      </c>
      <c r="W190">
        <v>0</v>
      </c>
      <c r="X190">
        <v>68300.778149999998</v>
      </c>
      <c r="Y190">
        <v>0</v>
      </c>
      <c r="Z190">
        <v>71947.999150000003</v>
      </c>
      <c r="AA190">
        <v>0.186</v>
      </c>
      <c r="AB190">
        <v>1.3520000000000001</v>
      </c>
      <c r="AC190">
        <v>13.956</v>
      </c>
      <c r="AD190">
        <v>15.494</v>
      </c>
      <c r="AE190">
        <v>13.956</v>
      </c>
      <c r="AF190">
        <v>47965.922939947508</v>
      </c>
      <c r="AG190">
        <v>22168.599381770346</v>
      </c>
      <c r="AH190">
        <v>0</v>
      </c>
    </row>
    <row r="191" spans="1:34">
      <c r="A191">
        <v>46028</v>
      </c>
      <c r="B191">
        <v>47965.922939947508</v>
      </c>
      <c r="C191">
        <v>489.58699999999999</v>
      </c>
      <c r="D191">
        <v>1637507.2197397</v>
      </c>
      <c r="E191">
        <v>-3014.6544993999414</v>
      </c>
      <c r="F191">
        <v>1.0074092459171549</v>
      </c>
      <c r="G191">
        <v>0</v>
      </c>
      <c r="H191">
        <v>13.722275095836071</v>
      </c>
      <c r="I191">
        <v>6</v>
      </c>
      <c r="J191">
        <v>0.10310169744743485</v>
      </c>
      <c r="K191">
        <v>0.99467081991152106</v>
      </c>
      <c r="L191">
        <v>55671.367700895709</v>
      </c>
      <c r="M191">
        <v>67163.598170895712</v>
      </c>
      <c r="N191">
        <v>69280.778710895713</v>
      </c>
      <c r="O191">
        <v>72948.155639889126</v>
      </c>
      <c r="P191">
        <v>97996.566070838511</v>
      </c>
      <c r="Q191">
        <v>0</v>
      </c>
      <c r="R191">
        <v>0</v>
      </c>
      <c r="S191">
        <v>0</v>
      </c>
      <c r="T191">
        <v>56933.629603912974</v>
      </c>
      <c r="U191">
        <v>0</v>
      </c>
      <c r="V191">
        <v>54691.367140000002</v>
      </c>
      <c r="W191">
        <v>0</v>
      </c>
      <c r="X191">
        <v>66183.597609999997</v>
      </c>
      <c r="Y191">
        <v>0</v>
      </c>
      <c r="Z191">
        <v>68300.778149999998</v>
      </c>
      <c r="AA191">
        <v>1.3520000000000001</v>
      </c>
      <c r="AB191">
        <v>13.956</v>
      </c>
      <c r="AC191">
        <v>5.415</v>
      </c>
      <c r="AD191">
        <v>20.722999999999999</v>
      </c>
      <c r="AE191">
        <v>13.956</v>
      </c>
      <c r="AF191">
        <v>22168.599381770346</v>
      </c>
      <c r="AG191">
        <v>0</v>
      </c>
      <c r="AH191">
        <v>3600.8824674952657</v>
      </c>
    </row>
    <row r="192" spans="1:34">
      <c r="A192">
        <v>46029</v>
      </c>
      <c r="B192">
        <v>22168.599381770346</v>
      </c>
      <c r="C192">
        <v>489.57499999999999</v>
      </c>
      <c r="D192">
        <v>1634494.0165122999</v>
      </c>
      <c r="E192">
        <v>-3013.2032274000812</v>
      </c>
      <c r="F192">
        <v>1.0055554960499677</v>
      </c>
      <c r="G192">
        <v>0</v>
      </c>
      <c r="H192">
        <v>13.036161341044266</v>
      </c>
      <c r="I192">
        <v>7</v>
      </c>
      <c r="J192">
        <v>0.1202080448993527</v>
      </c>
      <c r="K192">
        <v>0.99274872245774015</v>
      </c>
      <c r="L192">
        <v>47965.922939947508</v>
      </c>
      <c r="M192">
        <v>55671.367700895709</v>
      </c>
      <c r="N192">
        <v>67163.598170895712</v>
      </c>
      <c r="O192">
        <v>69626.237029889133</v>
      </c>
      <c r="P192">
        <v>97696.448964138428</v>
      </c>
      <c r="Q192">
        <v>0</v>
      </c>
      <c r="R192">
        <v>0</v>
      </c>
      <c r="S192">
        <v>0</v>
      </c>
      <c r="T192">
        <v>41935.296674204517</v>
      </c>
      <c r="U192">
        <v>3018.6</v>
      </c>
      <c r="V192">
        <v>46982.487789999999</v>
      </c>
      <c r="W192">
        <v>0</v>
      </c>
      <c r="X192">
        <v>54691.367140000002</v>
      </c>
      <c r="Y192">
        <v>0</v>
      </c>
      <c r="Z192">
        <v>66183.597609999997</v>
      </c>
      <c r="AA192">
        <v>13.956</v>
      </c>
      <c r="AB192">
        <v>5.415</v>
      </c>
      <c r="AC192">
        <v>4.2999999999999997E-2</v>
      </c>
      <c r="AD192">
        <v>19.413999999999998</v>
      </c>
      <c r="AE192">
        <v>13.956</v>
      </c>
      <c r="AF192">
        <v>0</v>
      </c>
      <c r="AG192">
        <v>3600.8824674952657</v>
      </c>
      <c r="AH192">
        <v>9782.8449975937183</v>
      </c>
    </row>
    <row r="193" spans="1:34">
      <c r="A193">
        <v>46030</v>
      </c>
      <c r="B193">
        <v>0</v>
      </c>
      <c r="C193">
        <v>489.54199999999997</v>
      </c>
      <c r="D193">
        <v>1625463.7590197001</v>
      </c>
      <c r="E193">
        <v>-9030.257492599776</v>
      </c>
      <c r="F193">
        <v>1</v>
      </c>
      <c r="G193">
        <v>0</v>
      </c>
      <c r="H193">
        <v>12.384353273992053</v>
      </c>
      <c r="I193">
        <v>8</v>
      </c>
      <c r="J193">
        <v>0.13727877211326478</v>
      </c>
      <c r="K193">
        <v>0.99053245213222285</v>
      </c>
      <c r="L193">
        <v>22168.599381770346</v>
      </c>
      <c r="M193">
        <v>47965.922939947508</v>
      </c>
      <c r="N193">
        <v>55671.367700895709</v>
      </c>
      <c r="O193">
        <v>78402.863886589228</v>
      </c>
      <c r="P193">
        <v>99768.461594138425</v>
      </c>
      <c r="Q193">
        <v>0</v>
      </c>
      <c r="R193">
        <v>0</v>
      </c>
      <c r="S193">
        <v>0</v>
      </c>
      <c r="T193">
        <v>23378.174107239287</v>
      </c>
      <c r="U193">
        <v>5572.7999999999993</v>
      </c>
      <c r="V193">
        <v>18630.02349</v>
      </c>
      <c r="W193">
        <v>3018.6</v>
      </c>
      <c r="X193">
        <v>46982.487789999999</v>
      </c>
      <c r="Y193">
        <v>0</v>
      </c>
      <c r="Z193">
        <v>54691.367140000002</v>
      </c>
      <c r="AA193">
        <v>5.415</v>
      </c>
      <c r="AB193">
        <v>4.2999999999999997E-2</v>
      </c>
      <c r="AC193">
        <v>0.39800000000000002</v>
      </c>
      <c r="AD193">
        <v>5.8559999999999999</v>
      </c>
      <c r="AE193">
        <v>5.415</v>
      </c>
      <c r="AF193">
        <v>3600.8824674952657</v>
      </c>
      <c r="AG193">
        <v>9782.8449975937183</v>
      </c>
      <c r="AH193">
        <v>9975.845432093749</v>
      </c>
    </row>
    <row r="194" spans="1:34">
      <c r="A194">
        <v>46031</v>
      </c>
      <c r="B194">
        <v>3600.8824674952657</v>
      </c>
      <c r="C194">
        <v>489.54300000000001</v>
      </c>
      <c r="D194">
        <v>1625463.7590197001</v>
      </c>
      <c r="E194">
        <v>0</v>
      </c>
      <c r="F194">
        <v>1</v>
      </c>
      <c r="G194">
        <v>0</v>
      </c>
      <c r="H194">
        <v>11.76513561029245</v>
      </c>
      <c r="I194">
        <v>9</v>
      </c>
      <c r="J194">
        <v>0.15430882066428117</v>
      </c>
      <c r="K194">
        <v>0.98802266566369756</v>
      </c>
      <c r="L194">
        <v>0</v>
      </c>
      <c r="M194">
        <v>22168.599381770346</v>
      </c>
      <c r="N194">
        <v>47965.922939947508</v>
      </c>
      <c r="O194">
        <v>69911.657463295516</v>
      </c>
      <c r="P194">
        <v>98376.125304138433</v>
      </c>
      <c r="Q194">
        <v>0</v>
      </c>
      <c r="R194">
        <v>0</v>
      </c>
      <c r="S194">
        <v>0</v>
      </c>
      <c r="T194">
        <v>8589.827283088538</v>
      </c>
      <c r="U194">
        <v>2554.1999999999998</v>
      </c>
      <c r="V194">
        <v>333.7706771</v>
      </c>
      <c r="W194">
        <v>5572.7999999999993</v>
      </c>
      <c r="X194">
        <v>18630.02349</v>
      </c>
      <c r="Y194">
        <v>3018.6</v>
      </c>
      <c r="Z194">
        <v>46982.487789999999</v>
      </c>
      <c r="AA194">
        <v>4.2999999999999997E-2</v>
      </c>
      <c r="AB194">
        <v>0.39800000000000002</v>
      </c>
      <c r="AC194">
        <v>8.0760000000000005</v>
      </c>
      <c r="AD194">
        <v>8.5170000000000012</v>
      </c>
      <c r="AE194">
        <v>8.0760000000000005</v>
      </c>
      <c r="AF194">
        <v>9782.8449975937183</v>
      </c>
      <c r="AG194">
        <v>9975.845432093749</v>
      </c>
      <c r="AH194">
        <v>16703.296153378185</v>
      </c>
    </row>
    <row r="195" spans="1:34">
      <c r="A195">
        <v>46032</v>
      </c>
      <c r="B195">
        <v>9782.8449975937183</v>
      </c>
      <c r="C195">
        <v>489.55599999999998</v>
      </c>
      <c r="D195">
        <v>1628472.3057532001</v>
      </c>
      <c r="E195">
        <v>3008.5467334999703</v>
      </c>
      <c r="F195">
        <v>1.0018508851500414</v>
      </c>
      <c r="G195">
        <v>0</v>
      </c>
      <c r="H195">
        <v>11.176878829777827</v>
      </c>
      <c r="I195">
        <v>10</v>
      </c>
      <c r="J195">
        <v>0.17129314418147759</v>
      </c>
      <c r="K195">
        <v>0.98522010675606064</v>
      </c>
      <c r="L195">
        <v>3600.8824674952657</v>
      </c>
      <c r="M195">
        <v>0</v>
      </c>
      <c r="N195">
        <v>22168.599381770346</v>
      </c>
      <c r="O195">
        <v>69280.778710895713</v>
      </c>
      <c r="P195">
        <v>91510.302444138433</v>
      </c>
      <c r="Q195">
        <v>0</v>
      </c>
      <c r="R195">
        <v>0</v>
      </c>
      <c r="S195">
        <v>0</v>
      </c>
      <c r="T195">
        <v>4461.2424883629947</v>
      </c>
      <c r="U195">
        <v>0</v>
      </c>
      <c r="V195">
        <v>2623.4287260000001</v>
      </c>
      <c r="W195">
        <v>2554.1999999999998</v>
      </c>
      <c r="X195">
        <v>333.7706771</v>
      </c>
      <c r="Y195">
        <v>5572.7999999999993</v>
      </c>
      <c r="Z195">
        <v>18630.02349</v>
      </c>
      <c r="AA195">
        <v>0.39800000000000002</v>
      </c>
      <c r="AB195">
        <v>8.0760000000000005</v>
      </c>
      <c r="AC195">
        <v>1.4E-2</v>
      </c>
      <c r="AD195">
        <v>8.4879999999999995</v>
      </c>
      <c r="AE195">
        <v>8.0760000000000005</v>
      </c>
      <c r="AF195">
        <v>9975.845432093749</v>
      </c>
      <c r="AG195">
        <v>16703.296153378185</v>
      </c>
      <c r="AH195">
        <v>15573.39157307821</v>
      </c>
    </row>
    <row r="196" spans="1:34">
      <c r="A196">
        <v>46033</v>
      </c>
      <c r="B196">
        <v>9975.845432093749</v>
      </c>
      <c r="C196">
        <v>489.55500000000001</v>
      </c>
      <c r="D196">
        <v>1628472.3057532001</v>
      </c>
      <c r="E196">
        <v>0</v>
      </c>
      <c r="F196">
        <v>1.0018508851500414</v>
      </c>
      <c r="G196">
        <v>0</v>
      </c>
      <c r="H196">
        <v>10.618034888288935</v>
      </c>
      <c r="I196">
        <v>11</v>
      </c>
      <c r="J196">
        <v>0.18822670984324419</v>
      </c>
      <c r="K196">
        <v>0.98212560586800057</v>
      </c>
      <c r="L196">
        <v>9782.8449975937183</v>
      </c>
      <c r="M196">
        <v>3600.8824674952657</v>
      </c>
      <c r="N196">
        <v>0</v>
      </c>
      <c r="O196">
        <v>67163.598170895712</v>
      </c>
      <c r="P196">
        <v>84241.414214138436</v>
      </c>
      <c r="Q196">
        <v>0</v>
      </c>
      <c r="R196">
        <v>0</v>
      </c>
      <c r="S196">
        <v>0</v>
      </c>
      <c r="T196">
        <v>7786.5242990609113</v>
      </c>
      <c r="U196">
        <v>0</v>
      </c>
      <c r="V196">
        <v>5796.3379560000003</v>
      </c>
      <c r="W196">
        <v>0</v>
      </c>
      <c r="X196">
        <v>2623.4287260000001</v>
      </c>
      <c r="Y196">
        <v>2554.1999999999998</v>
      </c>
      <c r="Z196">
        <v>333.7706771</v>
      </c>
      <c r="AA196">
        <v>8.0760000000000005</v>
      </c>
      <c r="AB196">
        <v>1.4E-2</v>
      </c>
      <c r="AC196">
        <v>8.9999999999999998E-4</v>
      </c>
      <c r="AD196">
        <v>8.0908999999999995</v>
      </c>
      <c r="AE196">
        <v>8.0760000000000005</v>
      </c>
      <c r="AF196">
        <v>16703.296153378185</v>
      </c>
      <c r="AG196">
        <v>15573.39157307821</v>
      </c>
      <c r="AH196">
        <v>19231.711163078209</v>
      </c>
    </row>
    <row r="197" spans="1:34">
      <c r="A197">
        <v>46034</v>
      </c>
      <c r="B197">
        <v>16703.296153378185</v>
      </c>
      <c r="C197">
        <v>489.56099999999998</v>
      </c>
      <c r="D197">
        <v>1631482.3951735001</v>
      </c>
      <c r="E197">
        <v>3010.0894202999771</v>
      </c>
      <c r="F197">
        <v>1.0037027193749493</v>
      </c>
      <c r="G197">
        <v>0</v>
      </c>
      <c r="H197">
        <v>10.087133143874489</v>
      </c>
      <c r="I197">
        <v>12</v>
      </c>
      <c r="J197">
        <v>0.2051044998686192</v>
      </c>
      <c r="K197">
        <v>0.97874007996691526</v>
      </c>
      <c r="L197">
        <v>9975.845432093749</v>
      </c>
      <c r="M197">
        <v>9782.8449975937183</v>
      </c>
      <c r="N197">
        <v>3600.8824674952657</v>
      </c>
      <c r="O197">
        <v>55671.367700895709</v>
      </c>
      <c r="P197">
        <v>76839.843350189229</v>
      </c>
      <c r="Q197">
        <v>0</v>
      </c>
      <c r="R197">
        <v>0</v>
      </c>
      <c r="S197">
        <v>0</v>
      </c>
      <c r="T197">
        <v>12153.99552768855</v>
      </c>
      <c r="U197">
        <v>0</v>
      </c>
      <c r="V197">
        <v>8997.8851240000004</v>
      </c>
      <c r="W197">
        <v>0</v>
      </c>
      <c r="X197">
        <v>5796.3379560000003</v>
      </c>
      <c r="Y197">
        <v>0</v>
      </c>
      <c r="Z197">
        <v>2623.4287260000001</v>
      </c>
      <c r="AA197">
        <v>1.4E-2</v>
      </c>
      <c r="AB197">
        <v>8.9999999999999998E-4</v>
      </c>
      <c r="AC197">
        <v>0</v>
      </c>
      <c r="AD197">
        <v>1.49E-2</v>
      </c>
      <c r="AE197">
        <v>1.4E-2</v>
      </c>
      <c r="AF197">
        <v>15573.39157307821</v>
      </c>
      <c r="AG197">
        <v>19231.711163078209</v>
      </c>
      <c r="AH197">
        <v>21729.904653078207</v>
      </c>
    </row>
    <row r="198" spans="1:34">
      <c r="A198">
        <v>46035</v>
      </c>
      <c r="B198">
        <v>15573.39157307821</v>
      </c>
      <c r="C198">
        <v>489.56099999999998</v>
      </c>
      <c r="D198">
        <v>1631482.3951735001</v>
      </c>
      <c r="E198">
        <v>0</v>
      </c>
      <c r="F198">
        <v>1.0037027193749493</v>
      </c>
      <c r="G198">
        <v>0</v>
      </c>
      <c r="H198">
        <v>9.5827764866807641</v>
      </c>
      <c r="I198">
        <v>13</v>
      </c>
      <c r="J198">
        <v>0.22192151300416549</v>
      </c>
      <c r="K198">
        <v>0.9750645322571948</v>
      </c>
      <c r="L198">
        <v>16703.296153378185</v>
      </c>
      <c r="M198">
        <v>9975.845432093749</v>
      </c>
      <c r="N198">
        <v>9782.8449975937183</v>
      </c>
      <c r="O198">
        <v>47965.922939947508</v>
      </c>
      <c r="P198">
        <v>72948.155639889126</v>
      </c>
      <c r="Q198">
        <v>0</v>
      </c>
      <c r="R198">
        <v>0</v>
      </c>
      <c r="S198">
        <v>0</v>
      </c>
      <c r="T198">
        <v>14084.177719516714</v>
      </c>
      <c r="U198">
        <v>0</v>
      </c>
      <c r="V198">
        <v>12714.737880000001</v>
      </c>
      <c r="W198">
        <v>0</v>
      </c>
      <c r="X198">
        <v>8997.8851240000004</v>
      </c>
      <c r="Y198">
        <v>0</v>
      </c>
      <c r="Z198">
        <v>5796.3379560000003</v>
      </c>
      <c r="AA198">
        <v>8.9999999999999998E-4</v>
      </c>
      <c r="AB198">
        <v>0</v>
      </c>
      <c r="AC198">
        <v>0</v>
      </c>
      <c r="AD198">
        <v>8.9999999999999998E-4</v>
      </c>
      <c r="AE198">
        <v>8.9999999999999998E-4</v>
      </c>
      <c r="AF198">
        <v>19231.711163078209</v>
      </c>
      <c r="AG198">
        <v>21729.904653078207</v>
      </c>
      <c r="AH198">
        <v>22225.218703078208</v>
      </c>
    </row>
    <row r="199" spans="1:34">
      <c r="A199">
        <v>46036</v>
      </c>
      <c r="B199">
        <v>19231.711163078209</v>
      </c>
      <c r="C199">
        <v>489.56799999999998</v>
      </c>
      <c r="D199">
        <v>1631482.3951735001</v>
      </c>
      <c r="E199">
        <v>0</v>
      </c>
      <c r="F199">
        <v>1.0037027193749493</v>
      </c>
      <c r="G199">
        <v>0</v>
      </c>
      <c r="H199">
        <v>9.1036376623467259</v>
      </c>
      <c r="I199">
        <v>14</v>
      </c>
      <c r="J199">
        <v>0.23867276600595011</v>
      </c>
      <c r="K199">
        <v>0.97110005188295045</v>
      </c>
      <c r="L199">
        <v>15573.39157307821</v>
      </c>
      <c r="M199">
        <v>16703.296153378185</v>
      </c>
      <c r="N199">
        <v>9975.845432093749</v>
      </c>
      <c r="O199">
        <v>22168.599381770346</v>
      </c>
      <c r="P199">
        <v>69626.237029889133</v>
      </c>
      <c r="Q199">
        <v>0</v>
      </c>
      <c r="R199">
        <v>0</v>
      </c>
      <c r="S199">
        <v>0</v>
      </c>
      <c r="T199">
        <v>17169.466296511535</v>
      </c>
      <c r="U199">
        <v>0</v>
      </c>
      <c r="V199">
        <v>14594.92272</v>
      </c>
      <c r="W199">
        <v>0</v>
      </c>
      <c r="X199">
        <v>12714.737880000001</v>
      </c>
      <c r="Y199">
        <v>0</v>
      </c>
      <c r="Z199">
        <v>8997.8851240000004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21729.904653078207</v>
      </c>
      <c r="AG199">
        <v>22225.218703078208</v>
      </c>
      <c r="AH199">
        <v>21070.653023078208</v>
      </c>
    </row>
    <row r="200" spans="1:34">
      <c r="A200">
        <v>46037</v>
      </c>
      <c r="B200">
        <v>21729.904653078207</v>
      </c>
      <c r="C200">
        <v>489.56799999999998</v>
      </c>
      <c r="D200">
        <v>1631482.3951735001</v>
      </c>
      <c r="E200">
        <v>0</v>
      </c>
      <c r="F200">
        <v>1.0037027193749493</v>
      </c>
      <c r="G200">
        <v>0</v>
      </c>
      <c r="H200">
        <v>8.6484557792293888</v>
      </c>
      <c r="I200">
        <v>15</v>
      </c>
      <c r="J200">
        <v>0.25535329511618698</v>
      </c>
      <c r="K200">
        <v>0.9668478136052775</v>
      </c>
      <c r="L200">
        <v>19231.711163078209</v>
      </c>
      <c r="M200">
        <v>15573.39157307821</v>
      </c>
      <c r="N200">
        <v>16703.296153378185</v>
      </c>
      <c r="O200">
        <v>0</v>
      </c>
      <c r="P200">
        <v>78402.863886589228</v>
      </c>
      <c r="Q200">
        <v>0</v>
      </c>
      <c r="R200">
        <v>0</v>
      </c>
      <c r="S200">
        <v>0</v>
      </c>
      <c r="T200">
        <v>18845.00246307821</v>
      </c>
      <c r="U200">
        <v>0</v>
      </c>
      <c r="V200">
        <v>18253.242310000001</v>
      </c>
      <c r="W200">
        <v>0</v>
      </c>
      <c r="X200">
        <v>14594.92272</v>
      </c>
      <c r="Y200">
        <v>0</v>
      </c>
      <c r="Z200">
        <v>12714.737880000001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22225.218703078208</v>
      </c>
      <c r="AG200">
        <v>21070.653023078208</v>
      </c>
      <c r="AH200">
        <v>17922.760163078208</v>
      </c>
    </row>
    <row r="201" spans="1:34">
      <c r="A201">
        <v>46038</v>
      </c>
      <c r="B201">
        <v>22225.218703078208</v>
      </c>
      <c r="C201">
        <v>489.56799999999998</v>
      </c>
      <c r="D201">
        <v>1631482.3951735001</v>
      </c>
      <c r="E201">
        <v>0</v>
      </c>
      <c r="F201">
        <v>1.0037027193749493</v>
      </c>
      <c r="G201">
        <v>0</v>
      </c>
      <c r="H201">
        <v>8.2160329902679194</v>
      </c>
      <c r="I201">
        <v>16</v>
      </c>
      <c r="J201">
        <v>0.27195815753410552</v>
      </c>
      <c r="K201">
        <v>0.96230907745414862</v>
      </c>
      <c r="L201">
        <v>21729.904653078207</v>
      </c>
      <c r="M201">
        <v>19231.711163078209</v>
      </c>
      <c r="N201">
        <v>15573.39157307821</v>
      </c>
      <c r="O201">
        <v>3600.8824674952657</v>
      </c>
      <c r="P201">
        <v>69911.657463295516</v>
      </c>
      <c r="Q201">
        <v>0</v>
      </c>
      <c r="R201">
        <v>0</v>
      </c>
      <c r="S201">
        <v>0</v>
      </c>
      <c r="T201">
        <v>21062.278173078208</v>
      </c>
      <c r="U201">
        <v>0</v>
      </c>
      <c r="V201">
        <v>20751.435799999999</v>
      </c>
      <c r="W201">
        <v>0</v>
      </c>
      <c r="X201">
        <v>18253.242310000001</v>
      </c>
      <c r="Y201">
        <v>0</v>
      </c>
      <c r="Z201">
        <v>14594.92272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21070.653023078208</v>
      </c>
      <c r="AG201">
        <v>17922.760163078208</v>
      </c>
      <c r="AH201">
        <v>17657.624873078206</v>
      </c>
    </row>
    <row r="202" spans="1:34">
      <c r="A202">
        <v>46039</v>
      </c>
      <c r="B202">
        <v>21070.653023078208</v>
      </c>
      <c r="C202">
        <v>489.56799999999998</v>
      </c>
      <c r="D202">
        <v>1631482.3951735001</v>
      </c>
      <c r="E202">
        <v>0</v>
      </c>
      <c r="F202">
        <v>1.0037027193749493</v>
      </c>
      <c r="G202">
        <v>0</v>
      </c>
      <c r="H202">
        <v>7.8052313407545233</v>
      </c>
      <c r="I202">
        <v>17</v>
      </c>
      <c r="J202">
        <v>0.28848243288060899</v>
      </c>
      <c r="K202">
        <v>0.95748518835503926</v>
      </c>
      <c r="L202">
        <v>22225.218703078208</v>
      </c>
      <c r="M202">
        <v>21729.904653078207</v>
      </c>
      <c r="N202">
        <v>19231.711163078209</v>
      </c>
      <c r="O202">
        <v>9782.8449975937183</v>
      </c>
      <c r="P202">
        <v>69280.778710895713</v>
      </c>
      <c r="Q202">
        <v>0</v>
      </c>
      <c r="R202">
        <v>0</v>
      </c>
      <c r="S202">
        <v>0</v>
      </c>
      <c r="T202">
        <v>21675.258793078207</v>
      </c>
      <c r="U202">
        <v>0</v>
      </c>
      <c r="V202">
        <v>21246.74985</v>
      </c>
      <c r="W202">
        <v>0</v>
      </c>
      <c r="X202">
        <v>20751.435799999999</v>
      </c>
      <c r="Y202">
        <v>0</v>
      </c>
      <c r="Z202">
        <v>18253.242310000001</v>
      </c>
      <c r="AA202">
        <v>0</v>
      </c>
      <c r="AB202">
        <v>0</v>
      </c>
      <c r="AC202">
        <v>8.9999999999999998E-4</v>
      </c>
      <c r="AD202">
        <v>8.9999999999999998E-4</v>
      </c>
      <c r="AE202">
        <v>8.9999999999999998E-4</v>
      </c>
      <c r="AF202">
        <v>17922.760163078208</v>
      </c>
      <c r="AG202">
        <v>17657.624873078206</v>
      </c>
      <c r="AH202">
        <v>17803.470073078206</v>
      </c>
    </row>
    <row r="203" spans="1:34">
      <c r="A203">
        <v>46040</v>
      </c>
      <c r="B203">
        <v>17922.760163078208</v>
      </c>
      <c r="C203">
        <v>489.56799999999998</v>
      </c>
      <c r="D203">
        <v>1631482.3951735001</v>
      </c>
      <c r="E203">
        <v>0</v>
      </c>
      <c r="F203">
        <v>1.0037027193749493</v>
      </c>
      <c r="G203">
        <v>0</v>
      </c>
      <c r="H203">
        <v>7.4149697737167966</v>
      </c>
      <c r="I203">
        <v>18</v>
      </c>
      <c r="J203">
        <v>0.30492122465628907</v>
      </c>
      <c r="K203">
        <v>0.95237757573039739</v>
      </c>
      <c r="L203">
        <v>21070.653023078208</v>
      </c>
      <c r="M203">
        <v>22225.218703078208</v>
      </c>
      <c r="N203">
        <v>21729.904653078207</v>
      </c>
      <c r="O203">
        <v>9975.845432093749</v>
      </c>
      <c r="P203">
        <v>67163.598170895712</v>
      </c>
      <c r="Q203">
        <v>0</v>
      </c>
      <c r="R203">
        <v>0</v>
      </c>
      <c r="S203">
        <v>0</v>
      </c>
      <c r="T203">
        <v>20406.210629744874</v>
      </c>
      <c r="U203">
        <v>0</v>
      </c>
      <c r="V203">
        <v>20092.18417</v>
      </c>
      <c r="W203">
        <v>0</v>
      </c>
      <c r="X203">
        <v>21246.74985</v>
      </c>
      <c r="Y203">
        <v>0</v>
      </c>
      <c r="Z203">
        <v>20751.435799999999</v>
      </c>
      <c r="AA203">
        <v>0</v>
      </c>
      <c r="AB203">
        <v>8.9999999999999998E-4</v>
      </c>
      <c r="AC203">
        <v>0</v>
      </c>
      <c r="AD203">
        <v>8.9999999999999998E-4</v>
      </c>
      <c r="AE203">
        <v>8.9999999999999998E-4</v>
      </c>
      <c r="AF203">
        <v>17657.624873078206</v>
      </c>
      <c r="AG203">
        <v>17803.470073078206</v>
      </c>
      <c r="AH203">
        <v>14231.967423078209</v>
      </c>
    </row>
    <row r="204" spans="1:34">
      <c r="A204">
        <v>46041</v>
      </c>
      <c r="B204">
        <v>17657.624873078206</v>
      </c>
      <c r="C204">
        <v>489.56799999999998</v>
      </c>
      <c r="D204">
        <v>1631482.3951735001</v>
      </c>
      <c r="E204">
        <v>0</v>
      </c>
      <c r="F204">
        <v>1.0037027193749493</v>
      </c>
      <c r="G204">
        <v>0</v>
      </c>
      <c r="H204">
        <v>7.0442212850309565</v>
      </c>
      <c r="I204">
        <v>19</v>
      </c>
      <c r="J204">
        <v>0.32126966169236443</v>
      </c>
      <c r="K204">
        <v>0.9469877530760753</v>
      </c>
      <c r="L204">
        <v>17922.760163078208</v>
      </c>
      <c r="M204">
        <v>21070.653023078208</v>
      </c>
      <c r="N204">
        <v>22225.218703078208</v>
      </c>
      <c r="O204">
        <v>16703.296153378185</v>
      </c>
      <c r="P204">
        <v>55671.367700895709</v>
      </c>
      <c r="Q204">
        <v>0</v>
      </c>
      <c r="R204">
        <v>0</v>
      </c>
      <c r="S204">
        <v>0</v>
      </c>
      <c r="T204">
        <v>18883.679353078205</v>
      </c>
      <c r="U204">
        <v>0</v>
      </c>
      <c r="V204">
        <v>16944.291310000001</v>
      </c>
      <c r="W204">
        <v>0</v>
      </c>
      <c r="X204">
        <v>20092.18417</v>
      </c>
      <c r="Y204">
        <v>0</v>
      </c>
      <c r="Z204">
        <v>21246.74985</v>
      </c>
      <c r="AA204">
        <v>8.9999999999999998E-4</v>
      </c>
      <c r="AB204">
        <v>0</v>
      </c>
      <c r="AC204">
        <v>0</v>
      </c>
      <c r="AD204">
        <v>8.9999999999999998E-4</v>
      </c>
      <c r="AE204">
        <v>8.9999999999999998E-4</v>
      </c>
      <c r="AF204">
        <v>17803.470073078206</v>
      </c>
      <c r="AG204">
        <v>14231.967423078209</v>
      </c>
      <c r="AH204">
        <v>12624.30054307821</v>
      </c>
    </row>
    <row r="205" spans="1:34">
      <c r="A205">
        <v>46042</v>
      </c>
      <c r="B205">
        <v>17803.470073078206</v>
      </c>
      <c r="C205">
        <v>489.56799999999998</v>
      </c>
      <c r="D205">
        <v>1631482.3951735001</v>
      </c>
      <c r="E205">
        <v>0</v>
      </c>
      <c r="F205">
        <v>1.0037027193749493</v>
      </c>
      <c r="G205">
        <v>0</v>
      </c>
      <c r="H205">
        <v>6.6920102207794079</v>
      </c>
      <c r="I205">
        <v>20</v>
      </c>
      <c r="J205">
        <v>0.3375228995941133</v>
      </c>
      <c r="K205">
        <v>0.94131731751284708</v>
      </c>
      <c r="L205">
        <v>17657.624873078206</v>
      </c>
      <c r="M205">
        <v>17922.760163078208</v>
      </c>
      <c r="N205">
        <v>21070.653023078208</v>
      </c>
      <c r="O205">
        <v>15573.39157307821</v>
      </c>
      <c r="P205">
        <v>47965.922939947508</v>
      </c>
      <c r="Q205">
        <v>0</v>
      </c>
      <c r="R205">
        <v>0</v>
      </c>
      <c r="S205">
        <v>0</v>
      </c>
      <c r="T205">
        <v>17794.618369744872</v>
      </c>
      <c r="U205">
        <v>0</v>
      </c>
      <c r="V205">
        <v>16679.156019999999</v>
      </c>
      <c r="W205">
        <v>0</v>
      </c>
      <c r="X205">
        <v>16944.291310000001</v>
      </c>
      <c r="Y205">
        <v>0</v>
      </c>
      <c r="Z205">
        <v>20092.18417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14231.967423078209</v>
      </c>
      <c r="AG205">
        <v>12624.30054307821</v>
      </c>
      <c r="AH205">
        <v>14252.967443078209</v>
      </c>
    </row>
    <row r="206" spans="1:34">
      <c r="A206">
        <v>46043</v>
      </c>
      <c r="B206">
        <v>14231.967423078209</v>
      </c>
      <c r="C206">
        <v>489.56799999999998</v>
      </c>
      <c r="D206">
        <v>1631482.3951735001</v>
      </c>
      <c r="E206">
        <v>0</v>
      </c>
      <c r="F206">
        <v>1.0037027193749493</v>
      </c>
      <c r="G206">
        <v>0</v>
      </c>
      <c r="H206">
        <v>6.3574097097404376</v>
      </c>
      <c r="I206">
        <v>21</v>
      </c>
      <c r="J206">
        <v>0.35367612217637162</v>
      </c>
      <c r="K206">
        <v>0.93536794931314826</v>
      </c>
      <c r="L206">
        <v>17803.470073078206</v>
      </c>
      <c r="M206">
        <v>17657.624873078206</v>
      </c>
      <c r="N206">
        <v>17922.760163078208</v>
      </c>
      <c r="O206">
        <v>19231.711163078209</v>
      </c>
      <c r="P206">
        <v>22168.599381770346</v>
      </c>
      <c r="Q206">
        <v>0</v>
      </c>
      <c r="R206">
        <v>0</v>
      </c>
      <c r="S206">
        <v>0</v>
      </c>
      <c r="T206">
        <v>16564.35412307821</v>
      </c>
      <c r="U206">
        <v>0</v>
      </c>
      <c r="V206">
        <v>16825.001219999998</v>
      </c>
      <c r="W206">
        <v>0</v>
      </c>
      <c r="X206">
        <v>16679.156019999999</v>
      </c>
      <c r="Y206">
        <v>0</v>
      </c>
      <c r="Z206">
        <v>16944.291310000001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12624.30054307821</v>
      </c>
      <c r="AG206">
        <v>14252.967443078209</v>
      </c>
      <c r="AH206">
        <v>15169.12199307821</v>
      </c>
    </row>
    <row r="207" spans="1:34">
      <c r="A207">
        <v>46044</v>
      </c>
      <c r="B207">
        <v>12624.30054307821</v>
      </c>
      <c r="C207">
        <v>489.56099999999998</v>
      </c>
      <c r="D207">
        <v>1631482.3951735001</v>
      </c>
      <c r="E207">
        <v>0</v>
      </c>
      <c r="F207">
        <v>1.0037027193749493</v>
      </c>
      <c r="G207">
        <v>0</v>
      </c>
      <c r="H207">
        <v>6.0395392242534154</v>
      </c>
      <c r="I207">
        <v>22</v>
      </c>
      <c r="J207">
        <v>0.36972454289067308</v>
      </c>
      <c r="K207">
        <v>0.9291414114031743</v>
      </c>
      <c r="L207">
        <v>14231.967423078209</v>
      </c>
      <c r="M207">
        <v>17803.470073078206</v>
      </c>
      <c r="N207">
        <v>17657.624873078206</v>
      </c>
      <c r="O207">
        <v>21729.904653078207</v>
      </c>
      <c r="P207">
        <v>0</v>
      </c>
      <c r="Q207">
        <v>0</v>
      </c>
      <c r="R207">
        <v>0</v>
      </c>
      <c r="S207">
        <v>0</v>
      </c>
      <c r="T207">
        <v>14886.579346411541</v>
      </c>
      <c r="U207">
        <v>0</v>
      </c>
      <c r="V207">
        <v>13253.49857</v>
      </c>
      <c r="W207">
        <v>0</v>
      </c>
      <c r="X207">
        <v>16825.001219999998</v>
      </c>
      <c r="Y207">
        <v>0</v>
      </c>
      <c r="Z207">
        <v>16679.156019999999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14252.967443078209</v>
      </c>
      <c r="AG207">
        <v>15169.12199307821</v>
      </c>
      <c r="AH207">
        <v>18040.592713078207</v>
      </c>
    </row>
    <row r="208" spans="1:34">
      <c r="A208">
        <v>46045</v>
      </c>
      <c r="B208">
        <v>14252.967443078209</v>
      </c>
      <c r="C208">
        <v>489.56</v>
      </c>
      <c r="D208">
        <v>1631482.3951735001</v>
      </c>
      <c r="E208">
        <v>0</v>
      </c>
      <c r="F208">
        <v>1.0037027193749493</v>
      </c>
      <c r="G208">
        <v>0</v>
      </c>
      <c r="H208">
        <v>5.7375622630407443</v>
      </c>
      <c r="I208">
        <v>23</v>
      </c>
      <c r="J208">
        <v>0.38566340624360707</v>
      </c>
      <c r="K208">
        <v>0.9226395488404876</v>
      </c>
      <c r="L208">
        <v>12624.30054307821</v>
      </c>
      <c r="M208">
        <v>14231.967423078209</v>
      </c>
      <c r="N208">
        <v>17803.470073078206</v>
      </c>
      <c r="O208">
        <v>22225.218703078208</v>
      </c>
      <c r="P208">
        <v>3600.8824674952657</v>
      </c>
      <c r="Q208">
        <v>0</v>
      </c>
      <c r="R208">
        <v>0</v>
      </c>
      <c r="S208">
        <v>0</v>
      </c>
      <c r="T208">
        <v>13703.078469744876</v>
      </c>
      <c r="U208">
        <v>0</v>
      </c>
      <c r="V208">
        <v>11645.831690000001</v>
      </c>
      <c r="W208">
        <v>0</v>
      </c>
      <c r="X208">
        <v>13253.49857</v>
      </c>
      <c r="Y208">
        <v>0</v>
      </c>
      <c r="Z208">
        <v>16825.001219999998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15169.12199307821</v>
      </c>
      <c r="AG208">
        <v>18040.592713078207</v>
      </c>
      <c r="AH208">
        <v>19756.171713078209</v>
      </c>
    </row>
    <row r="209" spans="1:34">
      <c r="A209">
        <v>46046</v>
      </c>
      <c r="B209">
        <v>15169.12199307821</v>
      </c>
      <c r="C209">
        <v>489.56700000000001</v>
      </c>
      <c r="D209">
        <v>1631482.3951735001</v>
      </c>
      <c r="E209">
        <v>0</v>
      </c>
      <c r="F209">
        <v>1.0037027193749493</v>
      </c>
      <c r="G209">
        <v>0</v>
      </c>
      <c r="H209">
        <v>5.4506841498887066</v>
      </c>
      <c r="I209">
        <v>24</v>
      </c>
      <c r="J209">
        <v>0.40148798920597301</v>
      </c>
      <c r="K209">
        <v>0.91586428826728716</v>
      </c>
      <c r="L209">
        <v>14252.967443078209</v>
      </c>
      <c r="M209">
        <v>12624.30054307821</v>
      </c>
      <c r="N209">
        <v>14231.967423078209</v>
      </c>
      <c r="O209">
        <v>21070.653023078208</v>
      </c>
      <c r="P209">
        <v>9782.8449975937183</v>
      </c>
      <c r="Q209">
        <v>0</v>
      </c>
      <c r="R209">
        <v>0</v>
      </c>
      <c r="S209">
        <v>0</v>
      </c>
      <c r="T209">
        <v>14015.463326411542</v>
      </c>
      <c r="U209">
        <v>0</v>
      </c>
      <c r="V209">
        <v>13274.498589999999</v>
      </c>
      <c r="W209">
        <v>0</v>
      </c>
      <c r="X209">
        <v>11645.831690000001</v>
      </c>
      <c r="Y209">
        <v>0</v>
      </c>
      <c r="Z209">
        <v>13253.49857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18040.592713078207</v>
      </c>
      <c r="AG209">
        <v>19756.171713078209</v>
      </c>
      <c r="AH209">
        <v>24392.775687970257</v>
      </c>
    </row>
    <row r="210" spans="1:34">
      <c r="A210">
        <v>46047</v>
      </c>
      <c r="B210">
        <v>18040.592713078207</v>
      </c>
      <c r="C210">
        <v>489.56700000000001</v>
      </c>
      <c r="D210">
        <v>1631482.3951735001</v>
      </c>
      <c r="E210">
        <v>0</v>
      </c>
      <c r="F210">
        <v>1.0037027193749493</v>
      </c>
      <c r="G210">
        <v>0</v>
      </c>
      <c r="H210">
        <v>5.1781499423942714</v>
      </c>
      <c r="I210">
        <v>25</v>
      </c>
      <c r="J210">
        <v>0.41719360261231681</v>
      </c>
      <c r="K210">
        <v>0.90881763733950294</v>
      </c>
      <c r="L210">
        <v>15169.12199307821</v>
      </c>
      <c r="M210">
        <v>14252.967443078209</v>
      </c>
      <c r="N210">
        <v>12624.30054307821</v>
      </c>
      <c r="O210">
        <v>17922.760163078208</v>
      </c>
      <c r="P210">
        <v>9975.845432093749</v>
      </c>
      <c r="Q210">
        <v>0</v>
      </c>
      <c r="R210">
        <v>0</v>
      </c>
      <c r="S210">
        <v>0</v>
      </c>
      <c r="T210">
        <v>15820.894049744877</v>
      </c>
      <c r="U210">
        <v>0</v>
      </c>
      <c r="V210">
        <v>14190.65314</v>
      </c>
      <c r="W210">
        <v>0</v>
      </c>
      <c r="X210">
        <v>13274.498589999999</v>
      </c>
      <c r="Y210">
        <v>0</v>
      </c>
      <c r="Z210">
        <v>11645.831690000001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19756.171713078209</v>
      </c>
      <c r="AG210">
        <v>24392.775687970257</v>
      </c>
      <c r="AH210">
        <v>18494.035094278381</v>
      </c>
    </row>
    <row r="211" spans="1:34">
      <c r="A211">
        <v>46048</v>
      </c>
      <c r="B211">
        <v>19756.171713078209</v>
      </c>
      <c r="C211">
        <v>489.56700000000001</v>
      </c>
      <c r="D211">
        <v>1631482.3951735001</v>
      </c>
      <c r="E211">
        <v>0</v>
      </c>
      <c r="F211">
        <v>1.0037027193749493</v>
      </c>
      <c r="G211">
        <v>0</v>
      </c>
      <c r="H211">
        <v>4.9192424452745573</v>
      </c>
      <c r="I211">
        <v>26</v>
      </c>
      <c r="J211">
        <v>0.43277559255043119</v>
      </c>
      <c r="K211">
        <v>0.90150168413188403</v>
      </c>
      <c r="L211">
        <v>18040.592713078207</v>
      </c>
      <c r="M211">
        <v>15169.12199307821</v>
      </c>
      <c r="N211">
        <v>14252.967443078209</v>
      </c>
      <c r="O211">
        <v>17657.624873078206</v>
      </c>
      <c r="P211">
        <v>16703.296153378185</v>
      </c>
      <c r="Q211">
        <v>0</v>
      </c>
      <c r="R211">
        <v>0</v>
      </c>
      <c r="S211">
        <v>0</v>
      </c>
      <c r="T211">
        <v>17655.295473078208</v>
      </c>
      <c r="U211">
        <v>0</v>
      </c>
      <c r="V211">
        <v>17062.12386</v>
      </c>
      <c r="W211">
        <v>0</v>
      </c>
      <c r="X211">
        <v>14190.65314</v>
      </c>
      <c r="Y211">
        <v>0</v>
      </c>
      <c r="Z211">
        <v>13274.498589999999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24392.775687970257</v>
      </c>
      <c r="AG211">
        <v>18494.035094278381</v>
      </c>
      <c r="AH211">
        <v>26063.733827970256</v>
      </c>
    </row>
    <row r="212" spans="1:34">
      <c r="A212">
        <v>46049</v>
      </c>
      <c r="B212">
        <v>24392.775687970257</v>
      </c>
      <c r="C212">
        <v>489.57299999999998</v>
      </c>
      <c r="D212">
        <v>1634494.0165122999</v>
      </c>
      <c r="E212">
        <v>3011.6213387998287</v>
      </c>
      <c r="F212">
        <v>1.0055554960499677</v>
      </c>
      <c r="G212">
        <v>0</v>
      </c>
      <c r="H212">
        <v>4.6732803230108289</v>
      </c>
      <c r="I212">
        <v>27</v>
      </c>
      <c r="J212">
        <v>0.44822934174041063</v>
      </c>
      <c r="K212">
        <v>0.89391859651925698</v>
      </c>
      <c r="L212">
        <v>19756.171713078209</v>
      </c>
      <c r="M212">
        <v>18040.592713078207</v>
      </c>
      <c r="N212">
        <v>15169.12199307821</v>
      </c>
      <c r="O212">
        <v>17803.470073078206</v>
      </c>
      <c r="P212">
        <v>15573.39157307821</v>
      </c>
      <c r="Q212">
        <v>0</v>
      </c>
      <c r="R212">
        <v>0</v>
      </c>
      <c r="S212">
        <v>0</v>
      </c>
      <c r="T212">
        <v>20729.846704708889</v>
      </c>
      <c r="U212">
        <v>0</v>
      </c>
      <c r="V212">
        <v>18777.702860000001</v>
      </c>
      <c r="W212">
        <v>0</v>
      </c>
      <c r="X212">
        <v>17062.12386</v>
      </c>
      <c r="Y212">
        <v>0</v>
      </c>
      <c r="Z212">
        <v>14190.65314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18494.035094278381</v>
      </c>
      <c r="AG212">
        <v>26063.733827970256</v>
      </c>
      <c r="AH212">
        <v>17667.160524278381</v>
      </c>
    </row>
    <row r="213" spans="1:34">
      <c r="A213">
        <v>46050</v>
      </c>
      <c r="B213">
        <v>18494.035094278381</v>
      </c>
      <c r="C213">
        <v>489.56700000000001</v>
      </c>
      <c r="D213">
        <v>1631482.3951735001</v>
      </c>
      <c r="E213">
        <v>-3011.6213387998287</v>
      </c>
      <c r="F213">
        <v>1.0037027193749493</v>
      </c>
      <c r="G213">
        <v>0</v>
      </c>
      <c r="H213">
        <v>4.4396163068602874</v>
      </c>
      <c r="I213">
        <v>28</v>
      </c>
      <c r="J213">
        <v>0.46355027090285089</v>
      </c>
      <c r="K213">
        <v>0.88607062153413796</v>
      </c>
      <c r="L213">
        <v>24392.775687970257</v>
      </c>
      <c r="M213">
        <v>19756.171713078209</v>
      </c>
      <c r="N213">
        <v>18040.592713078207</v>
      </c>
      <c r="O213">
        <v>14231.967423078209</v>
      </c>
      <c r="P213">
        <v>19231.711163078209</v>
      </c>
      <c r="Q213">
        <v>0</v>
      </c>
      <c r="R213">
        <v>0</v>
      </c>
      <c r="S213">
        <v>0</v>
      </c>
      <c r="T213">
        <v>20880.99416510895</v>
      </c>
      <c r="U213">
        <v>0</v>
      </c>
      <c r="V213">
        <v>20402.175230000001</v>
      </c>
      <c r="W213">
        <v>0</v>
      </c>
      <c r="X213">
        <v>18777.702860000001</v>
      </c>
      <c r="Y213">
        <v>0</v>
      </c>
      <c r="Z213">
        <v>17062.12386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26063.733827970256</v>
      </c>
      <c r="AG213">
        <v>17667.160524278381</v>
      </c>
      <c r="AH213">
        <v>20308.695523078208</v>
      </c>
    </row>
    <row r="214" spans="1:34">
      <c r="A214">
        <v>46051</v>
      </c>
      <c r="B214">
        <v>26063.733827970256</v>
      </c>
      <c r="C214">
        <v>489.57299999999998</v>
      </c>
      <c r="D214">
        <v>1634494.0165122999</v>
      </c>
      <c r="E214">
        <v>3011.6213387998287</v>
      </c>
      <c r="F214">
        <v>1.0055554960499677</v>
      </c>
      <c r="G214">
        <v>0</v>
      </c>
      <c r="H214">
        <v>4.2176354915172727</v>
      </c>
      <c r="I214">
        <v>29</v>
      </c>
      <c r="J214">
        <v>0.47873384011578846</v>
      </c>
      <c r="K214">
        <v>0.87796008470088815</v>
      </c>
      <c r="L214">
        <v>18494.035094278381</v>
      </c>
      <c r="M214">
        <v>24392.775687970257</v>
      </c>
      <c r="N214">
        <v>19756.171713078209</v>
      </c>
      <c r="O214">
        <v>12624.30054307821</v>
      </c>
      <c r="P214">
        <v>21729.904653078207</v>
      </c>
      <c r="Q214">
        <v>0</v>
      </c>
      <c r="R214">
        <v>0</v>
      </c>
      <c r="S214">
        <v>0</v>
      </c>
      <c r="T214">
        <v>22983.514870072962</v>
      </c>
      <c r="U214">
        <v>0</v>
      </c>
      <c r="V214">
        <v>20527.187580000002</v>
      </c>
      <c r="W214">
        <v>0</v>
      </c>
      <c r="X214">
        <v>20402.175230000001</v>
      </c>
      <c r="Y214">
        <v>0</v>
      </c>
      <c r="Z214">
        <v>18777.702860000001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17667.160524278381</v>
      </c>
      <c r="AG214">
        <v>20308.695523078208</v>
      </c>
      <c r="AH214">
        <v>0</v>
      </c>
    </row>
    <row r="215" spans="1:34">
      <c r="A215">
        <v>46052</v>
      </c>
      <c r="B215">
        <v>17667.160524278381</v>
      </c>
      <c r="C215">
        <v>489.56700000000001</v>
      </c>
      <c r="D215">
        <v>1631482.3951735001</v>
      </c>
      <c r="E215">
        <v>-3011.6213387998287</v>
      </c>
      <c r="F215">
        <v>1.0037027193749493</v>
      </c>
      <c r="G215">
        <v>0</v>
      </c>
      <c r="H215">
        <v>4.0067537169414091</v>
      </c>
      <c r="I215">
        <v>30</v>
      </c>
      <c r="J215">
        <v>0.49377555015997721</v>
      </c>
      <c r="K215">
        <v>0.86958938934661101</v>
      </c>
      <c r="L215">
        <v>26063.733827970256</v>
      </c>
      <c r="M215">
        <v>18494.035094278381</v>
      </c>
      <c r="N215">
        <v>24392.775687970257</v>
      </c>
      <c r="O215">
        <v>14252.967443078209</v>
      </c>
      <c r="P215">
        <v>22225.218703078208</v>
      </c>
      <c r="Q215">
        <v>0</v>
      </c>
      <c r="R215">
        <v>0</v>
      </c>
      <c r="S215">
        <v>0</v>
      </c>
      <c r="T215">
        <v>20741.64314884234</v>
      </c>
      <c r="U215">
        <v>0</v>
      </c>
      <c r="V215">
        <v>22073.13337</v>
      </c>
      <c r="W215">
        <v>0</v>
      </c>
      <c r="X215">
        <v>20527.187580000002</v>
      </c>
      <c r="Y215">
        <v>0</v>
      </c>
      <c r="Z215">
        <v>20402.175230000001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20308.695523078208</v>
      </c>
      <c r="AG215">
        <v>0</v>
      </c>
      <c r="AH215">
        <v>0</v>
      </c>
    </row>
    <row r="216" spans="1:34">
      <c r="A216">
        <v>46053</v>
      </c>
      <c r="B216">
        <v>20308.695523078208</v>
      </c>
      <c r="C216">
        <v>489.56700000000001</v>
      </c>
      <c r="D216">
        <v>1631482.3951735001</v>
      </c>
      <c r="E216">
        <v>0</v>
      </c>
      <c r="F216">
        <v>1.0037027193749493</v>
      </c>
      <c r="G216">
        <v>0</v>
      </c>
      <c r="H216">
        <v>3.8064160310943387</v>
      </c>
      <c r="I216">
        <v>31</v>
      </c>
      <c r="J216">
        <v>0.50867094385210443</v>
      </c>
      <c r="K216">
        <v>0.86096101588899432</v>
      </c>
      <c r="L216">
        <v>17667.160524278381</v>
      </c>
      <c r="M216">
        <v>26063.733827970256</v>
      </c>
      <c r="N216">
        <v>18494.035094278381</v>
      </c>
      <c r="O216">
        <v>15169.12199307821</v>
      </c>
      <c r="P216">
        <v>21070.653023078208</v>
      </c>
      <c r="Q216">
        <v>0</v>
      </c>
      <c r="R216">
        <v>0</v>
      </c>
      <c r="S216">
        <v>0</v>
      </c>
      <c r="T216">
        <v>21346.529958442279</v>
      </c>
      <c r="U216">
        <v>0</v>
      </c>
      <c r="V216">
        <v>19700.313010000002</v>
      </c>
      <c r="W216">
        <v>0</v>
      </c>
      <c r="X216">
        <v>22073.13337</v>
      </c>
      <c r="Y216">
        <v>0</v>
      </c>
      <c r="Z216">
        <v>20527.187580000002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selection activeCell="F4" sqref="F4"/>
    </sheetView>
  </sheetViews>
  <sheetFormatPr defaultRowHeight="14.4"/>
  <cols>
    <col min="1" max="1" width="14" customWidth="1"/>
    <col min="2" max="2" width="28" customWidth="1"/>
    <col min="3" max="3" width="14" customWidth="1"/>
    <col min="4" max="4" width="12" customWidth="1"/>
    <col min="5" max="5" width="14" customWidth="1"/>
    <col min="6" max="6" width="70" customWidth="1"/>
  </cols>
  <sheetData>
    <row r="1" spans="1:6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64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</row>
    <row r="3" spans="1:6">
      <c r="A3" t="s">
        <v>64</v>
      </c>
      <c r="B3" t="s">
        <v>70</v>
      </c>
      <c r="C3" t="s">
        <v>66</v>
      </c>
      <c r="D3" t="s">
        <v>71</v>
      </c>
      <c r="E3" t="s">
        <v>68</v>
      </c>
      <c r="F3" t="s">
        <v>85</v>
      </c>
    </row>
    <row r="4" spans="1:6">
      <c r="A4" t="s">
        <v>72</v>
      </c>
      <c r="B4" t="s">
        <v>73</v>
      </c>
      <c r="C4" t="s">
        <v>74</v>
      </c>
      <c r="D4" t="s">
        <v>67</v>
      </c>
      <c r="E4" t="s">
        <v>75</v>
      </c>
      <c r="F4" t="s">
        <v>76</v>
      </c>
    </row>
    <row r="5" spans="1:6">
      <c r="A5" t="s">
        <v>72</v>
      </c>
      <c r="B5" t="s">
        <v>77</v>
      </c>
      <c r="C5" t="s">
        <v>74</v>
      </c>
      <c r="D5" t="s">
        <v>71</v>
      </c>
      <c r="E5" t="s">
        <v>75</v>
      </c>
      <c r="F5" t="s">
        <v>78</v>
      </c>
    </row>
    <row r="6" spans="1:6">
      <c r="A6" t="s">
        <v>72</v>
      </c>
      <c r="B6" t="s">
        <v>83</v>
      </c>
      <c r="C6" t="s">
        <v>79</v>
      </c>
      <c r="D6" t="s">
        <v>80</v>
      </c>
      <c r="E6" t="s">
        <v>75</v>
      </c>
      <c r="F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Daily_Input</vt:lpstr>
      <vt:lpstr>Training_Ready</vt:lpstr>
      <vt:lpstr>Training_value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 dox</dc:creator>
  <cp:lastModifiedBy>MONTREE PINKAEO</cp:lastModifiedBy>
  <dcterms:created xsi:type="dcterms:W3CDTF">2026-02-05T02:33:21Z</dcterms:created>
  <dcterms:modified xsi:type="dcterms:W3CDTF">2026-02-16T09:05:52Z</dcterms:modified>
</cp:coreProperties>
</file>